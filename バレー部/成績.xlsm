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B4485DED-F4E2-4AD7-8A5F-C38E921675F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58" r:id="rId6"/>
    <sheet name="だいち" sheetId="4360" r:id="rId7"/>
    <sheet name="りょうすけ" sheetId="4362" r:id="rId8"/>
    <sheet name="てんちゃん" sheetId="4364" r:id="rId9"/>
    <sheet name="てんちゃん2" sheetId="4365" state="hidden" r:id="rId10"/>
    <sheet name="りょうすけ2" sheetId="4363" state="hidden" r:id="rId11"/>
    <sheet name="だいち2" sheetId="4361" state="hidden" r:id="rId12"/>
    <sheet name="全体2" sheetId="4359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アガリ率" sheetId="3189" state="hidden" r:id="rId18"/>
    <sheet name="放銃率" sheetId="3190" state="hidden" r:id="rId19"/>
    <sheet name="平均アガリ点" sheetId="3520" state="hidden" r:id="rId20"/>
    <sheet name="平均放銃点" sheetId="3521" state="hidden" r:id="rId21"/>
    <sheet name="ふっとび率" sheetId="3522" state="hidden" r:id="rId22"/>
    <sheet name="ふっとばし率" sheetId="3523" state="hidden" r:id="rId23"/>
    <sheet name="リーチ率" sheetId="3524" state="hidden" r:id="rId24"/>
    <sheet name="副露率" sheetId="3525" state="hidden" r:id="rId25"/>
    <sheet name="リーチ成功率" sheetId="3526" state="hidden" r:id="rId26"/>
    <sheet name="副露成功率" sheetId="3527" state="hidden" r:id="rId27"/>
    <sheet name="ツモ率" sheetId="3528" state="hidden" r:id="rId28"/>
    <sheet name="逆転率" sheetId="3529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64" l="1"/>
  <c r="O16" i="4364"/>
  <c r="H15" i="4364"/>
  <c r="H52" i="4364"/>
  <c r="H51" i="4364"/>
  <c r="H50" i="4364"/>
  <c r="H49" i="4364"/>
  <c r="H48" i="4364"/>
  <c r="H47" i="4364"/>
  <c r="H46" i="4364"/>
  <c r="H45" i="4364"/>
  <c r="H44" i="4364"/>
  <c r="H43" i="4364"/>
  <c r="H42" i="4364"/>
  <c r="H41" i="4364"/>
  <c r="H40" i="4364"/>
  <c r="H39" i="4364"/>
  <c r="H38" i="4364"/>
  <c r="H37" i="4364"/>
  <c r="H36" i="4364"/>
  <c r="H35" i="4364"/>
  <c r="H34" i="4364"/>
  <c r="H33" i="4364"/>
  <c r="H32" i="4364"/>
  <c r="H31" i="4364"/>
  <c r="H14" i="4364"/>
  <c r="H30" i="4364"/>
  <c r="H29" i="4364"/>
  <c r="H13" i="4364"/>
  <c r="H28" i="4364"/>
  <c r="C25" i="4364"/>
  <c r="H27" i="4364"/>
  <c r="H26" i="4364"/>
  <c r="H25" i="4364"/>
  <c r="B22" i="4364"/>
  <c r="H12" i="4364"/>
  <c r="H24" i="4364"/>
  <c r="C20" i="4364"/>
  <c r="H23" i="4364"/>
  <c r="H22" i="4364"/>
  <c r="H21" i="4364"/>
  <c r="B17" i="4364"/>
  <c r="B21" i="4364" s="1"/>
  <c r="H20" i="4364"/>
  <c r="C16" i="4364"/>
  <c r="H19" i="4364"/>
  <c r="C15" i="4364"/>
  <c r="H11" i="4364"/>
  <c r="C14" i="4364"/>
  <c r="H18" i="4364"/>
  <c r="C13" i="4364"/>
  <c r="O12" i="4364"/>
  <c r="H17" i="4364"/>
  <c r="C12" i="4364"/>
  <c r="O11" i="4364"/>
  <c r="H8" i="4364"/>
  <c r="C11" i="4364"/>
  <c r="O10" i="4364"/>
  <c r="H16" i="4364"/>
  <c r="C10" i="4364"/>
  <c r="H10" i="4364"/>
  <c r="C9" i="4364"/>
  <c r="H9" i="4364"/>
  <c r="C8" i="4364"/>
  <c r="O7" i="4364"/>
  <c r="H5" i="4364"/>
  <c r="C7" i="4364"/>
  <c r="O6" i="4364"/>
  <c r="H3" i="4364"/>
  <c r="B6" i="4364"/>
  <c r="O5" i="4364"/>
  <c r="H4" i="4364"/>
  <c r="B5" i="4364"/>
  <c r="O4" i="4364"/>
  <c r="H7" i="4364"/>
  <c r="O3" i="4364"/>
  <c r="H6" i="4364"/>
  <c r="O2" i="4364"/>
  <c r="H2" i="4364"/>
  <c r="O16" i="4362"/>
  <c r="O15" i="4362"/>
  <c r="H8" i="4362"/>
  <c r="H52" i="4362"/>
  <c r="H51" i="4362"/>
  <c r="H50" i="4362"/>
  <c r="H49" i="4362"/>
  <c r="H48" i="4362"/>
  <c r="H47" i="4362"/>
  <c r="H46" i="4362"/>
  <c r="H45" i="4362"/>
  <c r="H44" i="4362"/>
  <c r="H43" i="4362"/>
  <c r="H42" i="4362"/>
  <c r="H41" i="4362"/>
  <c r="H40" i="4362"/>
  <c r="H39" i="4362"/>
  <c r="H38" i="4362"/>
  <c r="H37" i="4362"/>
  <c r="H36" i="4362"/>
  <c r="H35" i="4362"/>
  <c r="H34" i="4362"/>
  <c r="H33" i="4362"/>
  <c r="H32" i="4362"/>
  <c r="H31" i="4362"/>
  <c r="H30" i="4362"/>
  <c r="H29" i="4362"/>
  <c r="H28" i="4362"/>
  <c r="H27" i="4362"/>
  <c r="H26" i="4362"/>
  <c r="C25" i="4362"/>
  <c r="H25" i="4362"/>
  <c r="H11" i="4362"/>
  <c r="H24" i="4362"/>
  <c r="B22" i="4362"/>
  <c r="H23" i="4362"/>
  <c r="H22" i="4362"/>
  <c r="C20" i="4362"/>
  <c r="H21" i="4362"/>
  <c r="H20" i="4362"/>
  <c r="H10" i="4362"/>
  <c r="B17" i="4362"/>
  <c r="B21" i="4362" s="1"/>
  <c r="H19" i="4362"/>
  <c r="C16" i="4362"/>
  <c r="H18" i="4362"/>
  <c r="C15" i="4362"/>
  <c r="H17" i="4362"/>
  <c r="C14" i="4362"/>
  <c r="H16" i="4362"/>
  <c r="C13" i="4362"/>
  <c r="O12" i="4362"/>
  <c r="H15" i="4362"/>
  <c r="C12" i="4362"/>
  <c r="O11" i="4362"/>
  <c r="H4" i="4362"/>
  <c r="C11" i="4362"/>
  <c r="O10" i="4362"/>
  <c r="H14" i="4362"/>
  <c r="C10" i="4362"/>
  <c r="H13" i="4362"/>
  <c r="C9" i="4362"/>
  <c r="H7" i="4362"/>
  <c r="C8" i="4362"/>
  <c r="O7" i="4362"/>
  <c r="H6" i="4362"/>
  <c r="C7" i="4362"/>
  <c r="O6" i="4362"/>
  <c r="H3" i="4362"/>
  <c r="B6" i="4362"/>
  <c r="O5" i="4362"/>
  <c r="H9" i="4362"/>
  <c r="B5" i="4362"/>
  <c r="O4" i="4362"/>
  <c r="H2" i="4362"/>
  <c r="O3" i="4362"/>
  <c r="H12" i="4362"/>
  <c r="O2" i="4362"/>
  <c r="H5" i="4362"/>
  <c r="O17" i="4358"/>
  <c r="O16" i="4360"/>
  <c r="O15" i="4360"/>
  <c r="H5" i="4360"/>
  <c r="H52" i="4360"/>
  <c r="H51" i="4360"/>
  <c r="H50" i="4360"/>
  <c r="H49" i="4360"/>
  <c r="H48" i="4360"/>
  <c r="H47" i="4360"/>
  <c r="H46" i="4360"/>
  <c r="H45" i="4360"/>
  <c r="H44" i="4360"/>
  <c r="H43" i="4360"/>
  <c r="H42" i="4360"/>
  <c r="H41" i="4360"/>
  <c r="H40" i="4360"/>
  <c r="H39" i="4360"/>
  <c r="H38" i="4360"/>
  <c r="H37" i="4360"/>
  <c r="H36" i="4360"/>
  <c r="H35" i="4360"/>
  <c r="H34" i="4360"/>
  <c r="H33" i="4360"/>
  <c r="H32" i="4360"/>
  <c r="H31" i="4360"/>
  <c r="H14" i="4360"/>
  <c r="H30" i="4360"/>
  <c r="H29" i="4360"/>
  <c r="H28" i="4360"/>
  <c r="H27" i="4360"/>
  <c r="C25" i="4360"/>
  <c r="H26" i="4360"/>
  <c r="H17" i="4360"/>
  <c r="H25" i="4360"/>
  <c r="B22" i="4360"/>
  <c r="H13" i="4360"/>
  <c r="H24" i="4360"/>
  <c r="C20" i="4360"/>
  <c r="H23" i="4360"/>
  <c r="H22" i="4360"/>
  <c r="C18" i="4360"/>
  <c r="H21" i="4360"/>
  <c r="B17" i="4360"/>
  <c r="B21" i="4360" s="1"/>
  <c r="H16" i="4360"/>
  <c r="C16" i="4360"/>
  <c r="H20" i="4360"/>
  <c r="C15" i="4360"/>
  <c r="H19" i="4360"/>
  <c r="C14" i="4360"/>
  <c r="H18" i="4360"/>
  <c r="C13" i="4360"/>
  <c r="O12" i="4360"/>
  <c r="H15" i="4360"/>
  <c r="C12" i="4360"/>
  <c r="O11" i="4360"/>
  <c r="H7" i="4360"/>
  <c r="C11" i="4360"/>
  <c r="O10" i="4360"/>
  <c r="H10" i="4360"/>
  <c r="C10" i="4360"/>
  <c r="H12" i="4360"/>
  <c r="C9" i="4360"/>
  <c r="H9" i="4360"/>
  <c r="C8" i="4360"/>
  <c r="O7" i="4360"/>
  <c r="H8" i="4360"/>
  <c r="C7" i="4360"/>
  <c r="O6" i="4360"/>
  <c r="H3" i="4360"/>
  <c r="B6" i="4360"/>
  <c r="O5" i="4360"/>
  <c r="H6" i="4360"/>
  <c r="B5" i="4360"/>
  <c r="O4" i="4360"/>
  <c r="H2" i="4360"/>
  <c r="O3" i="4360"/>
  <c r="H11" i="4360"/>
  <c r="O2" i="4360"/>
  <c r="H4" i="4360"/>
  <c r="O16" i="4358"/>
  <c r="O15" i="4358"/>
  <c r="H8" i="4358"/>
  <c r="H52" i="4358"/>
  <c r="H51" i="4358"/>
  <c r="H50" i="4358"/>
  <c r="H49" i="4358"/>
  <c r="H48" i="4358"/>
  <c r="H47" i="4358"/>
  <c r="H46" i="4358"/>
  <c r="H45" i="4358"/>
  <c r="H44" i="4358"/>
  <c r="H43" i="4358"/>
  <c r="H42" i="4358"/>
  <c r="H41" i="4358"/>
  <c r="H40" i="4358"/>
  <c r="H39" i="4358"/>
  <c r="H38" i="4358"/>
  <c r="H37" i="4358"/>
  <c r="H36" i="4358"/>
  <c r="H35" i="4358"/>
  <c r="H34" i="4358"/>
  <c r="H33" i="4358"/>
  <c r="H32" i="4358"/>
  <c r="H31" i="4358"/>
  <c r="H14" i="4358"/>
  <c r="H30" i="4358"/>
  <c r="H29" i="4358"/>
  <c r="H20" i="4358"/>
  <c r="H28" i="4358"/>
  <c r="C25" i="4358"/>
  <c r="H27" i="4358"/>
  <c r="H15" i="4358"/>
  <c r="H26" i="4358"/>
  <c r="B22" i="4358"/>
  <c r="H13" i="4358"/>
  <c r="H25" i="4358"/>
  <c r="C20" i="4358"/>
  <c r="H24" i="4358"/>
  <c r="H23" i="4358"/>
  <c r="H19" i="4358"/>
  <c r="B17" i="4358"/>
  <c r="B21" i="4358" s="1"/>
  <c r="H18" i="4358"/>
  <c r="C16" i="4358"/>
  <c r="H22" i="4358"/>
  <c r="C15" i="4358"/>
  <c r="H17" i="4358"/>
  <c r="C14" i="4358"/>
  <c r="H21" i="4358"/>
  <c r="C13" i="4358"/>
  <c r="O12" i="4358"/>
  <c r="H16" i="4358"/>
  <c r="C12" i="4358"/>
  <c r="O11" i="4358"/>
  <c r="H6" i="4358"/>
  <c r="C11" i="4358"/>
  <c r="O10" i="4358"/>
  <c r="H11" i="4358"/>
  <c r="C10" i="4358"/>
  <c r="H12" i="4358"/>
  <c r="C9" i="4358"/>
  <c r="H9" i="4358"/>
  <c r="C8" i="4358"/>
  <c r="O7" i="4358"/>
  <c r="H7" i="4358"/>
  <c r="C7" i="4358"/>
  <c r="O6" i="4358"/>
  <c r="H3" i="4358"/>
  <c r="B6" i="4358"/>
  <c r="O5" i="4358"/>
  <c r="H5" i="4358"/>
  <c r="B5" i="4358"/>
  <c r="O4" i="4358"/>
  <c r="H2" i="4358"/>
  <c r="O3" i="4358"/>
  <c r="H10" i="4358"/>
  <c r="O2" i="4358"/>
  <c r="H4" i="4358"/>
  <c r="C18" i="4362" l="1"/>
  <c r="C18" i="4358"/>
  <c r="C18" i="4364"/>
  <c r="C17" i="4364"/>
  <c r="C19" i="4364"/>
  <c r="C17" i="4362"/>
  <c r="C19" i="4362"/>
  <c r="C17" i="4360"/>
  <c r="C19" i="4360"/>
  <c r="C17" i="4358"/>
  <c r="C19" i="4358"/>
  <c r="H52" i="2228" l="1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<sst xmlns="http://schemas.openxmlformats.org/spreadsheetml/2006/main" count="1064" uniqueCount="183">
  <si>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</si>
  <si>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</si>
  <si>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</si>
  <si>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</si>
  <si>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</si>
  <si>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</si>
  <si>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</si>
  <si>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</si>
  <si>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</si>
  <si>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</si>
  <si>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</si>
  <si>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</si>
  <si>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</si>
  <si>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</si>
  <si>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</si>
  <si>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</si>
  <si>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</si>
  <si>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</si>
  <si>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</si>
  <si>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</si>
  <si>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</si>
  <si>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</si>
  <si>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</si>
  <si>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</si>
  <si>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</si>
  <si>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</si>
  <si>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</si>
  <si>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</si>
  <si>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</si>
  <si>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</si>
  <si>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</si>
  <si>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</si>
  <si>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</si>
  <si>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</si>
  <si>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</si>
  <si>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</si>
  <si>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</si>
  <si>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</si>
  <si>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</si>
  <si>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</si>
  <si>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</si>
  <si>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</si>
  <si>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</si>
  <si>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</si>
  <si>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</si>
  <si>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</si>
  <si>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</si>
  <si>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</si>
  <si>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</si>
  <si>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</si>
  <si>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</si>
  <si>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</si>
  <si>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</si>
  <si>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</si>
  <si>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</si>
  <si>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</si>
  <si>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</si>
  <si>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</si>
  <si>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</si>
  <si>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</si>
  <si>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</si>
  <si>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</si>
  <si>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</si>
  <si>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</si>
  <si>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</si>
  <si>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</si>
  <si>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</si>
  <si>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</si>
  <si>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</si>
  <si>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</si>
  <si>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</si>
  <si>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</si>
  <si>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</si>
  <si>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</si>
  <si>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</si>
  <si>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</si>
  <si>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</si>
  <si>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</si>
  <si>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</si>
  <si>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</si>
  <si>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</si>
  <si>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</si>
  <si>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</si>
  <si>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</si>
  <si>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</si>
  <si>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</si>
  <si>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</si>
  <si>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</si>
  <si>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</si>
  <si>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</si>
  <si>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</si>
  <si>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</si>
  <si>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</si>
  <si>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</si>
  <si>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</si>
  <si>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</si>
  <si>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</si>
  <si>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</si>
  <si>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</si>
  <si>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</si>
  <si>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</si>
  <si>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</si>
  <si>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</si>
  <si>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</si>
  <si>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</si>
  <si>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</si>
  <si>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</si>
  <si>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</si>
  <si>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</si>
  <si>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</si>
  <si>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</si>
  <si>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</si>
  <si>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</si>
  <si>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</si>
  <si>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</si>
  <si>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</si>
  <si>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</si>
  <si>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</si>
  <si>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</si>
  <si>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</si>
  <si>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</si>
  <si>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</si>
  <si>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</si>
  <si>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</si>
  <si>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</si>
  <si>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</si>
  <si>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</si>
  <si>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</si>
  <si>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</si>
  <si>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</si>
  <si>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</si>
  <si>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</si>
  <si>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</si>
  <si>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</si>
  <si>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</si>
  <si>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</si>
  <si>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Sheet3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</si>
  <si>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</si>
  <si>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</si>
  <si>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</si>
  <si>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</si>
  <si>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</si>
  <si>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</si>
  <si>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</si>
  <si>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</si>
  <si>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</si>
  <si>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</si>
  <si>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</si>
  <si>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</si>
  <si>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</si>
  <si>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</si>
  <si>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</si>
  <si>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</si>
  <si>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</si>
  <si>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</si>
  <si>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</si>
  <si>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</si>
  <si>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</si>
  <si>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</si>
  <si>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</si>
  <si>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</si>
  <si>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</si>
  <si>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</si>
  <si>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</si>
  <si>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</si>
  <si>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</si>
  <si>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</si>
  <si>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</si>
  <si>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</si>
  <si>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</si>
  <si>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</si>
  <si>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</si>
  <si>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</si>
  <si>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</si>
  <si>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</si>
  <si>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</si>
  <si>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</si>
  <si>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2019-03-08.xlsm</t>
  </si>
  <si>
    <t>りょうすけ</t>
  </si>
  <si>
    <t>てんちゃん</t>
  </si>
  <si>
    <t>2019-03-21.xlsm</t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</si>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</sst>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全体!$L$2:$L$20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3-4006-B281-03A3789DC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-55.555555555555557</c:v>
                </c:pt>
                <c:pt idx="2">
                  <c:v>66.666666666666671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4-456E-A2B7-A0ABAD6FF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だいち!$L$2:$L$8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10-411A-922E-F7C65BC29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6833.333333333333</c:v>
                </c:pt>
                <c:pt idx="1">
                  <c:v>6400</c:v>
                </c:pt>
                <c:pt idx="2">
                  <c:v>-1640</c:v>
                </c:pt>
                <c:pt idx="3">
                  <c:v>17100</c:v>
                </c:pt>
                <c:pt idx="4">
                  <c:v>-4250</c:v>
                </c:pt>
                <c:pt idx="5">
                  <c:v>5550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E-40AB-B039-AE38C6476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りょうすけ!$L$2:$L$8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4A-4B06-A0A1-861C059BA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-2483.3333333333335</c:v>
                </c:pt>
                <c:pt idx="1">
                  <c:v>-11050</c:v>
                </c:pt>
                <c:pt idx="2">
                  <c:v>2640</c:v>
                </c:pt>
                <c:pt idx="3">
                  <c:v>-13900</c:v>
                </c:pt>
                <c:pt idx="4">
                  <c:v>0</c:v>
                </c:pt>
                <c:pt idx="5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6-4E74-BDFF-603BE9222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A-4E5B-83D3-E899F75B9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-4350</c:v>
                </c:pt>
                <c:pt idx="1">
                  <c:v>4483.333333333333</c:v>
                </c:pt>
                <c:pt idx="2">
                  <c:v>-800</c:v>
                </c:pt>
                <c:pt idx="3">
                  <c:v>-3200</c:v>
                </c:pt>
                <c:pt idx="4">
                  <c:v>4250</c:v>
                </c:pt>
                <c:pt idx="5">
                  <c:v>-8150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5-4DD1-9EDD-CB35B304D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てんちゃん2!$C$3:$C$9</c:f>
              <c:numCache>
                <c:formatCode>\+0.0;\-0.0;\±0</c:formatCode>
                <c:ptCount val="7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てんちゃん2!$D$3:$D$9</c:f>
              <c:numCache>
                <c:formatCode>0.00\ "位"</c:formatCode>
                <c:ptCount val="7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てんちゃん2!$F$3:$F$9</c:f>
              <c:numCache>
                <c:formatCode>0.0%</c:formatCode>
                <c:ptCount val="7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てんちゃん2!$G$3:$G$9</c:f>
              <c:numCache>
                <c:formatCode>0.0%</c:formatCode>
                <c:ptCount val="7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てんちゃん2!$H$3:$H$9</c:f>
              <c:numCache>
                <c:formatCode>0</c:formatCode>
                <c:ptCount val="7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てんちゃん2!$I$3:$I$9</c:f>
              <c:numCache>
                <c:formatCode>0</c:formatCode>
                <c:ptCount val="7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てんちゃん2!$J$3:$J$9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てんちゃん2!$M$3:$M$9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てんちゃん2!$N$3:$N$9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てんちゃん2!$O$3:$O$9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てんちゃん2!$P$3:$P$9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てんちゃん2!$Q$3:$Q$9</c:f>
              <c:numCache>
                <c:formatCode>0.0%</c:formatCode>
                <c:ptCount val="7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てんちゃん2!$L$3:$L$9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1"/>
      <c r="C1" s="152"/>
      <c r="E1" s="133" t="s">
        <v>176</v>
      </c>
      <c r="F1" s="12" t="s">
        <v>120</v>
      </c>
      <c r="G1" s="26" t="s">
        <v>121</v>
      </c>
      <c r="H1" s="134" t="s">
        <v>122</v>
      </c>
      <c r="I1" s="104" t="s">
        <v>160</v>
      </c>
      <c r="K1" s="2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165</v>
      </c>
    </row>
    <row r="2" spans="1:17" x14ac:dyDescent="0.4">
      <c r="A2" s="21" t="s">
        <v>9</v>
      </c>
      <c r="B2" s="147">
        <v>0</v>
      </c>
      <c r="C2" s="148"/>
      <c r="E2" s="62" t="s">
        <v>67</v>
      </c>
      <c r="F2" s="27" t="s">
        <v>21</v>
      </c>
      <c r="G2" s="14">
        <v>0</v>
      </c>
      <c r="H2" s="136">
        <f t="shared" ref="H2:H33" si="0">IF(B$27=0,0,G2/B$27)</f>
        <v>0</v>
      </c>
      <c r="I2" s="97"/>
      <c r="K2" s="3">
        <v>0</v>
      </c>
      <c r="L2" s="102">
        <v>0</v>
      </c>
      <c r="N2" s="118" t="s">
        <v>137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3">
        <v>0</v>
      </c>
      <c r="C3" s="154"/>
      <c r="E3" s="63" t="s">
        <v>68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138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5">
        <v>0</v>
      </c>
      <c r="C4" s="156"/>
      <c r="E4" s="63" t="s">
        <v>69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139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7">
        <f>IF(B$2=0,0,B$4/B$2)</f>
        <v>0</v>
      </c>
      <c r="C5" s="158"/>
      <c r="E5" s="63" t="s">
        <v>70</v>
      </c>
      <c r="F5" s="28" t="s">
        <v>24</v>
      </c>
      <c r="G5" s="15">
        <v>0</v>
      </c>
      <c r="H5" s="137">
        <f t="shared" si="0"/>
        <v>0</v>
      </c>
      <c r="I5" s="98"/>
      <c r="N5" s="119" t="s">
        <v>140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5">
        <f>IF(B$2=0,0,(B$7*1+B$8*2+B$9*3)/B$2)</f>
        <v>0</v>
      </c>
      <c r="C6" s="146"/>
      <c r="E6" s="63" t="s">
        <v>71</v>
      </c>
      <c r="F6" s="28" t="s">
        <v>25</v>
      </c>
      <c r="G6" s="15">
        <v>0</v>
      </c>
      <c r="H6" s="137">
        <f t="shared" si="0"/>
        <v>0</v>
      </c>
      <c r="I6" s="98"/>
      <c r="N6" s="119" t="s">
        <v>141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72</v>
      </c>
      <c r="F7" s="28" t="s">
        <v>12</v>
      </c>
      <c r="G7" s="15">
        <v>0</v>
      </c>
      <c r="H7" s="137">
        <f t="shared" si="0"/>
        <v>0</v>
      </c>
      <c r="I7" s="98"/>
      <c r="N7" s="120" t="s">
        <v>142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73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74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75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173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145</v>
      </c>
      <c r="B11" s="48">
        <v>0</v>
      </c>
      <c r="C11" s="40">
        <f>IF(B$2=0,0,B11/B$2)</f>
        <v>0</v>
      </c>
      <c r="E11" s="63" t="s">
        <v>76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174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166</v>
      </c>
      <c r="B12" s="49">
        <v>0</v>
      </c>
      <c r="C12" s="42">
        <f>IF(B$2=0,0,B12/B$2)</f>
        <v>0</v>
      </c>
      <c r="E12" s="63" t="s">
        <v>77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175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128</v>
      </c>
      <c r="B13" s="17">
        <v>0</v>
      </c>
      <c r="C13" s="11">
        <f>IF(B$26=0,0,B13/B$26)</f>
        <v>0</v>
      </c>
      <c r="E13" s="63" t="s">
        <v>78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123</v>
      </c>
      <c r="B14" s="15">
        <v>0</v>
      </c>
      <c r="C14" s="6">
        <f>IF(B$26=0,0,B14/B$26)</f>
        <v>0</v>
      </c>
      <c r="E14" s="63" t="s">
        <v>79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161</v>
      </c>
      <c r="O14" s="34" t="s">
        <v>162</v>
      </c>
      <c r="P14" s="121" t="s">
        <v>163</v>
      </c>
      <c r="Q14" s="109" t="s">
        <v>164</v>
      </c>
    </row>
    <row r="15" spans="1:17" x14ac:dyDescent="0.4">
      <c r="A15" s="21" t="s">
        <v>130</v>
      </c>
      <c r="B15" s="14">
        <v>0</v>
      </c>
      <c r="C15" s="4">
        <f>IF(B$13=0,0,B15/B$13)</f>
        <v>0</v>
      </c>
      <c r="E15" s="63" t="s">
        <v>80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131</v>
      </c>
      <c r="B16" s="14">
        <v>0</v>
      </c>
      <c r="C16" s="4">
        <f>IF(B$14=0,0,B16/B$14)</f>
        <v>0</v>
      </c>
      <c r="E16" s="63" t="s">
        <v>81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82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83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84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85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86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87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147</v>
      </c>
      <c r="B23" s="143">
        <v>0</v>
      </c>
      <c r="C23" s="144"/>
      <c r="E23" s="63" t="s">
        <v>88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158</v>
      </c>
      <c r="B24" s="141">
        <v>0</v>
      </c>
      <c r="C24" s="142"/>
      <c r="E24" s="63" t="s">
        <v>89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148</v>
      </c>
      <c r="B25" s="32">
        <v>0</v>
      </c>
      <c r="C25" s="9">
        <f>IF(B$3=0,0,B25/B$3)</f>
        <v>0</v>
      </c>
      <c r="E25" s="63" t="s">
        <v>90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126</v>
      </c>
      <c r="B26" s="147">
        <v>0</v>
      </c>
      <c r="C26" s="148"/>
      <c r="E26" s="63" t="s">
        <v>91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127</v>
      </c>
      <c r="B27" s="149">
        <v>0</v>
      </c>
      <c r="C27" s="150"/>
      <c r="E27" s="63" t="s">
        <v>92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93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94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95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96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97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98</v>
      </c>
      <c r="F33" s="28" t="s">
        <v>51</v>
      </c>
      <c r="G33" s="15">
        <v>0</v>
      </c>
      <c r="H33" s="137">
        <f t="shared" si="0"/>
        <v>0</v>
      </c>
      <c r="I33" s="98"/>
    </row>
    <row r="34" spans="5:9" x14ac:dyDescent="0.4">
      <c r="E34" s="63" t="s">
        <v>99</v>
      </c>
      <c r="F34" s="28" t="s">
        <v>52</v>
      </c>
      <c r="G34" s="15">
        <v>0</v>
      </c>
      <c r="H34" s="137">
        <f t="shared" ref="H34:H51" si="3">IF(B$27=0,0,G34/B$27)</f>
        <v>0</v>
      </c>
      <c r="I34" s="98"/>
    </row>
    <row r="35" spans="5:9" x14ac:dyDescent="0.4">
      <c r="E35" s="63" t="s">
        <v>100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101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102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103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104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105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106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107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108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109</v>
      </c>
      <c r="F44" s="28" t="s">
        <v>62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110</v>
      </c>
      <c r="F45" s="28" t="s">
        <v>117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111</v>
      </c>
      <c r="F46" s="28" t="s">
        <v>118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112</v>
      </c>
      <c r="F47" s="28" t="s">
        <v>119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113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114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115</v>
      </c>
      <c r="F50" s="28" t="s">
        <v>65</v>
      </c>
      <c r="G50" s="15">
        <v>0</v>
      </c>
      <c r="H50" s="137">
        <f t="shared" si="3"/>
        <v>0</v>
      </c>
      <c r="I50" s="98"/>
    </row>
    <row r="51" spans="5:9" x14ac:dyDescent="0.4">
      <c r="E51" s="63" t="s">
        <v>116</v>
      </c>
      <c r="F51" s="60" t="s">
        <v>66</v>
      </c>
      <c r="G51" s="47">
        <v>0</v>
      </c>
      <c r="H51" s="137">
        <f t="shared" si="3"/>
        <v>0</v>
      </c>
      <c r="I51" s="98"/>
    </row>
    <row r="52" spans="5:9" x14ac:dyDescent="0.4">
      <c r="E52" s="64" t="s">
        <v>181</v>
      </c>
      <c r="F52" s="61" t="s">
        <v>182</v>
      </c>
      <c r="G52" s="49">
        <v>0</v>
      </c>
      <c r="H52" s="138">
        <f t="shared" ref="H52" si="4">IF(B$27=0,0,G52/B$27)</f>
        <v>0</v>
      </c>
      <c r="I52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5" x14ac:dyDescent="0.4">
      <c r="A1" s="29">
        <v>32874</v>
      </c>
      <c r="B1" s="29">
        <v>2958465</v>
      </c>
    </row>
    <row r="2" spans="1:5" x14ac:dyDescent="0.4">
      <c r="A2" s="30" t="s">
        <v>177</v>
      </c>
      <c r="B2" s="31">
        <v>43557.871620370373</v>
      </c>
      <c r="C2" s="30" t="s">
        <v>134</v>
      </c>
      <c r="D2" s="30" t="s">
        <v>135</v>
      </c>
      <c r="E2" s="30" t="s">
        <v>136</v>
      </c>
    </row>
    <row r="3" spans="1:5" x14ac:dyDescent="0.4">
      <c r="A3" s="30" t="s">
        <v>180</v>
      </c>
      <c r="B3" s="31">
        <v>43557.871620370373</v>
      </c>
      <c r="C3" s="30" t="s">
        <v>134</v>
      </c>
      <c r="D3" s="30" t="s">
        <v>135</v>
      </c>
      <c r="E3" s="30" t="s">
        <v>136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150</v>
      </c>
    </row>
    <row r="2" spans="1:1" x14ac:dyDescent="0.4">
      <c r="A2" t="s">
        <v>133</v>
      </c>
    </row>
    <row r="3" spans="1:1" x14ac:dyDescent="0.4">
      <c r="A3" t="s">
        <v>178</v>
      </c>
    </row>
    <row r="4" spans="1:1" x14ac:dyDescent="0.4">
      <c r="A4" t="s">
        <v>179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170</v>
      </c>
      <c r="K1" s="160"/>
      <c r="L1" s="159" t="s">
        <v>154</v>
      </c>
      <c r="M1" s="160"/>
      <c r="N1" s="159" t="s">
        <v>155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146</v>
      </c>
      <c r="W1" s="160"/>
      <c r="X1" s="159" t="s">
        <v>168</v>
      </c>
      <c r="Y1" s="160"/>
      <c r="Z1" s="159" t="s">
        <v>129</v>
      </c>
      <c r="AA1" s="160"/>
      <c r="AB1" s="159" t="s">
        <v>124</v>
      </c>
      <c r="AC1" s="160"/>
      <c r="AD1" s="159" t="s">
        <v>132</v>
      </c>
      <c r="AE1" s="160"/>
      <c r="AF1" s="159" t="s">
        <v>156</v>
      </c>
      <c r="AG1" s="160"/>
      <c r="AH1" s="159" t="s">
        <v>149</v>
      </c>
      <c r="AI1" s="160"/>
      <c r="AJ1" s="159" t="s">
        <v>157</v>
      </c>
      <c r="AK1" s="160"/>
      <c r="AL1" s="159" t="s">
        <v>159</v>
      </c>
      <c r="AM1" s="160"/>
      <c r="AN1" s="159" t="s">
        <v>171</v>
      </c>
      <c r="AO1" s="160"/>
    </row>
    <row r="2" spans="1:41" x14ac:dyDescent="0.4">
      <c r="A2" s="72" t="s">
        <v>169</v>
      </c>
      <c r="B2" s="161"/>
      <c r="C2" s="162"/>
      <c r="D2" s="161"/>
      <c r="E2" s="162"/>
      <c r="F2" s="163" t="e">
        <v>#DIV/0!</v>
      </c>
      <c r="G2" s="164"/>
      <c r="H2" s="163" t="e">
        <v>#DIV/0!</v>
      </c>
      <c r="I2" s="164"/>
      <c r="J2" s="163" t="e">
        <v>#DIV/0!</v>
      </c>
      <c r="K2" s="164"/>
      <c r="L2" s="163" t="e">
        <v>#DIV/0!</v>
      </c>
      <c r="M2" s="164"/>
      <c r="N2" s="163" t="e">
        <v>#DIV/0!</v>
      </c>
      <c r="O2" s="164"/>
      <c r="P2" s="163" t="e">
        <v>#DIV/0!</v>
      </c>
      <c r="Q2" s="164"/>
      <c r="R2" s="163" t="e">
        <v>#DIV/0!</v>
      </c>
      <c r="S2" s="164"/>
      <c r="T2" s="163" t="e">
        <v>#DIV/0!</v>
      </c>
      <c r="U2" s="164"/>
      <c r="V2" s="163" t="e">
        <v>#DIV/0!</v>
      </c>
      <c r="W2" s="164"/>
      <c r="X2" s="163" t="e">
        <v>#DIV/0!</v>
      </c>
      <c r="Y2" s="164"/>
      <c r="Z2" s="163" t="e">
        <v>#DIV/0!</v>
      </c>
      <c r="AA2" s="164"/>
      <c r="AB2" s="163" t="e">
        <v>#DIV/0!</v>
      </c>
      <c r="AC2" s="164"/>
      <c r="AD2" s="163" t="e">
        <v>#DIV/0!</v>
      </c>
      <c r="AE2" s="164"/>
      <c r="AF2" s="163" t="e">
        <v>#DIV/0!</v>
      </c>
      <c r="AG2" s="164"/>
      <c r="AH2" s="163" t="e">
        <v>#DIV/0!</v>
      </c>
      <c r="AI2" s="164"/>
      <c r="AJ2" s="163" t="e">
        <v>#DIV/0!</v>
      </c>
      <c r="AK2" s="164"/>
      <c r="AL2" s="163" t="e">
        <v>#DIV/0!</v>
      </c>
      <c r="AM2" s="164"/>
      <c r="AN2" s="163" t="e">
        <v>#DIV/0!</v>
      </c>
      <c r="AO2" s="164"/>
    </row>
    <row r="3" spans="1:41" x14ac:dyDescent="0.4">
      <c r="A3" s="74">
        <v>1</v>
      </c>
      <c r="B3" s="75" t="s">
        <v>133</v>
      </c>
      <c r="C3" s="76">
        <v>159.30000000000001</v>
      </c>
      <c r="D3" s="77" t="s">
        <v>133</v>
      </c>
      <c r="E3" s="100">
        <v>26.55</v>
      </c>
      <c r="F3" s="77" t="s">
        <v>133</v>
      </c>
      <c r="G3" s="78">
        <v>1.5</v>
      </c>
      <c r="H3" s="77" t="s">
        <v>133</v>
      </c>
      <c r="I3" s="79">
        <v>0.66666666666666663</v>
      </c>
      <c r="J3" s="77" t="s">
        <v>133</v>
      </c>
      <c r="K3" s="79">
        <v>0.16666666666666666</v>
      </c>
      <c r="L3" s="77" t="s">
        <v>133</v>
      </c>
      <c r="M3" s="80">
        <v>0.47619047619047616</v>
      </c>
      <c r="N3" s="77" t="s">
        <v>133</v>
      </c>
      <c r="O3" s="80">
        <v>9.5238095238095233E-2</v>
      </c>
      <c r="P3" s="77" t="s">
        <v>179</v>
      </c>
      <c r="Q3" s="81">
        <v>11000</v>
      </c>
      <c r="R3" s="77" t="s">
        <v>133</v>
      </c>
      <c r="S3" s="81">
        <v>-8175</v>
      </c>
      <c r="T3" s="77" t="s">
        <v>133</v>
      </c>
      <c r="U3" s="79">
        <v>0</v>
      </c>
      <c r="V3" s="77" t="s">
        <v>133</v>
      </c>
      <c r="W3" s="79">
        <v>0.5</v>
      </c>
      <c r="X3" s="77" t="s">
        <v>133</v>
      </c>
      <c r="Y3" s="79">
        <v>0.16666666666666666</v>
      </c>
      <c r="Z3" s="77" t="s">
        <v>133</v>
      </c>
      <c r="AA3" s="80">
        <v>0.45238095238095238</v>
      </c>
      <c r="AB3" s="77" t="s">
        <v>178</v>
      </c>
      <c r="AC3" s="80">
        <v>0.42857142857142855</v>
      </c>
      <c r="AD3" s="77" t="s">
        <v>133</v>
      </c>
      <c r="AE3" s="80">
        <v>0.63157894736842102</v>
      </c>
      <c r="AF3" s="77" t="s">
        <v>133</v>
      </c>
      <c r="AG3" s="80">
        <v>0.5</v>
      </c>
      <c r="AH3" s="77" t="s">
        <v>178</v>
      </c>
      <c r="AI3" s="80">
        <v>0.55555555555555558</v>
      </c>
      <c r="AJ3" s="77" t="s">
        <v>150</v>
      </c>
      <c r="AK3" s="82">
        <v>5</v>
      </c>
      <c r="AL3" s="77" t="s">
        <v>150</v>
      </c>
      <c r="AM3" s="95">
        <v>110000</v>
      </c>
      <c r="AN3" s="77" t="s">
        <v>150</v>
      </c>
      <c r="AO3" s="83">
        <v>0</v>
      </c>
    </row>
    <row r="4" spans="1:41" x14ac:dyDescent="0.4">
      <c r="A4" s="84">
        <v>2</v>
      </c>
      <c r="B4" s="85" t="s">
        <v>150</v>
      </c>
      <c r="C4" s="86">
        <v>3.219646771412954E-15</v>
      </c>
      <c r="D4" s="87" t="s">
        <v>150</v>
      </c>
      <c r="E4" s="101">
        <v>1.7886926507849745E-16</v>
      </c>
      <c r="F4" s="87" t="s">
        <v>150</v>
      </c>
      <c r="G4" s="88">
        <v>2</v>
      </c>
      <c r="H4" s="87" t="s">
        <v>150</v>
      </c>
      <c r="I4" s="89">
        <v>0.33333333333333331</v>
      </c>
      <c r="J4" s="87" t="s">
        <v>179</v>
      </c>
      <c r="K4" s="89">
        <v>0.16666666666666666</v>
      </c>
      <c r="L4" s="87" t="s">
        <v>150</v>
      </c>
      <c r="M4" s="90">
        <v>0.30158730158730157</v>
      </c>
      <c r="N4" s="87" t="s">
        <v>179</v>
      </c>
      <c r="O4" s="90">
        <v>9.5238095238095233E-2</v>
      </c>
      <c r="P4" s="87" t="s">
        <v>133</v>
      </c>
      <c r="Q4" s="91">
        <v>10505</v>
      </c>
      <c r="R4" s="87" t="s">
        <v>179</v>
      </c>
      <c r="S4" s="91">
        <v>-10900</v>
      </c>
      <c r="T4" s="87" t="s">
        <v>179</v>
      </c>
      <c r="U4" s="89">
        <v>0.16666666666666666</v>
      </c>
      <c r="V4" s="87" t="s">
        <v>150</v>
      </c>
      <c r="W4" s="89">
        <v>0.22222222222222221</v>
      </c>
      <c r="X4" s="87" t="s">
        <v>179</v>
      </c>
      <c r="Y4" s="89">
        <v>0.16666666666666666</v>
      </c>
      <c r="Z4" s="87" t="s">
        <v>179</v>
      </c>
      <c r="AA4" s="90">
        <v>0.35714285714285715</v>
      </c>
      <c r="AB4" s="87" t="s">
        <v>133</v>
      </c>
      <c r="AC4" s="90">
        <v>0.2857142857142857</v>
      </c>
      <c r="AD4" s="87" t="s">
        <v>150</v>
      </c>
      <c r="AE4" s="90">
        <v>0.57894736842105265</v>
      </c>
      <c r="AF4" s="87" t="s">
        <v>150</v>
      </c>
      <c r="AG4" s="90">
        <v>0.39393939393939392</v>
      </c>
      <c r="AH4" s="87" t="s">
        <v>179</v>
      </c>
      <c r="AI4" s="90">
        <v>0.55555555555555558</v>
      </c>
      <c r="AJ4" s="87" t="s">
        <v>133</v>
      </c>
      <c r="AK4" s="92">
        <v>5</v>
      </c>
      <c r="AL4" s="87" t="s">
        <v>133</v>
      </c>
      <c r="AM4" s="96">
        <v>110000</v>
      </c>
      <c r="AN4" s="87" t="s">
        <v>133</v>
      </c>
      <c r="AO4" s="93">
        <v>0</v>
      </c>
    </row>
    <row r="5" spans="1:41" x14ac:dyDescent="0.4">
      <c r="A5" s="84">
        <v>3</v>
      </c>
      <c r="B5" s="85" t="s">
        <v>179</v>
      </c>
      <c r="C5" s="86">
        <v>-27.000000000000004</v>
      </c>
      <c r="D5" s="87" t="s">
        <v>179</v>
      </c>
      <c r="E5" s="101">
        <v>-4.5000000000000009</v>
      </c>
      <c r="F5" s="87" t="s">
        <v>179</v>
      </c>
      <c r="G5" s="88">
        <v>2</v>
      </c>
      <c r="H5" s="87" t="s">
        <v>178</v>
      </c>
      <c r="I5" s="89">
        <v>0.16666666666666666</v>
      </c>
      <c r="J5" s="87" t="s">
        <v>150</v>
      </c>
      <c r="K5" s="89">
        <v>0.33333333333333331</v>
      </c>
      <c r="L5" s="87" t="s">
        <v>178</v>
      </c>
      <c r="M5" s="90">
        <v>0.21428571428571427</v>
      </c>
      <c r="N5" s="87" t="s">
        <v>150</v>
      </c>
      <c r="O5" s="90">
        <v>0.15079365079365079</v>
      </c>
      <c r="P5" s="87" t="s">
        <v>150</v>
      </c>
      <c r="Q5" s="91">
        <v>10502.631578947368</v>
      </c>
      <c r="R5" s="87" t="s">
        <v>150</v>
      </c>
      <c r="S5" s="91">
        <v>-12305.263157894737</v>
      </c>
      <c r="T5" s="87" t="s">
        <v>150</v>
      </c>
      <c r="U5" s="89">
        <v>0.22222222222222221</v>
      </c>
      <c r="V5" s="87" t="s">
        <v>179</v>
      </c>
      <c r="W5" s="89">
        <v>0.16666666666666666</v>
      </c>
      <c r="X5" s="87" t="s">
        <v>150</v>
      </c>
      <c r="Y5" s="89">
        <v>0.1111111111111111</v>
      </c>
      <c r="Z5" s="87" t="s">
        <v>150</v>
      </c>
      <c r="AA5" s="90">
        <v>0.30158730158730157</v>
      </c>
      <c r="AB5" s="87" t="s">
        <v>150</v>
      </c>
      <c r="AC5" s="90">
        <v>0.26190476190476192</v>
      </c>
      <c r="AD5" s="87" t="s">
        <v>179</v>
      </c>
      <c r="AE5" s="90">
        <v>0.53333333333333333</v>
      </c>
      <c r="AF5" s="87" t="s">
        <v>178</v>
      </c>
      <c r="AG5" s="90">
        <v>0.33333333333333331</v>
      </c>
      <c r="AH5" s="87" t="s">
        <v>150</v>
      </c>
      <c r="AI5" s="90">
        <v>0.5</v>
      </c>
      <c r="AJ5" s="87" t="s">
        <v>178</v>
      </c>
      <c r="AK5" s="92">
        <v>5</v>
      </c>
      <c r="AL5" s="87" t="s">
        <v>179</v>
      </c>
      <c r="AM5" s="96">
        <v>66700</v>
      </c>
      <c r="AN5" s="87" t="s">
        <v>178</v>
      </c>
      <c r="AO5" s="93">
        <v>0</v>
      </c>
    </row>
    <row r="6" spans="1:41" x14ac:dyDescent="0.4">
      <c r="A6" s="84">
        <v>4</v>
      </c>
      <c r="B6" s="85" t="s">
        <v>178</v>
      </c>
      <c r="C6" s="86">
        <v>-132.30000000000001</v>
      </c>
      <c r="D6" s="87" t="s">
        <v>178</v>
      </c>
      <c r="E6" s="101">
        <v>-22.05</v>
      </c>
      <c r="F6" s="87" t="s">
        <v>178</v>
      </c>
      <c r="G6" s="88">
        <v>2.5</v>
      </c>
      <c r="H6" s="87" t="s">
        <v>179</v>
      </c>
      <c r="I6" s="89">
        <v>0.16666666666666666</v>
      </c>
      <c r="J6" s="87" t="s">
        <v>178</v>
      </c>
      <c r="K6" s="89">
        <v>0.66666666666666663</v>
      </c>
      <c r="L6" s="87" t="s">
        <v>179</v>
      </c>
      <c r="M6" s="90">
        <v>0.21428571428571427</v>
      </c>
      <c r="N6" s="87" t="s">
        <v>178</v>
      </c>
      <c r="O6" s="90">
        <v>0.26190476190476192</v>
      </c>
      <c r="P6" s="87" t="s">
        <v>178</v>
      </c>
      <c r="Q6" s="91">
        <v>10000</v>
      </c>
      <c r="R6" s="87" t="s">
        <v>178</v>
      </c>
      <c r="S6" s="91">
        <v>-14318.181818181818</v>
      </c>
      <c r="T6" s="87" t="s">
        <v>178</v>
      </c>
      <c r="U6" s="89">
        <v>0.5</v>
      </c>
      <c r="V6" s="87" t="s">
        <v>178</v>
      </c>
      <c r="W6" s="89">
        <v>0</v>
      </c>
      <c r="X6" s="87" t="s">
        <v>178</v>
      </c>
      <c r="Y6" s="89">
        <v>0</v>
      </c>
      <c r="Z6" s="87" t="s">
        <v>178</v>
      </c>
      <c r="AA6" s="90">
        <v>9.5238095238095233E-2</v>
      </c>
      <c r="AB6" s="87" t="s">
        <v>179</v>
      </c>
      <c r="AC6" s="90">
        <v>7.1428571428571425E-2</v>
      </c>
      <c r="AD6" s="87" t="s">
        <v>178</v>
      </c>
      <c r="AE6" s="90">
        <v>0.5</v>
      </c>
      <c r="AF6" s="87" t="s">
        <v>179</v>
      </c>
      <c r="AG6" s="90">
        <v>0.33333333333333331</v>
      </c>
      <c r="AH6" s="87" t="s">
        <v>133</v>
      </c>
      <c r="AI6" s="90">
        <v>0.45</v>
      </c>
      <c r="AJ6" s="87" t="s">
        <v>179</v>
      </c>
      <c r="AK6" s="92">
        <v>5</v>
      </c>
      <c r="AL6" s="87" t="s">
        <v>178</v>
      </c>
      <c r="AM6" s="96">
        <v>52100</v>
      </c>
      <c r="AN6" s="87" t="s">
        <v>179</v>
      </c>
      <c r="AO6" s="93">
        <v>0</v>
      </c>
    </row>
  </sheetData>
  <sortState ref="AN3:AO30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70B5-71C7-4EE0-BBC2-93326883057F}">
  <sheetPr codeName="Sheet4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150</v>
      </c>
      <c r="C1" s="152"/>
      <c r="E1" s="133" t="s">
        <v>176</v>
      </c>
      <c r="F1" s="140" t="s">
        <v>120</v>
      </c>
      <c r="G1" s="139" t="s">
        <v>121</v>
      </c>
      <c r="H1" s="134" t="s">
        <v>122</v>
      </c>
      <c r="I1" s="140" t="s">
        <v>160</v>
      </c>
      <c r="K1" s="34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164</v>
      </c>
    </row>
    <row r="2" spans="1:17" x14ac:dyDescent="0.4">
      <c r="A2" s="54" t="s">
        <v>9</v>
      </c>
      <c r="B2" s="147">
        <v>18</v>
      </c>
      <c r="C2" s="148"/>
      <c r="E2" s="62" t="s">
        <v>69</v>
      </c>
      <c r="F2" s="59" t="s">
        <v>23</v>
      </c>
      <c r="G2" s="46">
        <v>32</v>
      </c>
      <c r="H2" s="136">
        <f t="shared" ref="H2:H33" si="0">IF(B$27=0,0,G2/B$27)</f>
        <v>0.84210526315789469</v>
      </c>
      <c r="I2" s="97">
        <v>2</v>
      </c>
      <c r="K2" s="36">
        <v>0</v>
      </c>
      <c r="L2" s="102">
        <v>0</v>
      </c>
      <c r="N2" s="118" t="s">
        <v>137</v>
      </c>
      <c r="O2" s="125">
        <f t="shared" ref="O2:O7" si="1">IF(P2=0,0,Q2/P2)</f>
        <v>0</v>
      </c>
      <c r="P2" s="122">
        <v>18</v>
      </c>
      <c r="Q2" s="106">
        <v>0</v>
      </c>
    </row>
    <row r="3" spans="1:17" x14ac:dyDescent="0.4">
      <c r="A3" s="55" t="s">
        <v>8</v>
      </c>
      <c r="B3" s="153">
        <v>126</v>
      </c>
      <c r="C3" s="154"/>
      <c r="E3" s="63" t="s">
        <v>71</v>
      </c>
      <c r="F3" s="60" t="s">
        <v>25</v>
      </c>
      <c r="G3" s="47">
        <v>30</v>
      </c>
      <c r="H3" s="137">
        <f t="shared" si="0"/>
        <v>0.78947368421052633</v>
      </c>
      <c r="I3" s="98">
        <v>2</v>
      </c>
      <c r="K3" s="38">
        <v>1</v>
      </c>
      <c r="L3" s="103">
        <v>-14.1</v>
      </c>
      <c r="N3" s="119" t="s">
        <v>138</v>
      </c>
      <c r="O3" s="126">
        <f t="shared" si="1"/>
        <v>-55.555555555555557</v>
      </c>
      <c r="P3" s="123">
        <v>18</v>
      </c>
      <c r="Q3" s="107">
        <v>-1000</v>
      </c>
    </row>
    <row r="4" spans="1:17" x14ac:dyDescent="0.4">
      <c r="A4" s="55" t="s">
        <v>6</v>
      </c>
      <c r="B4" s="155">
        <v>3.219646771412954E-15</v>
      </c>
      <c r="C4" s="156"/>
      <c r="E4" s="63" t="s">
        <v>67</v>
      </c>
      <c r="F4" s="60" t="s">
        <v>21</v>
      </c>
      <c r="G4" s="47">
        <v>21</v>
      </c>
      <c r="H4" s="137">
        <f t="shared" si="0"/>
        <v>0.55263157894736847</v>
      </c>
      <c r="I4" s="98">
        <v>2</v>
      </c>
      <c r="K4" s="38">
        <v>2</v>
      </c>
      <c r="L4" s="103">
        <v>3.0000000000000018</v>
      </c>
      <c r="N4" s="119" t="s">
        <v>139</v>
      </c>
      <c r="O4" s="126">
        <f t="shared" si="1"/>
        <v>66.666666666666671</v>
      </c>
      <c r="P4" s="123">
        <v>15</v>
      </c>
      <c r="Q4" s="107">
        <v>1000</v>
      </c>
    </row>
    <row r="5" spans="1:17" x14ac:dyDescent="0.4">
      <c r="A5" s="55" t="s">
        <v>7</v>
      </c>
      <c r="B5" s="157">
        <f>IF(B$2=0,0,B$4/B$2)</f>
        <v>1.7886926507849745E-16</v>
      </c>
      <c r="C5" s="158"/>
      <c r="E5" s="63" t="s">
        <v>70</v>
      </c>
      <c r="F5" s="60" t="s">
        <v>24</v>
      </c>
      <c r="G5" s="47">
        <v>16</v>
      </c>
      <c r="H5" s="137">
        <f t="shared" si="0"/>
        <v>0.42105263157894735</v>
      </c>
      <c r="I5" s="98">
        <v>3</v>
      </c>
      <c r="K5" s="38">
        <v>3</v>
      </c>
      <c r="L5" s="103">
        <v>1.7763568394002505E-15</v>
      </c>
      <c r="N5" s="119" t="s">
        <v>140</v>
      </c>
      <c r="O5" s="126">
        <f t="shared" si="1"/>
        <v>0</v>
      </c>
      <c r="P5" s="123">
        <v>15</v>
      </c>
      <c r="Q5" s="107">
        <v>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76</v>
      </c>
      <c r="F6" s="60" t="s">
        <v>29</v>
      </c>
      <c r="G6" s="47">
        <v>14</v>
      </c>
      <c r="H6" s="137">
        <f t="shared" si="0"/>
        <v>0.36842105263157893</v>
      </c>
      <c r="I6" s="98">
        <v>2</v>
      </c>
      <c r="K6" s="38">
        <v>4</v>
      </c>
      <c r="L6" s="103">
        <v>75</v>
      </c>
      <c r="N6" s="119" t="s">
        <v>141</v>
      </c>
      <c r="O6" s="126">
        <f t="shared" si="1"/>
        <v>0</v>
      </c>
      <c r="P6" s="123">
        <v>6</v>
      </c>
      <c r="Q6" s="107">
        <v>0</v>
      </c>
    </row>
    <row r="7" spans="1:17" x14ac:dyDescent="0.4">
      <c r="A7" s="55" t="s">
        <v>2</v>
      </c>
      <c r="B7" s="47">
        <v>6</v>
      </c>
      <c r="C7" s="39">
        <f>IF(B$2=0,0,B7/B$2)</f>
        <v>0.33333333333333331</v>
      </c>
      <c r="E7" s="63" t="s">
        <v>72</v>
      </c>
      <c r="F7" s="60" t="s">
        <v>12</v>
      </c>
      <c r="G7" s="47">
        <v>13</v>
      </c>
      <c r="H7" s="137">
        <f t="shared" si="0"/>
        <v>0.34210526315789475</v>
      </c>
      <c r="I7" s="98">
        <v>2</v>
      </c>
      <c r="K7" s="38">
        <v>5</v>
      </c>
      <c r="L7" s="103">
        <v>19</v>
      </c>
      <c r="N7" s="120" t="s">
        <v>142</v>
      </c>
      <c r="O7" s="127">
        <f t="shared" si="1"/>
        <v>0</v>
      </c>
      <c r="P7" s="124">
        <v>6</v>
      </c>
      <c r="Q7" s="108">
        <v>0</v>
      </c>
    </row>
    <row r="8" spans="1:17" x14ac:dyDescent="0.4">
      <c r="A8" s="55" t="s">
        <v>3</v>
      </c>
      <c r="B8" s="47">
        <v>6</v>
      </c>
      <c r="C8" s="39">
        <f>IF(B$2=0,0,B8/B$2)</f>
        <v>0.33333333333333331</v>
      </c>
      <c r="E8" s="63" t="s">
        <v>181</v>
      </c>
      <c r="F8" s="60" t="s">
        <v>182</v>
      </c>
      <c r="G8" s="47">
        <v>13</v>
      </c>
      <c r="H8" s="137">
        <f t="shared" si="0"/>
        <v>0.34210526315789475</v>
      </c>
      <c r="I8" s="98">
        <v>2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2">IF(B$2=0,0,B9/B$2)</f>
        <v>0.33333333333333331</v>
      </c>
      <c r="E9" s="63" t="s">
        <v>73</v>
      </c>
      <c r="F9" s="60" t="s">
        <v>26</v>
      </c>
      <c r="G9" s="47">
        <v>9</v>
      </c>
      <c r="H9" s="137">
        <f t="shared" si="0"/>
        <v>0.23684210526315788</v>
      </c>
      <c r="I9" s="98">
        <v>2</v>
      </c>
      <c r="K9" s="38">
        <v>7</v>
      </c>
      <c r="L9" s="103">
        <v>45</v>
      </c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68</v>
      </c>
      <c r="F10" s="60" t="s">
        <v>22</v>
      </c>
      <c r="G10" s="47">
        <v>8</v>
      </c>
      <c r="H10" s="137">
        <f t="shared" si="0"/>
        <v>0.21052631578947367</v>
      </c>
      <c r="I10" s="98">
        <v>2</v>
      </c>
      <c r="K10" s="38">
        <v>8</v>
      </c>
      <c r="L10" s="103">
        <v>-1</v>
      </c>
      <c r="N10" s="118" t="s">
        <v>173</v>
      </c>
      <c r="O10" s="128">
        <f>IF(P10=0,0,Q10/P10)</f>
        <v>17.433333333333334</v>
      </c>
      <c r="P10" s="122">
        <v>6</v>
      </c>
      <c r="Q10" s="110">
        <v>104.60000000000001</v>
      </c>
    </row>
    <row r="11" spans="1:17" x14ac:dyDescent="0.4">
      <c r="A11" s="56" t="s">
        <v>145</v>
      </c>
      <c r="B11" s="48">
        <v>4</v>
      </c>
      <c r="C11" s="40">
        <f>IF(B$2=0,0,B11/B$2)</f>
        <v>0.22222222222222221</v>
      </c>
      <c r="E11" s="63" t="s">
        <v>75</v>
      </c>
      <c r="F11" s="60" t="s">
        <v>28</v>
      </c>
      <c r="G11" s="47">
        <v>5</v>
      </c>
      <c r="H11" s="137">
        <f t="shared" si="0"/>
        <v>0.13157894736842105</v>
      </c>
      <c r="I11" s="98">
        <v>2</v>
      </c>
      <c r="K11" s="38">
        <v>9</v>
      </c>
      <c r="L11" s="103">
        <v>0</v>
      </c>
      <c r="N11" s="119" t="s">
        <v>174</v>
      </c>
      <c r="O11" s="129">
        <f>IF(P11=0,0,Q11/P11)</f>
        <v>-1.2666666666666664</v>
      </c>
      <c r="P11" s="123">
        <v>6</v>
      </c>
      <c r="Q11" s="111">
        <v>-7.5999999999999988</v>
      </c>
    </row>
    <row r="12" spans="1:17" x14ac:dyDescent="0.4">
      <c r="A12" s="57" t="s">
        <v>166</v>
      </c>
      <c r="B12" s="49">
        <v>2</v>
      </c>
      <c r="C12" s="42">
        <f>IF(B$2=0,0,B12/B$2)</f>
        <v>0.1111111111111111</v>
      </c>
      <c r="E12" s="63" t="s">
        <v>74</v>
      </c>
      <c r="F12" s="60" t="s">
        <v>27</v>
      </c>
      <c r="G12" s="47">
        <v>3</v>
      </c>
      <c r="H12" s="137">
        <f t="shared" si="0"/>
        <v>7.8947368421052627E-2</v>
      </c>
      <c r="I12" s="98">
        <v>3</v>
      </c>
      <c r="K12" s="38">
        <v>10</v>
      </c>
      <c r="L12" s="103">
        <v>28.5</v>
      </c>
      <c r="N12" s="120" t="s">
        <v>175</v>
      </c>
      <c r="O12" s="130">
        <f>IF(P12=0,0,Q12/P12)</f>
        <v>-16.166666666666668</v>
      </c>
      <c r="P12" s="124">
        <v>6</v>
      </c>
      <c r="Q12" s="112">
        <v>-97</v>
      </c>
    </row>
    <row r="13" spans="1:17" x14ac:dyDescent="0.4">
      <c r="A13" s="58" t="s">
        <v>128</v>
      </c>
      <c r="B13" s="50">
        <v>38</v>
      </c>
      <c r="C13" s="44">
        <f>IF(B$26=0,0,B13/B$26)</f>
        <v>0.30158730158730157</v>
      </c>
      <c r="E13" s="63" t="s">
        <v>86</v>
      </c>
      <c r="F13" s="60" t="s">
        <v>39</v>
      </c>
      <c r="G13" s="47">
        <v>3</v>
      </c>
      <c r="H13" s="137">
        <f t="shared" si="0"/>
        <v>7.8947368421052627E-2</v>
      </c>
      <c r="I13" s="98">
        <v>3</v>
      </c>
      <c r="K13" s="38">
        <v>11</v>
      </c>
      <c r="L13" s="103">
        <v>38.6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33</v>
      </c>
      <c r="C14" s="39">
        <f>IF(B$26=0,0,B14/B$26)</f>
        <v>0.26190476190476192</v>
      </c>
      <c r="E14" s="63" t="s">
        <v>94</v>
      </c>
      <c r="F14" s="60" t="s">
        <v>47</v>
      </c>
      <c r="G14" s="47">
        <v>3</v>
      </c>
      <c r="H14" s="137">
        <f t="shared" si="0"/>
        <v>7.8947368421052627E-2</v>
      </c>
      <c r="I14" s="98">
        <v>3</v>
      </c>
      <c r="K14" s="38">
        <v>12</v>
      </c>
      <c r="L14" s="103">
        <v>0</v>
      </c>
      <c r="N14" s="117" t="s">
        <v>161</v>
      </c>
      <c r="O14" s="34" t="s">
        <v>125</v>
      </c>
      <c r="P14" s="121" t="s">
        <v>121</v>
      </c>
      <c r="Q14" s="109" t="s">
        <v>164</v>
      </c>
    </row>
    <row r="15" spans="1:17" x14ac:dyDescent="0.4">
      <c r="A15" s="54" t="s">
        <v>130</v>
      </c>
      <c r="B15" s="46">
        <v>22</v>
      </c>
      <c r="C15" s="37">
        <f>IF(B$13=0,0,B15/B$13)</f>
        <v>0.57894736842105265</v>
      </c>
      <c r="E15" s="63" t="s">
        <v>88</v>
      </c>
      <c r="F15" s="60" t="s">
        <v>41</v>
      </c>
      <c r="G15" s="47">
        <v>2</v>
      </c>
      <c r="H15" s="137">
        <f t="shared" si="0"/>
        <v>5.2631578947368418E-2</v>
      </c>
      <c r="I15" s="98">
        <v>2</v>
      </c>
      <c r="K15" s="38">
        <v>13</v>
      </c>
      <c r="L15" s="103">
        <v>18.100000000000001</v>
      </c>
      <c r="N15" s="118" t="s">
        <v>178</v>
      </c>
      <c r="O15" s="128">
        <f>IF(P15=0,0,Q15/P15)</f>
        <v>33.074999999999996</v>
      </c>
      <c r="P15" s="122">
        <v>12</v>
      </c>
      <c r="Q15" s="110">
        <v>396.89999999999992</v>
      </c>
    </row>
    <row r="16" spans="1:17" x14ac:dyDescent="0.4">
      <c r="A16" s="54" t="s">
        <v>131</v>
      </c>
      <c r="B16" s="46">
        <v>13</v>
      </c>
      <c r="C16" s="37">
        <f>IF(B$14=0,0,B16/B$14)</f>
        <v>0.39393939393939392</v>
      </c>
      <c r="E16" s="63" t="s">
        <v>77</v>
      </c>
      <c r="F16" s="60" t="s">
        <v>30</v>
      </c>
      <c r="G16" s="47">
        <v>1</v>
      </c>
      <c r="H16" s="137">
        <f t="shared" si="0"/>
        <v>2.6315789473684209E-2</v>
      </c>
      <c r="I16" s="98">
        <v>2</v>
      </c>
      <c r="K16" s="38">
        <v>14</v>
      </c>
      <c r="L16" s="103">
        <v>-31.699999999999996</v>
      </c>
      <c r="N16" s="119" t="s">
        <v>179</v>
      </c>
      <c r="O16" s="129">
        <f>IF(P16=0,0,Q16/P16)</f>
        <v>6.7499999999999973</v>
      </c>
      <c r="P16" s="123">
        <v>12</v>
      </c>
      <c r="Q16" s="111">
        <v>80.999999999999972</v>
      </c>
    </row>
    <row r="17" spans="1:17" x14ac:dyDescent="0.4">
      <c r="A17" s="54" t="s">
        <v>10</v>
      </c>
      <c r="B17" s="46">
        <f>B19+B18</f>
        <v>38</v>
      </c>
      <c r="C17" s="37">
        <f>IF(B$3=0,0,B17/B$3)</f>
        <v>0.30158730158730157</v>
      </c>
      <c r="E17" s="63" t="s">
        <v>79</v>
      </c>
      <c r="F17" s="60" t="s">
        <v>32</v>
      </c>
      <c r="G17" s="47">
        <v>1</v>
      </c>
      <c r="H17" s="137">
        <f t="shared" si="0"/>
        <v>2.6315789473684209E-2</v>
      </c>
      <c r="I17" s="98">
        <v>2</v>
      </c>
      <c r="K17" s="38">
        <v>15</v>
      </c>
      <c r="L17" s="103">
        <v>3.5527136788005009E-15</v>
      </c>
      <c r="N17" s="119" t="s">
        <v>133</v>
      </c>
      <c r="O17" s="129">
        <f>IF(P17=0,0,Q17/P17)</f>
        <v>-39.82500000000001</v>
      </c>
      <c r="P17" s="123">
        <v>12</v>
      </c>
      <c r="Q17" s="111">
        <v>-477.90000000000009</v>
      </c>
    </row>
    <row r="18" spans="1:17" x14ac:dyDescent="0.4">
      <c r="A18" s="55" t="s">
        <v>12</v>
      </c>
      <c r="B18" s="47">
        <v>19</v>
      </c>
      <c r="C18" s="39">
        <f>IF(B$17=0,0,B18/B$17)</f>
        <v>0.5</v>
      </c>
      <c r="E18" s="63" t="s">
        <v>81</v>
      </c>
      <c r="F18" s="60" t="s">
        <v>34</v>
      </c>
      <c r="G18" s="47">
        <v>1</v>
      </c>
      <c r="H18" s="137">
        <f t="shared" si="0"/>
        <v>2.6315789473684209E-2</v>
      </c>
      <c r="I18" s="98">
        <v>2</v>
      </c>
      <c r="K18" s="38">
        <v>16</v>
      </c>
      <c r="L18" s="103">
        <v>6.8000000000000034</v>
      </c>
    </row>
    <row r="19" spans="1:17" x14ac:dyDescent="0.4">
      <c r="A19" s="55" t="s">
        <v>11</v>
      </c>
      <c r="B19" s="47">
        <v>19</v>
      </c>
      <c r="C19" s="39">
        <f>IF(B$17=0,0,B19/B$17)</f>
        <v>0.5</v>
      </c>
      <c r="E19" s="63" t="s">
        <v>82</v>
      </c>
      <c r="F19" s="60" t="s">
        <v>35</v>
      </c>
      <c r="G19" s="47">
        <v>1</v>
      </c>
      <c r="H19" s="137">
        <f t="shared" si="0"/>
        <v>2.6315789473684209E-2</v>
      </c>
      <c r="I19" s="98">
        <v>2</v>
      </c>
      <c r="K19" s="38">
        <v>17</v>
      </c>
      <c r="L19" s="103">
        <v>-0.8999999999999968</v>
      </c>
    </row>
    <row r="20" spans="1:17" x14ac:dyDescent="0.4">
      <c r="A20" s="55" t="s">
        <v>13</v>
      </c>
      <c r="B20" s="47">
        <v>19</v>
      </c>
      <c r="C20" s="39">
        <f>IF(B$3=0,0,B20/B$3)</f>
        <v>0.15079365079365079</v>
      </c>
      <c r="E20" s="63" t="s">
        <v>91</v>
      </c>
      <c r="F20" s="60" t="s">
        <v>44</v>
      </c>
      <c r="G20" s="47">
        <v>1</v>
      </c>
      <c r="H20" s="137">
        <f t="shared" si="0"/>
        <v>2.6315789473684209E-2</v>
      </c>
      <c r="I20" s="98">
        <v>2</v>
      </c>
      <c r="K20" s="38">
        <v>18</v>
      </c>
      <c r="L20" s="103">
        <v>3.219646771412954E-15</v>
      </c>
    </row>
    <row r="21" spans="1:17" x14ac:dyDescent="0.4">
      <c r="A21" s="55" t="s">
        <v>5</v>
      </c>
      <c r="B21" s="51">
        <f>IF(B$17=0,0,C21/B$17)</f>
        <v>10502.631578947368</v>
      </c>
      <c r="C21" s="41">
        <v>399100</v>
      </c>
      <c r="E21" s="63" t="s">
        <v>78</v>
      </c>
      <c r="F21" s="60" t="s">
        <v>31</v>
      </c>
      <c r="G21" s="47">
        <v>0</v>
      </c>
      <c r="H21" s="137">
        <f t="shared" si="0"/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-12305.263157894737</v>
      </c>
      <c r="C22" s="45">
        <v>-233800</v>
      </c>
      <c r="E22" s="63" t="s">
        <v>80</v>
      </c>
      <c r="F22" s="60" t="s">
        <v>33</v>
      </c>
      <c r="G22" s="47">
        <v>0</v>
      </c>
      <c r="H22" s="137">
        <f t="shared" si="0"/>
        <v>0</v>
      </c>
      <c r="I22" s="98">
        <v>1</v>
      </c>
    </row>
    <row r="23" spans="1:17" x14ac:dyDescent="0.4">
      <c r="A23" s="94" t="s">
        <v>147</v>
      </c>
      <c r="B23" s="143">
        <v>5</v>
      </c>
      <c r="C23" s="144"/>
      <c r="E23" s="63" t="s">
        <v>83</v>
      </c>
      <c r="F23" s="60" t="s">
        <v>36</v>
      </c>
      <c r="G23" s="47">
        <v>0</v>
      </c>
      <c r="H23" s="137">
        <f t="shared" si="0"/>
        <v>0</v>
      </c>
      <c r="I23" s="98">
        <v>1</v>
      </c>
    </row>
    <row r="24" spans="1:17" x14ac:dyDescent="0.4">
      <c r="A24" s="58" t="s">
        <v>158</v>
      </c>
      <c r="B24" s="141">
        <v>110000</v>
      </c>
      <c r="C24" s="142"/>
      <c r="E24" s="63" t="s">
        <v>84</v>
      </c>
      <c r="F24" s="60" t="s">
        <v>37</v>
      </c>
      <c r="G24" s="47">
        <v>0</v>
      </c>
      <c r="H24" s="137">
        <f t="shared" si="0"/>
        <v>0</v>
      </c>
      <c r="I24" s="98">
        <v>1</v>
      </c>
    </row>
    <row r="25" spans="1:17" x14ac:dyDescent="0.4">
      <c r="A25" s="57" t="s">
        <v>148</v>
      </c>
      <c r="B25" s="65">
        <v>0</v>
      </c>
      <c r="C25" s="42">
        <f>IF(B$3=0,0,B25/B$3)</f>
        <v>0</v>
      </c>
      <c r="E25" s="63" t="s">
        <v>85</v>
      </c>
      <c r="F25" s="60" t="s">
        <v>38</v>
      </c>
      <c r="G25" s="47">
        <v>0</v>
      </c>
      <c r="H25" s="137">
        <f t="shared" si="0"/>
        <v>0</v>
      </c>
      <c r="I25" s="98">
        <v>1</v>
      </c>
    </row>
    <row r="26" spans="1:17" x14ac:dyDescent="0.4">
      <c r="A26" s="54" t="s">
        <v>126</v>
      </c>
      <c r="B26" s="147">
        <v>126</v>
      </c>
      <c r="C26" s="148"/>
      <c r="E26" s="63" t="s">
        <v>87</v>
      </c>
      <c r="F26" s="60" t="s">
        <v>40</v>
      </c>
      <c r="G26" s="47">
        <v>0</v>
      </c>
      <c r="H26" s="137">
        <f t="shared" si="0"/>
        <v>0</v>
      </c>
      <c r="I26" s="98">
        <v>1</v>
      </c>
    </row>
    <row r="27" spans="1:17" x14ac:dyDescent="0.4">
      <c r="A27" s="57" t="s">
        <v>127</v>
      </c>
      <c r="B27" s="149">
        <v>38</v>
      </c>
      <c r="C27" s="150"/>
      <c r="E27" s="63" t="s">
        <v>89</v>
      </c>
      <c r="F27" s="60" t="s">
        <v>42</v>
      </c>
      <c r="G27" s="47">
        <v>0</v>
      </c>
      <c r="H27" s="137">
        <f t="shared" si="0"/>
        <v>0</v>
      </c>
      <c r="I27" s="98">
        <v>1</v>
      </c>
    </row>
    <row r="28" spans="1:17" x14ac:dyDescent="0.4">
      <c r="E28" s="63" t="s">
        <v>90</v>
      </c>
      <c r="F28" s="60" t="s">
        <v>43</v>
      </c>
      <c r="G28" s="47">
        <v>0</v>
      </c>
      <c r="H28" s="137">
        <f t="shared" si="0"/>
        <v>0</v>
      </c>
      <c r="I28" s="98">
        <v>1</v>
      </c>
    </row>
    <row r="29" spans="1:17" x14ac:dyDescent="0.4">
      <c r="E29" s="63" t="s">
        <v>92</v>
      </c>
      <c r="F29" s="60" t="s">
        <v>45</v>
      </c>
      <c r="G29" s="47">
        <v>0</v>
      </c>
      <c r="H29" s="137">
        <f t="shared" si="0"/>
        <v>0</v>
      </c>
      <c r="I29" s="98">
        <v>1</v>
      </c>
    </row>
    <row r="30" spans="1:17" x14ac:dyDescent="0.4">
      <c r="E30" s="63" t="s">
        <v>93</v>
      </c>
      <c r="F30" s="60" t="s">
        <v>46</v>
      </c>
      <c r="G30" s="47">
        <v>0</v>
      </c>
      <c r="H30" s="137">
        <f t="shared" si="0"/>
        <v>0</v>
      </c>
      <c r="I30" s="98">
        <v>1</v>
      </c>
    </row>
    <row r="31" spans="1:17" x14ac:dyDescent="0.4">
      <c r="E31" s="63" t="s">
        <v>95</v>
      </c>
      <c r="F31" s="60" t="s">
        <v>48</v>
      </c>
      <c r="G31" s="47">
        <v>0</v>
      </c>
      <c r="H31" s="137">
        <f t="shared" si="0"/>
        <v>0</v>
      </c>
      <c r="I31" s="98">
        <v>1</v>
      </c>
    </row>
    <row r="32" spans="1:17" x14ac:dyDescent="0.4">
      <c r="E32" s="63" t="s">
        <v>96</v>
      </c>
      <c r="F32" s="60" t="s">
        <v>49</v>
      </c>
      <c r="G32" s="47">
        <v>0</v>
      </c>
      <c r="H32" s="137">
        <f t="shared" si="0"/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7">
        <f t="shared" si="0"/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7">
        <f t="shared" ref="H34:H65" si="3"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7">
        <f t="shared" si="3"/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7">
        <f t="shared" si="3"/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7">
        <f t="shared" si="3"/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7">
        <f t="shared" si="3"/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7">
        <f t="shared" si="3"/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7">
        <f t="shared" si="3"/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7">
        <f t="shared" si="3"/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7">
        <f t="shared" si="3"/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7">
        <f t="shared" si="3"/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7">
        <f t="shared" si="3"/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7">
        <f t="shared" si="3"/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7">
        <f t="shared" si="3"/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7">
        <f t="shared" si="3"/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7">
        <f t="shared" si="3"/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7">
        <f t="shared" si="3"/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7">
        <f t="shared" si="3"/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7">
        <f t="shared" si="3"/>
        <v>0</v>
      </c>
      <c r="I51" s="98">
        <v>1</v>
      </c>
    </row>
    <row r="52" spans="5:9" x14ac:dyDescent="0.4">
      <c r="E52" s="64" t="s">
        <v>116</v>
      </c>
      <c r="F52" s="61" t="s">
        <v>66</v>
      </c>
      <c r="G52" s="49">
        <v>0</v>
      </c>
      <c r="H52" s="138">
        <f t="shared" si="3"/>
        <v>0</v>
      </c>
      <c r="I52" s="99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D40E8-317A-4698-BD61-63738EB3866F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133</v>
      </c>
      <c r="C1" s="152"/>
      <c r="E1" s="133" t="s">
        <v>176</v>
      </c>
      <c r="F1" s="140" t="s">
        <v>120</v>
      </c>
      <c r="G1" s="139" t="s">
        <v>121</v>
      </c>
      <c r="H1" s="134" t="s">
        <v>122</v>
      </c>
      <c r="I1" s="140" t="s">
        <v>160</v>
      </c>
      <c r="K1" s="34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164</v>
      </c>
    </row>
    <row r="2" spans="1:17" x14ac:dyDescent="0.4">
      <c r="A2" s="54" t="s">
        <v>9</v>
      </c>
      <c r="B2" s="147">
        <v>6</v>
      </c>
      <c r="C2" s="148"/>
      <c r="E2" s="62" t="s">
        <v>69</v>
      </c>
      <c r="F2" s="59" t="s">
        <v>23</v>
      </c>
      <c r="G2" s="46">
        <v>16</v>
      </c>
      <c r="H2" s="136">
        <f t="shared" ref="H2:H33" si="0">IF(B$27=0,0,G2/B$27)</f>
        <v>0.8</v>
      </c>
      <c r="I2" s="97">
        <v>3</v>
      </c>
      <c r="K2" s="36">
        <v>0</v>
      </c>
      <c r="L2" s="102">
        <v>0</v>
      </c>
      <c r="N2" s="118" t="s">
        <v>137</v>
      </c>
      <c r="O2" s="125">
        <f t="shared" ref="O2:O7" si="1">IF(P2=0,0,Q2/P2)</f>
        <v>6833.333333333333</v>
      </c>
      <c r="P2" s="122">
        <v>6</v>
      </c>
      <c r="Q2" s="106">
        <v>41000</v>
      </c>
    </row>
    <row r="3" spans="1:17" x14ac:dyDescent="0.4">
      <c r="A3" s="55" t="s">
        <v>8</v>
      </c>
      <c r="B3" s="153">
        <v>42</v>
      </c>
      <c r="C3" s="154"/>
      <c r="E3" s="63" t="s">
        <v>71</v>
      </c>
      <c r="F3" s="60" t="s">
        <v>25</v>
      </c>
      <c r="G3" s="47">
        <v>12</v>
      </c>
      <c r="H3" s="137">
        <f t="shared" si="0"/>
        <v>0.6</v>
      </c>
      <c r="I3" s="98">
        <v>4</v>
      </c>
      <c r="K3" s="38">
        <v>1</v>
      </c>
      <c r="L3" s="103">
        <v>-14.1</v>
      </c>
      <c r="N3" s="119" t="s">
        <v>138</v>
      </c>
      <c r="O3" s="126">
        <f t="shared" si="1"/>
        <v>6400</v>
      </c>
      <c r="P3" s="123">
        <v>6</v>
      </c>
      <c r="Q3" s="107">
        <v>38400</v>
      </c>
    </row>
    <row r="4" spans="1:17" x14ac:dyDescent="0.4">
      <c r="A4" s="55" t="s">
        <v>6</v>
      </c>
      <c r="B4" s="155">
        <v>159.30000000000001</v>
      </c>
      <c r="C4" s="156"/>
      <c r="E4" s="63" t="s">
        <v>67</v>
      </c>
      <c r="F4" s="60" t="s">
        <v>21</v>
      </c>
      <c r="G4" s="47">
        <v>11</v>
      </c>
      <c r="H4" s="137">
        <f t="shared" si="0"/>
        <v>0.55000000000000004</v>
      </c>
      <c r="I4" s="98">
        <v>3</v>
      </c>
      <c r="K4" s="38">
        <v>2</v>
      </c>
      <c r="L4" s="103">
        <v>60.9</v>
      </c>
      <c r="N4" s="119" t="s">
        <v>139</v>
      </c>
      <c r="O4" s="126">
        <f t="shared" si="1"/>
        <v>-1640</v>
      </c>
      <c r="P4" s="123">
        <v>5</v>
      </c>
      <c r="Q4" s="107">
        <v>-8200</v>
      </c>
    </row>
    <row r="5" spans="1:17" x14ac:dyDescent="0.4">
      <c r="A5" s="55" t="s">
        <v>7</v>
      </c>
      <c r="B5" s="157">
        <f>IF(B$2=0,0,B$4/B$2)</f>
        <v>26.55</v>
      </c>
      <c r="C5" s="158"/>
      <c r="E5" s="63" t="s">
        <v>181</v>
      </c>
      <c r="F5" s="60" t="s">
        <v>182</v>
      </c>
      <c r="G5" s="47">
        <v>10</v>
      </c>
      <c r="H5" s="137">
        <f t="shared" si="0"/>
        <v>0.5</v>
      </c>
      <c r="I5" s="98">
        <v>1</v>
      </c>
      <c r="K5" s="38">
        <v>3</v>
      </c>
      <c r="L5" s="103">
        <v>105.9</v>
      </c>
      <c r="N5" s="119" t="s">
        <v>140</v>
      </c>
      <c r="O5" s="126">
        <f t="shared" si="1"/>
        <v>17100</v>
      </c>
      <c r="P5" s="123">
        <v>5</v>
      </c>
      <c r="Q5" s="107">
        <v>85500</v>
      </c>
    </row>
    <row r="6" spans="1:17" x14ac:dyDescent="0.4">
      <c r="A6" s="55" t="s">
        <v>1</v>
      </c>
      <c r="B6" s="145">
        <f>IF(B$2=0,0,(B$7*1+B$8*2+B$9*3)/B$2)</f>
        <v>1.5</v>
      </c>
      <c r="C6" s="146"/>
      <c r="E6" s="63" t="s">
        <v>70</v>
      </c>
      <c r="F6" s="60" t="s">
        <v>24</v>
      </c>
      <c r="G6" s="47">
        <v>9</v>
      </c>
      <c r="H6" s="137">
        <f t="shared" si="0"/>
        <v>0.45</v>
      </c>
      <c r="I6" s="98">
        <v>2</v>
      </c>
      <c r="K6" s="38">
        <v>4</v>
      </c>
      <c r="L6" s="103">
        <v>134.4</v>
      </c>
      <c r="N6" s="119" t="s">
        <v>141</v>
      </c>
      <c r="O6" s="126">
        <f t="shared" si="1"/>
        <v>-4250</v>
      </c>
      <c r="P6" s="123">
        <v>2</v>
      </c>
      <c r="Q6" s="107">
        <v>-8500</v>
      </c>
    </row>
    <row r="7" spans="1:17" x14ac:dyDescent="0.4">
      <c r="A7" s="55" t="s">
        <v>2</v>
      </c>
      <c r="B7" s="47">
        <v>4</v>
      </c>
      <c r="C7" s="39">
        <f>IF(B$2=0,0,B7/B$2)</f>
        <v>0.66666666666666663</v>
      </c>
      <c r="E7" s="63" t="s">
        <v>76</v>
      </c>
      <c r="F7" s="60" t="s">
        <v>29</v>
      </c>
      <c r="G7" s="47">
        <v>7</v>
      </c>
      <c r="H7" s="137">
        <f t="shared" si="0"/>
        <v>0.35</v>
      </c>
      <c r="I7" s="98">
        <v>3</v>
      </c>
      <c r="K7" s="38">
        <v>5</v>
      </c>
      <c r="L7" s="103">
        <v>152.5</v>
      </c>
      <c r="N7" s="120" t="s">
        <v>142</v>
      </c>
      <c r="O7" s="127">
        <f t="shared" si="1"/>
        <v>5550</v>
      </c>
      <c r="P7" s="124">
        <v>2</v>
      </c>
      <c r="Q7" s="108">
        <v>11100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72</v>
      </c>
      <c r="F8" s="60" t="s">
        <v>12</v>
      </c>
      <c r="G8" s="47">
        <v>6</v>
      </c>
      <c r="H8" s="137">
        <f t="shared" si="0"/>
        <v>0.3</v>
      </c>
      <c r="I8" s="98">
        <v>3</v>
      </c>
      <c r="K8" s="38">
        <v>6</v>
      </c>
      <c r="L8" s="103">
        <v>159.30000000000001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2">IF(B$2=0,0,B9/B$2)</f>
        <v>0.16666666666666666</v>
      </c>
      <c r="E9" s="63" t="s">
        <v>73</v>
      </c>
      <c r="F9" s="60" t="s">
        <v>26</v>
      </c>
      <c r="G9" s="47">
        <v>5</v>
      </c>
      <c r="H9" s="137">
        <f t="shared" si="0"/>
        <v>0.25</v>
      </c>
      <c r="I9" s="98">
        <v>1</v>
      </c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75</v>
      </c>
      <c r="F10" s="60" t="s">
        <v>28</v>
      </c>
      <c r="G10" s="47">
        <v>5</v>
      </c>
      <c r="H10" s="137">
        <f t="shared" si="0"/>
        <v>0.25</v>
      </c>
      <c r="I10" s="98">
        <v>1</v>
      </c>
      <c r="N10" s="118" t="s">
        <v>173</v>
      </c>
      <c r="O10" s="128">
        <f>IF(P10=0,0,Q10/P10)</f>
        <v>30.45</v>
      </c>
      <c r="P10" s="122">
        <v>2</v>
      </c>
      <c r="Q10" s="110">
        <v>60.9</v>
      </c>
    </row>
    <row r="11" spans="1:17" x14ac:dyDescent="0.4">
      <c r="A11" s="56" t="s">
        <v>145</v>
      </c>
      <c r="B11" s="48">
        <v>3</v>
      </c>
      <c r="C11" s="40">
        <f>IF(B$2=0,0,B11/B$2)</f>
        <v>0.5</v>
      </c>
      <c r="E11" s="63" t="s">
        <v>68</v>
      </c>
      <c r="F11" s="60" t="s">
        <v>22</v>
      </c>
      <c r="G11" s="47">
        <v>4</v>
      </c>
      <c r="H11" s="137">
        <f t="shared" si="0"/>
        <v>0.2</v>
      </c>
      <c r="I11" s="98">
        <v>3</v>
      </c>
      <c r="N11" s="119" t="s">
        <v>174</v>
      </c>
      <c r="O11" s="129">
        <f>IF(P11=0,0,Q11/P11)</f>
        <v>23.3</v>
      </c>
      <c r="P11" s="123">
        <v>3</v>
      </c>
      <c r="Q11" s="111">
        <v>69.900000000000006</v>
      </c>
    </row>
    <row r="12" spans="1:17" x14ac:dyDescent="0.4">
      <c r="A12" s="57" t="s">
        <v>166</v>
      </c>
      <c r="B12" s="49">
        <v>1</v>
      </c>
      <c r="C12" s="42">
        <f>IF(B$2=0,0,B12/B$2)</f>
        <v>0.16666666666666666</v>
      </c>
      <c r="E12" s="63" t="s">
        <v>74</v>
      </c>
      <c r="F12" s="60" t="s">
        <v>27</v>
      </c>
      <c r="G12" s="47">
        <v>2</v>
      </c>
      <c r="H12" s="137">
        <f t="shared" si="0"/>
        <v>0.1</v>
      </c>
      <c r="I12" s="98">
        <v>2</v>
      </c>
      <c r="N12" s="120" t="s">
        <v>175</v>
      </c>
      <c r="O12" s="130">
        <f>IF(P12=0,0,Q12/P12)</f>
        <v>28.5</v>
      </c>
      <c r="P12" s="124">
        <v>1</v>
      </c>
      <c r="Q12" s="112">
        <v>28.5</v>
      </c>
    </row>
    <row r="13" spans="1:17" x14ac:dyDescent="0.4">
      <c r="A13" s="58" t="s">
        <v>128</v>
      </c>
      <c r="B13" s="50">
        <v>19</v>
      </c>
      <c r="C13" s="44">
        <f>IF(B$26=0,0,B13/B$26)</f>
        <v>0.45238095238095238</v>
      </c>
      <c r="E13" s="63" t="s">
        <v>86</v>
      </c>
      <c r="F13" s="60" t="s">
        <v>39</v>
      </c>
      <c r="G13" s="47">
        <v>2</v>
      </c>
      <c r="H13" s="137">
        <f t="shared" si="0"/>
        <v>0.1</v>
      </c>
      <c r="I13" s="98">
        <v>2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12</v>
      </c>
      <c r="C14" s="39">
        <f>IF(B$26=0,0,B14/B$26)</f>
        <v>0.2857142857142857</v>
      </c>
      <c r="E14" s="63" t="s">
        <v>94</v>
      </c>
      <c r="F14" s="60" t="s">
        <v>47</v>
      </c>
      <c r="G14" s="47">
        <v>2</v>
      </c>
      <c r="H14" s="137">
        <f t="shared" si="0"/>
        <v>0.1</v>
      </c>
      <c r="I14" s="98">
        <v>2</v>
      </c>
      <c r="N14" s="117" t="s">
        <v>161</v>
      </c>
      <c r="O14" s="34" t="s">
        <v>125</v>
      </c>
      <c r="P14" s="121" t="s">
        <v>121</v>
      </c>
      <c r="Q14" s="109" t="s">
        <v>164</v>
      </c>
    </row>
    <row r="15" spans="1:17" x14ac:dyDescent="0.4">
      <c r="A15" s="54" t="s">
        <v>130</v>
      </c>
      <c r="B15" s="46">
        <v>12</v>
      </c>
      <c r="C15" s="37">
        <f>IF(B$13=0,0,B15/B$13)</f>
        <v>0.63157894736842102</v>
      </c>
      <c r="E15" s="63" t="s">
        <v>77</v>
      </c>
      <c r="F15" s="60" t="s">
        <v>30</v>
      </c>
      <c r="G15" s="47">
        <v>1</v>
      </c>
      <c r="H15" s="137">
        <f t="shared" si="0"/>
        <v>0.05</v>
      </c>
      <c r="I15" s="98">
        <v>1</v>
      </c>
      <c r="N15" s="118" t="s">
        <v>178</v>
      </c>
      <c r="O15" s="128">
        <f>IF(P15=0,0,Q15/P15)</f>
        <v>48.6</v>
      </c>
      <c r="P15" s="122">
        <v>6</v>
      </c>
      <c r="Q15" s="110">
        <v>291.60000000000002</v>
      </c>
    </row>
    <row r="16" spans="1:17" x14ac:dyDescent="0.4">
      <c r="A16" s="54" t="s">
        <v>131</v>
      </c>
      <c r="B16" s="46">
        <v>6</v>
      </c>
      <c r="C16" s="37">
        <f>IF(B$14=0,0,B16/B$14)</f>
        <v>0.5</v>
      </c>
      <c r="E16" s="63" t="s">
        <v>81</v>
      </c>
      <c r="F16" s="60" t="s">
        <v>34</v>
      </c>
      <c r="G16" s="47">
        <v>1</v>
      </c>
      <c r="H16" s="137">
        <f t="shared" si="0"/>
        <v>0.05</v>
      </c>
      <c r="I16" s="98">
        <v>1</v>
      </c>
      <c r="N16" s="119" t="s">
        <v>179</v>
      </c>
      <c r="O16" s="129">
        <f>IF(P16=0,0,Q16/P16)</f>
        <v>31.05</v>
      </c>
      <c r="P16" s="123">
        <v>6</v>
      </c>
      <c r="Q16" s="111">
        <v>186.3</v>
      </c>
    </row>
    <row r="17" spans="1:9" x14ac:dyDescent="0.4">
      <c r="A17" s="54" t="s">
        <v>10</v>
      </c>
      <c r="B17" s="46">
        <f>B19+B18</f>
        <v>20</v>
      </c>
      <c r="C17" s="37">
        <f>IF(B$3=0,0,B17/B$3)</f>
        <v>0.47619047619047616</v>
      </c>
      <c r="E17" s="63" t="s">
        <v>88</v>
      </c>
      <c r="F17" s="60" t="s">
        <v>41</v>
      </c>
      <c r="G17" s="47">
        <v>1</v>
      </c>
      <c r="H17" s="137">
        <f t="shared" si="0"/>
        <v>0.05</v>
      </c>
      <c r="I17" s="98">
        <v>3</v>
      </c>
    </row>
    <row r="18" spans="1:9" x14ac:dyDescent="0.4">
      <c r="A18" s="55" t="s">
        <v>12</v>
      </c>
      <c r="B18" s="47">
        <v>9</v>
      </c>
      <c r="C18" s="39">
        <f>IF(B$17=0,0,B18/B$17)</f>
        <v>0.45</v>
      </c>
      <c r="E18" s="63" t="s">
        <v>78</v>
      </c>
      <c r="F18" s="60" t="s">
        <v>31</v>
      </c>
      <c r="G18" s="47">
        <v>0</v>
      </c>
      <c r="H18" s="137">
        <f t="shared" si="0"/>
        <v>0</v>
      </c>
      <c r="I18" s="98">
        <v>1</v>
      </c>
    </row>
    <row r="19" spans="1:9" x14ac:dyDescent="0.4">
      <c r="A19" s="55" t="s">
        <v>11</v>
      </c>
      <c r="B19" s="47">
        <v>11</v>
      </c>
      <c r="C19" s="39">
        <f>IF(B$17=0,0,B19/B$17)</f>
        <v>0.55000000000000004</v>
      </c>
      <c r="E19" s="63" t="s">
        <v>79</v>
      </c>
      <c r="F19" s="60" t="s">
        <v>32</v>
      </c>
      <c r="G19" s="47">
        <v>0</v>
      </c>
      <c r="H19" s="137">
        <f t="shared" si="0"/>
        <v>0</v>
      </c>
      <c r="I19" s="98">
        <v>3</v>
      </c>
    </row>
    <row r="20" spans="1:9" x14ac:dyDescent="0.4">
      <c r="A20" s="55" t="s">
        <v>13</v>
      </c>
      <c r="B20" s="47">
        <v>4</v>
      </c>
      <c r="C20" s="39">
        <f>IF(B$3=0,0,B20/B$3)</f>
        <v>9.5238095238095233E-2</v>
      </c>
      <c r="E20" s="63" t="s">
        <v>80</v>
      </c>
      <c r="F20" s="60" t="s">
        <v>33</v>
      </c>
      <c r="G20" s="47">
        <v>0</v>
      </c>
      <c r="H20" s="137">
        <f t="shared" si="0"/>
        <v>0</v>
      </c>
      <c r="I20" s="98">
        <v>1</v>
      </c>
    </row>
    <row r="21" spans="1:9" x14ac:dyDescent="0.4">
      <c r="A21" s="55" t="s">
        <v>5</v>
      </c>
      <c r="B21" s="51">
        <f>IF(B$17=0,0,C21/B$17)</f>
        <v>10505</v>
      </c>
      <c r="C21" s="41">
        <v>210100</v>
      </c>
      <c r="E21" s="63" t="s">
        <v>82</v>
      </c>
      <c r="F21" s="60" t="s">
        <v>35</v>
      </c>
      <c r="G21" s="47">
        <v>0</v>
      </c>
      <c r="H21" s="137">
        <f t="shared" si="0"/>
        <v>0</v>
      </c>
      <c r="I21" s="98">
        <v>3</v>
      </c>
    </row>
    <row r="22" spans="1:9" x14ac:dyDescent="0.4">
      <c r="A22" s="57" t="s">
        <v>14</v>
      </c>
      <c r="B22" s="52">
        <f>IF(B$20=0,0,C22/B$20)</f>
        <v>-8175</v>
      </c>
      <c r="C22" s="45">
        <v>-32700</v>
      </c>
      <c r="E22" s="63" t="s">
        <v>83</v>
      </c>
      <c r="F22" s="60" t="s">
        <v>36</v>
      </c>
      <c r="G22" s="47">
        <v>0</v>
      </c>
      <c r="H22" s="137">
        <f t="shared" si="0"/>
        <v>0</v>
      </c>
      <c r="I22" s="98">
        <v>1</v>
      </c>
    </row>
    <row r="23" spans="1:9" x14ac:dyDescent="0.4">
      <c r="A23" s="94" t="s">
        <v>147</v>
      </c>
      <c r="B23" s="143">
        <v>5</v>
      </c>
      <c r="C23" s="144"/>
      <c r="E23" s="63" t="s">
        <v>84</v>
      </c>
      <c r="F23" s="60" t="s">
        <v>37</v>
      </c>
      <c r="G23" s="47">
        <v>0</v>
      </c>
      <c r="H23" s="137">
        <f t="shared" si="0"/>
        <v>0</v>
      </c>
      <c r="I23" s="98">
        <v>1</v>
      </c>
    </row>
    <row r="24" spans="1:9" x14ac:dyDescent="0.4">
      <c r="A24" s="58" t="s">
        <v>158</v>
      </c>
      <c r="B24" s="141">
        <v>110000</v>
      </c>
      <c r="C24" s="142"/>
      <c r="E24" s="63" t="s">
        <v>85</v>
      </c>
      <c r="F24" s="60" t="s">
        <v>38</v>
      </c>
      <c r="G24" s="47">
        <v>0</v>
      </c>
      <c r="H24" s="137">
        <f t="shared" si="0"/>
        <v>0</v>
      </c>
      <c r="I24" s="98">
        <v>1</v>
      </c>
    </row>
    <row r="25" spans="1:9" x14ac:dyDescent="0.4">
      <c r="A25" s="57" t="s">
        <v>148</v>
      </c>
      <c r="B25" s="65">
        <v>0</v>
      </c>
      <c r="C25" s="42">
        <f>IF(B$3=0,0,B25/B$3)</f>
        <v>0</v>
      </c>
      <c r="E25" s="63" t="s">
        <v>87</v>
      </c>
      <c r="F25" s="60" t="s">
        <v>40</v>
      </c>
      <c r="G25" s="47">
        <v>0</v>
      </c>
      <c r="H25" s="137">
        <f t="shared" si="0"/>
        <v>0</v>
      </c>
      <c r="I25" s="98">
        <v>1</v>
      </c>
    </row>
    <row r="26" spans="1:9" x14ac:dyDescent="0.4">
      <c r="A26" s="54" t="s">
        <v>126</v>
      </c>
      <c r="B26" s="147">
        <v>42</v>
      </c>
      <c r="C26" s="148"/>
      <c r="E26" s="63" t="s">
        <v>89</v>
      </c>
      <c r="F26" s="60" t="s">
        <v>42</v>
      </c>
      <c r="G26" s="47">
        <v>0</v>
      </c>
      <c r="H26" s="137">
        <f t="shared" si="0"/>
        <v>0</v>
      </c>
      <c r="I26" s="98">
        <v>1</v>
      </c>
    </row>
    <row r="27" spans="1:9" x14ac:dyDescent="0.4">
      <c r="A27" s="57" t="s">
        <v>127</v>
      </c>
      <c r="B27" s="149">
        <v>20</v>
      </c>
      <c r="C27" s="150"/>
      <c r="E27" s="63" t="s">
        <v>90</v>
      </c>
      <c r="F27" s="60" t="s">
        <v>43</v>
      </c>
      <c r="G27" s="47">
        <v>0</v>
      </c>
      <c r="H27" s="137">
        <f t="shared" si="0"/>
        <v>0</v>
      </c>
      <c r="I27" s="98">
        <v>1</v>
      </c>
    </row>
    <row r="28" spans="1:9" x14ac:dyDescent="0.4">
      <c r="E28" s="63" t="s">
        <v>91</v>
      </c>
      <c r="F28" s="60" t="s">
        <v>44</v>
      </c>
      <c r="G28" s="47">
        <v>0</v>
      </c>
      <c r="H28" s="137">
        <f t="shared" si="0"/>
        <v>0</v>
      </c>
      <c r="I28" s="98">
        <v>3</v>
      </c>
    </row>
    <row r="29" spans="1:9" x14ac:dyDescent="0.4">
      <c r="E29" s="63" t="s">
        <v>92</v>
      </c>
      <c r="F29" s="60" t="s">
        <v>45</v>
      </c>
      <c r="G29" s="47">
        <v>0</v>
      </c>
      <c r="H29" s="137">
        <f t="shared" si="0"/>
        <v>0</v>
      </c>
      <c r="I29" s="98">
        <v>1</v>
      </c>
    </row>
    <row r="30" spans="1:9" x14ac:dyDescent="0.4">
      <c r="E30" s="63" t="s">
        <v>93</v>
      </c>
      <c r="F30" s="60" t="s">
        <v>46</v>
      </c>
      <c r="G30" s="47">
        <v>0</v>
      </c>
      <c r="H30" s="137">
        <f t="shared" si="0"/>
        <v>0</v>
      </c>
      <c r="I30" s="98">
        <v>1</v>
      </c>
    </row>
    <row r="31" spans="1:9" x14ac:dyDescent="0.4">
      <c r="E31" s="63" t="s">
        <v>95</v>
      </c>
      <c r="F31" s="60" t="s">
        <v>48</v>
      </c>
      <c r="G31" s="47">
        <v>0</v>
      </c>
      <c r="H31" s="137">
        <f t="shared" si="0"/>
        <v>0</v>
      </c>
      <c r="I31" s="98">
        <v>1</v>
      </c>
    </row>
    <row r="32" spans="1:9" x14ac:dyDescent="0.4">
      <c r="E32" s="63" t="s">
        <v>96</v>
      </c>
      <c r="F32" s="60" t="s">
        <v>49</v>
      </c>
      <c r="G32" s="47">
        <v>0</v>
      </c>
      <c r="H32" s="137">
        <f t="shared" si="0"/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7">
        <f t="shared" si="0"/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7">
        <f t="shared" ref="H34:H65" si="3"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7">
        <f t="shared" si="3"/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7">
        <f t="shared" si="3"/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7">
        <f t="shared" si="3"/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7">
        <f t="shared" si="3"/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7">
        <f t="shared" si="3"/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7">
        <f t="shared" si="3"/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7">
        <f t="shared" si="3"/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7">
        <f t="shared" si="3"/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7">
        <f t="shared" si="3"/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7">
        <f t="shared" si="3"/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7">
        <f t="shared" si="3"/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7">
        <f t="shared" si="3"/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7">
        <f t="shared" si="3"/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7">
        <f t="shared" si="3"/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7">
        <f t="shared" si="3"/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7">
        <f t="shared" si="3"/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7">
        <f t="shared" si="3"/>
        <v>0</v>
      </c>
      <c r="I51" s="98">
        <v>1</v>
      </c>
    </row>
    <row r="52" spans="5:9" x14ac:dyDescent="0.4">
      <c r="E52" s="64" t="s">
        <v>116</v>
      </c>
      <c r="F52" s="61" t="s">
        <v>66</v>
      </c>
      <c r="G52" s="49">
        <v>0</v>
      </c>
      <c r="H52" s="138">
        <f t="shared" si="3"/>
        <v>0</v>
      </c>
      <c r="I52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6282-B845-4864-84D5-FD30B70B2A56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178</v>
      </c>
      <c r="C1" s="152"/>
      <c r="E1" s="133" t="s">
        <v>176</v>
      </c>
      <c r="F1" s="140" t="s">
        <v>120</v>
      </c>
      <c r="G1" s="139" t="s">
        <v>121</v>
      </c>
      <c r="H1" s="134" t="s">
        <v>122</v>
      </c>
      <c r="I1" s="140" t="s">
        <v>160</v>
      </c>
      <c r="K1" s="34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164</v>
      </c>
    </row>
    <row r="2" spans="1:17" x14ac:dyDescent="0.4">
      <c r="A2" s="54" t="s">
        <v>9</v>
      </c>
      <c r="B2" s="147">
        <v>6</v>
      </c>
      <c r="C2" s="148"/>
      <c r="E2" s="62" t="s">
        <v>69</v>
      </c>
      <c r="F2" s="59" t="s">
        <v>23</v>
      </c>
      <c r="G2" s="46">
        <v>12</v>
      </c>
      <c r="H2" s="136">
        <f t="shared" ref="H2:H33" si="0">IF(B$27=0,0,G2/B$27)</f>
        <v>1.3333333333333333</v>
      </c>
      <c r="I2" s="97">
        <v>1</v>
      </c>
      <c r="K2" s="36">
        <v>0</v>
      </c>
      <c r="L2" s="102">
        <v>0</v>
      </c>
      <c r="N2" s="118" t="s">
        <v>137</v>
      </c>
      <c r="O2" s="125">
        <f t="shared" ref="O2:O7" si="1">IF(P2=0,0,Q2/P2)</f>
        <v>-2483.3333333333335</v>
      </c>
      <c r="P2" s="122">
        <v>6</v>
      </c>
      <c r="Q2" s="106">
        <v>-14900</v>
      </c>
    </row>
    <row r="3" spans="1:17" x14ac:dyDescent="0.4">
      <c r="A3" s="55" t="s">
        <v>8</v>
      </c>
      <c r="B3" s="153">
        <v>42</v>
      </c>
      <c r="C3" s="154"/>
      <c r="E3" s="63" t="s">
        <v>71</v>
      </c>
      <c r="F3" s="60" t="s">
        <v>25</v>
      </c>
      <c r="G3" s="47">
        <v>11</v>
      </c>
      <c r="H3" s="137">
        <f t="shared" si="0"/>
        <v>1.2222222222222223</v>
      </c>
      <c r="I3" s="98">
        <v>1</v>
      </c>
      <c r="K3" s="38">
        <v>1</v>
      </c>
      <c r="L3" s="103">
        <v>17.100000000000001</v>
      </c>
      <c r="N3" s="119" t="s">
        <v>138</v>
      </c>
      <c r="O3" s="126">
        <f t="shared" si="1"/>
        <v>-11050</v>
      </c>
      <c r="P3" s="123">
        <v>6</v>
      </c>
      <c r="Q3" s="107">
        <v>-66300</v>
      </c>
    </row>
    <row r="4" spans="1:17" x14ac:dyDescent="0.4">
      <c r="A4" s="55" t="s">
        <v>6</v>
      </c>
      <c r="B4" s="155">
        <v>-132.30000000000001</v>
      </c>
      <c r="C4" s="156"/>
      <c r="E4" s="63" t="s">
        <v>76</v>
      </c>
      <c r="F4" s="60" t="s">
        <v>29</v>
      </c>
      <c r="G4" s="47">
        <v>4</v>
      </c>
      <c r="H4" s="137">
        <f t="shared" si="0"/>
        <v>0.44444444444444442</v>
      </c>
      <c r="I4" s="98">
        <v>1</v>
      </c>
      <c r="K4" s="38">
        <v>2</v>
      </c>
      <c r="L4" s="103">
        <v>-38.9</v>
      </c>
      <c r="N4" s="119" t="s">
        <v>139</v>
      </c>
      <c r="O4" s="126">
        <f t="shared" si="1"/>
        <v>2640</v>
      </c>
      <c r="P4" s="123">
        <v>5</v>
      </c>
      <c r="Q4" s="107">
        <v>13200</v>
      </c>
    </row>
    <row r="5" spans="1:17" x14ac:dyDescent="0.4">
      <c r="A5" s="55" t="s">
        <v>7</v>
      </c>
      <c r="B5" s="157">
        <f>IF(B$2=0,0,B$4/B$2)</f>
        <v>-22.05</v>
      </c>
      <c r="C5" s="158"/>
      <c r="E5" s="63" t="s">
        <v>67</v>
      </c>
      <c r="F5" s="60" t="s">
        <v>21</v>
      </c>
      <c r="G5" s="47">
        <v>2</v>
      </c>
      <c r="H5" s="137">
        <f t="shared" si="0"/>
        <v>0.22222222222222221</v>
      </c>
      <c r="I5" s="98">
        <v>4</v>
      </c>
      <c r="K5" s="38">
        <v>3</v>
      </c>
      <c r="L5" s="103">
        <v>-84.9</v>
      </c>
      <c r="N5" s="119" t="s">
        <v>140</v>
      </c>
      <c r="O5" s="126">
        <f t="shared" si="1"/>
        <v>-13900</v>
      </c>
      <c r="P5" s="123">
        <v>5</v>
      </c>
      <c r="Q5" s="107">
        <v>-69500</v>
      </c>
    </row>
    <row r="6" spans="1:17" x14ac:dyDescent="0.4">
      <c r="A6" s="55" t="s">
        <v>1</v>
      </c>
      <c r="B6" s="145">
        <f>IF(B$2=0,0,(B$7*1+B$8*2+B$9*3)/B$2)</f>
        <v>2.5</v>
      </c>
      <c r="C6" s="146"/>
      <c r="E6" s="63" t="s">
        <v>72</v>
      </c>
      <c r="F6" s="60" t="s">
        <v>12</v>
      </c>
      <c r="G6" s="47">
        <v>2</v>
      </c>
      <c r="H6" s="137">
        <f t="shared" si="0"/>
        <v>0.22222222222222221</v>
      </c>
      <c r="I6" s="98">
        <v>4</v>
      </c>
      <c r="K6" s="38">
        <v>4</v>
      </c>
      <c r="L6" s="103">
        <v>-74.800000000000011</v>
      </c>
      <c r="N6" s="119" t="s">
        <v>141</v>
      </c>
      <c r="O6" s="126">
        <f t="shared" si="1"/>
        <v>0</v>
      </c>
      <c r="P6" s="123">
        <v>2</v>
      </c>
      <c r="Q6" s="107">
        <v>0</v>
      </c>
    </row>
    <row r="7" spans="1:17" x14ac:dyDescent="0.4">
      <c r="A7" s="55" t="s">
        <v>2</v>
      </c>
      <c r="B7" s="47">
        <v>1</v>
      </c>
      <c r="C7" s="39">
        <f>IF(B$2=0,0,B7/B$2)</f>
        <v>0.16666666666666666</v>
      </c>
      <c r="E7" s="63" t="s">
        <v>73</v>
      </c>
      <c r="F7" s="60" t="s">
        <v>26</v>
      </c>
      <c r="G7" s="47">
        <v>2</v>
      </c>
      <c r="H7" s="137">
        <f t="shared" si="0"/>
        <v>0.22222222222222221</v>
      </c>
      <c r="I7" s="98">
        <v>3</v>
      </c>
      <c r="K7" s="38">
        <v>5</v>
      </c>
      <c r="L7" s="103">
        <v>-124.60000000000001</v>
      </c>
      <c r="N7" s="120" t="s">
        <v>142</v>
      </c>
      <c r="O7" s="127">
        <f t="shared" si="1"/>
        <v>2600</v>
      </c>
      <c r="P7" s="124">
        <v>2</v>
      </c>
      <c r="Q7" s="108">
        <v>5200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181</v>
      </c>
      <c r="F8" s="60" t="s">
        <v>182</v>
      </c>
      <c r="G8" s="47">
        <v>2</v>
      </c>
      <c r="H8" s="137">
        <f t="shared" si="0"/>
        <v>0.22222222222222221</v>
      </c>
      <c r="I8" s="98">
        <v>3</v>
      </c>
      <c r="K8" s="38">
        <v>6</v>
      </c>
      <c r="L8" s="103">
        <v>-132.30000000000001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2">IF(B$2=0,0,B9/B$2)</f>
        <v>0.66666666666666663</v>
      </c>
      <c r="E9" s="63" t="s">
        <v>70</v>
      </c>
      <c r="F9" s="60" t="s">
        <v>24</v>
      </c>
      <c r="G9" s="47">
        <v>1</v>
      </c>
      <c r="H9" s="137">
        <f t="shared" si="0"/>
        <v>0.1111111111111111</v>
      </c>
      <c r="I9" s="98">
        <v>4</v>
      </c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56" t="s">
        <v>19</v>
      </c>
      <c r="B10" s="48">
        <v>3</v>
      </c>
      <c r="C10" s="40">
        <f>IF(B$2=0,0,B10/B$2)</f>
        <v>0.5</v>
      </c>
      <c r="E10" s="63" t="s">
        <v>82</v>
      </c>
      <c r="F10" s="60" t="s">
        <v>35</v>
      </c>
      <c r="G10" s="47">
        <v>1</v>
      </c>
      <c r="H10" s="137">
        <f t="shared" si="0"/>
        <v>0.1111111111111111</v>
      </c>
      <c r="I10" s="98">
        <v>1</v>
      </c>
      <c r="N10" s="118" t="s">
        <v>173</v>
      </c>
      <c r="O10" s="128">
        <f>IF(P10=0,0,Q10/P10)</f>
        <v>10.1</v>
      </c>
      <c r="P10" s="122">
        <v>1</v>
      </c>
      <c r="Q10" s="110">
        <v>10.1</v>
      </c>
    </row>
    <row r="11" spans="1:17" x14ac:dyDescent="0.4">
      <c r="A11" s="56" t="s">
        <v>145</v>
      </c>
      <c r="B11" s="48">
        <v>0</v>
      </c>
      <c r="C11" s="40">
        <f>IF(B$2=0,0,B11/B$2)</f>
        <v>0</v>
      </c>
      <c r="E11" s="63" t="s">
        <v>88</v>
      </c>
      <c r="F11" s="60" t="s">
        <v>41</v>
      </c>
      <c r="G11" s="47">
        <v>1</v>
      </c>
      <c r="H11" s="137">
        <f t="shared" si="0"/>
        <v>0.1111111111111111</v>
      </c>
      <c r="I11" s="98">
        <v>1</v>
      </c>
      <c r="N11" s="119" t="s">
        <v>174</v>
      </c>
      <c r="O11" s="129">
        <f>IF(P11=0,0,Q11/P11)</f>
        <v>-19.45</v>
      </c>
      <c r="P11" s="123">
        <v>2</v>
      </c>
      <c r="Q11" s="111">
        <v>-38.9</v>
      </c>
    </row>
    <row r="12" spans="1:17" x14ac:dyDescent="0.4">
      <c r="A12" s="57" t="s">
        <v>166</v>
      </c>
      <c r="B12" s="49">
        <v>0</v>
      </c>
      <c r="C12" s="42">
        <f>IF(B$2=0,0,B12/B$2)</f>
        <v>0</v>
      </c>
      <c r="E12" s="63" t="s">
        <v>68</v>
      </c>
      <c r="F12" s="60" t="s">
        <v>22</v>
      </c>
      <c r="G12" s="47">
        <v>0</v>
      </c>
      <c r="H12" s="137">
        <f t="shared" si="0"/>
        <v>0</v>
      </c>
      <c r="I12" s="98">
        <v>4</v>
      </c>
      <c r="N12" s="120" t="s">
        <v>175</v>
      </c>
      <c r="O12" s="130">
        <f>IF(P12=0,0,Q12/P12)</f>
        <v>-34.5</v>
      </c>
      <c r="P12" s="124">
        <v>3</v>
      </c>
      <c r="Q12" s="112">
        <v>-103.5</v>
      </c>
    </row>
    <row r="13" spans="1:17" x14ac:dyDescent="0.4">
      <c r="A13" s="58" t="s">
        <v>128</v>
      </c>
      <c r="B13" s="50">
        <v>4</v>
      </c>
      <c r="C13" s="44">
        <f>IF(B$26=0,0,B13/B$26)</f>
        <v>9.5238095238095233E-2</v>
      </c>
      <c r="E13" s="63" t="s">
        <v>74</v>
      </c>
      <c r="F13" s="60" t="s">
        <v>27</v>
      </c>
      <c r="G13" s="47">
        <v>0</v>
      </c>
      <c r="H13" s="137">
        <f t="shared" si="0"/>
        <v>0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18</v>
      </c>
      <c r="C14" s="39">
        <f>IF(B$26=0,0,B14/B$26)</f>
        <v>0.42857142857142855</v>
      </c>
      <c r="E14" s="63" t="s">
        <v>75</v>
      </c>
      <c r="F14" s="60" t="s">
        <v>28</v>
      </c>
      <c r="G14" s="47">
        <v>0</v>
      </c>
      <c r="H14" s="137">
        <f t="shared" si="0"/>
        <v>0</v>
      </c>
      <c r="I14" s="98">
        <v>3</v>
      </c>
      <c r="N14" s="117" t="s">
        <v>161</v>
      </c>
      <c r="O14" s="34" t="s">
        <v>125</v>
      </c>
      <c r="P14" s="121" t="s">
        <v>121</v>
      </c>
      <c r="Q14" s="109" t="s">
        <v>164</v>
      </c>
    </row>
    <row r="15" spans="1:17" x14ac:dyDescent="0.4">
      <c r="A15" s="54" t="s">
        <v>130</v>
      </c>
      <c r="B15" s="46">
        <v>2</v>
      </c>
      <c r="C15" s="37">
        <f>IF(B$13=0,0,B15/B$13)</f>
        <v>0.5</v>
      </c>
      <c r="E15" s="63" t="s">
        <v>77</v>
      </c>
      <c r="F15" s="60" t="s">
        <v>30</v>
      </c>
      <c r="G15" s="47">
        <v>0</v>
      </c>
      <c r="H15" s="137">
        <f t="shared" si="0"/>
        <v>0</v>
      </c>
      <c r="I15" s="98">
        <v>3</v>
      </c>
      <c r="N15" s="118" t="s">
        <v>179</v>
      </c>
      <c r="O15" s="128">
        <f>IF(P15=0,0,Q15/P15)</f>
        <v>-17.55</v>
      </c>
      <c r="P15" s="122">
        <v>6</v>
      </c>
      <c r="Q15" s="110">
        <v>-105.30000000000001</v>
      </c>
    </row>
    <row r="16" spans="1:17" x14ac:dyDescent="0.4">
      <c r="A16" s="54" t="s">
        <v>131</v>
      </c>
      <c r="B16" s="46">
        <v>6</v>
      </c>
      <c r="C16" s="37">
        <f>IF(B$14=0,0,B16/B$14)</f>
        <v>0.33333333333333331</v>
      </c>
      <c r="E16" s="63" t="s">
        <v>78</v>
      </c>
      <c r="F16" s="60" t="s">
        <v>31</v>
      </c>
      <c r="G16" s="47">
        <v>0</v>
      </c>
      <c r="H16" s="137">
        <f t="shared" si="0"/>
        <v>0</v>
      </c>
      <c r="I16" s="98">
        <v>1</v>
      </c>
      <c r="N16" s="119" t="s">
        <v>133</v>
      </c>
      <c r="O16" s="129">
        <f>IF(P16=0,0,Q16/P16)</f>
        <v>-48.6</v>
      </c>
      <c r="P16" s="123">
        <v>6</v>
      </c>
      <c r="Q16" s="111">
        <v>-291.60000000000002</v>
      </c>
    </row>
    <row r="17" spans="1:9" x14ac:dyDescent="0.4">
      <c r="A17" s="54" t="s">
        <v>10</v>
      </c>
      <c r="B17" s="46">
        <f>B19+B18</f>
        <v>9</v>
      </c>
      <c r="C17" s="37">
        <f>IF(B$3=0,0,B17/B$3)</f>
        <v>0.21428571428571427</v>
      </c>
      <c r="E17" s="63" t="s">
        <v>79</v>
      </c>
      <c r="F17" s="60" t="s">
        <v>32</v>
      </c>
      <c r="G17" s="47">
        <v>0</v>
      </c>
      <c r="H17" s="137">
        <f t="shared" si="0"/>
        <v>0</v>
      </c>
      <c r="I17" s="98">
        <v>3</v>
      </c>
    </row>
    <row r="18" spans="1:9" x14ac:dyDescent="0.4">
      <c r="A18" s="55" t="s">
        <v>12</v>
      </c>
      <c r="B18" s="47">
        <v>5</v>
      </c>
      <c r="C18" s="39">
        <f>IF(B$17=0,0,B18/B$17)</f>
        <v>0.55555555555555558</v>
      </c>
      <c r="E18" s="63" t="s">
        <v>80</v>
      </c>
      <c r="F18" s="60" t="s">
        <v>33</v>
      </c>
      <c r="G18" s="47">
        <v>0</v>
      </c>
      <c r="H18" s="137">
        <f t="shared" si="0"/>
        <v>0</v>
      </c>
      <c r="I18" s="98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0.44444444444444442</v>
      </c>
      <c r="E19" s="63" t="s">
        <v>81</v>
      </c>
      <c r="F19" s="60" t="s">
        <v>34</v>
      </c>
      <c r="G19" s="47">
        <v>0</v>
      </c>
      <c r="H19" s="137">
        <f t="shared" si="0"/>
        <v>0</v>
      </c>
      <c r="I19" s="98">
        <v>3</v>
      </c>
    </row>
    <row r="20" spans="1:9" x14ac:dyDescent="0.4">
      <c r="A20" s="55" t="s">
        <v>13</v>
      </c>
      <c r="B20" s="47">
        <v>11</v>
      </c>
      <c r="C20" s="39">
        <f>IF(B$3=0,0,B20/B$3)</f>
        <v>0.26190476190476192</v>
      </c>
      <c r="E20" s="63" t="s">
        <v>83</v>
      </c>
      <c r="F20" s="60" t="s">
        <v>36</v>
      </c>
      <c r="G20" s="47">
        <v>0</v>
      </c>
      <c r="H20" s="137">
        <f t="shared" si="0"/>
        <v>0</v>
      </c>
      <c r="I20" s="98">
        <v>1</v>
      </c>
    </row>
    <row r="21" spans="1:9" x14ac:dyDescent="0.4">
      <c r="A21" s="55" t="s">
        <v>5</v>
      </c>
      <c r="B21" s="51">
        <f>IF(B$17=0,0,C21/B$17)</f>
        <v>10000</v>
      </c>
      <c r="C21" s="41">
        <v>90000</v>
      </c>
      <c r="E21" s="63" t="s">
        <v>84</v>
      </c>
      <c r="F21" s="60" t="s">
        <v>37</v>
      </c>
      <c r="G21" s="47">
        <v>0</v>
      </c>
      <c r="H21" s="137">
        <f t="shared" si="0"/>
        <v>0</v>
      </c>
      <c r="I21" s="98">
        <v>1</v>
      </c>
    </row>
    <row r="22" spans="1:9" x14ac:dyDescent="0.4">
      <c r="A22" s="57" t="s">
        <v>14</v>
      </c>
      <c r="B22" s="52">
        <f>IF(B$20=0,0,C22/B$20)</f>
        <v>-14318.181818181818</v>
      </c>
      <c r="C22" s="45">
        <v>-157500</v>
      </c>
      <c r="E22" s="63" t="s">
        <v>85</v>
      </c>
      <c r="F22" s="60" t="s">
        <v>38</v>
      </c>
      <c r="G22" s="47">
        <v>0</v>
      </c>
      <c r="H22" s="137">
        <f t="shared" si="0"/>
        <v>0</v>
      </c>
      <c r="I22" s="98">
        <v>1</v>
      </c>
    </row>
    <row r="23" spans="1:9" x14ac:dyDescent="0.4">
      <c r="A23" s="94" t="s">
        <v>147</v>
      </c>
      <c r="B23" s="143">
        <v>5</v>
      </c>
      <c r="C23" s="144"/>
      <c r="E23" s="63" t="s">
        <v>86</v>
      </c>
      <c r="F23" s="60" t="s">
        <v>39</v>
      </c>
      <c r="G23" s="47">
        <v>0</v>
      </c>
      <c r="H23" s="137">
        <f t="shared" si="0"/>
        <v>0</v>
      </c>
      <c r="I23" s="98">
        <v>4</v>
      </c>
    </row>
    <row r="24" spans="1:9" x14ac:dyDescent="0.4">
      <c r="A24" s="58" t="s">
        <v>158</v>
      </c>
      <c r="B24" s="141">
        <v>52100</v>
      </c>
      <c r="C24" s="142"/>
      <c r="E24" s="63" t="s">
        <v>87</v>
      </c>
      <c r="F24" s="60" t="s">
        <v>40</v>
      </c>
      <c r="G24" s="47">
        <v>0</v>
      </c>
      <c r="H24" s="137">
        <f t="shared" si="0"/>
        <v>0</v>
      </c>
      <c r="I24" s="98">
        <v>1</v>
      </c>
    </row>
    <row r="25" spans="1:9" x14ac:dyDescent="0.4">
      <c r="A25" s="57" t="s">
        <v>148</v>
      </c>
      <c r="B25" s="65">
        <v>0</v>
      </c>
      <c r="C25" s="42">
        <f>IF(B$3=0,0,B25/B$3)</f>
        <v>0</v>
      </c>
      <c r="E25" s="63" t="s">
        <v>89</v>
      </c>
      <c r="F25" s="60" t="s">
        <v>42</v>
      </c>
      <c r="G25" s="47">
        <v>0</v>
      </c>
      <c r="H25" s="137">
        <f t="shared" si="0"/>
        <v>0</v>
      </c>
      <c r="I25" s="98">
        <v>1</v>
      </c>
    </row>
    <row r="26" spans="1:9" x14ac:dyDescent="0.4">
      <c r="A26" s="54" t="s">
        <v>126</v>
      </c>
      <c r="B26" s="147">
        <v>42</v>
      </c>
      <c r="C26" s="148"/>
      <c r="E26" s="63" t="s">
        <v>90</v>
      </c>
      <c r="F26" s="60" t="s">
        <v>43</v>
      </c>
      <c r="G26" s="47">
        <v>0</v>
      </c>
      <c r="H26" s="137">
        <f t="shared" si="0"/>
        <v>0</v>
      </c>
      <c r="I26" s="98">
        <v>1</v>
      </c>
    </row>
    <row r="27" spans="1:9" x14ac:dyDescent="0.4">
      <c r="A27" s="57" t="s">
        <v>127</v>
      </c>
      <c r="B27" s="149">
        <v>9</v>
      </c>
      <c r="C27" s="150"/>
      <c r="E27" s="63" t="s">
        <v>91</v>
      </c>
      <c r="F27" s="60" t="s">
        <v>44</v>
      </c>
      <c r="G27" s="47">
        <v>0</v>
      </c>
      <c r="H27" s="137">
        <f t="shared" si="0"/>
        <v>0</v>
      </c>
      <c r="I27" s="98">
        <v>3</v>
      </c>
    </row>
    <row r="28" spans="1:9" x14ac:dyDescent="0.4">
      <c r="E28" s="63" t="s">
        <v>92</v>
      </c>
      <c r="F28" s="60" t="s">
        <v>45</v>
      </c>
      <c r="G28" s="47">
        <v>0</v>
      </c>
      <c r="H28" s="137">
        <f t="shared" si="0"/>
        <v>0</v>
      </c>
      <c r="I28" s="98">
        <v>1</v>
      </c>
    </row>
    <row r="29" spans="1:9" x14ac:dyDescent="0.4">
      <c r="E29" s="63" t="s">
        <v>93</v>
      </c>
      <c r="F29" s="60" t="s">
        <v>46</v>
      </c>
      <c r="G29" s="47">
        <v>0</v>
      </c>
      <c r="H29" s="137">
        <f t="shared" si="0"/>
        <v>0</v>
      </c>
      <c r="I29" s="98">
        <v>1</v>
      </c>
    </row>
    <row r="30" spans="1:9" x14ac:dyDescent="0.4">
      <c r="E30" s="63" t="s">
        <v>94</v>
      </c>
      <c r="F30" s="60" t="s">
        <v>47</v>
      </c>
      <c r="G30" s="47">
        <v>0</v>
      </c>
      <c r="H30" s="137">
        <f t="shared" si="0"/>
        <v>0</v>
      </c>
      <c r="I30" s="98">
        <v>4</v>
      </c>
    </row>
    <row r="31" spans="1:9" x14ac:dyDescent="0.4">
      <c r="E31" s="63" t="s">
        <v>95</v>
      </c>
      <c r="F31" s="60" t="s">
        <v>48</v>
      </c>
      <c r="G31" s="47">
        <v>0</v>
      </c>
      <c r="H31" s="137">
        <f t="shared" si="0"/>
        <v>0</v>
      </c>
      <c r="I31" s="98">
        <v>1</v>
      </c>
    </row>
    <row r="32" spans="1:9" x14ac:dyDescent="0.4">
      <c r="E32" s="63" t="s">
        <v>96</v>
      </c>
      <c r="F32" s="60" t="s">
        <v>49</v>
      </c>
      <c r="G32" s="47">
        <v>0</v>
      </c>
      <c r="H32" s="137">
        <f t="shared" si="0"/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7">
        <f t="shared" si="0"/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7">
        <f t="shared" ref="H34:H65" si="3"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7">
        <f t="shared" si="3"/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7">
        <f t="shared" si="3"/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7">
        <f t="shared" si="3"/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7">
        <f t="shared" si="3"/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7">
        <f t="shared" si="3"/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7">
        <f t="shared" si="3"/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7">
        <f t="shared" si="3"/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7">
        <f t="shared" si="3"/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7">
        <f t="shared" si="3"/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7">
        <f t="shared" si="3"/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7">
        <f t="shared" si="3"/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7">
        <f t="shared" si="3"/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7">
        <f t="shared" si="3"/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7">
        <f t="shared" si="3"/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7">
        <f t="shared" si="3"/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7">
        <f t="shared" si="3"/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7">
        <f t="shared" si="3"/>
        <v>0</v>
      </c>
      <c r="I51" s="98">
        <v>1</v>
      </c>
    </row>
    <row r="52" spans="5:9" x14ac:dyDescent="0.4">
      <c r="E52" s="64" t="s">
        <v>116</v>
      </c>
      <c r="F52" s="61" t="s">
        <v>66</v>
      </c>
      <c r="G52" s="49">
        <v>0</v>
      </c>
      <c r="H52" s="138">
        <f t="shared" si="3"/>
        <v>0</v>
      </c>
      <c r="I52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FC988-3595-4B68-8184-CC2BE9DF6864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179</v>
      </c>
      <c r="C1" s="152"/>
      <c r="E1" s="133" t="s">
        <v>176</v>
      </c>
      <c r="F1" s="140" t="s">
        <v>120</v>
      </c>
      <c r="G1" s="139" t="s">
        <v>121</v>
      </c>
      <c r="H1" s="134" t="s">
        <v>122</v>
      </c>
      <c r="I1" s="140" t="s">
        <v>160</v>
      </c>
      <c r="K1" s="34" t="s">
        <v>20</v>
      </c>
      <c r="L1" s="35" t="s">
        <v>125</v>
      </c>
      <c r="M1" s="135"/>
      <c r="N1" s="117" t="s">
        <v>143</v>
      </c>
      <c r="O1" s="34" t="s">
        <v>144</v>
      </c>
      <c r="P1" s="121" t="s">
        <v>121</v>
      </c>
      <c r="Q1" s="105" t="s">
        <v>164</v>
      </c>
    </row>
    <row r="2" spans="1:17" x14ac:dyDescent="0.4">
      <c r="A2" s="54" t="s">
        <v>9</v>
      </c>
      <c r="B2" s="147">
        <v>6</v>
      </c>
      <c r="C2" s="148"/>
      <c r="E2" s="62" t="s">
        <v>67</v>
      </c>
      <c r="F2" s="59" t="s">
        <v>21</v>
      </c>
      <c r="G2" s="46">
        <v>8</v>
      </c>
      <c r="H2" s="136">
        <f t="shared" ref="H2:H33" si="0">IF(B$27=0,0,G2/B$27)</f>
        <v>0.88888888888888884</v>
      </c>
      <c r="I2" s="97">
        <v>1</v>
      </c>
      <c r="K2" s="36">
        <v>0</v>
      </c>
      <c r="L2" s="102">
        <v>0</v>
      </c>
      <c r="N2" s="118" t="s">
        <v>137</v>
      </c>
      <c r="O2" s="125">
        <f t="shared" ref="O2:O7" si="1">IF(P2=0,0,Q2/P2)</f>
        <v>-4350</v>
      </c>
      <c r="P2" s="122">
        <v>6</v>
      </c>
      <c r="Q2" s="106">
        <v>-26100</v>
      </c>
    </row>
    <row r="3" spans="1:17" x14ac:dyDescent="0.4">
      <c r="A3" s="55" t="s">
        <v>8</v>
      </c>
      <c r="B3" s="153">
        <v>42</v>
      </c>
      <c r="C3" s="154"/>
      <c r="E3" s="63" t="s">
        <v>71</v>
      </c>
      <c r="F3" s="60" t="s">
        <v>25</v>
      </c>
      <c r="G3" s="47">
        <v>7</v>
      </c>
      <c r="H3" s="137">
        <f t="shared" si="0"/>
        <v>0.77777777777777779</v>
      </c>
      <c r="I3" s="98">
        <v>3</v>
      </c>
      <c r="K3" s="38">
        <v>1</v>
      </c>
      <c r="L3" s="103">
        <v>-3</v>
      </c>
      <c r="N3" s="119" t="s">
        <v>138</v>
      </c>
      <c r="O3" s="126">
        <f t="shared" si="1"/>
        <v>4483.333333333333</v>
      </c>
      <c r="P3" s="123">
        <v>6</v>
      </c>
      <c r="Q3" s="107">
        <v>26900</v>
      </c>
    </row>
    <row r="4" spans="1:17" x14ac:dyDescent="0.4">
      <c r="A4" s="55" t="s">
        <v>6</v>
      </c>
      <c r="B4" s="155">
        <v>-27.000000000000004</v>
      </c>
      <c r="C4" s="156"/>
      <c r="E4" s="63" t="s">
        <v>70</v>
      </c>
      <c r="F4" s="60" t="s">
        <v>24</v>
      </c>
      <c r="G4" s="47">
        <v>6</v>
      </c>
      <c r="H4" s="137">
        <f t="shared" si="0"/>
        <v>0.66666666666666663</v>
      </c>
      <c r="I4" s="98">
        <v>1</v>
      </c>
      <c r="K4" s="38">
        <v>2</v>
      </c>
      <c r="L4" s="103">
        <v>-22</v>
      </c>
      <c r="N4" s="119" t="s">
        <v>139</v>
      </c>
      <c r="O4" s="126">
        <f t="shared" si="1"/>
        <v>-800</v>
      </c>
      <c r="P4" s="123">
        <v>5</v>
      </c>
      <c r="Q4" s="107">
        <v>-4000</v>
      </c>
    </row>
    <row r="5" spans="1:17" x14ac:dyDescent="0.4">
      <c r="A5" s="55" t="s">
        <v>7</v>
      </c>
      <c r="B5" s="157">
        <f>IF(B$2=0,0,B$4/B$2)</f>
        <v>-4.5000000000000009</v>
      </c>
      <c r="C5" s="158"/>
      <c r="E5" s="63" t="s">
        <v>72</v>
      </c>
      <c r="F5" s="60" t="s">
        <v>12</v>
      </c>
      <c r="G5" s="47">
        <v>5</v>
      </c>
      <c r="H5" s="137">
        <f t="shared" si="0"/>
        <v>0.55555555555555558</v>
      </c>
      <c r="I5" s="98">
        <v>1</v>
      </c>
      <c r="K5" s="38">
        <v>3</v>
      </c>
      <c r="L5" s="103">
        <v>-21</v>
      </c>
      <c r="N5" s="119" t="s">
        <v>140</v>
      </c>
      <c r="O5" s="126">
        <f t="shared" si="1"/>
        <v>-3200</v>
      </c>
      <c r="P5" s="123">
        <v>5</v>
      </c>
      <c r="Q5" s="107">
        <v>-16000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68</v>
      </c>
      <c r="F6" s="60" t="s">
        <v>22</v>
      </c>
      <c r="G6" s="47">
        <v>4</v>
      </c>
      <c r="H6" s="137">
        <f t="shared" si="0"/>
        <v>0.44444444444444442</v>
      </c>
      <c r="I6" s="98">
        <v>1</v>
      </c>
      <c r="K6" s="38">
        <v>4</v>
      </c>
      <c r="L6" s="103">
        <v>-59.6</v>
      </c>
      <c r="N6" s="119" t="s">
        <v>141</v>
      </c>
      <c r="O6" s="126">
        <f t="shared" si="1"/>
        <v>4250</v>
      </c>
      <c r="P6" s="123">
        <v>2</v>
      </c>
      <c r="Q6" s="107">
        <v>8500</v>
      </c>
    </row>
    <row r="7" spans="1:17" x14ac:dyDescent="0.4">
      <c r="A7" s="55" t="s">
        <v>2</v>
      </c>
      <c r="B7" s="47">
        <v>1</v>
      </c>
      <c r="C7" s="39">
        <f>IF(B$2=0,0,B7/B$2)</f>
        <v>0.16666666666666666</v>
      </c>
      <c r="E7" s="63" t="s">
        <v>69</v>
      </c>
      <c r="F7" s="60" t="s">
        <v>23</v>
      </c>
      <c r="G7" s="47">
        <v>4</v>
      </c>
      <c r="H7" s="137">
        <f t="shared" si="0"/>
        <v>0.44444444444444442</v>
      </c>
      <c r="I7" s="98">
        <v>4</v>
      </c>
      <c r="K7" s="38">
        <v>5</v>
      </c>
      <c r="L7" s="103">
        <v>-27.900000000000002</v>
      </c>
      <c r="N7" s="120" t="s">
        <v>142</v>
      </c>
      <c r="O7" s="127">
        <f t="shared" si="1"/>
        <v>-8150</v>
      </c>
      <c r="P7" s="124">
        <v>2</v>
      </c>
      <c r="Q7" s="108">
        <v>-16300</v>
      </c>
    </row>
    <row r="8" spans="1:17" x14ac:dyDescent="0.4">
      <c r="A8" s="55" t="s">
        <v>3</v>
      </c>
      <c r="B8" s="47">
        <v>4</v>
      </c>
      <c r="C8" s="39">
        <f>IF(B$2=0,0,B8/B$2)</f>
        <v>0.66666666666666663</v>
      </c>
      <c r="E8" s="63" t="s">
        <v>76</v>
      </c>
      <c r="F8" s="60" t="s">
        <v>29</v>
      </c>
      <c r="G8" s="47">
        <v>3</v>
      </c>
      <c r="H8" s="137">
        <f t="shared" si="0"/>
        <v>0.33333333333333331</v>
      </c>
      <c r="I8" s="98">
        <v>4</v>
      </c>
      <c r="K8" s="38">
        <v>6</v>
      </c>
      <c r="L8" s="103">
        <v>-27.000000000000004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2">IF(B$2=0,0,B9/B$2)</f>
        <v>0.16666666666666666</v>
      </c>
      <c r="E9" s="63" t="s">
        <v>73</v>
      </c>
      <c r="F9" s="60" t="s">
        <v>26</v>
      </c>
      <c r="G9" s="47">
        <v>2</v>
      </c>
      <c r="H9" s="137">
        <f t="shared" si="0"/>
        <v>0.22222222222222221</v>
      </c>
      <c r="I9" s="98">
        <v>3</v>
      </c>
      <c r="N9" s="117" t="s">
        <v>172</v>
      </c>
      <c r="O9" s="34" t="s">
        <v>125</v>
      </c>
      <c r="P9" s="121" t="s">
        <v>121</v>
      </c>
      <c r="Q9" s="109" t="s">
        <v>164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74</v>
      </c>
      <c r="F10" s="60" t="s">
        <v>27</v>
      </c>
      <c r="G10" s="47">
        <v>1</v>
      </c>
      <c r="H10" s="137">
        <f t="shared" si="0"/>
        <v>0.1111111111111111</v>
      </c>
      <c r="I10" s="98">
        <v>1</v>
      </c>
      <c r="N10" s="118" t="s">
        <v>173</v>
      </c>
      <c r="O10" s="128">
        <f>IF(P10=0,0,Q10/P10)</f>
        <v>11.200000000000001</v>
      </c>
      <c r="P10" s="122">
        <v>3</v>
      </c>
      <c r="Q10" s="110">
        <v>33.6</v>
      </c>
    </row>
    <row r="11" spans="1:17" x14ac:dyDescent="0.4">
      <c r="A11" s="56" t="s">
        <v>145</v>
      </c>
      <c r="B11" s="48">
        <v>1</v>
      </c>
      <c r="C11" s="40">
        <f>IF(B$2=0,0,B11/B$2)</f>
        <v>0.16666666666666666</v>
      </c>
      <c r="E11" s="63" t="s">
        <v>79</v>
      </c>
      <c r="F11" s="60" t="s">
        <v>32</v>
      </c>
      <c r="G11" s="47">
        <v>1</v>
      </c>
      <c r="H11" s="137">
        <f t="shared" si="0"/>
        <v>0.1111111111111111</v>
      </c>
      <c r="I11" s="98">
        <v>1</v>
      </c>
      <c r="N11" s="119" t="s">
        <v>174</v>
      </c>
      <c r="O11" s="129">
        <f>IF(P11=0,0,Q11/P11)</f>
        <v>-38.6</v>
      </c>
      <c r="P11" s="123">
        <v>1</v>
      </c>
      <c r="Q11" s="111">
        <v>-38.6</v>
      </c>
    </row>
    <row r="12" spans="1:17" x14ac:dyDescent="0.4">
      <c r="A12" s="57" t="s">
        <v>166</v>
      </c>
      <c r="B12" s="49">
        <v>1</v>
      </c>
      <c r="C12" s="42">
        <f>IF(B$2=0,0,B12/B$2)</f>
        <v>0.16666666666666666</v>
      </c>
      <c r="E12" s="63" t="s">
        <v>86</v>
      </c>
      <c r="F12" s="60" t="s">
        <v>39</v>
      </c>
      <c r="G12" s="47">
        <v>1</v>
      </c>
      <c r="H12" s="137">
        <f t="shared" si="0"/>
        <v>0.1111111111111111</v>
      </c>
      <c r="I12" s="98">
        <v>1</v>
      </c>
      <c r="N12" s="120" t="s">
        <v>175</v>
      </c>
      <c r="O12" s="130">
        <f>IF(P12=0,0,Q12/P12)</f>
        <v>-11</v>
      </c>
      <c r="P12" s="124">
        <v>2</v>
      </c>
      <c r="Q12" s="112">
        <v>-22</v>
      </c>
    </row>
    <row r="13" spans="1:17" x14ac:dyDescent="0.4">
      <c r="A13" s="58" t="s">
        <v>128</v>
      </c>
      <c r="B13" s="50">
        <v>15</v>
      </c>
      <c r="C13" s="44">
        <f>IF(B$26=0,0,B13/B$26)</f>
        <v>0.35714285714285715</v>
      </c>
      <c r="E13" s="63" t="s">
        <v>91</v>
      </c>
      <c r="F13" s="60" t="s">
        <v>44</v>
      </c>
      <c r="G13" s="47">
        <v>1</v>
      </c>
      <c r="H13" s="137">
        <f t="shared" si="0"/>
        <v>0.1111111111111111</v>
      </c>
      <c r="I13" s="98">
        <v>1</v>
      </c>
      <c r="N13" s="33"/>
      <c r="O13" s="114"/>
      <c r="P13" s="116"/>
      <c r="Q13" s="114"/>
    </row>
    <row r="14" spans="1:17" x14ac:dyDescent="0.4">
      <c r="A14" s="55" t="s">
        <v>123</v>
      </c>
      <c r="B14" s="47">
        <v>3</v>
      </c>
      <c r="C14" s="39">
        <f>IF(B$26=0,0,B14/B$26)</f>
        <v>7.1428571428571425E-2</v>
      </c>
      <c r="E14" s="63" t="s">
        <v>94</v>
      </c>
      <c r="F14" s="60" t="s">
        <v>47</v>
      </c>
      <c r="G14" s="47">
        <v>1</v>
      </c>
      <c r="H14" s="137">
        <f t="shared" si="0"/>
        <v>0.1111111111111111</v>
      </c>
      <c r="I14" s="98">
        <v>1</v>
      </c>
      <c r="N14" s="117" t="s">
        <v>161</v>
      </c>
      <c r="O14" s="34" t="s">
        <v>125</v>
      </c>
      <c r="P14" s="121" t="s">
        <v>121</v>
      </c>
      <c r="Q14" s="109" t="s">
        <v>164</v>
      </c>
    </row>
    <row r="15" spans="1:17" x14ac:dyDescent="0.4">
      <c r="A15" s="54" t="s">
        <v>130</v>
      </c>
      <c r="B15" s="46">
        <v>8</v>
      </c>
      <c r="C15" s="37">
        <f>IF(B$13=0,0,B15/B$13)</f>
        <v>0.53333333333333333</v>
      </c>
      <c r="E15" s="63" t="s">
        <v>181</v>
      </c>
      <c r="F15" s="60" t="s">
        <v>182</v>
      </c>
      <c r="G15" s="47">
        <v>1</v>
      </c>
      <c r="H15" s="137">
        <f t="shared" si="0"/>
        <v>0.1111111111111111</v>
      </c>
      <c r="I15" s="98">
        <v>4</v>
      </c>
      <c r="N15" s="118" t="s">
        <v>178</v>
      </c>
      <c r="O15" s="128">
        <f>IF(P15=0,0,Q15/P15)</f>
        <v>17.55</v>
      </c>
      <c r="P15" s="122">
        <v>6</v>
      </c>
      <c r="Q15" s="110">
        <v>105.3</v>
      </c>
    </row>
    <row r="16" spans="1:17" x14ac:dyDescent="0.4">
      <c r="A16" s="54" t="s">
        <v>131</v>
      </c>
      <c r="B16" s="46">
        <v>1</v>
      </c>
      <c r="C16" s="37">
        <f>IF(B$14=0,0,B16/B$14)</f>
        <v>0.33333333333333331</v>
      </c>
      <c r="E16" s="63" t="s">
        <v>75</v>
      </c>
      <c r="F16" s="60" t="s">
        <v>28</v>
      </c>
      <c r="G16" s="47">
        <v>0</v>
      </c>
      <c r="H16" s="137">
        <f t="shared" si="0"/>
        <v>0</v>
      </c>
      <c r="I16" s="98">
        <v>3</v>
      </c>
      <c r="N16" s="119" t="s">
        <v>133</v>
      </c>
      <c r="O16" s="129">
        <f>IF(P16=0,0,Q16/P16)</f>
        <v>-31.05</v>
      </c>
      <c r="P16" s="123">
        <v>6</v>
      </c>
      <c r="Q16" s="111">
        <v>-186.3</v>
      </c>
    </row>
    <row r="17" spans="1:9" x14ac:dyDescent="0.4">
      <c r="A17" s="54" t="s">
        <v>10</v>
      </c>
      <c r="B17" s="46">
        <f>B19+B18</f>
        <v>9</v>
      </c>
      <c r="C17" s="37">
        <f>IF(B$3=0,0,B17/B$3)</f>
        <v>0.21428571428571427</v>
      </c>
      <c r="E17" s="63" t="s">
        <v>77</v>
      </c>
      <c r="F17" s="60" t="s">
        <v>30</v>
      </c>
      <c r="G17" s="47">
        <v>0</v>
      </c>
      <c r="H17" s="137">
        <f t="shared" si="0"/>
        <v>0</v>
      </c>
      <c r="I17" s="98">
        <v>3</v>
      </c>
    </row>
    <row r="18" spans="1:9" x14ac:dyDescent="0.4">
      <c r="A18" s="55" t="s">
        <v>12</v>
      </c>
      <c r="B18" s="47">
        <v>5</v>
      </c>
      <c r="C18" s="39">
        <f>IF(B$17=0,0,B18/B$17)</f>
        <v>0.55555555555555558</v>
      </c>
      <c r="E18" s="63" t="s">
        <v>78</v>
      </c>
      <c r="F18" s="60" t="s">
        <v>31</v>
      </c>
      <c r="G18" s="47">
        <v>0</v>
      </c>
      <c r="H18" s="137">
        <f t="shared" si="0"/>
        <v>0</v>
      </c>
      <c r="I18" s="98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0.44444444444444442</v>
      </c>
      <c r="E19" s="63" t="s">
        <v>80</v>
      </c>
      <c r="F19" s="60" t="s">
        <v>33</v>
      </c>
      <c r="G19" s="47">
        <v>0</v>
      </c>
      <c r="H19" s="137">
        <f t="shared" si="0"/>
        <v>0</v>
      </c>
      <c r="I19" s="98">
        <v>1</v>
      </c>
    </row>
    <row r="20" spans="1:9" x14ac:dyDescent="0.4">
      <c r="A20" s="55" t="s">
        <v>13</v>
      </c>
      <c r="B20" s="47">
        <v>4</v>
      </c>
      <c r="C20" s="39">
        <f>IF(B$3=0,0,B20/B$3)</f>
        <v>9.5238095238095233E-2</v>
      </c>
      <c r="E20" s="63" t="s">
        <v>81</v>
      </c>
      <c r="F20" s="60" t="s">
        <v>34</v>
      </c>
      <c r="G20" s="47">
        <v>0</v>
      </c>
      <c r="H20" s="137">
        <f t="shared" si="0"/>
        <v>0</v>
      </c>
      <c r="I20" s="98">
        <v>3</v>
      </c>
    </row>
    <row r="21" spans="1:9" x14ac:dyDescent="0.4">
      <c r="A21" s="55" t="s">
        <v>5</v>
      </c>
      <c r="B21" s="51">
        <f>IF(B$17=0,0,C21/B$17)</f>
        <v>11000</v>
      </c>
      <c r="C21" s="41">
        <v>99000</v>
      </c>
      <c r="E21" s="63" t="s">
        <v>82</v>
      </c>
      <c r="F21" s="60" t="s">
        <v>35</v>
      </c>
      <c r="G21" s="47">
        <v>0</v>
      </c>
      <c r="H21" s="137">
        <f t="shared" si="0"/>
        <v>0</v>
      </c>
      <c r="I21" s="98">
        <v>3</v>
      </c>
    </row>
    <row r="22" spans="1:9" x14ac:dyDescent="0.4">
      <c r="A22" s="57" t="s">
        <v>14</v>
      </c>
      <c r="B22" s="52">
        <f>IF(B$20=0,0,C22/B$20)</f>
        <v>-10900</v>
      </c>
      <c r="C22" s="45">
        <v>-43600</v>
      </c>
      <c r="E22" s="63" t="s">
        <v>83</v>
      </c>
      <c r="F22" s="60" t="s">
        <v>36</v>
      </c>
      <c r="G22" s="47">
        <v>0</v>
      </c>
      <c r="H22" s="137">
        <f t="shared" si="0"/>
        <v>0</v>
      </c>
      <c r="I22" s="98">
        <v>1</v>
      </c>
    </row>
    <row r="23" spans="1:9" x14ac:dyDescent="0.4">
      <c r="A23" s="94" t="s">
        <v>147</v>
      </c>
      <c r="B23" s="143">
        <v>5</v>
      </c>
      <c r="C23" s="144"/>
      <c r="E23" s="63" t="s">
        <v>84</v>
      </c>
      <c r="F23" s="60" t="s">
        <v>37</v>
      </c>
      <c r="G23" s="47">
        <v>0</v>
      </c>
      <c r="H23" s="137">
        <f t="shared" si="0"/>
        <v>0</v>
      </c>
      <c r="I23" s="98">
        <v>1</v>
      </c>
    </row>
    <row r="24" spans="1:9" x14ac:dyDescent="0.4">
      <c r="A24" s="58" t="s">
        <v>158</v>
      </c>
      <c r="B24" s="141">
        <v>66700</v>
      </c>
      <c r="C24" s="142"/>
      <c r="E24" s="63" t="s">
        <v>85</v>
      </c>
      <c r="F24" s="60" t="s">
        <v>38</v>
      </c>
      <c r="G24" s="47">
        <v>0</v>
      </c>
      <c r="H24" s="137">
        <f t="shared" si="0"/>
        <v>0</v>
      </c>
      <c r="I24" s="98">
        <v>1</v>
      </c>
    </row>
    <row r="25" spans="1:9" x14ac:dyDescent="0.4">
      <c r="A25" s="57" t="s">
        <v>148</v>
      </c>
      <c r="B25" s="65">
        <v>0</v>
      </c>
      <c r="C25" s="42">
        <f>IF(B$3=0,0,B25/B$3)</f>
        <v>0</v>
      </c>
      <c r="E25" s="63" t="s">
        <v>87</v>
      </c>
      <c r="F25" s="60" t="s">
        <v>40</v>
      </c>
      <c r="G25" s="47">
        <v>0</v>
      </c>
      <c r="H25" s="137">
        <f t="shared" si="0"/>
        <v>0</v>
      </c>
      <c r="I25" s="98">
        <v>1</v>
      </c>
    </row>
    <row r="26" spans="1:9" x14ac:dyDescent="0.4">
      <c r="A26" s="54" t="s">
        <v>126</v>
      </c>
      <c r="B26" s="147">
        <v>42</v>
      </c>
      <c r="C26" s="148"/>
      <c r="E26" s="63" t="s">
        <v>88</v>
      </c>
      <c r="F26" s="60" t="s">
        <v>41</v>
      </c>
      <c r="G26" s="47">
        <v>0</v>
      </c>
      <c r="H26" s="137">
        <f t="shared" si="0"/>
        <v>0</v>
      </c>
      <c r="I26" s="98">
        <v>4</v>
      </c>
    </row>
    <row r="27" spans="1:9" x14ac:dyDescent="0.4">
      <c r="A27" s="57" t="s">
        <v>127</v>
      </c>
      <c r="B27" s="149">
        <v>9</v>
      </c>
      <c r="C27" s="150"/>
      <c r="E27" s="63" t="s">
        <v>89</v>
      </c>
      <c r="F27" s="60" t="s">
        <v>42</v>
      </c>
      <c r="G27" s="47">
        <v>0</v>
      </c>
      <c r="H27" s="137">
        <f t="shared" si="0"/>
        <v>0</v>
      </c>
      <c r="I27" s="98">
        <v>1</v>
      </c>
    </row>
    <row r="28" spans="1:9" x14ac:dyDescent="0.4">
      <c r="E28" s="63" t="s">
        <v>90</v>
      </c>
      <c r="F28" s="60" t="s">
        <v>43</v>
      </c>
      <c r="G28" s="47">
        <v>0</v>
      </c>
      <c r="H28" s="137">
        <f t="shared" si="0"/>
        <v>0</v>
      </c>
      <c r="I28" s="98">
        <v>1</v>
      </c>
    </row>
    <row r="29" spans="1:9" x14ac:dyDescent="0.4">
      <c r="E29" s="63" t="s">
        <v>92</v>
      </c>
      <c r="F29" s="60" t="s">
        <v>45</v>
      </c>
      <c r="G29" s="47">
        <v>0</v>
      </c>
      <c r="H29" s="137">
        <f t="shared" si="0"/>
        <v>0</v>
      </c>
      <c r="I29" s="98">
        <v>1</v>
      </c>
    </row>
    <row r="30" spans="1:9" x14ac:dyDescent="0.4">
      <c r="E30" s="63" t="s">
        <v>93</v>
      </c>
      <c r="F30" s="60" t="s">
        <v>46</v>
      </c>
      <c r="G30" s="47">
        <v>0</v>
      </c>
      <c r="H30" s="137">
        <f t="shared" si="0"/>
        <v>0</v>
      </c>
      <c r="I30" s="98">
        <v>1</v>
      </c>
    </row>
    <row r="31" spans="1:9" x14ac:dyDescent="0.4">
      <c r="E31" s="63" t="s">
        <v>95</v>
      </c>
      <c r="F31" s="60" t="s">
        <v>48</v>
      </c>
      <c r="G31" s="47">
        <v>0</v>
      </c>
      <c r="H31" s="137">
        <f t="shared" si="0"/>
        <v>0</v>
      </c>
      <c r="I31" s="98">
        <v>1</v>
      </c>
    </row>
    <row r="32" spans="1:9" x14ac:dyDescent="0.4">
      <c r="E32" s="63" t="s">
        <v>96</v>
      </c>
      <c r="F32" s="60" t="s">
        <v>49</v>
      </c>
      <c r="G32" s="47">
        <v>0</v>
      </c>
      <c r="H32" s="137">
        <f t="shared" si="0"/>
        <v>0</v>
      </c>
      <c r="I32" s="98">
        <v>1</v>
      </c>
    </row>
    <row r="33" spans="5:9" x14ac:dyDescent="0.4">
      <c r="E33" s="63" t="s">
        <v>97</v>
      </c>
      <c r="F33" s="60" t="s">
        <v>50</v>
      </c>
      <c r="G33" s="47">
        <v>0</v>
      </c>
      <c r="H33" s="137">
        <f t="shared" si="0"/>
        <v>0</v>
      </c>
      <c r="I33" s="98">
        <v>1</v>
      </c>
    </row>
    <row r="34" spans="5:9" x14ac:dyDescent="0.4">
      <c r="E34" s="63" t="s">
        <v>98</v>
      </c>
      <c r="F34" s="60" t="s">
        <v>51</v>
      </c>
      <c r="G34" s="47">
        <v>0</v>
      </c>
      <c r="H34" s="137">
        <f t="shared" ref="H34:H65" si="3">IF(B$27=0,0,G34/B$27)</f>
        <v>0</v>
      </c>
      <c r="I34" s="98">
        <v>1</v>
      </c>
    </row>
    <row r="35" spans="5:9" x14ac:dyDescent="0.4">
      <c r="E35" s="63" t="s">
        <v>99</v>
      </c>
      <c r="F35" s="60" t="s">
        <v>52</v>
      </c>
      <c r="G35" s="47">
        <v>0</v>
      </c>
      <c r="H35" s="137">
        <f t="shared" si="3"/>
        <v>0</v>
      </c>
      <c r="I35" s="98">
        <v>1</v>
      </c>
    </row>
    <row r="36" spans="5:9" x14ac:dyDescent="0.4">
      <c r="E36" s="63" t="s">
        <v>100</v>
      </c>
      <c r="F36" s="60" t="s">
        <v>53</v>
      </c>
      <c r="G36" s="47">
        <v>0</v>
      </c>
      <c r="H36" s="137">
        <f t="shared" si="3"/>
        <v>0</v>
      </c>
      <c r="I36" s="98">
        <v>1</v>
      </c>
    </row>
    <row r="37" spans="5:9" x14ac:dyDescent="0.4">
      <c r="E37" s="63" t="s">
        <v>101</v>
      </c>
      <c r="F37" s="60" t="s">
        <v>54</v>
      </c>
      <c r="G37" s="47">
        <v>0</v>
      </c>
      <c r="H37" s="137">
        <f t="shared" si="3"/>
        <v>0</v>
      </c>
      <c r="I37" s="98">
        <v>1</v>
      </c>
    </row>
    <row r="38" spans="5:9" x14ac:dyDescent="0.4">
      <c r="E38" s="63" t="s">
        <v>102</v>
      </c>
      <c r="F38" s="60" t="s">
        <v>55</v>
      </c>
      <c r="G38" s="47">
        <v>0</v>
      </c>
      <c r="H38" s="137">
        <f t="shared" si="3"/>
        <v>0</v>
      </c>
      <c r="I38" s="98">
        <v>1</v>
      </c>
    </row>
    <row r="39" spans="5:9" x14ac:dyDescent="0.4">
      <c r="E39" s="63" t="s">
        <v>103</v>
      </c>
      <c r="F39" s="60" t="s">
        <v>56</v>
      </c>
      <c r="G39" s="47">
        <v>0</v>
      </c>
      <c r="H39" s="137">
        <f t="shared" si="3"/>
        <v>0</v>
      </c>
      <c r="I39" s="98">
        <v>1</v>
      </c>
    </row>
    <row r="40" spans="5:9" x14ac:dyDescent="0.4">
      <c r="E40" s="63" t="s">
        <v>104</v>
      </c>
      <c r="F40" s="60" t="s">
        <v>57</v>
      </c>
      <c r="G40" s="47">
        <v>0</v>
      </c>
      <c r="H40" s="137">
        <f t="shared" si="3"/>
        <v>0</v>
      </c>
      <c r="I40" s="98">
        <v>1</v>
      </c>
    </row>
    <row r="41" spans="5:9" x14ac:dyDescent="0.4">
      <c r="E41" s="63" t="s">
        <v>105</v>
      </c>
      <c r="F41" s="60" t="s">
        <v>58</v>
      </c>
      <c r="G41" s="47">
        <v>0</v>
      </c>
      <c r="H41" s="137">
        <f t="shared" si="3"/>
        <v>0</v>
      </c>
      <c r="I41" s="98">
        <v>1</v>
      </c>
    </row>
    <row r="42" spans="5:9" x14ac:dyDescent="0.4">
      <c r="E42" s="63" t="s">
        <v>106</v>
      </c>
      <c r="F42" s="60" t="s">
        <v>59</v>
      </c>
      <c r="G42" s="47">
        <v>0</v>
      </c>
      <c r="H42" s="137">
        <f t="shared" si="3"/>
        <v>0</v>
      </c>
      <c r="I42" s="98">
        <v>1</v>
      </c>
    </row>
    <row r="43" spans="5:9" x14ac:dyDescent="0.4">
      <c r="E43" s="63" t="s">
        <v>107</v>
      </c>
      <c r="F43" s="60" t="s">
        <v>60</v>
      </c>
      <c r="G43" s="47">
        <v>0</v>
      </c>
      <c r="H43" s="137">
        <f t="shared" si="3"/>
        <v>0</v>
      </c>
      <c r="I43" s="98">
        <v>1</v>
      </c>
    </row>
    <row r="44" spans="5:9" x14ac:dyDescent="0.4">
      <c r="E44" s="63" t="s">
        <v>108</v>
      </c>
      <c r="F44" s="60" t="s">
        <v>61</v>
      </c>
      <c r="G44" s="47">
        <v>0</v>
      </c>
      <c r="H44" s="137">
        <f t="shared" si="3"/>
        <v>0</v>
      </c>
      <c r="I44" s="98">
        <v>1</v>
      </c>
    </row>
    <row r="45" spans="5:9" x14ac:dyDescent="0.4">
      <c r="E45" s="63" t="s">
        <v>109</v>
      </c>
      <c r="F45" s="60" t="s">
        <v>62</v>
      </c>
      <c r="G45" s="47">
        <v>0</v>
      </c>
      <c r="H45" s="137">
        <f t="shared" si="3"/>
        <v>0</v>
      </c>
      <c r="I45" s="98">
        <v>1</v>
      </c>
    </row>
    <row r="46" spans="5:9" x14ac:dyDescent="0.4">
      <c r="E46" s="63" t="s">
        <v>110</v>
      </c>
      <c r="F46" s="60" t="s">
        <v>117</v>
      </c>
      <c r="G46" s="47">
        <v>0</v>
      </c>
      <c r="H46" s="137">
        <f t="shared" si="3"/>
        <v>0</v>
      </c>
      <c r="I46" s="98">
        <v>1</v>
      </c>
    </row>
    <row r="47" spans="5:9" x14ac:dyDescent="0.4">
      <c r="E47" s="63" t="s">
        <v>111</v>
      </c>
      <c r="F47" s="60" t="s">
        <v>118</v>
      </c>
      <c r="G47" s="47">
        <v>0</v>
      </c>
      <c r="H47" s="137">
        <f t="shared" si="3"/>
        <v>0</v>
      </c>
      <c r="I47" s="98">
        <v>1</v>
      </c>
    </row>
    <row r="48" spans="5:9" x14ac:dyDescent="0.4">
      <c r="E48" s="63" t="s">
        <v>112</v>
      </c>
      <c r="F48" s="60" t="s">
        <v>119</v>
      </c>
      <c r="G48" s="47">
        <v>0</v>
      </c>
      <c r="H48" s="137">
        <f t="shared" si="3"/>
        <v>0</v>
      </c>
      <c r="I48" s="98">
        <v>1</v>
      </c>
    </row>
    <row r="49" spans="5:9" x14ac:dyDescent="0.4">
      <c r="E49" s="63" t="s">
        <v>113</v>
      </c>
      <c r="F49" s="60" t="s">
        <v>63</v>
      </c>
      <c r="G49" s="47">
        <v>0</v>
      </c>
      <c r="H49" s="137">
        <f t="shared" si="3"/>
        <v>0</v>
      </c>
      <c r="I49" s="98">
        <v>1</v>
      </c>
    </row>
    <row r="50" spans="5:9" x14ac:dyDescent="0.4">
      <c r="E50" s="63" t="s">
        <v>114</v>
      </c>
      <c r="F50" s="60" t="s">
        <v>64</v>
      </c>
      <c r="G50" s="47">
        <v>0</v>
      </c>
      <c r="H50" s="137">
        <f t="shared" si="3"/>
        <v>0</v>
      </c>
      <c r="I50" s="98">
        <v>1</v>
      </c>
    </row>
    <row r="51" spans="5:9" x14ac:dyDescent="0.4">
      <c r="E51" s="63" t="s">
        <v>115</v>
      </c>
      <c r="F51" s="60" t="s">
        <v>65</v>
      </c>
      <c r="G51" s="47">
        <v>0</v>
      </c>
      <c r="H51" s="137">
        <f t="shared" si="3"/>
        <v>0</v>
      </c>
      <c r="I51" s="98">
        <v>1</v>
      </c>
    </row>
    <row r="52" spans="5:9" x14ac:dyDescent="0.4">
      <c r="E52" s="64" t="s">
        <v>116</v>
      </c>
      <c r="F52" s="61" t="s">
        <v>66</v>
      </c>
      <c r="G52" s="49">
        <v>0</v>
      </c>
      <c r="H52" s="138">
        <f t="shared" si="3"/>
        <v>0</v>
      </c>
      <c r="I52" s="99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2A7AC-F399-4A22-A0CD-DFC5A1671648}">
  <sheetPr codeName="Sheet12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</v>
      </c>
      <c r="C4" s="66">
        <v>-3</v>
      </c>
      <c r="D4" s="71">
        <v>2</v>
      </c>
      <c r="E4" s="67">
        <v>0</v>
      </c>
      <c r="F4" s="67">
        <v>0.2857142857142857</v>
      </c>
      <c r="G4" s="67">
        <v>0</v>
      </c>
      <c r="H4" s="68">
        <v>2500</v>
      </c>
      <c r="I4" s="68">
        <v>0</v>
      </c>
      <c r="J4" s="67">
        <v>0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-22</v>
      </c>
      <c r="C5" s="66">
        <v>-11</v>
      </c>
      <c r="D5" s="71">
        <v>2</v>
      </c>
      <c r="E5" s="67">
        <v>0</v>
      </c>
      <c r="F5" s="67">
        <v>0.25</v>
      </c>
      <c r="G5" s="67">
        <v>0.125</v>
      </c>
      <c r="H5" s="68">
        <v>5250</v>
      </c>
      <c r="I5" s="68">
        <v>-12000</v>
      </c>
      <c r="J5" s="67">
        <v>0</v>
      </c>
      <c r="K5" s="67">
        <v>0</v>
      </c>
      <c r="L5" s="67">
        <v>0</v>
      </c>
      <c r="M5" s="67">
        <v>0.1875</v>
      </c>
      <c r="N5" s="67">
        <v>6.25E-2</v>
      </c>
      <c r="O5" s="67">
        <v>1</v>
      </c>
      <c r="P5" s="67">
        <v>1</v>
      </c>
      <c r="Q5" s="67">
        <v>0.75</v>
      </c>
    </row>
    <row r="6" spans="1:17" x14ac:dyDescent="0.4">
      <c r="A6" s="69">
        <v>3</v>
      </c>
      <c r="B6" s="66">
        <v>-21</v>
      </c>
      <c r="C6" s="66">
        <v>-7</v>
      </c>
      <c r="D6" s="71">
        <v>2</v>
      </c>
      <c r="E6" s="67">
        <v>0</v>
      </c>
      <c r="F6" s="67">
        <v>0.23809523809523808</v>
      </c>
      <c r="G6" s="67">
        <v>9.5238095238095233E-2</v>
      </c>
      <c r="H6" s="68">
        <v>6600</v>
      </c>
      <c r="I6" s="68">
        <v>-12000</v>
      </c>
      <c r="J6" s="67">
        <v>0</v>
      </c>
      <c r="K6" s="67">
        <v>0</v>
      </c>
      <c r="L6" s="67">
        <v>0</v>
      </c>
      <c r="M6" s="67">
        <v>0.23809523809523808</v>
      </c>
      <c r="N6" s="67">
        <v>4.7619047619047616E-2</v>
      </c>
      <c r="O6" s="67">
        <v>0.8</v>
      </c>
      <c r="P6" s="67">
        <v>1</v>
      </c>
      <c r="Q6" s="67">
        <v>0.6</v>
      </c>
    </row>
    <row r="7" spans="1:17" x14ac:dyDescent="0.4">
      <c r="A7" s="69">
        <v>4</v>
      </c>
      <c r="B7" s="66">
        <v>-59.6</v>
      </c>
      <c r="C7" s="66">
        <v>-14.9</v>
      </c>
      <c r="D7" s="71">
        <v>2.25</v>
      </c>
      <c r="E7" s="67">
        <v>0</v>
      </c>
      <c r="F7" s="67">
        <v>0.18518518518518517</v>
      </c>
      <c r="G7" s="67">
        <v>0.14814814814814814</v>
      </c>
      <c r="H7" s="68">
        <v>6600</v>
      </c>
      <c r="I7" s="68">
        <v>-10900</v>
      </c>
      <c r="J7" s="67">
        <v>0.25</v>
      </c>
      <c r="K7" s="67">
        <v>0</v>
      </c>
      <c r="L7" s="67">
        <v>0</v>
      </c>
      <c r="M7" s="67">
        <v>0.29629629629629628</v>
      </c>
      <c r="N7" s="67">
        <v>3.7037037037037035E-2</v>
      </c>
      <c r="O7" s="67">
        <v>0.5</v>
      </c>
      <c r="P7" s="67">
        <v>1</v>
      </c>
      <c r="Q7" s="67">
        <v>0.6</v>
      </c>
    </row>
    <row r="8" spans="1:17" x14ac:dyDescent="0.4">
      <c r="A8" s="69">
        <v>5</v>
      </c>
      <c r="B8" s="66">
        <v>-27.900000000000002</v>
      </c>
      <c r="C8" s="66">
        <v>-5.58</v>
      </c>
      <c r="D8" s="71">
        <v>2</v>
      </c>
      <c r="E8" s="67">
        <v>0.2</v>
      </c>
      <c r="F8" s="67">
        <v>0.20588235294117646</v>
      </c>
      <c r="G8" s="67">
        <v>0.11764705882352941</v>
      </c>
      <c r="H8" s="68">
        <v>10714.285714285714</v>
      </c>
      <c r="I8" s="68">
        <v>-10900</v>
      </c>
      <c r="J8" s="67">
        <v>0.2</v>
      </c>
      <c r="K8" s="67">
        <v>0.2</v>
      </c>
      <c r="L8" s="67">
        <v>0.2</v>
      </c>
      <c r="M8" s="67">
        <v>0.3235294117647059</v>
      </c>
      <c r="N8" s="67">
        <v>2.9411764705882353E-2</v>
      </c>
      <c r="O8" s="67">
        <v>0.54545454545454541</v>
      </c>
      <c r="P8" s="67">
        <v>1</v>
      </c>
      <c r="Q8" s="67">
        <v>0.42857142857142855</v>
      </c>
    </row>
    <row r="9" spans="1:17" x14ac:dyDescent="0.4">
      <c r="A9" s="69">
        <v>6</v>
      </c>
      <c r="B9" s="66">
        <v>-27.000000000000004</v>
      </c>
      <c r="C9" s="66">
        <v>-4.5000000000000009</v>
      </c>
      <c r="D9" s="71">
        <v>2</v>
      </c>
      <c r="E9" s="67">
        <v>0.16666666666666666</v>
      </c>
      <c r="F9" s="67">
        <v>0.21428571428571427</v>
      </c>
      <c r="G9" s="67">
        <v>9.5238095238095233E-2</v>
      </c>
      <c r="H9" s="68">
        <v>11000</v>
      </c>
      <c r="I9" s="68">
        <v>-10900</v>
      </c>
      <c r="J9" s="67">
        <v>0.16666666666666666</v>
      </c>
      <c r="K9" s="67">
        <v>0.16666666666666666</v>
      </c>
      <c r="L9" s="67">
        <v>0.16666666666666666</v>
      </c>
      <c r="M9" s="67">
        <v>0.35714285714285715</v>
      </c>
      <c r="N9" s="67">
        <v>7.1428571428571425E-2</v>
      </c>
      <c r="O9" s="67">
        <v>0.53333333333333333</v>
      </c>
      <c r="P9" s="67">
        <v>0.33333333333333331</v>
      </c>
      <c r="Q9" s="67">
        <v>0.55555555555555558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B81A-DCBA-4FA2-A6D6-4B51FF53F427}">
  <sheetPr codeName="Sheet1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17.100000000000001</v>
      </c>
      <c r="C4" s="66">
        <v>17.100000000000001</v>
      </c>
      <c r="D4" s="71">
        <v>1</v>
      </c>
      <c r="E4" s="67">
        <v>1</v>
      </c>
      <c r="F4" s="67">
        <v>0.2857142857142857</v>
      </c>
      <c r="G4" s="67">
        <v>0.14285714285714285</v>
      </c>
      <c r="H4" s="68">
        <v>9850</v>
      </c>
      <c r="I4" s="68">
        <v>-1600</v>
      </c>
      <c r="J4" s="67">
        <v>0</v>
      </c>
      <c r="K4" s="67">
        <v>0</v>
      </c>
      <c r="L4" s="67">
        <v>0</v>
      </c>
      <c r="M4" s="67">
        <v>0</v>
      </c>
      <c r="N4" s="67">
        <v>0.7142857142857143</v>
      </c>
      <c r="O4" s="67">
        <v>0</v>
      </c>
      <c r="P4" s="67">
        <v>0.4</v>
      </c>
      <c r="Q4" s="67">
        <v>0</v>
      </c>
    </row>
    <row r="5" spans="1:17" x14ac:dyDescent="0.4">
      <c r="A5" s="69">
        <v>2</v>
      </c>
      <c r="B5" s="66">
        <v>-38.9</v>
      </c>
      <c r="C5" s="66">
        <v>-19.45</v>
      </c>
      <c r="D5" s="71">
        <v>2</v>
      </c>
      <c r="E5" s="67">
        <v>0.5</v>
      </c>
      <c r="F5" s="67">
        <v>0.125</v>
      </c>
      <c r="G5" s="67">
        <v>0.1875</v>
      </c>
      <c r="H5" s="68">
        <v>9850</v>
      </c>
      <c r="I5" s="68">
        <v>-10533.333333333334</v>
      </c>
      <c r="J5" s="67">
        <v>0.5</v>
      </c>
      <c r="K5" s="67">
        <v>0</v>
      </c>
      <c r="L5" s="67">
        <v>0</v>
      </c>
      <c r="M5" s="67">
        <v>0</v>
      </c>
      <c r="N5" s="67">
        <v>0.4375</v>
      </c>
      <c r="O5" s="67">
        <v>0</v>
      </c>
      <c r="P5" s="67">
        <v>0.2857142857142857</v>
      </c>
      <c r="Q5" s="67">
        <v>0</v>
      </c>
    </row>
    <row r="6" spans="1:17" x14ac:dyDescent="0.4">
      <c r="A6" s="69">
        <v>3</v>
      </c>
      <c r="B6" s="66">
        <v>-84.9</v>
      </c>
      <c r="C6" s="66">
        <v>-28.3</v>
      </c>
      <c r="D6" s="71">
        <v>2.3333333333333335</v>
      </c>
      <c r="E6" s="67">
        <v>0.33333333333333331</v>
      </c>
      <c r="F6" s="67">
        <v>9.5238095238095233E-2</v>
      </c>
      <c r="G6" s="67">
        <v>0.2857142857142857</v>
      </c>
      <c r="H6" s="68">
        <v>9850</v>
      </c>
      <c r="I6" s="68">
        <v>-11266.666666666666</v>
      </c>
      <c r="J6" s="67">
        <v>0.66666666666666663</v>
      </c>
      <c r="K6" s="67">
        <v>0</v>
      </c>
      <c r="L6" s="67">
        <v>0</v>
      </c>
      <c r="M6" s="67">
        <v>4.7619047619047616E-2</v>
      </c>
      <c r="N6" s="67">
        <v>0.42857142857142855</v>
      </c>
      <c r="O6" s="67">
        <v>0</v>
      </c>
      <c r="P6" s="67">
        <v>0.22222222222222221</v>
      </c>
      <c r="Q6" s="67">
        <v>0</v>
      </c>
    </row>
    <row r="7" spans="1:17" x14ac:dyDescent="0.4">
      <c r="A7" s="69">
        <v>4</v>
      </c>
      <c r="B7" s="66">
        <v>-74.800000000000011</v>
      </c>
      <c r="C7" s="66">
        <v>-18.700000000000003</v>
      </c>
      <c r="D7" s="71">
        <v>2.25</v>
      </c>
      <c r="E7" s="67">
        <v>0.25</v>
      </c>
      <c r="F7" s="67">
        <v>0.18518518518518517</v>
      </c>
      <c r="G7" s="67">
        <v>0.25925925925925924</v>
      </c>
      <c r="H7" s="68">
        <v>12260</v>
      </c>
      <c r="I7" s="68">
        <v>-14228.571428571429</v>
      </c>
      <c r="J7" s="67">
        <v>0.5</v>
      </c>
      <c r="K7" s="67">
        <v>0</v>
      </c>
      <c r="L7" s="67">
        <v>0</v>
      </c>
      <c r="M7" s="67">
        <v>0.14814814814814814</v>
      </c>
      <c r="N7" s="67">
        <v>0.40740740740740738</v>
      </c>
      <c r="O7" s="67">
        <v>0.5</v>
      </c>
      <c r="P7" s="67">
        <v>0.27272727272727271</v>
      </c>
      <c r="Q7" s="67">
        <v>0.4</v>
      </c>
    </row>
    <row r="8" spans="1:17" x14ac:dyDescent="0.4">
      <c r="A8" s="69">
        <v>5</v>
      </c>
      <c r="B8" s="66">
        <v>-124.60000000000001</v>
      </c>
      <c r="C8" s="66">
        <v>-24.92</v>
      </c>
      <c r="D8" s="71">
        <v>2.4</v>
      </c>
      <c r="E8" s="67">
        <v>0.2</v>
      </c>
      <c r="F8" s="67">
        <v>0.17647058823529413</v>
      </c>
      <c r="G8" s="67">
        <v>0.29411764705882354</v>
      </c>
      <c r="H8" s="68">
        <v>12216.666666666666</v>
      </c>
      <c r="I8" s="68">
        <v>-15360</v>
      </c>
      <c r="J8" s="67">
        <v>0.6</v>
      </c>
      <c r="K8" s="67">
        <v>0</v>
      </c>
      <c r="L8" s="67">
        <v>0</v>
      </c>
      <c r="M8" s="67">
        <v>0.11764705882352941</v>
      </c>
      <c r="N8" s="67">
        <v>0.47058823529411764</v>
      </c>
      <c r="O8" s="67">
        <v>0.5</v>
      </c>
      <c r="P8" s="67">
        <v>0.25</v>
      </c>
      <c r="Q8" s="67">
        <v>0.33333333333333331</v>
      </c>
    </row>
    <row r="9" spans="1:17" x14ac:dyDescent="0.4">
      <c r="A9" s="69">
        <v>6</v>
      </c>
      <c r="B9" s="66">
        <v>-132.30000000000001</v>
      </c>
      <c r="C9" s="66">
        <v>-22.05</v>
      </c>
      <c r="D9" s="71">
        <v>2.5</v>
      </c>
      <c r="E9" s="67">
        <v>0.16666666666666666</v>
      </c>
      <c r="F9" s="67">
        <v>0.21428571428571427</v>
      </c>
      <c r="G9" s="67">
        <v>0.26190476190476192</v>
      </c>
      <c r="H9" s="68">
        <v>10000</v>
      </c>
      <c r="I9" s="68">
        <v>-14318.181818181818</v>
      </c>
      <c r="J9" s="67">
        <v>0.5</v>
      </c>
      <c r="K9" s="67">
        <v>0</v>
      </c>
      <c r="L9" s="67">
        <v>0</v>
      </c>
      <c r="M9" s="67">
        <v>9.5238095238095233E-2</v>
      </c>
      <c r="N9" s="67">
        <v>0.42857142857142855</v>
      </c>
      <c r="O9" s="67">
        <v>0.5</v>
      </c>
      <c r="P9" s="67">
        <v>0.33333333333333331</v>
      </c>
      <c r="Q9" s="67">
        <v>0.55555555555555558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7A702-941E-4F3D-A8BA-165DF0FD4572}">
  <sheetPr codeName="Sheet8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-14.1</v>
      </c>
      <c r="C4" s="66">
        <v>-14.1</v>
      </c>
      <c r="D4" s="71">
        <v>3</v>
      </c>
      <c r="E4" s="67">
        <v>0</v>
      </c>
      <c r="F4" s="67">
        <v>0.2857142857142857</v>
      </c>
      <c r="G4" s="67">
        <v>0.42857142857142855</v>
      </c>
      <c r="H4" s="68">
        <v>6800</v>
      </c>
      <c r="I4" s="68">
        <v>-6900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0.14285714285714285</v>
      </c>
      <c r="O4" s="67">
        <v>0.33333333333333331</v>
      </c>
      <c r="P4" s="67">
        <v>0</v>
      </c>
      <c r="Q4" s="67">
        <v>0.5</v>
      </c>
    </row>
    <row r="5" spans="1:17" x14ac:dyDescent="0.4">
      <c r="A5" s="69">
        <v>2</v>
      </c>
      <c r="B5" s="66">
        <v>60.9</v>
      </c>
      <c r="C5" s="66">
        <v>30.45</v>
      </c>
      <c r="D5" s="71">
        <v>2</v>
      </c>
      <c r="E5" s="67">
        <v>0.5</v>
      </c>
      <c r="F5" s="67">
        <v>0.5</v>
      </c>
      <c r="G5" s="67">
        <v>0.1875</v>
      </c>
      <c r="H5" s="68">
        <v>9950</v>
      </c>
      <c r="I5" s="68">
        <v>-6900</v>
      </c>
      <c r="J5" s="67">
        <v>0</v>
      </c>
      <c r="K5" s="67">
        <v>0.5</v>
      </c>
      <c r="L5" s="67">
        <v>0</v>
      </c>
      <c r="M5" s="67">
        <v>0.4375</v>
      </c>
      <c r="N5" s="67">
        <v>0.3125</v>
      </c>
      <c r="O5" s="67">
        <v>0.5714285714285714</v>
      </c>
      <c r="P5" s="67">
        <v>0.6</v>
      </c>
      <c r="Q5" s="67">
        <v>0.375</v>
      </c>
    </row>
    <row r="6" spans="1:17" x14ac:dyDescent="0.4">
      <c r="A6" s="69">
        <v>3</v>
      </c>
      <c r="B6" s="66">
        <v>105.9</v>
      </c>
      <c r="C6" s="66">
        <v>35.300000000000004</v>
      </c>
      <c r="D6" s="71">
        <v>1.6666666666666667</v>
      </c>
      <c r="E6" s="67">
        <v>0.66666666666666663</v>
      </c>
      <c r="F6" s="67">
        <v>0.5714285714285714</v>
      </c>
      <c r="G6" s="67">
        <v>0.14285714285714285</v>
      </c>
      <c r="H6" s="68">
        <v>9883.3333333333339</v>
      </c>
      <c r="I6" s="68">
        <v>-6900</v>
      </c>
      <c r="J6" s="67">
        <v>0</v>
      </c>
      <c r="K6" s="67">
        <v>0.66666666666666663</v>
      </c>
      <c r="L6" s="67">
        <v>0</v>
      </c>
      <c r="M6" s="67">
        <v>0.47619047619047616</v>
      </c>
      <c r="N6" s="67">
        <v>0.33333333333333331</v>
      </c>
      <c r="O6" s="67">
        <v>0.7</v>
      </c>
      <c r="P6" s="67">
        <v>0.5714285714285714</v>
      </c>
      <c r="Q6" s="67">
        <v>0.41666666666666669</v>
      </c>
    </row>
    <row r="7" spans="1:17" x14ac:dyDescent="0.4">
      <c r="A7" s="69">
        <v>4</v>
      </c>
      <c r="B7" s="66">
        <v>134.4</v>
      </c>
      <c r="C7" s="66">
        <v>33.6</v>
      </c>
      <c r="D7" s="71">
        <v>1.5</v>
      </c>
      <c r="E7" s="67">
        <v>0.75</v>
      </c>
      <c r="F7" s="67">
        <v>0.51851851851851849</v>
      </c>
      <c r="G7" s="67">
        <v>0.1111111111111111</v>
      </c>
      <c r="H7" s="68">
        <v>11328.571428571429</v>
      </c>
      <c r="I7" s="68">
        <v>-6900</v>
      </c>
      <c r="J7" s="67">
        <v>0</v>
      </c>
      <c r="K7" s="67">
        <v>0.75</v>
      </c>
      <c r="L7" s="67">
        <v>0</v>
      </c>
      <c r="M7" s="67">
        <v>0.51851851851851849</v>
      </c>
      <c r="N7" s="67">
        <v>0.25925925925925924</v>
      </c>
      <c r="O7" s="67">
        <v>0.6428571428571429</v>
      </c>
      <c r="P7" s="67">
        <v>0.5714285714285714</v>
      </c>
      <c r="Q7" s="67">
        <v>0.35714285714285715</v>
      </c>
    </row>
    <row r="8" spans="1:17" x14ac:dyDescent="0.4">
      <c r="A8" s="69">
        <v>5</v>
      </c>
      <c r="B8" s="66">
        <v>152.5</v>
      </c>
      <c r="C8" s="66">
        <v>30.5</v>
      </c>
      <c r="D8" s="71">
        <v>1.6</v>
      </c>
      <c r="E8" s="67">
        <v>0.6</v>
      </c>
      <c r="F8" s="67">
        <v>0.5</v>
      </c>
      <c r="G8" s="67">
        <v>0.11764705882352941</v>
      </c>
      <c r="H8" s="68">
        <v>10952.941176470587</v>
      </c>
      <c r="I8" s="68">
        <v>-8175</v>
      </c>
      <c r="J8" s="67">
        <v>0</v>
      </c>
      <c r="K8" s="67">
        <v>0.6</v>
      </c>
      <c r="L8" s="67">
        <v>0</v>
      </c>
      <c r="M8" s="67">
        <v>0.5</v>
      </c>
      <c r="N8" s="67">
        <v>0.26470588235294118</v>
      </c>
      <c r="O8" s="67">
        <v>0.6470588235294118</v>
      </c>
      <c r="P8" s="67">
        <v>0.55555555555555558</v>
      </c>
      <c r="Q8" s="67">
        <v>0.41176470588235292</v>
      </c>
    </row>
    <row r="9" spans="1:17" x14ac:dyDescent="0.4">
      <c r="A9" s="69">
        <v>6</v>
      </c>
      <c r="B9" s="66">
        <v>159.30000000000001</v>
      </c>
      <c r="C9" s="66">
        <v>26.55</v>
      </c>
      <c r="D9" s="71">
        <v>1.5</v>
      </c>
      <c r="E9" s="67">
        <v>0.66666666666666663</v>
      </c>
      <c r="F9" s="67">
        <v>0.47619047619047616</v>
      </c>
      <c r="G9" s="67">
        <v>9.5238095238095233E-2</v>
      </c>
      <c r="H9" s="68">
        <v>10505</v>
      </c>
      <c r="I9" s="68">
        <v>-8175</v>
      </c>
      <c r="J9" s="67">
        <v>0</v>
      </c>
      <c r="K9" s="67">
        <v>0.5</v>
      </c>
      <c r="L9" s="67">
        <v>0.16666666666666666</v>
      </c>
      <c r="M9" s="67">
        <v>0.45238095238095238</v>
      </c>
      <c r="N9" s="67">
        <v>0.2857142857142857</v>
      </c>
      <c r="O9" s="67">
        <v>0.63157894736842102</v>
      </c>
      <c r="P9" s="67">
        <v>0.5</v>
      </c>
      <c r="Q9" s="67">
        <v>0.45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1D770-9F1E-4BF1-AB59-4DD9A5A02B97}">
  <sheetPr codeName="Sheet6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150</v>
      </c>
      <c r="B1" s="70" t="s">
        <v>150</v>
      </c>
      <c r="C1" s="70" t="s">
        <v>150</v>
      </c>
      <c r="D1" s="71" t="s">
        <v>150</v>
      </c>
      <c r="E1" s="70" t="s">
        <v>150</v>
      </c>
      <c r="F1" s="70" t="s">
        <v>150</v>
      </c>
      <c r="G1" s="70" t="s">
        <v>150</v>
      </c>
      <c r="H1" s="70" t="s">
        <v>150</v>
      </c>
      <c r="I1" s="70" t="s">
        <v>150</v>
      </c>
      <c r="J1" s="70" t="s">
        <v>150</v>
      </c>
      <c r="K1" s="70" t="s">
        <v>150</v>
      </c>
      <c r="L1" s="70" t="s">
        <v>150</v>
      </c>
      <c r="M1" s="70" t="s">
        <v>150</v>
      </c>
      <c r="N1" s="70" t="s">
        <v>150</v>
      </c>
      <c r="O1" s="70" t="s">
        <v>150</v>
      </c>
      <c r="P1" s="70" t="s">
        <v>150</v>
      </c>
      <c r="Q1" s="70" t="s">
        <v>150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152</v>
      </c>
      <c r="G2" s="70" t="s">
        <v>151</v>
      </c>
      <c r="H2" s="70" t="s">
        <v>5</v>
      </c>
      <c r="I2" s="70" t="s">
        <v>17</v>
      </c>
      <c r="J2" s="70" t="s">
        <v>18</v>
      </c>
      <c r="K2" s="70" t="s">
        <v>146</v>
      </c>
      <c r="L2" s="70" t="s">
        <v>167</v>
      </c>
      <c r="M2" s="70" t="s">
        <v>129</v>
      </c>
      <c r="N2" s="70" t="s">
        <v>124</v>
      </c>
      <c r="O2" s="70" t="s">
        <v>132</v>
      </c>
      <c r="P2" s="70" t="s">
        <v>153</v>
      </c>
      <c r="Q2" s="70" t="s">
        <v>149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1.7763568394002505E-15</v>
      </c>
      <c r="C4" s="66">
        <v>5.9211894646675012E-16</v>
      </c>
      <c r="D4" s="71">
        <v>2</v>
      </c>
      <c r="E4" s="67">
        <v>0.33333333333333331</v>
      </c>
      <c r="F4" s="67">
        <v>0.2857142857142857</v>
      </c>
      <c r="G4" s="67">
        <v>0.19047619047619047</v>
      </c>
      <c r="H4" s="68">
        <v>6383.333333333333</v>
      </c>
      <c r="I4" s="68">
        <v>-5575</v>
      </c>
      <c r="J4" s="67">
        <v>0</v>
      </c>
      <c r="K4" s="67">
        <v>0</v>
      </c>
      <c r="L4" s="67">
        <v>0</v>
      </c>
      <c r="M4" s="67">
        <v>0.19047619047619047</v>
      </c>
      <c r="N4" s="67">
        <v>0.33333333333333331</v>
      </c>
      <c r="O4" s="67">
        <v>0.5</v>
      </c>
      <c r="P4" s="67">
        <v>0.42857142857142855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0.29166666666666669</v>
      </c>
      <c r="G5" s="67">
        <v>0.16666666666666666</v>
      </c>
      <c r="H5" s="68">
        <v>8592.8571428571431</v>
      </c>
      <c r="I5" s="68">
        <v>-9537.5</v>
      </c>
      <c r="J5" s="67">
        <v>0.16666666666666666</v>
      </c>
      <c r="K5" s="67">
        <v>0.16666666666666666</v>
      </c>
      <c r="L5" s="67">
        <v>0</v>
      </c>
      <c r="M5" s="67">
        <v>0.20833333333333334</v>
      </c>
      <c r="N5" s="67">
        <v>0.27083333333333331</v>
      </c>
      <c r="O5" s="67">
        <v>0.7</v>
      </c>
      <c r="P5" s="67">
        <v>0.46153846153846156</v>
      </c>
      <c r="Q5" s="67">
        <v>0.42857142857142855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0.30158730158730157</v>
      </c>
      <c r="G6" s="67">
        <v>0.17460317460317459</v>
      </c>
      <c r="H6" s="68">
        <v>9015.78947368421</v>
      </c>
      <c r="I6" s="68">
        <v>-10209.09090909091</v>
      </c>
      <c r="J6" s="67">
        <v>0.22222222222222221</v>
      </c>
      <c r="K6" s="67">
        <v>0.22222222222222221</v>
      </c>
      <c r="L6" s="67">
        <v>0</v>
      </c>
      <c r="M6" s="67">
        <v>0.25396825396825395</v>
      </c>
      <c r="N6" s="67">
        <v>0.26984126984126983</v>
      </c>
      <c r="O6" s="67">
        <v>0.6875</v>
      </c>
      <c r="P6" s="67">
        <v>0.41176470588235292</v>
      </c>
      <c r="Q6" s="67">
        <v>0.42105263157894735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0.29629629629629628</v>
      </c>
      <c r="G7" s="67">
        <v>0.1728395061728395</v>
      </c>
      <c r="H7" s="68">
        <v>10537.5</v>
      </c>
      <c r="I7" s="68">
        <v>-11707.142857142857</v>
      </c>
      <c r="J7" s="67">
        <v>0.25</v>
      </c>
      <c r="K7" s="67">
        <v>0.25</v>
      </c>
      <c r="L7" s="67">
        <v>0</v>
      </c>
      <c r="M7" s="67">
        <v>0.32098765432098764</v>
      </c>
      <c r="N7" s="67">
        <v>0.23456790123456789</v>
      </c>
      <c r="O7" s="67">
        <v>0.57692307692307687</v>
      </c>
      <c r="P7" s="67">
        <v>0.42105263157894735</v>
      </c>
      <c r="Q7" s="67">
        <v>0.41666666666666669</v>
      </c>
    </row>
    <row r="8" spans="1:17" x14ac:dyDescent="0.4">
      <c r="A8" s="69">
        <v>5</v>
      </c>
      <c r="B8" s="66">
        <v>3.5527136788005009E-15</v>
      </c>
      <c r="C8" s="66">
        <v>2.3684757858670006E-16</v>
      </c>
      <c r="D8" s="71">
        <v>2</v>
      </c>
      <c r="E8" s="67">
        <v>0.33333333333333331</v>
      </c>
      <c r="F8" s="67">
        <v>0.29411764705882354</v>
      </c>
      <c r="G8" s="67">
        <v>0.17647058823529413</v>
      </c>
      <c r="H8" s="68">
        <v>11150</v>
      </c>
      <c r="I8" s="68">
        <v>-12772.222222222223</v>
      </c>
      <c r="J8" s="67">
        <v>0.26666666666666666</v>
      </c>
      <c r="K8" s="67">
        <v>0.26666666666666666</v>
      </c>
      <c r="L8" s="67">
        <v>6.6666666666666666E-2</v>
      </c>
      <c r="M8" s="67">
        <v>0.31372549019607843</v>
      </c>
      <c r="N8" s="67">
        <v>0.25490196078431371</v>
      </c>
      <c r="O8" s="67">
        <v>0.59375</v>
      </c>
      <c r="P8" s="67">
        <v>0.38461538461538464</v>
      </c>
      <c r="Q8" s="67">
        <v>0.4</v>
      </c>
    </row>
    <row r="9" spans="1:17" x14ac:dyDescent="0.4">
      <c r="A9" s="69">
        <v>6</v>
      </c>
      <c r="B9" s="66">
        <v>3.219646771412954E-15</v>
      </c>
      <c r="C9" s="66">
        <v>1.7886926507849745E-16</v>
      </c>
      <c r="D9" s="71">
        <v>2</v>
      </c>
      <c r="E9" s="67">
        <v>0.33333333333333331</v>
      </c>
      <c r="F9" s="67">
        <v>0.30158730158730157</v>
      </c>
      <c r="G9" s="67">
        <v>0.15079365079365079</v>
      </c>
      <c r="H9" s="68">
        <v>10502.631578947368</v>
      </c>
      <c r="I9" s="68">
        <v>-12305.263157894737</v>
      </c>
      <c r="J9" s="67">
        <v>0.22222222222222221</v>
      </c>
      <c r="K9" s="67">
        <v>0.22222222222222221</v>
      </c>
      <c r="L9" s="67">
        <v>0.1111111111111111</v>
      </c>
      <c r="M9" s="67">
        <v>0.30158730158730157</v>
      </c>
      <c r="N9" s="67">
        <v>0.26190476190476192</v>
      </c>
      <c r="O9" s="67">
        <v>0.57894736842105265</v>
      </c>
      <c r="P9" s="67">
        <v>0.39393939393939392</v>
      </c>
      <c r="Q9" s="67">
        <v>0.5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</vt:vector>
  </HeadingPairs>
  <TitlesOfParts>
    <vt:vector size="2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2019-04-05T17:54:42Z</dcterms:modified>
</cp:coreProperties>
</file>