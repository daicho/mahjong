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5F83DEBA-7CF0-4D91-B353-ADDACEC6696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05" r:id="rId6"/>
    <sheet name="だいち" sheetId="5007" r:id="rId7"/>
    <sheet name="りょうすけ" sheetId="5009" r:id="rId8"/>
    <sheet name="てんちゃん" sheetId="5011" r:id="rId9"/>
    <sheet name="てんちゃん2" sheetId="5012" state="hidden" r:id="rId10"/>
    <sheet name="りょうすけ2" sheetId="5010" state="hidden" r:id="rId11"/>
    <sheet name="だいち2" sheetId="5008" state="hidden" r:id="rId12"/>
    <sheet name="全体2" sheetId="50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011" l="1"/>
  <c r="O16" i="5011"/>
  <c r="C27" i="5011"/>
  <c r="B24" i="5011"/>
  <c r="C20" i="5011"/>
  <c r="B17" i="5011"/>
  <c r="H51" i="5011" s="1"/>
  <c r="C16" i="5011"/>
  <c r="C15" i="5011"/>
  <c r="C14" i="5011"/>
  <c r="C13" i="5011"/>
  <c r="O12" i="5011"/>
  <c r="C12" i="5011"/>
  <c r="O11" i="5011"/>
  <c r="C11" i="5011"/>
  <c r="O10" i="5011"/>
  <c r="C10" i="5011"/>
  <c r="C9" i="5011"/>
  <c r="C8" i="5011"/>
  <c r="O7" i="5011"/>
  <c r="C7" i="5011"/>
  <c r="O6" i="5011"/>
  <c r="B6" i="5011"/>
  <c r="O5" i="5011"/>
  <c r="B5" i="5011"/>
  <c r="O4" i="5011"/>
  <c r="O3" i="5011"/>
  <c r="O2" i="5011"/>
  <c r="O16" i="5009"/>
  <c r="O15" i="5009"/>
  <c r="C27" i="5009"/>
  <c r="B24" i="5009"/>
  <c r="C20" i="5009"/>
  <c r="B17" i="5009"/>
  <c r="H50" i="5009" s="1"/>
  <c r="H19" i="5009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17" i="5005"/>
  <c r="O16" i="5007"/>
  <c r="O15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16" i="5005"/>
  <c r="O15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H21" i="5011" l="1"/>
  <c r="H8" i="5009"/>
  <c r="H26" i="5009"/>
  <c r="H30" i="5011"/>
  <c r="H39" i="5011"/>
  <c r="H40" i="5011"/>
  <c r="H44" i="5011"/>
  <c r="H25" i="5011"/>
  <c r="H31" i="5011"/>
  <c r="H45" i="5011"/>
  <c r="H12" i="5011"/>
  <c r="H14" i="5011"/>
  <c r="H3" i="5011"/>
  <c r="H19" i="5011"/>
  <c r="H22" i="5011"/>
  <c r="H5" i="5011"/>
  <c r="H27" i="5011"/>
  <c r="H4" i="5011"/>
  <c r="H10" i="5011"/>
  <c r="H23" i="5011"/>
  <c r="H36" i="5011"/>
  <c r="H47" i="5011"/>
  <c r="H13" i="5011"/>
  <c r="C17" i="5011"/>
  <c r="B23" i="5011"/>
  <c r="H7" i="5011"/>
  <c r="H46" i="5011"/>
  <c r="H20" i="5011"/>
  <c r="C19" i="5011"/>
  <c r="H28" i="5011"/>
  <c r="H37" i="5011"/>
  <c r="H48" i="5011"/>
  <c r="H6" i="5011"/>
  <c r="H26" i="5011"/>
  <c r="H32" i="5011"/>
  <c r="C18" i="5011"/>
  <c r="H33" i="5011"/>
  <c r="H9" i="5011"/>
  <c r="H2" i="5011"/>
  <c r="H11" i="5011"/>
  <c r="H18" i="5011"/>
  <c r="H24" i="5011"/>
  <c r="H38" i="5011"/>
  <c r="H8" i="5011"/>
  <c r="H16" i="5011"/>
  <c r="H34" i="5011"/>
  <c r="H41" i="5011"/>
  <c r="H49" i="5011"/>
  <c r="H15" i="5011"/>
  <c r="H29" i="5011"/>
  <c r="H35" i="5011"/>
  <c r="H42" i="5011"/>
  <c r="H50" i="5011"/>
  <c r="H17" i="5011"/>
  <c r="H43" i="5011"/>
  <c r="H13" i="5005"/>
  <c r="H15" i="5009"/>
  <c r="H35" i="5009"/>
  <c r="H43" i="5009"/>
  <c r="H33" i="5009"/>
  <c r="H21" i="5009"/>
  <c r="H3" i="5009"/>
  <c r="H44" i="5009"/>
  <c r="C19" i="5009"/>
  <c r="H14" i="5009"/>
  <c r="H36" i="5009"/>
  <c r="H18" i="5009"/>
  <c r="H25" i="5009"/>
  <c r="H45" i="5009"/>
  <c r="H2" i="5009"/>
  <c r="H28" i="5009"/>
  <c r="H46" i="5009"/>
  <c r="H12" i="5009"/>
  <c r="H23" i="5009"/>
  <c r="H29" i="5009"/>
  <c r="H11" i="5009"/>
  <c r="B23" i="5009"/>
  <c r="H30" i="5009"/>
  <c r="H39" i="5009"/>
  <c r="H49" i="5009"/>
  <c r="C17" i="5009"/>
  <c r="H48" i="5009"/>
  <c r="H6" i="5009"/>
  <c r="C18" i="5009"/>
  <c r="H24" i="5009"/>
  <c r="H31" i="5009"/>
  <c r="H40" i="5009"/>
  <c r="H51" i="5009"/>
  <c r="H13" i="5009"/>
  <c r="H37" i="5009"/>
  <c r="H7" i="5009"/>
  <c r="H16" i="5009"/>
  <c r="H38" i="5009"/>
  <c r="H9" i="5009"/>
  <c r="H17" i="5009"/>
  <c r="H5" i="5009"/>
  <c r="H10" i="5009"/>
  <c r="H20" i="5009"/>
  <c r="H32" i="5009"/>
  <c r="H41" i="5009"/>
  <c r="H4" i="5009"/>
  <c r="H47" i="5009"/>
  <c r="H22" i="5009"/>
  <c r="H27" i="5009"/>
  <c r="H34" i="5009"/>
  <c r="H42" i="5009"/>
  <c r="H2" i="5007"/>
  <c r="H29" i="5007"/>
  <c r="H23" i="5007"/>
  <c r="H3" i="5007"/>
  <c r="H37" i="5007"/>
  <c r="H21" i="5007"/>
  <c r="H44" i="5007"/>
  <c r="H13" i="5007"/>
  <c r="H9" i="5007"/>
  <c r="C18" i="5007"/>
  <c r="H12" i="5007"/>
  <c r="H20" i="5007"/>
  <c r="C19" i="5007"/>
  <c r="H6" i="5007"/>
  <c r="H38" i="5007"/>
  <c r="H25" i="5007"/>
  <c r="H41" i="5007"/>
  <c r="H5" i="5007"/>
  <c r="H10" i="5007"/>
  <c r="H4" i="5007"/>
  <c r="H17" i="5007"/>
  <c r="H18" i="5007"/>
  <c r="H16" i="5007"/>
  <c r="H45" i="5007"/>
  <c r="H46" i="5007"/>
  <c r="H15" i="5007"/>
  <c r="C17" i="5007"/>
  <c r="H49" i="5007"/>
  <c r="H11" i="5007"/>
  <c r="H30" i="5007"/>
  <c r="H8" i="5007"/>
  <c r="H19" i="5007"/>
  <c r="B23" i="5007"/>
  <c r="H33" i="5007"/>
  <c r="H22" i="5007"/>
  <c r="H26" i="5007"/>
  <c r="H36" i="5007"/>
  <c r="H7" i="5007"/>
  <c r="H31" i="5007"/>
  <c r="H39" i="5007"/>
  <c r="H47" i="5007"/>
  <c r="H24" i="5007"/>
  <c r="H27" i="5007"/>
  <c r="H32" i="5007"/>
  <c r="H40" i="5007"/>
  <c r="H48" i="5007"/>
  <c r="H14" i="5007"/>
  <c r="H28" i="5007"/>
  <c r="H34" i="5007"/>
  <c r="H42" i="5007"/>
  <c r="H50" i="5007"/>
  <c r="H35" i="5007"/>
  <c r="H43" i="5007"/>
  <c r="H2" i="5005"/>
  <c r="H9" i="5005"/>
  <c r="H25" i="5005"/>
  <c r="H11" i="5005"/>
  <c r="H21" i="5005"/>
  <c r="H26" i="5005"/>
  <c r="H14" i="5005"/>
  <c r="H18" i="5005"/>
  <c r="H36" i="5005"/>
  <c r="C17" i="5005"/>
  <c r="H47" i="5005"/>
  <c r="H17" i="5005"/>
  <c r="B23" i="5005"/>
  <c r="H48" i="5005"/>
  <c r="H5" i="5005"/>
  <c r="H19" i="5005"/>
  <c r="C18" i="5005"/>
  <c r="H32" i="5005"/>
  <c r="H40" i="5005"/>
  <c r="H49" i="5005"/>
  <c r="H16" i="5005"/>
  <c r="H20" i="5005"/>
  <c r="H3" i="5005"/>
  <c r="H37" i="5005"/>
  <c r="H22" i="5005"/>
  <c r="H38" i="5005"/>
  <c r="H31" i="5005"/>
  <c r="H27" i="5005"/>
  <c r="H4" i="5005"/>
  <c r="H10" i="5005"/>
  <c r="H24" i="5005"/>
  <c r="H33" i="5005"/>
  <c r="H41" i="5005"/>
  <c r="H51" i="5005"/>
  <c r="H44" i="5005"/>
  <c r="H45" i="5005"/>
  <c r="H30" i="5005"/>
  <c r="H46" i="5005"/>
  <c r="H8" i="5005"/>
  <c r="H12" i="5005"/>
  <c r="H39" i="5005"/>
  <c r="H7" i="5005"/>
  <c r="H23" i="5005"/>
  <c r="C19" i="5005"/>
  <c r="H28" i="5005"/>
  <c r="H34" i="5005"/>
  <c r="H43" i="5005"/>
  <c r="H6" i="5005"/>
  <c r="H15" i="5005"/>
  <c r="H29" i="5005"/>
  <c r="H35" i="5005"/>
  <c r="H42" i="50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<sst xmlns="http://schemas.openxmlformats.org/spreadsheetml/2006/main" count="1048" uniqueCount="181">
  <si>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</si>
  <si>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</si>
  <si>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</si>
  <si>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</si>
  <si>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</si>
  <si>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</si>
  <si>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</si>
  <si>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</si>
  <si>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</si>
  <si>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</si>
  <si>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</si>
  <si>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</si>
  <si>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</si>
  <si>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</si>
  <si>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</si>
  <si>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</si>
  <si>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</si>
  <si>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</si>
  <si>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</si>
  <si>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</si>
  <si>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</si>
  <si>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</si>
  <si>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</si>
  <si>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</si>
  <si>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</si>
  <si>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</si>
  <si>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</si>
  <si>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</si>
  <si>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</si>
  <si>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</si>
  <si>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</si>
  <si>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</si>
  <si>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</si>
  <si>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</si>
  <si>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</si>
  <si>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</si>
  <si>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</si>
  <si>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</si>
  <si>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</si>
  <si>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</si>
  <si>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</si>
  <si>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</si>
  <si>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</si>
  <si>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</si>
  <si>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</si>
  <si>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</si>
  <si>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</si>
  <si>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</si>
  <si>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</si>
  <si>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</si>
  <si>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</si>
  <si>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</si>
  <si>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</si>
  <si>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</si>
  <si>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</si>
  <si>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</si>
  <si>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</si>
  <si>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</si>
  <si>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</si>
  <si>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</si>
  <si>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</si>
  <si>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</si>
  <si>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</si>
  <si>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</si>
  <si>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</si>
  <si>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</si>
  <si>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</si>
  <si>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</si>
  <si>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</si>
  <si>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</si>
  <si>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</si>
  <si>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</si>
  <si>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</si>
  <si>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</si>
  <si>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</si>
  <si>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</si>
  <si>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</si>
  <si>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</si>
  <si>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</si>
  <si>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</si>
  <si>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</si>
  <si>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</si>
  <si>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</si>
  <si>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</si>
  <si>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</si>
  <si>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</si>
  <si>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</si>
  <si>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</si>
  <si>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</si>
  <si>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</si>
  <si>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</si>
  <si>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</si>
  <si>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</si>
  <si>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</si>
  <si>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</si>
  <si>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</si>
  <si>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</si>
  <si>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</si>
  <si>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</si>
  <si>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</si>
  <si>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</si>
  <si>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</si>
  <si>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</si>
  <si>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</si>
  <si>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</si>
  <si>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</si>
  <si>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</si>
  <si>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</si>
  <si>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</si>
  <si>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</si>
  <si>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</si>
  <si>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</si>
  <si>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</si>
  <si>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</si>
  <si>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</si>
  <si>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</si>
  <si>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</si>
  <si>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</si>
  <si>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</si>
  <si>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</si>
  <si>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</si>
  <si>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</si>
  <si>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</si>
  <si>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</si>
  <si>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</si>
  <si>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</si>
  <si>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</si>
  <si>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</si>
  <si>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</si>
  <si>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</si>
  <si>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</si>
  <si>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</si>
  <si>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</si>
  <si>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</si>
  <si>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</si>
  <si>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</si>
  <si>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</si>
  <si>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</si>
  <si>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</si>
  <si>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</si>
  <si>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</si>
  <si>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</si>
  <si>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</si>
  <si>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</si>
  <si>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</si>
  <si>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</si>
  <si>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</si>
  <si>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</si>
  <si>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</si>
  <si>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</si>
  <si>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</si>
  <si>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</si>
  <si>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</si>
  <si>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</si>
  <si>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</si>
  <si>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</si>
  <si>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</si>
  <si>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</si>
  <si>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</si>
  <si>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</si>
  <si>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</si>
  <si>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</si>
  <si>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</si>
  <si>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</si>
  <si>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</si>
  <si>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</si>
  <si>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</si>
  <si>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</si>
  <si>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</si>
  <si>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</si>
  <si>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</si>
  <si>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</si>
  <si>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</si>
  <si>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</si>
  <si>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</si>
  <si>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</si>
  <si>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</si>
  <si>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</si>
  <si>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</si>
  <si>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</si>
  <si>
    <t>2019-07-05.xlsm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</si>
</sst>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全体!$L$2:$L$41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  <c:pt idx="34">
                  <c:v>-7.1</c:v>
                </c:pt>
                <c:pt idx="35">
                  <c:v>-69.8</c:v>
                </c:pt>
                <c:pt idx="36">
                  <c:v>0</c:v>
                </c:pt>
                <c:pt idx="37">
                  <c:v>-15.4</c:v>
                </c:pt>
                <c:pt idx="38">
                  <c:v>-75.2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9-4E16-9EA3-F33F23D8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-51.282051282051285</c:v>
                </c:pt>
                <c:pt idx="2">
                  <c:v>60.606060606060609</c:v>
                </c:pt>
                <c:pt idx="3">
                  <c:v>-41.666666666666664</c:v>
                </c:pt>
                <c:pt idx="4">
                  <c:v>66.666666666666671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923-8D2A-C37ECE2D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  <c:pt idx="12">
                  <c:v>296.10000000000008</c:v>
                </c:pt>
                <c:pt idx="13">
                  <c:v>236.30000000000007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A-4867-AAEC-C0E21089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692.30769230769226</c:v>
                </c:pt>
                <c:pt idx="1">
                  <c:v>9930.7692307692305</c:v>
                </c:pt>
                <c:pt idx="2">
                  <c:v>-200</c:v>
                </c:pt>
                <c:pt idx="3">
                  <c:v>11900</c:v>
                </c:pt>
                <c:pt idx="4">
                  <c:v>-10200</c:v>
                </c:pt>
                <c:pt idx="5">
                  <c:v>4050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73E-AF80-F52A6FDA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りょうすけ!$L$2:$L$15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  <c:pt idx="12">
                  <c:v>-294.10000000000008</c:v>
                </c:pt>
                <c:pt idx="13">
                  <c:v>-309.50000000000006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9-4753-8B54-0D103268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-869.23076923076928</c:v>
                </c:pt>
                <c:pt idx="1">
                  <c:v>-10615.384615384615</c:v>
                </c:pt>
                <c:pt idx="2">
                  <c:v>-2709.090909090909</c:v>
                </c:pt>
                <c:pt idx="3">
                  <c:v>-9987.5</c:v>
                </c:pt>
                <c:pt idx="4">
                  <c:v>-2680</c:v>
                </c:pt>
                <c:pt idx="5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3-4F72-8B6E-7341A56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B-493F-9845-5338559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176.92307692307693</c:v>
                </c:pt>
                <c:pt idx="1">
                  <c:v>530.76923076923072</c:v>
                </c:pt>
                <c:pt idx="2">
                  <c:v>3090.909090909091</c:v>
                </c:pt>
                <c:pt idx="3">
                  <c:v>-2037.5</c:v>
                </c:pt>
                <c:pt idx="4">
                  <c:v>13080</c:v>
                </c:pt>
                <c:pt idx="5">
                  <c:v>-4775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F6B-8B14-581AC4928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てんちゃん2!$B$3:$B$16</c:f>
              <c:numCache>
                <c:formatCode>\+0.0;\-0.0;\±0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てんちゃん2!$C$3:$C$16</c:f>
              <c:numCache>
                <c:formatCode>\+0.0;\-0.0;\±0</c:formatCode>
                <c:ptCount val="14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  <c:pt idx="12">
                  <c:v>-0.16666666666666666</c:v>
                </c:pt>
                <c:pt idx="13">
                  <c:v>5.6307692307692312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てんちゃん2!$D$3:$D$16</c:f>
              <c:numCache>
                <c:formatCode>0.00\ "位"</c:formatCode>
                <c:ptCount val="14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てんちゃん2!$E$3:$E$16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てんちゃん2!$F$3:$F$16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てんちゃん2!$G$3:$G$16</c:f>
              <c:numCache>
                <c:formatCode>0.0%</c:formatCode>
                <c:ptCount val="14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  <c:pt idx="12">
                  <c:v>0.26666666666666666</c:v>
                </c:pt>
                <c:pt idx="13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68292682926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てんちゃん2!$H$3:$H$16</c:f>
              <c:numCache>
                <c:formatCode>0.0%</c:formatCode>
                <c:ptCount val="14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  <c:pt idx="12">
                  <c:v>0.12</c:v>
                </c:pt>
                <c:pt idx="13">
                  <c:v>0.12195121951219512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040650406504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てんちゃん2!$I$3:$I$16</c:f>
              <c:numCache>
                <c:formatCode>0</c:formatCode>
                <c:ptCount val="14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  <c:pt idx="12">
                  <c:v>11470</c:v>
                </c:pt>
                <c:pt idx="13">
                  <c:v>12629.166666666666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1180.555555555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てんちゃん2!$J$3:$J$16</c:f>
              <c:numCache>
                <c:formatCode>0</c:formatCode>
                <c:ptCount val="14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  <c:pt idx="12">
                  <c:v>-10266.666666666666</c:v>
                </c:pt>
                <c:pt idx="13">
                  <c:v>-10040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2967.567567567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てんちゃん2!$K$3:$K$16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2820512820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てんちゃん2!$L$3:$L$16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2820512820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てんちゃん2!$M$3:$M$16</c:f>
              <c:numCache>
                <c:formatCode>0.0%</c:formatCode>
                <c:ptCount val="14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  <c:pt idx="12">
                  <c:v>0.33333333333333331</c:v>
                </c:pt>
                <c:pt idx="13">
                  <c:v>0.32926829268292684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29268292682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てんちゃん2!$N$3:$N$16</c:f>
              <c:numCache>
                <c:formatCode>0.0%</c:formatCode>
                <c:ptCount val="14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0.15853658536585366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42276422764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てんちゃん2!$O$3:$O$16</c:f>
              <c:numCache>
                <c:formatCode>0.0%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0.64</c:v>
                </c:pt>
                <c:pt idx="13">
                  <c:v>0.62962962962962965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5151515151515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てんちゃん2!$P$3:$P$16</c:f>
              <c:numCache>
                <c:formatCode>0.0%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  <c:pt idx="12">
                  <c:v>0.4</c:v>
                </c:pt>
                <c:pt idx="13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23529411764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てんちゃん2!$Q$3:$Q$16</c:f>
              <c:numCache>
                <c:formatCode>0.0%</c:formatCode>
                <c:ptCount val="14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  <c:pt idx="12">
                  <c:v>0.4</c:v>
                </c:pt>
                <c:pt idx="13">
                  <c:v>0.45833333333333331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2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43532.736307870371</v>
      </c>
      <c r="C2" s="30" t="s">
        <v>128</v>
      </c>
      <c r="D2" s="30" t="s">
        <v>129</v>
      </c>
      <c r="E2" s="30" t="s">
        <v>166</v>
      </c>
    </row>
    <row r="3" spans="1:7" x14ac:dyDescent="0.4">
      <c r="A3" s="30" t="s">
        <v>178</v>
      </c>
      <c r="B3" s="31">
        <v>43545.738449074073</v>
      </c>
      <c r="C3" s="30" t="s">
        <v>128</v>
      </c>
      <c r="D3" s="30" t="s">
        <v>129</v>
      </c>
      <c r="E3" s="30" t="s">
        <v>166</v>
      </c>
    </row>
    <row r="4" spans="1:7" x14ac:dyDescent="0.4">
      <c r="A4" s="30" t="s">
        <v>179</v>
      </c>
      <c r="B4" s="31">
        <v>43585.010081018518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  <row r="5" spans="1:7" x14ac:dyDescent="0.4">
      <c r="A5" s="30" t="s">
        <v>180</v>
      </c>
      <c r="B5" s="31">
        <v>43651.894143518519</v>
      </c>
      <c r="C5" s="30" t="s">
        <v>128</v>
      </c>
      <c r="D5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143</v>
      </c>
    </row>
    <row r="2" spans="1:1" x14ac:dyDescent="0.4">
      <c r="A2" t="s">
        <v>127</v>
      </c>
    </row>
    <row r="3" spans="1:1" x14ac:dyDescent="0.4">
      <c r="A3" t="s">
        <v>176</v>
      </c>
    </row>
    <row r="4" spans="1:1" x14ac:dyDescent="0.4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139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72" t="s">
        <v>159</v>
      </c>
      <c r="B2" s="158"/>
      <c r="C2" s="159"/>
      <c r="D2" s="158"/>
      <c r="E2" s="159"/>
      <c r="F2" s="154">
        <v>0.18016671803560622</v>
      </c>
      <c r="G2" s="155"/>
      <c r="H2" s="154">
        <v>0.26041140341770763</v>
      </c>
      <c r="I2" s="155"/>
      <c r="J2" s="154">
        <v>-8.9695428740149998E-3</v>
      </c>
      <c r="K2" s="155"/>
      <c r="L2" s="154">
        <v>0.1801667180356063</v>
      </c>
      <c r="M2" s="155"/>
      <c r="N2" s="154">
        <v>-0.1199635925000693</v>
      </c>
      <c r="O2" s="155"/>
      <c r="P2" s="154">
        <v>-0.77042496005878358</v>
      </c>
      <c r="Q2" s="155"/>
      <c r="R2" s="154">
        <v>-0.95767254378661759</v>
      </c>
      <c r="S2" s="155"/>
      <c r="T2" s="154">
        <v>-0.55220497610598951</v>
      </c>
      <c r="U2" s="155"/>
      <c r="V2" s="154">
        <v>-0.33578908928918116</v>
      </c>
      <c r="W2" s="155"/>
      <c r="X2" s="154">
        <v>-0.15172894125072128</v>
      </c>
      <c r="Y2" s="155"/>
      <c r="Z2" s="154">
        <v>0.72316274887306164</v>
      </c>
      <c r="AA2" s="155"/>
      <c r="AB2" s="154">
        <v>0.17854852048279599</v>
      </c>
      <c r="AC2" s="155"/>
      <c r="AD2" s="154">
        <v>-0.54274763529258341</v>
      </c>
      <c r="AE2" s="155"/>
      <c r="AF2" s="154">
        <v>0.21913580303149791</v>
      </c>
      <c r="AG2" s="155"/>
      <c r="AH2" s="154">
        <v>6.6324688688025547E-4</v>
      </c>
      <c r="AI2" s="155"/>
    </row>
    <row r="3" spans="1:35" x14ac:dyDescent="0.4">
      <c r="A3" s="74">
        <v>1</v>
      </c>
      <c r="B3" s="75" t="s">
        <v>127</v>
      </c>
      <c r="C3" s="76">
        <v>236.30000000000007</v>
      </c>
      <c r="D3" s="77" t="s">
        <v>127</v>
      </c>
      <c r="E3" s="96">
        <v>18.176923076923082</v>
      </c>
      <c r="F3" s="77" t="s">
        <v>127</v>
      </c>
      <c r="G3" s="78">
        <v>1.6153846153846154</v>
      </c>
      <c r="H3" s="77" t="s">
        <v>127</v>
      </c>
      <c r="I3" s="79">
        <v>0.61538461538461542</v>
      </c>
      <c r="J3" s="77" t="s">
        <v>127</v>
      </c>
      <c r="K3" s="79">
        <v>0.23076923076923078</v>
      </c>
      <c r="L3" s="77" t="s">
        <v>127</v>
      </c>
      <c r="M3" s="80">
        <v>0.41463414634146339</v>
      </c>
      <c r="N3" s="77" t="s">
        <v>127</v>
      </c>
      <c r="O3" s="80">
        <v>8.5365853658536592E-2</v>
      </c>
      <c r="P3" s="77" t="s">
        <v>177</v>
      </c>
      <c r="Q3" s="81">
        <v>12629.166666666666</v>
      </c>
      <c r="R3" s="77" t="s">
        <v>177</v>
      </c>
      <c r="S3" s="81">
        <v>-10040</v>
      </c>
      <c r="T3" s="77" t="s">
        <v>177</v>
      </c>
      <c r="U3" s="79">
        <v>7.6923076923076927E-2</v>
      </c>
      <c r="V3" s="77" t="s">
        <v>127</v>
      </c>
      <c r="W3" s="79">
        <v>0.30769230769230771</v>
      </c>
      <c r="X3" s="77" t="s">
        <v>127</v>
      </c>
      <c r="Y3" s="80">
        <v>0.3902439024390244</v>
      </c>
      <c r="Z3" s="77" t="s">
        <v>176</v>
      </c>
      <c r="AA3" s="80">
        <v>0.40243902439024393</v>
      </c>
      <c r="AB3" s="77" t="s">
        <v>127</v>
      </c>
      <c r="AC3" s="80">
        <v>0.6875</v>
      </c>
      <c r="AD3" s="77" t="s">
        <v>177</v>
      </c>
      <c r="AE3" s="80">
        <v>0.46153846153846156</v>
      </c>
      <c r="AF3" s="77" t="s">
        <v>176</v>
      </c>
      <c r="AG3" s="80">
        <v>0.5714285714285714</v>
      </c>
      <c r="AH3" s="77" t="s">
        <v>127</v>
      </c>
      <c r="AI3" s="91">
        <v>110000</v>
      </c>
    </row>
    <row r="4" spans="1:35" x14ac:dyDescent="0.4">
      <c r="A4" s="82">
        <v>2</v>
      </c>
      <c r="B4" s="83" t="s">
        <v>177</v>
      </c>
      <c r="C4" s="84">
        <v>73.2</v>
      </c>
      <c r="D4" s="85" t="s">
        <v>177</v>
      </c>
      <c r="E4" s="97">
        <v>5.6307692307692312</v>
      </c>
      <c r="F4" s="85" t="s">
        <v>177</v>
      </c>
      <c r="G4" s="86">
        <v>2</v>
      </c>
      <c r="H4" s="85" t="s">
        <v>143</v>
      </c>
      <c r="I4" s="87">
        <v>0.33333333333333331</v>
      </c>
      <c r="J4" s="85" t="s">
        <v>177</v>
      </c>
      <c r="K4" s="87">
        <v>0.30769230769230771</v>
      </c>
      <c r="L4" s="85" t="s">
        <v>177</v>
      </c>
      <c r="M4" s="88">
        <v>0.29268292682926828</v>
      </c>
      <c r="N4" s="85" t="s">
        <v>177</v>
      </c>
      <c r="O4" s="88">
        <v>0.12195121951219512</v>
      </c>
      <c r="P4" s="85" t="s">
        <v>143</v>
      </c>
      <c r="Q4" s="89">
        <v>11180.555555555555</v>
      </c>
      <c r="R4" s="85" t="s">
        <v>143</v>
      </c>
      <c r="S4" s="89">
        <v>-12967.567567567568</v>
      </c>
      <c r="T4" s="85" t="s">
        <v>127</v>
      </c>
      <c r="U4" s="87">
        <v>0.15384615384615385</v>
      </c>
      <c r="V4" s="85" t="s">
        <v>177</v>
      </c>
      <c r="W4" s="87">
        <v>0.30769230769230771</v>
      </c>
      <c r="X4" s="85" t="s">
        <v>177</v>
      </c>
      <c r="Y4" s="88">
        <v>0.32926829268292684</v>
      </c>
      <c r="Z4" s="85" t="s">
        <v>143</v>
      </c>
      <c r="AA4" s="88">
        <v>0.27642276422764228</v>
      </c>
      <c r="AB4" s="85" t="s">
        <v>143</v>
      </c>
      <c r="AC4" s="88">
        <v>0.65151515151515149</v>
      </c>
      <c r="AD4" s="85" t="s">
        <v>127</v>
      </c>
      <c r="AE4" s="88">
        <v>0.40909090909090912</v>
      </c>
      <c r="AF4" s="85" t="s">
        <v>143</v>
      </c>
      <c r="AG4" s="88">
        <v>0.47222222222222221</v>
      </c>
      <c r="AH4" s="85" t="s">
        <v>143</v>
      </c>
      <c r="AI4" s="92">
        <v>110000</v>
      </c>
    </row>
    <row r="5" spans="1:35" x14ac:dyDescent="0.4">
      <c r="A5" s="82">
        <v>3</v>
      </c>
      <c r="B5" s="83" t="s">
        <v>143</v>
      </c>
      <c r="C5" s="84">
        <v>0</v>
      </c>
      <c r="D5" s="85" t="s">
        <v>143</v>
      </c>
      <c r="E5" s="97">
        <v>0</v>
      </c>
      <c r="F5" s="85" t="s">
        <v>143</v>
      </c>
      <c r="G5" s="86">
        <v>2</v>
      </c>
      <c r="H5" s="85" t="s">
        <v>177</v>
      </c>
      <c r="I5" s="87">
        <v>0.30769230769230771</v>
      </c>
      <c r="J5" s="85" t="s">
        <v>143</v>
      </c>
      <c r="K5" s="87">
        <v>0.33333333333333331</v>
      </c>
      <c r="L5" s="85" t="s">
        <v>143</v>
      </c>
      <c r="M5" s="88">
        <v>0.29268292682926828</v>
      </c>
      <c r="N5" s="85" t="s">
        <v>143</v>
      </c>
      <c r="O5" s="88">
        <v>0.15040650406504066</v>
      </c>
      <c r="P5" s="85" t="s">
        <v>127</v>
      </c>
      <c r="Q5" s="89">
        <v>10929.411764705883</v>
      </c>
      <c r="R5" s="85" t="s">
        <v>176</v>
      </c>
      <c r="S5" s="89">
        <v>-13335</v>
      </c>
      <c r="T5" s="85" t="s">
        <v>143</v>
      </c>
      <c r="U5" s="87">
        <v>0.20512820512820512</v>
      </c>
      <c r="V5" s="85" t="s">
        <v>143</v>
      </c>
      <c r="W5" s="87">
        <v>0.20512820512820512</v>
      </c>
      <c r="X5" s="85" t="s">
        <v>143</v>
      </c>
      <c r="Y5" s="88">
        <v>0.26829268292682928</v>
      </c>
      <c r="Z5" s="85" t="s">
        <v>127</v>
      </c>
      <c r="AA5" s="88">
        <v>0.26829268292682928</v>
      </c>
      <c r="AB5" s="85" t="s">
        <v>177</v>
      </c>
      <c r="AC5" s="88">
        <v>0.62962962962962965</v>
      </c>
      <c r="AD5" s="85" t="s">
        <v>143</v>
      </c>
      <c r="AE5" s="88">
        <v>0.33823529411764708</v>
      </c>
      <c r="AF5" s="85" t="s">
        <v>177</v>
      </c>
      <c r="AG5" s="88">
        <v>0.45833333333333331</v>
      </c>
      <c r="AH5" s="85" t="s">
        <v>177</v>
      </c>
      <c r="AI5" s="92">
        <v>90200</v>
      </c>
    </row>
    <row r="6" spans="1:35" x14ac:dyDescent="0.4">
      <c r="A6" s="82">
        <v>4</v>
      </c>
      <c r="B6" s="83" t="s">
        <v>176</v>
      </c>
      <c r="C6" s="84">
        <v>-309.50000000000006</v>
      </c>
      <c r="D6" s="85" t="s">
        <v>176</v>
      </c>
      <c r="E6" s="97">
        <v>-23.807692307692314</v>
      </c>
      <c r="F6" s="85" t="s">
        <v>176</v>
      </c>
      <c r="G6" s="86">
        <v>2.3846153846153846</v>
      </c>
      <c r="H6" s="85" t="s">
        <v>176</v>
      </c>
      <c r="I6" s="87">
        <v>7.6923076923076927E-2</v>
      </c>
      <c r="J6" s="85" t="s">
        <v>176</v>
      </c>
      <c r="K6" s="87">
        <v>0.46153846153846156</v>
      </c>
      <c r="L6" s="85" t="s">
        <v>176</v>
      </c>
      <c r="M6" s="88">
        <v>0.17073170731707318</v>
      </c>
      <c r="N6" s="85" t="s">
        <v>176</v>
      </c>
      <c r="O6" s="88">
        <v>0.24390243902439024</v>
      </c>
      <c r="P6" s="85" t="s">
        <v>176</v>
      </c>
      <c r="Q6" s="89">
        <v>9307.1428571428569</v>
      </c>
      <c r="R6" s="85" t="s">
        <v>127</v>
      </c>
      <c r="S6" s="89">
        <v>-16100</v>
      </c>
      <c r="T6" s="85" t="s">
        <v>176</v>
      </c>
      <c r="U6" s="87">
        <v>0.38461538461538464</v>
      </c>
      <c r="V6" s="85" t="s">
        <v>176</v>
      </c>
      <c r="W6" s="87">
        <v>0</v>
      </c>
      <c r="X6" s="85" t="s">
        <v>176</v>
      </c>
      <c r="Y6" s="88">
        <v>8.5365853658536592E-2</v>
      </c>
      <c r="Z6" s="85" t="s">
        <v>177</v>
      </c>
      <c r="AA6" s="88">
        <v>0.15853658536585366</v>
      </c>
      <c r="AB6" s="85" t="s">
        <v>176</v>
      </c>
      <c r="AC6" s="88">
        <v>0.5714285714285714</v>
      </c>
      <c r="AD6" s="85" t="s">
        <v>176</v>
      </c>
      <c r="AE6" s="88">
        <v>0.24242424242424243</v>
      </c>
      <c r="AF6" s="85" t="s">
        <v>127</v>
      </c>
      <c r="AG6" s="88">
        <v>0.44117647058823528</v>
      </c>
      <c r="AH6" s="85" t="s">
        <v>176</v>
      </c>
      <c r="AI6" s="92">
        <v>52100</v>
      </c>
    </row>
  </sheetData>
  <sortState ref="AH3:AI24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69E-0C3A-4022-BA01-F1BF56FE7B7E}">
  <sheetPr codeName="Sheet4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39</v>
      </c>
      <c r="C2" s="147"/>
      <c r="E2" s="62" t="s">
        <v>173</v>
      </c>
      <c r="F2" s="59" t="s">
        <v>174</v>
      </c>
      <c r="G2" s="46">
        <v>61</v>
      </c>
      <c r="H2" s="132">
        <f>IF(B$17=0,0,G2/B$17)</f>
        <v>0.84722222222222221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39</v>
      </c>
      <c r="Q2" s="102">
        <v>0</v>
      </c>
    </row>
    <row r="3" spans="1:17" x14ac:dyDescent="0.4">
      <c r="A3" s="55" t="s">
        <v>8</v>
      </c>
      <c r="B3" s="148">
        <v>246</v>
      </c>
      <c r="C3" s="149"/>
      <c r="E3" s="63" t="s">
        <v>67</v>
      </c>
      <c r="F3" s="60" t="s">
        <v>23</v>
      </c>
      <c r="G3" s="47">
        <v>59</v>
      </c>
      <c r="H3" s="133">
        <f>IF(B$17=0,0,G3/B$17)</f>
        <v>0.81944444444444442</v>
      </c>
      <c r="I3" s="94">
        <v>2</v>
      </c>
      <c r="K3" s="38">
        <v>1</v>
      </c>
      <c r="L3" s="99">
        <v>-14.1</v>
      </c>
      <c r="N3" s="115" t="s">
        <v>131</v>
      </c>
      <c r="O3" s="122">
        <f t="shared" si="0"/>
        <v>-51.282051282051285</v>
      </c>
      <c r="P3" s="119">
        <v>39</v>
      </c>
      <c r="Q3" s="103">
        <v>-2000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41</v>
      </c>
      <c r="H4" s="133">
        <f>IF(B$17=0,0,G4/B$17)</f>
        <v>0.56944444444444442</v>
      </c>
      <c r="I4" s="94">
        <v>3</v>
      </c>
      <c r="K4" s="38">
        <v>2</v>
      </c>
      <c r="L4" s="99">
        <v>3.0000000000000018</v>
      </c>
      <c r="N4" s="115" t="s">
        <v>132</v>
      </c>
      <c r="O4" s="122">
        <f t="shared" si="0"/>
        <v>60.606060606060609</v>
      </c>
      <c r="P4" s="119">
        <v>33</v>
      </c>
      <c r="Q4" s="103">
        <v>2000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0.45833333333333331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-41.666666666666664</v>
      </c>
      <c r="P5" s="119">
        <v>24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169</v>
      </c>
      <c r="F6" s="60" t="s">
        <v>170</v>
      </c>
      <c r="G6" s="47">
        <v>29</v>
      </c>
      <c r="H6" s="133">
        <f>IF(B$17=0,0,G6/B$17)</f>
        <v>0.40277777777777779</v>
      </c>
      <c r="I6" s="94">
        <v>3</v>
      </c>
      <c r="K6" s="38">
        <v>4</v>
      </c>
      <c r="L6" s="99">
        <v>75</v>
      </c>
      <c r="N6" s="115" t="s">
        <v>134</v>
      </c>
      <c r="O6" s="122">
        <f t="shared" si="0"/>
        <v>66.666666666666671</v>
      </c>
      <c r="P6" s="119">
        <v>15</v>
      </c>
      <c r="Q6" s="103">
        <v>1000</v>
      </c>
    </row>
    <row r="7" spans="1:17" x14ac:dyDescent="0.4">
      <c r="A7" s="55" t="s">
        <v>2</v>
      </c>
      <c r="B7" s="47">
        <v>13</v>
      </c>
      <c r="C7" s="39">
        <f>IF(B$2=0,0,B7/B$2)</f>
        <v>0.33333333333333331</v>
      </c>
      <c r="E7" s="63" t="s">
        <v>73</v>
      </c>
      <c r="F7" s="60" t="s">
        <v>28</v>
      </c>
      <c r="G7" s="47">
        <v>28</v>
      </c>
      <c r="H7" s="133">
        <f>IF(B$17=0,0,G7/B$17)</f>
        <v>0.3888888888888889</v>
      </c>
      <c r="I7" s="94">
        <v>2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12</v>
      </c>
      <c r="Q7" s="104">
        <v>0</v>
      </c>
    </row>
    <row r="8" spans="1:17" x14ac:dyDescent="0.4">
      <c r="A8" s="55" t="s">
        <v>3</v>
      </c>
      <c r="B8" s="47">
        <v>13</v>
      </c>
      <c r="C8" s="39">
        <f>IF(B$2=0,0,B8/B$2)</f>
        <v>0.33333333333333331</v>
      </c>
      <c r="E8" s="63" t="s">
        <v>69</v>
      </c>
      <c r="F8" s="60" t="s">
        <v>12</v>
      </c>
      <c r="G8" s="47">
        <v>24</v>
      </c>
      <c r="H8" s="133">
        <f>IF(B$17=0,0,G8/B$17)</f>
        <v>0.33333333333333331</v>
      </c>
      <c r="I8" s="94">
        <v>2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16</v>
      </c>
      <c r="H9" s="133">
        <f>IF(B$17=0,0,G9/B$17)</f>
        <v>0.22222222222222221</v>
      </c>
      <c r="I9" s="94">
        <v>2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8</v>
      </c>
      <c r="C10" s="40">
        <f>IF(B$2=0,0,B10/B$2)</f>
        <v>0.20512820512820512</v>
      </c>
      <c r="E10" s="63" t="s">
        <v>70</v>
      </c>
      <c r="F10" s="60" t="s">
        <v>25</v>
      </c>
      <c r="G10" s="47">
        <v>12</v>
      </c>
      <c r="H10" s="133">
        <f>IF(B$17=0,0,G10/B$17)</f>
        <v>0.16666666666666666</v>
      </c>
      <c r="I10" s="94">
        <v>2</v>
      </c>
      <c r="K10" s="38">
        <v>8</v>
      </c>
      <c r="L10" s="99">
        <v>-1</v>
      </c>
      <c r="N10" s="114" t="s">
        <v>162</v>
      </c>
      <c r="O10" s="124">
        <f>IF(P10=0,0,Q10/P10)</f>
        <v>0.35384615384615559</v>
      </c>
      <c r="P10" s="118">
        <v>13</v>
      </c>
      <c r="Q10" s="106">
        <v>4.6000000000000227</v>
      </c>
    </row>
    <row r="11" spans="1:17" x14ac:dyDescent="0.4">
      <c r="A11" s="56" t="s">
        <v>138</v>
      </c>
      <c r="B11" s="48">
        <v>8</v>
      </c>
      <c r="C11" s="40">
        <f>IF(B$2=0,0,B11/B$2)</f>
        <v>0.20512820512820512</v>
      </c>
      <c r="E11" s="63" t="s">
        <v>72</v>
      </c>
      <c r="F11" s="60" t="s">
        <v>27</v>
      </c>
      <c r="G11" s="47">
        <v>8</v>
      </c>
      <c r="H11" s="133">
        <f>IF(B$17=0,0,G11/B$17)</f>
        <v>0.1111111111111111</v>
      </c>
      <c r="I11" s="94">
        <v>2</v>
      </c>
      <c r="K11" s="38">
        <v>9</v>
      </c>
      <c r="L11" s="99">
        <v>0</v>
      </c>
      <c r="N11" s="115" t="s">
        <v>163</v>
      </c>
      <c r="O11" s="125">
        <f>IF(P11=0,0,Q11/P11)</f>
        <v>6.6769230769230763</v>
      </c>
      <c r="P11" s="119">
        <v>13</v>
      </c>
      <c r="Q11" s="107">
        <v>86.8</v>
      </c>
    </row>
    <row r="12" spans="1:17" x14ac:dyDescent="0.4">
      <c r="A12" s="57" t="s">
        <v>158</v>
      </c>
      <c r="B12" s="49">
        <v>3</v>
      </c>
      <c r="C12" s="42">
        <f>IF(B$2=0,0,B12/B$2)</f>
        <v>7.6923076923076927E-2</v>
      </c>
      <c r="E12" s="63" t="s">
        <v>90</v>
      </c>
      <c r="F12" s="60" t="s">
        <v>45</v>
      </c>
      <c r="G12" s="47">
        <v>8</v>
      </c>
      <c r="H12" s="133">
        <f>IF(B$17=0,0,G12/B$17)</f>
        <v>0.1111111111111111</v>
      </c>
      <c r="I12" s="94">
        <v>2</v>
      </c>
      <c r="K12" s="38">
        <v>10</v>
      </c>
      <c r="L12" s="99">
        <v>28.5</v>
      </c>
      <c r="N12" s="116" t="s">
        <v>164</v>
      </c>
      <c r="O12" s="126">
        <f>IF(P12=0,0,Q12/P12)</f>
        <v>-7.0307692307692324</v>
      </c>
      <c r="P12" s="120">
        <v>13</v>
      </c>
      <c r="Q12" s="108">
        <v>-91.40000000000002</v>
      </c>
    </row>
    <row r="13" spans="1:17" x14ac:dyDescent="0.4">
      <c r="A13" s="58" t="s">
        <v>122</v>
      </c>
      <c r="B13" s="50">
        <v>66</v>
      </c>
      <c r="C13" s="44">
        <f>IF(B$3=0,0,B13/B$3)</f>
        <v>0.26829268292682928</v>
      </c>
      <c r="E13" s="63" t="s">
        <v>71</v>
      </c>
      <c r="F13" s="60" t="s">
        <v>26</v>
      </c>
      <c r="G13" s="47">
        <v>6</v>
      </c>
      <c r="H13" s="133">
        <f>IF(B$17=0,0,G13/B$17)</f>
        <v>8.3333333333333329E-2</v>
      </c>
      <c r="I13" s="94">
        <v>3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0.27642276422764228</v>
      </c>
      <c r="E14" s="63" t="s">
        <v>84</v>
      </c>
      <c r="F14" s="60" t="s">
        <v>39</v>
      </c>
      <c r="G14" s="47">
        <v>4</v>
      </c>
      <c r="H14" s="133">
        <f>IF(B$17=0,0,G14/B$17)</f>
        <v>5.5555555555555552E-2</v>
      </c>
      <c r="I14" s="94">
        <v>3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43</v>
      </c>
      <c r="C15" s="37">
        <f>IF(B$13=0,0,B15/B$13)</f>
        <v>0.65151515151515149</v>
      </c>
      <c r="E15" s="63" t="s">
        <v>82</v>
      </c>
      <c r="F15" s="60" t="s">
        <v>37</v>
      </c>
      <c r="G15" s="47">
        <v>3</v>
      </c>
      <c r="H15" s="133">
        <f>IF(B$17=0,0,G15/B$17)</f>
        <v>4.1666666666666664E-2</v>
      </c>
      <c r="I15" s="94">
        <v>2</v>
      </c>
      <c r="K15" s="38">
        <v>13</v>
      </c>
      <c r="L15" s="99">
        <v>18.100000000000001</v>
      </c>
      <c r="N15" s="114" t="s">
        <v>176</v>
      </c>
      <c r="O15" s="124">
        <f>IF(P15=0,0,Q15/P15)</f>
        <v>35.71153846153846</v>
      </c>
      <c r="P15" s="118">
        <v>26</v>
      </c>
      <c r="Q15" s="106">
        <v>928.5</v>
      </c>
    </row>
    <row r="16" spans="1:17" x14ac:dyDescent="0.4">
      <c r="A16" s="54" t="s">
        <v>125</v>
      </c>
      <c r="B16" s="46">
        <v>23</v>
      </c>
      <c r="C16" s="37">
        <f>IF(B$14=0,0,B16/B$14)</f>
        <v>0.33823529411764708</v>
      </c>
      <c r="E16" s="63" t="s">
        <v>87</v>
      </c>
      <c r="F16" s="60" t="s">
        <v>42</v>
      </c>
      <c r="G16" s="47">
        <v>3</v>
      </c>
      <c r="H16" s="133">
        <f>IF(B$17=0,0,G16/B$17)</f>
        <v>4.1666666666666664E-2</v>
      </c>
      <c r="I16" s="94">
        <v>2</v>
      </c>
      <c r="K16" s="38">
        <v>14</v>
      </c>
      <c r="L16" s="99">
        <v>-31.699999999999996</v>
      </c>
      <c r="N16" s="115" t="s">
        <v>177</v>
      </c>
      <c r="O16" s="125">
        <f>IF(P16=0,0,Q16/P16)</f>
        <v>-8.4461538461538499</v>
      </c>
      <c r="P16" s="119">
        <v>26</v>
      </c>
      <c r="Q16" s="107">
        <v>-219.60000000000008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0.29268292682926828</v>
      </c>
      <c r="E17" s="63" t="s">
        <v>79</v>
      </c>
      <c r="F17" s="60" t="s">
        <v>34</v>
      </c>
      <c r="G17" s="47">
        <v>2</v>
      </c>
      <c r="H17" s="133">
        <f>IF(B$17=0,0,G17/B$17)</f>
        <v>2.7777777777777776E-2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-27.265384615384605</v>
      </c>
      <c r="P17" s="119">
        <v>26</v>
      </c>
      <c r="Q17" s="107">
        <v>-708.89999999999975</v>
      </c>
    </row>
    <row r="18" spans="1:17" x14ac:dyDescent="0.4">
      <c r="A18" s="55" t="s">
        <v>12</v>
      </c>
      <c r="B18" s="47">
        <v>34</v>
      </c>
      <c r="C18" s="39">
        <f>IF(B$17=0,0,B18/B$17)</f>
        <v>0.47222222222222221</v>
      </c>
      <c r="E18" s="63" t="s">
        <v>74</v>
      </c>
      <c r="F18" s="60" t="s">
        <v>29</v>
      </c>
      <c r="G18" s="47">
        <v>1</v>
      </c>
      <c r="H18" s="133">
        <f>IF(B$17=0,0,G18/B$17)</f>
        <v>1.3888888888888888E-2</v>
      </c>
      <c r="I18" s="94">
        <v>2</v>
      </c>
      <c r="K18" s="38">
        <v>16</v>
      </c>
      <c r="L18" s="99">
        <v>6.8000000000000034</v>
      </c>
    </row>
    <row r="19" spans="1:17" x14ac:dyDescent="0.4">
      <c r="A19" s="55" t="s">
        <v>11</v>
      </c>
      <c r="B19" s="47">
        <v>38</v>
      </c>
      <c r="C19" s="39">
        <f>IF(B$17=0,0,B19/B$17)</f>
        <v>0.52777777777777779</v>
      </c>
      <c r="E19" s="63" t="s">
        <v>76</v>
      </c>
      <c r="F19" s="60" t="s">
        <v>31</v>
      </c>
      <c r="G19" s="47">
        <v>1</v>
      </c>
      <c r="H19" s="133">
        <f>IF(B$17=0,0,G19/B$17)</f>
        <v>1.3888888888888888E-2</v>
      </c>
      <c r="I19" s="94">
        <v>2</v>
      </c>
      <c r="K19" s="38">
        <v>17</v>
      </c>
      <c r="L19" s="99">
        <v>-0.8999999999999968</v>
      </c>
    </row>
    <row r="20" spans="1:17" x14ac:dyDescent="0.4">
      <c r="A20" s="55" t="s">
        <v>13</v>
      </c>
      <c r="B20" s="47">
        <v>37</v>
      </c>
      <c r="C20" s="39">
        <f>IF(B$3=0,0,B20/B$3)</f>
        <v>0.15040650406504066</v>
      </c>
      <c r="E20" s="63" t="s">
        <v>78</v>
      </c>
      <c r="F20" s="60" t="s">
        <v>33</v>
      </c>
      <c r="G20" s="47">
        <v>1</v>
      </c>
      <c r="H20" s="133">
        <f>IF(B$17=0,0,G20/B$17)</f>
        <v>1.3888888888888888E-2</v>
      </c>
      <c r="I20" s="94">
        <v>2</v>
      </c>
      <c r="K20" s="38">
        <v>18</v>
      </c>
      <c r="L20" s="99">
        <v>3.219646771412954E-15</v>
      </c>
    </row>
    <row r="21" spans="1:17" x14ac:dyDescent="0.4">
      <c r="A21" s="55" t="s">
        <v>171</v>
      </c>
      <c r="B21" s="47">
        <v>4</v>
      </c>
      <c r="C21" s="135">
        <v>4</v>
      </c>
      <c r="E21" s="63" t="s">
        <v>96</v>
      </c>
      <c r="F21" s="60" t="s">
        <v>51</v>
      </c>
      <c r="G21" s="47">
        <v>1</v>
      </c>
      <c r="H21" s="133">
        <f>IF(B$17=0,0,G21/B$17)</f>
        <v>1.3888888888888888E-2</v>
      </c>
      <c r="I21" s="94">
        <v>2</v>
      </c>
      <c r="K21" s="38">
        <v>19</v>
      </c>
      <c r="L21" s="99">
        <v>75.8</v>
      </c>
    </row>
    <row r="22" spans="1:17" x14ac:dyDescent="0.4">
      <c r="A22" s="55" t="s">
        <v>172</v>
      </c>
      <c r="B22" s="47">
        <v>28</v>
      </c>
      <c r="C22" s="135">
        <v>5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11.799999999999997</v>
      </c>
    </row>
    <row r="23" spans="1:17" x14ac:dyDescent="0.4">
      <c r="A23" s="55" t="s">
        <v>5</v>
      </c>
      <c r="B23" s="51">
        <f>IF(B$17=0,0,C23/B$17)</f>
        <v>11180.555555555555</v>
      </c>
      <c r="C23" s="41">
        <v>805000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-3.5527136788005009E-15</v>
      </c>
    </row>
    <row r="24" spans="1:17" x14ac:dyDescent="0.4">
      <c r="A24" s="57" t="s">
        <v>14</v>
      </c>
      <c r="B24" s="52">
        <f>IF(B$20=0,0,C24/B$20)</f>
        <v>-12967.567567567568</v>
      </c>
      <c r="C24" s="45">
        <v>-479800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37</v>
      </c>
    </row>
    <row r="25" spans="1:17" x14ac:dyDescent="0.4">
      <c r="A25" s="90" t="s">
        <v>140</v>
      </c>
      <c r="B25" s="140">
        <v>9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30.1</v>
      </c>
    </row>
    <row r="26" spans="1:17" x14ac:dyDescent="0.4">
      <c r="A26" s="58" t="s">
        <v>150</v>
      </c>
      <c r="B26" s="138">
        <v>110000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-69.8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0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-15.4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-75.2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0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F17-7B5A-4823-8697-34D9694130F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13</v>
      </c>
      <c r="C2" s="147"/>
      <c r="E2" s="62" t="s">
        <v>173</v>
      </c>
      <c r="F2" s="59" t="s">
        <v>174</v>
      </c>
      <c r="G2" s="46">
        <v>25</v>
      </c>
      <c r="H2" s="132">
        <f>IF(B$17=0,0,G2/B$17)</f>
        <v>0.73529411764705888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692.30769230769226</v>
      </c>
      <c r="P2" s="118">
        <v>13</v>
      </c>
      <c r="Q2" s="102">
        <v>9000</v>
      </c>
    </row>
    <row r="3" spans="1:17" x14ac:dyDescent="0.4">
      <c r="A3" s="55" t="s">
        <v>8</v>
      </c>
      <c r="B3" s="148">
        <v>82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0.67647058823529416</v>
      </c>
      <c r="I3" s="94">
        <v>4</v>
      </c>
      <c r="K3" s="38">
        <v>1</v>
      </c>
      <c r="L3" s="99">
        <v>-14.1</v>
      </c>
      <c r="N3" s="115" t="s">
        <v>131</v>
      </c>
      <c r="O3" s="122">
        <f t="shared" si="0"/>
        <v>9930.7692307692305</v>
      </c>
      <c r="P3" s="119">
        <v>13</v>
      </c>
      <c r="Q3" s="103">
        <v>129100</v>
      </c>
    </row>
    <row r="4" spans="1:17" x14ac:dyDescent="0.4">
      <c r="A4" s="55" t="s">
        <v>6</v>
      </c>
      <c r="B4" s="150">
        <v>236.30000000000007</v>
      </c>
      <c r="C4" s="151"/>
      <c r="E4" s="63" t="s">
        <v>65</v>
      </c>
      <c r="F4" s="60" t="s">
        <v>21</v>
      </c>
      <c r="G4" s="47">
        <v>20</v>
      </c>
      <c r="H4" s="133">
        <f>IF(B$17=0,0,G4/B$17)</f>
        <v>0.58823529411764708</v>
      </c>
      <c r="I4" s="94">
        <v>2</v>
      </c>
      <c r="K4" s="38">
        <v>2</v>
      </c>
      <c r="L4" s="99">
        <v>60.9</v>
      </c>
      <c r="N4" s="115" t="s">
        <v>132</v>
      </c>
      <c r="O4" s="122">
        <f t="shared" si="0"/>
        <v>-200</v>
      </c>
      <c r="P4" s="119">
        <v>11</v>
      </c>
      <c r="Q4" s="103">
        <v>-2200</v>
      </c>
    </row>
    <row r="5" spans="1:17" x14ac:dyDescent="0.4">
      <c r="A5" s="55" t="s">
        <v>7</v>
      </c>
      <c r="B5" s="152">
        <f>IF(B$2=0,0,B$4/B$2)</f>
        <v>18.176923076923082</v>
      </c>
      <c r="C5" s="153"/>
      <c r="E5" s="63" t="s">
        <v>68</v>
      </c>
      <c r="F5" s="60" t="s">
        <v>24</v>
      </c>
      <c r="G5" s="47">
        <v>17</v>
      </c>
      <c r="H5" s="133">
        <f>IF(B$17=0,0,G5/B$17)</f>
        <v>0.5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11900</v>
      </c>
      <c r="P5" s="119">
        <v>8</v>
      </c>
      <c r="Q5" s="103">
        <v>95200</v>
      </c>
    </row>
    <row r="6" spans="1:17" x14ac:dyDescent="0.4">
      <c r="A6" s="55" t="s">
        <v>1</v>
      </c>
      <c r="B6" s="142">
        <f>IF(B$2=0,0,(B$7*1+B$8*2+B$9*3)/B$2)</f>
        <v>1.6153846153846154</v>
      </c>
      <c r="C6" s="143"/>
      <c r="E6" s="63" t="s">
        <v>73</v>
      </c>
      <c r="F6" s="60" t="s">
        <v>28</v>
      </c>
      <c r="G6" s="47">
        <v>15</v>
      </c>
      <c r="H6" s="133">
        <f>IF(B$17=0,0,G6/B$17)</f>
        <v>0.44117647058823528</v>
      </c>
      <c r="I6" s="94">
        <v>1</v>
      </c>
      <c r="K6" s="38">
        <v>4</v>
      </c>
      <c r="L6" s="99">
        <v>134.4</v>
      </c>
      <c r="N6" s="115" t="s">
        <v>134</v>
      </c>
      <c r="O6" s="122">
        <f t="shared" si="0"/>
        <v>-10200</v>
      </c>
      <c r="P6" s="119">
        <v>5</v>
      </c>
      <c r="Q6" s="103">
        <v>-51000</v>
      </c>
    </row>
    <row r="7" spans="1:17" x14ac:dyDescent="0.4">
      <c r="A7" s="55" t="s">
        <v>2</v>
      </c>
      <c r="B7" s="47">
        <v>8</v>
      </c>
      <c r="C7" s="39">
        <f>IF(B$2=0,0,B7/B$2)</f>
        <v>0.61538461538461542</v>
      </c>
      <c r="E7" s="63" t="s">
        <v>169</v>
      </c>
      <c r="F7" s="60" t="s">
        <v>170</v>
      </c>
      <c r="G7" s="47">
        <v>15</v>
      </c>
      <c r="H7" s="133">
        <f>IF(B$17=0,0,G7/B$17)</f>
        <v>0.44117647058823528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4050</v>
      </c>
      <c r="P7" s="120">
        <v>4</v>
      </c>
      <c r="Q7" s="104">
        <v>16200</v>
      </c>
    </row>
    <row r="8" spans="1:17" x14ac:dyDescent="0.4">
      <c r="A8" s="55" t="s">
        <v>3</v>
      </c>
      <c r="B8" s="47">
        <v>2</v>
      </c>
      <c r="C8" s="39">
        <f>IF(B$2=0,0,B8/B$2)</f>
        <v>0.15384615384615385</v>
      </c>
      <c r="E8" s="63" t="s">
        <v>69</v>
      </c>
      <c r="F8" s="60" t="s">
        <v>12</v>
      </c>
      <c r="G8" s="47">
        <v>11</v>
      </c>
      <c r="H8" s="133">
        <f>IF(B$17=0,0,G8/B$17)</f>
        <v>0.3235294117647059</v>
      </c>
      <c r="I8" s="94">
        <v>3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0.23076923076923078</v>
      </c>
      <c r="E9" s="63" t="s">
        <v>66</v>
      </c>
      <c r="F9" s="60" t="s">
        <v>22</v>
      </c>
      <c r="G9" s="47">
        <v>9</v>
      </c>
      <c r="H9" s="133">
        <f>IF(B$17=0,0,G9/B$17)</f>
        <v>0.26470588235294118</v>
      </c>
      <c r="I9" s="94">
        <v>1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0.15384615384615385</v>
      </c>
      <c r="E10" s="63" t="s">
        <v>70</v>
      </c>
      <c r="F10" s="60" t="s">
        <v>25</v>
      </c>
      <c r="G10" s="47">
        <v>7</v>
      </c>
      <c r="H10" s="133">
        <f>IF(B$17=0,0,G10/B$17)</f>
        <v>0.20588235294117646</v>
      </c>
      <c r="I10" s="94">
        <v>1</v>
      </c>
      <c r="K10" s="38">
        <v>8</v>
      </c>
      <c r="L10" s="99">
        <v>272.10000000000002</v>
      </c>
      <c r="N10" s="114" t="s">
        <v>162</v>
      </c>
      <c r="O10" s="124">
        <f>IF(P10=0,0,Q10/P10)</f>
        <v>8.84</v>
      </c>
      <c r="P10" s="118">
        <v>5</v>
      </c>
      <c r="Q10" s="106">
        <v>44.2</v>
      </c>
    </row>
    <row r="11" spans="1:17" x14ac:dyDescent="0.4">
      <c r="A11" s="56" t="s">
        <v>138</v>
      </c>
      <c r="B11" s="48">
        <v>4</v>
      </c>
      <c r="C11" s="40">
        <f>IF(B$2=0,0,B11/B$2)</f>
        <v>0.30769230769230771</v>
      </c>
      <c r="E11" s="63" t="s">
        <v>72</v>
      </c>
      <c r="F11" s="60" t="s">
        <v>27</v>
      </c>
      <c r="G11" s="47">
        <v>6</v>
      </c>
      <c r="H11" s="133">
        <f>IF(B$17=0,0,G11/B$17)</f>
        <v>0.17647058823529413</v>
      </c>
      <c r="I11" s="94">
        <v>1</v>
      </c>
      <c r="K11" s="38">
        <v>9</v>
      </c>
      <c r="L11" s="99">
        <v>272.10000000000002</v>
      </c>
      <c r="N11" s="115" t="s">
        <v>163</v>
      </c>
      <c r="O11" s="125">
        <f>IF(P11=0,0,Q11/P11)</f>
        <v>23.371428571428567</v>
      </c>
      <c r="P11" s="119">
        <v>7</v>
      </c>
      <c r="Q11" s="107">
        <v>163.59999999999997</v>
      </c>
    </row>
    <row r="12" spans="1:17" x14ac:dyDescent="0.4">
      <c r="A12" s="57" t="s">
        <v>158</v>
      </c>
      <c r="B12" s="49">
        <v>1</v>
      </c>
      <c r="C12" s="42">
        <f>IF(B$2=0,0,B12/B$2)</f>
        <v>7.6923076923076927E-2</v>
      </c>
      <c r="E12" s="63" t="s">
        <v>90</v>
      </c>
      <c r="F12" s="60" t="s">
        <v>45</v>
      </c>
      <c r="G12" s="47">
        <v>6</v>
      </c>
      <c r="H12" s="133">
        <f>IF(B$17=0,0,G12/B$17)</f>
        <v>0.17647058823529413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28.5</v>
      </c>
      <c r="P12" s="120">
        <v>1</v>
      </c>
      <c r="Q12" s="108">
        <v>28.5</v>
      </c>
    </row>
    <row r="13" spans="1:17" x14ac:dyDescent="0.4">
      <c r="A13" s="58" t="s">
        <v>122</v>
      </c>
      <c r="B13" s="50">
        <v>32</v>
      </c>
      <c r="C13" s="44">
        <f>IF(B$3=0,0,B13/B$3)</f>
        <v>0.3902439024390244</v>
      </c>
      <c r="E13" s="63" t="s">
        <v>71</v>
      </c>
      <c r="F13" s="60" t="s">
        <v>26</v>
      </c>
      <c r="G13" s="47">
        <v>3</v>
      </c>
      <c r="H13" s="133">
        <f>IF(B$17=0,0,G13/B$17)</f>
        <v>8.8235294117647065E-2</v>
      </c>
      <c r="I13" s="94">
        <v>2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0.26829268292682928</v>
      </c>
      <c r="E14" s="63" t="s">
        <v>82</v>
      </c>
      <c r="F14" s="60" t="s">
        <v>37</v>
      </c>
      <c r="G14" s="47">
        <v>2</v>
      </c>
      <c r="H14" s="133">
        <f>IF(B$17=0,0,G14/B$17)</f>
        <v>5.8823529411764705E-2</v>
      </c>
      <c r="I14" s="94">
        <v>1</v>
      </c>
      <c r="K14" s="38">
        <v>12</v>
      </c>
      <c r="L14" s="99">
        <v>296.10000000000008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22</v>
      </c>
      <c r="C15" s="37">
        <f>IF(B$13=0,0,B15/B$13)</f>
        <v>0.6875</v>
      </c>
      <c r="E15" s="63" t="s">
        <v>84</v>
      </c>
      <c r="F15" s="60" t="s">
        <v>39</v>
      </c>
      <c r="G15" s="47">
        <v>2</v>
      </c>
      <c r="H15" s="133">
        <f>IF(B$17=0,0,G15/B$17)</f>
        <v>5.8823529411764705E-2</v>
      </c>
      <c r="I15" s="94">
        <v>2</v>
      </c>
      <c r="K15" s="38">
        <v>13</v>
      </c>
      <c r="L15" s="99">
        <v>236.30000000000007</v>
      </c>
      <c r="N15" s="114" t="s">
        <v>176</v>
      </c>
      <c r="O15" s="124">
        <f>IF(P15=0,0,Q15/P15)</f>
        <v>41.984615384615381</v>
      </c>
      <c r="P15" s="118">
        <v>13</v>
      </c>
      <c r="Q15" s="106">
        <v>545.79999999999995</v>
      </c>
    </row>
    <row r="16" spans="1:17" x14ac:dyDescent="0.4">
      <c r="A16" s="54" t="s">
        <v>125</v>
      </c>
      <c r="B16" s="46">
        <v>9</v>
      </c>
      <c r="C16" s="37">
        <f>IF(B$14=0,0,B16/B$14)</f>
        <v>0.40909090909090912</v>
      </c>
      <c r="E16" s="63" t="s">
        <v>87</v>
      </c>
      <c r="F16" s="60" t="s">
        <v>42</v>
      </c>
      <c r="G16" s="47">
        <v>2</v>
      </c>
      <c r="H16" s="133">
        <f>IF(B$17=0,0,G16/B$17)</f>
        <v>5.8823529411764705E-2</v>
      </c>
      <c r="I16" s="94">
        <v>1</v>
      </c>
      <c r="N16" s="115" t="s">
        <v>177</v>
      </c>
      <c r="O16" s="125">
        <f>IF(P16=0,0,Q16/P16)</f>
        <v>12.546153846153857</v>
      </c>
      <c r="P16" s="119">
        <v>13</v>
      </c>
      <c r="Q16" s="107">
        <v>163.10000000000014</v>
      </c>
    </row>
    <row r="17" spans="1:9" x14ac:dyDescent="0.4">
      <c r="A17" s="54" t="s">
        <v>10</v>
      </c>
      <c r="B17" s="46">
        <f>B19+B18</f>
        <v>34</v>
      </c>
      <c r="C17" s="37">
        <f>IF(B$3=0,0,B17/B$3)</f>
        <v>0.41463414634146339</v>
      </c>
      <c r="E17" s="63" t="s">
        <v>74</v>
      </c>
      <c r="F17" s="60" t="s">
        <v>29</v>
      </c>
      <c r="G17" s="47">
        <v>1</v>
      </c>
      <c r="H17" s="133">
        <f>IF(B$17=0,0,G17/B$17)</f>
        <v>2.9411764705882353E-2</v>
      </c>
      <c r="I17" s="94">
        <v>1</v>
      </c>
    </row>
    <row r="18" spans="1:9" x14ac:dyDescent="0.4">
      <c r="A18" s="55" t="s">
        <v>12</v>
      </c>
      <c r="B18" s="47">
        <v>15</v>
      </c>
      <c r="C18" s="39">
        <f>IF(B$17=0,0,B18/B$17)</f>
        <v>0.44117647058823528</v>
      </c>
      <c r="E18" s="63" t="s">
        <v>78</v>
      </c>
      <c r="F18" s="60" t="s">
        <v>33</v>
      </c>
      <c r="G18" s="47">
        <v>1</v>
      </c>
      <c r="H18" s="133">
        <f>IF(B$17=0,0,G18/B$17)</f>
        <v>2.9411764705882353E-2</v>
      </c>
      <c r="I18" s="94">
        <v>1</v>
      </c>
    </row>
    <row r="19" spans="1:9" x14ac:dyDescent="0.4">
      <c r="A19" s="55" t="s">
        <v>11</v>
      </c>
      <c r="B19" s="47">
        <v>19</v>
      </c>
      <c r="C19" s="39">
        <f>IF(B$17=0,0,B19/B$17)</f>
        <v>0.55882352941176472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7</v>
      </c>
      <c r="C20" s="39">
        <f>IF(B$3=0,0,B20/B$3)</f>
        <v>8.5365853658536592E-2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5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25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10929.411764705883</v>
      </c>
      <c r="C23" s="41">
        <v>371600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-16100</v>
      </c>
      <c r="C24" s="45">
        <v>-112700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38">
        <v>110000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AD01-9319-40C3-B1F3-EA3278758F8A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13</v>
      </c>
      <c r="C2" s="147"/>
      <c r="E2" s="62" t="s">
        <v>67</v>
      </c>
      <c r="F2" s="59" t="s">
        <v>23</v>
      </c>
      <c r="G2" s="46">
        <v>17</v>
      </c>
      <c r="H2" s="132">
        <f>IF(B$17=0,0,G2/B$17)</f>
        <v>1.2142857142857142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-869.23076923076928</v>
      </c>
      <c r="P2" s="118">
        <v>13</v>
      </c>
      <c r="Q2" s="102">
        <v>-11300</v>
      </c>
    </row>
    <row r="3" spans="1:17" x14ac:dyDescent="0.4">
      <c r="A3" s="55" t="s">
        <v>8</v>
      </c>
      <c r="B3" s="148">
        <v>82</v>
      </c>
      <c r="C3" s="149"/>
      <c r="E3" s="63" t="s">
        <v>173</v>
      </c>
      <c r="F3" s="60" t="s">
        <v>174</v>
      </c>
      <c r="G3" s="47">
        <v>14</v>
      </c>
      <c r="H3" s="133">
        <f>IF(B$17=0,0,G3/B$17)</f>
        <v>1</v>
      </c>
      <c r="I3" s="94">
        <v>1</v>
      </c>
      <c r="K3" s="38">
        <v>1</v>
      </c>
      <c r="L3" s="99">
        <v>17.100000000000001</v>
      </c>
      <c r="N3" s="115" t="s">
        <v>131</v>
      </c>
      <c r="O3" s="122">
        <f t="shared" si="0"/>
        <v>-10615.384615384615</v>
      </c>
      <c r="P3" s="119">
        <v>13</v>
      </c>
      <c r="Q3" s="103">
        <v>-138000</v>
      </c>
    </row>
    <row r="4" spans="1:17" x14ac:dyDescent="0.4">
      <c r="A4" s="55" t="s">
        <v>6</v>
      </c>
      <c r="B4" s="150">
        <v>-309.50000000000006</v>
      </c>
      <c r="C4" s="151"/>
      <c r="E4" s="63" t="s">
        <v>169</v>
      </c>
      <c r="F4" s="60" t="s">
        <v>170</v>
      </c>
      <c r="G4" s="47">
        <v>6</v>
      </c>
      <c r="H4" s="133">
        <f>IF(B$17=0,0,G4/B$17)</f>
        <v>0.42857142857142855</v>
      </c>
      <c r="I4" s="94">
        <v>2</v>
      </c>
      <c r="K4" s="38">
        <v>2</v>
      </c>
      <c r="L4" s="99">
        <v>-38.9</v>
      </c>
      <c r="N4" s="115" t="s">
        <v>132</v>
      </c>
      <c r="O4" s="122">
        <f t="shared" si="0"/>
        <v>-2709.090909090909</v>
      </c>
      <c r="P4" s="119">
        <v>11</v>
      </c>
      <c r="Q4" s="103">
        <v>-29800</v>
      </c>
    </row>
    <row r="5" spans="1:17" x14ac:dyDescent="0.4">
      <c r="A5" s="55" t="s">
        <v>7</v>
      </c>
      <c r="B5" s="152">
        <f>IF(B$2=0,0,B$4/B$2)</f>
        <v>-23.807692307692314</v>
      </c>
      <c r="C5" s="153"/>
      <c r="E5" s="63" t="s">
        <v>65</v>
      </c>
      <c r="F5" s="60" t="s">
        <v>21</v>
      </c>
      <c r="G5" s="47">
        <v>4</v>
      </c>
      <c r="H5" s="133">
        <f>IF(B$17=0,0,G5/B$17)</f>
        <v>0.2857142857142857</v>
      </c>
      <c r="I5" s="94">
        <v>4</v>
      </c>
      <c r="K5" s="38">
        <v>3</v>
      </c>
      <c r="L5" s="99">
        <v>-84.9</v>
      </c>
      <c r="N5" s="115" t="s">
        <v>133</v>
      </c>
      <c r="O5" s="122">
        <f t="shared" si="0"/>
        <v>-9987.5</v>
      </c>
      <c r="P5" s="119">
        <v>8</v>
      </c>
      <c r="Q5" s="103">
        <v>-79900</v>
      </c>
    </row>
    <row r="6" spans="1:17" x14ac:dyDescent="0.4">
      <c r="A6" s="55" t="s">
        <v>1</v>
      </c>
      <c r="B6" s="142">
        <f>IF(B$2=0,0,(B$7*1+B$8*2+B$9*3)/B$2)</f>
        <v>2.3846153846153846</v>
      </c>
      <c r="C6" s="143"/>
      <c r="E6" s="63" t="s">
        <v>73</v>
      </c>
      <c r="F6" s="60" t="s">
        <v>28</v>
      </c>
      <c r="G6" s="47">
        <v>4</v>
      </c>
      <c r="H6" s="133">
        <f>IF(B$17=0,0,G6/B$17)</f>
        <v>0.2857142857142857</v>
      </c>
      <c r="I6" s="94">
        <v>4</v>
      </c>
      <c r="K6" s="38">
        <v>4</v>
      </c>
      <c r="L6" s="99">
        <v>-74.800000000000011</v>
      </c>
      <c r="N6" s="115" t="s">
        <v>134</v>
      </c>
      <c r="O6" s="122">
        <f t="shared" si="0"/>
        <v>-2680</v>
      </c>
      <c r="P6" s="119">
        <v>5</v>
      </c>
      <c r="Q6" s="103">
        <v>-13400</v>
      </c>
    </row>
    <row r="7" spans="1:17" x14ac:dyDescent="0.4">
      <c r="A7" s="55" t="s">
        <v>2</v>
      </c>
      <c r="B7" s="47">
        <v>1</v>
      </c>
      <c r="C7" s="39">
        <f>IF(B$2=0,0,B7/B$2)</f>
        <v>7.6923076923076927E-2</v>
      </c>
      <c r="E7" s="63" t="s">
        <v>69</v>
      </c>
      <c r="F7" s="60" t="s">
        <v>12</v>
      </c>
      <c r="G7" s="47">
        <v>3</v>
      </c>
      <c r="H7" s="133">
        <f>IF(B$17=0,0,G7/B$17)</f>
        <v>0.21428571428571427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725</v>
      </c>
      <c r="P7" s="120">
        <v>4</v>
      </c>
      <c r="Q7" s="104">
        <v>2900</v>
      </c>
    </row>
    <row r="8" spans="1:17" x14ac:dyDescent="0.4">
      <c r="A8" s="55" t="s">
        <v>3</v>
      </c>
      <c r="B8" s="47">
        <v>6</v>
      </c>
      <c r="C8" s="39">
        <f>IF(B$2=0,0,B8/B$2)</f>
        <v>0.46153846153846156</v>
      </c>
      <c r="E8" s="63" t="s">
        <v>66</v>
      </c>
      <c r="F8" s="60" t="s">
        <v>22</v>
      </c>
      <c r="G8" s="47">
        <v>2</v>
      </c>
      <c r="H8" s="133">
        <f>IF(B$17=0,0,G8/B$17)</f>
        <v>0.14285714285714285</v>
      </c>
      <c r="I8" s="94">
        <v>4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0.46153846153846156</v>
      </c>
      <c r="E9" s="63" t="s">
        <v>68</v>
      </c>
      <c r="F9" s="60" t="s">
        <v>24</v>
      </c>
      <c r="G9" s="47">
        <v>2</v>
      </c>
      <c r="H9" s="133">
        <f>IF(B$17=0,0,G9/B$17)</f>
        <v>0.14285714285714285</v>
      </c>
      <c r="I9" s="94">
        <v>4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5</v>
      </c>
      <c r="C10" s="40">
        <f>IF(B$2=0,0,B10/B$2)</f>
        <v>0.38461538461538464</v>
      </c>
      <c r="E10" s="63" t="s">
        <v>70</v>
      </c>
      <c r="F10" s="60" t="s">
        <v>25</v>
      </c>
      <c r="G10" s="47">
        <v>2</v>
      </c>
      <c r="H10" s="133">
        <f>IF(B$17=0,0,G10/B$17)</f>
        <v>0.14285714285714285</v>
      </c>
      <c r="I10" s="94">
        <v>3</v>
      </c>
      <c r="K10" s="38">
        <v>8</v>
      </c>
      <c r="L10" s="99">
        <v>-203.20000000000002</v>
      </c>
      <c r="N10" s="114" t="s">
        <v>162</v>
      </c>
      <c r="O10" s="124">
        <f>IF(P10=0,0,Q10/P10)</f>
        <v>1.5</v>
      </c>
      <c r="P10" s="118">
        <v>2</v>
      </c>
      <c r="Q10" s="106">
        <v>3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2</v>
      </c>
      <c r="H11" s="133">
        <f>IF(B$17=0,0,G11/B$17)</f>
        <v>0.14285714285714285</v>
      </c>
      <c r="I11" s="94">
        <v>1</v>
      </c>
      <c r="K11" s="38">
        <v>9</v>
      </c>
      <c r="L11" s="99">
        <v>-267.90000000000003</v>
      </c>
      <c r="N11" s="115" t="s">
        <v>163</v>
      </c>
      <c r="O11" s="125">
        <f>IF(P11=0,0,Q11/P11)</f>
        <v>-28.349999999999998</v>
      </c>
      <c r="P11" s="119">
        <v>4</v>
      </c>
      <c r="Q11" s="107">
        <v>-113.39999999999999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84</v>
      </c>
      <c r="F12" s="60" t="s">
        <v>39</v>
      </c>
      <c r="G12" s="47">
        <v>2</v>
      </c>
      <c r="H12" s="133">
        <f>IF(B$17=0,0,G12/B$17)</f>
        <v>0.14285714285714285</v>
      </c>
      <c r="I12" s="94">
        <v>1</v>
      </c>
      <c r="K12" s="38">
        <v>10</v>
      </c>
      <c r="L12" s="99">
        <v>-277.70000000000005</v>
      </c>
      <c r="N12" s="116" t="s">
        <v>164</v>
      </c>
      <c r="O12" s="126">
        <f>IF(P12=0,0,Q12/P12)</f>
        <v>-28.442857142857147</v>
      </c>
      <c r="P12" s="120">
        <v>7</v>
      </c>
      <c r="Q12" s="108">
        <v>-199.10000000000002</v>
      </c>
    </row>
    <row r="13" spans="1:17" x14ac:dyDescent="0.4">
      <c r="A13" s="58" t="s">
        <v>122</v>
      </c>
      <c r="B13" s="50">
        <v>7</v>
      </c>
      <c r="C13" s="44">
        <f>IF(B$3=0,0,B13/B$3)</f>
        <v>8.5365853658536592E-2</v>
      </c>
      <c r="E13" s="63" t="s">
        <v>72</v>
      </c>
      <c r="F13" s="60" t="s">
        <v>27</v>
      </c>
      <c r="G13" s="47">
        <v>1</v>
      </c>
      <c r="H13" s="133">
        <f>IF(B$17=0,0,G13/B$17)</f>
        <v>7.1428571428571425E-2</v>
      </c>
      <c r="I13" s="94">
        <v>3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0.40243902439024393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4</v>
      </c>
      <c r="K14" s="38">
        <v>12</v>
      </c>
      <c r="L14" s="99">
        <v>-294.10000000000008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-309.50000000000006</v>
      </c>
      <c r="N15" s="114" t="s">
        <v>177</v>
      </c>
      <c r="O15" s="124">
        <f>IF(P15=0,0,Q15/P15)</f>
        <v>-29.438461538461532</v>
      </c>
      <c r="P15" s="118">
        <v>13</v>
      </c>
      <c r="Q15" s="106">
        <v>-382.69999999999993</v>
      </c>
    </row>
    <row r="16" spans="1:17" x14ac:dyDescent="0.4">
      <c r="A16" s="54" t="s">
        <v>125</v>
      </c>
      <c r="B16" s="46">
        <v>8</v>
      </c>
      <c r="C16" s="37">
        <f>IF(B$14=0,0,B16/B$14)</f>
        <v>0.24242424242424243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-41.984615384615381</v>
      </c>
      <c r="P16" s="119">
        <v>13</v>
      </c>
      <c r="Q16" s="107">
        <v>-545.79999999999995</v>
      </c>
    </row>
    <row r="17" spans="1:9" x14ac:dyDescent="0.4">
      <c r="A17" s="54" t="s">
        <v>10</v>
      </c>
      <c r="B17" s="46">
        <f>B19+B18</f>
        <v>14</v>
      </c>
      <c r="C17" s="37">
        <f>IF(B$3=0,0,B17/B$3)</f>
        <v>0.17073170731707318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20</v>
      </c>
      <c r="C20" s="39">
        <f>IF(B$3=0,0,B20/B$3)</f>
        <v>0.24390243902439024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17</v>
      </c>
      <c r="C22" s="135">
        <v>17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9307.1428571428569</v>
      </c>
      <c r="C23" s="41">
        <v>130300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-13335</v>
      </c>
      <c r="C24" s="45">
        <v>-266700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38">
        <v>52100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288D-25FB-489B-8DAD-58F885342417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13</v>
      </c>
      <c r="C2" s="147"/>
      <c r="E2" s="62" t="s">
        <v>173</v>
      </c>
      <c r="F2" s="59" t="s">
        <v>174</v>
      </c>
      <c r="G2" s="46">
        <v>22</v>
      </c>
      <c r="H2" s="132">
        <f>IF(B$17=0,0,G2/B$17)</f>
        <v>0.91666666666666663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176.92307692307693</v>
      </c>
      <c r="P2" s="118">
        <v>13</v>
      </c>
      <c r="Q2" s="102">
        <v>2300</v>
      </c>
    </row>
    <row r="3" spans="1:17" x14ac:dyDescent="0.4">
      <c r="A3" s="55" t="s">
        <v>8</v>
      </c>
      <c r="B3" s="148">
        <v>82</v>
      </c>
      <c r="C3" s="149"/>
      <c r="E3" s="63" t="s">
        <v>67</v>
      </c>
      <c r="F3" s="60" t="s">
        <v>23</v>
      </c>
      <c r="G3" s="47">
        <v>19</v>
      </c>
      <c r="H3" s="133">
        <f>IF(B$17=0,0,G3/B$17)</f>
        <v>0.79166666666666663</v>
      </c>
      <c r="I3" s="94">
        <v>3</v>
      </c>
      <c r="K3" s="38">
        <v>1</v>
      </c>
      <c r="L3" s="99">
        <v>-3</v>
      </c>
      <c r="N3" s="115" t="s">
        <v>131</v>
      </c>
      <c r="O3" s="122">
        <f t="shared" si="0"/>
        <v>530.76923076923072</v>
      </c>
      <c r="P3" s="119">
        <v>13</v>
      </c>
      <c r="Q3" s="103">
        <v>6900</v>
      </c>
    </row>
    <row r="4" spans="1:17" x14ac:dyDescent="0.4">
      <c r="A4" s="55" t="s">
        <v>6</v>
      </c>
      <c r="B4" s="150">
        <v>73.2</v>
      </c>
      <c r="C4" s="151"/>
      <c r="E4" s="63" t="s">
        <v>65</v>
      </c>
      <c r="F4" s="60" t="s">
        <v>21</v>
      </c>
      <c r="G4" s="47">
        <v>17</v>
      </c>
      <c r="H4" s="133">
        <f>IF(B$17=0,0,G4/B$17)</f>
        <v>0.70833333333333337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3090.909090909091</v>
      </c>
      <c r="P4" s="119">
        <v>11</v>
      </c>
      <c r="Q4" s="103">
        <v>34000</v>
      </c>
    </row>
    <row r="5" spans="1:17" x14ac:dyDescent="0.4">
      <c r="A5" s="55" t="s">
        <v>7</v>
      </c>
      <c r="B5" s="152">
        <f>IF(B$2=0,0,B$4/B$2)</f>
        <v>5.6307692307692312</v>
      </c>
      <c r="C5" s="153"/>
      <c r="E5" s="63" t="s">
        <v>68</v>
      </c>
      <c r="F5" s="60" t="s">
        <v>24</v>
      </c>
      <c r="G5" s="47">
        <v>14</v>
      </c>
      <c r="H5" s="133">
        <f>IF(B$17=0,0,G5/B$17)</f>
        <v>0.58333333333333337</v>
      </c>
      <c r="I5" s="94">
        <v>1</v>
      </c>
      <c r="K5" s="38">
        <v>3</v>
      </c>
      <c r="L5" s="99">
        <v>-21</v>
      </c>
      <c r="N5" s="115" t="s">
        <v>133</v>
      </c>
      <c r="O5" s="122">
        <f t="shared" si="0"/>
        <v>-2037.5</v>
      </c>
      <c r="P5" s="119">
        <v>8</v>
      </c>
      <c r="Q5" s="103">
        <v>-16300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10</v>
      </c>
      <c r="H6" s="133">
        <f>IF(B$17=0,0,G6/B$17)</f>
        <v>0.41666666666666669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13080</v>
      </c>
      <c r="P6" s="119">
        <v>5</v>
      </c>
      <c r="Q6" s="103">
        <v>65400</v>
      </c>
    </row>
    <row r="7" spans="1:17" x14ac:dyDescent="0.4">
      <c r="A7" s="55" t="s">
        <v>2</v>
      </c>
      <c r="B7" s="47">
        <v>4</v>
      </c>
      <c r="C7" s="39">
        <f>IF(B$2=0,0,B7/B$2)</f>
        <v>0.30769230769230771</v>
      </c>
      <c r="E7" s="63" t="s">
        <v>73</v>
      </c>
      <c r="F7" s="60" t="s">
        <v>28</v>
      </c>
      <c r="G7" s="47">
        <v>9</v>
      </c>
      <c r="H7" s="133">
        <f>IF(B$17=0,0,G7/B$17)</f>
        <v>0.375</v>
      </c>
      <c r="I7" s="94">
        <v>3</v>
      </c>
      <c r="K7" s="38">
        <v>5</v>
      </c>
      <c r="L7" s="99">
        <v>-27.900000000000002</v>
      </c>
      <c r="N7" s="116" t="s">
        <v>135</v>
      </c>
      <c r="O7" s="123">
        <f t="shared" si="0"/>
        <v>-4775</v>
      </c>
      <c r="P7" s="120">
        <v>4</v>
      </c>
      <c r="Q7" s="104">
        <v>-19100</v>
      </c>
    </row>
    <row r="8" spans="1:17" x14ac:dyDescent="0.4">
      <c r="A8" s="55" t="s">
        <v>3</v>
      </c>
      <c r="B8" s="47">
        <v>5</v>
      </c>
      <c r="C8" s="39">
        <f>IF(B$2=0,0,B8/B$2)</f>
        <v>0.38461538461538464</v>
      </c>
      <c r="E8" s="63" t="s">
        <v>169</v>
      </c>
      <c r="F8" s="60" t="s">
        <v>170</v>
      </c>
      <c r="G8" s="47">
        <v>8</v>
      </c>
      <c r="H8" s="133">
        <f>IF(B$17=0,0,G8/B$17)</f>
        <v>0.33333333333333331</v>
      </c>
      <c r="I8" s="94">
        <v>4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0.30769230769230771</v>
      </c>
      <c r="E9" s="63" t="s">
        <v>66</v>
      </c>
      <c r="F9" s="60" t="s">
        <v>22</v>
      </c>
      <c r="G9" s="47">
        <v>5</v>
      </c>
      <c r="H9" s="133">
        <f>IF(B$17=0,0,G9/B$17)</f>
        <v>0.20833333333333334</v>
      </c>
      <c r="I9" s="94">
        <v>3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7.6923076923076927E-2</v>
      </c>
      <c r="E10" s="63" t="s">
        <v>70</v>
      </c>
      <c r="F10" s="60" t="s">
        <v>25</v>
      </c>
      <c r="G10" s="47">
        <v>3</v>
      </c>
      <c r="H10" s="133">
        <f>IF(B$17=0,0,G10/B$17)</f>
        <v>0.125</v>
      </c>
      <c r="I10" s="94">
        <v>4</v>
      </c>
      <c r="K10" s="38">
        <v>8</v>
      </c>
      <c r="L10" s="99">
        <v>-68.900000000000006</v>
      </c>
      <c r="N10" s="114" t="s">
        <v>162</v>
      </c>
      <c r="O10" s="124">
        <f>IF(P10=0,0,Q10/P10)</f>
        <v>-7.0999999999999988</v>
      </c>
      <c r="P10" s="118">
        <v>6</v>
      </c>
      <c r="Q10" s="106">
        <v>-42.599999999999994</v>
      </c>
    </row>
    <row r="11" spans="1:17" x14ac:dyDescent="0.4">
      <c r="A11" s="56" t="s">
        <v>138</v>
      </c>
      <c r="B11" s="48">
        <v>4</v>
      </c>
      <c r="C11" s="40">
        <f>IF(B$2=0,0,B11/B$2)</f>
        <v>0.30769230769230771</v>
      </c>
      <c r="E11" s="63" t="s">
        <v>71</v>
      </c>
      <c r="F11" s="60" t="s">
        <v>26</v>
      </c>
      <c r="G11" s="47">
        <v>3</v>
      </c>
      <c r="H11" s="133">
        <f>IF(B$17=0,0,G11/B$17)</f>
        <v>0.125</v>
      </c>
      <c r="I11" s="94">
        <v>1</v>
      </c>
      <c r="K11" s="38">
        <v>9</v>
      </c>
      <c r="L11" s="99">
        <v>-4.2000000000000028</v>
      </c>
      <c r="N11" s="115" t="s">
        <v>163</v>
      </c>
      <c r="O11" s="125">
        <f>IF(P11=0,0,Q11/P11)</f>
        <v>18.3</v>
      </c>
      <c r="P11" s="119">
        <v>2</v>
      </c>
      <c r="Q11" s="107">
        <v>36.6</v>
      </c>
    </row>
    <row r="12" spans="1:17" x14ac:dyDescent="0.4">
      <c r="A12" s="57" t="s">
        <v>158</v>
      </c>
      <c r="B12" s="49">
        <v>2</v>
      </c>
      <c r="C12" s="42">
        <f>IF(B$2=0,0,B12/B$2)</f>
        <v>0.15384615384615385</v>
      </c>
      <c r="E12" s="63" t="s">
        <v>90</v>
      </c>
      <c r="F12" s="60" t="s">
        <v>45</v>
      </c>
      <c r="G12" s="47">
        <v>2</v>
      </c>
      <c r="H12" s="133">
        <f>IF(B$17=0,0,G12/B$17)</f>
        <v>8.3333333333333329E-2</v>
      </c>
      <c r="I12" s="94">
        <v>3</v>
      </c>
      <c r="K12" s="38">
        <v>10</v>
      </c>
      <c r="L12" s="99">
        <v>-37.5</v>
      </c>
      <c r="N12" s="116" t="s">
        <v>164</v>
      </c>
      <c r="O12" s="126">
        <f>IF(P12=0,0,Q12/P12)</f>
        <v>15.84</v>
      </c>
      <c r="P12" s="120">
        <v>5</v>
      </c>
      <c r="Q12" s="108">
        <v>79.2</v>
      </c>
    </row>
    <row r="13" spans="1:17" x14ac:dyDescent="0.4">
      <c r="A13" s="58" t="s">
        <v>122</v>
      </c>
      <c r="B13" s="50">
        <v>27</v>
      </c>
      <c r="C13" s="44">
        <f>IF(B$3=0,0,B13/B$3)</f>
        <v>0.32926829268292684</v>
      </c>
      <c r="E13" s="63" t="s">
        <v>72</v>
      </c>
      <c r="F13" s="60" t="s">
        <v>27</v>
      </c>
      <c r="G13" s="47">
        <v>1</v>
      </c>
      <c r="H13" s="133">
        <f>IF(B$17=0,0,G13/B$17)</f>
        <v>4.1666666666666664E-2</v>
      </c>
      <c r="I13" s="94">
        <v>4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0.15853658536585366</v>
      </c>
      <c r="E14" s="63" t="s">
        <v>76</v>
      </c>
      <c r="F14" s="60" t="s">
        <v>31</v>
      </c>
      <c r="G14" s="47">
        <v>1</v>
      </c>
      <c r="H14" s="133">
        <f>IF(B$17=0,0,G14/B$17)</f>
        <v>4.1666666666666664E-2</v>
      </c>
      <c r="I14" s="94">
        <v>1</v>
      </c>
      <c r="K14" s="38">
        <v>12</v>
      </c>
      <c r="L14" s="99">
        <v>-2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17</v>
      </c>
      <c r="C15" s="37">
        <f>IF(B$13=0,0,B15/B$13)</f>
        <v>0.62962962962962965</v>
      </c>
      <c r="E15" s="63" t="s">
        <v>82</v>
      </c>
      <c r="F15" s="60" t="s">
        <v>37</v>
      </c>
      <c r="G15" s="47">
        <v>1</v>
      </c>
      <c r="H15" s="133">
        <f>IF(B$17=0,0,G15/B$17)</f>
        <v>4.1666666666666664E-2</v>
      </c>
      <c r="I15" s="94">
        <v>2</v>
      </c>
      <c r="K15" s="38">
        <v>13</v>
      </c>
      <c r="L15" s="99">
        <v>73.2</v>
      </c>
      <c r="N15" s="114" t="s">
        <v>176</v>
      </c>
      <c r="O15" s="124">
        <f>IF(P15=0,0,Q15/P15)</f>
        <v>29.438461538461539</v>
      </c>
      <c r="P15" s="118">
        <v>13</v>
      </c>
      <c r="Q15" s="106">
        <v>382.7</v>
      </c>
    </row>
    <row r="16" spans="1:17" x14ac:dyDescent="0.4">
      <c r="A16" s="54" t="s">
        <v>125</v>
      </c>
      <c r="B16" s="46">
        <v>6</v>
      </c>
      <c r="C16" s="37">
        <f>IF(B$14=0,0,B16/B$14)</f>
        <v>0.46153846153846156</v>
      </c>
      <c r="E16" s="63" t="s">
        <v>87</v>
      </c>
      <c r="F16" s="60" t="s">
        <v>42</v>
      </c>
      <c r="G16" s="47">
        <v>1</v>
      </c>
      <c r="H16" s="133">
        <f>IF(B$17=0,0,G16/B$17)</f>
        <v>4.1666666666666664E-2</v>
      </c>
      <c r="I16" s="94">
        <v>2</v>
      </c>
      <c r="N16" s="115" t="s">
        <v>127</v>
      </c>
      <c r="O16" s="125">
        <f>IF(P16=0,0,Q16/P16)</f>
        <v>-12.546153846153857</v>
      </c>
      <c r="P16" s="119">
        <v>13</v>
      </c>
      <c r="Q16" s="107">
        <v>-163.10000000000014</v>
      </c>
    </row>
    <row r="17" spans="1:9" x14ac:dyDescent="0.4">
      <c r="A17" s="54" t="s">
        <v>10</v>
      </c>
      <c r="B17" s="46">
        <f>B19+B18</f>
        <v>24</v>
      </c>
      <c r="C17" s="37">
        <f>IF(B$3=0,0,B17/B$3)</f>
        <v>0.29268292682926828</v>
      </c>
      <c r="E17" s="63" t="s">
        <v>96</v>
      </c>
      <c r="F17" s="60" t="s">
        <v>51</v>
      </c>
      <c r="G17" s="47">
        <v>1</v>
      </c>
      <c r="H17" s="133">
        <f>IF(B$17=0,0,G17/B$17)</f>
        <v>4.1666666666666664E-2</v>
      </c>
      <c r="I17" s="94">
        <v>1</v>
      </c>
    </row>
    <row r="18" spans="1:9" x14ac:dyDescent="0.4">
      <c r="A18" s="55" t="s">
        <v>12</v>
      </c>
      <c r="B18" s="47">
        <v>11</v>
      </c>
      <c r="C18" s="39">
        <f>IF(B$17=0,0,B18/B$17)</f>
        <v>0.45833333333333331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</row>
    <row r="19" spans="1:9" x14ac:dyDescent="0.4">
      <c r="A19" s="55" t="s">
        <v>11</v>
      </c>
      <c r="B19" s="47">
        <v>13</v>
      </c>
      <c r="C19" s="39">
        <f>IF(B$17=0,0,B19/B$17)</f>
        <v>0.54166666666666663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10</v>
      </c>
      <c r="C20" s="39">
        <f>IF(B$3=0,0,B20/B$3)</f>
        <v>0.12195121951219512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5</v>
      </c>
      <c r="C21" s="135">
        <v>4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9" x14ac:dyDescent="0.4">
      <c r="A22" s="55" t="s">
        <v>172</v>
      </c>
      <c r="B22" s="47">
        <v>15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12629.166666666666</v>
      </c>
      <c r="C23" s="41">
        <v>303100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-10040</v>
      </c>
      <c r="C24" s="45">
        <v>-100400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9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38">
        <v>90200</v>
      </c>
      <c r="C26" s="139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0D13-CAB3-43EA-B7BE-0E7C0D610A33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  <row r="15" spans="1:17" x14ac:dyDescent="0.4">
      <c r="A15" s="69">
        <v>12</v>
      </c>
      <c r="B15" s="66">
        <v>-2</v>
      </c>
      <c r="C15" s="66">
        <v>-0.16666666666666666</v>
      </c>
      <c r="D15" s="71">
        <v>2.0833333333333335</v>
      </c>
      <c r="E15" s="67">
        <v>0.25</v>
      </c>
      <c r="F15" s="67">
        <v>0.33333333333333331</v>
      </c>
      <c r="G15" s="67">
        <v>0.26666666666666666</v>
      </c>
      <c r="H15" s="67">
        <v>0.12</v>
      </c>
      <c r="I15" s="68">
        <v>11470</v>
      </c>
      <c r="J15" s="68">
        <v>-10266.666666666666</v>
      </c>
      <c r="K15" s="67">
        <v>8.3333333333333329E-2</v>
      </c>
      <c r="L15" s="67">
        <v>0.25</v>
      </c>
      <c r="M15" s="67">
        <v>0.33333333333333331</v>
      </c>
      <c r="N15" s="67">
        <v>0.13333333333333333</v>
      </c>
      <c r="O15" s="67">
        <v>0.64</v>
      </c>
      <c r="P15" s="67">
        <v>0.4</v>
      </c>
      <c r="Q15" s="67">
        <v>0.4</v>
      </c>
    </row>
    <row r="16" spans="1:17" x14ac:dyDescent="0.4">
      <c r="A16" s="69">
        <v>13</v>
      </c>
      <c r="B16" s="66">
        <v>73.2</v>
      </c>
      <c r="C16" s="66">
        <v>5.6307692307692312</v>
      </c>
      <c r="D16" s="71">
        <v>2</v>
      </c>
      <c r="E16" s="67">
        <v>0.30769230769230771</v>
      </c>
      <c r="F16" s="67">
        <v>0.30769230769230771</v>
      </c>
      <c r="G16" s="67">
        <v>0.29268292682926828</v>
      </c>
      <c r="H16" s="67">
        <v>0.12195121951219512</v>
      </c>
      <c r="I16" s="68">
        <v>12629.166666666666</v>
      </c>
      <c r="J16" s="68">
        <v>-10040</v>
      </c>
      <c r="K16" s="67">
        <v>7.6923076923076927E-2</v>
      </c>
      <c r="L16" s="67">
        <v>0.30769230769230771</v>
      </c>
      <c r="M16" s="67">
        <v>0.32926829268292684</v>
      </c>
      <c r="N16" s="67">
        <v>0.15853658536585366</v>
      </c>
      <c r="O16" s="67">
        <v>0.62962962962962965</v>
      </c>
      <c r="P16" s="67">
        <v>0.46153846153846156</v>
      </c>
      <c r="Q16" s="67">
        <v>0.45833333333333331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8A7-A823-45A0-A0F5-6EDE6D47847E}">
  <sheetPr codeName="Sheet10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  <row r="15" spans="1:17" x14ac:dyDescent="0.4">
      <c r="A15" s="69">
        <v>12</v>
      </c>
      <c r="B15" s="66">
        <v>-294.10000000000008</v>
      </c>
      <c r="C15" s="66">
        <v>-24.50833333333334</v>
      </c>
      <c r="D15" s="71">
        <v>2.4166666666666665</v>
      </c>
      <c r="E15" s="67">
        <v>8.3333333333333329E-2</v>
      </c>
      <c r="F15" s="67">
        <v>0.5</v>
      </c>
      <c r="G15" s="67">
        <v>0.17333333333333334</v>
      </c>
      <c r="H15" s="67">
        <v>0.26666666666666666</v>
      </c>
      <c r="I15" s="68">
        <v>9100</v>
      </c>
      <c r="J15" s="68">
        <v>-13335</v>
      </c>
      <c r="K15" s="67">
        <v>0.41666666666666669</v>
      </c>
      <c r="L15" s="67">
        <v>0</v>
      </c>
      <c r="M15" s="67">
        <v>9.3333333333333338E-2</v>
      </c>
      <c r="N15" s="67">
        <v>0.38666666666666666</v>
      </c>
      <c r="O15" s="67">
        <v>0.5714285714285714</v>
      </c>
      <c r="P15" s="67">
        <v>0.2413793103448276</v>
      </c>
      <c r="Q15" s="67">
        <v>0.53846153846153844</v>
      </c>
    </row>
    <row r="16" spans="1:17" x14ac:dyDescent="0.4">
      <c r="A16" s="69">
        <v>13</v>
      </c>
      <c r="B16" s="66">
        <v>-309.50000000000006</v>
      </c>
      <c r="C16" s="66">
        <v>-23.807692307692314</v>
      </c>
      <c r="D16" s="71">
        <v>2.3846153846153846</v>
      </c>
      <c r="E16" s="67">
        <v>7.6923076923076927E-2</v>
      </c>
      <c r="F16" s="67">
        <v>0.46153846153846156</v>
      </c>
      <c r="G16" s="67">
        <v>0.17073170731707318</v>
      </c>
      <c r="H16" s="67">
        <v>0.24390243902439024</v>
      </c>
      <c r="I16" s="68">
        <v>9307.1428571428569</v>
      </c>
      <c r="J16" s="68">
        <v>-13335</v>
      </c>
      <c r="K16" s="67">
        <v>0.38461538461538464</v>
      </c>
      <c r="L16" s="67">
        <v>0</v>
      </c>
      <c r="M16" s="67">
        <v>8.5365853658536592E-2</v>
      </c>
      <c r="N16" s="67">
        <v>0.40243902439024393</v>
      </c>
      <c r="O16" s="67">
        <v>0.5714285714285714</v>
      </c>
      <c r="P16" s="67">
        <v>0.24242424242424243</v>
      </c>
      <c r="Q16" s="67">
        <v>0.5714285714285714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B858-1734-4889-A46B-A5FE90B933FD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  <row r="15" spans="1:17" x14ac:dyDescent="0.4">
      <c r="A15" s="69">
        <v>12</v>
      </c>
      <c r="B15" s="66">
        <v>296.10000000000008</v>
      </c>
      <c r="C15" s="66">
        <v>24.675000000000008</v>
      </c>
      <c r="D15" s="71">
        <v>1.5</v>
      </c>
      <c r="E15" s="67">
        <v>0.66666666666666663</v>
      </c>
      <c r="F15" s="67">
        <v>0.16666666666666666</v>
      </c>
      <c r="G15" s="67">
        <v>0.42666666666666669</v>
      </c>
      <c r="H15" s="67">
        <v>0.08</v>
      </c>
      <c r="I15" s="68">
        <v>10612.5</v>
      </c>
      <c r="J15" s="68">
        <v>-10783.333333333334</v>
      </c>
      <c r="K15" s="67">
        <v>8.3333333333333329E-2</v>
      </c>
      <c r="L15" s="67">
        <v>0.33333333333333331</v>
      </c>
      <c r="M15" s="67">
        <v>0.4</v>
      </c>
      <c r="N15" s="67">
        <v>0.26666666666666666</v>
      </c>
      <c r="O15" s="67">
        <v>0.7</v>
      </c>
      <c r="P15" s="67">
        <v>0.4</v>
      </c>
      <c r="Q15" s="67">
        <v>0.4375</v>
      </c>
    </row>
    <row r="16" spans="1:17" x14ac:dyDescent="0.4">
      <c r="A16" s="69">
        <v>13</v>
      </c>
      <c r="B16" s="66">
        <v>236.30000000000007</v>
      </c>
      <c r="C16" s="66">
        <v>18.176923076923082</v>
      </c>
      <c r="D16" s="71">
        <v>1.6153846153846154</v>
      </c>
      <c r="E16" s="67">
        <v>0.61538461538461542</v>
      </c>
      <c r="F16" s="67">
        <v>0.23076923076923078</v>
      </c>
      <c r="G16" s="67">
        <v>0.41463414634146339</v>
      </c>
      <c r="H16" s="67">
        <v>8.5365853658536592E-2</v>
      </c>
      <c r="I16" s="68">
        <v>10929.411764705883</v>
      </c>
      <c r="J16" s="68">
        <v>-16100</v>
      </c>
      <c r="K16" s="67">
        <v>0.15384615384615385</v>
      </c>
      <c r="L16" s="67">
        <v>0.30769230769230771</v>
      </c>
      <c r="M16" s="67">
        <v>0.3902439024390244</v>
      </c>
      <c r="N16" s="67">
        <v>0.26829268292682928</v>
      </c>
      <c r="O16" s="67">
        <v>0.6875</v>
      </c>
      <c r="P16" s="67">
        <v>0.40909090909090912</v>
      </c>
      <c r="Q16" s="67">
        <v>0.44117647058823528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301D-632F-46D5-B990-3C1DC08B6970}">
  <sheetPr codeName="Sheet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  <row r="15" spans="1:17" x14ac:dyDescent="0.4">
      <c r="A15" s="69">
        <v>12</v>
      </c>
      <c r="B15" s="66">
        <v>0</v>
      </c>
      <c r="C15" s="66">
        <v>0</v>
      </c>
      <c r="D15" s="71">
        <v>2</v>
      </c>
      <c r="E15" s="67">
        <v>0.33333333333333331</v>
      </c>
      <c r="F15" s="67">
        <v>0.33333333333333331</v>
      </c>
      <c r="G15" s="67">
        <v>0.28888888888888886</v>
      </c>
      <c r="H15" s="67">
        <v>0.15555555555555556</v>
      </c>
      <c r="I15" s="68">
        <v>10573.846153846154</v>
      </c>
      <c r="J15" s="68">
        <v>-12108.571428571429</v>
      </c>
      <c r="K15" s="67">
        <v>0.19444444444444445</v>
      </c>
      <c r="L15" s="67">
        <v>0.19444444444444445</v>
      </c>
      <c r="M15" s="67">
        <v>0.27555555555555555</v>
      </c>
      <c r="N15" s="67">
        <v>0.26222222222222225</v>
      </c>
      <c r="O15" s="67">
        <v>0.66129032258064513</v>
      </c>
      <c r="P15" s="67">
        <v>0.32203389830508472</v>
      </c>
      <c r="Q15" s="67">
        <v>0.44615384615384618</v>
      </c>
    </row>
    <row r="16" spans="1:17" x14ac:dyDescent="0.4">
      <c r="A16" s="69">
        <v>13</v>
      </c>
      <c r="B16" s="66">
        <v>0</v>
      </c>
      <c r="C16" s="66">
        <v>0</v>
      </c>
      <c r="D16" s="71">
        <v>2</v>
      </c>
      <c r="E16" s="67">
        <v>0.33333333333333331</v>
      </c>
      <c r="F16" s="67">
        <v>0.33333333333333331</v>
      </c>
      <c r="G16" s="67">
        <v>0.29268292682926828</v>
      </c>
      <c r="H16" s="67">
        <v>0.15040650406504066</v>
      </c>
      <c r="I16" s="68">
        <v>11180.555555555555</v>
      </c>
      <c r="J16" s="68">
        <v>-12967.567567567568</v>
      </c>
      <c r="K16" s="67">
        <v>0.20512820512820512</v>
      </c>
      <c r="L16" s="67">
        <v>0.20512820512820512</v>
      </c>
      <c r="M16" s="67">
        <v>0.26829268292682928</v>
      </c>
      <c r="N16" s="67">
        <v>0.27642276422764228</v>
      </c>
      <c r="O16" s="67">
        <v>0.65151515151515149</v>
      </c>
      <c r="P16" s="67">
        <v>0.33823529411764708</v>
      </c>
      <c r="Q16" s="67">
        <v>0.47222222222222221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2019-07-05T12:28:25Z</dcterms:modified>
</cp:coreProperties>
</file>