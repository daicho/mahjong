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8.xml" ContentType="application/vnd.openxmlformats-officedocument.drawing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9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0.xml" ContentType="application/vnd.openxmlformats-officedocument.drawing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1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2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3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4.xml" ContentType="application/vnd.openxmlformats-officedocument.drawing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5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6.xml" ContentType="application/vnd.openxmlformats-officedocument.drawing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7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18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9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0.xml" ContentType="application/vnd.openxmlformats-officedocument.drawing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1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2.xml" ContentType="application/vnd.openxmlformats-officedocument.drawing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mahjong\バレー部\"/>
    </mc:Choice>
  </mc:AlternateContent>
  <xr:revisionPtr revIDLastSave="0" documentId="13_ncr:1_{AF679ACD-3F76-447C-9B69-1C2121267E11}" xr6:coauthVersionLast="36" xr6:coauthVersionMax="36" xr10:uidLastSave="{00000000-0000-0000-0000-000000000000}"/>
  <bookViews>
    <workbookView xWindow="0" yWindow="0" windowWidth="28800" windowHeight="1305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4350" r:id="rId6"/>
    <sheet name="だいち" sheetId="4352" r:id="rId7"/>
    <sheet name="りょうすけ" sheetId="4354" r:id="rId8"/>
    <sheet name="てんちゃん" sheetId="4356" r:id="rId9"/>
    <sheet name="てんちゃん2" sheetId="4357" state="hidden" r:id="rId10"/>
    <sheet name="りょうすけ2" sheetId="4355" state="hidden" r:id="rId11"/>
    <sheet name="だいち2" sheetId="4353" state="hidden" r:id="rId12"/>
    <sheet name="全体2" sheetId="4351" state="hidden" r:id="rId13"/>
    <sheet name="通算スコア" sheetId="3331" state="hidden" r:id="rId14"/>
    <sheet name="平均スコア" sheetId="3493" state="hidden" r:id="rId15"/>
    <sheet name="平均順位" sheetId="3183" state="hidden" r:id="rId16"/>
    <sheet name="トップ率" sheetId="3185" state="hidden" r:id="rId17"/>
    <sheet name="アガリ率" sheetId="3189" state="hidden" r:id="rId18"/>
    <sheet name="放銃率" sheetId="3190" state="hidden" r:id="rId19"/>
    <sheet name="平均アガリ点" sheetId="3520" state="hidden" r:id="rId20"/>
    <sheet name="平均放銃点" sheetId="3521" state="hidden" r:id="rId21"/>
    <sheet name="ふっとび率" sheetId="3522" state="hidden" r:id="rId22"/>
    <sheet name="ふっとばし率" sheetId="3523" state="hidden" r:id="rId23"/>
    <sheet name="リーチ率" sheetId="3524" state="hidden" r:id="rId24"/>
    <sheet name="副露率" sheetId="3525" state="hidden" r:id="rId25"/>
    <sheet name="リーチ成功率" sheetId="3526" state="hidden" r:id="rId26"/>
    <sheet name="副露成功率" sheetId="3527" state="hidden" r:id="rId27"/>
    <sheet name="ツモ率" sheetId="3528" state="hidden" r:id="rId28"/>
    <sheet name="逆転率" sheetId="3529" state="hidden" r:id="rId29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O15" i="4356" l="1"/>
  <c r="O16" i="4356"/>
  <c r="H51" i="4356"/>
  <c r="H50" i="4356"/>
  <c r="H49" i="4356"/>
  <c r="H48" i="4356"/>
  <c r="H47" i="4356"/>
  <c r="H46" i="4356"/>
  <c r="H45" i="4356"/>
  <c r="H44" i="4356"/>
  <c r="H43" i="4356"/>
  <c r="H42" i="4356"/>
  <c r="H41" i="4356"/>
  <c r="H40" i="4356"/>
  <c r="H39" i="4356"/>
  <c r="H38" i="4356"/>
  <c r="H37" i="4356"/>
  <c r="H36" i="4356"/>
  <c r="H35" i="4356"/>
  <c r="H34" i="4356"/>
  <c r="H33" i="4356"/>
  <c r="H32" i="4356"/>
  <c r="H31" i="4356"/>
  <c r="H30" i="4356"/>
  <c r="H29" i="4356"/>
  <c r="H28" i="4356"/>
  <c r="H27" i="4356"/>
  <c r="H9" i="4356"/>
  <c r="H26" i="4356"/>
  <c r="C25" i="4356"/>
  <c r="H25" i="4356"/>
  <c r="H24" i="4356"/>
  <c r="H23" i="4356"/>
  <c r="B22" i="4356"/>
  <c r="H22" i="4356"/>
  <c r="H21" i="4356"/>
  <c r="C20" i="4356"/>
  <c r="H20" i="4356"/>
  <c r="C19" i="4356"/>
  <c r="H19" i="4356"/>
  <c r="H18" i="4356"/>
  <c r="B17" i="4356"/>
  <c r="C17" i="4356" s="1"/>
  <c r="H17" i="4356"/>
  <c r="C16" i="4356"/>
  <c r="H16" i="4356"/>
  <c r="C15" i="4356"/>
  <c r="H15" i="4356"/>
  <c r="C14" i="4356"/>
  <c r="H14" i="4356"/>
  <c r="C13" i="4356"/>
  <c r="O12" i="4356"/>
  <c r="H13" i="4356"/>
  <c r="C12" i="4356"/>
  <c r="O11" i="4356"/>
  <c r="H6" i="4356"/>
  <c r="C11" i="4356"/>
  <c r="O10" i="4356"/>
  <c r="H12" i="4356"/>
  <c r="C10" i="4356"/>
  <c r="H8" i="4356"/>
  <c r="C9" i="4356"/>
  <c r="H7" i="4356"/>
  <c r="C8" i="4356"/>
  <c r="O7" i="4356"/>
  <c r="H4" i="4356"/>
  <c r="C7" i="4356"/>
  <c r="O6" i="4356"/>
  <c r="H3" i="4356"/>
  <c r="B6" i="4356"/>
  <c r="O5" i="4356"/>
  <c r="H5" i="4356"/>
  <c r="B5" i="4356"/>
  <c r="O4" i="4356"/>
  <c r="H11" i="4356"/>
  <c r="O3" i="4356"/>
  <c r="H10" i="4356"/>
  <c r="O2" i="4356"/>
  <c r="H2" i="4356"/>
  <c r="O16" i="4354"/>
  <c r="O15" i="4354"/>
  <c r="H51" i="4354"/>
  <c r="H50" i="4354"/>
  <c r="H49" i="4354"/>
  <c r="H48" i="4354"/>
  <c r="H47" i="4354"/>
  <c r="H46" i="4354"/>
  <c r="H45" i="4354"/>
  <c r="H44" i="4354"/>
  <c r="H43" i="4354"/>
  <c r="H42" i="4354"/>
  <c r="H41" i="4354"/>
  <c r="H40" i="4354"/>
  <c r="H39" i="4354"/>
  <c r="H38" i="4354"/>
  <c r="H37" i="4354"/>
  <c r="H36" i="4354"/>
  <c r="H35" i="4354"/>
  <c r="H34" i="4354"/>
  <c r="H33" i="4354"/>
  <c r="H32" i="4354"/>
  <c r="H31" i="4354"/>
  <c r="H30" i="4354"/>
  <c r="H29" i="4354"/>
  <c r="H28" i="4354"/>
  <c r="H27" i="4354"/>
  <c r="H26" i="4354"/>
  <c r="H25" i="4354"/>
  <c r="C25" i="4354"/>
  <c r="H24" i="4354"/>
  <c r="H5" i="4354"/>
  <c r="H23" i="4354"/>
  <c r="B22" i="4354"/>
  <c r="H22" i="4354"/>
  <c r="H21" i="4354"/>
  <c r="C20" i="4354"/>
  <c r="H20" i="4354"/>
  <c r="H19" i="4354"/>
  <c r="H18" i="4354"/>
  <c r="B17" i="4354"/>
  <c r="B21" i="4354" s="1"/>
  <c r="H17" i="4354"/>
  <c r="C16" i="4354"/>
  <c r="H16" i="4354"/>
  <c r="C15" i="4354"/>
  <c r="H15" i="4354"/>
  <c r="C14" i="4354"/>
  <c r="H14" i="4354"/>
  <c r="C13" i="4354"/>
  <c r="O12" i="4354"/>
  <c r="H13" i="4354"/>
  <c r="C12" i="4354"/>
  <c r="O11" i="4354"/>
  <c r="H4" i="4354"/>
  <c r="C11" i="4354"/>
  <c r="O10" i="4354"/>
  <c r="H12" i="4354"/>
  <c r="C10" i="4354"/>
  <c r="H11" i="4354"/>
  <c r="C9" i="4354"/>
  <c r="H10" i="4354"/>
  <c r="C8" i="4354"/>
  <c r="O7" i="4354"/>
  <c r="H9" i="4354"/>
  <c r="C7" i="4354"/>
  <c r="O6" i="4354"/>
  <c r="H3" i="4354"/>
  <c r="B6" i="4354"/>
  <c r="O5" i="4354"/>
  <c r="H8" i="4354"/>
  <c r="B5" i="4354"/>
  <c r="O4" i="4354"/>
  <c r="H2" i="4354"/>
  <c r="O3" i="4354"/>
  <c r="H7" i="4354"/>
  <c r="O2" i="4354"/>
  <c r="H6" i="4354"/>
  <c r="O17" i="4350"/>
  <c r="O16" i="4352"/>
  <c r="O15" i="4352"/>
  <c r="H51" i="4352"/>
  <c r="H50" i="4352"/>
  <c r="H49" i="4352"/>
  <c r="H48" i="4352"/>
  <c r="H47" i="4352"/>
  <c r="H46" i="4352"/>
  <c r="H45" i="4352"/>
  <c r="H44" i="4352"/>
  <c r="H43" i="4352"/>
  <c r="H42" i="4352"/>
  <c r="H41" i="4352"/>
  <c r="H40" i="4352"/>
  <c r="H39" i="4352"/>
  <c r="H38" i="4352"/>
  <c r="H37" i="4352"/>
  <c r="H36" i="4352"/>
  <c r="H35" i="4352"/>
  <c r="H34" i="4352"/>
  <c r="H33" i="4352"/>
  <c r="H32" i="4352"/>
  <c r="H31" i="4352"/>
  <c r="H30" i="4352"/>
  <c r="H13" i="4352"/>
  <c r="H29" i="4352"/>
  <c r="H28" i="4352"/>
  <c r="H27" i="4352"/>
  <c r="H26" i="4352"/>
  <c r="C25" i="4352"/>
  <c r="H25" i="4352"/>
  <c r="H24" i="4352"/>
  <c r="H23" i="4352"/>
  <c r="B22" i="4352"/>
  <c r="H22" i="4352"/>
  <c r="H21" i="4352"/>
  <c r="C20" i="4352"/>
  <c r="H20" i="4352"/>
  <c r="H19" i="4352"/>
  <c r="H18" i="4352"/>
  <c r="B17" i="4352"/>
  <c r="B21" i="4352" s="1"/>
  <c r="H12" i="4352"/>
  <c r="C16" i="4352"/>
  <c r="H17" i="4352"/>
  <c r="C15" i="4352"/>
  <c r="H16" i="4352"/>
  <c r="C14" i="4352"/>
  <c r="H15" i="4352"/>
  <c r="C13" i="4352"/>
  <c r="O12" i="4352"/>
  <c r="H14" i="4352"/>
  <c r="C12" i="4352"/>
  <c r="O11" i="4352"/>
  <c r="H5" i="4352"/>
  <c r="C11" i="4352"/>
  <c r="O10" i="4352"/>
  <c r="H9" i="4352"/>
  <c r="C10" i="4352"/>
  <c r="H11" i="4352"/>
  <c r="C9" i="4352"/>
  <c r="H8" i="4352"/>
  <c r="C8" i="4352"/>
  <c r="O7" i="4352"/>
  <c r="H7" i="4352"/>
  <c r="C7" i="4352"/>
  <c r="O6" i="4352"/>
  <c r="H3" i="4352"/>
  <c r="B6" i="4352"/>
  <c r="O5" i="4352"/>
  <c r="H6" i="4352"/>
  <c r="B5" i="4352"/>
  <c r="O4" i="4352"/>
  <c r="H2" i="4352"/>
  <c r="O3" i="4352"/>
  <c r="H10" i="4352"/>
  <c r="O2" i="4352"/>
  <c r="H4" i="4352"/>
  <c r="O16" i="4350"/>
  <c r="O15" i="4350"/>
  <c r="H51" i="4350"/>
  <c r="H50" i="4350"/>
  <c r="H49" i="4350"/>
  <c r="H48" i="4350"/>
  <c r="H47" i="4350"/>
  <c r="H46" i="4350"/>
  <c r="H45" i="4350"/>
  <c r="H44" i="4350"/>
  <c r="H43" i="4350"/>
  <c r="H42" i="4350"/>
  <c r="H41" i="4350"/>
  <c r="H40" i="4350"/>
  <c r="H39" i="4350"/>
  <c r="H38" i="4350"/>
  <c r="H37" i="4350"/>
  <c r="H36" i="4350"/>
  <c r="H35" i="4350"/>
  <c r="H34" i="4350"/>
  <c r="H33" i="4350"/>
  <c r="H32" i="4350"/>
  <c r="H31" i="4350"/>
  <c r="H30" i="4350"/>
  <c r="H15" i="4350"/>
  <c r="H29" i="4350"/>
  <c r="H28" i="4350"/>
  <c r="H14" i="4350"/>
  <c r="H27" i="4350"/>
  <c r="C25" i="4350"/>
  <c r="H26" i="4350"/>
  <c r="H13" i="4350"/>
  <c r="H25" i="4350"/>
  <c r="B22" i="4350"/>
  <c r="H24" i="4350"/>
  <c r="H23" i="4350"/>
  <c r="C20" i="4350"/>
  <c r="H22" i="4350"/>
  <c r="H21" i="4350"/>
  <c r="H20" i="4350"/>
  <c r="B17" i="4350"/>
  <c r="C19" i="4350" s="1"/>
  <c r="H12" i="4350"/>
  <c r="C16" i="4350"/>
  <c r="H19" i="4350"/>
  <c r="C15" i="4350"/>
  <c r="H18" i="4350"/>
  <c r="C14" i="4350"/>
  <c r="H17" i="4350"/>
  <c r="C13" i="4350"/>
  <c r="O12" i="4350"/>
  <c r="H16" i="4350"/>
  <c r="C12" i="4350"/>
  <c r="O11" i="4350"/>
  <c r="H5" i="4350"/>
  <c r="C11" i="4350"/>
  <c r="O10" i="4350"/>
  <c r="H10" i="4350"/>
  <c r="C10" i="4350"/>
  <c r="H9" i="4350"/>
  <c r="C9" i="4350"/>
  <c r="H8" i="4350"/>
  <c r="C8" i="4350"/>
  <c r="O7" i="4350"/>
  <c r="H7" i="4350"/>
  <c r="C7" i="4350"/>
  <c r="O6" i="4350"/>
  <c r="H3" i="4350"/>
  <c r="B6" i="4350"/>
  <c r="O5" i="4350"/>
  <c r="H6" i="4350"/>
  <c r="B5" i="4350"/>
  <c r="O4" i="4350"/>
  <c r="H2" i="4350"/>
  <c r="O3" i="4350"/>
  <c r="H11" i="4350"/>
  <c r="O2" i="4350"/>
  <c r="H4" i="4350"/>
  <c r="C18" i="4356" l="1"/>
  <c r="C18" i="4352"/>
  <c r="C19" i="4352"/>
  <c r="B21" i="4356"/>
  <c r="C17" i="4354"/>
  <c r="C18" i="4354"/>
  <c r="C19" i="4354"/>
  <c r="C17" i="4352"/>
  <c r="C17" i="4350"/>
  <c r="B21" i="4350"/>
  <c r="C18" i="4350"/>
  <c r="O12" i="2228" l="1"/>
  <c r="O11" i="2228"/>
  <c r="O10" i="2228"/>
  <c r="O6" i="2228"/>
  <c r="H2" i="2228" l="1"/>
  <c r="C12" i="2228"/>
  <c r="C11" i="2228"/>
  <c r="C10" i="2228"/>
  <c r="C8" i="2228"/>
  <c r="O2" i="2228" l="1"/>
  <c r="O7" i="2228"/>
  <c r="O5" i="2228"/>
  <c r="O4" i="2228"/>
  <c r="O3" i="2228"/>
  <c r="C25" i="2228" l="1"/>
  <c r="C14" i="2228" l="1"/>
  <c r="C13" i="2228"/>
  <c r="C20" i="2228" l="1"/>
  <c r="B22" i="2228" l="1"/>
  <c r="H51" i="2228" l="1"/>
  <c r="H50" i="2228"/>
  <c r="H49" i="2228"/>
  <c r="H48" i="2228"/>
  <c r="H47" i="2228"/>
  <c r="H46" i="2228"/>
  <c r="H45" i="2228"/>
  <c r="H44" i="2228"/>
  <c r="H43" i="2228"/>
  <c r="H42" i="2228"/>
  <c r="H41" i="2228"/>
  <c r="H40" i="2228"/>
  <c r="H39" i="2228"/>
  <c r="H38" i="2228"/>
  <c r="H37" i="2228"/>
  <c r="H36" i="2228"/>
  <c r="H35" i="2228"/>
  <c r="H34" i="2228"/>
  <c r="H33" i="2228"/>
  <c r="H32" i="2228"/>
  <c r="H31" i="2228"/>
  <c r="H30" i="2228"/>
  <c r="H29" i="2228"/>
  <c r="H28" i="2228"/>
  <c r="H27" i="2228"/>
  <c r="H26" i="2228"/>
  <c r="H25" i="2228"/>
  <c r="H24" i="2228"/>
  <c r="H23" i="2228"/>
  <c r="H22" i="2228"/>
  <c r="H21" i="2228"/>
  <c r="H20" i="2228"/>
  <c r="H19" i="2228"/>
  <c r="H18" i="2228"/>
  <c r="H17" i="2228"/>
  <c r="H16" i="2228"/>
  <c r="H15" i="2228"/>
  <c r="C17" i="2228"/>
  <c r="B17" i="2228"/>
  <c r="H14" i="2228"/>
  <c r="C16" i="2228"/>
  <c r="H13" i="2228"/>
  <c r="C15" i="2228"/>
  <c r="H12" i="2228"/>
  <c r="H11" i="2228"/>
  <c r="H10" i="2228"/>
  <c r="H9" i="2228"/>
  <c r="C9" i="2228"/>
  <c r="H8" i="2228"/>
  <c r="H7" i="2228"/>
  <c r="C7" i="2228"/>
  <c r="H6" i="2228"/>
  <c r="B6" i="2228"/>
  <c r="H5" i="2228"/>
  <c r="B5" i="2228"/>
  <c r="H4" i="2228"/>
  <c r="H3" i="2228"/>
  <c r="B21" i="2228" l="1"/>
  <c r="C18" i="2228"/>
  <c r="C19" i="2228"/>
</calcChain>
</file>

<file path=xl/sharedStrings.xml><?xml version="1.0" encoding="utf-8"?>
<sst xmlns="http://schemas.openxmlformats.org/spreadsheetml/2006/main" count="1050" uniqueCount="180">
  <si>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</si>
  <si>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</si>
  <si>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</si>
  <si>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</si>
  <si>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</si>
  <si>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</si>
  <si>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</si>
  <si>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</si>
  <si>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</si>
  <si>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</si>
  <si>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</si>
  <si>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</si>
  <si>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</si>
  <si>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</si>
  <si>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</si>
  <si>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</si>
  <si>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</si>
  <si>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</si>
  <si>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</si>
  <si>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</si>
  <si>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</si>
  <si>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</si>
  <si>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</si>
  <si>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</si>
  <si>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</si>
  <si>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ガリ</t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</si>
  <si>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</si>
  <si>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</si>
  <si>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</si>
  <si>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</si>
  <si>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</si>
  <si>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</si>
  <si>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</si>
  <si>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</si>
  <si>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</si>
  <si>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</si>
  <si>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</si>
  <si>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三色同順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</si>
  <si>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</si>
  <si>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</si>
  <si>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</si>
  <si>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</si>
  <si>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</si>
  <si>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</si>
  <si>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</si>
  <si>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</si>
  <si>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</si>
  <si>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</si>
  <si>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</si>
  <si>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</si>
  <si>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</si>
  <si>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</si>
  <si>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</si>
  <si>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</si>
  <si>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</si>
  <si>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</si>
  <si>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</si>
  <si>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</si>
  <si>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</si>
  <si>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</si>
  <si>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</si>
  <si>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</si>
  <si>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</si>
  <si>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</si>
  <si>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</si>
  <si>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</si>
  <si>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</si>
  <si>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</si>
  <si>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</si>
  <si>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</si>
  <si>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</si>
  <si>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</si>
  <si>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</si>
  <si>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</si>
  <si>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</si>
  <si>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</si>
  <si>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</si>
  <si>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</si>
  <si>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</si>
  <si>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</si>
  <si>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</si>
  <si>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</si>
  <si>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</si>
  <si>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</si>
  <si>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</si>
  <si>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</si>
  <si>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</si>
  <si>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</si>
  <si>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</si>
  <si>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</si>
  <si>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</si>
  <si>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</si>
  <si>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</si>
  <si>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</si>
  <si>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</si>
  <si>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</si>
  <si>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</si>
  <si>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</si>
  <si>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</si>
  <si>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</si>
  <si>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</si>
  <si>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</si>
  <si>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</si>
  <si>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</si>
  <si>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</si>
  <si>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</si>
  <si>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</si>
  <si>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</si>
  <si>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</si>
  <si>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</si>
  <si>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</si>
  <si>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</si>
  <si>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</si>
  <si>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</si>
  <si>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</si>
  <si>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</si>
  <si>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</si>
  <si>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</si>
  <si>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</si>
  <si>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</si>
  <si>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</si>
  <si>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</si>
  <si>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</si>
  <si>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</si>
  <si>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</si>
  <si>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</si>
  <si>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new局数</t>
    <rPh sb="3" eb="4">
      <t>キョク</t>
    </rPh>
    <rPh sb="4" eb="5">
      <t>スウ</t>
    </rPh>
    <phoneticPr fontId="1"/>
  </si>
  <si>
    <t>newアガリ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</si>
  <si>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</si>
  <si>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</si>
  <si>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</si>
  <si>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</si>
  <si>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</si>
  <si>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</si>
  <si>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Sheet1</t>
  </si>
  <si>
    <t>Sheet2</t>
  </si>
  <si>
    <t>Sheet3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</si>
  <si>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</si>
  <si>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</si>
  <si>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</si>
  <si>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</si>
  <si>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</si>
  <si>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</si>
  <si>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</si>
  <si>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</si>
  <si>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</si>
  <si>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</si>
  <si>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</si>
  <si>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</si>
  <si>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</si>
  <si>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</si>
  <si>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</si>
  <si>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</si>
  <si>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</si>
  <si>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</si>
  <si>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</si>
  <si>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</si>
  <si>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最大ドラ数</t>
    <phoneticPr fontId="1"/>
  </si>
  <si>
    <t>最大点数</t>
    <rPh sb="0" eb="2">
      <t>サイダイ</t>
    </rPh>
    <rPh sb="2" eb="4">
      <t>テンスウ</t>
    </rPh>
    <phoneticPr fontId="1"/>
  </si>
  <si>
    <t>最大点数</t>
    <rPh sb="2" eb="3">
      <t>テン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</si>
  <si>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</si>
  <si>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</si>
  <si>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</si>
  <si>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</si>
  <si>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</si>
  <si>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</si>
  <si>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逆転</t>
    <rPh sb="0" eb="2">
      <t>ギャクテン</t>
    </rPh>
    <phoneticPr fontId="1"/>
  </si>
  <si>
    <t>逆転率</t>
    <rPh sb="0" eb="2">
      <t>ギャクテン</t>
    </rPh>
    <rPh sb="2" eb="3">
      <t>リツ</t>
    </rPh>
    <phoneticPr fontId="1"/>
  </si>
  <si>
    <t>逆転率</t>
    <rPh sb="0" eb="2">
      <t>ギャクテン</t>
    </rPh>
    <rPh sb="2" eb="3">
      <t>リツ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</si>
  <si>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</si>
  <si>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</si>
  <si>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チョンボ数</t>
    <rPh sb="4" eb="5">
      <t>スウ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</si>
  <si>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</si>
  <si>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</si>
  <si>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</si>
  <si>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</si>
  <si>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</si>
  <si>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2019-03-08.xlsm</t>
  </si>
  <si>
    <t>りょうすけ</t>
  </si>
  <si>
    <t>てんちゃん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</si>
</sst>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"/>
    <numFmt numFmtId="181" formatCode="yyyy/mm/dd\ hh:mm"/>
    <numFmt numFmtId="182" formatCode="0\ &quot;個&quot;"/>
    <numFmt numFmtId="183" formatCode="0&quot;位&quot;"/>
    <numFmt numFmtId="184" formatCode="0\ &quot;位&quot;"/>
    <numFmt numFmtId="185" formatCode="\+0.00;\-0.00;\±0"/>
    <numFmt numFmtId="186" formatCode="\+0;\-0;\±0"/>
    <numFmt numFmtId="187" formatCode="0.0000"/>
    <numFmt numFmtId="188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55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67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180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1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3" fontId="0" fillId="0" borderId="29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3" fontId="0" fillId="0" borderId="32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3" xfId="0" applyNumberFormat="1" applyBorder="1" applyAlignment="1">
      <alignment horizontal="center" vertical="center" shrinkToFit="1"/>
    </xf>
    <xf numFmtId="0" fontId="0" fillId="0" borderId="34" xfId="0" applyBorder="1" applyAlignment="1">
      <alignment horizontal="center" vertical="center" shrinkToFit="1"/>
    </xf>
    <xf numFmtId="178" fontId="0" fillId="0" borderId="33" xfId="0" applyNumberFormat="1" applyBorder="1" applyAlignment="1">
      <alignment horizontal="center" vertical="center" shrinkToFit="1"/>
    </xf>
    <xf numFmtId="179" fontId="0" fillId="0" borderId="33" xfId="0" applyNumberFormat="1" applyBorder="1" applyAlignment="1">
      <alignment horizontal="center" vertical="center" shrinkToFit="1"/>
    </xf>
    <xf numFmtId="179" fontId="0" fillId="0" borderId="33" xfId="0" applyNumberFormat="1" applyBorder="1" applyAlignment="1">
      <alignment horizontal="center" vertical="center"/>
    </xf>
    <xf numFmtId="1" fontId="0" fillId="0" borderId="33" xfId="0" applyNumberFormat="1" applyBorder="1" applyAlignment="1">
      <alignment horizontal="center" vertical="center" shrinkToFit="1"/>
    </xf>
    <xf numFmtId="182" fontId="0" fillId="0" borderId="33" xfId="0" applyNumberFormat="1" applyBorder="1" applyAlignment="1">
      <alignment horizontal="center" vertical="center"/>
    </xf>
    <xf numFmtId="176" fontId="0" fillId="0" borderId="33" xfId="0" applyNumberFormat="1" applyBorder="1" applyAlignment="1">
      <alignment horizontal="center" vertical="center"/>
    </xf>
    <xf numFmtId="183" fontId="0" fillId="0" borderId="35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6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78" fontId="0" fillId="0" borderId="36" xfId="0" applyNumberFormat="1" applyBorder="1" applyAlignment="1">
      <alignment horizontal="center" vertical="center" shrinkToFit="1"/>
    </xf>
    <xf numFmtId="179" fontId="0" fillId="0" borderId="36" xfId="0" applyNumberFormat="1" applyBorder="1" applyAlignment="1">
      <alignment horizontal="center" vertical="center" shrinkToFit="1"/>
    </xf>
    <xf numFmtId="179" fontId="0" fillId="0" borderId="36" xfId="0" applyNumberFormat="1" applyBorder="1" applyAlignment="1">
      <alignment horizontal="center" vertical="center"/>
    </xf>
    <xf numFmtId="1" fontId="0" fillId="0" borderId="36" xfId="0" applyNumberFormat="1" applyBorder="1" applyAlignment="1">
      <alignment horizontal="center" vertical="center" shrinkToFit="1"/>
    </xf>
    <xf numFmtId="182" fontId="0" fillId="0" borderId="36" xfId="0" applyNumberFormat="1" applyBorder="1" applyAlignment="1">
      <alignment horizontal="center" vertical="center"/>
    </xf>
    <xf numFmtId="176" fontId="0" fillId="0" borderId="36" xfId="0" applyNumberFormat="1" applyBorder="1" applyAlignment="1">
      <alignment horizontal="center" vertical="center"/>
    </xf>
    <xf numFmtId="0" fontId="0" fillId="0" borderId="38" xfId="0" applyBorder="1" applyAlignment="1">
      <alignment horizontal="center" vertical="center" shrinkToFit="1"/>
    </xf>
    <xf numFmtId="1" fontId="0" fillId="0" borderId="33" xfId="0" applyNumberFormat="1" applyBorder="1" applyAlignment="1">
      <alignment horizontal="center" vertical="center"/>
    </xf>
    <xf numFmtId="1" fontId="0" fillId="0" borderId="36" xfId="0" applyNumberFormat="1" applyBorder="1" applyAlignment="1">
      <alignment horizontal="center" vertical="center"/>
    </xf>
    <xf numFmtId="184" fontId="0" fillId="0" borderId="6" xfId="0" applyNumberFormat="1" applyBorder="1" applyAlignment="1">
      <alignment horizontal="center" vertical="center" shrinkToFit="1"/>
    </xf>
    <xf numFmtId="184" fontId="0" fillId="0" borderId="3" xfId="0" applyNumberFormat="1" applyBorder="1" applyAlignment="1">
      <alignment horizontal="center" vertical="center" shrinkToFit="1"/>
    </xf>
    <xf numFmtId="184" fontId="0" fillId="0" borderId="5" xfId="0" applyNumberFormat="1" applyBorder="1" applyAlignment="1">
      <alignment horizontal="center" vertical="center" shrinkToFit="1"/>
    </xf>
    <xf numFmtId="185" fontId="0" fillId="0" borderId="33" xfId="0" applyNumberFormat="1" applyBorder="1" applyAlignment="1">
      <alignment horizontal="center" vertical="center" shrinkToFit="1"/>
    </xf>
    <xf numFmtId="185" fontId="0" fillId="0" borderId="36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9" xfId="0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1" fontId="2" fillId="0" borderId="52" xfId="0" applyNumberFormat="1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0" fontId="3" fillId="0" borderId="52" xfId="0" applyFont="1" applyBorder="1" applyAlignment="1">
      <alignment horizontal="center" vertical="center" shrinkToFit="1"/>
    </xf>
    <xf numFmtId="1" fontId="2" fillId="0" borderId="41" xfId="0" applyNumberFormat="1" applyFont="1" applyBorder="1" applyAlignment="1">
      <alignment horizontal="center" vertical="center" shrinkToFit="1"/>
    </xf>
    <xf numFmtId="0" fontId="0" fillId="0" borderId="41" xfId="0" applyBorder="1" applyAlignment="1">
      <alignment vertical="center" shrinkToFit="1"/>
    </xf>
    <xf numFmtId="176" fontId="5" fillId="0" borderId="0" xfId="0" applyNumberFormat="1" applyFont="1" applyBorder="1" applyAlignment="1">
      <alignment horizontal="center" vertical="center" shrinkToFit="1"/>
    </xf>
    <xf numFmtId="0" fontId="5" fillId="0" borderId="0" xfId="0" applyNumberFormat="1" applyFont="1" applyBorder="1" applyAlignment="1">
      <alignment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54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76" fontId="5" fillId="0" borderId="44" xfId="0" applyNumberFormat="1" applyFont="1" applyBorder="1" applyAlignment="1">
      <alignment horizontal="center" vertical="center" shrinkToFit="1"/>
    </xf>
    <xf numFmtId="186" fontId="0" fillId="0" borderId="1" xfId="0" applyNumberFormat="1" applyBorder="1" applyAlignment="1">
      <alignment horizontal="center" vertical="center" shrinkToFit="1"/>
    </xf>
    <xf numFmtId="186" fontId="0" fillId="0" borderId="2" xfId="0" applyNumberFormat="1" applyBorder="1" applyAlignment="1">
      <alignment horizontal="center" vertical="center" shrinkToFit="1"/>
    </xf>
    <xf numFmtId="186" fontId="0" fillId="0" borderId="4" xfId="0" applyNumberForma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6" fontId="0" fillId="0" borderId="41" xfId="0" applyNumberFormat="1" applyBorder="1" applyAlignment="1">
      <alignment horizontal="center" vertical="center" shrinkToFit="1"/>
    </xf>
    <xf numFmtId="49" fontId="5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5" xfId="0" applyBorder="1" applyAlignment="1">
      <alignment horizontal="center" vertical="center" shrinkToFit="1"/>
    </xf>
    <xf numFmtId="188" fontId="0" fillId="0" borderId="0" xfId="0" applyNumberFormat="1" applyBorder="1" applyAlignment="1">
      <alignment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0" fontId="0" fillId="0" borderId="48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5" fontId="0" fillId="0" borderId="25" xfId="0" applyNumberFormat="1" applyBorder="1" applyAlignment="1">
      <alignment horizontal="center" vertical="center" shrinkToFit="1"/>
    </xf>
    <xf numFmtId="185" fontId="0" fillId="0" borderId="26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2" fontId="0" fillId="0" borderId="23" xfId="0" applyNumberFormat="1" applyBorder="1" applyAlignment="1">
      <alignment horizontal="center" vertical="center" shrinkToFit="1"/>
    </xf>
    <xf numFmtId="182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6" fontId="0" fillId="0" borderId="28" xfId="0" applyNumberFormat="1" applyBorder="1" applyAlignment="1">
      <alignment horizontal="center" vertical="center" shrinkToFit="1"/>
    </xf>
    <xf numFmtId="187" fontId="0" fillId="0" borderId="30" xfId="0" applyNumberFormat="1" applyBorder="1" applyAlignment="1">
      <alignment horizontal="center" vertical="center" shrinkToFit="1"/>
    </xf>
    <xf numFmtId="187" fontId="0" fillId="0" borderId="31" xfId="0" applyNumberFormat="1" applyBorder="1" applyAlignment="1">
      <alignment horizontal="center" vertical="center" shrinkToFit="1"/>
    </xf>
    <xf numFmtId="187" fontId="0" fillId="0" borderId="39" xfId="0" applyNumberFormat="1" applyBorder="1" applyAlignment="1">
      <alignment horizontal="center" vertical="center" shrinkToFit="1"/>
    </xf>
    <xf numFmtId="187" fontId="0" fillId="0" borderId="40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0" fontId="0" fillId="0" borderId="31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hartsheet" Target="chartsheets/sheet5.xml"/><Relationship Id="rId26" Type="http://schemas.openxmlformats.org/officeDocument/2006/relationships/chartsheet" Target="chartsheets/sheet13.xml"/><Relationship Id="rId3" Type="http://schemas.openxmlformats.org/officeDocument/2006/relationships/worksheet" Target="worksheets/sheet3.xml"/><Relationship Id="rId21" Type="http://schemas.openxmlformats.org/officeDocument/2006/relationships/chartsheet" Target="chartsheets/sheet8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hartsheet" Target="chartsheets/sheet4.xml"/><Relationship Id="rId25" Type="http://schemas.openxmlformats.org/officeDocument/2006/relationships/chartsheet" Target="chartsheets/sheet12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chartsheet" Target="chartsheets/sheet3.xml"/><Relationship Id="rId20" Type="http://schemas.openxmlformats.org/officeDocument/2006/relationships/chartsheet" Target="chartsheets/sheet7.xml"/><Relationship Id="rId29" Type="http://schemas.openxmlformats.org/officeDocument/2006/relationships/chartsheet" Target="chartsheets/sheet1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hartsheet" Target="chartsheets/sheet11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hartsheet" Target="chartsheets/sheet2.xml"/><Relationship Id="rId23" Type="http://schemas.openxmlformats.org/officeDocument/2006/relationships/chartsheet" Target="chartsheets/sheet10.xml"/><Relationship Id="rId28" Type="http://schemas.openxmlformats.org/officeDocument/2006/relationships/chartsheet" Target="chartsheets/sheet15.xml"/><Relationship Id="rId10" Type="http://schemas.openxmlformats.org/officeDocument/2006/relationships/worksheet" Target="worksheets/sheet10.xml"/><Relationship Id="rId19" Type="http://schemas.openxmlformats.org/officeDocument/2006/relationships/chartsheet" Target="chartsheets/sheet6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hartsheet" Target="chartsheets/sheet1.xml"/><Relationship Id="rId22" Type="http://schemas.openxmlformats.org/officeDocument/2006/relationships/chartsheet" Target="chartsheets/sheet9.xml"/><Relationship Id="rId27" Type="http://schemas.openxmlformats.org/officeDocument/2006/relationships/chartsheet" Target="chartsheets/sheet14.xml"/><Relationship Id="rId30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全体!$L$2:$L$11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-14.1</c:v>
                </c:pt>
                <c:pt idx="2">
                  <c:v>3.0000000000000018</c:v>
                </c:pt>
                <c:pt idx="3">
                  <c:v>1.7763568394002505E-15</c:v>
                </c:pt>
                <c:pt idx="4">
                  <c:v>75</c:v>
                </c:pt>
                <c:pt idx="5">
                  <c:v>19</c:v>
                </c:pt>
                <c:pt idx="6">
                  <c:v>0</c:v>
                </c:pt>
                <c:pt idx="7">
                  <c:v>45</c:v>
                </c:pt>
                <c:pt idx="8">
                  <c:v>-1</c:v>
                </c:pt>
                <c:pt idx="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781-45E7-BBE1-7EF2B87E29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A03-4578-8B64-1962619DA9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だいち!$L$2:$L$5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-14.1</c:v>
                </c:pt>
                <c:pt idx="2">
                  <c:v>60.9</c:v>
                </c:pt>
                <c:pt idx="3">
                  <c:v>105.9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00B-498F-891A-95C9F8D493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-166.66666666666666</c:v>
                </c:pt>
                <c:pt idx="1">
                  <c:v>9033.3333333333339</c:v>
                </c:pt>
                <c:pt idx="2">
                  <c:v>1650</c:v>
                </c:pt>
                <c:pt idx="3">
                  <c:v>33750</c:v>
                </c:pt>
                <c:pt idx="4">
                  <c:v>-3500</c:v>
                </c:pt>
                <c:pt idx="5">
                  <c:v>12000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BA-48A4-9853-9A05612453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りょうすけ!$L$1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りょうすけ!$K$2:$K$5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りょうすけ!$L$2:$L$5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17.100000000000001</c:v>
                </c:pt>
                <c:pt idx="2">
                  <c:v>-38.9</c:v>
                </c:pt>
                <c:pt idx="3">
                  <c:v>-84.9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463-4DC3-B011-C730A0426A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りょうすけ!$O$1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りょうすけ!$N$2:$N$7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りょうすけ!$O$2:$O$7</c:f>
              <c:numCache>
                <c:formatCode>\+0;\-0;\±0</c:formatCode>
                <c:ptCount val="6"/>
                <c:pt idx="0">
                  <c:v>-2166.6666666666665</c:v>
                </c:pt>
                <c:pt idx="1">
                  <c:v>-12366.666666666666</c:v>
                </c:pt>
                <c:pt idx="2">
                  <c:v>4350</c:v>
                </c:pt>
                <c:pt idx="3">
                  <c:v>-24250</c:v>
                </c:pt>
                <c:pt idx="4">
                  <c:v>3000</c:v>
                </c:pt>
                <c:pt idx="5">
                  <c:v>-4500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BD-42DC-9AFF-3ECB6D4852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てんちゃん!$L$1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てんちゃん!$K$2:$K$5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てんちゃん!$L$2:$L$5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-3</c:v>
                </c:pt>
                <c:pt idx="2">
                  <c:v>-22</c:v>
                </c:pt>
                <c:pt idx="3">
                  <c:v>-21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127-420D-9AA4-63819A1876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てんちゃん!$O$1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てんちゃん!$N$2:$N$7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てんちゃん!$O$2:$O$7</c:f>
              <c:numCache>
                <c:formatCode>\+0;\-0;\±0</c:formatCode>
                <c:ptCount val="6"/>
                <c:pt idx="0">
                  <c:v>2333.3333333333335</c:v>
                </c:pt>
                <c:pt idx="1">
                  <c:v>3333.3333333333335</c:v>
                </c:pt>
                <c:pt idx="2">
                  <c:v>-6000</c:v>
                </c:pt>
                <c:pt idx="3">
                  <c:v>-9500</c:v>
                </c:pt>
                <c:pt idx="4">
                  <c:v>500</c:v>
                </c:pt>
                <c:pt idx="5">
                  <c:v>-7500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EC9-435A-9BA9-9460B974A0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てんちゃん2!$B$1:$B$2</c:f>
              <c:strCache>
                <c:ptCount val="2"/>
                <c:pt idx="0">
                  <c:v>てんちゃん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てんちゃん2!$A$3:$A$6</c:f>
              <c:numCache>
                <c:formatCode>0\ "回"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てんちゃん2!$B$3:$B$6</c:f>
              <c:numCache>
                <c:formatCode>\+0.0;\-0.0;\±0</c:formatCode>
                <c:ptCount val="4"/>
                <c:pt idx="0">
                  <c:v>0</c:v>
                </c:pt>
                <c:pt idx="1">
                  <c:v>-3</c:v>
                </c:pt>
                <c:pt idx="2">
                  <c:v>-22</c:v>
                </c:pt>
                <c:pt idx="3">
                  <c:v>-21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てんちゃん2!$C$1:$C$2</c:f>
              <c:strCache>
                <c:ptCount val="2"/>
                <c:pt idx="0">
                  <c:v>てんちゃん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てんちゃん2!$A$3:$A$6</c:f>
              <c:numCache>
                <c:formatCode>0\ "回"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てんちゃん2!$C$3:$C$6</c:f>
              <c:numCache>
                <c:formatCode>\+0.0;\-0.0;\±0</c:formatCode>
                <c:ptCount val="4"/>
                <c:pt idx="1">
                  <c:v>-3</c:v>
                </c:pt>
                <c:pt idx="2">
                  <c:v>-11</c:v>
                </c:pt>
                <c:pt idx="3">
                  <c:v>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てんちゃん2!$D$1:$D$2</c:f>
              <c:strCache>
                <c:ptCount val="2"/>
                <c:pt idx="0">
                  <c:v>てんちゃん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てんちゃん2!$A$3:$A$6</c:f>
              <c:numCache>
                <c:formatCode>0\ "回"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てんちゃん2!$D$3:$D$6</c:f>
              <c:numCache>
                <c:formatCode>0.00\ "位"</c:formatCode>
                <c:ptCount val="4"/>
                <c:pt idx="1">
                  <c:v>2</c:v>
                </c:pt>
                <c:pt idx="2">
                  <c:v>2</c:v>
                </c:pt>
                <c:pt idx="3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てんちゃん2!$E$1:$E$2</c:f>
              <c:strCache>
                <c:ptCount val="2"/>
                <c:pt idx="0">
                  <c:v>てんちゃん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てんちゃん2!$A$3:$A$6</c:f>
              <c:numCache>
                <c:formatCode>0\ "回"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てんちゃん2!$E$3:$E$6</c:f>
              <c:numCache>
                <c:formatCode>0.0%</c:formatCode>
                <c:ptCount val="4"/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てんちゃん2!$F$1:$F$2</c:f>
              <c:strCache>
                <c:ptCount val="2"/>
                <c:pt idx="0">
                  <c:v>てんちゃん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てんちゃん2!$A$3:$A$6</c:f>
              <c:numCache>
                <c:formatCode>0\ "回"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てんちゃん2!$F$3:$F$6</c:f>
              <c:numCache>
                <c:formatCode>0.0%</c:formatCode>
                <c:ptCount val="4"/>
                <c:pt idx="1">
                  <c:v>0.2857142857142857</c:v>
                </c:pt>
                <c:pt idx="2">
                  <c:v>0.25</c:v>
                </c:pt>
                <c:pt idx="3">
                  <c:v>0.23809523809523808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てんちゃん2!$G$1:$G$2</c:f>
              <c:strCache>
                <c:ptCount val="2"/>
                <c:pt idx="0">
                  <c:v>てんちゃん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てんちゃん2!$A$3:$A$6</c:f>
              <c:numCache>
                <c:formatCode>0\ "回"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てんちゃん2!$G$3:$G$6</c:f>
              <c:numCache>
                <c:formatCode>0.0%</c:formatCode>
                <c:ptCount val="4"/>
                <c:pt idx="1">
                  <c:v>0</c:v>
                </c:pt>
                <c:pt idx="2">
                  <c:v>0.125</c:v>
                </c:pt>
                <c:pt idx="3">
                  <c:v>9.5238095238095233E-2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てんちゃん2!$H$1:$H$2</c:f>
              <c:strCache>
                <c:ptCount val="2"/>
                <c:pt idx="0">
                  <c:v>てんちゃん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てんちゃん2!$A$3:$A$6</c:f>
              <c:numCache>
                <c:formatCode>0\ "回"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てんちゃん2!$H$3:$H$6</c:f>
              <c:numCache>
                <c:formatCode>0</c:formatCode>
                <c:ptCount val="4"/>
                <c:pt idx="1">
                  <c:v>2500</c:v>
                </c:pt>
                <c:pt idx="2">
                  <c:v>5250</c:v>
                </c:pt>
                <c:pt idx="3">
                  <c:v>6600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てんちゃん2!$I$1:$I$2</c:f>
              <c:strCache>
                <c:ptCount val="2"/>
                <c:pt idx="0">
                  <c:v>てんちゃん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てんちゃん2!$A$3:$A$6</c:f>
              <c:numCache>
                <c:formatCode>0\ "回"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てんちゃん2!$I$3:$I$6</c:f>
              <c:numCache>
                <c:formatCode>0</c:formatCode>
                <c:ptCount val="4"/>
                <c:pt idx="1">
                  <c:v>0</c:v>
                </c:pt>
                <c:pt idx="2">
                  <c:v>-12000</c:v>
                </c:pt>
                <c:pt idx="3">
                  <c:v>-12000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てんちゃん2!$J$1:$J$2</c:f>
              <c:strCache>
                <c:ptCount val="2"/>
                <c:pt idx="0">
                  <c:v>てんちゃん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てんちゃん2!$A$3:$A$6</c:f>
              <c:numCache>
                <c:formatCode>0\ "回"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てんちゃん2!$J$3:$J$6</c:f>
              <c:numCache>
                <c:formatCode>0.0%</c:formatCode>
                <c:ptCount val="4"/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てんちゃん2!$K$1:$K$2</c:f>
              <c:strCache>
                <c:ptCount val="2"/>
                <c:pt idx="0">
                  <c:v>てんちゃん</c:v>
                </c:pt>
                <c:pt idx="1">
                  <c:v>ふっとばし率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てんちゃん2!$A$3:$A$6</c:f>
              <c:numCache>
                <c:formatCode>0\ "回"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てんちゃん2!$K$3:$K$6</c:f>
              <c:numCache>
                <c:formatCode>0.0%</c:formatCode>
                <c:ptCount val="4"/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92-4F2D-9FFC-F11712041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てんちゃん2!$M$1:$M$2</c:f>
              <c:strCache>
                <c:ptCount val="2"/>
                <c:pt idx="0">
                  <c:v>てんちゃん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てんちゃん2!$A$3:$A$6</c:f>
              <c:numCache>
                <c:formatCode>0\ "回"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てんちゃん2!$M$3:$M$6</c:f>
              <c:numCache>
                <c:formatCode>0.0%</c:formatCode>
                <c:ptCount val="4"/>
                <c:pt idx="1">
                  <c:v>0.14285714285714285</c:v>
                </c:pt>
                <c:pt idx="2">
                  <c:v>0.1875</c:v>
                </c:pt>
                <c:pt idx="3">
                  <c:v>0.23809523809523808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てんちゃん2!$N$1:$N$2</c:f>
              <c:strCache>
                <c:ptCount val="2"/>
                <c:pt idx="0">
                  <c:v>てんちゃん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てんちゃん2!$A$3:$A$6</c:f>
              <c:numCache>
                <c:formatCode>0\ "回"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てんちゃん2!$N$3:$N$6</c:f>
              <c:numCache>
                <c:formatCode>0.0%</c:formatCode>
                <c:ptCount val="4"/>
                <c:pt idx="1">
                  <c:v>0.14285714285714285</c:v>
                </c:pt>
                <c:pt idx="2">
                  <c:v>6.25E-2</c:v>
                </c:pt>
                <c:pt idx="3">
                  <c:v>4.7619047619047616E-2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てんちゃん2!$O$1:$O$2</c:f>
              <c:strCache>
                <c:ptCount val="2"/>
                <c:pt idx="0">
                  <c:v>てんちゃん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てんちゃん2!$A$3:$A$6</c:f>
              <c:numCache>
                <c:formatCode>0\ "回"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てんちゃん2!$O$3:$O$6</c:f>
              <c:numCache>
                <c:formatCode>0.0%</c:formatCode>
                <c:ptCount val="4"/>
                <c:pt idx="1">
                  <c:v>1</c:v>
                </c:pt>
                <c:pt idx="2">
                  <c:v>1</c:v>
                </c:pt>
                <c:pt idx="3">
                  <c:v>0.8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DB-4F79-8772-CA478479E6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てんちゃん2!$P$1:$P$2</c:f>
              <c:strCache>
                <c:ptCount val="2"/>
                <c:pt idx="0">
                  <c:v>てんちゃん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てんちゃん2!$A$3:$A$6</c:f>
              <c:numCache>
                <c:formatCode>0\ "回"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てんちゃん2!$P$3:$P$6</c:f>
              <c:numCache>
                <c:formatCode>0.0%</c:formatCode>
                <c:ptCount val="4"/>
                <c:pt idx="1">
                  <c:v>1</c:v>
                </c:pt>
                <c:pt idx="2">
                  <c:v>1</c:v>
                </c:pt>
                <c:pt idx="3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てんちゃん2!$Q$1:$Q$2</c:f>
              <c:strCache>
                <c:ptCount val="2"/>
                <c:pt idx="0">
                  <c:v>てんちゃん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てんちゃん2!$A$3:$A$6</c:f>
              <c:numCache>
                <c:formatCode>0\ "回"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てんちゃん2!$Q$3:$Q$6</c:f>
              <c:numCache>
                <c:formatCode>0.0%</c:formatCode>
                <c:ptCount val="4"/>
                <c:pt idx="1">
                  <c:v>0.5</c:v>
                </c:pt>
                <c:pt idx="2">
                  <c:v>0.75</c:v>
                </c:pt>
                <c:pt idx="3">
                  <c:v>0.6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てんちゃん2!$L$1:$L$2</c:f>
              <c:strCache>
                <c:ptCount val="2"/>
                <c:pt idx="0">
                  <c:v>てんちゃん</c:v>
                </c:pt>
                <c:pt idx="1">
                  <c:v>逆転率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てんちゃん2!$A$3:$A$6</c:f>
              <c:numCache>
                <c:formatCode>0\ "回"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てんちゃん2!$L$3:$L$6</c:f>
              <c:numCache>
                <c:formatCode>0.0%</c:formatCode>
                <c:ptCount val="4"/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C5C-4785-9E11-EEC86F2B45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90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90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90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90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90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90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5968692-9151-4F00-BB2C-7A88127CC1FF}">
  <sheetPr codeName="グラフ18"/>
  <sheetViews>
    <sheetView zoomScale="90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90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90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FD20A29-01D2-4611-9F01-81FE67B0662F}">
  <sheetPr codeName="グラフ21"/>
  <sheetViews>
    <sheetView zoomScale="90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90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90" workbookViewId="0" zoomToFit="1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A713E1CA-DFA3-4E00-BF9D-98608981C765}">
  <sheetPr codeName="グラフ24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E37421F0-839D-43BE-9376-AD0E9F9AFC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7F60127C-7EA2-47D9-B556-19092D8C028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42796857-6DF6-4D6C-A936-2CC9F0D1EB8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32FC452F-397B-410C-A7E2-19FA3B913A1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17FF67DC-3780-479F-9836-AFAB7602B3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85A176A0-9131-488A-AFC7-B3DAD868C3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19EB5AED-1535-4CB1-895C-69F845FF6B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9CE8E614-547D-4C4A-9B94-DF1173AE274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0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1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2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3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3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1"/>
  <sheetViews>
    <sheetView showGridLines="0" zoomScale="120" zoomScaleNormal="120" workbookViewId="0"/>
  </sheetViews>
  <sheetFormatPr defaultColWidth="9" defaultRowHeight="18.75" x14ac:dyDescent="0.4"/>
  <cols>
    <col min="1" max="1" width="13" style="1" customWidth="1"/>
    <col min="2" max="3" width="9" style="1" customWidth="1"/>
    <col min="4" max="4" width="3.625" style="1" customWidth="1"/>
    <col min="5" max="5" width="3.625" style="134" bestFit="1" customWidth="1"/>
    <col min="6" max="6" width="11" style="10" bestFit="1" customWidth="1"/>
    <col min="7" max="8" width="9" style="1" customWidth="1"/>
    <col min="9" max="9" width="9" style="35" customWidth="1"/>
    <col min="10" max="10" width="3.625" style="1" customWidth="1"/>
    <col min="11" max="11" width="3.5" style="5" customWidth="1"/>
    <col min="12" max="12" width="9" style="105" customWidth="1"/>
    <col min="13" max="13" width="3.625" style="1" customWidth="1"/>
    <col min="14" max="14" width="9" style="121" customWidth="1"/>
    <col min="15" max="15" width="9" style="131" customWidth="1"/>
    <col min="16" max="16" width="9" style="125" customWidth="1"/>
    <col min="17" max="17" width="3.625" style="113" customWidth="1"/>
    <col min="18" max="16384" width="9" style="1"/>
  </cols>
  <sheetData>
    <row r="1" spans="1:17" x14ac:dyDescent="0.4">
      <c r="A1" s="21" t="s">
        <v>0</v>
      </c>
      <c r="B1" s="143"/>
      <c r="C1" s="144"/>
      <c r="E1" s="135" t="s">
        <v>176</v>
      </c>
      <c r="F1" s="12" t="s">
        <v>120</v>
      </c>
      <c r="G1" s="27" t="s">
        <v>121</v>
      </c>
      <c r="H1" s="136" t="s">
        <v>122</v>
      </c>
      <c r="I1" s="106" t="s">
        <v>160</v>
      </c>
      <c r="K1" s="2" t="s">
        <v>20</v>
      </c>
      <c r="L1" s="37" t="s">
        <v>125</v>
      </c>
      <c r="M1" s="137"/>
      <c r="N1" s="119" t="s">
        <v>143</v>
      </c>
      <c r="O1" s="36" t="s">
        <v>144</v>
      </c>
      <c r="P1" s="123" t="s">
        <v>121</v>
      </c>
      <c r="Q1" s="107" t="s">
        <v>165</v>
      </c>
    </row>
    <row r="2" spans="1:17" x14ac:dyDescent="0.4">
      <c r="A2" s="22" t="s">
        <v>9</v>
      </c>
      <c r="B2" s="145">
        <v>0</v>
      </c>
      <c r="C2" s="146"/>
      <c r="E2" s="64" t="s">
        <v>67</v>
      </c>
      <c r="F2" s="28" t="s">
        <v>21</v>
      </c>
      <c r="G2" s="14">
        <v>0</v>
      </c>
      <c r="H2" s="138">
        <f t="shared" ref="H2:H33" si="0">IF(B$27=0,0,G2/B$27)</f>
        <v>0</v>
      </c>
      <c r="I2" s="99"/>
      <c r="K2" s="3">
        <v>0</v>
      </c>
      <c r="L2" s="104">
        <v>0</v>
      </c>
      <c r="N2" s="120" t="s">
        <v>137</v>
      </c>
      <c r="O2" s="127">
        <f t="shared" ref="O2:O7" si="1">IF(P2=0,0,Q2/P2)</f>
        <v>0</v>
      </c>
      <c r="P2" s="124">
        <v>0</v>
      </c>
      <c r="Q2" s="108">
        <v>0</v>
      </c>
    </row>
    <row r="3" spans="1:17" x14ac:dyDescent="0.4">
      <c r="A3" s="23" t="s">
        <v>8</v>
      </c>
      <c r="B3" s="147">
        <v>0</v>
      </c>
      <c r="C3" s="148"/>
      <c r="E3" s="65" t="s">
        <v>68</v>
      </c>
      <c r="F3" s="29" t="s">
        <v>22</v>
      </c>
      <c r="G3" s="15">
        <v>0</v>
      </c>
      <c r="H3" s="139">
        <f t="shared" si="0"/>
        <v>0</v>
      </c>
      <c r="I3" s="100"/>
      <c r="N3" s="121" t="s">
        <v>138</v>
      </c>
      <c r="O3" s="128">
        <f t="shared" si="1"/>
        <v>0</v>
      </c>
      <c r="P3" s="125">
        <v>0</v>
      </c>
      <c r="Q3" s="109">
        <v>0</v>
      </c>
    </row>
    <row r="4" spans="1:17" x14ac:dyDescent="0.4">
      <c r="A4" s="23" t="s">
        <v>6</v>
      </c>
      <c r="B4" s="149">
        <v>0</v>
      </c>
      <c r="C4" s="150"/>
      <c r="E4" s="65" t="s">
        <v>69</v>
      </c>
      <c r="F4" s="29" t="s">
        <v>23</v>
      </c>
      <c r="G4" s="15">
        <v>0</v>
      </c>
      <c r="H4" s="139">
        <f t="shared" si="0"/>
        <v>0</v>
      </c>
      <c r="I4" s="100"/>
      <c r="N4" s="121" t="s">
        <v>139</v>
      </c>
      <c r="O4" s="128">
        <f t="shared" si="1"/>
        <v>0</v>
      </c>
      <c r="P4" s="125">
        <v>0</v>
      </c>
      <c r="Q4" s="109">
        <v>0</v>
      </c>
    </row>
    <row r="5" spans="1:17" x14ac:dyDescent="0.4">
      <c r="A5" s="23" t="s">
        <v>7</v>
      </c>
      <c r="B5" s="151">
        <f>IF(B$2=0,0,B$4/B$2)</f>
        <v>0</v>
      </c>
      <c r="C5" s="152"/>
      <c r="E5" s="65" t="s">
        <v>70</v>
      </c>
      <c r="F5" s="29" t="s">
        <v>24</v>
      </c>
      <c r="G5" s="15">
        <v>0</v>
      </c>
      <c r="H5" s="139">
        <f t="shared" si="0"/>
        <v>0</v>
      </c>
      <c r="I5" s="100"/>
      <c r="N5" s="121" t="s">
        <v>140</v>
      </c>
      <c r="O5" s="128">
        <f t="shared" si="1"/>
        <v>0</v>
      </c>
      <c r="P5" s="125">
        <v>0</v>
      </c>
      <c r="Q5" s="109">
        <v>0</v>
      </c>
    </row>
    <row r="6" spans="1:17" x14ac:dyDescent="0.4">
      <c r="A6" s="23" t="s">
        <v>1</v>
      </c>
      <c r="B6" s="157">
        <f>IF(B$2=0,0,(B$7*1+B$8*2+B$9*3)/B$2)</f>
        <v>0</v>
      </c>
      <c r="C6" s="158"/>
      <c r="E6" s="65" t="s">
        <v>71</v>
      </c>
      <c r="F6" s="29" t="s">
        <v>25</v>
      </c>
      <c r="G6" s="15">
        <v>0</v>
      </c>
      <c r="H6" s="139">
        <f t="shared" si="0"/>
        <v>0</v>
      </c>
      <c r="I6" s="100"/>
      <c r="N6" s="121" t="s">
        <v>141</v>
      </c>
      <c r="O6" s="128">
        <f t="shared" si="1"/>
        <v>0</v>
      </c>
      <c r="P6" s="125">
        <v>0</v>
      </c>
      <c r="Q6" s="109">
        <v>0</v>
      </c>
    </row>
    <row r="7" spans="1:17" x14ac:dyDescent="0.4">
      <c r="A7" s="23" t="s">
        <v>2</v>
      </c>
      <c r="B7" s="15">
        <v>0</v>
      </c>
      <c r="C7" s="6">
        <f>IF(B$2=0,0,B7/B$2)</f>
        <v>0</v>
      </c>
      <c r="E7" s="65" t="s">
        <v>72</v>
      </c>
      <c r="F7" s="29" t="s">
        <v>12</v>
      </c>
      <c r="G7" s="15">
        <v>0</v>
      </c>
      <c r="H7" s="139">
        <f t="shared" si="0"/>
        <v>0</v>
      </c>
      <c r="I7" s="100"/>
      <c r="N7" s="122" t="s">
        <v>142</v>
      </c>
      <c r="O7" s="129">
        <f t="shared" si="1"/>
        <v>0</v>
      </c>
      <c r="P7" s="126">
        <v>0</v>
      </c>
      <c r="Q7" s="110">
        <v>0</v>
      </c>
    </row>
    <row r="8" spans="1:17" x14ac:dyDescent="0.4">
      <c r="A8" s="23" t="s">
        <v>3</v>
      </c>
      <c r="B8" s="15">
        <v>0</v>
      </c>
      <c r="C8" s="6">
        <f>IF(B$2=0,0,B8/B$2)</f>
        <v>0</v>
      </c>
      <c r="E8" s="65" t="s">
        <v>73</v>
      </c>
      <c r="F8" s="29" t="s">
        <v>26</v>
      </c>
      <c r="G8" s="15">
        <v>0</v>
      </c>
      <c r="H8" s="139">
        <f t="shared" si="0"/>
        <v>0</v>
      </c>
      <c r="I8" s="100"/>
      <c r="N8" s="45"/>
      <c r="O8" s="133"/>
      <c r="P8" s="117"/>
      <c r="Q8" s="115"/>
    </row>
    <row r="9" spans="1:17" x14ac:dyDescent="0.4">
      <c r="A9" s="24" t="s">
        <v>4</v>
      </c>
      <c r="B9" s="16">
        <v>0</v>
      </c>
      <c r="C9" s="7">
        <f t="shared" ref="C9" si="2">IF(B$2=0,0,B9/B$2)</f>
        <v>0</v>
      </c>
      <c r="E9" s="65" t="s">
        <v>74</v>
      </c>
      <c r="F9" s="29" t="s">
        <v>27</v>
      </c>
      <c r="G9" s="15">
        <v>0</v>
      </c>
      <c r="H9" s="139">
        <f t="shared" si="0"/>
        <v>0</v>
      </c>
      <c r="I9" s="100"/>
      <c r="N9" s="119" t="s">
        <v>172</v>
      </c>
      <c r="O9" s="36" t="s">
        <v>125</v>
      </c>
      <c r="P9" s="123" t="s">
        <v>121</v>
      </c>
      <c r="Q9" s="111" t="s">
        <v>164</v>
      </c>
    </row>
    <row r="10" spans="1:17" x14ac:dyDescent="0.4">
      <c r="A10" s="24" t="s">
        <v>19</v>
      </c>
      <c r="B10" s="16">
        <v>0</v>
      </c>
      <c r="C10" s="7">
        <f>IF(B$2=0,0,B10/B$2)</f>
        <v>0</v>
      </c>
      <c r="E10" s="65" t="s">
        <v>75</v>
      </c>
      <c r="F10" s="29" t="s">
        <v>28</v>
      </c>
      <c r="G10" s="15">
        <v>0</v>
      </c>
      <c r="H10" s="139">
        <f t="shared" si="0"/>
        <v>0</v>
      </c>
      <c r="I10" s="100"/>
      <c r="N10" s="120" t="s">
        <v>173</v>
      </c>
      <c r="O10" s="130">
        <f>IF(P10=0,0,Q10/P10)</f>
        <v>0</v>
      </c>
      <c r="P10" s="124">
        <v>0</v>
      </c>
      <c r="Q10" s="112">
        <v>0</v>
      </c>
    </row>
    <row r="11" spans="1:17" x14ac:dyDescent="0.4">
      <c r="A11" s="58" t="s">
        <v>145</v>
      </c>
      <c r="B11" s="50">
        <v>0</v>
      </c>
      <c r="C11" s="42">
        <f>IF(B$2=0,0,B11/B$2)</f>
        <v>0</v>
      </c>
      <c r="E11" s="65" t="s">
        <v>76</v>
      </c>
      <c r="F11" s="29" t="s">
        <v>29</v>
      </c>
      <c r="G11" s="15">
        <v>0</v>
      </c>
      <c r="H11" s="139">
        <f t="shared" si="0"/>
        <v>0</v>
      </c>
      <c r="I11" s="100"/>
      <c r="N11" s="121" t="s">
        <v>174</v>
      </c>
      <c r="O11" s="131">
        <f>IF(P11=0,0,Q11/P11)</f>
        <v>0</v>
      </c>
      <c r="P11" s="125">
        <v>0</v>
      </c>
      <c r="Q11" s="113">
        <v>0</v>
      </c>
    </row>
    <row r="12" spans="1:17" x14ac:dyDescent="0.4">
      <c r="A12" s="59" t="s">
        <v>166</v>
      </c>
      <c r="B12" s="51">
        <v>0</v>
      </c>
      <c r="C12" s="44">
        <f>IF(B$2=0,0,B12/B$2)</f>
        <v>0</v>
      </c>
      <c r="E12" s="65" t="s">
        <v>77</v>
      </c>
      <c r="F12" s="29" t="s">
        <v>30</v>
      </c>
      <c r="G12" s="15">
        <v>0</v>
      </c>
      <c r="H12" s="139">
        <f t="shared" si="0"/>
        <v>0</v>
      </c>
      <c r="I12" s="100"/>
      <c r="N12" s="122" t="s">
        <v>175</v>
      </c>
      <c r="O12" s="132">
        <f>IF(P12=0,0,Q12/P12)</f>
        <v>0</v>
      </c>
      <c r="P12" s="126">
        <v>0</v>
      </c>
      <c r="Q12" s="114">
        <v>0</v>
      </c>
    </row>
    <row r="13" spans="1:17" x14ac:dyDescent="0.4">
      <c r="A13" s="26" t="s">
        <v>128</v>
      </c>
      <c r="B13" s="18">
        <v>0</v>
      </c>
      <c r="C13" s="11">
        <f>IF(B$26=0,0,B13/B$26)</f>
        <v>0</v>
      </c>
      <c r="E13" s="65" t="s">
        <v>78</v>
      </c>
      <c r="F13" s="29" t="s">
        <v>31</v>
      </c>
      <c r="G13" s="15">
        <v>0</v>
      </c>
      <c r="H13" s="139">
        <f t="shared" si="0"/>
        <v>0</v>
      </c>
      <c r="I13" s="100"/>
      <c r="N13" s="35"/>
      <c r="O13" s="116"/>
      <c r="P13" s="118"/>
      <c r="Q13" s="116"/>
    </row>
    <row r="14" spans="1:17" x14ac:dyDescent="0.4">
      <c r="A14" s="23" t="s">
        <v>123</v>
      </c>
      <c r="B14" s="15">
        <v>0</v>
      </c>
      <c r="C14" s="6">
        <f>IF(B$26=0,0,B14/B$26)</f>
        <v>0</v>
      </c>
      <c r="E14" s="65" t="s">
        <v>79</v>
      </c>
      <c r="F14" s="29" t="s">
        <v>32</v>
      </c>
      <c r="G14" s="15">
        <v>0</v>
      </c>
      <c r="H14" s="139">
        <f t="shared" si="0"/>
        <v>0</v>
      </c>
      <c r="I14" s="100"/>
      <c r="N14" s="119" t="s">
        <v>161</v>
      </c>
      <c r="O14" s="36" t="s">
        <v>162</v>
      </c>
      <c r="P14" s="123" t="s">
        <v>163</v>
      </c>
      <c r="Q14" s="111" t="s">
        <v>164</v>
      </c>
    </row>
    <row r="15" spans="1:17" x14ac:dyDescent="0.4">
      <c r="A15" s="22" t="s">
        <v>130</v>
      </c>
      <c r="B15" s="14">
        <v>0</v>
      </c>
      <c r="C15" s="4">
        <f>IF(B$13=0,0,B15/B$13)</f>
        <v>0</v>
      </c>
      <c r="E15" s="65" t="s">
        <v>80</v>
      </c>
      <c r="F15" s="29" t="s">
        <v>33</v>
      </c>
      <c r="G15" s="15">
        <v>0</v>
      </c>
      <c r="H15" s="139">
        <f t="shared" si="0"/>
        <v>0</v>
      </c>
      <c r="I15" s="100"/>
      <c r="N15" s="120"/>
      <c r="O15" s="130"/>
      <c r="P15" s="124"/>
      <c r="Q15" s="112"/>
    </row>
    <row r="16" spans="1:17" x14ac:dyDescent="0.4">
      <c r="A16" s="22" t="s">
        <v>131</v>
      </c>
      <c r="B16" s="14">
        <v>0</v>
      </c>
      <c r="C16" s="4">
        <f>IF(B$14=0,0,B16/B$14)</f>
        <v>0</v>
      </c>
      <c r="E16" s="65" t="s">
        <v>81</v>
      </c>
      <c r="F16" s="29" t="s">
        <v>34</v>
      </c>
      <c r="G16" s="15">
        <v>0</v>
      </c>
      <c r="H16" s="139">
        <f t="shared" si="0"/>
        <v>0</v>
      </c>
      <c r="I16" s="100"/>
    </row>
    <row r="17" spans="1:9" x14ac:dyDescent="0.4">
      <c r="A17" s="22" t="s">
        <v>10</v>
      </c>
      <c r="B17" s="14">
        <f>B19+B18</f>
        <v>0</v>
      </c>
      <c r="C17" s="4">
        <f>IF(B$3=0,0,B17/B$3)</f>
        <v>0</v>
      </c>
      <c r="E17" s="65" t="s">
        <v>82</v>
      </c>
      <c r="F17" s="29" t="s">
        <v>35</v>
      </c>
      <c r="G17" s="15">
        <v>0</v>
      </c>
      <c r="H17" s="139">
        <f t="shared" si="0"/>
        <v>0</v>
      </c>
      <c r="I17" s="100"/>
    </row>
    <row r="18" spans="1:9" x14ac:dyDescent="0.4">
      <c r="A18" s="23" t="s">
        <v>12</v>
      </c>
      <c r="B18" s="15">
        <v>0</v>
      </c>
      <c r="C18" s="6">
        <f>IF(B$17=0,0,B18/B$17)</f>
        <v>0</v>
      </c>
      <c r="E18" s="65" t="s">
        <v>83</v>
      </c>
      <c r="F18" s="29" t="s">
        <v>36</v>
      </c>
      <c r="G18" s="15">
        <v>0</v>
      </c>
      <c r="H18" s="139">
        <f t="shared" si="0"/>
        <v>0</v>
      </c>
      <c r="I18" s="100"/>
    </row>
    <row r="19" spans="1:9" x14ac:dyDescent="0.4">
      <c r="A19" s="23" t="s">
        <v>11</v>
      </c>
      <c r="B19" s="15">
        <v>0</v>
      </c>
      <c r="C19" s="6">
        <f>IF(B$17=0,0,B19/B$17)</f>
        <v>0</v>
      </c>
      <c r="E19" s="65" t="s">
        <v>84</v>
      </c>
      <c r="F19" s="29" t="s">
        <v>37</v>
      </c>
      <c r="G19" s="15">
        <v>0</v>
      </c>
      <c r="H19" s="139">
        <f t="shared" si="0"/>
        <v>0</v>
      </c>
      <c r="I19" s="100"/>
    </row>
    <row r="20" spans="1:9" x14ac:dyDescent="0.4">
      <c r="A20" s="23" t="s">
        <v>13</v>
      </c>
      <c r="B20" s="15">
        <v>0</v>
      </c>
      <c r="C20" s="6">
        <f>IF(B$3=0,0,B20/B$3)</f>
        <v>0</v>
      </c>
      <c r="E20" s="65" t="s">
        <v>85</v>
      </c>
      <c r="F20" s="29" t="s">
        <v>38</v>
      </c>
      <c r="G20" s="15">
        <v>0</v>
      </c>
      <c r="H20" s="139">
        <f t="shared" si="0"/>
        <v>0</v>
      </c>
      <c r="I20" s="100"/>
    </row>
    <row r="21" spans="1:9" x14ac:dyDescent="0.4">
      <c r="A21" s="23" t="s">
        <v>5</v>
      </c>
      <c r="B21" s="19">
        <f>IF(B$17=0,0,C21/B$17)</f>
        <v>0</v>
      </c>
      <c r="C21" s="8">
        <v>0</v>
      </c>
      <c r="E21" s="65" t="s">
        <v>86</v>
      </c>
      <c r="F21" s="29" t="s">
        <v>39</v>
      </c>
      <c r="G21" s="15">
        <v>0</v>
      </c>
      <c r="H21" s="139">
        <f t="shared" si="0"/>
        <v>0</v>
      </c>
      <c r="I21" s="100"/>
    </row>
    <row r="22" spans="1:9" x14ac:dyDescent="0.4">
      <c r="A22" s="25" t="s">
        <v>14</v>
      </c>
      <c r="B22" s="20">
        <f>IF(B$20=0,0,C22/B$20)</f>
        <v>0</v>
      </c>
      <c r="C22" s="13">
        <v>0</v>
      </c>
      <c r="E22" s="65" t="s">
        <v>87</v>
      </c>
      <c r="F22" s="29" t="s">
        <v>40</v>
      </c>
      <c r="G22" s="15">
        <v>0</v>
      </c>
      <c r="H22" s="139">
        <f t="shared" si="0"/>
        <v>0</v>
      </c>
      <c r="I22" s="100"/>
    </row>
    <row r="23" spans="1:9" x14ac:dyDescent="0.4">
      <c r="A23" s="96" t="s">
        <v>147</v>
      </c>
      <c r="B23" s="155">
        <v>0</v>
      </c>
      <c r="C23" s="156"/>
      <c r="E23" s="65" t="s">
        <v>88</v>
      </c>
      <c r="F23" s="29" t="s">
        <v>41</v>
      </c>
      <c r="G23" s="15">
        <v>0</v>
      </c>
      <c r="H23" s="139">
        <f t="shared" si="0"/>
        <v>0</v>
      </c>
      <c r="I23" s="100"/>
    </row>
    <row r="24" spans="1:9" x14ac:dyDescent="0.4">
      <c r="A24" s="60" t="s">
        <v>158</v>
      </c>
      <c r="B24" s="153">
        <v>0</v>
      </c>
      <c r="C24" s="154"/>
      <c r="E24" s="65" t="s">
        <v>89</v>
      </c>
      <c r="F24" s="29" t="s">
        <v>42</v>
      </c>
      <c r="G24" s="15">
        <v>0</v>
      </c>
      <c r="H24" s="139">
        <f t="shared" si="0"/>
        <v>0</v>
      </c>
      <c r="I24" s="100"/>
    </row>
    <row r="25" spans="1:9" x14ac:dyDescent="0.4">
      <c r="A25" s="25" t="s">
        <v>148</v>
      </c>
      <c r="B25" s="34">
        <v>0</v>
      </c>
      <c r="C25" s="9">
        <f>IF(B$3=0,0,B25/B$3)</f>
        <v>0</v>
      </c>
      <c r="E25" s="65" t="s">
        <v>90</v>
      </c>
      <c r="F25" s="29" t="s">
        <v>43</v>
      </c>
      <c r="G25" s="15">
        <v>0</v>
      </c>
      <c r="H25" s="139">
        <f t="shared" si="0"/>
        <v>0</v>
      </c>
      <c r="I25" s="100"/>
    </row>
    <row r="26" spans="1:9" x14ac:dyDescent="0.4">
      <c r="A26" s="22" t="s">
        <v>126</v>
      </c>
      <c r="B26" s="145">
        <v>0</v>
      </c>
      <c r="C26" s="146"/>
      <c r="E26" s="65" t="s">
        <v>91</v>
      </c>
      <c r="F26" s="29" t="s">
        <v>44</v>
      </c>
      <c r="G26" s="15">
        <v>0</v>
      </c>
      <c r="H26" s="139">
        <f t="shared" si="0"/>
        <v>0</v>
      </c>
      <c r="I26" s="100"/>
    </row>
    <row r="27" spans="1:9" x14ac:dyDescent="0.4">
      <c r="A27" s="25" t="s">
        <v>127</v>
      </c>
      <c r="B27" s="159">
        <v>0</v>
      </c>
      <c r="C27" s="160"/>
      <c r="E27" s="65" t="s">
        <v>92</v>
      </c>
      <c r="F27" s="29" t="s">
        <v>45</v>
      </c>
      <c r="G27" s="15">
        <v>0</v>
      </c>
      <c r="H27" s="139">
        <f t="shared" si="0"/>
        <v>0</v>
      </c>
      <c r="I27" s="100"/>
    </row>
    <row r="28" spans="1:9" x14ac:dyDescent="0.4">
      <c r="E28" s="65" t="s">
        <v>93</v>
      </c>
      <c r="F28" s="29" t="s">
        <v>46</v>
      </c>
      <c r="G28" s="15">
        <v>0</v>
      </c>
      <c r="H28" s="139">
        <f t="shared" si="0"/>
        <v>0</v>
      </c>
      <c r="I28" s="100"/>
    </row>
    <row r="29" spans="1:9" x14ac:dyDescent="0.4">
      <c r="E29" s="65" t="s">
        <v>94</v>
      </c>
      <c r="F29" s="29" t="s">
        <v>47</v>
      </c>
      <c r="G29" s="15">
        <v>0</v>
      </c>
      <c r="H29" s="139">
        <f t="shared" si="0"/>
        <v>0</v>
      </c>
      <c r="I29" s="100"/>
    </row>
    <row r="30" spans="1:9" x14ac:dyDescent="0.4">
      <c r="E30" s="65" t="s">
        <v>95</v>
      </c>
      <c r="F30" s="29" t="s">
        <v>48</v>
      </c>
      <c r="G30" s="15">
        <v>0</v>
      </c>
      <c r="H30" s="139">
        <f t="shared" si="0"/>
        <v>0</v>
      </c>
      <c r="I30" s="100"/>
    </row>
    <row r="31" spans="1:9" x14ac:dyDescent="0.4">
      <c r="E31" s="65" t="s">
        <v>96</v>
      </c>
      <c r="F31" s="29" t="s">
        <v>49</v>
      </c>
      <c r="G31" s="15">
        <v>0</v>
      </c>
      <c r="H31" s="139">
        <f t="shared" si="0"/>
        <v>0</v>
      </c>
      <c r="I31" s="100"/>
    </row>
    <row r="32" spans="1:9" x14ac:dyDescent="0.4">
      <c r="E32" s="65" t="s">
        <v>97</v>
      </c>
      <c r="F32" s="29" t="s">
        <v>50</v>
      </c>
      <c r="G32" s="15">
        <v>0</v>
      </c>
      <c r="H32" s="139">
        <f t="shared" si="0"/>
        <v>0</v>
      </c>
      <c r="I32" s="100"/>
    </row>
    <row r="33" spans="5:9" x14ac:dyDescent="0.4">
      <c r="E33" s="65" t="s">
        <v>98</v>
      </c>
      <c r="F33" s="29" t="s">
        <v>51</v>
      </c>
      <c r="G33" s="15">
        <v>0</v>
      </c>
      <c r="H33" s="139">
        <f t="shared" si="0"/>
        <v>0</v>
      </c>
      <c r="I33" s="100"/>
    </row>
    <row r="34" spans="5:9" x14ac:dyDescent="0.4">
      <c r="E34" s="65" t="s">
        <v>99</v>
      </c>
      <c r="F34" s="29" t="s">
        <v>52</v>
      </c>
      <c r="G34" s="15">
        <v>0</v>
      </c>
      <c r="H34" s="139">
        <f t="shared" ref="H34:H51" si="3">IF(B$27=0,0,G34/B$27)</f>
        <v>0</v>
      </c>
      <c r="I34" s="100"/>
    </row>
    <row r="35" spans="5:9" x14ac:dyDescent="0.4">
      <c r="E35" s="65" t="s">
        <v>100</v>
      </c>
      <c r="F35" s="29" t="s">
        <v>53</v>
      </c>
      <c r="G35" s="15">
        <v>0</v>
      </c>
      <c r="H35" s="139">
        <f t="shared" si="3"/>
        <v>0</v>
      </c>
      <c r="I35" s="100"/>
    </row>
    <row r="36" spans="5:9" x14ac:dyDescent="0.4">
      <c r="E36" s="65" t="s">
        <v>101</v>
      </c>
      <c r="F36" s="29" t="s">
        <v>54</v>
      </c>
      <c r="G36" s="15">
        <v>0</v>
      </c>
      <c r="H36" s="139">
        <f t="shared" si="3"/>
        <v>0</v>
      </c>
      <c r="I36" s="100"/>
    </row>
    <row r="37" spans="5:9" x14ac:dyDescent="0.4">
      <c r="E37" s="65" t="s">
        <v>102</v>
      </c>
      <c r="F37" s="29" t="s">
        <v>55</v>
      </c>
      <c r="G37" s="15">
        <v>0</v>
      </c>
      <c r="H37" s="139">
        <f t="shared" si="3"/>
        <v>0</v>
      </c>
      <c r="I37" s="100"/>
    </row>
    <row r="38" spans="5:9" x14ac:dyDescent="0.4">
      <c r="E38" s="65" t="s">
        <v>103</v>
      </c>
      <c r="F38" s="29" t="s">
        <v>56</v>
      </c>
      <c r="G38" s="15">
        <v>0</v>
      </c>
      <c r="H38" s="139">
        <f t="shared" si="3"/>
        <v>0</v>
      </c>
      <c r="I38" s="100"/>
    </row>
    <row r="39" spans="5:9" x14ac:dyDescent="0.4">
      <c r="E39" s="65" t="s">
        <v>104</v>
      </c>
      <c r="F39" s="29" t="s">
        <v>57</v>
      </c>
      <c r="G39" s="15">
        <v>0</v>
      </c>
      <c r="H39" s="139">
        <f t="shared" si="3"/>
        <v>0</v>
      </c>
      <c r="I39" s="100"/>
    </row>
    <row r="40" spans="5:9" x14ac:dyDescent="0.4">
      <c r="E40" s="65" t="s">
        <v>105</v>
      </c>
      <c r="F40" s="29" t="s">
        <v>58</v>
      </c>
      <c r="G40" s="15">
        <v>0</v>
      </c>
      <c r="H40" s="139">
        <f t="shared" si="3"/>
        <v>0</v>
      </c>
      <c r="I40" s="100"/>
    </row>
    <row r="41" spans="5:9" x14ac:dyDescent="0.4">
      <c r="E41" s="65" t="s">
        <v>106</v>
      </c>
      <c r="F41" s="29" t="s">
        <v>59</v>
      </c>
      <c r="G41" s="15">
        <v>0</v>
      </c>
      <c r="H41" s="139">
        <f t="shared" si="3"/>
        <v>0</v>
      </c>
      <c r="I41" s="100"/>
    </row>
    <row r="42" spans="5:9" x14ac:dyDescent="0.4">
      <c r="E42" s="65" t="s">
        <v>107</v>
      </c>
      <c r="F42" s="29" t="s">
        <v>60</v>
      </c>
      <c r="G42" s="15">
        <v>0</v>
      </c>
      <c r="H42" s="139">
        <f t="shared" si="3"/>
        <v>0</v>
      </c>
      <c r="I42" s="100"/>
    </row>
    <row r="43" spans="5:9" x14ac:dyDescent="0.4">
      <c r="E43" s="65" t="s">
        <v>108</v>
      </c>
      <c r="F43" s="29" t="s">
        <v>61</v>
      </c>
      <c r="G43" s="15">
        <v>0</v>
      </c>
      <c r="H43" s="139">
        <f t="shared" si="3"/>
        <v>0</v>
      </c>
      <c r="I43" s="100"/>
    </row>
    <row r="44" spans="5:9" x14ac:dyDescent="0.4">
      <c r="E44" s="65" t="s">
        <v>109</v>
      </c>
      <c r="F44" s="29" t="s">
        <v>62</v>
      </c>
      <c r="G44" s="15">
        <v>0</v>
      </c>
      <c r="H44" s="139">
        <f t="shared" si="3"/>
        <v>0</v>
      </c>
      <c r="I44" s="100"/>
    </row>
    <row r="45" spans="5:9" x14ac:dyDescent="0.4">
      <c r="E45" s="65" t="s">
        <v>110</v>
      </c>
      <c r="F45" s="29" t="s">
        <v>117</v>
      </c>
      <c r="G45" s="15">
        <v>0</v>
      </c>
      <c r="H45" s="139">
        <f t="shared" si="3"/>
        <v>0</v>
      </c>
      <c r="I45" s="100"/>
    </row>
    <row r="46" spans="5:9" x14ac:dyDescent="0.4">
      <c r="E46" s="65" t="s">
        <v>111</v>
      </c>
      <c r="F46" s="29" t="s">
        <v>118</v>
      </c>
      <c r="G46" s="15">
        <v>0</v>
      </c>
      <c r="H46" s="139">
        <f t="shared" si="3"/>
        <v>0</v>
      </c>
      <c r="I46" s="100"/>
    </row>
    <row r="47" spans="5:9" x14ac:dyDescent="0.4">
      <c r="E47" s="65" t="s">
        <v>112</v>
      </c>
      <c r="F47" s="29" t="s">
        <v>119</v>
      </c>
      <c r="G47" s="15">
        <v>0</v>
      </c>
      <c r="H47" s="139">
        <f t="shared" si="3"/>
        <v>0</v>
      </c>
      <c r="I47" s="100"/>
    </row>
    <row r="48" spans="5:9" x14ac:dyDescent="0.4">
      <c r="E48" s="65" t="s">
        <v>113</v>
      </c>
      <c r="F48" s="29" t="s">
        <v>63</v>
      </c>
      <c r="G48" s="15">
        <v>0</v>
      </c>
      <c r="H48" s="139">
        <f t="shared" si="3"/>
        <v>0</v>
      </c>
      <c r="I48" s="100"/>
    </row>
    <row r="49" spans="5:9" x14ac:dyDescent="0.4">
      <c r="E49" s="65" t="s">
        <v>114</v>
      </c>
      <c r="F49" s="29" t="s">
        <v>64</v>
      </c>
      <c r="G49" s="15">
        <v>0</v>
      </c>
      <c r="H49" s="139">
        <f t="shared" si="3"/>
        <v>0</v>
      </c>
      <c r="I49" s="100"/>
    </row>
    <row r="50" spans="5:9" x14ac:dyDescent="0.4">
      <c r="E50" s="65" t="s">
        <v>115</v>
      </c>
      <c r="F50" s="29" t="s">
        <v>65</v>
      </c>
      <c r="G50" s="15">
        <v>0</v>
      </c>
      <c r="H50" s="139">
        <f t="shared" si="3"/>
        <v>0</v>
      </c>
      <c r="I50" s="100"/>
    </row>
    <row r="51" spans="5:9" x14ac:dyDescent="0.4">
      <c r="E51" s="66" t="s">
        <v>116</v>
      </c>
      <c r="F51" s="30" t="s">
        <v>66</v>
      </c>
      <c r="G51" s="17">
        <v>0</v>
      </c>
      <c r="H51" s="140">
        <f t="shared" si="3"/>
        <v>0</v>
      </c>
      <c r="I51" s="101"/>
    </row>
  </sheetData>
  <mergeCells count="10">
    <mergeCell ref="B24:C24"/>
    <mergeCell ref="B23:C23"/>
    <mergeCell ref="B6:C6"/>
    <mergeCell ref="B26:C26"/>
    <mergeCell ref="B27:C27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E2"/>
  <sheetViews>
    <sheetView workbookViewId="0"/>
  </sheetViews>
  <sheetFormatPr defaultColWidth="9" defaultRowHeight="18.75" x14ac:dyDescent="0.4"/>
  <cols>
    <col min="1" max="1" width="16.375" style="32" bestFit="1" customWidth="1"/>
    <col min="2" max="2" width="16.875" style="33" bestFit="1" customWidth="1"/>
    <col min="3" max="16384" width="9" style="32"/>
  </cols>
  <sheetData>
    <row r="1" spans="1:5" x14ac:dyDescent="0.4">
      <c r="A1" s="31">
        <v>32874</v>
      </c>
      <c r="B1" s="31">
        <v>2958465</v>
      </c>
    </row>
    <row r="2" spans="1:5" x14ac:dyDescent="0.4">
      <c r="A2" s="32" t="s">
        <v>177</v>
      </c>
      <c r="B2" s="33">
        <v>43532.736307870371</v>
      </c>
      <c r="C2" s="32" t="s">
        <v>134</v>
      </c>
      <c r="D2" s="32" t="s">
        <v>135</v>
      </c>
      <c r="E2" s="32" t="s">
        <v>136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Q3"/>
  <sheetViews>
    <sheetView workbookViewId="0"/>
  </sheetViews>
  <sheetFormatPr defaultColWidth="10.75" defaultRowHeight="18.75" x14ac:dyDescent="0.4"/>
  <cols>
    <col min="1" max="1" width="10.75" style="71"/>
    <col min="2" max="3" width="10.75" style="68"/>
    <col min="4" max="4" width="10.75" style="73"/>
    <col min="5" max="7" width="10.75" style="69"/>
    <col min="8" max="9" width="10.75" style="70"/>
    <col min="10" max="17" width="10.75" style="69"/>
    <col min="18" max="16384" width="10.75" style="72"/>
  </cols>
  <sheetData>
    <row r="1" spans="1:17" x14ac:dyDescent="0.4">
      <c r="A1" s="72"/>
      <c r="B1" s="72"/>
      <c r="C1" s="72"/>
      <c r="E1" s="72"/>
      <c r="F1" s="72"/>
      <c r="G1" s="72"/>
      <c r="H1" s="72"/>
      <c r="I1" s="72"/>
      <c r="J1" s="72"/>
      <c r="K1" s="72"/>
      <c r="L1" s="72"/>
      <c r="M1" s="72"/>
      <c r="N1" s="72"/>
      <c r="O1" s="72"/>
      <c r="P1" s="72"/>
      <c r="Q1" s="72"/>
    </row>
    <row r="2" spans="1:17" x14ac:dyDescent="0.4">
      <c r="A2" s="72" t="s">
        <v>9</v>
      </c>
      <c r="B2" s="72" t="s">
        <v>6</v>
      </c>
      <c r="C2" s="72" t="s">
        <v>7</v>
      </c>
      <c r="D2" s="73" t="s">
        <v>16</v>
      </c>
      <c r="E2" s="72" t="s">
        <v>15</v>
      </c>
      <c r="F2" s="72" t="s">
        <v>152</v>
      </c>
      <c r="G2" s="72" t="s">
        <v>151</v>
      </c>
      <c r="H2" s="72" t="s">
        <v>5</v>
      </c>
      <c r="I2" s="72" t="s">
        <v>17</v>
      </c>
      <c r="J2" s="72" t="s">
        <v>18</v>
      </c>
      <c r="K2" s="72" t="s">
        <v>146</v>
      </c>
      <c r="L2" s="72" t="s">
        <v>167</v>
      </c>
      <c r="M2" s="72" t="s">
        <v>129</v>
      </c>
      <c r="N2" s="72" t="s">
        <v>124</v>
      </c>
      <c r="O2" s="72" t="s">
        <v>132</v>
      </c>
      <c r="P2" s="72" t="s">
        <v>153</v>
      </c>
      <c r="Q2" s="72" t="s">
        <v>149</v>
      </c>
    </row>
    <row r="3" spans="1:17" x14ac:dyDescent="0.4">
      <c r="A3" s="71">
        <v>0</v>
      </c>
      <c r="B3" s="68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A4"/>
  <sheetViews>
    <sheetView workbookViewId="0"/>
  </sheetViews>
  <sheetFormatPr defaultRowHeight="18.75" x14ac:dyDescent="0.4"/>
  <sheetData>
    <row r="1" spans="1:1" x14ac:dyDescent="0.4">
      <c r="A1" t="s">
        <v>150</v>
      </c>
    </row>
    <row r="2" spans="1:1" x14ac:dyDescent="0.4">
      <c r="A2" t="s">
        <v>133</v>
      </c>
    </row>
    <row r="3" spans="1:1" x14ac:dyDescent="0.4">
      <c r="A3" t="s">
        <v>178</v>
      </c>
    </row>
    <row r="4" spans="1:1" x14ac:dyDescent="0.4">
      <c r="A4" t="s">
        <v>179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O6"/>
  <sheetViews>
    <sheetView showGridLines="0" tabSelected="1" zoomScale="200" zoomScaleNormal="200" workbookViewId="0"/>
  </sheetViews>
  <sheetFormatPr defaultColWidth="9" defaultRowHeight="18.75" x14ac:dyDescent="0.4"/>
  <cols>
    <col min="1" max="1" width="6" style="86" customWidth="1"/>
    <col min="2" max="2" width="10.75" style="87" customWidth="1"/>
    <col min="3" max="3" width="10.75" style="88" customWidth="1"/>
    <col min="4" max="4" width="10.75" style="89" customWidth="1"/>
    <col min="5" max="5" width="10.75" style="103" customWidth="1"/>
    <col min="6" max="6" width="10.75" style="89" customWidth="1"/>
    <col min="7" max="7" width="10.75" style="90" customWidth="1"/>
    <col min="8" max="8" width="10.75" style="89" customWidth="1"/>
    <col min="9" max="9" width="10.75" style="91" customWidth="1"/>
    <col min="10" max="10" width="10.75" style="89" customWidth="1"/>
    <col min="11" max="11" width="10.75" style="91" customWidth="1"/>
    <col min="12" max="12" width="10.75" style="89" customWidth="1"/>
    <col min="13" max="13" width="10.75" style="92" customWidth="1"/>
    <col min="14" max="14" width="10.75" style="89" customWidth="1"/>
    <col min="15" max="15" width="10.75" style="92" customWidth="1"/>
    <col min="16" max="16" width="10.75" style="89" customWidth="1"/>
    <col min="17" max="17" width="10.75" style="93" customWidth="1"/>
    <col min="18" max="18" width="10.75" style="89" customWidth="1"/>
    <col min="19" max="19" width="10.75" style="93" customWidth="1"/>
    <col min="20" max="20" width="10.75" style="89" customWidth="1"/>
    <col min="21" max="21" width="10.75" style="91" customWidth="1"/>
    <col min="22" max="22" width="10.75" style="89" customWidth="1"/>
    <col min="23" max="23" width="10.75" style="91" customWidth="1"/>
    <col min="24" max="24" width="10.75" style="89" customWidth="1"/>
    <col min="25" max="25" width="10.75" style="91" customWidth="1"/>
    <col min="26" max="26" width="10.75" style="89" customWidth="1"/>
    <col min="27" max="27" width="10.75" style="92" customWidth="1"/>
    <col min="28" max="28" width="10.75" style="89" customWidth="1"/>
    <col min="29" max="29" width="10.75" style="92" customWidth="1"/>
    <col min="30" max="30" width="10.75" style="89" customWidth="1"/>
    <col min="31" max="31" width="10.75" style="92" customWidth="1"/>
    <col min="32" max="32" width="10.75" style="89" customWidth="1"/>
    <col min="33" max="33" width="10.75" style="92" customWidth="1"/>
    <col min="34" max="34" width="10.75" style="89" customWidth="1"/>
    <col min="35" max="35" width="10.75" style="92" customWidth="1"/>
    <col min="36" max="36" width="10.75" style="89" customWidth="1"/>
    <col min="37" max="37" width="10.75" style="94" customWidth="1"/>
    <col min="38" max="38" width="10.75" style="89" customWidth="1"/>
    <col min="39" max="39" width="10.75" style="98" customWidth="1"/>
    <col min="40" max="40" width="10.75" style="89" customWidth="1"/>
    <col min="41" max="41" width="10.75" style="95" customWidth="1"/>
    <col min="42" max="16384" width="9" style="75"/>
  </cols>
  <sheetData>
    <row r="1" spans="1:41" x14ac:dyDescent="0.4">
      <c r="A1" s="74"/>
      <c r="B1" s="165" t="s">
        <v>6</v>
      </c>
      <c r="C1" s="166"/>
      <c r="D1" s="165" t="s">
        <v>7</v>
      </c>
      <c r="E1" s="166"/>
      <c r="F1" s="165" t="s">
        <v>16</v>
      </c>
      <c r="G1" s="166"/>
      <c r="H1" s="165" t="s">
        <v>15</v>
      </c>
      <c r="I1" s="166"/>
      <c r="J1" s="165" t="s">
        <v>170</v>
      </c>
      <c r="K1" s="166"/>
      <c r="L1" s="165" t="s">
        <v>154</v>
      </c>
      <c r="M1" s="166"/>
      <c r="N1" s="165" t="s">
        <v>155</v>
      </c>
      <c r="O1" s="166"/>
      <c r="P1" s="165" t="s">
        <v>5</v>
      </c>
      <c r="Q1" s="166"/>
      <c r="R1" s="165" t="s">
        <v>17</v>
      </c>
      <c r="S1" s="166"/>
      <c r="T1" s="165" t="s">
        <v>18</v>
      </c>
      <c r="U1" s="166"/>
      <c r="V1" s="165" t="s">
        <v>146</v>
      </c>
      <c r="W1" s="166"/>
      <c r="X1" s="165" t="s">
        <v>168</v>
      </c>
      <c r="Y1" s="166"/>
      <c r="Z1" s="165" t="s">
        <v>129</v>
      </c>
      <c r="AA1" s="166"/>
      <c r="AB1" s="165" t="s">
        <v>124</v>
      </c>
      <c r="AC1" s="166"/>
      <c r="AD1" s="165" t="s">
        <v>132</v>
      </c>
      <c r="AE1" s="166"/>
      <c r="AF1" s="165" t="s">
        <v>156</v>
      </c>
      <c r="AG1" s="166"/>
      <c r="AH1" s="165" t="s">
        <v>149</v>
      </c>
      <c r="AI1" s="166"/>
      <c r="AJ1" s="165" t="s">
        <v>157</v>
      </c>
      <c r="AK1" s="166"/>
      <c r="AL1" s="165" t="s">
        <v>159</v>
      </c>
      <c r="AM1" s="166"/>
      <c r="AN1" s="165" t="s">
        <v>171</v>
      </c>
      <c r="AO1" s="166"/>
    </row>
    <row r="2" spans="1:41" x14ac:dyDescent="0.4">
      <c r="A2" s="74" t="s">
        <v>169</v>
      </c>
      <c r="B2" s="163"/>
      <c r="C2" s="164"/>
      <c r="D2" s="163"/>
      <c r="E2" s="164"/>
      <c r="F2" s="161" t="e">
        <v>#DIV/0!</v>
      </c>
      <c r="G2" s="162"/>
      <c r="H2" s="161" t="e">
        <v>#DIV/0!</v>
      </c>
      <c r="I2" s="162"/>
      <c r="J2" s="161" t="e">
        <v>#DIV/0!</v>
      </c>
      <c r="K2" s="162"/>
      <c r="L2" s="161" t="e">
        <v>#DIV/0!</v>
      </c>
      <c r="M2" s="162"/>
      <c r="N2" s="161" t="e">
        <v>#DIV/0!</v>
      </c>
      <c r="O2" s="162"/>
      <c r="P2" s="161" t="e">
        <v>#DIV/0!</v>
      </c>
      <c r="Q2" s="162"/>
      <c r="R2" s="161" t="e">
        <v>#DIV/0!</v>
      </c>
      <c r="S2" s="162"/>
      <c r="T2" s="161" t="e">
        <v>#DIV/0!</v>
      </c>
      <c r="U2" s="162"/>
      <c r="V2" s="161" t="e">
        <v>#DIV/0!</v>
      </c>
      <c r="W2" s="162"/>
      <c r="X2" s="161" t="e">
        <v>#DIV/0!</v>
      </c>
      <c r="Y2" s="162"/>
      <c r="Z2" s="161" t="e">
        <v>#DIV/0!</v>
      </c>
      <c r="AA2" s="162"/>
      <c r="AB2" s="161" t="e">
        <v>#DIV/0!</v>
      </c>
      <c r="AC2" s="162"/>
      <c r="AD2" s="161" t="e">
        <v>#DIV/0!</v>
      </c>
      <c r="AE2" s="162"/>
      <c r="AF2" s="161" t="e">
        <v>#DIV/0!</v>
      </c>
      <c r="AG2" s="162"/>
      <c r="AH2" s="161" t="e">
        <v>#DIV/0!</v>
      </c>
      <c r="AI2" s="162"/>
      <c r="AJ2" s="161" t="e">
        <v>#DIV/0!</v>
      </c>
      <c r="AK2" s="162"/>
      <c r="AL2" s="161" t="e">
        <v>#DIV/0!</v>
      </c>
      <c r="AM2" s="162"/>
      <c r="AN2" s="161" t="e">
        <v>#DIV/0!</v>
      </c>
      <c r="AO2" s="162"/>
    </row>
    <row r="3" spans="1:41" x14ac:dyDescent="0.4">
      <c r="A3" s="76">
        <v>1</v>
      </c>
      <c r="B3" s="77" t="s">
        <v>133</v>
      </c>
      <c r="C3" s="78">
        <v>105.9</v>
      </c>
      <c r="D3" s="79" t="s">
        <v>133</v>
      </c>
      <c r="E3" s="102">
        <v>35.300000000000004</v>
      </c>
      <c r="F3" s="79" t="s">
        <v>133</v>
      </c>
      <c r="G3" s="80">
        <v>1.6666666666666667</v>
      </c>
      <c r="H3" s="79" t="s">
        <v>133</v>
      </c>
      <c r="I3" s="81">
        <v>0.66666666666666663</v>
      </c>
      <c r="J3" s="79" t="s">
        <v>179</v>
      </c>
      <c r="K3" s="81">
        <v>0</v>
      </c>
      <c r="L3" s="79" t="s">
        <v>133</v>
      </c>
      <c r="M3" s="82">
        <v>0.5714285714285714</v>
      </c>
      <c r="N3" s="79" t="s">
        <v>179</v>
      </c>
      <c r="O3" s="82">
        <v>9.5238095238095233E-2</v>
      </c>
      <c r="P3" s="79" t="s">
        <v>133</v>
      </c>
      <c r="Q3" s="83">
        <v>9883.3333333333339</v>
      </c>
      <c r="R3" s="79" t="s">
        <v>133</v>
      </c>
      <c r="S3" s="83">
        <v>-6900</v>
      </c>
      <c r="T3" s="79" t="s">
        <v>133</v>
      </c>
      <c r="U3" s="81">
        <v>0</v>
      </c>
      <c r="V3" s="79" t="s">
        <v>133</v>
      </c>
      <c r="W3" s="81">
        <v>0.66666666666666663</v>
      </c>
      <c r="X3" s="79" t="s">
        <v>150</v>
      </c>
      <c r="Y3" s="81">
        <v>0</v>
      </c>
      <c r="Z3" s="79" t="s">
        <v>133</v>
      </c>
      <c r="AA3" s="82">
        <v>0.47619047619047616</v>
      </c>
      <c r="AB3" s="79" t="s">
        <v>178</v>
      </c>
      <c r="AC3" s="82">
        <v>0.42857142857142855</v>
      </c>
      <c r="AD3" s="79" t="s">
        <v>179</v>
      </c>
      <c r="AE3" s="82">
        <v>0.8</v>
      </c>
      <c r="AF3" s="79" t="s">
        <v>179</v>
      </c>
      <c r="AG3" s="82">
        <v>1</v>
      </c>
      <c r="AH3" s="79" t="s">
        <v>179</v>
      </c>
      <c r="AI3" s="82">
        <v>0.6</v>
      </c>
      <c r="AJ3" s="79" t="s">
        <v>150</v>
      </c>
      <c r="AK3" s="84">
        <v>4</v>
      </c>
      <c r="AL3" s="79" t="s">
        <v>150</v>
      </c>
      <c r="AM3" s="97">
        <v>110000</v>
      </c>
      <c r="AN3" s="79" t="s">
        <v>150</v>
      </c>
      <c r="AO3" s="85">
        <v>0</v>
      </c>
    </row>
    <row r="4" spans="1:41" x14ac:dyDescent="0.4">
      <c r="A4" s="86">
        <v>2</v>
      </c>
      <c r="B4" s="87" t="s">
        <v>150</v>
      </c>
      <c r="C4" s="88">
        <v>0</v>
      </c>
      <c r="D4" s="89" t="s">
        <v>150</v>
      </c>
      <c r="E4" s="103">
        <v>0</v>
      </c>
      <c r="F4" s="89" t="s">
        <v>150</v>
      </c>
      <c r="G4" s="90">
        <v>2</v>
      </c>
      <c r="H4" s="89" t="s">
        <v>150</v>
      </c>
      <c r="I4" s="91">
        <v>0.33333333333333331</v>
      </c>
      <c r="J4" s="89" t="s">
        <v>150</v>
      </c>
      <c r="K4" s="91">
        <v>0.33333333333333331</v>
      </c>
      <c r="L4" s="89" t="s">
        <v>150</v>
      </c>
      <c r="M4" s="92">
        <v>0.30158730158730157</v>
      </c>
      <c r="N4" s="89" t="s">
        <v>133</v>
      </c>
      <c r="O4" s="92">
        <v>0.14285714285714285</v>
      </c>
      <c r="P4" s="89" t="s">
        <v>178</v>
      </c>
      <c r="Q4" s="93">
        <v>9850</v>
      </c>
      <c r="R4" s="89" t="s">
        <v>150</v>
      </c>
      <c r="S4" s="93">
        <v>-10209.09090909091</v>
      </c>
      <c r="T4" s="89" t="s">
        <v>179</v>
      </c>
      <c r="U4" s="91">
        <v>0</v>
      </c>
      <c r="V4" s="89" t="s">
        <v>150</v>
      </c>
      <c r="W4" s="91">
        <v>0.22222222222222221</v>
      </c>
      <c r="X4" s="89" t="s">
        <v>133</v>
      </c>
      <c r="Y4" s="91">
        <v>0</v>
      </c>
      <c r="Z4" s="89" t="s">
        <v>150</v>
      </c>
      <c r="AA4" s="92">
        <v>0.25396825396825395</v>
      </c>
      <c r="AB4" s="89" t="s">
        <v>133</v>
      </c>
      <c r="AC4" s="92">
        <v>0.33333333333333331</v>
      </c>
      <c r="AD4" s="89" t="s">
        <v>133</v>
      </c>
      <c r="AE4" s="92">
        <v>0.7</v>
      </c>
      <c r="AF4" s="89" t="s">
        <v>133</v>
      </c>
      <c r="AG4" s="92">
        <v>0.5714285714285714</v>
      </c>
      <c r="AH4" s="89" t="s">
        <v>150</v>
      </c>
      <c r="AI4" s="92">
        <v>0.42105263157894735</v>
      </c>
      <c r="AJ4" s="89" t="s">
        <v>133</v>
      </c>
      <c r="AK4" s="94">
        <v>4</v>
      </c>
      <c r="AL4" s="89" t="s">
        <v>133</v>
      </c>
      <c r="AM4" s="98">
        <v>110000</v>
      </c>
      <c r="AN4" s="89" t="s">
        <v>133</v>
      </c>
      <c r="AO4" s="95">
        <v>0</v>
      </c>
    </row>
    <row r="5" spans="1:41" x14ac:dyDescent="0.4">
      <c r="A5" s="86">
        <v>3</v>
      </c>
      <c r="B5" s="87" t="s">
        <v>179</v>
      </c>
      <c r="C5" s="88">
        <v>-21</v>
      </c>
      <c r="D5" s="89" t="s">
        <v>179</v>
      </c>
      <c r="E5" s="103">
        <v>-7</v>
      </c>
      <c r="F5" s="89" t="s">
        <v>179</v>
      </c>
      <c r="G5" s="90">
        <v>2</v>
      </c>
      <c r="H5" s="89" t="s">
        <v>178</v>
      </c>
      <c r="I5" s="91">
        <v>0.33333333333333331</v>
      </c>
      <c r="J5" s="89" t="s">
        <v>133</v>
      </c>
      <c r="K5" s="91">
        <v>0.33333333333333331</v>
      </c>
      <c r="L5" s="89" t="s">
        <v>179</v>
      </c>
      <c r="M5" s="92">
        <v>0.23809523809523808</v>
      </c>
      <c r="N5" s="89" t="s">
        <v>150</v>
      </c>
      <c r="O5" s="92">
        <v>0.17460317460317459</v>
      </c>
      <c r="P5" s="89" t="s">
        <v>150</v>
      </c>
      <c r="Q5" s="93">
        <v>9015.78947368421</v>
      </c>
      <c r="R5" s="89" t="s">
        <v>178</v>
      </c>
      <c r="S5" s="93">
        <v>-11266.666666666666</v>
      </c>
      <c r="T5" s="89" t="s">
        <v>150</v>
      </c>
      <c r="U5" s="91">
        <v>0.22222222222222221</v>
      </c>
      <c r="V5" s="89" t="s">
        <v>178</v>
      </c>
      <c r="W5" s="91">
        <v>0</v>
      </c>
      <c r="X5" s="89" t="s">
        <v>178</v>
      </c>
      <c r="Y5" s="91">
        <v>0</v>
      </c>
      <c r="Z5" s="89" t="s">
        <v>179</v>
      </c>
      <c r="AA5" s="92">
        <v>0.23809523809523808</v>
      </c>
      <c r="AB5" s="89" t="s">
        <v>150</v>
      </c>
      <c r="AC5" s="92">
        <v>0.26984126984126983</v>
      </c>
      <c r="AD5" s="89" t="s">
        <v>150</v>
      </c>
      <c r="AE5" s="92">
        <v>0.6875</v>
      </c>
      <c r="AF5" s="89" t="s">
        <v>150</v>
      </c>
      <c r="AG5" s="92">
        <v>0.41176470588235292</v>
      </c>
      <c r="AH5" s="89" t="s">
        <v>133</v>
      </c>
      <c r="AI5" s="92">
        <v>0.41666666666666669</v>
      </c>
      <c r="AJ5" s="89" t="s">
        <v>178</v>
      </c>
      <c r="AK5" s="94">
        <v>4</v>
      </c>
      <c r="AL5" s="89" t="s">
        <v>178</v>
      </c>
      <c r="AM5" s="98">
        <v>52100</v>
      </c>
      <c r="AN5" s="89" t="s">
        <v>178</v>
      </c>
      <c r="AO5" s="95">
        <v>0</v>
      </c>
    </row>
    <row r="6" spans="1:41" x14ac:dyDescent="0.4">
      <c r="A6" s="86">
        <v>4</v>
      </c>
      <c r="B6" s="87" t="s">
        <v>178</v>
      </c>
      <c r="C6" s="88">
        <v>-84.9</v>
      </c>
      <c r="D6" s="89" t="s">
        <v>178</v>
      </c>
      <c r="E6" s="103">
        <v>-28.3</v>
      </c>
      <c r="F6" s="89" t="s">
        <v>178</v>
      </c>
      <c r="G6" s="90">
        <v>2.3333333333333335</v>
      </c>
      <c r="H6" s="89" t="s">
        <v>179</v>
      </c>
      <c r="I6" s="91">
        <v>0</v>
      </c>
      <c r="J6" s="89" t="s">
        <v>178</v>
      </c>
      <c r="K6" s="91">
        <v>0.66666666666666663</v>
      </c>
      <c r="L6" s="89" t="s">
        <v>178</v>
      </c>
      <c r="M6" s="92">
        <v>9.5238095238095233E-2</v>
      </c>
      <c r="N6" s="89" t="s">
        <v>178</v>
      </c>
      <c r="O6" s="92">
        <v>0.2857142857142857</v>
      </c>
      <c r="P6" s="89" t="s">
        <v>179</v>
      </c>
      <c r="Q6" s="93">
        <v>6600</v>
      </c>
      <c r="R6" s="89" t="s">
        <v>179</v>
      </c>
      <c r="S6" s="93">
        <v>-12000</v>
      </c>
      <c r="T6" s="89" t="s">
        <v>178</v>
      </c>
      <c r="U6" s="91">
        <v>0.66666666666666663</v>
      </c>
      <c r="V6" s="89" t="s">
        <v>179</v>
      </c>
      <c r="W6" s="91">
        <v>0</v>
      </c>
      <c r="X6" s="89" t="s">
        <v>179</v>
      </c>
      <c r="Y6" s="91">
        <v>0</v>
      </c>
      <c r="Z6" s="89" t="s">
        <v>178</v>
      </c>
      <c r="AA6" s="92">
        <v>4.7619047619047616E-2</v>
      </c>
      <c r="AB6" s="89" t="s">
        <v>179</v>
      </c>
      <c r="AC6" s="92">
        <v>4.7619047619047616E-2</v>
      </c>
      <c r="AD6" s="89" t="s">
        <v>178</v>
      </c>
      <c r="AE6" s="92">
        <v>0</v>
      </c>
      <c r="AF6" s="89" t="s">
        <v>178</v>
      </c>
      <c r="AG6" s="92">
        <v>0.22222222222222221</v>
      </c>
      <c r="AH6" s="89" t="s">
        <v>178</v>
      </c>
      <c r="AI6" s="92">
        <v>0</v>
      </c>
      <c r="AJ6" s="89" t="s">
        <v>179</v>
      </c>
      <c r="AK6" s="94">
        <v>2</v>
      </c>
      <c r="AL6" s="89" t="s">
        <v>179</v>
      </c>
      <c r="AM6" s="98">
        <v>36000</v>
      </c>
      <c r="AN6" s="89" t="s">
        <v>179</v>
      </c>
      <c r="AO6" s="95">
        <v>0</v>
      </c>
    </row>
  </sheetData>
  <sortState ref="AN3:AO35">
    <sortCondition descending="1" ref="AO1"/>
  </sortState>
  <mergeCells count="40">
    <mergeCell ref="N1:O1"/>
    <mergeCell ref="AL1:AM1"/>
    <mergeCell ref="B1:C1"/>
    <mergeCell ref="D1:E1"/>
    <mergeCell ref="F1:G1"/>
    <mergeCell ref="H1:I1"/>
    <mergeCell ref="L1:M1"/>
    <mergeCell ref="X1:Y1"/>
    <mergeCell ref="J1:K1"/>
    <mergeCell ref="AN1:AO1"/>
    <mergeCell ref="P1:Q1"/>
    <mergeCell ref="R1:S1"/>
    <mergeCell ref="T1:U1"/>
    <mergeCell ref="V1:W1"/>
    <mergeCell ref="Z1:AA1"/>
    <mergeCell ref="AB1:AC1"/>
    <mergeCell ref="AD1:AE1"/>
    <mergeCell ref="AF1:AG1"/>
    <mergeCell ref="AH1:AI1"/>
    <mergeCell ref="AJ1:AK1"/>
    <mergeCell ref="B2:C2"/>
    <mergeCell ref="D2:E2"/>
    <mergeCell ref="F2:G2"/>
    <mergeCell ref="H2:I2"/>
    <mergeCell ref="L2:M2"/>
    <mergeCell ref="J2:K2"/>
    <mergeCell ref="N2:O2"/>
    <mergeCell ref="P2:Q2"/>
    <mergeCell ref="R2:S2"/>
    <mergeCell ref="T2:U2"/>
    <mergeCell ref="V2:W2"/>
    <mergeCell ref="AH2:AI2"/>
    <mergeCell ref="AJ2:AK2"/>
    <mergeCell ref="AL2:AM2"/>
    <mergeCell ref="AN2:AO2"/>
    <mergeCell ref="X2:Y2"/>
    <mergeCell ref="Z2:AA2"/>
    <mergeCell ref="AB2:AC2"/>
    <mergeCell ref="AD2:AE2"/>
    <mergeCell ref="AF2:AG2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1841FF-7069-442D-84C9-8AEFFB14D914}">
  <sheetPr codeName="Sheet4"/>
  <dimension ref="A1:Q51"/>
  <sheetViews>
    <sheetView showGridLines="0" zoomScale="120" zoomScaleNormal="120" workbookViewId="0"/>
  </sheetViews>
  <sheetFormatPr defaultColWidth="9" defaultRowHeight="18.75" x14ac:dyDescent="0.4"/>
  <cols>
    <col min="1" max="1" width="13" style="35" customWidth="1"/>
    <col min="2" max="3" width="9" style="35" customWidth="1"/>
    <col min="4" max="4" width="3.625" style="35" customWidth="1"/>
    <col min="5" max="5" width="3.625" style="134" bestFit="1" customWidth="1"/>
    <col min="6" max="6" width="11" style="45" bestFit="1" customWidth="1"/>
    <col min="7" max="9" width="9" style="35" customWidth="1"/>
    <col min="10" max="10" width="3.625" style="35" customWidth="1"/>
    <col min="11" max="11" width="3.5" style="40" customWidth="1"/>
    <col min="12" max="12" width="9" style="105" customWidth="1"/>
    <col min="13" max="13" width="3.625" style="35" customWidth="1"/>
    <col min="14" max="14" width="9" style="121" customWidth="1"/>
    <col min="15" max="15" width="9" style="131" customWidth="1"/>
    <col min="16" max="16" width="9" style="125" customWidth="1"/>
    <col min="17" max="17" width="3.625" style="113" customWidth="1"/>
    <col min="18" max="16384" width="9" style="35"/>
  </cols>
  <sheetData>
    <row r="1" spans="1:17" x14ac:dyDescent="0.4">
      <c r="A1" s="55" t="s">
        <v>0</v>
      </c>
      <c r="B1" s="143" t="s">
        <v>150</v>
      </c>
      <c r="C1" s="144"/>
      <c r="E1" s="135" t="s">
        <v>176</v>
      </c>
      <c r="F1" s="142" t="s">
        <v>120</v>
      </c>
      <c r="G1" s="141" t="s">
        <v>121</v>
      </c>
      <c r="H1" s="136" t="s">
        <v>122</v>
      </c>
      <c r="I1" s="142" t="s">
        <v>160</v>
      </c>
      <c r="K1" s="36" t="s">
        <v>20</v>
      </c>
      <c r="L1" s="37" t="s">
        <v>125</v>
      </c>
      <c r="M1" s="137"/>
      <c r="N1" s="119" t="s">
        <v>143</v>
      </c>
      <c r="O1" s="36" t="s">
        <v>144</v>
      </c>
      <c r="P1" s="123" t="s">
        <v>121</v>
      </c>
      <c r="Q1" s="107" t="s">
        <v>164</v>
      </c>
    </row>
    <row r="2" spans="1:17" x14ac:dyDescent="0.4">
      <c r="A2" s="56" t="s">
        <v>9</v>
      </c>
      <c r="B2" s="145">
        <v>9</v>
      </c>
      <c r="C2" s="146"/>
      <c r="E2" s="64" t="s">
        <v>69</v>
      </c>
      <c r="F2" s="61" t="s">
        <v>23</v>
      </c>
      <c r="G2" s="48">
        <v>15</v>
      </c>
      <c r="H2" s="138">
        <f>IF(B$27=0,0,G2/B$27)</f>
        <v>0.78947368421052633</v>
      </c>
      <c r="I2" s="99">
        <v>3</v>
      </c>
      <c r="K2" s="38">
        <v>0</v>
      </c>
      <c r="L2" s="104">
        <v>0</v>
      </c>
      <c r="N2" s="120" t="s">
        <v>137</v>
      </c>
      <c r="O2" s="127">
        <f t="shared" ref="O2:O7" si="0">IF(P2=0,0,Q2/P2)</f>
        <v>0</v>
      </c>
      <c r="P2" s="124">
        <v>9</v>
      </c>
      <c r="Q2" s="108">
        <v>0</v>
      </c>
    </row>
    <row r="3" spans="1:17" x14ac:dyDescent="0.4">
      <c r="A3" s="57" t="s">
        <v>8</v>
      </c>
      <c r="B3" s="147">
        <v>63</v>
      </c>
      <c r="C3" s="148"/>
      <c r="E3" s="65" t="s">
        <v>71</v>
      </c>
      <c r="F3" s="62" t="s">
        <v>25</v>
      </c>
      <c r="G3" s="49">
        <v>14</v>
      </c>
      <c r="H3" s="139">
        <f>IF(B$27=0,0,G3/B$27)</f>
        <v>0.73684210526315785</v>
      </c>
      <c r="I3" s="100">
        <v>3</v>
      </c>
      <c r="K3" s="40">
        <v>1</v>
      </c>
      <c r="L3" s="105">
        <v>-14.1</v>
      </c>
      <c r="N3" s="121" t="s">
        <v>138</v>
      </c>
      <c r="O3" s="128">
        <f t="shared" si="0"/>
        <v>0</v>
      </c>
      <c r="P3" s="125">
        <v>9</v>
      </c>
      <c r="Q3" s="109">
        <v>0</v>
      </c>
    </row>
    <row r="4" spans="1:17" x14ac:dyDescent="0.4">
      <c r="A4" s="57" t="s">
        <v>6</v>
      </c>
      <c r="B4" s="149">
        <v>0</v>
      </c>
      <c r="C4" s="150"/>
      <c r="E4" s="65" t="s">
        <v>67</v>
      </c>
      <c r="F4" s="62" t="s">
        <v>21</v>
      </c>
      <c r="G4" s="49">
        <v>10</v>
      </c>
      <c r="H4" s="139">
        <f>IF(B$27=0,0,G4/B$27)</f>
        <v>0.52631578947368418</v>
      </c>
      <c r="I4" s="100">
        <v>2</v>
      </c>
      <c r="K4" s="40">
        <v>2</v>
      </c>
      <c r="L4" s="105">
        <v>3.0000000000000018</v>
      </c>
      <c r="N4" s="121" t="s">
        <v>139</v>
      </c>
      <c r="O4" s="128">
        <f t="shared" si="0"/>
        <v>0</v>
      </c>
      <c r="P4" s="125">
        <v>6</v>
      </c>
      <c r="Q4" s="109">
        <v>0</v>
      </c>
    </row>
    <row r="5" spans="1:17" x14ac:dyDescent="0.4">
      <c r="A5" s="57" t="s">
        <v>7</v>
      </c>
      <c r="B5" s="151">
        <f>IF(B$2=0,0,B$4/B$2)</f>
        <v>0</v>
      </c>
      <c r="C5" s="152"/>
      <c r="E5" s="65" t="s">
        <v>76</v>
      </c>
      <c r="F5" s="62" t="s">
        <v>29</v>
      </c>
      <c r="G5" s="49">
        <v>9</v>
      </c>
      <c r="H5" s="139">
        <f>IF(B$27=0,0,G5/B$27)</f>
        <v>0.47368421052631576</v>
      </c>
      <c r="I5" s="100">
        <v>3</v>
      </c>
      <c r="K5" s="40">
        <v>3</v>
      </c>
      <c r="L5" s="105">
        <v>1.7763568394002505E-15</v>
      </c>
      <c r="N5" s="121" t="s">
        <v>140</v>
      </c>
      <c r="O5" s="128">
        <f t="shared" si="0"/>
        <v>0</v>
      </c>
      <c r="P5" s="125">
        <v>6</v>
      </c>
      <c r="Q5" s="109">
        <v>0</v>
      </c>
    </row>
    <row r="6" spans="1:17" x14ac:dyDescent="0.4">
      <c r="A6" s="57" t="s">
        <v>1</v>
      </c>
      <c r="B6" s="157">
        <f>IF(B$2=0,0,(B$7*1+B$8*2+B$9*3)/B$2)</f>
        <v>2</v>
      </c>
      <c r="C6" s="158"/>
      <c r="E6" s="65" t="s">
        <v>70</v>
      </c>
      <c r="F6" s="62" t="s">
        <v>24</v>
      </c>
      <c r="G6" s="49">
        <v>7</v>
      </c>
      <c r="H6" s="139">
        <f>IF(B$27=0,0,G6/B$27)</f>
        <v>0.36842105263157893</v>
      </c>
      <c r="I6" s="100">
        <v>3</v>
      </c>
      <c r="K6" s="40">
        <v>4</v>
      </c>
      <c r="L6" s="105">
        <v>75</v>
      </c>
      <c r="N6" s="121" t="s">
        <v>141</v>
      </c>
      <c r="O6" s="128">
        <f t="shared" si="0"/>
        <v>0</v>
      </c>
      <c r="P6" s="125">
        <v>3</v>
      </c>
      <c r="Q6" s="109">
        <v>0</v>
      </c>
    </row>
    <row r="7" spans="1:17" x14ac:dyDescent="0.4">
      <c r="A7" s="57" t="s">
        <v>2</v>
      </c>
      <c r="B7" s="49">
        <v>3</v>
      </c>
      <c r="C7" s="41">
        <f>IF(B$2=0,0,B7/B$2)</f>
        <v>0.33333333333333331</v>
      </c>
      <c r="E7" s="65" t="s">
        <v>72</v>
      </c>
      <c r="F7" s="62" t="s">
        <v>12</v>
      </c>
      <c r="G7" s="49">
        <v>6</v>
      </c>
      <c r="H7" s="139">
        <f>IF(B$27=0,0,G7/B$27)</f>
        <v>0.31578947368421051</v>
      </c>
      <c r="I7" s="100">
        <v>2</v>
      </c>
      <c r="K7" s="40">
        <v>5</v>
      </c>
      <c r="L7" s="105">
        <v>19</v>
      </c>
      <c r="N7" s="122" t="s">
        <v>142</v>
      </c>
      <c r="O7" s="129">
        <f t="shared" si="0"/>
        <v>0</v>
      </c>
      <c r="P7" s="126">
        <v>3</v>
      </c>
      <c r="Q7" s="110">
        <v>0</v>
      </c>
    </row>
    <row r="8" spans="1:17" x14ac:dyDescent="0.4">
      <c r="A8" s="57" t="s">
        <v>3</v>
      </c>
      <c r="B8" s="49">
        <v>3</v>
      </c>
      <c r="C8" s="41">
        <f>IF(B$2=0,0,B8/B$2)</f>
        <v>0.33333333333333331</v>
      </c>
      <c r="E8" s="65" t="s">
        <v>73</v>
      </c>
      <c r="F8" s="62" t="s">
        <v>26</v>
      </c>
      <c r="G8" s="49">
        <v>4</v>
      </c>
      <c r="H8" s="139">
        <f>IF(B$27=0,0,G8/B$27)</f>
        <v>0.21052631578947367</v>
      </c>
      <c r="I8" s="100">
        <v>2</v>
      </c>
      <c r="K8" s="40">
        <v>6</v>
      </c>
      <c r="L8" s="105">
        <v>0</v>
      </c>
      <c r="N8" s="45"/>
      <c r="O8" s="133"/>
      <c r="P8" s="117"/>
      <c r="Q8" s="115"/>
    </row>
    <row r="9" spans="1:17" x14ac:dyDescent="0.4">
      <c r="A9" s="58" t="s">
        <v>4</v>
      </c>
      <c r="B9" s="50">
        <v>3</v>
      </c>
      <c r="C9" s="42">
        <f t="shared" ref="C9" si="1">IF(B$2=0,0,B9/B$2)</f>
        <v>0.33333333333333331</v>
      </c>
      <c r="E9" s="65" t="s">
        <v>74</v>
      </c>
      <c r="F9" s="62" t="s">
        <v>27</v>
      </c>
      <c r="G9" s="49">
        <v>2</v>
      </c>
      <c r="H9" s="139">
        <f>IF(B$27=0,0,G9/B$27)</f>
        <v>0.10526315789473684</v>
      </c>
      <c r="I9" s="100">
        <v>2</v>
      </c>
      <c r="K9" s="40">
        <v>7</v>
      </c>
      <c r="L9" s="105">
        <v>45</v>
      </c>
      <c r="N9" s="119" t="s">
        <v>172</v>
      </c>
      <c r="O9" s="36" t="s">
        <v>125</v>
      </c>
      <c r="P9" s="123" t="s">
        <v>121</v>
      </c>
      <c r="Q9" s="111" t="s">
        <v>164</v>
      </c>
    </row>
    <row r="10" spans="1:17" x14ac:dyDescent="0.4">
      <c r="A10" s="58" t="s">
        <v>19</v>
      </c>
      <c r="B10" s="50">
        <v>2</v>
      </c>
      <c r="C10" s="42">
        <f>IF(B$2=0,0,B10/B$2)</f>
        <v>0.22222222222222221</v>
      </c>
      <c r="E10" s="65" t="s">
        <v>75</v>
      </c>
      <c r="F10" s="62" t="s">
        <v>28</v>
      </c>
      <c r="G10" s="49">
        <v>2</v>
      </c>
      <c r="H10" s="139">
        <f>IF(B$27=0,0,G10/B$27)</f>
        <v>0.10526315789473684</v>
      </c>
      <c r="I10" s="100">
        <v>2</v>
      </c>
      <c r="K10" s="40">
        <v>8</v>
      </c>
      <c r="L10" s="105">
        <v>-1</v>
      </c>
      <c r="N10" s="120" t="s">
        <v>173</v>
      </c>
      <c r="O10" s="130">
        <f>IF(P10=0,0,Q10/P10)</f>
        <v>20.633333333333333</v>
      </c>
      <c r="P10" s="124">
        <v>3</v>
      </c>
      <c r="Q10" s="112">
        <v>61.9</v>
      </c>
    </row>
    <row r="11" spans="1:17" x14ac:dyDescent="0.4">
      <c r="A11" s="58" t="s">
        <v>145</v>
      </c>
      <c r="B11" s="50">
        <v>2</v>
      </c>
      <c r="C11" s="42">
        <f>IF(B$2=0,0,B11/B$2)</f>
        <v>0.22222222222222221</v>
      </c>
      <c r="E11" s="65" t="s">
        <v>68</v>
      </c>
      <c r="F11" s="62" t="s">
        <v>22</v>
      </c>
      <c r="G11" s="49">
        <v>1</v>
      </c>
      <c r="H11" s="139">
        <f>IF(B$27=0,0,G11/B$27)</f>
        <v>5.2631578947368418E-2</v>
      </c>
      <c r="I11" s="100">
        <v>2</v>
      </c>
      <c r="K11" s="40">
        <v>9</v>
      </c>
      <c r="L11" s="105">
        <v>0</v>
      </c>
      <c r="N11" s="121" t="s">
        <v>174</v>
      </c>
      <c r="O11" s="131">
        <f>IF(P11=0,0,Q11/P11)</f>
        <v>2.0333333333333337</v>
      </c>
      <c r="P11" s="125">
        <v>3</v>
      </c>
      <c r="Q11" s="113">
        <v>6.1000000000000014</v>
      </c>
    </row>
    <row r="12" spans="1:17" x14ac:dyDescent="0.4">
      <c r="A12" s="59" t="s">
        <v>166</v>
      </c>
      <c r="B12" s="51">
        <v>0</v>
      </c>
      <c r="C12" s="44">
        <f>IF(B$2=0,0,B12/B$2)</f>
        <v>0</v>
      </c>
      <c r="E12" s="65" t="s">
        <v>81</v>
      </c>
      <c r="F12" s="62" t="s">
        <v>34</v>
      </c>
      <c r="G12" s="49">
        <v>1</v>
      </c>
      <c r="H12" s="139">
        <f>IF(B$27=0,0,G12/B$27)</f>
        <v>5.2631578947368418E-2</v>
      </c>
      <c r="I12" s="100">
        <v>2</v>
      </c>
      <c r="N12" s="122" t="s">
        <v>175</v>
      </c>
      <c r="O12" s="132">
        <f>IF(P12=0,0,Q12/P12)</f>
        <v>-22.666666666666668</v>
      </c>
      <c r="P12" s="126">
        <v>3</v>
      </c>
      <c r="Q12" s="114">
        <v>-68</v>
      </c>
    </row>
    <row r="13" spans="1:17" x14ac:dyDescent="0.4">
      <c r="A13" s="60" t="s">
        <v>128</v>
      </c>
      <c r="B13" s="52">
        <v>16</v>
      </c>
      <c r="C13" s="46">
        <f>IF(B$26=0,0,B13/B$26)</f>
        <v>0.25396825396825395</v>
      </c>
      <c r="E13" s="65" t="s">
        <v>88</v>
      </c>
      <c r="F13" s="62" t="s">
        <v>41</v>
      </c>
      <c r="G13" s="49">
        <v>1</v>
      </c>
      <c r="H13" s="139">
        <f>IF(B$27=0,0,G13/B$27)</f>
        <v>5.2631578947368418E-2</v>
      </c>
      <c r="I13" s="100">
        <v>2</v>
      </c>
      <c r="N13" s="35"/>
      <c r="O13" s="116"/>
      <c r="P13" s="118"/>
      <c r="Q13" s="116"/>
    </row>
    <row r="14" spans="1:17" x14ac:dyDescent="0.4">
      <c r="A14" s="57" t="s">
        <v>123</v>
      </c>
      <c r="B14" s="49">
        <v>17</v>
      </c>
      <c r="C14" s="41">
        <f>IF(B$26=0,0,B14/B$26)</f>
        <v>0.26984126984126983</v>
      </c>
      <c r="E14" s="65" t="s">
        <v>91</v>
      </c>
      <c r="F14" s="62" t="s">
        <v>44</v>
      </c>
      <c r="G14" s="49">
        <v>1</v>
      </c>
      <c r="H14" s="139">
        <f>IF(B$27=0,0,G14/B$27)</f>
        <v>5.2631578947368418E-2</v>
      </c>
      <c r="I14" s="100">
        <v>2</v>
      </c>
      <c r="N14" s="119" t="s">
        <v>161</v>
      </c>
      <c r="O14" s="36" t="s">
        <v>125</v>
      </c>
      <c r="P14" s="123" t="s">
        <v>121</v>
      </c>
      <c r="Q14" s="111" t="s">
        <v>164</v>
      </c>
    </row>
    <row r="15" spans="1:17" x14ac:dyDescent="0.4">
      <c r="A15" s="56" t="s">
        <v>130</v>
      </c>
      <c r="B15" s="48">
        <v>11</v>
      </c>
      <c r="C15" s="39">
        <f>IF(B$13=0,0,B15/B$13)</f>
        <v>0.6875</v>
      </c>
      <c r="E15" s="65" t="s">
        <v>94</v>
      </c>
      <c r="F15" s="62" t="s">
        <v>47</v>
      </c>
      <c r="G15" s="49">
        <v>1</v>
      </c>
      <c r="H15" s="139">
        <f>IF(B$27=0,0,G15/B$27)</f>
        <v>5.2631578947368418E-2</v>
      </c>
      <c r="I15" s="100">
        <v>2</v>
      </c>
      <c r="N15" s="120" t="s">
        <v>178</v>
      </c>
      <c r="O15" s="130">
        <f>IF(P15=0,0,Q15/P15)</f>
        <v>42.449999999999996</v>
      </c>
      <c r="P15" s="124">
        <v>6</v>
      </c>
      <c r="Q15" s="112">
        <v>254.7</v>
      </c>
    </row>
    <row r="16" spans="1:17" x14ac:dyDescent="0.4">
      <c r="A16" s="56" t="s">
        <v>131</v>
      </c>
      <c r="B16" s="48">
        <v>7</v>
      </c>
      <c r="C16" s="39">
        <f>IF(B$14=0,0,B16/B$14)</f>
        <v>0.41176470588235292</v>
      </c>
      <c r="E16" s="65" t="s">
        <v>77</v>
      </c>
      <c r="F16" s="62" t="s">
        <v>30</v>
      </c>
      <c r="G16" s="49">
        <v>0</v>
      </c>
      <c r="H16" s="139">
        <f>IF(B$27=0,0,G16/B$27)</f>
        <v>0</v>
      </c>
      <c r="I16" s="100">
        <v>1</v>
      </c>
      <c r="N16" s="121" t="s">
        <v>179</v>
      </c>
      <c r="O16" s="131">
        <f>IF(P16=0,0,Q16/P16)</f>
        <v>10.5</v>
      </c>
      <c r="P16" s="125">
        <v>6</v>
      </c>
      <c r="Q16" s="113">
        <v>63</v>
      </c>
    </row>
    <row r="17" spans="1:17" x14ac:dyDescent="0.4">
      <c r="A17" s="56" t="s">
        <v>10</v>
      </c>
      <c r="B17" s="48">
        <f>B19+B18</f>
        <v>19</v>
      </c>
      <c r="C17" s="39">
        <f>IF(B$3=0,0,B17/B$3)</f>
        <v>0.30158730158730157</v>
      </c>
      <c r="E17" s="65" t="s">
        <v>78</v>
      </c>
      <c r="F17" s="62" t="s">
        <v>31</v>
      </c>
      <c r="G17" s="49">
        <v>0</v>
      </c>
      <c r="H17" s="139">
        <f>IF(B$27=0,0,G17/B$27)</f>
        <v>0</v>
      </c>
      <c r="I17" s="100">
        <v>1</v>
      </c>
      <c r="N17" s="121" t="s">
        <v>133</v>
      </c>
      <c r="O17" s="131">
        <f>IF(P17=0,0,Q17/P17)</f>
        <v>-52.949999999999996</v>
      </c>
      <c r="P17" s="125">
        <v>6</v>
      </c>
      <c r="Q17" s="113">
        <v>-317.7</v>
      </c>
    </row>
    <row r="18" spans="1:17" x14ac:dyDescent="0.4">
      <c r="A18" s="57" t="s">
        <v>12</v>
      </c>
      <c r="B18" s="49">
        <v>8</v>
      </c>
      <c r="C18" s="41">
        <f>IF(B$17=0,0,B18/B$17)</f>
        <v>0.42105263157894735</v>
      </c>
      <c r="E18" s="65" t="s">
        <v>79</v>
      </c>
      <c r="F18" s="62" t="s">
        <v>32</v>
      </c>
      <c r="G18" s="49">
        <v>0</v>
      </c>
      <c r="H18" s="139">
        <f>IF(B$27=0,0,G18/B$27)</f>
        <v>0</v>
      </c>
      <c r="I18" s="100">
        <v>1</v>
      </c>
    </row>
    <row r="19" spans="1:17" x14ac:dyDescent="0.4">
      <c r="A19" s="57" t="s">
        <v>11</v>
      </c>
      <c r="B19" s="49">
        <v>11</v>
      </c>
      <c r="C19" s="41">
        <f>IF(B$17=0,0,B19/B$17)</f>
        <v>0.57894736842105265</v>
      </c>
      <c r="E19" s="65" t="s">
        <v>80</v>
      </c>
      <c r="F19" s="62" t="s">
        <v>33</v>
      </c>
      <c r="G19" s="49">
        <v>0</v>
      </c>
      <c r="H19" s="139">
        <f>IF(B$27=0,0,G19/B$27)</f>
        <v>0</v>
      </c>
      <c r="I19" s="100">
        <v>1</v>
      </c>
    </row>
    <row r="20" spans="1:17" x14ac:dyDescent="0.4">
      <c r="A20" s="57" t="s">
        <v>13</v>
      </c>
      <c r="B20" s="49">
        <v>11</v>
      </c>
      <c r="C20" s="41">
        <f>IF(B$3=0,0,B20/B$3)</f>
        <v>0.17460317460317459</v>
      </c>
      <c r="E20" s="65" t="s">
        <v>82</v>
      </c>
      <c r="F20" s="62" t="s">
        <v>35</v>
      </c>
      <c r="G20" s="49">
        <v>0</v>
      </c>
      <c r="H20" s="139">
        <f>IF(B$27=0,0,G20/B$27)</f>
        <v>0</v>
      </c>
      <c r="I20" s="100">
        <v>1</v>
      </c>
    </row>
    <row r="21" spans="1:17" x14ac:dyDescent="0.4">
      <c r="A21" s="57" t="s">
        <v>5</v>
      </c>
      <c r="B21" s="53">
        <f>IF(B$17=0,0,C21/B$17)</f>
        <v>9015.78947368421</v>
      </c>
      <c r="C21" s="43">
        <v>171300</v>
      </c>
      <c r="E21" s="65" t="s">
        <v>83</v>
      </c>
      <c r="F21" s="62" t="s">
        <v>36</v>
      </c>
      <c r="G21" s="49">
        <v>0</v>
      </c>
      <c r="H21" s="139">
        <f>IF(B$27=0,0,G21/B$27)</f>
        <v>0</v>
      </c>
      <c r="I21" s="100">
        <v>1</v>
      </c>
    </row>
    <row r="22" spans="1:17" x14ac:dyDescent="0.4">
      <c r="A22" s="59" t="s">
        <v>14</v>
      </c>
      <c r="B22" s="54">
        <f>IF(B$20=0,0,C22/B$20)</f>
        <v>-10209.09090909091</v>
      </c>
      <c r="C22" s="47">
        <v>-112300</v>
      </c>
      <c r="E22" s="65" t="s">
        <v>84</v>
      </c>
      <c r="F22" s="62" t="s">
        <v>37</v>
      </c>
      <c r="G22" s="49">
        <v>0</v>
      </c>
      <c r="H22" s="139">
        <f>IF(B$27=0,0,G22/B$27)</f>
        <v>0</v>
      </c>
      <c r="I22" s="100">
        <v>1</v>
      </c>
    </row>
    <row r="23" spans="1:17" x14ac:dyDescent="0.4">
      <c r="A23" s="96" t="s">
        <v>147</v>
      </c>
      <c r="B23" s="155">
        <v>4</v>
      </c>
      <c r="C23" s="156"/>
      <c r="E23" s="65" t="s">
        <v>85</v>
      </c>
      <c r="F23" s="62" t="s">
        <v>38</v>
      </c>
      <c r="G23" s="49">
        <v>0</v>
      </c>
      <c r="H23" s="139">
        <f>IF(B$27=0,0,G23/B$27)</f>
        <v>0</v>
      </c>
      <c r="I23" s="100">
        <v>1</v>
      </c>
    </row>
    <row r="24" spans="1:17" x14ac:dyDescent="0.4">
      <c r="A24" s="60" t="s">
        <v>158</v>
      </c>
      <c r="B24" s="153">
        <v>110000</v>
      </c>
      <c r="C24" s="154"/>
      <c r="E24" s="65" t="s">
        <v>86</v>
      </c>
      <c r="F24" s="62" t="s">
        <v>39</v>
      </c>
      <c r="G24" s="49">
        <v>0</v>
      </c>
      <c r="H24" s="139">
        <f>IF(B$27=0,0,G24/B$27)</f>
        <v>0</v>
      </c>
      <c r="I24" s="100">
        <v>1</v>
      </c>
    </row>
    <row r="25" spans="1:17" x14ac:dyDescent="0.4">
      <c r="A25" s="59" t="s">
        <v>148</v>
      </c>
      <c r="B25" s="67">
        <v>0</v>
      </c>
      <c r="C25" s="44">
        <f>IF(B$3=0,0,B25/B$3)</f>
        <v>0</v>
      </c>
      <c r="E25" s="65" t="s">
        <v>87</v>
      </c>
      <c r="F25" s="62" t="s">
        <v>40</v>
      </c>
      <c r="G25" s="49">
        <v>0</v>
      </c>
      <c r="H25" s="139">
        <f>IF(B$27=0,0,G25/B$27)</f>
        <v>0</v>
      </c>
      <c r="I25" s="100">
        <v>1</v>
      </c>
    </row>
    <row r="26" spans="1:17" x14ac:dyDescent="0.4">
      <c r="A26" s="56" t="s">
        <v>126</v>
      </c>
      <c r="B26" s="145">
        <v>63</v>
      </c>
      <c r="C26" s="146"/>
      <c r="E26" s="65" t="s">
        <v>89</v>
      </c>
      <c r="F26" s="62" t="s">
        <v>42</v>
      </c>
      <c r="G26" s="49">
        <v>0</v>
      </c>
      <c r="H26" s="139">
        <f>IF(B$27=0,0,G26/B$27)</f>
        <v>0</v>
      </c>
      <c r="I26" s="100">
        <v>1</v>
      </c>
    </row>
    <row r="27" spans="1:17" x14ac:dyDescent="0.4">
      <c r="A27" s="59" t="s">
        <v>127</v>
      </c>
      <c r="B27" s="159">
        <v>19</v>
      </c>
      <c r="C27" s="160"/>
      <c r="E27" s="65" t="s">
        <v>90</v>
      </c>
      <c r="F27" s="62" t="s">
        <v>43</v>
      </c>
      <c r="G27" s="49">
        <v>0</v>
      </c>
      <c r="H27" s="139">
        <f>IF(B$27=0,0,G27/B$27)</f>
        <v>0</v>
      </c>
      <c r="I27" s="100">
        <v>1</v>
      </c>
    </row>
    <row r="28" spans="1:17" x14ac:dyDescent="0.4">
      <c r="E28" s="65" t="s">
        <v>92</v>
      </c>
      <c r="F28" s="62" t="s">
        <v>45</v>
      </c>
      <c r="G28" s="49">
        <v>0</v>
      </c>
      <c r="H28" s="139">
        <f>IF(B$27=0,0,G28/B$27)</f>
        <v>0</v>
      </c>
      <c r="I28" s="100">
        <v>1</v>
      </c>
    </row>
    <row r="29" spans="1:17" x14ac:dyDescent="0.4">
      <c r="E29" s="65" t="s">
        <v>93</v>
      </c>
      <c r="F29" s="62" t="s">
        <v>46</v>
      </c>
      <c r="G29" s="49">
        <v>0</v>
      </c>
      <c r="H29" s="139">
        <f>IF(B$27=0,0,G29/B$27)</f>
        <v>0</v>
      </c>
      <c r="I29" s="100">
        <v>1</v>
      </c>
    </row>
    <row r="30" spans="1:17" x14ac:dyDescent="0.4">
      <c r="E30" s="65" t="s">
        <v>95</v>
      </c>
      <c r="F30" s="62" t="s">
        <v>48</v>
      </c>
      <c r="G30" s="49">
        <v>0</v>
      </c>
      <c r="H30" s="139">
        <f>IF(B$27=0,0,G30/B$27)</f>
        <v>0</v>
      </c>
      <c r="I30" s="100">
        <v>1</v>
      </c>
    </row>
    <row r="31" spans="1:17" x14ac:dyDescent="0.4">
      <c r="E31" s="65" t="s">
        <v>96</v>
      </c>
      <c r="F31" s="62" t="s">
        <v>49</v>
      </c>
      <c r="G31" s="49">
        <v>0</v>
      </c>
      <c r="H31" s="139">
        <f>IF(B$27=0,0,G31/B$27)</f>
        <v>0</v>
      </c>
      <c r="I31" s="100">
        <v>1</v>
      </c>
    </row>
    <row r="32" spans="1:17" x14ac:dyDescent="0.4">
      <c r="E32" s="65" t="s">
        <v>97</v>
      </c>
      <c r="F32" s="62" t="s">
        <v>50</v>
      </c>
      <c r="G32" s="49">
        <v>0</v>
      </c>
      <c r="H32" s="139">
        <f>IF(B$27=0,0,G32/B$27)</f>
        <v>0</v>
      </c>
      <c r="I32" s="100">
        <v>1</v>
      </c>
    </row>
    <row r="33" spans="5:9" x14ac:dyDescent="0.4">
      <c r="E33" s="65" t="s">
        <v>98</v>
      </c>
      <c r="F33" s="62" t="s">
        <v>51</v>
      </c>
      <c r="G33" s="49">
        <v>0</v>
      </c>
      <c r="H33" s="139">
        <f>IF(B$27=0,0,G33/B$27)</f>
        <v>0</v>
      </c>
      <c r="I33" s="100">
        <v>1</v>
      </c>
    </row>
    <row r="34" spans="5:9" x14ac:dyDescent="0.4">
      <c r="E34" s="65" t="s">
        <v>99</v>
      </c>
      <c r="F34" s="62" t="s">
        <v>52</v>
      </c>
      <c r="G34" s="49">
        <v>0</v>
      </c>
      <c r="H34" s="139">
        <f>IF(B$27=0,0,G34/B$27)</f>
        <v>0</v>
      </c>
      <c r="I34" s="100">
        <v>1</v>
      </c>
    </row>
    <row r="35" spans="5:9" x14ac:dyDescent="0.4">
      <c r="E35" s="65" t="s">
        <v>100</v>
      </c>
      <c r="F35" s="62" t="s">
        <v>53</v>
      </c>
      <c r="G35" s="49">
        <v>0</v>
      </c>
      <c r="H35" s="139">
        <f>IF(B$27=0,0,G35/B$27)</f>
        <v>0</v>
      </c>
      <c r="I35" s="100">
        <v>1</v>
      </c>
    </row>
    <row r="36" spans="5:9" x14ac:dyDescent="0.4">
      <c r="E36" s="65" t="s">
        <v>101</v>
      </c>
      <c r="F36" s="62" t="s">
        <v>54</v>
      </c>
      <c r="G36" s="49">
        <v>0</v>
      </c>
      <c r="H36" s="139">
        <f>IF(B$27=0,0,G36/B$27)</f>
        <v>0</v>
      </c>
      <c r="I36" s="100">
        <v>1</v>
      </c>
    </row>
    <row r="37" spans="5:9" x14ac:dyDescent="0.4">
      <c r="E37" s="65" t="s">
        <v>102</v>
      </c>
      <c r="F37" s="62" t="s">
        <v>55</v>
      </c>
      <c r="G37" s="49">
        <v>0</v>
      </c>
      <c r="H37" s="139">
        <f>IF(B$27=0,0,G37/B$27)</f>
        <v>0</v>
      </c>
      <c r="I37" s="100">
        <v>1</v>
      </c>
    </row>
    <row r="38" spans="5:9" x14ac:dyDescent="0.4">
      <c r="E38" s="65" t="s">
        <v>103</v>
      </c>
      <c r="F38" s="62" t="s">
        <v>56</v>
      </c>
      <c r="G38" s="49">
        <v>0</v>
      </c>
      <c r="H38" s="139">
        <f>IF(B$27=0,0,G38/B$27)</f>
        <v>0</v>
      </c>
      <c r="I38" s="100">
        <v>1</v>
      </c>
    </row>
    <row r="39" spans="5:9" x14ac:dyDescent="0.4">
      <c r="E39" s="65" t="s">
        <v>104</v>
      </c>
      <c r="F39" s="62" t="s">
        <v>57</v>
      </c>
      <c r="G39" s="49">
        <v>0</v>
      </c>
      <c r="H39" s="139">
        <f>IF(B$27=0,0,G39/B$27)</f>
        <v>0</v>
      </c>
      <c r="I39" s="100">
        <v>1</v>
      </c>
    </row>
    <row r="40" spans="5:9" x14ac:dyDescent="0.4">
      <c r="E40" s="65" t="s">
        <v>105</v>
      </c>
      <c r="F40" s="62" t="s">
        <v>58</v>
      </c>
      <c r="G40" s="49">
        <v>0</v>
      </c>
      <c r="H40" s="139">
        <f>IF(B$27=0,0,G40/B$27)</f>
        <v>0</v>
      </c>
      <c r="I40" s="100">
        <v>1</v>
      </c>
    </row>
    <row r="41" spans="5:9" x14ac:dyDescent="0.4">
      <c r="E41" s="65" t="s">
        <v>106</v>
      </c>
      <c r="F41" s="62" t="s">
        <v>59</v>
      </c>
      <c r="G41" s="49">
        <v>0</v>
      </c>
      <c r="H41" s="139">
        <f>IF(B$27=0,0,G41/B$27)</f>
        <v>0</v>
      </c>
      <c r="I41" s="100">
        <v>1</v>
      </c>
    </row>
    <row r="42" spans="5:9" x14ac:dyDescent="0.4">
      <c r="E42" s="65" t="s">
        <v>107</v>
      </c>
      <c r="F42" s="62" t="s">
        <v>60</v>
      </c>
      <c r="G42" s="49">
        <v>0</v>
      </c>
      <c r="H42" s="139">
        <f>IF(B$27=0,0,G42/B$27)</f>
        <v>0</v>
      </c>
      <c r="I42" s="100">
        <v>1</v>
      </c>
    </row>
    <row r="43" spans="5:9" x14ac:dyDescent="0.4">
      <c r="E43" s="65" t="s">
        <v>108</v>
      </c>
      <c r="F43" s="62" t="s">
        <v>61</v>
      </c>
      <c r="G43" s="49">
        <v>0</v>
      </c>
      <c r="H43" s="139">
        <f>IF(B$27=0,0,G43/B$27)</f>
        <v>0</v>
      </c>
      <c r="I43" s="100">
        <v>1</v>
      </c>
    </row>
    <row r="44" spans="5:9" x14ac:dyDescent="0.4">
      <c r="E44" s="65" t="s">
        <v>109</v>
      </c>
      <c r="F44" s="62" t="s">
        <v>62</v>
      </c>
      <c r="G44" s="49">
        <v>0</v>
      </c>
      <c r="H44" s="139">
        <f>IF(B$27=0,0,G44/B$27)</f>
        <v>0</v>
      </c>
      <c r="I44" s="100">
        <v>1</v>
      </c>
    </row>
    <row r="45" spans="5:9" x14ac:dyDescent="0.4">
      <c r="E45" s="65" t="s">
        <v>110</v>
      </c>
      <c r="F45" s="62" t="s">
        <v>117</v>
      </c>
      <c r="G45" s="49">
        <v>0</v>
      </c>
      <c r="H45" s="139">
        <f>IF(B$27=0,0,G45/B$27)</f>
        <v>0</v>
      </c>
      <c r="I45" s="100">
        <v>1</v>
      </c>
    </row>
    <row r="46" spans="5:9" x14ac:dyDescent="0.4">
      <c r="E46" s="65" t="s">
        <v>111</v>
      </c>
      <c r="F46" s="62" t="s">
        <v>118</v>
      </c>
      <c r="G46" s="49">
        <v>0</v>
      </c>
      <c r="H46" s="139">
        <f>IF(B$27=0,0,G46/B$27)</f>
        <v>0</v>
      </c>
      <c r="I46" s="100">
        <v>1</v>
      </c>
    </row>
    <row r="47" spans="5:9" x14ac:dyDescent="0.4">
      <c r="E47" s="65" t="s">
        <v>112</v>
      </c>
      <c r="F47" s="62" t="s">
        <v>119</v>
      </c>
      <c r="G47" s="49">
        <v>0</v>
      </c>
      <c r="H47" s="139">
        <f>IF(B$27=0,0,G47/B$27)</f>
        <v>0</v>
      </c>
      <c r="I47" s="100">
        <v>1</v>
      </c>
    </row>
    <row r="48" spans="5:9" x14ac:dyDescent="0.4">
      <c r="E48" s="65" t="s">
        <v>113</v>
      </c>
      <c r="F48" s="62" t="s">
        <v>63</v>
      </c>
      <c r="G48" s="49">
        <v>0</v>
      </c>
      <c r="H48" s="139">
        <f>IF(B$27=0,0,G48/B$27)</f>
        <v>0</v>
      </c>
      <c r="I48" s="100">
        <v>1</v>
      </c>
    </row>
    <row r="49" spans="5:9" x14ac:dyDescent="0.4">
      <c r="E49" s="65" t="s">
        <v>114</v>
      </c>
      <c r="F49" s="62" t="s">
        <v>64</v>
      </c>
      <c r="G49" s="49">
        <v>0</v>
      </c>
      <c r="H49" s="139">
        <f>IF(B$27=0,0,G49/B$27)</f>
        <v>0</v>
      </c>
      <c r="I49" s="100">
        <v>1</v>
      </c>
    </row>
    <row r="50" spans="5:9" x14ac:dyDescent="0.4">
      <c r="E50" s="65" t="s">
        <v>115</v>
      </c>
      <c r="F50" s="62" t="s">
        <v>65</v>
      </c>
      <c r="G50" s="49">
        <v>0</v>
      </c>
      <c r="H50" s="139">
        <f>IF(B$27=0,0,G50/B$27)</f>
        <v>0</v>
      </c>
      <c r="I50" s="100">
        <v>1</v>
      </c>
    </row>
    <row r="51" spans="5:9" x14ac:dyDescent="0.4">
      <c r="E51" s="66" t="s">
        <v>116</v>
      </c>
      <c r="F51" s="63" t="s">
        <v>66</v>
      </c>
      <c r="G51" s="51">
        <v>0</v>
      </c>
      <c r="H51" s="140">
        <f>IF(B$27=0,0,G51/B$27)</f>
        <v>0</v>
      </c>
      <c r="I51" s="101">
        <v>1</v>
      </c>
    </row>
  </sheetData>
  <sortState ref="N15:Q17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368C0C-F51A-4F6D-8AEA-BB7514933F35}">
  <sheetPr codeName="Sheet7"/>
  <dimension ref="A1:Q51"/>
  <sheetViews>
    <sheetView showGridLines="0" zoomScale="120" zoomScaleNormal="120" workbookViewId="0"/>
  </sheetViews>
  <sheetFormatPr defaultColWidth="9" defaultRowHeight="18.75" x14ac:dyDescent="0.4"/>
  <cols>
    <col min="1" max="1" width="13" style="35" customWidth="1"/>
    <col min="2" max="3" width="9" style="35" customWidth="1"/>
    <col min="4" max="4" width="3.625" style="35" customWidth="1"/>
    <col min="5" max="5" width="3.625" style="134" bestFit="1" customWidth="1"/>
    <col min="6" max="6" width="11" style="45" bestFit="1" customWidth="1"/>
    <col min="7" max="9" width="9" style="35" customWidth="1"/>
    <col min="10" max="10" width="3.625" style="35" customWidth="1"/>
    <col min="11" max="11" width="3.5" style="40" customWidth="1"/>
    <col min="12" max="12" width="9" style="105" customWidth="1"/>
    <col min="13" max="13" width="3.625" style="35" customWidth="1"/>
    <col min="14" max="14" width="9" style="121" customWidth="1"/>
    <col min="15" max="15" width="9" style="131" customWidth="1"/>
    <col min="16" max="16" width="9" style="125" customWidth="1"/>
    <col min="17" max="17" width="3.625" style="113" customWidth="1"/>
    <col min="18" max="16384" width="9" style="35"/>
  </cols>
  <sheetData>
    <row r="1" spans="1:17" x14ac:dyDescent="0.4">
      <c r="A1" s="55" t="s">
        <v>0</v>
      </c>
      <c r="B1" s="143" t="s">
        <v>133</v>
      </c>
      <c r="C1" s="144"/>
      <c r="E1" s="135" t="s">
        <v>176</v>
      </c>
      <c r="F1" s="142" t="s">
        <v>120</v>
      </c>
      <c r="G1" s="141" t="s">
        <v>121</v>
      </c>
      <c r="H1" s="136" t="s">
        <v>122</v>
      </c>
      <c r="I1" s="142" t="s">
        <v>160</v>
      </c>
      <c r="K1" s="36" t="s">
        <v>20</v>
      </c>
      <c r="L1" s="37" t="s">
        <v>125</v>
      </c>
      <c r="M1" s="137"/>
      <c r="N1" s="119" t="s">
        <v>143</v>
      </c>
      <c r="O1" s="36" t="s">
        <v>144</v>
      </c>
      <c r="P1" s="123" t="s">
        <v>121</v>
      </c>
      <c r="Q1" s="107" t="s">
        <v>164</v>
      </c>
    </row>
    <row r="2" spans="1:17" x14ac:dyDescent="0.4">
      <c r="A2" s="56" t="s">
        <v>9</v>
      </c>
      <c r="B2" s="145">
        <v>3</v>
      </c>
      <c r="C2" s="146"/>
      <c r="E2" s="64" t="s">
        <v>69</v>
      </c>
      <c r="F2" s="61" t="s">
        <v>23</v>
      </c>
      <c r="G2" s="48">
        <v>11</v>
      </c>
      <c r="H2" s="138">
        <f>IF(B$27=0,0,G2/B$27)</f>
        <v>0.91666666666666663</v>
      </c>
      <c r="I2" s="99">
        <v>2</v>
      </c>
      <c r="K2" s="38">
        <v>0</v>
      </c>
      <c r="L2" s="104">
        <v>0</v>
      </c>
      <c r="N2" s="120" t="s">
        <v>137</v>
      </c>
      <c r="O2" s="127">
        <f t="shared" ref="O2:O7" si="0">IF(P2=0,0,Q2/P2)</f>
        <v>-166.66666666666666</v>
      </c>
      <c r="P2" s="124">
        <v>3</v>
      </c>
      <c r="Q2" s="108">
        <v>-500</v>
      </c>
    </row>
    <row r="3" spans="1:17" x14ac:dyDescent="0.4">
      <c r="A3" s="57" t="s">
        <v>8</v>
      </c>
      <c r="B3" s="147">
        <v>21</v>
      </c>
      <c r="C3" s="148"/>
      <c r="E3" s="65" t="s">
        <v>71</v>
      </c>
      <c r="F3" s="62" t="s">
        <v>25</v>
      </c>
      <c r="G3" s="49">
        <v>9</v>
      </c>
      <c r="H3" s="139">
        <f>IF(B$27=0,0,G3/B$27)</f>
        <v>0.75</v>
      </c>
      <c r="I3" s="100">
        <v>2</v>
      </c>
      <c r="K3" s="40">
        <v>1</v>
      </c>
      <c r="L3" s="105">
        <v>-14.1</v>
      </c>
      <c r="N3" s="121" t="s">
        <v>138</v>
      </c>
      <c r="O3" s="128">
        <f t="shared" si="0"/>
        <v>9033.3333333333339</v>
      </c>
      <c r="P3" s="125">
        <v>3</v>
      </c>
      <c r="Q3" s="109">
        <v>27100</v>
      </c>
    </row>
    <row r="4" spans="1:17" x14ac:dyDescent="0.4">
      <c r="A4" s="57" t="s">
        <v>6</v>
      </c>
      <c r="B4" s="149">
        <v>105.9</v>
      </c>
      <c r="C4" s="150"/>
      <c r="E4" s="65" t="s">
        <v>67</v>
      </c>
      <c r="F4" s="62" t="s">
        <v>21</v>
      </c>
      <c r="G4" s="49">
        <v>6</v>
      </c>
      <c r="H4" s="139">
        <f>IF(B$27=0,0,G4/B$27)</f>
        <v>0.5</v>
      </c>
      <c r="I4" s="100">
        <v>3</v>
      </c>
      <c r="K4" s="40">
        <v>2</v>
      </c>
      <c r="L4" s="105">
        <v>60.9</v>
      </c>
      <c r="N4" s="121" t="s">
        <v>139</v>
      </c>
      <c r="O4" s="128">
        <f t="shared" si="0"/>
        <v>1650</v>
      </c>
      <c r="P4" s="125">
        <v>2</v>
      </c>
      <c r="Q4" s="109">
        <v>3300</v>
      </c>
    </row>
    <row r="5" spans="1:17" x14ac:dyDescent="0.4">
      <c r="A5" s="57" t="s">
        <v>7</v>
      </c>
      <c r="B5" s="151">
        <f>IF(B$2=0,0,B$4/B$2)</f>
        <v>35.300000000000004</v>
      </c>
      <c r="C5" s="152"/>
      <c r="E5" s="65" t="s">
        <v>76</v>
      </c>
      <c r="F5" s="62" t="s">
        <v>29</v>
      </c>
      <c r="G5" s="49">
        <v>6</v>
      </c>
      <c r="H5" s="139">
        <f>IF(B$27=0,0,G5/B$27)</f>
        <v>0.5</v>
      </c>
      <c r="I5" s="100">
        <v>1</v>
      </c>
      <c r="K5" s="40">
        <v>3</v>
      </c>
      <c r="L5" s="105">
        <v>105.9</v>
      </c>
      <c r="N5" s="121" t="s">
        <v>140</v>
      </c>
      <c r="O5" s="128">
        <f t="shared" si="0"/>
        <v>33750</v>
      </c>
      <c r="P5" s="125">
        <v>2</v>
      </c>
      <c r="Q5" s="109">
        <v>67500</v>
      </c>
    </row>
    <row r="6" spans="1:17" x14ac:dyDescent="0.4">
      <c r="A6" s="57" t="s">
        <v>1</v>
      </c>
      <c r="B6" s="157">
        <f>IF(B$2=0,0,(B$7*1+B$8*2+B$9*3)/B$2)</f>
        <v>1.6666666666666667</v>
      </c>
      <c r="C6" s="158"/>
      <c r="E6" s="65" t="s">
        <v>70</v>
      </c>
      <c r="F6" s="62" t="s">
        <v>24</v>
      </c>
      <c r="G6" s="49">
        <v>5</v>
      </c>
      <c r="H6" s="139">
        <f>IF(B$27=0,0,G6/B$27)</f>
        <v>0.41666666666666669</v>
      </c>
      <c r="I6" s="100">
        <v>1</v>
      </c>
      <c r="N6" s="121" t="s">
        <v>141</v>
      </c>
      <c r="O6" s="128">
        <f t="shared" si="0"/>
        <v>-3500</v>
      </c>
      <c r="P6" s="125">
        <v>1</v>
      </c>
      <c r="Q6" s="109">
        <v>-3500</v>
      </c>
    </row>
    <row r="7" spans="1:17" x14ac:dyDescent="0.4">
      <c r="A7" s="57" t="s">
        <v>2</v>
      </c>
      <c r="B7" s="49">
        <v>2</v>
      </c>
      <c r="C7" s="41">
        <f>IF(B$2=0,0,B7/B$2)</f>
        <v>0.66666666666666663</v>
      </c>
      <c r="E7" s="65" t="s">
        <v>72</v>
      </c>
      <c r="F7" s="62" t="s">
        <v>12</v>
      </c>
      <c r="G7" s="49">
        <v>3</v>
      </c>
      <c r="H7" s="139">
        <f>IF(B$27=0,0,G7/B$27)</f>
        <v>0.25</v>
      </c>
      <c r="I7" s="100">
        <v>3</v>
      </c>
      <c r="N7" s="122" t="s">
        <v>142</v>
      </c>
      <c r="O7" s="129">
        <f t="shared" si="0"/>
        <v>12000</v>
      </c>
      <c r="P7" s="126">
        <v>1</v>
      </c>
      <c r="Q7" s="110">
        <v>12000</v>
      </c>
    </row>
    <row r="8" spans="1:17" x14ac:dyDescent="0.4">
      <c r="A8" s="57" t="s">
        <v>3</v>
      </c>
      <c r="B8" s="49">
        <v>0</v>
      </c>
      <c r="C8" s="41">
        <f>IF(B$2=0,0,B8/B$2)</f>
        <v>0</v>
      </c>
      <c r="E8" s="65" t="s">
        <v>73</v>
      </c>
      <c r="F8" s="62" t="s">
        <v>26</v>
      </c>
      <c r="G8" s="49">
        <v>3</v>
      </c>
      <c r="H8" s="139">
        <f>IF(B$27=0,0,G8/B$27)</f>
        <v>0.25</v>
      </c>
      <c r="I8" s="100">
        <v>1</v>
      </c>
      <c r="N8" s="45"/>
      <c r="O8" s="133"/>
      <c r="P8" s="117"/>
      <c r="Q8" s="115"/>
    </row>
    <row r="9" spans="1:17" x14ac:dyDescent="0.4">
      <c r="A9" s="58" t="s">
        <v>4</v>
      </c>
      <c r="B9" s="50">
        <v>1</v>
      </c>
      <c r="C9" s="42">
        <f t="shared" ref="C9" si="1">IF(B$2=0,0,B9/B$2)</f>
        <v>0.33333333333333331</v>
      </c>
      <c r="E9" s="65" t="s">
        <v>75</v>
      </c>
      <c r="F9" s="62" t="s">
        <v>28</v>
      </c>
      <c r="G9" s="49">
        <v>2</v>
      </c>
      <c r="H9" s="139">
        <f>IF(B$27=0,0,G9/B$27)</f>
        <v>0.16666666666666666</v>
      </c>
      <c r="I9" s="100">
        <v>1</v>
      </c>
      <c r="N9" s="119" t="s">
        <v>172</v>
      </c>
      <c r="O9" s="36" t="s">
        <v>125</v>
      </c>
      <c r="P9" s="123" t="s">
        <v>121</v>
      </c>
      <c r="Q9" s="111" t="s">
        <v>164</v>
      </c>
    </row>
    <row r="10" spans="1:17" x14ac:dyDescent="0.4">
      <c r="A10" s="58" t="s">
        <v>19</v>
      </c>
      <c r="B10" s="50">
        <v>0</v>
      </c>
      <c r="C10" s="42">
        <f>IF(B$2=0,0,B10/B$2)</f>
        <v>0</v>
      </c>
      <c r="E10" s="65" t="s">
        <v>68</v>
      </c>
      <c r="F10" s="62" t="s">
        <v>22</v>
      </c>
      <c r="G10" s="49">
        <v>1</v>
      </c>
      <c r="H10" s="139">
        <f>IF(B$27=0,0,G10/B$27)</f>
        <v>8.3333333333333329E-2</v>
      </c>
      <c r="I10" s="100">
        <v>1</v>
      </c>
      <c r="N10" s="120" t="s">
        <v>173</v>
      </c>
      <c r="O10" s="130">
        <f>IF(P10=0,0,Q10/P10)</f>
        <v>30.45</v>
      </c>
      <c r="P10" s="124">
        <v>2</v>
      </c>
      <c r="Q10" s="112">
        <v>60.9</v>
      </c>
    </row>
    <row r="11" spans="1:17" x14ac:dyDescent="0.4">
      <c r="A11" s="58" t="s">
        <v>145</v>
      </c>
      <c r="B11" s="50">
        <v>2</v>
      </c>
      <c r="C11" s="42">
        <f>IF(B$2=0,0,B11/B$2)</f>
        <v>0.66666666666666663</v>
      </c>
      <c r="E11" s="65" t="s">
        <v>74</v>
      </c>
      <c r="F11" s="62" t="s">
        <v>27</v>
      </c>
      <c r="G11" s="49">
        <v>1</v>
      </c>
      <c r="H11" s="139">
        <f>IF(B$27=0,0,G11/B$27)</f>
        <v>8.3333333333333329E-2</v>
      </c>
      <c r="I11" s="100">
        <v>3</v>
      </c>
      <c r="N11" s="121" t="s">
        <v>174</v>
      </c>
      <c r="O11" s="131">
        <f>IF(P11=0,0,Q11/P11)</f>
        <v>45</v>
      </c>
      <c r="P11" s="125">
        <v>1</v>
      </c>
      <c r="Q11" s="113">
        <v>45</v>
      </c>
    </row>
    <row r="12" spans="1:17" x14ac:dyDescent="0.4">
      <c r="A12" s="59" t="s">
        <v>166</v>
      </c>
      <c r="B12" s="51">
        <v>0</v>
      </c>
      <c r="C12" s="44">
        <f>IF(B$2=0,0,B12/B$2)</f>
        <v>0</v>
      </c>
      <c r="E12" s="65" t="s">
        <v>81</v>
      </c>
      <c r="F12" s="62" t="s">
        <v>34</v>
      </c>
      <c r="G12" s="49">
        <v>1</v>
      </c>
      <c r="H12" s="139">
        <f>IF(B$27=0,0,G12/B$27)</f>
        <v>8.3333333333333329E-2</v>
      </c>
      <c r="I12" s="100">
        <v>1</v>
      </c>
      <c r="N12" s="122" t="s">
        <v>175</v>
      </c>
      <c r="O12" s="132">
        <f>IF(P12=0,0,Q12/P12)</f>
        <v>0</v>
      </c>
      <c r="P12" s="126">
        <v>0</v>
      </c>
      <c r="Q12" s="114">
        <v>0</v>
      </c>
    </row>
    <row r="13" spans="1:17" x14ac:dyDescent="0.4">
      <c r="A13" s="60" t="s">
        <v>128</v>
      </c>
      <c r="B13" s="52">
        <v>10</v>
      </c>
      <c r="C13" s="46">
        <f>IF(B$26=0,0,B13/B$26)</f>
        <v>0.47619047619047616</v>
      </c>
      <c r="E13" s="65" t="s">
        <v>94</v>
      </c>
      <c r="F13" s="62" t="s">
        <v>47</v>
      </c>
      <c r="G13" s="49">
        <v>1</v>
      </c>
      <c r="H13" s="139">
        <f>IF(B$27=0,0,G13/B$27)</f>
        <v>8.3333333333333329E-2</v>
      </c>
      <c r="I13" s="100">
        <v>1</v>
      </c>
      <c r="N13" s="35"/>
      <c r="O13" s="116"/>
      <c r="P13" s="118"/>
      <c r="Q13" s="116"/>
    </row>
    <row r="14" spans="1:17" x14ac:dyDescent="0.4">
      <c r="A14" s="57" t="s">
        <v>123</v>
      </c>
      <c r="B14" s="49">
        <v>7</v>
      </c>
      <c r="C14" s="41">
        <f>IF(B$26=0,0,B14/B$26)</f>
        <v>0.33333333333333331</v>
      </c>
      <c r="E14" s="65" t="s">
        <v>77</v>
      </c>
      <c r="F14" s="62" t="s">
        <v>30</v>
      </c>
      <c r="G14" s="49">
        <v>0</v>
      </c>
      <c r="H14" s="139">
        <f>IF(B$27=0,0,G14/B$27)</f>
        <v>0</v>
      </c>
      <c r="I14" s="100">
        <v>1</v>
      </c>
      <c r="N14" s="119" t="s">
        <v>161</v>
      </c>
      <c r="O14" s="36" t="s">
        <v>125</v>
      </c>
      <c r="P14" s="123" t="s">
        <v>121</v>
      </c>
      <c r="Q14" s="111" t="s">
        <v>164</v>
      </c>
    </row>
    <row r="15" spans="1:17" x14ac:dyDescent="0.4">
      <c r="A15" s="56" t="s">
        <v>130</v>
      </c>
      <c r="B15" s="48">
        <v>7</v>
      </c>
      <c r="C15" s="39">
        <f>IF(B$13=0,0,B15/B$13)</f>
        <v>0.7</v>
      </c>
      <c r="E15" s="65" t="s">
        <v>78</v>
      </c>
      <c r="F15" s="62" t="s">
        <v>31</v>
      </c>
      <c r="G15" s="49">
        <v>0</v>
      </c>
      <c r="H15" s="139">
        <f>IF(B$27=0,0,G15/B$27)</f>
        <v>0</v>
      </c>
      <c r="I15" s="100">
        <v>1</v>
      </c>
      <c r="N15" s="120" t="s">
        <v>178</v>
      </c>
      <c r="O15" s="130">
        <f>IF(P15=0,0,Q15/P15)</f>
        <v>63.6</v>
      </c>
      <c r="P15" s="124">
        <v>3</v>
      </c>
      <c r="Q15" s="112">
        <v>190.8</v>
      </c>
    </row>
    <row r="16" spans="1:17" x14ac:dyDescent="0.4">
      <c r="A16" s="56" t="s">
        <v>131</v>
      </c>
      <c r="B16" s="48">
        <v>4</v>
      </c>
      <c r="C16" s="39">
        <f>IF(B$14=0,0,B16/B$14)</f>
        <v>0.5714285714285714</v>
      </c>
      <c r="E16" s="65" t="s">
        <v>79</v>
      </c>
      <c r="F16" s="62" t="s">
        <v>32</v>
      </c>
      <c r="G16" s="49">
        <v>0</v>
      </c>
      <c r="H16" s="139">
        <f>IF(B$27=0,0,G16/B$27)</f>
        <v>0</v>
      </c>
      <c r="I16" s="100">
        <v>1</v>
      </c>
      <c r="N16" s="121" t="s">
        <v>179</v>
      </c>
      <c r="O16" s="131">
        <f>IF(P16=0,0,Q16/P16)</f>
        <v>42.300000000000004</v>
      </c>
      <c r="P16" s="125">
        <v>3</v>
      </c>
      <c r="Q16" s="113">
        <v>126.9</v>
      </c>
    </row>
    <row r="17" spans="1:9" x14ac:dyDescent="0.4">
      <c r="A17" s="56" t="s">
        <v>10</v>
      </c>
      <c r="B17" s="48">
        <f>B19+B18</f>
        <v>12</v>
      </c>
      <c r="C17" s="39">
        <f>IF(B$3=0,0,B17/B$3)</f>
        <v>0.5714285714285714</v>
      </c>
      <c r="E17" s="65" t="s">
        <v>80</v>
      </c>
      <c r="F17" s="62" t="s">
        <v>33</v>
      </c>
      <c r="G17" s="49">
        <v>0</v>
      </c>
      <c r="H17" s="139">
        <f>IF(B$27=0,0,G17/B$27)</f>
        <v>0</v>
      </c>
      <c r="I17" s="100">
        <v>1</v>
      </c>
    </row>
    <row r="18" spans="1:9" x14ac:dyDescent="0.4">
      <c r="A18" s="57" t="s">
        <v>12</v>
      </c>
      <c r="B18" s="49">
        <v>5</v>
      </c>
      <c r="C18" s="41">
        <f>IF(B$17=0,0,B18/B$17)</f>
        <v>0.41666666666666669</v>
      </c>
      <c r="E18" s="65" t="s">
        <v>82</v>
      </c>
      <c r="F18" s="62" t="s">
        <v>35</v>
      </c>
      <c r="G18" s="49">
        <v>0</v>
      </c>
      <c r="H18" s="139">
        <f>IF(B$27=0,0,G18/B$27)</f>
        <v>0</v>
      </c>
      <c r="I18" s="100">
        <v>1</v>
      </c>
    </row>
    <row r="19" spans="1:9" x14ac:dyDescent="0.4">
      <c r="A19" s="57" t="s">
        <v>11</v>
      </c>
      <c r="B19" s="49">
        <v>7</v>
      </c>
      <c r="C19" s="41">
        <f>IF(B$17=0,0,B19/B$17)</f>
        <v>0.58333333333333337</v>
      </c>
      <c r="E19" s="65" t="s">
        <v>83</v>
      </c>
      <c r="F19" s="62" t="s">
        <v>36</v>
      </c>
      <c r="G19" s="49">
        <v>0</v>
      </c>
      <c r="H19" s="139">
        <f>IF(B$27=0,0,G19/B$27)</f>
        <v>0</v>
      </c>
      <c r="I19" s="100">
        <v>1</v>
      </c>
    </row>
    <row r="20" spans="1:9" x14ac:dyDescent="0.4">
      <c r="A20" s="57" t="s">
        <v>13</v>
      </c>
      <c r="B20" s="49">
        <v>3</v>
      </c>
      <c r="C20" s="41">
        <f>IF(B$3=0,0,B20/B$3)</f>
        <v>0.14285714285714285</v>
      </c>
      <c r="E20" s="65" t="s">
        <v>84</v>
      </c>
      <c r="F20" s="62" t="s">
        <v>37</v>
      </c>
      <c r="G20" s="49">
        <v>0</v>
      </c>
      <c r="H20" s="139">
        <f>IF(B$27=0,0,G20/B$27)</f>
        <v>0</v>
      </c>
      <c r="I20" s="100">
        <v>1</v>
      </c>
    </row>
    <row r="21" spans="1:9" x14ac:dyDescent="0.4">
      <c r="A21" s="57" t="s">
        <v>5</v>
      </c>
      <c r="B21" s="53">
        <f>IF(B$17=0,0,C21/B$17)</f>
        <v>9883.3333333333339</v>
      </c>
      <c r="C21" s="43">
        <v>118600</v>
      </c>
      <c r="E21" s="65" t="s">
        <v>85</v>
      </c>
      <c r="F21" s="62" t="s">
        <v>38</v>
      </c>
      <c r="G21" s="49">
        <v>0</v>
      </c>
      <c r="H21" s="139">
        <f>IF(B$27=0,0,G21/B$27)</f>
        <v>0</v>
      </c>
      <c r="I21" s="100">
        <v>1</v>
      </c>
    </row>
    <row r="22" spans="1:9" x14ac:dyDescent="0.4">
      <c r="A22" s="59" t="s">
        <v>14</v>
      </c>
      <c r="B22" s="54">
        <f>IF(B$20=0,0,C22/B$20)</f>
        <v>-6900</v>
      </c>
      <c r="C22" s="47">
        <v>-20700</v>
      </c>
      <c r="E22" s="65" t="s">
        <v>86</v>
      </c>
      <c r="F22" s="62" t="s">
        <v>39</v>
      </c>
      <c r="G22" s="49">
        <v>0</v>
      </c>
      <c r="H22" s="139">
        <f>IF(B$27=0,0,G22/B$27)</f>
        <v>0</v>
      </c>
      <c r="I22" s="100">
        <v>1</v>
      </c>
    </row>
    <row r="23" spans="1:9" x14ac:dyDescent="0.4">
      <c r="A23" s="96" t="s">
        <v>147</v>
      </c>
      <c r="B23" s="155">
        <v>4</v>
      </c>
      <c r="C23" s="156"/>
      <c r="E23" s="65" t="s">
        <v>87</v>
      </c>
      <c r="F23" s="62" t="s">
        <v>40</v>
      </c>
      <c r="G23" s="49">
        <v>0</v>
      </c>
      <c r="H23" s="139">
        <f>IF(B$27=0,0,G23/B$27)</f>
        <v>0</v>
      </c>
      <c r="I23" s="100">
        <v>1</v>
      </c>
    </row>
    <row r="24" spans="1:9" x14ac:dyDescent="0.4">
      <c r="A24" s="60" t="s">
        <v>158</v>
      </c>
      <c r="B24" s="153">
        <v>110000</v>
      </c>
      <c r="C24" s="154"/>
      <c r="E24" s="65" t="s">
        <v>88</v>
      </c>
      <c r="F24" s="62" t="s">
        <v>41</v>
      </c>
      <c r="G24" s="49">
        <v>0</v>
      </c>
      <c r="H24" s="139">
        <f>IF(B$27=0,0,G24/B$27)</f>
        <v>0</v>
      </c>
      <c r="I24" s="100">
        <v>3</v>
      </c>
    </row>
    <row r="25" spans="1:9" x14ac:dyDescent="0.4">
      <c r="A25" s="59" t="s">
        <v>148</v>
      </c>
      <c r="B25" s="67">
        <v>0</v>
      </c>
      <c r="C25" s="44">
        <f>IF(B$3=0,0,B25/B$3)</f>
        <v>0</v>
      </c>
      <c r="E25" s="65" t="s">
        <v>89</v>
      </c>
      <c r="F25" s="62" t="s">
        <v>42</v>
      </c>
      <c r="G25" s="49">
        <v>0</v>
      </c>
      <c r="H25" s="139">
        <f>IF(B$27=0,0,G25/B$27)</f>
        <v>0</v>
      </c>
      <c r="I25" s="100">
        <v>1</v>
      </c>
    </row>
    <row r="26" spans="1:9" x14ac:dyDescent="0.4">
      <c r="A26" s="56" t="s">
        <v>126</v>
      </c>
      <c r="B26" s="145">
        <v>21</v>
      </c>
      <c r="C26" s="146"/>
      <c r="E26" s="65" t="s">
        <v>90</v>
      </c>
      <c r="F26" s="62" t="s">
        <v>43</v>
      </c>
      <c r="G26" s="49">
        <v>0</v>
      </c>
      <c r="H26" s="139">
        <f>IF(B$27=0,0,G26/B$27)</f>
        <v>0</v>
      </c>
      <c r="I26" s="100">
        <v>1</v>
      </c>
    </row>
    <row r="27" spans="1:9" x14ac:dyDescent="0.4">
      <c r="A27" s="59" t="s">
        <v>127</v>
      </c>
      <c r="B27" s="159">
        <v>12</v>
      </c>
      <c r="C27" s="160"/>
      <c r="E27" s="65" t="s">
        <v>91</v>
      </c>
      <c r="F27" s="62" t="s">
        <v>44</v>
      </c>
      <c r="G27" s="49">
        <v>0</v>
      </c>
      <c r="H27" s="139">
        <f>IF(B$27=0,0,G27/B$27)</f>
        <v>0</v>
      </c>
      <c r="I27" s="100">
        <v>3</v>
      </c>
    </row>
    <row r="28" spans="1:9" x14ac:dyDescent="0.4">
      <c r="E28" s="65" t="s">
        <v>92</v>
      </c>
      <c r="F28" s="62" t="s">
        <v>45</v>
      </c>
      <c r="G28" s="49">
        <v>0</v>
      </c>
      <c r="H28" s="139">
        <f>IF(B$27=0,0,G28/B$27)</f>
        <v>0</v>
      </c>
      <c r="I28" s="100">
        <v>1</v>
      </c>
    </row>
    <row r="29" spans="1:9" x14ac:dyDescent="0.4">
      <c r="E29" s="65" t="s">
        <v>93</v>
      </c>
      <c r="F29" s="62" t="s">
        <v>46</v>
      </c>
      <c r="G29" s="49">
        <v>0</v>
      </c>
      <c r="H29" s="139">
        <f>IF(B$27=0,0,G29/B$27)</f>
        <v>0</v>
      </c>
      <c r="I29" s="100">
        <v>1</v>
      </c>
    </row>
    <row r="30" spans="1:9" x14ac:dyDescent="0.4">
      <c r="E30" s="65" t="s">
        <v>95</v>
      </c>
      <c r="F30" s="62" t="s">
        <v>48</v>
      </c>
      <c r="G30" s="49">
        <v>0</v>
      </c>
      <c r="H30" s="139">
        <f>IF(B$27=0,0,G30/B$27)</f>
        <v>0</v>
      </c>
      <c r="I30" s="100">
        <v>1</v>
      </c>
    </row>
    <row r="31" spans="1:9" x14ac:dyDescent="0.4">
      <c r="E31" s="65" t="s">
        <v>96</v>
      </c>
      <c r="F31" s="62" t="s">
        <v>49</v>
      </c>
      <c r="G31" s="49">
        <v>0</v>
      </c>
      <c r="H31" s="139">
        <f>IF(B$27=0,0,G31/B$27)</f>
        <v>0</v>
      </c>
      <c r="I31" s="100">
        <v>1</v>
      </c>
    </row>
    <row r="32" spans="1:9" x14ac:dyDescent="0.4">
      <c r="E32" s="65" t="s">
        <v>97</v>
      </c>
      <c r="F32" s="62" t="s">
        <v>50</v>
      </c>
      <c r="G32" s="49">
        <v>0</v>
      </c>
      <c r="H32" s="139">
        <f>IF(B$27=0,0,G32/B$27)</f>
        <v>0</v>
      </c>
      <c r="I32" s="100">
        <v>1</v>
      </c>
    </row>
    <row r="33" spans="5:9" x14ac:dyDescent="0.4">
      <c r="E33" s="65" t="s">
        <v>98</v>
      </c>
      <c r="F33" s="62" t="s">
        <v>51</v>
      </c>
      <c r="G33" s="49">
        <v>0</v>
      </c>
      <c r="H33" s="139">
        <f>IF(B$27=0,0,G33/B$27)</f>
        <v>0</v>
      </c>
      <c r="I33" s="100">
        <v>1</v>
      </c>
    </row>
    <row r="34" spans="5:9" x14ac:dyDescent="0.4">
      <c r="E34" s="65" t="s">
        <v>99</v>
      </c>
      <c r="F34" s="62" t="s">
        <v>52</v>
      </c>
      <c r="G34" s="49">
        <v>0</v>
      </c>
      <c r="H34" s="139">
        <f>IF(B$27=0,0,G34/B$27)</f>
        <v>0</v>
      </c>
      <c r="I34" s="100">
        <v>1</v>
      </c>
    </row>
    <row r="35" spans="5:9" x14ac:dyDescent="0.4">
      <c r="E35" s="65" t="s">
        <v>100</v>
      </c>
      <c r="F35" s="62" t="s">
        <v>53</v>
      </c>
      <c r="G35" s="49">
        <v>0</v>
      </c>
      <c r="H35" s="139">
        <f>IF(B$27=0,0,G35/B$27)</f>
        <v>0</v>
      </c>
      <c r="I35" s="100">
        <v>1</v>
      </c>
    </row>
    <row r="36" spans="5:9" x14ac:dyDescent="0.4">
      <c r="E36" s="65" t="s">
        <v>101</v>
      </c>
      <c r="F36" s="62" t="s">
        <v>54</v>
      </c>
      <c r="G36" s="49">
        <v>0</v>
      </c>
      <c r="H36" s="139">
        <f>IF(B$27=0,0,G36/B$27)</f>
        <v>0</v>
      </c>
      <c r="I36" s="100">
        <v>1</v>
      </c>
    </row>
    <row r="37" spans="5:9" x14ac:dyDescent="0.4">
      <c r="E37" s="65" t="s">
        <v>102</v>
      </c>
      <c r="F37" s="62" t="s">
        <v>55</v>
      </c>
      <c r="G37" s="49">
        <v>0</v>
      </c>
      <c r="H37" s="139">
        <f>IF(B$27=0,0,G37/B$27)</f>
        <v>0</v>
      </c>
      <c r="I37" s="100">
        <v>1</v>
      </c>
    </row>
    <row r="38" spans="5:9" x14ac:dyDescent="0.4">
      <c r="E38" s="65" t="s">
        <v>103</v>
      </c>
      <c r="F38" s="62" t="s">
        <v>56</v>
      </c>
      <c r="G38" s="49">
        <v>0</v>
      </c>
      <c r="H38" s="139">
        <f>IF(B$27=0,0,G38/B$27)</f>
        <v>0</v>
      </c>
      <c r="I38" s="100">
        <v>1</v>
      </c>
    </row>
    <row r="39" spans="5:9" x14ac:dyDescent="0.4">
      <c r="E39" s="65" t="s">
        <v>104</v>
      </c>
      <c r="F39" s="62" t="s">
        <v>57</v>
      </c>
      <c r="G39" s="49">
        <v>0</v>
      </c>
      <c r="H39" s="139">
        <f>IF(B$27=0,0,G39/B$27)</f>
        <v>0</v>
      </c>
      <c r="I39" s="100">
        <v>1</v>
      </c>
    </row>
    <row r="40" spans="5:9" x14ac:dyDescent="0.4">
      <c r="E40" s="65" t="s">
        <v>105</v>
      </c>
      <c r="F40" s="62" t="s">
        <v>58</v>
      </c>
      <c r="G40" s="49">
        <v>0</v>
      </c>
      <c r="H40" s="139">
        <f>IF(B$27=0,0,G40/B$27)</f>
        <v>0</v>
      </c>
      <c r="I40" s="100">
        <v>1</v>
      </c>
    </row>
    <row r="41" spans="5:9" x14ac:dyDescent="0.4">
      <c r="E41" s="65" t="s">
        <v>106</v>
      </c>
      <c r="F41" s="62" t="s">
        <v>59</v>
      </c>
      <c r="G41" s="49">
        <v>0</v>
      </c>
      <c r="H41" s="139">
        <f>IF(B$27=0,0,G41/B$27)</f>
        <v>0</v>
      </c>
      <c r="I41" s="100">
        <v>1</v>
      </c>
    </row>
    <row r="42" spans="5:9" x14ac:dyDescent="0.4">
      <c r="E42" s="65" t="s">
        <v>107</v>
      </c>
      <c r="F42" s="62" t="s">
        <v>60</v>
      </c>
      <c r="G42" s="49">
        <v>0</v>
      </c>
      <c r="H42" s="139">
        <f>IF(B$27=0,0,G42/B$27)</f>
        <v>0</v>
      </c>
      <c r="I42" s="100">
        <v>1</v>
      </c>
    </row>
    <row r="43" spans="5:9" x14ac:dyDescent="0.4">
      <c r="E43" s="65" t="s">
        <v>108</v>
      </c>
      <c r="F43" s="62" t="s">
        <v>61</v>
      </c>
      <c r="G43" s="49">
        <v>0</v>
      </c>
      <c r="H43" s="139">
        <f>IF(B$27=0,0,G43/B$27)</f>
        <v>0</v>
      </c>
      <c r="I43" s="100">
        <v>1</v>
      </c>
    </row>
    <row r="44" spans="5:9" x14ac:dyDescent="0.4">
      <c r="E44" s="65" t="s">
        <v>109</v>
      </c>
      <c r="F44" s="62" t="s">
        <v>62</v>
      </c>
      <c r="G44" s="49">
        <v>0</v>
      </c>
      <c r="H44" s="139">
        <f>IF(B$27=0,0,G44/B$27)</f>
        <v>0</v>
      </c>
      <c r="I44" s="100">
        <v>1</v>
      </c>
    </row>
    <row r="45" spans="5:9" x14ac:dyDescent="0.4">
      <c r="E45" s="65" t="s">
        <v>110</v>
      </c>
      <c r="F45" s="62" t="s">
        <v>117</v>
      </c>
      <c r="G45" s="49">
        <v>0</v>
      </c>
      <c r="H45" s="139">
        <f>IF(B$27=0,0,G45/B$27)</f>
        <v>0</v>
      </c>
      <c r="I45" s="100">
        <v>1</v>
      </c>
    </row>
    <row r="46" spans="5:9" x14ac:dyDescent="0.4">
      <c r="E46" s="65" t="s">
        <v>111</v>
      </c>
      <c r="F46" s="62" t="s">
        <v>118</v>
      </c>
      <c r="G46" s="49">
        <v>0</v>
      </c>
      <c r="H46" s="139">
        <f>IF(B$27=0,0,G46/B$27)</f>
        <v>0</v>
      </c>
      <c r="I46" s="100">
        <v>1</v>
      </c>
    </row>
    <row r="47" spans="5:9" x14ac:dyDescent="0.4">
      <c r="E47" s="65" t="s">
        <v>112</v>
      </c>
      <c r="F47" s="62" t="s">
        <v>119</v>
      </c>
      <c r="G47" s="49">
        <v>0</v>
      </c>
      <c r="H47" s="139">
        <f>IF(B$27=0,0,G47/B$27)</f>
        <v>0</v>
      </c>
      <c r="I47" s="100">
        <v>1</v>
      </c>
    </row>
    <row r="48" spans="5:9" x14ac:dyDescent="0.4">
      <c r="E48" s="65" t="s">
        <v>113</v>
      </c>
      <c r="F48" s="62" t="s">
        <v>63</v>
      </c>
      <c r="G48" s="49">
        <v>0</v>
      </c>
      <c r="H48" s="139">
        <f>IF(B$27=0,0,G48/B$27)</f>
        <v>0</v>
      </c>
      <c r="I48" s="100">
        <v>1</v>
      </c>
    </row>
    <row r="49" spans="5:9" x14ac:dyDescent="0.4">
      <c r="E49" s="65" t="s">
        <v>114</v>
      </c>
      <c r="F49" s="62" t="s">
        <v>64</v>
      </c>
      <c r="G49" s="49">
        <v>0</v>
      </c>
      <c r="H49" s="139">
        <f>IF(B$27=0,0,G49/B$27)</f>
        <v>0</v>
      </c>
      <c r="I49" s="100">
        <v>1</v>
      </c>
    </row>
    <row r="50" spans="5:9" x14ac:dyDescent="0.4">
      <c r="E50" s="65" t="s">
        <v>115</v>
      </c>
      <c r="F50" s="62" t="s">
        <v>65</v>
      </c>
      <c r="G50" s="49">
        <v>0</v>
      </c>
      <c r="H50" s="139">
        <f>IF(B$27=0,0,G50/B$27)</f>
        <v>0</v>
      </c>
      <c r="I50" s="100">
        <v>1</v>
      </c>
    </row>
    <row r="51" spans="5:9" x14ac:dyDescent="0.4">
      <c r="E51" s="66" t="s">
        <v>116</v>
      </c>
      <c r="F51" s="63" t="s">
        <v>66</v>
      </c>
      <c r="G51" s="51">
        <v>0</v>
      </c>
      <c r="H51" s="140">
        <f>IF(B$27=0,0,G51/B$27)</f>
        <v>0</v>
      </c>
      <c r="I51" s="101">
        <v>1</v>
      </c>
    </row>
  </sheetData>
  <sortState ref="N15:Q16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6991D0-9AB6-4774-B2CF-32E0A7FF0FD6}">
  <sheetPr codeName="Sheet9"/>
  <dimension ref="A1:Q51"/>
  <sheetViews>
    <sheetView showGridLines="0" zoomScale="120" zoomScaleNormal="120" workbookViewId="0"/>
  </sheetViews>
  <sheetFormatPr defaultColWidth="9" defaultRowHeight="18.75" x14ac:dyDescent="0.4"/>
  <cols>
    <col min="1" max="1" width="13" style="35" customWidth="1"/>
    <col min="2" max="3" width="9" style="35" customWidth="1"/>
    <col min="4" max="4" width="3.625" style="35" customWidth="1"/>
    <col min="5" max="5" width="3.625" style="134" bestFit="1" customWidth="1"/>
    <col min="6" max="6" width="11" style="45" bestFit="1" customWidth="1"/>
    <col min="7" max="9" width="9" style="35" customWidth="1"/>
    <col min="10" max="10" width="3.625" style="35" customWidth="1"/>
    <col min="11" max="11" width="3.5" style="40" customWidth="1"/>
    <col min="12" max="12" width="9" style="105" customWidth="1"/>
    <col min="13" max="13" width="3.625" style="35" customWidth="1"/>
    <col min="14" max="14" width="9" style="121" customWidth="1"/>
    <col min="15" max="15" width="9" style="131" customWidth="1"/>
    <col min="16" max="16" width="9" style="125" customWidth="1"/>
    <col min="17" max="17" width="3.625" style="113" customWidth="1"/>
    <col min="18" max="16384" width="9" style="35"/>
  </cols>
  <sheetData>
    <row r="1" spans="1:17" x14ac:dyDescent="0.4">
      <c r="A1" s="55" t="s">
        <v>0</v>
      </c>
      <c r="B1" s="143" t="s">
        <v>178</v>
      </c>
      <c r="C1" s="144"/>
      <c r="E1" s="135" t="s">
        <v>176</v>
      </c>
      <c r="F1" s="142" t="s">
        <v>120</v>
      </c>
      <c r="G1" s="141" t="s">
        <v>121</v>
      </c>
      <c r="H1" s="136" t="s">
        <v>122</v>
      </c>
      <c r="I1" s="142" t="s">
        <v>160</v>
      </c>
      <c r="K1" s="36" t="s">
        <v>20</v>
      </c>
      <c r="L1" s="37" t="s">
        <v>125</v>
      </c>
      <c r="M1" s="137"/>
      <c r="N1" s="119" t="s">
        <v>143</v>
      </c>
      <c r="O1" s="36" t="s">
        <v>144</v>
      </c>
      <c r="P1" s="123" t="s">
        <v>121</v>
      </c>
      <c r="Q1" s="107" t="s">
        <v>164</v>
      </c>
    </row>
    <row r="2" spans="1:17" x14ac:dyDescent="0.4">
      <c r="A2" s="56" t="s">
        <v>9</v>
      </c>
      <c r="B2" s="145">
        <v>3</v>
      </c>
      <c r="C2" s="146"/>
      <c r="E2" s="64" t="s">
        <v>69</v>
      </c>
      <c r="F2" s="61" t="s">
        <v>23</v>
      </c>
      <c r="G2" s="48">
        <v>4</v>
      </c>
      <c r="H2" s="138">
        <f>IF(B$27=0,0,G2/B$27)</f>
        <v>2</v>
      </c>
      <c r="I2" s="99">
        <v>1</v>
      </c>
      <c r="K2" s="38">
        <v>0</v>
      </c>
      <c r="L2" s="104">
        <v>0</v>
      </c>
      <c r="N2" s="120" t="s">
        <v>137</v>
      </c>
      <c r="O2" s="127">
        <f t="shared" ref="O2:O7" si="0">IF(P2=0,0,Q2/P2)</f>
        <v>-2166.6666666666665</v>
      </c>
      <c r="P2" s="124">
        <v>3</v>
      </c>
      <c r="Q2" s="108">
        <v>-6500</v>
      </c>
    </row>
    <row r="3" spans="1:17" x14ac:dyDescent="0.4">
      <c r="A3" s="57" t="s">
        <v>8</v>
      </c>
      <c r="B3" s="147">
        <v>21</v>
      </c>
      <c r="C3" s="148"/>
      <c r="E3" s="65" t="s">
        <v>71</v>
      </c>
      <c r="F3" s="62" t="s">
        <v>25</v>
      </c>
      <c r="G3" s="49">
        <v>2</v>
      </c>
      <c r="H3" s="139">
        <f>IF(B$27=0,0,G3/B$27)</f>
        <v>1</v>
      </c>
      <c r="I3" s="100">
        <v>1</v>
      </c>
      <c r="K3" s="40">
        <v>1</v>
      </c>
      <c r="L3" s="105">
        <v>17.100000000000001</v>
      </c>
      <c r="N3" s="121" t="s">
        <v>138</v>
      </c>
      <c r="O3" s="128">
        <f t="shared" si="0"/>
        <v>-12366.666666666666</v>
      </c>
      <c r="P3" s="125">
        <v>3</v>
      </c>
      <c r="Q3" s="109">
        <v>-37100</v>
      </c>
    </row>
    <row r="4" spans="1:17" x14ac:dyDescent="0.4">
      <c r="A4" s="57" t="s">
        <v>6</v>
      </c>
      <c r="B4" s="149">
        <v>-84.9</v>
      </c>
      <c r="C4" s="150"/>
      <c r="E4" s="65" t="s">
        <v>76</v>
      </c>
      <c r="F4" s="62" t="s">
        <v>29</v>
      </c>
      <c r="G4" s="49">
        <v>1</v>
      </c>
      <c r="H4" s="139">
        <f>IF(B$27=0,0,G4/B$27)</f>
        <v>0.5</v>
      </c>
      <c r="I4" s="100">
        <v>1</v>
      </c>
      <c r="K4" s="40">
        <v>2</v>
      </c>
      <c r="L4" s="105">
        <v>-38.9</v>
      </c>
      <c r="N4" s="121" t="s">
        <v>139</v>
      </c>
      <c r="O4" s="128">
        <f t="shared" si="0"/>
        <v>4350</v>
      </c>
      <c r="P4" s="125">
        <v>2</v>
      </c>
      <c r="Q4" s="109">
        <v>8700</v>
      </c>
    </row>
    <row r="5" spans="1:17" x14ac:dyDescent="0.4">
      <c r="A5" s="57" t="s">
        <v>7</v>
      </c>
      <c r="B5" s="151">
        <f>IF(B$2=0,0,B$4/B$2)</f>
        <v>-28.3</v>
      </c>
      <c r="C5" s="152"/>
      <c r="E5" s="65" t="s">
        <v>88</v>
      </c>
      <c r="F5" s="62" t="s">
        <v>41</v>
      </c>
      <c r="G5" s="49">
        <v>1</v>
      </c>
      <c r="H5" s="139">
        <f>IF(B$27=0,0,G5/B$27)</f>
        <v>0.5</v>
      </c>
      <c r="I5" s="100">
        <v>1</v>
      </c>
      <c r="K5" s="40">
        <v>3</v>
      </c>
      <c r="L5" s="105">
        <v>-84.9</v>
      </c>
      <c r="N5" s="121" t="s">
        <v>140</v>
      </c>
      <c r="O5" s="128">
        <f t="shared" si="0"/>
        <v>-24250</v>
      </c>
      <c r="P5" s="125">
        <v>2</v>
      </c>
      <c r="Q5" s="109">
        <v>-48500</v>
      </c>
    </row>
    <row r="6" spans="1:17" x14ac:dyDescent="0.4">
      <c r="A6" s="57" t="s">
        <v>1</v>
      </c>
      <c r="B6" s="157">
        <f>IF(B$2=0,0,(B$7*1+B$8*2+B$9*3)/B$2)</f>
        <v>2.3333333333333335</v>
      </c>
      <c r="C6" s="158"/>
      <c r="E6" s="65" t="s">
        <v>67</v>
      </c>
      <c r="F6" s="62" t="s">
        <v>21</v>
      </c>
      <c r="G6" s="49">
        <v>0</v>
      </c>
      <c r="H6" s="139">
        <f>IF(B$27=0,0,G6/B$27)</f>
        <v>0</v>
      </c>
      <c r="I6" s="100">
        <v>4</v>
      </c>
      <c r="N6" s="121" t="s">
        <v>141</v>
      </c>
      <c r="O6" s="128">
        <f t="shared" si="0"/>
        <v>3000</v>
      </c>
      <c r="P6" s="125">
        <v>1</v>
      </c>
      <c r="Q6" s="109">
        <v>3000</v>
      </c>
    </row>
    <row r="7" spans="1:17" x14ac:dyDescent="0.4">
      <c r="A7" s="57" t="s">
        <v>2</v>
      </c>
      <c r="B7" s="49">
        <v>1</v>
      </c>
      <c r="C7" s="41">
        <f>IF(B$2=0,0,B7/B$2)</f>
        <v>0.33333333333333331</v>
      </c>
      <c r="E7" s="65" t="s">
        <v>68</v>
      </c>
      <c r="F7" s="62" t="s">
        <v>22</v>
      </c>
      <c r="G7" s="49">
        <v>0</v>
      </c>
      <c r="H7" s="139">
        <f>IF(B$27=0,0,G7/B$27)</f>
        <v>0</v>
      </c>
      <c r="I7" s="100">
        <v>3</v>
      </c>
      <c r="N7" s="122" t="s">
        <v>142</v>
      </c>
      <c r="O7" s="129">
        <f t="shared" si="0"/>
        <v>-4500</v>
      </c>
      <c r="P7" s="126">
        <v>1</v>
      </c>
      <c r="Q7" s="110">
        <v>-4500</v>
      </c>
    </row>
    <row r="8" spans="1:17" x14ac:dyDescent="0.4">
      <c r="A8" s="57" t="s">
        <v>3</v>
      </c>
      <c r="B8" s="49">
        <v>0</v>
      </c>
      <c r="C8" s="41">
        <f>IF(B$2=0,0,B8/B$2)</f>
        <v>0</v>
      </c>
      <c r="E8" s="65" t="s">
        <v>70</v>
      </c>
      <c r="F8" s="62" t="s">
        <v>24</v>
      </c>
      <c r="G8" s="49">
        <v>0</v>
      </c>
      <c r="H8" s="139">
        <f>IF(B$27=0,0,G8/B$27)</f>
        <v>0</v>
      </c>
      <c r="I8" s="100">
        <v>4</v>
      </c>
      <c r="N8" s="45"/>
      <c r="O8" s="133"/>
      <c r="P8" s="117"/>
      <c r="Q8" s="115"/>
    </row>
    <row r="9" spans="1:17" x14ac:dyDescent="0.4">
      <c r="A9" s="58" t="s">
        <v>4</v>
      </c>
      <c r="B9" s="50">
        <v>2</v>
      </c>
      <c r="C9" s="42">
        <f t="shared" ref="C9" si="1">IF(B$2=0,0,B9/B$2)</f>
        <v>0.66666666666666663</v>
      </c>
      <c r="E9" s="65" t="s">
        <v>72</v>
      </c>
      <c r="F9" s="62" t="s">
        <v>12</v>
      </c>
      <c r="G9" s="49">
        <v>0</v>
      </c>
      <c r="H9" s="139">
        <f>IF(B$27=0,0,G9/B$27)</f>
        <v>0</v>
      </c>
      <c r="I9" s="100">
        <v>4</v>
      </c>
      <c r="N9" s="119" t="s">
        <v>172</v>
      </c>
      <c r="O9" s="36" t="s">
        <v>125</v>
      </c>
      <c r="P9" s="123" t="s">
        <v>121</v>
      </c>
      <c r="Q9" s="111" t="s">
        <v>164</v>
      </c>
    </row>
    <row r="10" spans="1:17" x14ac:dyDescent="0.4">
      <c r="A10" s="58" t="s">
        <v>19</v>
      </c>
      <c r="B10" s="50">
        <v>2</v>
      </c>
      <c r="C10" s="42">
        <f>IF(B$2=0,0,B10/B$2)</f>
        <v>0.66666666666666663</v>
      </c>
      <c r="E10" s="65" t="s">
        <v>73</v>
      </c>
      <c r="F10" s="62" t="s">
        <v>26</v>
      </c>
      <c r="G10" s="49">
        <v>0</v>
      </c>
      <c r="H10" s="139">
        <f>IF(B$27=0,0,G10/B$27)</f>
        <v>0</v>
      </c>
      <c r="I10" s="100">
        <v>4</v>
      </c>
      <c r="N10" s="120" t="s">
        <v>173</v>
      </c>
      <c r="O10" s="130">
        <f>IF(P10=0,0,Q10/P10)</f>
        <v>0</v>
      </c>
      <c r="P10" s="124">
        <v>0</v>
      </c>
      <c r="Q10" s="112">
        <v>0</v>
      </c>
    </row>
    <row r="11" spans="1:17" x14ac:dyDescent="0.4">
      <c r="A11" s="58" t="s">
        <v>145</v>
      </c>
      <c r="B11" s="50">
        <v>0</v>
      </c>
      <c r="C11" s="42">
        <f>IF(B$2=0,0,B11/B$2)</f>
        <v>0</v>
      </c>
      <c r="E11" s="65" t="s">
        <v>74</v>
      </c>
      <c r="F11" s="62" t="s">
        <v>27</v>
      </c>
      <c r="G11" s="49">
        <v>0</v>
      </c>
      <c r="H11" s="139">
        <f>IF(B$27=0,0,G11/B$27)</f>
        <v>0</v>
      </c>
      <c r="I11" s="100">
        <v>4</v>
      </c>
      <c r="N11" s="121" t="s">
        <v>174</v>
      </c>
      <c r="O11" s="131">
        <f>IF(P11=0,0,Q11/P11)</f>
        <v>-19.45</v>
      </c>
      <c r="P11" s="125">
        <v>2</v>
      </c>
      <c r="Q11" s="113">
        <v>-38.9</v>
      </c>
    </row>
    <row r="12" spans="1:17" x14ac:dyDescent="0.4">
      <c r="A12" s="59" t="s">
        <v>166</v>
      </c>
      <c r="B12" s="51">
        <v>0</v>
      </c>
      <c r="C12" s="44">
        <f>IF(B$2=0,0,B12/B$2)</f>
        <v>0</v>
      </c>
      <c r="E12" s="65" t="s">
        <v>75</v>
      </c>
      <c r="F12" s="62" t="s">
        <v>28</v>
      </c>
      <c r="G12" s="49">
        <v>0</v>
      </c>
      <c r="H12" s="139">
        <f>IF(B$27=0,0,G12/B$27)</f>
        <v>0</v>
      </c>
      <c r="I12" s="100">
        <v>3</v>
      </c>
      <c r="N12" s="122" t="s">
        <v>175</v>
      </c>
      <c r="O12" s="132">
        <f>IF(P12=0,0,Q12/P12)</f>
        <v>-46</v>
      </c>
      <c r="P12" s="126">
        <v>1</v>
      </c>
      <c r="Q12" s="114">
        <v>-46</v>
      </c>
    </row>
    <row r="13" spans="1:17" x14ac:dyDescent="0.4">
      <c r="A13" s="60" t="s">
        <v>128</v>
      </c>
      <c r="B13" s="52">
        <v>1</v>
      </c>
      <c r="C13" s="46">
        <f>IF(B$26=0,0,B13/B$26)</f>
        <v>4.7619047619047616E-2</v>
      </c>
      <c r="E13" s="65" t="s">
        <v>77</v>
      </c>
      <c r="F13" s="62" t="s">
        <v>30</v>
      </c>
      <c r="G13" s="49">
        <v>0</v>
      </c>
      <c r="H13" s="139">
        <f>IF(B$27=0,0,G13/B$27)</f>
        <v>0</v>
      </c>
      <c r="I13" s="100">
        <v>1</v>
      </c>
      <c r="N13" s="35"/>
      <c r="O13" s="116"/>
      <c r="P13" s="118"/>
      <c r="Q13" s="116"/>
    </row>
    <row r="14" spans="1:17" x14ac:dyDescent="0.4">
      <c r="A14" s="57" t="s">
        <v>123</v>
      </c>
      <c r="B14" s="49">
        <v>9</v>
      </c>
      <c r="C14" s="41">
        <f>IF(B$26=0,0,B14/B$26)</f>
        <v>0.42857142857142855</v>
      </c>
      <c r="E14" s="65" t="s">
        <v>78</v>
      </c>
      <c r="F14" s="62" t="s">
        <v>31</v>
      </c>
      <c r="G14" s="49">
        <v>0</v>
      </c>
      <c r="H14" s="139">
        <f>IF(B$27=0,0,G14/B$27)</f>
        <v>0</v>
      </c>
      <c r="I14" s="100">
        <v>1</v>
      </c>
      <c r="N14" s="119" t="s">
        <v>161</v>
      </c>
      <c r="O14" s="36" t="s">
        <v>125</v>
      </c>
      <c r="P14" s="123" t="s">
        <v>121</v>
      </c>
      <c r="Q14" s="111" t="s">
        <v>164</v>
      </c>
    </row>
    <row r="15" spans="1:17" x14ac:dyDescent="0.4">
      <c r="A15" s="56" t="s">
        <v>130</v>
      </c>
      <c r="B15" s="48">
        <v>0</v>
      </c>
      <c r="C15" s="39">
        <f>IF(B$13=0,0,B15/B$13)</f>
        <v>0</v>
      </c>
      <c r="E15" s="65" t="s">
        <v>79</v>
      </c>
      <c r="F15" s="62" t="s">
        <v>32</v>
      </c>
      <c r="G15" s="49">
        <v>0</v>
      </c>
      <c r="H15" s="139">
        <f>IF(B$27=0,0,G15/B$27)</f>
        <v>0</v>
      </c>
      <c r="I15" s="100">
        <v>1</v>
      </c>
      <c r="N15" s="120" t="s">
        <v>179</v>
      </c>
      <c r="O15" s="130">
        <f>IF(P15=0,0,Q15/P15)</f>
        <v>-21.3</v>
      </c>
      <c r="P15" s="124">
        <v>3</v>
      </c>
      <c r="Q15" s="112">
        <v>-63.9</v>
      </c>
    </row>
    <row r="16" spans="1:17" x14ac:dyDescent="0.4">
      <c r="A16" s="56" t="s">
        <v>131</v>
      </c>
      <c r="B16" s="48">
        <v>2</v>
      </c>
      <c r="C16" s="39">
        <f>IF(B$14=0,0,B16/B$14)</f>
        <v>0.22222222222222221</v>
      </c>
      <c r="E16" s="65" t="s">
        <v>80</v>
      </c>
      <c r="F16" s="62" t="s">
        <v>33</v>
      </c>
      <c r="G16" s="49">
        <v>0</v>
      </c>
      <c r="H16" s="139">
        <f>IF(B$27=0,0,G16/B$27)</f>
        <v>0</v>
      </c>
      <c r="I16" s="100">
        <v>1</v>
      </c>
      <c r="N16" s="121" t="s">
        <v>133</v>
      </c>
      <c r="O16" s="131">
        <f>IF(P16=0,0,Q16/P16)</f>
        <v>-63.6</v>
      </c>
      <c r="P16" s="125">
        <v>3</v>
      </c>
      <c r="Q16" s="113">
        <v>-190.8</v>
      </c>
    </row>
    <row r="17" spans="1:9" x14ac:dyDescent="0.4">
      <c r="A17" s="56" t="s">
        <v>10</v>
      </c>
      <c r="B17" s="48">
        <f>B19+B18</f>
        <v>2</v>
      </c>
      <c r="C17" s="39">
        <f>IF(B$3=0,0,B17/B$3)</f>
        <v>9.5238095238095233E-2</v>
      </c>
      <c r="E17" s="65" t="s">
        <v>81</v>
      </c>
      <c r="F17" s="62" t="s">
        <v>34</v>
      </c>
      <c r="G17" s="49">
        <v>0</v>
      </c>
      <c r="H17" s="139">
        <f>IF(B$27=0,0,G17/B$27)</f>
        <v>0</v>
      </c>
      <c r="I17" s="100">
        <v>3</v>
      </c>
    </row>
    <row r="18" spans="1:9" x14ac:dyDescent="0.4">
      <c r="A18" s="57" t="s">
        <v>12</v>
      </c>
      <c r="B18" s="49">
        <v>0</v>
      </c>
      <c r="C18" s="41">
        <f>IF(B$17=0,0,B18/B$17)</f>
        <v>0</v>
      </c>
      <c r="E18" s="65" t="s">
        <v>82</v>
      </c>
      <c r="F18" s="62" t="s">
        <v>35</v>
      </c>
      <c r="G18" s="49">
        <v>0</v>
      </c>
      <c r="H18" s="139">
        <f>IF(B$27=0,0,G18/B$27)</f>
        <v>0</v>
      </c>
      <c r="I18" s="100">
        <v>1</v>
      </c>
    </row>
    <row r="19" spans="1:9" x14ac:dyDescent="0.4">
      <c r="A19" s="57" t="s">
        <v>11</v>
      </c>
      <c r="B19" s="49">
        <v>2</v>
      </c>
      <c r="C19" s="41">
        <f>IF(B$17=0,0,B19/B$17)</f>
        <v>1</v>
      </c>
      <c r="E19" s="65" t="s">
        <v>83</v>
      </c>
      <c r="F19" s="62" t="s">
        <v>36</v>
      </c>
      <c r="G19" s="49">
        <v>0</v>
      </c>
      <c r="H19" s="139">
        <f>IF(B$27=0,0,G19/B$27)</f>
        <v>0</v>
      </c>
      <c r="I19" s="100">
        <v>1</v>
      </c>
    </row>
    <row r="20" spans="1:9" x14ac:dyDescent="0.4">
      <c r="A20" s="57" t="s">
        <v>13</v>
      </c>
      <c r="B20" s="49">
        <v>6</v>
      </c>
      <c r="C20" s="41">
        <f>IF(B$3=0,0,B20/B$3)</f>
        <v>0.2857142857142857</v>
      </c>
      <c r="E20" s="65" t="s">
        <v>84</v>
      </c>
      <c r="F20" s="62" t="s">
        <v>37</v>
      </c>
      <c r="G20" s="49">
        <v>0</v>
      </c>
      <c r="H20" s="139">
        <f>IF(B$27=0,0,G20/B$27)</f>
        <v>0</v>
      </c>
      <c r="I20" s="100">
        <v>1</v>
      </c>
    </row>
    <row r="21" spans="1:9" x14ac:dyDescent="0.4">
      <c r="A21" s="57" t="s">
        <v>5</v>
      </c>
      <c r="B21" s="53">
        <f>IF(B$17=0,0,C21/B$17)</f>
        <v>9850</v>
      </c>
      <c r="C21" s="43">
        <v>19700</v>
      </c>
      <c r="E21" s="65" t="s">
        <v>85</v>
      </c>
      <c r="F21" s="62" t="s">
        <v>38</v>
      </c>
      <c r="G21" s="49">
        <v>0</v>
      </c>
      <c r="H21" s="139">
        <f>IF(B$27=0,0,G21/B$27)</f>
        <v>0</v>
      </c>
      <c r="I21" s="100">
        <v>1</v>
      </c>
    </row>
    <row r="22" spans="1:9" x14ac:dyDescent="0.4">
      <c r="A22" s="59" t="s">
        <v>14</v>
      </c>
      <c r="B22" s="54">
        <f>IF(B$20=0,0,C22/B$20)</f>
        <v>-11266.666666666666</v>
      </c>
      <c r="C22" s="47">
        <v>-67600</v>
      </c>
      <c r="E22" s="65" t="s">
        <v>86</v>
      </c>
      <c r="F22" s="62" t="s">
        <v>39</v>
      </c>
      <c r="G22" s="49">
        <v>0</v>
      </c>
      <c r="H22" s="139">
        <f>IF(B$27=0,0,G22/B$27)</f>
        <v>0</v>
      </c>
      <c r="I22" s="100">
        <v>1</v>
      </c>
    </row>
    <row r="23" spans="1:9" x14ac:dyDescent="0.4">
      <c r="A23" s="96" t="s">
        <v>147</v>
      </c>
      <c r="B23" s="155">
        <v>4</v>
      </c>
      <c r="C23" s="156"/>
      <c r="E23" s="65" t="s">
        <v>87</v>
      </c>
      <c r="F23" s="62" t="s">
        <v>40</v>
      </c>
      <c r="G23" s="49">
        <v>0</v>
      </c>
      <c r="H23" s="139">
        <f>IF(B$27=0,0,G23/B$27)</f>
        <v>0</v>
      </c>
      <c r="I23" s="100">
        <v>1</v>
      </c>
    </row>
    <row r="24" spans="1:9" x14ac:dyDescent="0.4">
      <c r="A24" s="60" t="s">
        <v>158</v>
      </c>
      <c r="B24" s="153">
        <v>52100</v>
      </c>
      <c r="C24" s="154"/>
      <c r="E24" s="65" t="s">
        <v>89</v>
      </c>
      <c r="F24" s="62" t="s">
        <v>42</v>
      </c>
      <c r="G24" s="49">
        <v>0</v>
      </c>
      <c r="H24" s="139">
        <f>IF(B$27=0,0,G24/B$27)</f>
        <v>0</v>
      </c>
      <c r="I24" s="100">
        <v>1</v>
      </c>
    </row>
    <row r="25" spans="1:9" x14ac:dyDescent="0.4">
      <c r="A25" s="59" t="s">
        <v>148</v>
      </c>
      <c r="B25" s="67">
        <v>0</v>
      </c>
      <c r="C25" s="44">
        <f>IF(B$3=0,0,B25/B$3)</f>
        <v>0</v>
      </c>
      <c r="E25" s="65" t="s">
        <v>90</v>
      </c>
      <c r="F25" s="62" t="s">
        <v>43</v>
      </c>
      <c r="G25" s="49">
        <v>0</v>
      </c>
      <c r="H25" s="139">
        <f>IF(B$27=0,0,G25/B$27)</f>
        <v>0</v>
      </c>
      <c r="I25" s="100">
        <v>1</v>
      </c>
    </row>
    <row r="26" spans="1:9" x14ac:dyDescent="0.4">
      <c r="A26" s="56" t="s">
        <v>126</v>
      </c>
      <c r="B26" s="145">
        <v>21</v>
      </c>
      <c r="C26" s="146"/>
      <c r="E26" s="65" t="s">
        <v>91</v>
      </c>
      <c r="F26" s="62" t="s">
        <v>44</v>
      </c>
      <c r="G26" s="49">
        <v>0</v>
      </c>
      <c r="H26" s="139">
        <f>IF(B$27=0,0,G26/B$27)</f>
        <v>0</v>
      </c>
      <c r="I26" s="100">
        <v>3</v>
      </c>
    </row>
    <row r="27" spans="1:9" x14ac:dyDescent="0.4">
      <c r="A27" s="59" t="s">
        <v>127</v>
      </c>
      <c r="B27" s="159">
        <v>2</v>
      </c>
      <c r="C27" s="160"/>
      <c r="E27" s="65" t="s">
        <v>92</v>
      </c>
      <c r="F27" s="62" t="s">
        <v>45</v>
      </c>
      <c r="G27" s="49">
        <v>0</v>
      </c>
      <c r="H27" s="139">
        <f>IF(B$27=0,0,G27/B$27)</f>
        <v>0</v>
      </c>
      <c r="I27" s="100">
        <v>1</v>
      </c>
    </row>
    <row r="28" spans="1:9" x14ac:dyDescent="0.4">
      <c r="E28" s="65" t="s">
        <v>93</v>
      </c>
      <c r="F28" s="62" t="s">
        <v>46</v>
      </c>
      <c r="G28" s="49">
        <v>0</v>
      </c>
      <c r="H28" s="139">
        <f>IF(B$27=0,0,G28/B$27)</f>
        <v>0</v>
      </c>
      <c r="I28" s="100">
        <v>1</v>
      </c>
    </row>
    <row r="29" spans="1:9" x14ac:dyDescent="0.4">
      <c r="E29" s="65" t="s">
        <v>94</v>
      </c>
      <c r="F29" s="62" t="s">
        <v>47</v>
      </c>
      <c r="G29" s="49">
        <v>0</v>
      </c>
      <c r="H29" s="139">
        <f>IF(B$27=0,0,G29/B$27)</f>
        <v>0</v>
      </c>
      <c r="I29" s="100">
        <v>3</v>
      </c>
    </row>
    <row r="30" spans="1:9" x14ac:dyDescent="0.4">
      <c r="E30" s="65" t="s">
        <v>95</v>
      </c>
      <c r="F30" s="62" t="s">
        <v>48</v>
      </c>
      <c r="G30" s="49">
        <v>0</v>
      </c>
      <c r="H30" s="139">
        <f>IF(B$27=0,0,G30/B$27)</f>
        <v>0</v>
      </c>
      <c r="I30" s="100">
        <v>1</v>
      </c>
    </row>
    <row r="31" spans="1:9" x14ac:dyDescent="0.4">
      <c r="E31" s="65" t="s">
        <v>96</v>
      </c>
      <c r="F31" s="62" t="s">
        <v>49</v>
      </c>
      <c r="G31" s="49">
        <v>0</v>
      </c>
      <c r="H31" s="139">
        <f>IF(B$27=0,0,G31/B$27)</f>
        <v>0</v>
      </c>
      <c r="I31" s="100">
        <v>1</v>
      </c>
    </row>
    <row r="32" spans="1:9" x14ac:dyDescent="0.4">
      <c r="E32" s="65" t="s">
        <v>97</v>
      </c>
      <c r="F32" s="62" t="s">
        <v>50</v>
      </c>
      <c r="G32" s="49">
        <v>0</v>
      </c>
      <c r="H32" s="139">
        <f>IF(B$27=0,0,G32/B$27)</f>
        <v>0</v>
      </c>
      <c r="I32" s="100">
        <v>1</v>
      </c>
    </row>
    <row r="33" spans="5:9" x14ac:dyDescent="0.4">
      <c r="E33" s="65" t="s">
        <v>98</v>
      </c>
      <c r="F33" s="62" t="s">
        <v>51</v>
      </c>
      <c r="G33" s="49">
        <v>0</v>
      </c>
      <c r="H33" s="139">
        <f>IF(B$27=0,0,G33/B$27)</f>
        <v>0</v>
      </c>
      <c r="I33" s="100">
        <v>1</v>
      </c>
    </row>
    <row r="34" spans="5:9" x14ac:dyDescent="0.4">
      <c r="E34" s="65" t="s">
        <v>99</v>
      </c>
      <c r="F34" s="62" t="s">
        <v>52</v>
      </c>
      <c r="G34" s="49">
        <v>0</v>
      </c>
      <c r="H34" s="139">
        <f>IF(B$27=0,0,G34/B$27)</f>
        <v>0</v>
      </c>
      <c r="I34" s="100">
        <v>1</v>
      </c>
    </row>
    <row r="35" spans="5:9" x14ac:dyDescent="0.4">
      <c r="E35" s="65" t="s">
        <v>100</v>
      </c>
      <c r="F35" s="62" t="s">
        <v>53</v>
      </c>
      <c r="G35" s="49">
        <v>0</v>
      </c>
      <c r="H35" s="139">
        <f>IF(B$27=0,0,G35/B$27)</f>
        <v>0</v>
      </c>
      <c r="I35" s="100">
        <v>1</v>
      </c>
    </row>
    <row r="36" spans="5:9" x14ac:dyDescent="0.4">
      <c r="E36" s="65" t="s">
        <v>101</v>
      </c>
      <c r="F36" s="62" t="s">
        <v>54</v>
      </c>
      <c r="G36" s="49">
        <v>0</v>
      </c>
      <c r="H36" s="139">
        <f>IF(B$27=0,0,G36/B$27)</f>
        <v>0</v>
      </c>
      <c r="I36" s="100">
        <v>1</v>
      </c>
    </row>
    <row r="37" spans="5:9" x14ac:dyDescent="0.4">
      <c r="E37" s="65" t="s">
        <v>102</v>
      </c>
      <c r="F37" s="62" t="s">
        <v>55</v>
      </c>
      <c r="G37" s="49">
        <v>0</v>
      </c>
      <c r="H37" s="139">
        <f>IF(B$27=0,0,G37/B$27)</f>
        <v>0</v>
      </c>
      <c r="I37" s="100">
        <v>1</v>
      </c>
    </row>
    <row r="38" spans="5:9" x14ac:dyDescent="0.4">
      <c r="E38" s="65" t="s">
        <v>103</v>
      </c>
      <c r="F38" s="62" t="s">
        <v>56</v>
      </c>
      <c r="G38" s="49">
        <v>0</v>
      </c>
      <c r="H38" s="139">
        <f>IF(B$27=0,0,G38/B$27)</f>
        <v>0</v>
      </c>
      <c r="I38" s="100">
        <v>1</v>
      </c>
    </row>
    <row r="39" spans="5:9" x14ac:dyDescent="0.4">
      <c r="E39" s="65" t="s">
        <v>104</v>
      </c>
      <c r="F39" s="62" t="s">
        <v>57</v>
      </c>
      <c r="G39" s="49">
        <v>0</v>
      </c>
      <c r="H39" s="139">
        <f>IF(B$27=0,0,G39/B$27)</f>
        <v>0</v>
      </c>
      <c r="I39" s="100">
        <v>1</v>
      </c>
    </row>
    <row r="40" spans="5:9" x14ac:dyDescent="0.4">
      <c r="E40" s="65" t="s">
        <v>105</v>
      </c>
      <c r="F40" s="62" t="s">
        <v>58</v>
      </c>
      <c r="G40" s="49">
        <v>0</v>
      </c>
      <c r="H40" s="139">
        <f>IF(B$27=0,0,G40/B$27)</f>
        <v>0</v>
      </c>
      <c r="I40" s="100">
        <v>1</v>
      </c>
    </row>
    <row r="41" spans="5:9" x14ac:dyDescent="0.4">
      <c r="E41" s="65" t="s">
        <v>106</v>
      </c>
      <c r="F41" s="62" t="s">
        <v>59</v>
      </c>
      <c r="G41" s="49">
        <v>0</v>
      </c>
      <c r="H41" s="139">
        <f>IF(B$27=0,0,G41/B$27)</f>
        <v>0</v>
      </c>
      <c r="I41" s="100">
        <v>1</v>
      </c>
    </row>
    <row r="42" spans="5:9" x14ac:dyDescent="0.4">
      <c r="E42" s="65" t="s">
        <v>107</v>
      </c>
      <c r="F42" s="62" t="s">
        <v>60</v>
      </c>
      <c r="G42" s="49">
        <v>0</v>
      </c>
      <c r="H42" s="139">
        <f>IF(B$27=0,0,G42/B$27)</f>
        <v>0</v>
      </c>
      <c r="I42" s="100">
        <v>1</v>
      </c>
    </row>
    <row r="43" spans="5:9" x14ac:dyDescent="0.4">
      <c r="E43" s="65" t="s">
        <v>108</v>
      </c>
      <c r="F43" s="62" t="s">
        <v>61</v>
      </c>
      <c r="G43" s="49">
        <v>0</v>
      </c>
      <c r="H43" s="139">
        <f>IF(B$27=0,0,G43/B$27)</f>
        <v>0</v>
      </c>
      <c r="I43" s="100">
        <v>1</v>
      </c>
    </row>
    <row r="44" spans="5:9" x14ac:dyDescent="0.4">
      <c r="E44" s="65" t="s">
        <v>109</v>
      </c>
      <c r="F44" s="62" t="s">
        <v>62</v>
      </c>
      <c r="G44" s="49">
        <v>0</v>
      </c>
      <c r="H44" s="139">
        <f>IF(B$27=0,0,G44/B$27)</f>
        <v>0</v>
      </c>
      <c r="I44" s="100">
        <v>1</v>
      </c>
    </row>
    <row r="45" spans="5:9" x14ac:dyDescent="0.4">
      <c r="E45" s="65" t="s">
        <v>110</v>
      </c>
      <c r="F45" s="62" t="s">
        <v>117</v>
      </c>
      <c r="G45" s="49">
        <v>0</v>
      </c>
      <c r="H45" s="139">
        <f>IF(B$27=0,0,G45/B$27)</f>
        <v>0</v>
      </c>
      <c r="I45" s="100">
        <v>1</v>
      </c>
    </row>
    <row r="46" spans="5:9" x14ac:dyDescent="0.4">
      <c r="E46" s="65" t="s">
        <v>111</v>
      </c>
      <c r="F46" s="62" t="s">
        <v>118</v>
      </c>
      <c r="G46" s="49">
        <v>0</v>
      </c>
      <c r="H46" s="139">
        <f>IF(B$27=0,0,G46/B$27)</f>
        <v>0</v>
      </c>
      <c r="I46" s="100">
        <v>1</v>
      </c>
    </row>
    <row r="47" spans="5:9" x14ac:dyDescent="0.4">
      <c r="E47" s="65" t="s">
        <v>112</v>
      </c>
      <c r="F47" s="62" t="s">
        <v>119</v>
      </c>
      <c r="G47" s="49">
        <v>0</v>
      </c>
      <c r="H47" s="139">
        <f>IF(B$27=0,0,G47/B$27)</f>
        <v>0</v>
      </c>
      <c r="I47" s="100">
        <v>1</v>
      </c>
    </row>
    <row r="48" spans="5:9" x14ac:dyDescent="0.4">
      <c r="E48" s="65" t="s">
        <v>113</v>
      </c>
      <c r="F48" s="62" t="s">
        <v>63</v>
      </c>
      <c r="G48" s="49">
        <v>0</v>
      </c>
      <c r="H48" s="139">
        <f>IF(B$27=0,0,G48/B$27)</f>
        <v>0</v>
      </c>
      <c r="I48" s="100">
        <v>1</v>
      </c>
    </row>
    <row r="49" spans="5:9" x14ac:dyDescent="0.4">
      <c r="E49" s="65" t="s">
        <v>114</v>
      </c>
      <c r="F49" s="62" t="s">
        <v>64</v>
      </c>
      <c r="G49" s="49">
        <v>0</v>
      </c>
      <c r="H49" s="139">
        <f>IF(B$27=0,0,G49/B$27)</f>
        <v>0</v>
      </c>
      <c r="I49" s="100">
        <v>1</v>
      </c>
    </row>
    <row r="50" spans="5:9" x14ac:dyDescent="0.4">
      <c r="E50" s="65" t="s">
        <v>115</v>
      </c>
      <c r="F50" s="62" t="s">
        <v>65</v>
      </c>
      <c r="G50" s="49">
        <v>0</v>
      </c>
      <c r="H50" s="139">
        <f>IF(B$27=0,0,G50/B$27)</f>
        <v>0</v>
      </c>
      <c r="I50" s="100">
        <v>1</v>
      </c>
    </row>
    <row r="51" spans="5:9" x14ac:dyDescent="0.4">
      <c r="E51" s="66" t="s">
        <v>116</v>
      </c>
      <c r="F51" s="63" t="s">
        <v>66</v>
      </c>
      <c r="G51" s="51">
        <v>0</v>
      </c>
      <c r="H51" s="140">
        <f>IF(B$27=0,0,G51/B$27)</f>
        <v>0</v>
      </c>
      <c r="I51" s="101">
        <v>1</v>
      </c>
    </row>
  </sheetData>
  <sortState ref="N15:Q16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C12EF2-42A7-409D-8FED-1025123E65F8}">
  <sheetPr codeName="Sheet11"/>
  <dimension ref="A1:Q51"/>
  <sheetViews>
    <sheetView showGridLines="0" zoomScale="120" zoomScaleNormal="120" workbookViewId="0"/>
  </sheetViews>
  <sheetFormatPr defaultColWidth="9" defaultRowHeight="18.75" x14ac:dyDescent="0.4"/>
  <cols>
    <col min="1" max="1" width="13" style="35" customWidth="1"/>
    <col min="2" max="3" width="9" style="35" customWidth="1"/>
    <col min="4" max="4" width="3.625" style="35" customWidth="1"/>
    <col min="5" max="5" width="3.625" style="134" bestFit="1" customWidth="1"/>
    <col min="6" max="6" width="11" style="45" bestFit="1" customWidth="1"/>
    <col min="7" max="9" width="9" style="35" customWidth="1"/>
    <col min="10" max="10" width="3.625" style="35" customWidth="1"/>
    <col min="11" max="11" width="3.5" style="40" customWidth="1"/>
    <col min="12" max="12" width="9" style="105" customWidth="1"/>
    <col min="13" max="13" width="3.625" style="35" customWidth="1"/>
    <col min="14" max="14" width="9" style="121" customWidth="1"/>
    <col min="15" max="15" width="9" style="131" customWidth="1"/>
    <col min="16" max="16" width="9" style="125" customWidth="1"/>
    <col min="17" max="17" width="3.625" style="113" customWidth="1"/>
    <col min="18" max="16384" width="9" style="35"/>
  </cols>
  <sheetData>
    <row r="1" spans="1:17" x14ac:dyDescent="0.4">
      <c r="A1" s="55" t="s">
        <v>0</v>
      </c>
      <c r="B1" s="143" t="s">
        <v>179</v>
      </c>
      <c r="C1" s="144"/>
      <c r="E1" s="135" t="s">
        <v>176</v>
      </c>
      <c r="F1" s="142" t="s">
        <v>120</v>
      </c>
      <c r="G1" s="141" t="s">
        <v>121</v>
      </c>
      <c r="H1" s="136" t="s">
        <v>122</v>
      </c>
      <c r="I1" s="142" t="s">
        <v>160</v>
      </c>
      <c r="K1" s="36" t="s">
        <v>20</v>
      </c>
      <c r="L1" s="37" t="s">
        <v>125</v>
      </c>
      <c r="M1" s="137"/>
      <c r="N1" s="119" t="s">
        <v>143</v>
      </c>
      <c r="O1" s="36" t="s">
        <v>144</v>
      </c>
      <c r="P1" s="123" t="s">
        <v>121</v>
      </c>
      <c r="Q1" s="107" t="s">
        <v>164</v>
      </c>
    </row>
    <row r="2" spans="1:17" x14ac:dyDescent="0.4">
      <c r="A2" s="56" t="s">
        <v>9</v>
      </c>
      <c r="B2" s="145">
        <v>3</v>
      </c>
      <c r="C2" s="146"/>
      <c r="E2" s="64" t="s">
        <v>67</v>
      </c>
      <c r="F2" s="61" t="s">
        <v>21</v>
      </c>
      <c r="G2" s="48">
        <v>4</v>
      </c>
      <c r="H2" s="138">
        <f>IF(B$27=0,0,G2/B$27)</f>
        <v>0.8</v>
      </c>
      <c r="I2" s="99">
        <v>1</v>
      </c>
      <c r="K2" s="38">
        <v>0</v>
      </c>
      <c r="L2" s="104">
        <v>0</v>
      </c>
      <c r="N2" s="120" t="s">
        <v>137</v>
      </c>
      <c r="O2" s="127">
        <f t="shared" ref="O2:O7" si="0">IF(P2=0,0,Q2/P2)</f>
        <v>2333.3333333333335</v>
      </c>
      <c r="P2" s="124">
        <v>3</v>
      </c>
      <c r="Q2" s="108">
        <v>7000</v>
      </c>
    </row>
    <row r="3" spans="1:17" x14ac:dyDescent="0.4">
      <c r="A3" s="57" t="s">
        <v>8</v>
      </c>
      <c r="B3" s="147">
        <v>21</v>
      </c>
      <c r="C3" s="148"/>
      <c r="E3" s="65" t="s">
        <v>71</v>
      </c>
      <c r="F3" s="62" t="s">
        <v>25</v>
      </c>
      <c r="G3" s="49">
        <v>3</v>
      </c>
      <c r="H3" s="139">
        <f>IF(B$27=0,0,G3/B$27)</f>
        <v>0.6</v>
      </c>
      <c r="I3" s="100">
        <v>4</v>
      </c>
      <c r="K3" s="40">
        <v>1</v>
      </c>
      <c r="L3" s="105">
        <v>-3</v>
      </c>
      <c r="N3" s="121" t="s">
        <v>138</v>
      </c>
      <c r="O3" s="128">
        <f t="shared" si="0"/>
        <v>3333.3333333333335</v>
      </c>
      <c r="P3" s="125">
        <v>3</v>
      </c>
      <c r="Q3" s="109">
        <v>10000</v>
      </c>
    </row>
    <row r="4" spans="1:17" x14ac:dyDescent="0.4">
      <c r="A4" s="57" t="s">
        <v>6</v>
      </c>
      <c r="B4" s="149">
        <v>-21</v>
      </c>
      <c r="C4" s="150"/>
      <c r="E4" s="65" t="s">
        <v>72</v>
      </c>
      <c r="F4" s="62" t="s">
        <v>12</v>
      </c>
      <c r="G4" s="49">
        <v>3</v>
      </c>
      <c r="H4" s="139">
        <f>IF(B$27=0,0,G4/B$27)</f>
        <v>0.6</v>
      </c>
      <c r="I4" s="100">
        <v>1</v>
      </c>
      <c r="K4" s="40">
        <v>2</v>
      </c>
      <c r="L4" s="105">
        <v>-22</v>
      </c>
      <c r="N4" s="121" t="s">
        <v>139</v>
      </c>
      <c r="O4" s="128">
        <f t="shared" si="0"/>
        <v>-6000</v>
      </c>
      <c r="P4" s="125">
        <v>2</v>
      </c>
      <c r="Q4" s="109">
        <v>-12000</v>
      </c>
    </row>
    <row r="5" spans="1:17" x14ac:dyDescent="0.4">
      <c r="A5" s="57" t="s">
        <v>7</v>
      </c>
      <c r="B5" s="151">
        <f>IF(B$2=0,0,B$4/B$2)</f>
        <v>-7</v>
      </c>
      <c r="C5" s="152"/>
      <c r="E5" s="65" t="s">
        <v>70</v>
      </c>
      <c r="F5" s="62" t="s">
        <v>24</v>
      </c>
      <c r="G5" s="49">
        <v>2</v>
      </c>
      <c r="H5" s="139">
        <f>IF(B$27=0,0,G5/B$27)</f>
        <v>0.4</v>
      </c>
      <c r="I5" s="100">
        <v>2</v>
      </c>
      <c r="K5" s="40">
        <v>3</v>
      </c>
      <c r="L5" s="105">
        <v>-21</v>
      </c>
      <c r="N5" s="121" t="s">
        <v>140</v>
      </c>
      <c r="O5" s="128">
        <f t="shared" si="0"/>
        <v>-9500</v>
      </c>
      <c r="P5" s="125">
        <v>2</v>
      </c>
      <c r="Q5" s="109">
        <v>-19000</v>
      </c>
    </row>
    <row r="6" spans="1:17" x14ac:dyDescent="0.4">
      <c r="A6" s="57" t="s">
        <v>1</v>
      </c>
      <c r="B6" s="157">
        <f>IF(B$2=0,0,(B$7*1+B$8*2+B$9*3)/B$2)</f>
        <v>2</v>
      </c>
      <c r="C6" s="158"/>
      <c r="E6" s="65" t="s">
        <v>76</v>
      </c>
      <c r="F6" s="62" t="s">
        <v>29</v>
      </c>
      <c r="G6" s="49">
        <v>2</v>
      </c>
      <c r="H6" s="139">
        <f>IF(B$27=0,0,G6/B$27)</f>
        <v>0.4</v>
      </c>
      <c r="I6" s="100">
        <v>4</v>
      </c>
      <c r="N6" s="121" t="s">
        <v>141</v>
      </c>
      <c r="O6" s="128">
        <f t="shared" si="0"/>
        <v>500</v>
      </c>
      <c r="P6" s="125">
        <v>1</v>
      </c>
      <c r="Q6" s="109">
        <v>500</v>
      </c>
    </row>
    <row r="7" spans="1:17" x14ac:dyDescent="0.4">
      <c r="A7" s="57" t="s">
        <v>2</v>
      </c>
      <c r="B7" s="49">
        <v>0</v>
      </c>
      <c r="C7" s="41">
        <f>IF(B$2=0,0,B7/B$2)</f>
        <v>0</v>
      </c>
      <c r="E7" s="65" t="s">
        <v>73</v>
      </c>
      <c r="F7" s="62" t="s">
        <v>26</v>
      </c>
      <c r="G7" s="49">
        <v>1</v>
      </c>
      <c r="H7" s="139">
        <f>IF(B$27=0,0,G7/B$27)</f>
        <v>0.2</v>
      </c>
      <c r="I7" s="100">
        <v>3</v>
      </c>
      <c r="N7" s="122" t="s">
        <v>142</v>
      </c>
      <c r="O7" s="129">
        <f t="shared" si="0"/>
        <v>-7500</v>
      </c>
      <c r="P7" s="126">
        <v>1</v>
      </c>
      <c r="Q7" s="110">
        <v>-7500</v>
      </c>
    </row>
    <row r="8" spans="1:17" x14ac:dyDescent="0.4">
      <c r="A8" s="57" t="s">
        <v>3</v>
      </c>
      <c r="B8" s="49">
        <v>3</v>
      </c>
      <c r="C8" s="41">
        <f>IF(B$2=0,0,B8/B$2)</f>
        <v>1</v>
      </c>
      <c r="E8" s="65" t="s">
        <v>74</v>
      </c>
      <c r="F8" s="62" t="s">
        <v>27</v>
      </c>
      <c r="G8" s="49">
        <v>1</v>
      </c>
      <c r="H8" s="139">
        <f>IF(B$27=0,0,G8/B$27)</f>
        <v>0.2</v>
      </c>
      <c r="I8" s="100">
        <v>1</v>
      </c>
      <c r="N8" s="45"/>
      <c r="O8" s="133"/>
      <c r="P8" s="117"/>
      <c r="Q8" s="115"/>
    </row>
    <row r="9" spans="1:17" x14ac:dyDescent="0.4">
      <c r="A9" s="58" t="s">
        <v>4</v>
      </c>
      <c r="B9" s="50">
        <v>0</v>
      </c>
      <c r="C9" s="42">
        <f t="shared" ref="C9" si="1">IF(B$2=0,0,B9/B$2)</f>
        <v>0</v>
      </c>
      <c r="E9" s="65" t="s">
        <v>91</v>
      </c>
      <c r="F9" s="62" t="s">
        <v>44</v>
      </c>
      <c r="G9" s="49">
        <v>1</v>
      </c>
      <c r="H9" s="139">
        <f>IF(B$27=0,0,G9/B$27)</f>
        <v>0.2</v>
      </c>
      <c r="I9" s="100">
        <v>1</v>
      </c>
      <c r="N9" s="119" t="s">
        <v>172</v>
      </c>
      <c r="O9" s="36" t="s">
        <v>125</v>
      </c>
      <c r="P9" s="123" t="s">
        <v>121</v>
      </c>
      <c r="Q9" s="111" t="s">
        <v>164</v>
      </c>
    </row>
    <row r="10" spans="1:17" x14ac:dyDescent="0.4">
      <c r="A10" s="58" t="s">
        <v>19</v>
      </c>
      <c r="B10" s="50">
        <v>0</v>
      </c>
      <c r="C10" s="42">
        <f>IF(B$2=0,0,B10/B$2)</f>
        <v>0</v>
      </c>
      <c r="E10" s="65" t="s">
        <v>68</v>
      </c>
      <c r="F10" s="62" t="s">
        <v>22</v>
      </c>
      <c r="G10" s="49">
        <v>0</v>
      </c>
      <c r="H10" s="139">
        <f>IF(B$27=0,0,G10/B$27)</f>
        <v>0</v>
      </c>
      <c r="I10" s="100">
        <v>3</v>
      </c>
      <c r="N10" s="120" t="s">
        <v>173</v>
      </c>
      <c r="O10" s="130">
        <f>IF(P10=0,0,Q10/P10)</f>
        <v>1</v>
      </c>
      <c r="P10" s="124">
        <v>1</v>
      </c>
      <c r="Q10" s="112">
        <v>1</v>
      </c>
    </row>
    <row r="11" spans="1:17" x14ac:dyDescent="0.4">
      <c r="A11" s="58" t="s">
        <v>145</v>
      </c>
      <c r="B11" s="50">
        <v>0</v>
      </c>
      <c r="C11" s="42">
        <f>IF(B$2=0,0,B11/B$2)</f>
        <v>0</v>
      </c>
      <c r="E11" s="65" t="s">
        <v>69</v>
      </c>
      <c r="F11" s="62" t="s">
        <v>23</v>
      </c>
      <c r="G11" s="49">
        <v>0</v>
      </c>
      <c r="H11" s="139">
        <f>IF(B$27=0,0,G11/B$27)</f>
        <v>0</v>
      </c>
      <c r="I11" s="100">
        <v>4</v>
      </c>
      <c r="N11" s="121" t="s">
        <v>174</v>
      </c>
      <c r="O11" s="131">
        <f>IF(P11=0,0,Q11/P11)</f>
        <v>0</v>
      </c>
      <c r="P11" s="125">
        <v>0</v>
      </c>
      <c r="Q11" s="113">
        <v>0</v>
      </c>
    </row>
    <row r="12" spans="1:17" x14ac:dyDescent="0.4">
      <c r="A12" s="59" t="s">
        <v>166</v>
      </c>
      <c r="B12" s="51">
        <v>0</v>
      </c>
      <c r="C12" s="44">
        <f>IF(B$2=0,0,B12/B$2)</f>
        <v>0</v>
      </c>
      <c r="E12" s="65" t="s">
        <v>75</v>
      </c>
      <c r="F12" s="62" t="s">
        <v>28</v>
      </c>
      <c r="G12" s="49">
        <v>0</v>
      </c>
      <c r="H12" s="139">
        <f>IF(B$27=0,0,G12/B$27)</f>
        <v>0</v>
      </c>
      <c r="I12" s="100">
        <v>3</v>
      </c>
      <c r="N12" s="122" t="s">
        <v>175</v>
      </c>
      <c r="O12" s="132">
        <f>IF(P12=0,0,Q12/P12)</f>
        <v>-11</v>
      </c>
      <c r="P12" s="126">
        <v>2</v>
      </c>
      <c r="Q12" s="114">
        <v>-22</v>
      </c>
    </row>
    <row r="13" spans="1:17" x14ac:dyDescent="0.4">
      <c r="A13" s="60" t="s">
        <v>128</v>
      </c>
      <c r="B13" s="52">
        <v>5</v>
      </c>
      <c r="C13" s="46">
        <f>IF(B$26=0,0,B13/B$26)</f>
        <v>0.23809523809523808</v>
      </c>
      <c r="E13" s="65" t="s">
        <v>77</v>
      </c>
      <c r="F13" s="62" t="s">
        <v>30</v>
      </c>
      <c r="G13" s="49">
        <v>0</v>
      </c>
      <c r="H13" s="139">
        <f>IF(B$27=0,0,G13/B$27)</f>
        <v>0</v>
      </c>
      <c r="I13" s="100">
        <v>1</v>
      </c>
      <c r="N13" s="35"/>
      <c r="O13" s="116"/>
      <c r="P13" s="118"/>
      <c r="Q13" s="116"/>
    </row>
    <row r="14" spans="1:17" x14ac:dyDescent="0.4">
      <c r="A14" s="57" t="s">
        <v>123</v>
      </c>
      <c r="B14" s="49">
        <v>1</v>
      </c>
      <c r="C14" s="41">
        <f>IF(B$26=0,0,B14/B$26)</f>
        <v>4.7619047619047616E-2</v>
      </c>
      <c r="E14" s="65" t="s">
        <v>78</v>
      </c>
      <c r="F14" s="62" t="s">
        <v>31</v>
      </c>
      <c r="G14" s="49">
        <v>0</v>
      </c>
      <c r="H14" s="139">
        <f>IF(B$27=0,0,G14/B$27)</f>
        <v>0</v>
      </c>
      <c r="I14" s="100">
        <v>1</v>
      </c>
      <c r="N14" s="119" t="s">
        <v>161</v>
      </c>
      <c r="O14" s="36" t="s">
        <v>125</v>
      </c>
      <c r="P14" s="123" t="s">
        <v>121</v>
      </c>
      <c r="Q14" s="111" t="s">
        <v>164</v>
      </c>
    </row>
    <row r="15" spans="1:17" x14ac:dyDescent="0.4">
      <c r="A15" s="56" t="s">
        <v>130</v>
      </c>
      <c r="B15" s="48">
        <v>4</v>
      </c>
      <c r="C15" s="39">
        <f>IF(B$13=0,0,B15/B$13)</f>
        <v>0.8</v>
      </c>
      <c r="E15" s="65" t="s">
        <v>79</v>
      </c>
      <c r="F15" s="62" t="s">
        <v>32</v>
      </c>
      <c r="G15" s="49">
        <v>0</v>
      </c>
      <c r="H15" s="139">
        <f>IF(B$27=0,0,G15/B$27)</f>
        <v>0</v>
      </c>
      <c r="I15" s="100">
        <v>1</v>
      </c>
      <c r="N15" s="120" t="s">
        <v>178</v>
      </c>
      <c r="O15" s="130">
        <f>IF(P15=0,0,Q15/P15)</f>
        <v>21.3</v>
      </c>
      <c r="P15" s="124">
        <v>3</v>
      </c>
      <c r="Q15" s="112">
        <v>63.9</v>
      </c>
    </row>
    <row r="16" spans="1:17" x14ac:dyDescent="0.4">
      <c r="A16" s="56" t="s">
        <v>131</v>
      </c>
      <c r="B16" s="48">
        <v>1</v>
      </c>
      <c r="C16" s="39">
        <f>IF(B$14=0,0,B16/B$14)</f>
        <v>1</v>
      </c>
      <c r="E16" s="65" t="s">
        <v>80</v>
      </c>
      <c r="F16" s="62" t="s">
        <v>33</v>
      </c>
      <c r="G16" s="49">
        <v>0</v>
      </c>
      <c r="H16" s="139">
        <f>IF(B$27=0,0,G16/B$27)</f>
        <v>0</v>
      </c>
      <c r="I16" s="100">
        <v>1</v>
      </c>
      <c r="N16" s="121" t="s">
        <v>133</v>
      </c>
      <c r="O16" s="131">
        <f>IF(P16=0,0,Q16/P16)</f>
        <v>-42.300000000000004</v>
      </c>
      <c r="P16" s="125">
        <v>3</v>
      </c>
      <c r="Q16" s="113">
        <v>-126.9</v>
      </c>
    </row>
    <row r="17" spans="1:9" x14ac:dyDescent="0.4">
      <c r="A17" s="56" t="s">
        <v>10</v>
      </c>
      <c r="B17" s="48">
        <f>B19+B18</f>
        <v>5</v>
      </c>
      <c r="C17" s="39">
        <f>IF(B$3=0,0,B17/B$3)</f>
        <v>0.23809523809523808</v>
      </c>
      <c r="E17" s="65" t="s">
        <v>81</v>
      </c>
      <c r="F17" s="62" t="s">
        <v>34</v>
      </c>
      <c r="G17" s="49">
        <v>0</v>
      </c>
      <c r="H17" s="139">
        <f>IF(B$27=0,0,G17/B$27)</f>
        <v>0</v>
      </c>
      <c r="I17" s="100">
        <v>3</v>
      </c>
    </row>
    <row r="18" spans="1:9" x14ac:dyDescent="0.4">
      <c r="A18" s="57" t="s">
        <v>12</v>
      </c>
      <c r="B18" s="49">
        <v>3</v>
      </c>
      <c r="C18" s="41">
        <f>IF(B$17=0,0,B18/B$17)</f>
        <v>0.6</v>
      </c>
      <c r="E18" s="65" t="s">
        <v>82</v>
      </c>
      <c r="F18" s="62" t="s">
        <v>35</v>
      </c>
      <c r="G18" s="49">
        <v>0</v>
      </c>
      <c r="H18" s="139">
        <f>IF(B$27=0,0,G18/B$27)</f>
        <v>0</v>
      </c>
      <c r="I18" s="100">
        <v>1</v>
      </c>
    </row>
    <row r="19" spans="1:9" x14ac:dyDescent="0.4">
      <c r="A19" s="57" t="s">
        <v>11</v>
      </c>
      <c r="B19" s="49">
        <v>2</v>
      </c>
      <c r="C19" s="41">
        <f>IF(B$17=0,0,B19/B$17)</f>
        <v>0.4</v>
      </c>
      <c r="E19" s="65" t="s">
        <v>83</v>
      </c>
      <c r="F19" s="62" t="s">
        <v>36</v>
      </c>
      <c r="G19" s="49">
        <v>0</v>
      </c>
      <c r="H19" s="139">
        <f>IF(B$27=0,0,G19/B$27)</f>
        <v>0</v>
      </c>
      <c r="I19" s="100">
        <v>1</v>
      </c>
    </row>
    <row r="20" spans="1:9" x14ac:dyDescent="0.4">
      <c r="A20" s="57" t="s">
        <v>13</v>
      </c>
      <c r="B20" s="49">
        <v>2</v>
      </c>
      <c r="C20" s="41">
        <f>IF(B$3=0,0,B20/B$3)</f>
        <v>9.5238095238095233E-2</v>
      </c>
      <c r="E20" s="65" t="s">
        <v>84</v>
      </c>
      <c r="F20" s="62" t="s">
        <v>37</v>
      </c>
      <c r="G20" s="49">
        <v>0</v>
      </c>
      <c r="H20" s="139">
        <f>IF(B$27=0,0,G20/B$27)</f>
        <v>0</v>
      </c>
      <c r="I20" s="100">
        <v>1</v>
      </c>
    </row>
    <row r="21" spans="1:9" x14ac:dyDescent="0.4">
      <c r="A21" s="57" t="s">
        <v>5</v>
      </c>
      <c r="B21" s="53">
        <f>IF(B$17=0,0,C21/B$17)</f>
        <v>6600</v>
      </c>
      <c r="C21" s="43">
        <v>33000</v>
      </c>
      <c r="E21" s="65" t="s">
        <v>85</v>
      </c>
      <c r="F21" s="62" t="s">
        <v>38</v>
      </c>
      <c r="G21" s="49">
        <v>0</v>
      </c>
      <c r="H21" s="139">
        <f>IF(B$27=0,0,G21/B$27)</f>
        <v>0</v>
      </c>
      <c r="I21" s="100">
        <v>1</v>
      </c>
    </row>
    <row r="22" spans="1:9" x14ac:dyDescent="0.4">
      <c r="A22" s="59" t="s">
        <v>14</v>
      </c>
      <c r="B22" s="54">
        <f>IF(B$20=0,0,C22/B$20)</f>
        <v>-12000</v>
      </c>
      <c r="C22" s="47">
        <v>-24000</v>
      </c>
      <c r="E22" s="65" t="s">
        <v>86</v>
      </c>
      <c r="F22" s="62" t="s">
        <v>39</v>
      </c>
      <c r="G22" s="49">
        <v>0</v>
      </c>
      <c r="H22" s="139">
        <f>IF(B$27=0,0,G22/B$27)</f>
        <v>0</v>
      </c>
      <c r="I22" s="100">
        <v>1</v>
      </c>
    </row>
    <row r="23" spans="1:9" x14ac:dyDescent="0.4">
      <c r="A23" s="96" t="s">
        <v>147</v>
      </c>
      <c r="B23" s="155">
        <v>2</v>
      </c>
      <c r="C23" s="156"/>
      <c r="E23" s="65" t="s">
        <v>87</v>
      </c>
      <c r="F23" s="62" t="s">
        <v>40</v>
      </c>
      <c r="G23" s="49">
        <v>0</v>
      </c>
      <c r="H23" s="139">
        <f>IF(B$27=0,0,G23/B$27)</f>
        <v>0</v>
      </c>
      <c r="I23" s="100">
        <v>1</v>
      </c>
    </row>
    <row r="24" spans="1:9" x14ac:dyDescent="0.4">
      <c r="A24" s="60" t="s">
        <v>158</v>
      </c>
      <c r="B24" s="153">
        <v>36000</v>
      </c>
      <c r="C24" s="154"/>
      <c r="E24" s="65" t="s">
        <v>88</v>
      </c>
      <c r="F24" s="62" t="s">
        <v>41</v>
      </c>
      <c r="G24" s="49">
        <v>0</v>
      </c>
      <c r="H24" s="139">
        <f>IF(B$27=0,0,G24/B$27)</f>
        <v>0</v>
      </c>
      <c r="I24" s="100">
        <v>3</v>
      </c>
    </row>
    <row r="25" spans="1:9" x14ac:dyDescent="0.4">
      <c r="A25" s="59" t="s">
        <v>148</v>
      </c>
      <c r="B25" s="67">
        <v>0</v>
      </c>
      <c r="C25" s="44">
        <f>IF(B$3=0,0,B25/B$3)</f>
        <v>0</v>
      </c>
      <c r="E25" s="65" t="s">
        <v>89</v>
      </c>
      <c r="F25" s="62" t="s">
        <v>42</v>
      </c>
      <c r="G25" s="49">
        <v>0</v>
      </c>
      <c r="H25" s="139">
        <f>IF(B$27=0,0,G25/B$27)</f>
        <v>0</v>
      </c>
      <c r="I25" s="100">
        <v>1</v>
      </c>
    </row>
    <row r="26" spans="1:9" x14ac:dyDescent="0.4">
      <c r="A26" s="56" t="s">
        <v>126</v>
      </c>
      <c r="B26" s="145">
        <v>21</v>
      </c>
      <c r="C26" s="146"/>
      <c r="E26" s="65" t="s">
        <v>90</v>
      </c>
      <c r="F26" s="62" t="s">
        <v>43</v>
      </c>
      <c r="G26" s="49">
        <v>0</v>
      </c>
      <c r="H26" s="139">
        <f>IF(B$27=0,0,G26/B$27)</f>
        <v>0</v>
      </c>
      <c r="I26" s="100">
        <v>1</v>
      </c>
    </row>
    <row r="27" spans="1:9" x14ac:dyDescent="0.4">
      <c r="A27" s="59" t="s">
        <v>127</v>
      </c>
      <c r="B27" s="159">
        <v>5</v>
      </c>
      <c r="C27" s="160"/>
      <c r="E27" s="65" t="s">
        <v>92</v>
      </c>
      <c r="F27" s="62" t="s">
        <v>45</v>
      </c>
      <c r="G27" s="49">
        <v>0</v>
      </c>
      <c r="H27" s="139">
        <f>IF(B$27=0,0,G27/B$27)</f>
        <v>0</v>
      </c>
      <c r="I27" s="100">
        <v>1</v>
      </c>
    </row>
    <row r="28" spans="1:9" x14ac:dyDescent="0.4">
      <c r="E28" s="65" t="s">
        <v>93</v>
      </c>
      <c r="F28" s="62" t="s">
        <v>46</v>
      </c>
      <c r="G28" s="49">
        <v>0</v>
      </c>
      <c r="H28" s="139">
        <f>IF(B$27=0,0,G28/B$27)</f>
        <v>0</v>
      </c>
      <c r="I28" s="100">
        <v>1</v>
      </c>
    </row>
    <row r="29" spans="1:9" x14ac:dyDescent="0.4">
      <c r="E29" s="65" t="s">
        <v>94</v>
      </c>
      <c r="F29" s="62" t="s">
        <v>47</v>
      </c>
      <c r="G29" s="49">
        <v>0</v>
      </c>
      <c r="H29" s="139">
        <f>IF(B$27=0,0,G29/B$27)</f>
        <v>0</v>
      </c>
      <c r="I29" s="100">
        <v>3</v>
      </c>
    </row>
    <row r="30" spans="1:9" x14ac:dyDescent="0.4">
      <c r="E30" s="65" t="s">
        <v>95</v>
      </c>
      <c r="F30" s="62" t="s">
        <v>48</v>
      </c>
      <c r="G30" s="49">
        <v>0</v>
      </c>
      <c r="H30" s="139">
        <f>IF(B$27=0,0,G30/B$27)</f>
        <v>0</v>
      </c>
      <c r="I30" s="100">
        <v>1</v>
      </c>
    </row>
    <row r="31" spans="1:9" x14ac:dyDescent="0.4">
      <c r="E31" s="65" t="s">
        <v>96</v>
      </c>
      <c r="F31" s="62" t="s">
        <v>49</v>
      </c>
      <c r="G31" s="49">
        <v>0</v>
      </c>
      <c r="H31" s="139">
        <f>IF(B$27=0,0,G31/B$27)</f>
        <v>0</v>
      </c>
      <c r="I31" s="100">
        <v>1</v>
      </c>
    </row>
    <row r="32" spans="1:9" x14ac:dyDescent="0.4">
      <c r="E32" s="65" t="s">
        <v>97</v>
      </c>
      <c r="F32" s="62" t="s">
        <v>50</v>
      </c>
      <c r="G32" s="49">
        <v>0</v>
      </c>
      <c r="H32" s="139">
        <f>IF(B$27=0,0,G32/B$27)</f>
        <v>0</v>
      </c>
      <c r="I32" s="100">
        <v>1</v>
      </c>
    </row>
    <row r="33" spans="5:9" x14ac:dyDescent="0.4">
      <c r="E33" s="65" t="s">
        <v>98</v>
      </c>
      <c r="F33" s="62" t="s">
        <v>51</v>
      </c>
      <c r="G33" s="49">
        <v>0</v>
      </c>
      <c r="H33" s="139">
        <f>IF(B$27=0,0,G33/B$27)</f>
        <v>0</v>
      </c>
      <c r="I33" s="100">
        <v>1</v>
      </c>
    </row>
    <row r="34" spans="5:9" x14ac:dyDescent="0.4">
      <c r="E34" s="65" t="s">
        <v>99</v>
      </c>
      <c r="F34" s="62" t="s">
        <v>52</v>
      </c>
      <c r="G34" s="49">
        <v>0</v>
      </c>
      <c r="H34" s="139">
        <f>IF(B$27=0,0,G34/B$27)</f>
        <v>0</v>
      </c>
      <c r="I34" s="100">
        <v>1</v>
      </c>
    </row>
    <row r="35" spans="5:9" x14ac:dyDescent="0.4">
      <c r="E35" s="65" t="s">
        <v>100</v>
      </c>
      <c r="F35" s="62" t="s">
        <v>53</v>
      </c>
      <c r="G35" s="49">
        <v>0</v>
      </c>
      <c r="H35" s="139">
        <f>IF(B$27=0,0,G35/B$27)</f>
        <v>0</v>
      </c>
      <c r="I35" s="100">
        <v>1</v>
      </c>
    </row>
    <row r="36" spans="5:9" x14ac:dyDescent="0.4">
      <c r="E36" s="65" t="s">
        <v>101</v>
      </c>
      <c r="F36" s="62" t="s">
        <v>54</v>
      </c>
      <c r="G36" s="49">
        <v>0</v>
      </c>
      <c r="H36" s="139">
        <f>IF(B$27=0,0,G36/B$27)</f>
        <v>0</v>
      </c>
      <c r="I36" s="100">
        <v>1</v>
      </c>
    </row>
    <row r="37" spans="5:9" x14ac:dyDescent="0.4">
      <c r="E37" s="65" t="s">
        <v>102</v>
      </c>
      <c r="F37" s="62" t="s">
        <v>55</v>
      </c>
      <c r="G37" s="49">
        <v>0</v>
      </c>
      <c r="H37" s="139">
        <f>IF(B$27=0,0,G37/B$27)</f>
        <v>0</v>
      </c>
      <c r="I37" s="100">
        <v>1</v>
      </c>
    </row>
    <row r="38" spans="5:9" x14ac:dyDescent="0.4">
      <c r="E38" s="65" t="s">
        <v>103</v>
      </c>
      <c r="F38" s="62" t="s">
        <v>56</v>
      </c>
      <c r="G38" s="49">
        <v>0</v>
      </c>
      <c r="H38" s="139">
        <f>IF(B$27=0,0,G38/B$27)</f>
        <v>0</v>
      </c>
      <c r="I38" s="100">
        <v>1</v>
      </c>
    </row>
    <row r="39" spans="5:9" x14ac:dyDescent="0.4">
      <c r="E39" s="65" t="s">
        <v>104</v>
      </c>
      <c r="F39" s="62" t="s">
        <v>57</v>
      </c>
      <c r="G39" s="49">
        <v>0</v>
      </c>
      <c r="H39" s="139">
        <f>IF(B$27=0,0,G39/B$27)</f>
        <v>0</v>
      </c>
      <c r="I39" s="100">
        <v>1</v>
      </c>
    </row>
    <row r="40" spans="5:9" x14ac:dyDescent="0.4">
      <c r="E40" s="65" t="s">
        <v>105</v>
      </c>
      <c r="F40" s="62" t="s">
        <v>58</v>
      </c>
      <c r="G40" s="49">
        <v>0</v>
      </c>
      <c r="H40" s="139">
        <f>IF(B$27=0,0,G40/B$27)</f>
        <v>0</v>
      </c>
      <c r="I40" s="100">
        <v>1</v>
      </c>
    </row>
    <row r="41" spans="5:9" x14ac:dyDescent="0.4">
      <c r="E41" s="65" t="s">
        <v>106</v>
      </c>
      <c r="F41" s="62" t="s">
        <v>59</v>
      </c>
      <c r="G41" s="49">
        <v>0</v>
      </c>
      <c r="H41" s="139">
        <f>IF(B$27=0,0,G41/B$27)</f>
        <v>0</v>
      </c>
      <c r="I41" s="100">
        <v>1</v>
      </c>
    </row>
    <row r="42" spans="5:9" x14ac:dyDescent="0.4">
      <c r="E42" s="65" t="s">
        <v>107</v>
      </c>
      <c r="F42" s="62" t="s">
        <v>60</v>
      </c>
      <c r="G42" s="49">
        <v>0</v>
      </c>
      <c r="H42" s="139">
        <f>IF(B$27=0,0,G42/B$27)</f>
        <v>0</v>
      </c>
      <c r="I42" s="100">
        <v>1</v>
      </c>
    </row>
    <row r="43" spans="5:9" x14ac:dyDescent="0.4">
      <c r="E43" s="65" t="s">
        <v>108</v>
      </c>
      <c r="F43" s="62" t="s">
        <v>61</v>
      </c>
      <c r="G43" s="49">
        <v>0</v>
      </c>
      <c r="H43" s="139">
        <f>IF(B$27=0,0,G43/B$27)</f>
        <v>0</v>
      </c>
      <c r="I43" s="100">
        <v>1</v>
      </c>
    </row>
    <row r="44" spans="5:9" x14ac:dyDescent="0.4">
      <c r="E44" s="65" t="s">
        <v>109</v>
      </c>
      <c r="F44" s="62" t="s">
        <v>62</v>
      </c>
      <c r="G44" s="49">
        <v>0</v>
      </c>
      <c r="H44" s="139">
        <f>IF(B$27=0,0,G44/B$27)</f>
        <v>0</v>
      </c>
      <c r="I44" s="100">
        <v>1</v>
      </c>
    </row>
    <row r="45" spans="5:9" x14ac:dyDescent="0.4">
      <c r="E45" s="65" t="s">
        <v>110</v>
      </c>
      <c r="F45" s="62" t="s">
        <v>117</v>
      </c>
      <c r="G45" s="49">
        <v>0</v>
      </c>
      <c r="H45" s="139">
        <f>IF(B$27=0,0,G45/B$27)</f>
        <v>0</v>
      </c>
      <c r="I45" s="100">
        <v>1</v>
      </c>
    </row>
    <row r="46" spans="5:9" x14ac:dyDescent="0.4">
      <c r="E46" s="65" t="s">
        <v>111</v>
      </c>
      <c r="F46" s="62" t="s">
        <v>118</v>
      </c>
      <c r="G46" s="49">
        <v>0</v>
      </c>
      <c r="H46" s="139">
        <f>IF(B$27=0,0,G46/B$27)</f>
        <v>0</v>
      </c>
      <c r="I46" s="100">
        <v>1</v>
      </c>
    </row>
    <row r="47" spans="5:9" x14ac:dyDescent="0.4">
      <c r="E47" s="65" t="s">
        <v>112</v>
      </c>
      <c r="F47" s="62" t="s">
        <v>119</v>
      </c>
      <c r="G47" s="49">
        <v>0</v>
      </c>
      <c r="H47" s="139">
        <f>IF(B$27=0,0,G47/B$27)</f>
        <v>0</v>
      </c>
      <c r="I47" s="100">
        <v>1</v>
      </c>
    </row>
    <row r="48" spans="5:9" x14ac:dyDescent="0.4">
      <c r="E48" s="65" t="s">
        <v>113</v>
      </c>
      <c r="F48" s="62" t="s">
        <v>63</v>
      </c>
      <c r="G48" s="49">
        <v>0</v>
      </c>
      <c r="H48" s="139">
        <f>IF(B$27=0,0,G48/B$27)</f>
        <v>0</v>
      </c>
      <c r="I48" s="100">
        <v>1</v>
      </c>
    </row>
    <row r="49" spans="5:9" x14ac:dyDescent="0.4">
      <c r="E49" s="65" t="s">
        <v>114</v>
      </c>
      <c r="F49" s="62" t="s">
        <v>64</v>
      </c>
      <c r="G49" s="49">
        <v>0</v>
      </c>
      <c r="H49" s="139">
        <f>IF(B$27=0,0,G49/B$27)</f>
        <v>0</v>
      </c>
      <c r="I49" s="100">
        <v>1</v>
      </c>
    </row>
    <row r="50" spans="5:9" x14ac:dyDescent="0.4">
      <c r="E50" s="65" t="s">
        <v>115</v>
      </c>
      <c r="F50" s="62" t="s">
        <v>65</v>
      </c>
      <c r="G50" s="49">
        <v>0</v>
      </c>
      <c r="H50" s="139">
        <f>IF(B$27=0,0,G50/B$27)</f>
        <v>0</v>
      </c>
      <c r="I50" s="100">
        <v>1</v>
      </c>
    </row>
    <row r="51" spans="5:9" x14ac:dyDescent="0.4">
      <c r="E51" s="66" t="s">
        <v>116</v>
      </c>
      <c r="F51" s="63" t="s">
        <v>66</v>
      </c>
      <c r="G51" s="51">
        <v>0</v>
      </c>
      <c r="H51" s="140">
        <f>IF(B$27=0,0,G51/B$27)</f>
        <v>0</v>
      </c>
      <c r="I51" s="101">
        <v>1</v>
      </c>
    </row>
  </sheetData>
  <sortState ref="N15:Q16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BDDD9F-DE85-4255-AF63-735A061CA68B}">
  <sheetPr codeName="Sheet12"/>
  <dimension ref="A1:Q6"/>
  <sheetViews>
    <sheetView workbookViewId="0"/>
  </sheetViews>
  <sheetFormatPr defaultColWidth="10.75" defaultRowHeight="18.75" x14ac:dyDescent="0.4"/>
  <cols>
    <col min="1" max="1" width="10.75" style="71"/>
    <col min="2" max="3" width="10.75" style="68"/>
    <col min="4" max="4" width="10.75" style="73"/>
    <col min="5" max="7" width="10.75" style="69"/>
    <col min="8" max="9" width="10.75" style="70"/>
    <col min="10" max="17" width="10.75" style="69"/>
    <col min="18" max="16384" width="10.75" style="72"/>
  </cols>
  <sheetData>
    <row r="1" spans="1:17" x14ac:dyDescent="0.4">
      <c r="A1" s="72" t="s">
        <v>179</v>
      </c>
      <c r="B1" s="72" t="s">
        <v>179</v>
      </c>
      <c r="C1" s="72" t="s">
        <v>179</v>
      </c>
      <c r="D1" s="73" t="s">
        <v>179</v>
      </c>
      <c r="E1" s="72" t="s">
        <v>179</v>
      </c>
      <c r="F1" s="72" t="s">
        <v>179</v>
      </c>
      <c r="G1" s="72" t="s">
        <v>179</v>
      </c>
      <c r="H1" s="72" t="s">
        <v>179</v>
      </c>
      <c r="I1" s="72" t="s">
        <v>179</v>
      </c>
      <c r="J1" s="72" t="s">
        <v>179</v>
      </c>
      <c r="K1" s="72" t="s">
        <v>179</v>
      </c>
      <c r="L1" s="72" t="s">
        <v>179</v>
      </c>
      <c r="M1" s="72" t="s">
        <v>179</v>
      </c>
      <c r="N1" s="72" t="s">
        <v>179</v>
      </c>
      <c r="O1" s="72" t="s">
        <v>179</v>
      </c>
      <c r="P1" s="72" t="s">
        <v>179</v>
      </c>
      <c r="Q1" s="72" t="s">
        <v>179</v>
      </c>
    </row>
    <row r="2" spans="1:17" x14ac:dyDescent="0.4">
      <c r="A2" s="72" t="s">
        <v>9</v>
      </c>
      <c r="B2" s="72" t="s">
        <v>6</v>
      </c>
      <c r="C2" s="72" t="s">
        <v>7</v>
      </c>
      <c r="D2" s="73" t="s">
        <v>16</v>
      </c>
      <c r="E2" s="72" t="s">
        <v>15</v>
      </c>
      <c r="F2" s="72" t="s">
        <v>152</v>
      </c>
      <c r="G2" s="72" t="s">
        <v>151</v>
      </c>
      <c r="H2" s="72" t="s">
        <v>5</v>
      </c>
      <c r="I2" s="72" t="s">
        <v>17</v>
      </c>
      <c r="J2" s="72" t="s">
        <v>18</v>
      </c>
      <c r="K2" s="72" t="s">
        <v>146</v>
      </c>
      <c r="L2" s="72" t="s">
        <v>167</v>
      </c>
      <c r="M2" s="72" t="s">
        <v>129</v>
      </c>
      <c r="N2" s="72" t="s">
        <v>124</v>
      </c>
      <c r="O2" s="72" t="s">
        <v>132</v>
      </c>
      <c r="P2" s="72" t="s">
        <v>153</v>
      </c>
      <c r="Q2" s="72" t="s">
        <v>149</v>
      </c>
    </row>
    <row r="3" spans="1:17" x14ac:dyDescent="0.4">
      <c r="A3" s="71">
        <v>0</v>
      </c>
      <c r="B3" s="68">
        <v>0</v>
      </c>
    </row>
    <row r="4" spans="1:17" x14ac:dyDescent="0.4">
      <c r="A4" s="71">
        <v>1</v>
      </c>
      <c r="B4" s="68">
        <v>-3</v>
      </c>
      <c r="C4" s="68">
        <v>-3</v>
      </c>
      <c r="D4" s="73">
        <v>2</v>
      </c>
      <c r="E4" s="69">
        <v>0</v>
      </c>
      <c r="F4" s="69">
        <v>0.2857142857142857</v>
      </c>
      <c r="G4" s="69">
        <v>0</v>
      </c>
      <c r="H4" s="70">
        <v>2500</v>
      </c>
      <c r="I4" s="70">
        <v>0</v>
      </c>
      <c r="J4" s="69">
        <v>0</v>
      </c>
      <c r="K4" s="69">
        <v>0</v>
      </c>
      <c r="L4" s="69">
        <v>0</v>
      </c>
      <c r="M4" s="69">
        <v>0.14285714285714285</v>
      </c>
      <c r="N4" s="69">
        <v>0.14285714285714285</v>
      </c>
      <c r="O4" s="69">
        <v>1</v>
      </c>
      <c r="P4" s="69">
        <v>1</v>
      </c>
      <c r="Q4" s="69">
        <v>0.5</v>
      </c>
    </row>
    <row r="5" spans="1:17" x14ac:dyDescent="0.4">
      <c r="A5" s="71">
        <v>2</v>
      </c>
      <c r="B5" s="68">
        <v>-22</v>
      </c>
      <c r="C5" s="68">
        <v>-11</v>
      </c>
      <c r="D5" s="73">
        <v>2</v>
      </c>
      <c r="E5" s="69">
        <v>0</v>
      </c>
      <c r="F5" s="69">
        <v>0.25</v>
      </c>
      <c r="G5" s="69">
        <v>0.125</v>
      </c>
      <c r="H5" s="70">
        <v>5250</v>
      </c>
      <c r="I5" s="70">
        <v>-12000</v>
      </c>
      <c r="J5" s="69">
        <v>0</v>
      </c>
      <c r="K5" s="69">
        <v>0</v>
      </c>
      <c r="L5" s="69">
        <v>0</v>
      </c>
      <c r="M5" s="69">
        <v>0.1875</v>
      </c>
      <c r="N5" s="69">
        <v>6.25E-2</v>
      </c>
      <c r="O5" s="69">
        <v>1</v>
      </c>
      <c r="P5" s="69">
        <v>1</v>
      </c>
      <c r="Q5" s="69">
        <v>0.75</v>
      </c>
    </row>
    <row r="6" spans="1:17" x14ac:dyDescent="0.4">
      <c r="A6" s="71">
        <v>3</v>
      </c>
      <c r="B6" s="68">
        <v>-21</v>
      </c>
      <c r="C6" s="68">
        <v>-7</v>
      </c>
      <c r="D6" s="73">
        <v>2</v>
      </c>
      <c r="E6" s="69">
        <v>0</v>
      </c>
      <c r="F6" s="69">
        <v>0.23809523809523808</v>
      </c>
      <c r="G6" s="69">
        <v>9.5238095238095233E-2</v>
      </c>
      <c r="H6" s="70">
        <v>6600</v>
      </c>
      <c r="I6" s="70">
        <v>-12000</v>
      </c>
      <c r="J6" s="69">
        <v>0</v>
      </c>
      <c r="K6" s="69">
        <v>0</v>
      </c>
      <c r="L6" s="69">
        <v>0</v>
      </c>
      <c r="M6" s="69">
        <v>0.23809523809523808</v>
      </c>
      <c r="N6" s="69">
        <v>4.7619047619047616E-2</v>
      </c>
      <c r="O6" s="69">
        <v>0.8</v>
      </c>
      <c r="P6" s="69">
        <v>1</v>
      </c>
      <c r="Q6" s="69">
        <v>0.6</v>
      </c>
    </row>
  </sheetData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449BD4-9BFB-4698-89D6-ED6F534DDBD7}">
  <sheetPr codeName="Sheet10"/>
  <dimension ref="A1:Q6"/>
  <sheetViews>
    <sheetView workbookViewId="0"/>
  </sheetViews>
  <sheetFormatPr defaultColWidth="10.75" defaultRowHeight="18.75" x14ac:dyDescent="0.4"/>
  <cols>
    <col min="1" max="1" width="10.75" style="71"/>
    <col min="2" max="3" width="10.75" style="68"/>
    <col min="4" max="4" width="10.75" style="73"/>
    <col min="5" max="7" width="10.75" style="69"/>
    <col min="8" max="9" width="10.75" style="70"/>
    <col min="10" max="17" width="10.75" style="69"/>
    <col min="18" max="16384" width="10.75" style="72"/>
  </cols>
  <sheetData>
    <row r="1" spans="1:17" x14ac:dyDescent="0.4">
      <c r="A1" s="72" t="s">
        <v>178</v>
      </c>
      <c r="B1" s="72" t="s">
        <v>178</v>
      </c>
      <c r="C1" s="72" t="s">
        <v>178</v>
      </c>
      <c r="D1" s="73" t="s">
        <v>178</v>
      </c>
      <c r="E1" s="72" t="s">
        <v>178</v>
      </c>
      <c r="F1" s="72" t="s">
        <v>178</v>
      </c>
      <c r="G1" s="72" t="s">
        <v>178</v>
      </c>
      <c r="H1" s="72" t="s">
        <v>178</v>
      </c>
      <c r="I1" s="72" t="s">
        <v>178</v>
      </c>
      <c r="J1" s="72" t="s">
        <v>178</v>
      </c>
      <c r="K1" s="72" t="s">
        <v>178</v>
      </c>
      <c r="L1" s="72" t="s">
        <v>178</v>
      </c>
      <c r="M1" s="72" t="s">
        <v>178</v>
      </c>
      <c r="N1" s="72" t="s">
        <v>178</v>
      </c>
      <c r="O1" s="72" t="s">
        <v>178</v>
      </c>
      <c r="P1" s="72" t="s">
        <v>178</v>
      </c>
      <c r="Q1" s="72" t="s">
        <v>178</v>
      </c>
    </row>
    <row r="2" spans="1:17" x14ac:dyDescent="0.4">
      <c r="A2" s="72" t="s">
        <v>9</v>
      </c>
      <c r="B2" s="72" t="s">
        <v>6</v>
      </c>
      <c r="C2" s="72" t="s">
        <v>7</v>
      </c>
      <c r="D2" s="73" t="s">
        <v>16</v>
      </c>
      <c r="E2" s="72" t="s">
        <v>15</v>
      </c>
      <c r="F2" s="72" t="s">
        <v>152</v>
      </c>
      <c r="G2" s="72" t="s">
        <v>151</v>
      </c>
      <c r="H2" s="72" t="s">
        <v>5</v>
      </c>
      <c r="I2" s="72" t="s">
        <v>17</v>
      </c>
      <c r="J2" s="72" t="s">
        <v>18</v>
      </c>
      <c r="K2" s="72" t="s">
        <v>146</v>
      </c>
      <c r="L2" s="72" t="s">
        <v>167</v>
      </c>
      <c r="M2" s="72" t="s">
        <v>129</v>
      </c>
      <c r="N2" s="72" t="s">
        <v>124</v>
      </c>
      <c r="O2" s="72" t="s">
        <v>132</v>
      </c>
      <c r="P2" s="72" t="s">
        <v>153</v>
      </c>
      <c r="Q2" s="72" t="s">
        <v>149</v>
      </c>
    </row>
    <row r="3" spans="1:17" x14ac:dyDescent="0.4">
      <c r="A3" s="71">
        <v>0</v>
      </c>
      <c r="B3" s="68">
        <v>0</v>
      </c>
    </row>
    <row r="4" spans="1:17" x14ac:dyDescent="0.4">
      <c r="A4" s="71">
        <v>1</v>
      </c>
      <c r="B4" s="68">
        <v>17.100000000000001</v>
      </c>
      <c r="C4" s="68">
        <v>17.100000000000001</v>
      </c>
      <c r="D4" s="73">
        <v>1</v>
      </c>
      <c r="E4" s="69">
        <v>1</v>
      </c>
      <c r="F4" s="69">
        <v>0.2857142857142857</v>
      </c>
      <c r="G4" s="69">
        <v>0.14285714285714285</v>
      </c>
      <c r="H4" s="70">
        <v>9850</v>
      </c>
      <c r="I4" s="70">
        <v>-1600</v>
      </c>
      <c r="J4" s="69">
        <v>0</v>
      </c>
      <c r="K4" s="69">
        <v>0</v>
      </c>
      <c r="L4" s="69">
        <v>0</v>
      </c>
      <c r="M4" s="69">
        <v>0</v>
      </c>
      <c r="N4" s="69">
        <v>0.7142857142857143</v>
      </c>
      <c r="O4" s="69">
        <v>0</v>
      </c>
      <c r="P4" s="69">
        <v>0.4</v>
      </c>
      <c r="Q4" s="69">
        <v>0</v>
      </c>
    </row>
    <row r="5" spans="1:17" x14ac:dyDescent="0.4">
      <c r="A5" s="71">
        <v>2</v>
      </c>
      <c r="B5" s="68">
        <v>-38.9</v>
      </c>
      <c r="C5" s="68">
        <v>-19.45</v>
      </c>
      <c r="D5" s="73">
        <v>2</v>
      </c>
      <c r="E5" s="69">
        <v>0.5</v>
      </c>
      <c r="F5" s="69">
        <v>0.125</v>
      </c>
      <c r="G5" s="69">
        <v>0.1875</v>
      </c>
      <c r="H5" s="70">
        <v>9850</v>
      </c>
      <c r="I5" s="70">
        <v>-10533.333333333334</v>
      </c>
      <c r="J5" s="69">
        <v>0.5</v>
      </c>
      <c r="K5" s="69">
        <v>0</v>
      </c>
      <c r="L5" s="69">
        <v>0</v>
      </c>
      <c r="M5" s="69">
        <v>0</v>
      </c>
      <c r="N5" s="69">
        <v>0.4375</v>
      </c>
      <c r="O5" s="69">
        <v>0</v>
      </c>
      <c r="P5" s="69">
        <v>0.2857142857142857</v>
      </c>
      <c r="Q5" s="69">
        <v>0</v>
      </c>
    </row>
    <row r="6" spans="1:17" x14ac:dyDescent="0.4">
      <c r="A6" s="71">
        <v>3</v>
      </c>
      <c r="B6" s="68">
        <v>-84.9</v>
      </c>
      <c r="C6" s="68">
        <v>-28.3</v>
      </c>
      <c r="D6" s="73">
        <v>2.3333333333333335</v>
      </c>
      <c r="E6" s="69">
        <v>0.33333333333333331</v>
      </c>
      <c r="F6" s="69">
        <v>9.5238095238095233E-2</v>
      </c>
      <c r="G6" s="69">
        <v>0.2857142857142857</v>
      </c>
      <c r="H6" s="70">
        <v>9850</v>
      </c>
      <c r="I6" s="70">
        <v>-11266.666666666666</v>
      </c>
      <c r="J6" s="69">
        <v>0.66666666666666663</v>
      </c>
      <c r="K6" s="69">
        <v>0</v>
      </c>
      <c r="L6" s="69">
        <v>0</v>
      </c>
      <c r="M6" s="69">
        <v>4.7619047619047616E-2</v>
      </c>
      <c r="N6" s="69">
        <v>0.42857142857142855</v>
      </c>
      <c r="O6" s="69">
        <v>0</v>
      </c>
      <c r="P6" s="69">
        <v>0.22222222222222221</v>
      </c>
      <c r="Q6" s="69">
        <v>0</v>
      </c>
    </row>
  </sheetData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55681C-C24C-438B-A21D-5C8773227209}">
  <sheetPr codeName="Sheet8"/>
  <dimension ref="A1:Q6"/>
  <sheetViews>
    <sheetView workbookViewId="0"/>
  </sheetViews>
  <sheetFormatPr defaultColWidth="10.75" defaultRowHeight="18.75" x14ac:dyDescent="0.4"/>
  <cols>
    <col min="1" max="1" width="10.75" style="71"/>
    <col min="2" max="3" width="10.75" style="68"/>
    <col min="4" max="4" width="10.75" style="73"/>
    <col min="5" max="7" width="10.75" style="69"/>
    <col min="8" max="9" width="10.75" style="70"/>
    <col min="10" max="17" width="10.75" style="69"/>
    <col min="18" max="16384" width="10.75" style="72"/>
  </cols>
  <sheetData>
    <row r="1" spans="1:17" x14ac:dyDescent="0.4">
      <c r="A1" s="72" t="s">
        <v>133</v>
      </c>
      <c r="B1" s="72" t="s">
        <v>133</v>
      </c>
      <c r="C1" s="72" t="s">
        <v>133</v>
      </c>
      <c r="D1" s="73" t="s">
        <v>133</v>
      </c>
      <c r="E1" s="72" t="s">
        <v>133</v>
      </c>
      <c r="F1" s="72" t="s">
        <v>133</v>
      </c>
      <c r="G1" s="72" t="s">
        <v>133</v>
      </c>
      <c r="H1" s="72" t="s">
        <v>133</v>
      </c>
      <c r="I1" s="72" t="s">
        <v>133</v>
      </c>
      <c r="J1" s="72" t="s">
        <v>133</v>
      </c>
      <c r="K1" s="72" t="s">
        <v>133</v>
      </c>
      <c r="L1" s="72" t="s">
        <v>133</v>
      </c>
      <c r="M1" s="72" t="s">
        <v>133</v>
      </c>
      <c r="N1" s="72" t="s">
        <v>133</v>
      </c>
      <c r="O1" s="72" t="s">
        <v>133</v>
      </c>
      <c r="P1" s="72" t="s">
        <v>133</v>
      </c>
      <c r="Q1" s="72" t="s">
        <v>133</v>
      </c>
    </row>
    <row r="2" spans="1:17" x14ac:dyDescent="0.4">
      <c r="A2" s="72" t="s">
        <v>9</v>
      </c>
      <c r="B2" s="72" t="s">
        <v>6</v>
      </c>
      <c r="C2" s="72" t="s">
        <v>7</v>
      </c>
      <c r="D2" s="73" t="s">
        <v>16</v>
      </c>
      <c r="E2" s="72" t="s">
        <v>15</v>
      </c>
      <c r="F2" s="72" t="s">
        <v>152</v>
      </c>
      <c r="G2" s="72" t="s">
        <v>151</v>
      </c>
      <c r="H2" s="72" t="s">
        <v>5</v>
      </c>
      <c r="I2" s="72" t="s">
        <v>17</v>
      </c>
      <c r="J2" s="72" t="s">
        <v>18</v>
      </c>
      <c r="K2" s="72" t="s">
        <v>146</v>
      </c>
      <c r="L2" s="72" t="s">
        <v>167</v>
      </c>
      <c r="M2" s="72" t="s">
        <v>129</v>
      </c>
      <c r="N2" s="72" t="s">
        <v>124</v>
      </c>
      <c r="O2" s="72" t="s">
        <v>132</v>
      </c>
      <c r="P2" s="72" t="s">
        <v>153</v>
      </c>
      <c r="Q2" s="72" t="s">
        <v>149</v>
      </c>
    </row>
    <row r="3" spans="1:17" x14ac:dyDescent="0.4">
      <c r="A3" s="71">
        <v>0</v>
      </c>
      <c r="B3" s="68">
        <v>0</v>
      </c>
    </row>
    <row r="4" spans="1:17" x14ac:dyDescent="0.4">
      <c r="A4" s="71">
        <v>1</v>
      </c>
      <c r="B4" s="68">
        <v>-14.1</v>
      </c>
      <c r="C4" s="68">
        <v>-14.1</v>
      </c>
      <c r="D4" s="73">
        <v>3</v>
      </c>
      <c r="E4" s="69">
        <v>0</v>
      </c>
      <c r="F4" s="69">
        <v>0.2857142857142857</v>
      </c>
      <c r="G4" s="69">
        <v>0.42857142857142855</v>
      </c>
      <c r="H4" s="70">
        <v>6800</v>
      </c>
      <c r="I4" s="70">
        <v>-6900</v>
      </c>
      <c r="J4" s="69">
        <v>0</v>
      </c>
      <c r="K4" s="69">
        <v>0</v>
      </c>
      <c r="L4" s="69">
        <v>0</v>
      </c>
      <c r="M4" s="69">
        <v>0.42857142857142855</v>
      </c>
      <c r="N4" s="69">
        <v>0.14285714285714285</v>
      </c>
      <c r="O4" s="69">
        <v>0.33333333333333331</v>
      </c>
      <c r="P4" s="69">
        <v>0</v>
      </c>
      <c r="Q4" s="69">
        <v>0.5</v>
      </c>
    </row>
    <row r="5" spans="1:17" x14ac:dyDescent="0.4">
      <c r="A5" s="71">
        <v>2</v>
      </c>
      <c r="B5" s="68">
        <v>60.9</v>
      </c>
      <c r="C5" s="68">
        <v>30.45</v>
      </c>
      <c r="D5" s="73">
        <v>2</v>
      </c>
      <c r="E5" s="69">
        <v>0.5</v>
      </c>
      <c r="F5" s="69">
        <v>0.5</v>
      </c>
      <c r="G5" s="69">
        <v>0.1875</v>
      </c>
      <c r="H5" s="70">
        <v>9950</v>
      </c>
      <c r="I5" s="70">
        <v>-6900</v>
      </c>
      <c r="J5" s="69">
        <v>0</v>
      </c>
      <c r="K5" s="69">
        <v>0.5</v>
      </c>
      <c r="L5" s="69">
        <v>0</v>
      </c>
      <c r="M5" s="69">
        <v>0.4375</v>
      </c>
      <c r="N5" s="69">
        <v>0.3125</v>
      </c>
      <c r="O5" s="69">
        <v>0.5714285714285714</v>
      </c>
      <c r="P5" s="69">
        <v>0.6</v>
      </c>
      <c r="Q5" s="69">
        <v>0.375</v>
      </c>
    </row>
    <row r="6" spans="1:17" x14ac:dyDescent="0.4">
      <c r="A6" s="71">
        <v>3</v>
      </c>
      <c r="B6" s="68">
        <v>105.9</v>
      </c>
      <c r="C6" s="68">
        <v>35.300000000000004</v>
      </c>
      <c r="D6" s="73">
        <v>1.6666666666666667</v>
      </c>
      <c r="E6" s="69">
        <v>0.66666666666666663</v>
      </c>
      <c r="F6" s="69">
        <v>0.5714285714285714</v>
      </c>
      <c r="G6" s="69">
        <v>0.14285714285714285</v>
      </c>
      <c r="H6" s="70">
        <v>9883.3333333333339</v>
      </c>
      <c r="I6" s="70">
        <v>-6900</v>
      </c>
      <c r="J6" s="69">
        <v>0</v>
      </c>
      <c r="K6" s="69">
        <v>0.66666666666666663</v>
      </c>
      <c r="L6" s="69">
        <v>0</v>
      </c>
      <c r="M6" s="69">
        <v>0.47619047619047616</v>
      </c>
      <c r="N6" s="69">
        <v>0.33333333333333331</v>
      </c>
      <c r="O6" s="69">
        <v>0.7</v>
      </c>
      <c r="P6" s="69">
        <v>0.5714285714285714</v>
      </c>
      <c r="Q6" s="69">
        <v>0.41666666666666669</v>
      </c>
    </row>
  </sheetData>
  <phoneticPr fontId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9D4AD2-BB45-441A-9300-F666401D71AF}">
  <sheetPr codeName="Sheet6"/>
  <dimension ref="A1:Q6"/>
  <sheetViews>
    <sheetView workbookViewId="0"/>
  </sheetViews>
  <sheetFormatPr defaultColWidth="10.75" defaultRowHeight="18.75" x14ac:dyDescent="0.4"/>
  <cols>
    <col min="1" max="1" width="10.75" style="71"/>
    <col min="2" max="3" width="10.75" style="68"/>
    <col min="4" max="4" width="10.75" style="73"/>
    <col min="5" max="7" width="10.75" style="69"/>
    <col min="8" max="9" width="10.75" style="70"/>
    <col min="10" max="17" width="10.75" style="69"/>
    <col min="18" max="16384" width="10.75" style="72"/>
  </cols>
  <sheetData>
    <row r="1" spans="1:17" x14ac:dyDescent="0.4">
      <c r="A1" s="72" t="s">
        <v>150</v>
      </c>
      <c r="B1" s="72" t="s">
        <v>150</v>
      </c>
      <c r="C1" s="72" t="s">
        <v>150</v>
      </c>
      <c r="D1" s="73" t="s">
        <v>150</v>
      </c>
      <c r="E1" s="72" t="s">
        <v>150</v>
      </c>
      <c r="F1" s="72" t="s">
        <v>150</v>
      </c>
      <c r="G1" s="72" t="s">
        <v>150</v>
      </c>
      <c r="H1" s="72" t="s">
        <v>150</v>
      </c>
      <c r="I1" s="72" t="s">
        <v>150</v>
      </c>
      <c r="J1" s="72" t="s">
        <v>150</v>
      </c>
      <c r="K1" s="72" t="s">
        <v>150</v>
      </c>
      <c r="L1" s="72" t="s">
        <v>150</v>
      </c>
      <c r="M1" s="72" t="s">
        <v>150</v>
      </c>
      <c r="N1" s="72" t="s">
        <v>150</v>
      </c>
      <c r="O1" s="72" t="s">
        <v>150</v>
      </c>
      <c r="P1" s="72" t="s">
        <v>150</v>
      </c>
      <c r="Q1" s="72" t="s">
        <v>150</v>
      </c>
    </row>
    <row r="2" spans="1:17" x14ac:dyDescent="0.4">
      <c r="A2" s="72" t="s">
        <v>9</v>
      </c>
      <c r="B2" s="72" t="s">
        <v>6</v>
      </c>
      <c r="C2" s="72" t="s">
        <v>7</v>
      </c>
      <c r="D2" s="73" t="s">
        <v>16</v>
      </c>
      <c r="E2" s="72" t="s">
        <v>15</v>
      </c>
      <c r="F2" s="72" t="s">
        <v>152</v>
      </c>
      <c r="G2" s="72" t="s">
        <v>151</v>
      </c>
      <c r="H2" s="72" t="s">
        <v>5</v>
      </c>
      <c r="I2" s="72" t="s">
        <v>17</v>
      </c>
      <c r="J2" s="72" t="s">
        <v>18</v>
      </c>
      <c r="K2" s="72" t="s">
        <v>146</v>
      </c>
      <c r="L2" s="72" t="s">
        <v>167</v>
      </c>
      <c r="M2" s="72" t="s">
        <v>129</v>
      </c>
      <c r="N2" s="72" t="s">
        <v>124</v>
      </c>
      <c r="O2" s="72" t="s">
        <v>132</v>
      </c>
      <c r="P2" s="72" t="s">
        <v>153</v>
      </c>
      <c r="Q2" s="72" t="s">
        <v>149</v>
      </c>
    </row>
    <row r="3" spans="1:17" x14ac:dyDescent="0.4">
      <c r="A3" s="71">
        <v>0</v>
      </c>
      <c r="B3" s="68">
        <v>0</v>
      </c>
    </row>
    <row r="4" spans="1:17" x14ac:dyDescent="0.4">
      <c r="A4" s="71">
        <v>1</v>
      </c>
      <c r="B4" s="68">
        <v>1.7763568394002505E-15</v>
      </c>
      <c r="C4" s="68">
        <v>5.9211894646675012E-16</v>
      </c>
      <c r="D4" s="73">
        <v>2</v>
      </c>
      <c r="E4" s="69">
        <v>0.33333333333333331</v>
      </c>
      <c r="F4" s="69">
        <v>0.2857142857142857</v>
      </c>
      <c r="G4" s="69">
        <v>0.19047619047619047</v>
      </c>
      <c r="H4" s="70">
        <v>6383.333333333333</v>
      </c>
      <c r="I4" s="70">
        <v>-5575</v>
      </c>
      <c r="J4" s="69">
        <v>0</v>
      </c>
      <c r="K4" s="69">
        <v>0</v>
      </c>
      <c r="L4" s="69">
        <v>0</v>
      </c>
      <c r="M4" s="69">
        <v>0.19047619047619047</v>
      </c>
      <c r="N4" s="69">
        <v>0.33333333333333331</v>
      </c>
      <c r="O4" s="69">
        <v>0.5</v>
      </c>
      <c r="P4" s="69">
        <v>0.42857142857142855</v>
      </c>
      <c r="Q4" s="69">
        <v>0.33333333333333331</v>
      </c>
    </row>
    <row r="5" spans="1:17" x14ac:dyDescent="0.4">
      <c r="A5" s="71">
        <v>2</v>
      </c>
      <c r="B5" s="68">
        <v>0</v>
      </c>
      <c r="C5" s="68">
        <v>0</v>
      </c>
      <c r="D5" s="73">
        <v>2</v>
      </c>
      <c r="E5" s="69">
        <v>0.33333333333333331</v>
      </c>
      <c r="F5" s="69">
        <v>0.29166666666666669</v>
      </c>
      <c r="G5" s="69">
        <v>0.16666666666666666</v>
      </c>
      <c r="H5" s="70">
        <v>8592.8571428571431</v>
      </c>
      <c r="I5" s="70">
        <v>-9537.5</v>
      </c>
      <c r="J5" s="69">
        <v>0.16666666666666666</v>
      </c>
      <c r="K5" s="69">
        <v>0.16666666666666666</v>
      </c>
      <c r="L5" s="69">
        <v>0</v>
      </c>
      <c r="M5" s="69">
        <v>0.20833333333333334</v>
      </c>
      <c r="N5" s="69">
        <v>0.27083333333333331</v>
      </c>
      <c r="O5" s="69">
        <v>0.7</v>
      </c>
      <c r="P5" s="69">
        <v>0.46153846153846156</v>
      </c>
      <c r="Q5" s="69">
        <v>0.42857142857142855</v>
      </c>
    </row>
    <row r="6" spans="1:17" x14ac:dyDescent="0.4">
      <c r="A6" s="71">
        <v>3</v>
      </c>
      <c r="B6" s="68">
        <v>0</v>
      </c>
      <c r="C6" s="68">
        <v>0</v>
      </c>
      <c r="D6" s="73">
        <v>2</v>
      </c>
      <c r="E6" s="69">
        <v>0.33333333333333331</v>
      </c>
      <c r="F6" s="69">
        <v>0.30158730158730157</v>
      </c>
      <c r="G6" s="69">
        <v>0.17460317460317459</v>
      </c>
      <c r="H6" s="70">
        <v>9015.78947368421</v>
      </c>
      <c r="I6" s="70">
        <v>-10209.09090909091</v>
      </c>
      <c r="J6" s="69">
        <v>0.22222222222222221</v>
      </c>
      <c r="K6" s="69">
        <v>0.22222222222222221</v>
      </c>
      <c r="L6" s="69">
        <v>0</v>
      </c>
      <c r="M6" s="69">
        <v>0.25396825396825395</v>
      </c>
      <c r="N6" s="69">
        <v>0.26984126984126983</v>
      </c>
      <c r="O6" s="69">
        <v>0.6875</v>
      </c>
      <c r="P6" s="69">
        <v>0.41176470588235292</v>
      </c>
      <c r="Q6" s="69">
        <v>0.42105263157894735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13</vt:i4>
      </vt:variant>
      <vt:variant>
        <vt:lpstr>グラフ</vt:lpstr>
      </vt:variant>
      <vt:variant>
        <vt:i4>16</vt:i4>
      </vt:variant>
    </vt:vector>
  </HeadingPairs>
  <TitlesOfParts>
    <vt:vector size="29" baseType="lpstr">
      <vt:lpstr>Template1</vt:lpstr>
      <vt:lpstr>Cache</vt:lpstr>
      <vt:lpstr>Template2</vt:lpstr>
      <vt:lpstr>Players</vt:lpstr>
      <vt:lpstr>ランキング</vt:lpstr>
      <vt:lpstr>全体</vt:lpstr>
      <vt:lpstr>だいち</vt:lpstr>
      <vt:lpstr>りょうすけ</vt:lpstr>
      <vt:lpstr>てんちゃん</vt:lpstr>
      <vt:lpstr>てんちゃん2</vt:lpstr>
      <vt:lpstr>りょうすけ2</vt:lpstr>
      <vt:lpstr>だいち2</vt:lpstr>
      <vt:lpstr>全体2</vt:lpstr>
      <vt:lpstr>通算スコア</vt:lpstr>
      <vt:lpstr>平均スコア</vt:lpstr>
      <vt:lpstr>平均順位</vt:lpstr>
      <vt:lpstr>トップ率</vt:lpstr>
      <vt:lpstr>アガリ率</vt:lpstr>
      <vt:lpstr>放銃率</vt:lpstr>
      <vt:lpstr>平均アガリ点</vt:lpstr>
      <vt:lpstr>平均放銃点</vt:lpstr>
      <vt:lpstr>ふっとび率</vt:lpstr>
      <vt:lpstr>ふっとばし率</vt:lpstr>
      <vt:lpstr>リーチ率</vt:lpstr>
      <vt:lpstr>副露率</vt:lpstr>
      <vt:lpstr>リーチ成功率</vt:lpstr>
      <vt:lpstr>副露成功率</vt:lpstr>
      <vt:lpstr>ツモ率</vt:lpstr>
      <vt:lpstr>逆転率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2019-03-08T08:40:57Z</dcterms:modified>
</cp:coreProperties>
</file>