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"/>
    </mc:Choice>
  </mc:AlternateContent>
  <xr:revisionPtr revIDLastSave="0" documentId="13_ncr:1_{F3924EDC-CCC7-459A-BAC9-49ED832EA2BE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005" r:id="rId6"/>
    <sheet name="だいち" sheetId="5007" r:id="rId7"/>
    <sheet name="りょうすけ" sheetId="5009" r:id="rId8"/>
    <sheet name="てんちゃん" sheetId="5011" r:id="rId9"/>
    <sheet name="てんちゃん2" sheetId="5012" state="hidden" r:id="rId10"/>
    <sheet name="りょうすけ2" sheetId="5010" state="hidden" r:id="rId11"/>
    <sheet name="だいち2" sheetId="5008" state="hidden" r:id="rId12"/>
    <sheet name="全体2" sheetId="5006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ラス率" sheetId="4886" state="hidden" r:id="rId18"/>
    <sheet name="アガリ率" sheetId="3189" state="hidden" r:id="rId19"/>
    <sheet name="放銃率" sheetId="3190" state="hidden" r:id="rId20"/>
    <sheet name="平均アガリ点" sheetId="3520" state="hidden" r:id="rId21"/>
    <sheet name="平均放銃点" sheetId="3521" state="hidden" r:id="rId22"/>
    <sheet name="ふっとび率" sheetId="3522" state="hidden" r:id="rId23"/>
    <sheet name="ふっとばし率" sheetId="3523" state="hidden" r:id="rId24"/>
    <sheet name="リーチ率" sheetId="3524" state="hidden" r:id="rId25"/>
    <sheet name="副露率" sheetId="3525" state="hidden" r:id="rId26"/>
    <sheet name="リーチ成功率" sheetId="4841" state="hidden" r:id="rId27"/>
    <sheet name="副露成功率" sheetId="3527" state="hidden" r:id="rId28"/>
    <sheet name="ツモ率" sheetId="3528" state="hidden" r:id="rId29"/>
  </sheets>
  <definedNames>
    <definedName name="アガリ数" localSheetId="6">だいち!$B$17</definedName>
    <definedName name="アガリ数" localSheetId="8">てんちゃん!$B$17</definedName>
    <definedName name="アガリ数" localSheetId="7">りょうすけ!$B$17</definedName>
    <definedName name="アガリ数" localSheetId="5">全体!$B$17</definedName>
    <definedName name="アガリ数">Template1!$B$17</definedName>
    <definedName name="アガリ率" localSheetId="6">だいち!$C$17</definedName>
    <definedName name="アガリ率" localSheetId="8">てんちゃん!$C$17</definedName>
    <definedName name="アガリ率" localSheetId="7">りょうすけ!$C$17</definedName>
    <definedName name="アガリ率" localSheetId="5">全体!$C$17</definedName>
    <definedName name="アガリ率">Template1!$C$17</definedName>
    <definedName name="チョンボ数" localSheetId="6">だいち!$B$27</definedName>
    <definedName name="チョンボ数" localSheetId="8">てんちゃん!$B$27</definedName>
    <definedName name="チョンボ数" localSheetId="7">りょうすけ!$B$27</definedName>
    <definedName name="チョンボ数" localSheetId="5">全体!$B$27</definedName>
    <definedName name="チョンボ数">Template1!$B$27</definedName>
    <definedName name="チョンボ率" localSheetId="6">だいち!$C$27</definedName>
    <definedName name="チョンボ率" localSheetId="8">てんちゃん!$C$27</definedName>
    <definedName name="チョンボ率" localSheetId="7">りょうすけ!$C$27</definedName>
    <definedName name="チョンボ率" localSheetId="5">全体!$C$27</definedName>
    <definedName name="チョンボ率">Template1!$C$27</definedName>
    <definedName name="ツモ数" localSheetId="6">だいち!$B$18</definedName>
    <definedName name="ツモ数" localSheetId="8">てんちゃん!$B$18</definedName>
    <definedName name="ツモ数" localSheetId="7">りょうすけ!$B$18</definedName>
    <definedName name="ツモ数" localSheetId="5">全体!$B$18</definedName>
    <definedName name="ツモ数">Template1!$B$18</definedName>
    <definedName name="ツモ率" localSheetId="6">だいち!$C$18</definedName>
    <definedName name="ツモ率" localSheetId="8">てんちゃん!$C$18</definedName>
    <definedName name="ツモ率" localSheetId="7">りょうすけ!$C$18</definedName>
    <definedName name="ツモ率" localSheetId="5">全体!$C$18</definedName>
    <definedName name="ツモ率">Template1!$C$18</definedName>
    <definedName name="トップ数" localSheetId="6">だいち!$B$7</definedName>
    <definedName name="トップ数" localSheetId="8">てんちゃん!$B$7</definedName>
    <definedName name="トップ数" localSheetId="7">りょうすけ!$B$7</definedName>
    <definedName name="トップ数" localSheetId="5">全体!$B$7</definedName>
    <definedName name="トップ数">Template1!$B$7</definedName>
    <definedName name="トップ率" localSheetId="6">だいち!$C$7</definedName>
    <definedName name="トップ率" localSheetId="8">てんちゃん!$C$7</definedName>
    <definedName name="トップ率" localSheetId="7">りょうすけ!$C$7</definedName>
    <definedName name="トップ率" localSheetId="5">全体!$C$7</definedName>
    <definedName name="トップ率">Template1!$C$7</definedName>
    <definedName name="ふっとばし数" localSheetId="6">だいち!$B$11</definedName>
    <definedName name="ふっとばし数" localSheetId="8">てんちゃん!$B$11</definedName>
    <definedName name="ふっとばし数" localSheetId="7">りょうすけ!$B$11</definedName>
    <definedName name="ふっとばし数" localSheetId="5">全体!$B$11</definedName>
    <definedName name="ふっとばし数">Template1!$B$11</definedName>
    <definedName name="ふっとばし率" localSheetId="6">だいち!$C$11</definedName>
    <definedName name="ふっとばし率" localSheetId="8">てんちゃん!$C$11</definedName>
    <definedName name="ふっとばし率" localSheetId="7">りょうすけ!$C$11</definedName>
    <definedName name="ふっとばし率" localSheetId="5">全体!$C$11</definedName>
    <definedName name="ふっとばし率">Template1!$C$11</definedName>
    <definedName name="ふっとび数" localSheetId="6">だいち!$B$10</definedName>
    <definedName name="ふっとび数" localSheetId="8">てんちゃん!$B$10</definedName>
    <definedName name="ふっとび数" localSheetId="7">りょうすけ!$B$10</definedName>
    <definedName name="ふっとび数" localSheetId="5">全体!$B$10</definedName>
    <definedName name="ふっとび数">Template1!$B$10</definedName>
    <definedName name="ふっとび率" localSheetId="6">だいち!$C$10</definedName>
    <definedName name="ふっとび率" localSheetId="8">てんちゃん!$C$10</definedName>
    <definedName name="ふっとび率" localSheetId="7">りょうすけ!$C$10</definedName>
    <definedName name="ふっとび率" localSheetId="5">全体!$C$10</definedName>
    <definedName name="ふっとび率">Template1!$C$10</definedName>
    <definedName name="ラス数" localSheetId="6">だいち!$B$9</definedName>
    <definedName name="ラス数" localSheetId="8">てんちゃん!$B$9</definedName>
    <definedName name="ラス数" localSheetId="7">りょうすけ!$B$9</definedName>
    <definedName name="ラス数" localSheetId="5">全体!$B$9</definedName>
    <definedName name="ラス数">Template1!$B$9</definedName>
    <definedName name="ラス率" localSheetId="6">だいち!$C$9</definedName>
    <definedName name="ラス率" localSheetId="8">てんちゃん!$C$9</definedName>
    <definedName name="ラス率" localSheetId="7">りょうすけ!$C$9</definedName>
    <definedName name="ラス率" localSheetId="5">全体!$C$9</definedName>
    <definedName name="ラス率">Template1!$C$9</definedName>
    <definedName name="リーチ数" localSheetId="6">だいち!$B$13</definedName>
    <definedName name="リーチ数" localSheetId="8">てんちゃん!$B$13</definedName>
    <definedName name="リーチ数" localSheetId="7">りょうすけ!$B$13</definedName>
    <definedName name="リーチ数" localSheetId="5">全体!$B$13</definedName>
    <definedName name="リーチ数">Template1!$B$13</definedName>
    <definedName name="リーチ成功数" localSheetId="6">だいち!$B$15</definedName>
    <definedName name="リーチ成功数" localSheetId="8">てんちゃん!$B$15</definedName>
    <definedName name="リーチ成功数" localSheetId="7">りょうすけ!$B$15</definedName>
    <definedName name="リーチ成功数" localSheetId="5">全体!$B$15</definedName>
    <definedName name="リーチ成功数">Template1!$B$15</definedName>
    <definedName name="リーチ成功率" localSheetId="6">だいち!$C$15</definedName>
    <definedName name="リーチ成功率" localSheetId="8">てんちゃん!$C$15</definedName>
    <definedName name="リーチ成功率" localSheetId="7">りょうすけ!$C$15</definedName>
    <definedName name="リーチ成功率" localSheetId="5">全体!$C$15</definedName>
    <definedName name="リーチ成功率">Template1!$C$15</definedName>
    <definedName name="リーチ率" localSheetId="6">だいち!$C$13</definedName>
    <definedName name="リーチ率" localSheetId="8">てんちゃん!$C$13</definedName>
    <definedName name="リーチ率" localSheetId="7">りょうすけ!$C$13</definedName>
    <definedName name="リーチ率" localSheetId="5">全体!$C$13</definedName>
    <definedName name="リーチ率">Template1!$C$13</definedName>
    <definedName name="ロン数" localSheetId="6">だいち!$B$19</definedName>
    <definedName name="ロン数" localSheetId="8">てんちゃん!$B$19</definedName>
    <definedName name="ロン数" localSheetId="7">りょうすけ!$B$19</definedName>
    <definedName name="ロン数" localSheetId="5">全体!$B$19</definedName>
    <definedName name="ロン数">Template1!$B$19</definedName>
    <definedName name="ロン率" localSheetId="6">だいち!$C$19</definedName>
    <definedName name="ロン率" localSheetId="8">てんちゃん!$C$19</definedName>
    <definedName name="ロン率" localSheetId="7">りょうすけ!$C$19</definedName>
    <definedName name="ロン率" localSheetId="5">全体!$C$19</definedName>
    <definedName name="ロン率">Template1!$C$19</definedName>
    <definedName name="逆転数" localSheetId="6">だいち!$B$12</definedName>
    <definedName name="逆転数" localSheetId="8">てんちゃん!$B$12</definedName>
    <definedName name="逆転数" localSheetId="7">りょうすけ!$B$12</definedName>
    <definedName name="逆転数" localSheetId="5">全体!$B$12</definedName>
    <definedName name="逆転数">Template1!$B$12</definedName>
    <definedName name="逆転率" localSheetId="6">だいち!$C$12</definedName>
    <definedName name="逆転率" localSheetId="8">てんちゃん!$C$12</definedName>
    <definedName name="逆転率" localSheetId="7">りょうすけ!$C$12</definedName>
    <definedName name="逆転率" localSheetId="5">全体!$C$12</definedName>
    <definedName name="逆転率">Template1!$C$12</definedName>
    <definedName name="最大ドラ数" localSheetId="6">だいち!$B$25</definedName>
    <definedName name="最大ドラ数" localSheetId="8">てんちゃん!$B$25</definedName>
    <definedName name="最大ドラ数" localSheetId="7">りょうすけ!$B$25</definedName>
    <definedName name="最大ドラ数" localSheetId="5">全体!$B$25</definedName>
    <definedName name="最大ドラ数">Template1!$B$25</definedName>
    <definedName name="最大点数" localSheetId="6">だいち!$B$26</definedName>
    <definedName name="最大点数" localSheetId="8">てんちゃん!$B$26</definedName>
    <definedName name="最大点数" localSheetId="7">りょうすけ!$B$26</definedName>
    <definedName name="最大点数" localSheetId="5">全体!$B$26</definedName>
    <definedName name="最大点数">Template1!$B$26</definedName>
    <definedName name="総局数" localSheetId="6">だいち!$B$3</definedName>
    <definedName name="総局数" localSheetId="8">てんちゃん!$B$3</definedName>
    <definedName name="総局数" localSheetId="7">りょうすけ!$B$3</definedName>
    <definedName name="総局数" localSheetId="5">全体!$B$3</definedName>
    <definedName name="総局数">Template1!$B$3</definedName>
    <definedName name="対戦数" localSheetId="6">だいち!$B$2</definedName>
    <definedName name="対戦数" localSheetId="8">てんちゃん!$B$2</definedName>
    <definedName name="対戦数" localSheetId="7">りょうすけ!$B$2</definedName>
    <definedName name="対戦数" localSheetId="5">全体!$B$2</definedName>
    <definedName name="対戦数">Template1!$B$2</definedName>
    <definedName name="通算スコア" localSheetId="6">だいち!$B$4</definedName>
    <definedName name="通算スコア" localSheetId="8">てんちゃん!$B$4</definedName>
    <definedName name="通算スコア" localSheetId="7">りょうすけ!$B$4</definedName>
    <definedName name="通算スコア" localSheetId="5">全体!$B$4</definedName>
    <definedName name="通算スコア">Template1!$B$4</definedName>
    <definedName name="副露数" localSheetId="6">だいち!$B$14</definedName>
    <definedName name="副露数" localSheetId="8">てんちゃん!$B$14</definedName>
    <definedName name="副露数" localSheetId="7">りょうすけ!$B$14</definedName>
    <definedName name="副露数" localSheetId="5">全体!$B$14</definedName>
    <definedName name="副露数">Template1!$B$14</definedName>
    <definedName name="副露成功数" localSheetId="6">だいち!$B$16</definedName>
    <definedName name="副露成功数" localSheetId="8">てんちゃん!$B$16</definedName>
    <definedName name="副露成功数" localSheetId="7">りょうすけ!$B$16</definedName>
    <definedName name="副露成功数" localSheetId="5">全体!$B$16</definedName>
    <definedName name="副露成功数">Template1!$B$16</definedName>
    <definedName name="副露成功率" localSheetId="6">だいち!$C$16</definedName>
    <definedName name="副露成功率" localSheetId="8">てんちゃん!$C$16</definedName>
    <definedName name="副露成功率" localSheetId="7">りょうすけ!$C$16</definedName>
    <definedName name="副露成功率" localSheetId="5">全体!$C$16</definedName>
    <definedName name="副露成功率">Template1!$C$16</definedName>
    <definedName name="副露率" localSheetId="6">だいち!$C$14</definedName>
    <definedName name="副露率" localSheetId="8">てんちゃん!$C$14</definedName>
    <definedName name="副露率" localSheetId="7">りょうすけ!$C$14</definedName>
    <definedName name="副露率" localSheetId="5">全体!$C$14</definedName>
    <definedName name="副露率">Template1!$C$14</definedName>
    <definedName name="平均アガリ点" localSheetId="6">だいち!$B$23</definedName>
    <definedName name="平均アガリ点" localSheetId="8">てんちゃん!$B$23</definedName>
    <definedName name="平均アガリ点" localSheetId="7">りょうすけ!$B$23</definedName>
    <definedName name="平均アガリ点" localSheetId="5">全体!$B$23</definedName>
    <definedName name="平均アガリ点">Template1!$B$23</definedName>
    <definedName name="平均スコア" localSheetId="6">だいち!$B$5</definedName>
    <definedName name="平均スコア" localSheetId="8">てんちゃん!$B$5</definedName>
    <definedName name="平均スコア" localSheetId="7">りょうすけ!$B$5</definedName>
    <definedName name="平均スコア" localSheetId="5">全体!$B$5</definedName>
    <definedName name="平均スコア">Template1!$B$5</definedName>
    <definedName name="平均順位" localSheetId="6">だいち!$B$6</definedName>
    <definedName name="平均順位" localSheetId="8">てんちゃん!$B$6</definedName>
    <definedName name="平均順位" localSheetId="7">りょうすけ!$B$6</definedName>
    <definedName name="平均順位" localSheetId="5">全体!$B$6</definedName>
    <definedName name="平均順位">Template1!$B$6</definedName>
    <definedName name="平均放銃点" localSheetId="6">だいち!$B$24</definedName>
    <definedName name="平均放銃点" localSheetId="8">てんちゃん!$B$24</definedName>
    <definedName name="平均放銃点" localSheetId="7">りょうすけ!$B$24</definedName>
    <definedName name="平均放銃点" localSheetId="5">全体!$B$24</definedName>
    <definedName name="平均放銃点">Template1!$B$24</definedName>
    <definedName name="放銃数" localSheetId="6">だいち!$B$20</definedName>
    <definedName name="放銃数" localSheetId="8">てんちゃん!$B$20</definedName>
    <definedName name="放銃数" localSheetId="7">りょうすけ!$B$20</definedName>
    <definedName name="放銃数" localSheetId="5">全体!$B$20</definedName>
    <definedName name="放銃数">Template1!$B$20</definedName>
    <definedName name="放銃率" localSheetId="6">だいち!$C$20</definedName>
    <definedName name="放銃率" localSheetId="8">てんちゃん!$C$20</definedName>
    <definedName name="放銃率" localSheetId="7">りょうすけ!$C$20</definedName>
    <definedName name="放銃率" localSheetId="5">全体!$C$20</definedName>
    <definedName name="放銃率">Template1!$C$20</definedName>
    <definedName name="連続アガリ" localSheetId="6">だいち!$B$21</definedName>
    <definedName name="連続アガリ" localSheetId="8">てんちゃん!$B$21</definedName>
    <definedName name="連続アガリ" localSheetId="7">りょうすけ!$B$21</definedName>
    <definedName name="連続アガリ" localSheetId="5">全体!$B$21</definedName>
    <definedName name="連続アガリ">Template1!$B$21</definedName>
    <definedName name="連続無放銃" localSheetId="6">だいち!$B$22</definedName>
    <definedName name="連続無放銃" localSheetId="8">てんちゃん!$B$22</definedName>
    <definedName name="連続無放銃" localSheetId="7">りょうすけ!$B$22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011" l="1"/>
  <c r="O16" i="5011"/>
  <c r="C27" i="5011"/>
  <c r="B24" i="5011"/>
  <c r="C20" i="5011"/>
  <c r="B17" i="5011"/>
  <c r="H51" i="5011" s="1"/>
  <c r="C16" i="5011"/>
  <c r="C15" i="5011"/>
  <c r="C14" i="5011"/>
  <c r="C13" i="5011"/>
  <c r="O12" i="5011"/>
  <c r="C12" i="5011"/>
  <c r="O11" i="5011"/>
  <c r="C11" i="5011"/>
  <c r="O10" i="5011"/>
  <c r="C10" i="5011"/>
  <c r="C9" i="5011"/>
  <c r="C8" i="5011"/>
  <c r="O7" i="5011"/>
  <c r="C7" i="5011"/>
  <c r="O6" i="5011"/>
  <c r="B6" i="5011"/>
  <c r="O5" i="5011"/>
  <c r="B5" i="5011"/>
  <c r="O4" i="5011"/>
  <c r="O3" i="5011"/>
  <c r="O2" i="5011"/>
  <c r="O16" i="5009"/>
  <c r="O15" i="5009"/>
  <c r="C27" i="5009"/>
  <c r="B24" i="5009"/>
  <c r="C20" i="5009"/>
  <c r="B17" i="5009"/>
  <c r="H50" i="5009" s="1"/>
  <c r="C16" i="5009"/>
  <c r="C15" i="5009"/>
  <c r="C14" i="5009"/>
  <c r="C13" i="5009"/>
  <c r="O12" i="5009"/>
  <c r="C12" i="5009"/>
  <c r="O11" i="5009"/>
  <c r="C11" i="5009"/>
  <c r="O10" i="5009"/>
  <c r="C10" i="5009"/>
  <c r="C9" i="5009"/>
  <c r="C8" i="5009"/>
  <c r="O7" i="5009"/>
  <c r="C7" i="5009"/>
  <c r="O6" i="5009"/>
  <c r="B6" i="5009"/>
  <c r="O5" i="5009"/>
  <c r="B5" i="5009"/>
  <c r="O4" i="5009"/>
  <c r="O3" i="5009"/>
  <c r="O2" i="5009"/>
  <c r="O17" i="5005"/>
  <c r="O16" i="5007"/>
  <c r="O15" i="5007"/>
  <c r="C27" i="5007"/>
  <c r="B24" i="5007"/>
  <c r="C20" i="5007"/>
  <c r="B17" i="5007"/>
  <c r="H51" i="5007" s="1"/>
  <c r="C16" i="5007"/>
  <c r="C15" i="5007"/>
  <c r="C14" i="5007"/>
  <c r="C13" i="5007"/>
  <c r="O12" i="5007"/>
  <c r="C12" i="5007"/>
  <c r="O11" i="5007"/>
  <c r="C11" i="5007"/>
  <c r="O10" i="5007"/>
  <c r="C10" i="5007"/>
  <c r="C9" i="5007"/>
  <c r="C8" i="5007"/>
  <c r="O7" i="5007"/>
  <c r="C7" i="5007"/>
  <c r="O6" i="5007"/>
  <c r="B6" i="5007"/>
  <c r="O5" i="5007"/>
  <c r="B5" i="5007"/>
  <c r="O4" i="5007"/>
  <c r="O3" i="5007"/>
  <c r="O2" i="5007"/>
  <c r="O16" i="5005"/>
  <c r="O15" i="5005"/>
  <c r="C27" i="5005"/>
  <c r="B24" i="5005"/>
  <c r="C20" i="5005"/>
  <c r="B17" i="5005"/>
  <c r="H50" i="5005" s="1"/>
  <c r="C16" i="5005"/>
  <c r="C15" i="5005"/>
  <c r="C14" i="5005"/>
  <c r="C13" i="5005"/>
  <c r="O12" i="5005"/>
  <c r="C12" i="5005"/>
  <c r="O11" i="5005"/>
  <c r="C11" i="5005"/>
  <c r="O10" i="5005"/>
  <c r="C10" i="5005"/>
  <c r="C9" i="5005"/>
  <c r="C8" i="5005"/>
  <c r="O7" i="5005"/>
  <c r="C7" i="5005"/>
  <c r="O6" i="5005"/>
  <c r="B6" i="5005"/>
  <c r="O5" i="5005"/>
  <c r="B5" i="5005"/>
  <c r="O4" i="5005"/>
  <c r="O3" i="5005"/>
  <c r="O2" i="5005"/>
  <c r="H22" i="5009" l="1"/>
  <c r="H21" i="5011"/>
  <c r="H9" i="5009"/>
  <c r="H13" i="5009"/>
  <c r="H30" i="5011"/>
  <c r="H39" i="5011"/>
  <c r="H40" i="5011"/>
  <c r="H44" i="5011"/>
  <c r="H25" i="5011"/>
  <c r="H31" i="5011"/>
  <c r="H45" i="5011"/>
  <c r="H11" i="5011"/>
  <c r="H14" i="5011"/>
  <c r="H3" i="5011"/>
  <c r="H19" i="5011"/>
  <c r="H22" i="5011"/>
  <c r="H6" i="5011"/>
  <c r="H27" i="5011"/>
  <c r="H5" i="5011"/>
  <c r="H10" i="5011"/>
  <c r="H23" i="5011"/>
  <c r="H36" i="5011"/>
  <c r="H47" i="5011"/>
  <c r="H12" i="5011"/>
  <c r="C17" i="5011"/>
  <c r="B23" i="5011"/>
  <c r="H4" i="5011"/>
  <c r="H46" i="5011"/>
  <c r="H20" i="5011"/>
  <c r="C19" i="5011"/>
  <c r="H28" i="5011"/>
  <c r="H37" i="5011"/>
  <c r="H48" i="5011"/>
  <c r="H7" i="5011"/>
  <c r="H26" i="5011"/>
  <c r="H32" i="5011"/>
  <c r="C18" i="5011"/>
  <c r="H33" i="5011"/>
  <c r="H9" i="5011"/>
  <c r="H2" i="5011"/>
  <c r="H13" i="5011"/>
  <c r="H18" i="5011"/>
  <c r="H24" i="5011"/>
  <c r="H38" i="5011"/>
  <c r="H8" i="5011"/>
  <c r="H16" i="5011"/>
  <c r="H34" i="5011"/>
  <c r="H41" i="5011"/>
  <c r="H49" i="5011"/>
  <c r="H15" i="5011"/>
  <c r="H29" i="5011"/>
  <c r="H35" i="5011"/>
  <c r="H42" i="5011"/>
  <c r="H50" i="5011"/>
  <c r="H17" i="5011"/>
  <c r="H43" i="5011"/>
  <c r="H13" i="5005"/>
  <c r="H19" i="5009"/>
  <c r="H35" i="5009"/>
  <c r="H43" i="5009"/>
  <c r="H33" i="5009"/>
  <c r="H24" i="5009"/>
  <c r="H2" i="5009"/>
  <c r="H44" i="5009"/>
  <c r="C19" i="5009"/>
  <c r="H15" i="5009"/>
  <c r="H36" i="5009"/>
  <c r="H21" i="5009"/>
  <c r="H28" i="5009"/>
  <c r="H45" i="5009"/>
  <c r="H3" i="5009"/>
  <c r="H30" i="5009"/>
  <c r="H46" i="5009"/>
  <c r="H12" i="5009"/>
  <c r="H26" i="5009"/>
  <c r="H17" i="5009"/>
  <c r="H11" i="5009"/>
  <c r="B23" i="5009"/>
  <c r="H31" i="5009"/>
  <c r="H39" i="5009"/>
  <c r="H49" i="5009"/>
  <c r="C17" i="5009"/>
  <c r="H48" i="5009"/>
  <c r="H7" i="5009"/>
  <c r="C18" i="5009"/>
  <c r="H27" i="5009"/>
  <c r="H18" i="5009"/>
  <c r="H40" i="5009"/>
  <c r="H51" i="5009"/>
  <c r="H14" i="5009"/>
  <c r="H37" i="5009"/>
  <c r="H6" i="5009"/>
  <c r="H16" i="5009"/>
  <c r="H38" i="5009"/>
  <c r="H8" i="5009"/>
  <c r="H20" i="5009"/>
  <c r="H4" i="5009"/>
  <c r="H10" i="5009"/>
  <c r="H23" i="5009"/>
  <c r="H32" i="5009"/>
  <c r="H41" i="5009"/>
  <c r="H5" i="5009"/>
  <c r="H47" i="5009"/>
  <c r="H25" i="5009"/>
  <c r="H29" i="5009"/>
  <c r="H34" i="5009"/>
  <c r="H42" i="5009"/>
  <c r="H2" i="5007"/>
  <c r="H29" i="5007"/>
  <c r="H24" i="5007"/>
  <c r="H4" i="5007"/>
  <c r="H37" i="5007"/>
  <c r="H23" i="5007"/>
  <c r="H44" i="5007"/>
  <c r="H14" i="5007"/>
  <c r="H9" i="5007"/>
  <c r="C18" i="5007"/>
  <c r="H10" i="5007"/>
  <c r="H22" i="5007"/>
  <c r="C19" i="5007"/>
  <c r="H5" i="5007"/>
  <c r="H38" i="5007"/>
  <c r="H26" i="5007"/>
  <c r="H41" i="5007"/>
  <c r="H6" i="5007"/>
  <c r="H11" i="5007"/>
  <c r="H3" i="5007"/>
  <c r="H18" i="5007"/>
  <c r="H19" i="5007"/>
  <c r="H17" i="5007"/>
  <c r="H45" i="5007"/>
  <c r="H46" i="5007"/>
  <c r="H13" i="5007"/>
  <c r="C17" i="5007"/>
  <c r="H49" i="5007"/>
  <c r="H12" i="5007"/>
  <c r="H30" i="5007"/>
  <c r="H8" i="5007"/>
  <c r="H21" i="5007"/>
  <c r="B23" i="5007"/>
  <c r="H33" i="5007"/>
  <c r="H16" i="5007"/>
  <c r="H20" i="5007"/>
  <c r="H36" i="5007"/>
  <c r="H7" i="5007"/>
  <c r="H31" i="5007"/>
  <c r="H39" i="5007"/>
  <c r="H47" i="5007"/>
  <c r="H25" i="5007"/>
  <c r="H27" i="5007"/>
  <c r="H32" i="5007"/>
  <c r="H40" i="5007"/>
  <c r="H48" i="5007"/>
  <c r="H15" i="5007"/>
  <c r="H28" i="5007"/>
  <c r="H34" i="5007"/>
  <c r="H42" i="5007"/>
  <c r="H50" i="5007"/>
  <c r="H35" i="5007"/>
  <c r="H43" i="5007"/>
  <c r="H2" i="5005"/>
  <c r="H9" i="5005"/>
  <c r="H27" i="5005"/>
  <c r="H12" i="5005"/>
  <c r="H24" i="5005"/>
  <c r="H28" i="5005"/>
  <c r="H14" i="5005"/>
  <c r="H18" i="5005"/>
  <c r="H36" i="5005"/>
  <c r="C17" i="5005"/>
  <c r="H47" i="5005"/>
  <c r="H16" i="5005"/>
  <c r="B23" i="5005"/>
  <c r="H48" i="5005"/>
  <c r="H6" i="5005"/>
  <c r="H20" i="5005"/>
  <c r="C18" i="5005"/>
  <c r="H23" i="5005"/>
  <c r="H40" i="5005"/>
  <c r="H49" i="5005"/>
  <c r="H15" i="5005"/>
  <c r="H21" i="5005"/>
  <c r="H3" i="5005"/>
  <c r="H37" i="5005"/>
  <c r="H19" i="5005"/>
  <c r="H38" i="5005"/>
  <c r="H32" i="5005"/>
  <c r="H22" i="5005"/>
  <c r="H4" i="5005"/>
  <c r="H10" i="5005"/>
  <c r="H26" i="5005"/>
  <c r="H33" i="5005"/>
  <c r="H41" i="5005"/>
  <c r="H51" i="5005"/>
  <c r="H44" i="5005"/>
  <c r="H45" i="5005"/>
  <c r="H31" i="5005"/>
  <c r="H46" i="5005"/>
  <c r="H8" i="5005"/>
  <c r="H11" i="5005"/>
  <c r="H39" i="5005"/>
  <c r="H5" i="5005"/>
  <c r="H25" i="5005"/>
  <c r="C19" i="5005"/>
  <c r="H29" i="5005"/>
  <c r="H34" i="5005"/>
  <c r="H43" i="5005"/>
  <c r="H7" i="5005"/>
  <c r="H17" i="5005"/>
  <c r="H30" i="5005"/>
  <c r="H35" i="5005"/>
  <c r="H42" i="500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H6" i="2228" s="1"/>
  <c r="C16" i="2228"/>
  <c r="C15" i="2228"/>
  <c r="C9" i="2228"/>
  <c r="C7" i="2228"/>
  <c r="B6" i="2228"/>
  <c r="B5" i="2228"/>
  <c r="H5" i="2228" l="1"/>
  <c r="B23" i="2228"/>
  <c r="H51" i="2228"/>
  <c r="H44" i="2228"/>
  <c r="H36" i="2228"/>
  <c r="H28" i="2228"/>
  <c r="H20" i="2228"/>
  <c r="H13" i="2228"/>
  <c r="H4" i="2228"/>
  <c r="H50" i="2228"/>
  <c r="H42" i="2228"/>
  <c r="H34" i="2228"/>
  <c r="H26" i="2228"/>
  <c r="H11" i="2228"/>
  <c r="H2" i="2228"/>
  <c r="H48" i="2228"/>
  <c r="H32" i="2228"/>
  <c r="H17" i="2228"/>
  <c r="H47" i="2228"/>
  <c r="H31" i="2228"/>
  <c r="H8" i="2228"/>
  <c r="H30" i="2228"/>
  <c r="H7" i="2228"/>
  <c r="H45" i="2228"/>
  <c r="H21" i="2228"/>
  <c r="H43" i="2228"/>
  <c r="H35" i="2228"/>
  <c r="H27" i="2228"/>
  <c r="H19" i="2228"/>
  <c r="H12" i="2228"/>
  <c r="H3" i="2228"/>
  <c r="H16" i="2228"/>
  <c r="H22" i="2228"/>
  <c r="H49" i="2228"/>
  <c r="H41" i="2228"/>
  <c r="H33" i="2228"/>
  <c r="H25" i="2228"/>
  <c r="H18" i="2228"/>
  <c r="H10" i="2228"/>
  <c r="H40" i="2228"/>
  <c r="H24" i="2228"/>
  <c r="H9" i="2228"/>
  <c r="H39" i="2228"/>
  <c r="H23" i="2228"/>
  <c r="H38" i="2228"/>
  <c r="H15" i="2228"/>
  <c r="H37" i="2228"/>
  <c r="H14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<sst xmlns="http://schemas.openxmlformats.org/spreadsheetml/2006/main" count="1060" uniqueCount="184">
  <si>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</si>
  <si>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</si>
  <si>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</si>
  <si>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</si>
  <si>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</si>
  <si>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</si>
  <si>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</si>
  <si>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</si>
  <si>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</si>
  <si>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</si>
  <si>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</si>
  <si>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</si>
  <si>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</si>
  <si>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</si>
  <si>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</si>
  <si>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</si>
  <si>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</si>
  <si>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</si>
  <si>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</si>
  <si>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</si>
  <si>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</si>
  <si>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</si>
  <si>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</si>
  <si>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</si>
  <si>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</si>
  <si>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</si>
  <si>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</si>
  <si>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</si>
  <si>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</si>
  <si>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</si>
  <si>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</si>
  <si>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</si>
  <si>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</si>
  <si>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</si>
  <si>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</si>
  <si>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</si>
  <si>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</si>
  <si>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</si>
  <si>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</si>
  <si>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</si>
  <si>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</si>
  <si>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</si>
  <si>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</si>
  <si>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</si>
  <si>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</si>
  <si>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</si>
  <si>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</si>
  <si>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</si>
  <si>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</si>
  <si>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</si>
  <si>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</si>
  <si>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</si>
  <si>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</si>
  <si>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</si>
  <si>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</si>
  <si>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</si>
  <si>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</si>
  <si>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</si>
  <si>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</si>
  <si>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</si>
  <si>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</si>
  <si>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</si>
  <si>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</si>
  <si>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</si>
  <si>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</si>
  <si>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</si>
  <si>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</si>
  <si>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</si>
  <si>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</si>
  <si>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</si>
  <si>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</si>
  <si>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</si>
  <si>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</si>
  <si>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</si>
  <si>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</si>
  <si>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</si>
  <si>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</si>
  <si>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</si>
  <si>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</si>
  <si>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</si>
  <si>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</si>
  <si>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</si>
  <si>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</si>
  <si>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</si>
  <si>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</si>
  <si>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</si>
  <si>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</si>
  <si>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</si>
  <si>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</si>
  <si>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</si>
  <si>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</si>
  <si>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</si>
  <si>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</si>
  <si>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</si>
  <si>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</si>
  <si>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</si>
  <si>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</si>
  <si>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</si>
  <si>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</si>
  <si>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</si>
  <si>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</si>
  <si>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</si>
  <si>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</si>
  <si>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</si>
  <si>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</si>
  <si>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</si>
  <si>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</si>
  <si>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</si>
  <si>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</si>
  <si>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</si>
  <si>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</si>
  <si>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</si>
  <si>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</si>
  <si>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</si>
  <si>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</si>
  <si>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</si>
  <si>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</si>
  <si>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</si>
  <si>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</si>
  <si>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</si>
  <si>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</si>
  <si>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</si>
  <si>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</si>
  <si>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</si>
  <si>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</si>
  <si>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</si>
  <si>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</si>
  <si>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</si>
  <si>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</si>
  <si>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</si>
  <si>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</si>
  <si>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</si>
  <si>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</si>
  <si>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</si>
  <si>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</si>
  <si>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</si>
  <si>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</si>
  <si>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</si>
  <si>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</si>
  <si>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</si>
  <si>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</si>
  <si>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</si>
  <si>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</si>
  <si>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</si>
  <si>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</si>
  <si>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</si>
  <si>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</si>
  <si>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</si>
  <si>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</si>
  <si>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</si>
  <si>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</si>
  <si>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</si>
  <si>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</si>
  <si>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</si>
  <si>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</si>
  <si>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</si>
  <si>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</si>
  <si>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</si>
  <si>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</si>
  <si>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</si>
  <si>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</si>
  <si>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</si>
  <si>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</si>
  <si>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</si>
  <si>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</si>
  <si>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</si>
  <si>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</si>
  <si>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Sheet4</t>
  </si>
  <si>
    <t>Sheet5</t>
  </si>
  <si>
    <t>52</t>
    <phoneticPr fontId="1"/>
  </si>
  <si>
    <t>赤ドラ</t>
    <rPh sb="0" eb="1">
      <t>アカ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</si>
  <si>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</si>
  <si>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</si>
  <si>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  <phoneticPr fontId="1"/>
  </si>
  <si>
    <t>ガリ</t>
    <phoneticPr fontId="1"/>
  </si>
  <si>
    <t>2019-03-08.xlsm</t>
  </si>
  <si>
    <t>りょうすけ</t>
  </si>
  <si>
    <t>てんちゃん</t>
  </si>
  <si>
    <t>2019-03-21.xlsm</t>
  </si>
  <si>
    <t>2019-04-29.xlsm</t>
  </si>
  <si>
    <t>2019-07-05.xlsm</t>
  </si>
  <si>
    <t>2019-07-21.xlsm</t>
  </si>
  <si>
    <t>2019-08-16.xlsm</t>
  </si>
  <si>
    <t>2020-03-15.xlsm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</si>
</sst>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全体!$L$2:$L$68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-14.1</c:v>
                </c:pt>
                <c:pt idx="2">
                  <c:v>3.0000000000000018</c:v>
                </c:pt>
                <c:pt idx="3">
                  <c:v>1.7763568394002505E-15</c:v>
                </c:pt>
                <c:pt idx="4">
                  <c:v>75</c:v>
                </c:pt>
                <c:pt idx="5">
                  <c:v>19</c:v>
                </c:pt>
                <c:pt idx="6">
                  <c:v>0</c:v>
                </c:pt>
                <c:pt idx="7">
                  <c:v>45</c:v>
                </c:pt>
                <c:pt idx="8">
                  <c:v>-1</c:v>
                </c:pt>
                <c:pt idx="9">
                  <c:v>0</c:v>
                </c:pt>
                <c:pt idx="10">
                  <c:v>28.5</c:v>
                </c:pt>
                <c:pt idx="11">
                  <c:v>38.6</c:v>
                </c:pt>
                <c:pt idx="12">
                  <c:v>0</c:v>
                </c:pt>
                <c:pt idx="13">
                  <c:v>18.100000000000001</c:v>
                </c:pt>
                <c:pt idx="14">
                  <c:v>-31.699999999999996</c:v>
                </c:pt>
                <c:pt idx="15">
                  <c:v>3.5527136788005009E-15</c:v>
                </c:pt>
                <c:pt idx="16">
                  <c:v>6.8000000000000034</c:v>
                </c:pt>
                <c:pt idx="17">
                  <c:v>-0.8999999999999968</c:v>
                </c:pt>
                <c:pt idx="18">
                  <c:v>3.219646771412954E-15</c:v>
                </c:pt>
                <c:pt idx="19">
                  <c:v>75.8</c:v>
                </c:pt>
                <c:pt idx="20">
                  <c:v>11.799999999999997</c:v>
                </c:pt>
                <c:pt idx="21">
                  <c:v>-3.5527136788005009E-15</c:v>
                </c:pt>
                <c:pt idx="22">
                  <c:v>37</c:v>
                </c:pt>
                <c:pt idx="23">
                  <c:v>30.1</c:v>
                </c:pt>
                <c:pt idx="24">
                  <c:v>0</c:v>
                </c:pt>
                <c:pt idx="25">
                  <c:v>0</c:v>
                </c:pt>
                <c:pt idx="26">
                  <c:v>-64.7</c:v>
                </c:pt>
                <c:pt idx="27">
                  <c:v>0</c:v>
                </c:pt>
                <c:pt idx="28">
                  <c:v>43.1</c:v>
                </c:pt>
                <c:pt idx="29">
                  <c:v>33.299999999999997</c:v>
                </c:pt>
                <c:pt idx="30">
                  <c:v>0</c:v>
                </c:pt>
                <c:pt idx="31">
                  <c:v>43.6</c:v>
                </c:pt>
                <c:pt idx="32">
                  <c:v>34.299999999999997</c:v>
                </c:pt>
                <c:pt idx="33">
                  <c:v>0</c:v>
                </c:pt>
                <c:pt idx="34">
                  <c:v>-7.1</c:v>
                </c:pt>
                <c:pt idx="35">
                  <c:v>-69.8</c:v>
                </c:pt>
                <c:pt idx="36">
                  <c:v>0</c:v>
                </c:pt>
                <c:pt idx="37">
                  <c:v>-15.4</c:v>
                </c:pt>
                <c:pt idx="38">
                  <c:v>-75.2</c:v>
                </c:pt>
                <c:pt idx="39">
                  <c:v>0</c:v>
                </c:pt>
                <c:pt idx="40">
                  <c:v>15</c:v>
                </c:pt>
                <c:pt idx="41">
                  <c:v>61</c:v>
                </c:pt>
                <c:pt idx="42">
                  <c:v>0</c:v>
                </c:pt>
                <c:pt idx="43">
                  <c:v>-29</c:v>
                </c:pt>
                <c:pt idx="44">
                  <c:v>-1.3999999999999986</c:v>
                </c:pt>
                <c:pt idx="45">
                  <c:v>1.3322676295501878E-15</c:v>
                </c:pt>
                <c:pt idx="46">
                  <c:v>-50</c:v>
                </c:pt>
                <c:pt idx="47">
                  <c:v>-57</c:v>
                </c:pt>
                <c:pt idx="48">
                  <c:v>0</c:v>
                </c:pt>
                <c:pt idx="49">
                  <c:v>38.299999999999997</c:v>
                </c:pt>
                <c:pt idx="50">
                  <c:v>7.4999999999999964</c:v>
                </c:pt>
                <c:pt idx="51">
                  <c:v>-3.5527136788005009E-15</c:v>
                </c:pt>
                <c:pt idx="52">
                  <c:v>-37.100000000000009</c:v>
                </c:pt>
                <c:pt idx="53">
                  <c:v>-7.7000000000000099</c:v>
                </c:pt>
                <c:pt idx="54">
                  <c:v>-9.7699626167013776E-15</c:v>
                </c:pt>
                <c:pt idx="55">
                  <c:v>-56.70000000000001</c:v>
                </c:pt>
                <c:pt idx="56">
                  <c:v>18.999999999999993</c:v>
                </c:pt>
                <c:pt idx="57">
                  <c:v>-7.1054273576010019E-15</c:v>
                </c:pt>
                <c:pt idx="58">
                  <c:v>-66.300000000000011</c:v>
                </c:pt>
                <c:pt idx="59">
                  <c:v>-20.70000000000001</c:v>
                </c:pt>
                <c:pt idx="60">
                  <c:v>-1.0658141036401503E-14</c:v>
                </c:pt>
                <c:pt idx="61">
                  <c:v>-40.200000000000017</c:v>
                </c:pt>
                <c:pt idx="62">
                  <c:v>-9.0000000000000178</c:v>
                </c:pt>
                <c:pt idx="63">
                  <c:v>-1.7763568394002505E-14</c:v>
                </c:pt>
                <c:pt idx="64">
                  <c:v>-32.600000000000023</c:v>
                </c:pt>
                <c:pt idx="65">
                  <c:v>-38.90000000000002</c:v>
                </c:pt>
                <c:pt idx="66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29-4E16-9EA3-F33F23D83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-45.454545454545453</c:v>
                </c:pt>
                <c:pt idx="2">
                  <c:v>52.631578947368418</c:v>
                </c:pt>
                <c:pt idx="3">
                  <c:v>-22.222222222222221</c:v>
                </c:pt>
                <c:pt idx="4">
                  <c:v>30.303030303030305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E-4923-8D2A-C37ECE2DA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だいち!$L$2:$L$24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-14.1</c:v>
                </c:pt>
                <c:pt idx="2">
                  <c:v>60.9</c:v>
                </c:pt>
                <c:pt idx="3">
                  <c:v>105.9</c:v>
                </c:pt>
                <c:pt idx="4">
                  <c:v>134.4</c:v>
                </c:pt>
                <c:pt idx="5">
                  <c:v>152.5</c:v>
                </c:pt>
                <c:pt idx="6">
                  <c:v>159.30000000000001</c:v>
                </c:pt>
                <c:pt idx="7">
                  <c:v>235.10000000000002</c:v>
                </c:pt>
                <c:pt idx="8">
                  <c:v>272.10000000000002</c:v>
                </c:pt>
                <c:pt idx="9">
                  <c:v>272.10000000000002</c:v>
                </c:pt>
                <c:pt idx="10">
                  <c:v>315.20000000000005</c:v>
                </c:pt>
                <c:pt idx="11">
                  <c:v>358.80000000000007</c:v>
                </c:pt>
                <c:pt idx="12">
                  <c:v>296.10000000000008</c:v>
                </c:pt>
                <c:pt idx="13">
                  <c:v>236.30000000000007</c:v>
                </c:pt>
                <c:pt idx="14">
                  <c:v>282.30000000000007</c:v>
                </c:pt>
                <c:pt idx="15">
                  <c:v>309.90000000000009</c:v>
                </c:pt>
                <c:pt idx="16">
                  <c:v>302.90000000000009</c:v>
                </c:pt>
                <c:pt idx="17">
                  <c:v>295.40000000000009</c:v>
                </c:pt>
                <c:pt idx="18">
                  <c:v>303.10000000000008</c:v>
                </c:pt>
                <c:pt idx="19">
                  <c:v>378.80000000000007</c:v>
                </c:pt>
                <c:pt idx="20">
                  <c:v>424.40000000000009</c:v>
                </c:pt>
                <c:pt idx="21">
                  <c:v>455.60000000000008</c:v>
                </c:pt>
                <c:pt idx="22">
                  <c:v>449.30000000000007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0A-4867-AAEC-C0E21089B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222.72727272727272</c:v>
                </c:pt>
                <c:pt idx="1">
                  <c:v>7581.818181818182</c:v>
                </c:pt>
                <c:pt idx="2">
                  <c:v>926.31578947368416</c:v>
                </c:pt>
                <c:pt idx="3">
                  <c:v>6886.666666666667</c:v>
                </c:pt>
                <c:pt idx="4">
                  <c:v>-3818.181818181818</c:v>
                </c:pt>
                <c:pt idx="5">
                  <c:v>2214.2857142857142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1-473E-AF80-F52A6FDA1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りょうすけ!$L$1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りょうすけ!$K$2:$K$24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りょうすけ!$L$2:$L$24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17.100000000000001</c:v>
                </c:pt>
                <c:pt idx="2">
                  <c:v>-38.9</c:v>
                </c:pt>
                <c:pt idx="3">
                  <c:v>-84.9</c:v>
                </c:pt>
                <c:pt idx="4">
                  <c:v>-74.800000000000011</c:v>
                </c:pt>
                <c:pt idx="5">
                  <c:v>-124.60000000000001</c:v>
                </c:pt>
                <c:pt idx="6">
                  <c:v>-132.30000000000001</c:v>
                </c:pt>
                <c:pt idx="7">
                  <c:v>-196.3</c:v>
                </c:pt>
                <c:pt idx="8">
                  <c:v>-203.20000000000002</c:v>
                </c:pt>
                <c:pt idx="9">
                  <c:v>-267.90000000000003</c:v>
                </c:pt>
                <c:pt idx="10">
                  <c:v>-277.70000000000005</c:v>
                </c:pt>
                <c:pt idx="11">
                  <c:v>-287.00000000000006</c:v>
                </c:pt>
                <c:pt idx="12">
                  <c:v>-294.10000000000008</c:v>
                </c:pt>
                <c:pt idx="13">
                  <c:v>-309.50000000000006</c:v>
                </c:pt>
                <c:pt idx="14">
                  <c:v>-370.50000000000006</c:v>
                </c:pt>
                <c:pt idx="15">
                  <c:v>-369.10000000000008</c:v>
                </c:pt>
                <c:pt idx="16">
                  <c:v>-312.10000000000008</c:v>
                </c:pt>
                <c:pt idx="17">
                  <c:v>-273.80000000000007</c:v>
                </c:pt>
                <c:pt idx="18">
                  <c:v>-310.90000000000009</c:v>
                </c:pt>
                <c:pt idx="19">
                  <c:v>-367.60000000000008</c:v>
                </c:pt>
                <c:pt idx="20">
                  <c:v>-433.90000000000009</c:v>
                </c:pt>
                <c:pt idx="21">
                  <c:v>-474.10000000000008</c:v>
                </c:pt>
                <c:pt idx="22">
                  <c:v>-506.7000000000001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C9-4753-8B54-0D103268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りょうすけ!$O$1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りょうすけ!$N$2:$N$7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りょうすけ!$O$2:$O$7</c:f>
              <c:numCache>
                <c:formatCode>\+0;\-0;\±0</c:formatCode>
                <c:ptCount val="6"/>
                <c:pt idx="0">
                  <c:v>-1368.1818181818182</c:v>
                </c:pt>
                <c:pt idx="1">
                  <c:v>-8490.9090909090901</c:v>
                </c:pt>
                <c:pt idx="2">
                  <c:v>-3078.9473684210525</c:v>
                </c:pt>
                <c:pt idx="3">
                  <c:v>-5440</c:v>
                </c:pt>
                <c:pt idx="4">
                  <c:v>-690.90909090909088</c:v>
                </c:pt>
                <c:pt idx="5">
                  <c:v>-1442.8571428571429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73-4F72-8B6E-7341A5610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てんちゃん!$L$2:$L$24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  <c:pt idx="4">
                  <c:v>-59.6</c:v>
                </c:pt>
                <c:pt idx="5">
                  <c:v>-27.900000000000002</c:v>
                </c:pt>
                <c:pt idx="6">
                  <c:v>-27.000000000000004</c:v>
                </c:pt>
                <c:pt idx="7">
                  <c:v>-38.800000000000004</c:v>
                </c:pt>
                <c:pt idx="8">
                  <c:v>-68.900000000000006</c:v>
                </c:pt>
                <c:pt idx="9">
                  <c:v>-4.2000000000000028</c:v>
                </c:pt>
                <c:pt idx="10">
                  <c:v>-37.5</c:v>
                </c:pt>
                <c:pt idx="11">
                  <c:v>-71.8</c:v>
                </c:pt>
                <c:pt idx="12">
                  <c:v>-2</c:v>
                </c:pt>
                <c:pt idx="13">
                  <c:v>73.2</c:v>
                </c:pt>
                <c:pt idx="14">
                  <c:v>88.2</c:v>
                </c:pt>
                <c:pt idx="15">
                  <c:v>59.2</c:v>
                </c:pt>
                <c:pt idx="16">
                  <c:v>9.2000000000000028</c:v>
                </c:pt>
                <c:pt idx="17">
                  <c:v>-21.599999999999998</c:v>
                </c:pt>
                <c:pt idx="18">
                  <c:v>7.8000000000000007</c:v>
                </c:pt>
                <c:pt idx="19">
                  <c:v>-11.2</c:v>
                </c:pt>
                <c:pt idx="20">
                  <c:v>9.5</c:v>
                </c:pt>
                <c:pt idx="21">
                  <c:v>18.5</c:v>
                </c:pt>
                <c:pt idx="22">
                  <c:v>57.4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8B-493F-9845-533855941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1145.4545454545455</c:v>
                </c:pt>
                <c:pt idx="1">
                  <c:v>772.72727272727275</c:v>
                </c:pt>
                <c:pt idx="2">
                  <c:v>2310.5263157894738</c:v>
                </c:pt>
                <c:pt idx="3">
                  <c:v>-1513.3333333333333</c:v>
                </c:pt>
                <c:pt idx="4">
                  <c:v>4600</c:v>
                </c:pt>
                <c:pt idx="5">
                  <c:v>-771.42857142857144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3-4F6B-8B14-581AC4928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てんちゃん2!$B$1:$B$2</c:f>
              <c:strCache>
                <c:ptCount val="2"/>
                <c:pt idx="0">
                  <c:v>てんちゃん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てんちゃん2!$B$3:$B$25</c:f>
              <c:numCache>
                <c:formatCode>\+0.0;\-0.0;\±0</c:formatCode>
                <c:ptCount val="23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  <c:pt idx="4">
                  <c:v>-59.6</c:v>
                </c:pt>
                <c:pt idx="5">
                  <c:v>-27.900000000000002</c:v>
                </c:pt>
                <c:pt idx="6">
                  <c:v>-27.000000000000004</c:v>
                </c:pt>
                <c:pt idx="7">
                  <c:v>-38.800000000000004</c:v>
                </c:pt>
                <c:pt idx="8">
                  <c:v>-68.900000000000006</c:v>
                </c:pt>
                <c:pt idx="9">
                  <c:v>-4.2000000000000028</c:v>
                </c:pt>
                <c:pt idx="10">
                  <c:v>-37.5</c:v>
                </c:pt>
                <c:pt idx="11">
                  <c:v>-71.8</c:v>
                </c:pt>
                <c:pt idx="12">
                  <c:v>-2</c:v>
                </c:pt>
                <c:pt idx="13">
                  <c:v>73.2</c:v>
                </c:pt>
                <c:pt idx="14">
                  <c:v>88.2</c:v>
                </c:pt>
                <c:pt idx="15">
                  <c:v>59.2</c:v>
                </c:pt>
                <c:pt idx="16">
                  <c:v>9.2000000000000028</c:v>
                </c:pt>
                <c:pt idx="17">
                  <c:v>-21.599999999999998</c:v>
                </c:pt>
                <c:pt idx="18">
                  <c:v>7.8000000000000007</c:v>
                </c:pt>
                <c:pt idx="19">
                  <c:v>-11.2</c:v>
                </c:pt>
                <c:pt idx="20">
                  <c:v>9.5</c:v>
                </c:pt>
                <c:pt idx="21">
                  <c:v>18.5</c:v>
                </c:pt>
                <c:pt idx="22">
                  <c:v>57.4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てんちゃん2!$C$1:$C$2</c:f>
              <c:strCache>
                <c:ptCount val="2"/>
                <c:pt idx="0">
                  <c:v>てんちゃん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てんちゃん2!$C$3:$C$25</c:f>
              <c:numCache>
                <c:formatCode>\+0.0;\-0.0;\±0</c:formatCode>
                <c:ptCount val="23"/>
                <c:pt idx="1">
                  <c:v>-3</c:v>
                </c:pt>
                <c:pt idx="2">
                  <c:v>-11</c:v>
                </c:pt>
                <c:pt idx="3">
                  <c:v>-7</c:v>
                </c:pt>
                <c:pt idx="4">
                  <c:v>-14.9</c:v>
                </c:pt>
                <c:pt idx="5">
                  <c:v>-5.58</c:v>
                </c:pt>
                <c:pt idx="6">
                  <c:v>-4.5000000000000009</c:v>
                </c:pt>
                <c:pt idx="7">
                  <c:v>-5.5428571428571436</c:v>
                </c:pt>
                <c:pt idx="8">
                  <c:v>-8.6125000000000007</c:v>
                </c:pt>
                <c:pt idx="9">
                  <c:v>-0.46666666666666701</c:v>
                </c:pt>
                <c:pt idx="10">
                  <c:v>-3.75</c:v>
                </c:pt>
                <c:pt idx="11">
                  <c:v>-6.5272727272727273</c:v>
                </c:pt>
                <c:pt idx="12">
                  <c:v>-0.16666666666666666</c:v>
                </c:pt>
                <c:pt idx="13">
                  <c:v>5.6307692307692312</c:v>
                </c:pt>
                <c:pt idx="14">
                  <c:v>6.3</c:v>
                </c:pt>
                <c:pt idx="15">
                  <c:v>3.9466666666666668</c:v>
                </c:pt>
                <c:pt idx="16">
                  <c:v>0.57500000000000018</c:v>
                </c:pt>
                <c:pt idx="17">
                  <c:v>-1.2705882352941176</c:v>
                </c:pt>
                <c:pt idx="18">
                  <c:v>0.43333333333333335</c:v>
                </c:pt>
                <c:pt idx="19">
                  <c:v>-0.58947368421052626</c:v>
                </c:pt>
                <c:pt idx="20">
                  <c:v>0.47499999999999998</c:v>
                </c:pt>
                <c:pt idx="21">
                  <c:v>0.88095238095238093</c:v>
                </c:pt>
                <c:pt idx="22">
                  <c:v>2.6090909090909089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2297397080004555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てんちゃん2!$D$1:$D$2</c:f>
              <c:strCache>
                <c:ptCount val="2"/>
                <c:pt idx="0">
                  <c:v>てんちゃん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てんちゃん2!$D$3:$D$25</c:f>
              <c:numCache>
                <c:formatCode>0.00\ "位"</c:formatCode>
                <c:ptCount val="23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2.125</c:v>
                </c:pt>
                <c:pt idx="9">
                  <c:v>2</c:v>
                </c:pt>
                <c:pt idx="10">
                  <c:v>2.1</c:v>
                </c:pt>
                <c:pt idx="11">
                  <c:v>2.1818181818181817</c:v>
                </c:pt>
                <c:pt idx="12">
                  <c:v>2.0833333333333335</c:v>
                </c:pt>
                <c:pt idx="13">
                  <c:v>2</c:v>
                </c:pt>
                <c:pt idx="14">
                  <c:v>2</c:v>
                </c:pt>
                <c:pt idx="15">
                  <c:v>2.0666666666666669</c:v>
                </c:pt>
                <c:pt idx="16">
                  <c:v>2.125</c:v>
                </c:pt>
                <c:pt idx="17">
                  <c:v>2.1764705882352939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てんちゃん2!$E$1:$E$2</c:f>
              <c:strCache>
                <c:ptCount val="2"/>
                <c:pt idx="0">
                  <c:v>てんちゃん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てんちゃん2!$E$3:$E$25</c:f>
              <c:numCache>
                <c:formatCode>0.0%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てんちゃん2!$F$1:$F$2</c:f>
              <c:strCache>
                <c:ptCount val="2"/>
                <c:pt idx="0">
                  <c:v>てんちゃん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てんちゃん2!$F$3:$F$25</c:f>
              <c:numCache>
                <c:formatCode>0.0%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てんちゃん2!$G$1:$G$2</c:f>
              <c:strCache>
                <c:ptCount val="2"/>
                <c:pt idx="0">
                  <c:v>てんちゃん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てんちゃん2!$G$3:$G$25</c:f>
              <c:numCache>
                <c:formatCode>0.0%</c:formatCode>
                <c:ptCount val="23"/>
                <c:pt idx="1">
                  <c:v>0.2857142857142857</c:v>
                </c:pt>
                <c:pt idx="2">
                  <c:v>0.25</c:v>
                </c:pt>
                <c:pt idx="3">
                  <c:v>0.23809523809523808</c:v>
                </c:pt>
                <c:pt idx="4">
                  <c:v>0.18518518518518517</c:v>
                </c:pt>
                <c:pt idx="5">
                  <c:v>0.20588235294117646</c:v>
                </c:pt>
                <c:pt idx="6">
                  <c:v>0.21428571428571427</c:v>
                </c:pt>
                <c:pt idx="7">
                  <c:v>0.21739130434782608</c:v>
                </c:pt>
                <c:pt idx="8">
                  <c:v>0.22641509433962265</c:v>
                </c:pt>
                <c:pt idx="9">
                  <c:v>0.2807017543859649</c:v>
                </c:pt>
                <c:pt idx="10">
                  <c:v>0.26984126984126983</c:v>
                </c:pt>
                <c:pt idx="11">
                  <c:v>0.24285714285714285</c:v>
                </c:pt>
                <c:pt idx="12">
                  <c:v>0.26666666666666666</c:v>
                </c:pt>
                <c:pt idx="13">
                  <c:v>0.29268292682926828</c:v>
                </c:pt>
                <c:pt idx="14">
                  <c:v>0.30681818181818182</c:v>
                </c:pt>
                <c:pt idx="15">
                  <c:v>0.29473684210526313</c:v>
                </c:pt>
                <c:pt idx="16">
                  <c:v>0.28431372549019607</c:v>
                </c:pt>
                <c:pt idx="17">
                  <c:v>0.2831858407079646</c:v>
                </c:pt>
                <c:pt idx="18">
                  <c:v>0.29838709677419356</c:v>
                </c:pt>
                <c:pt idx="19">
                  <c:v>0.296875</c:v>
                </c:pt>
                <c:pt idx="20">
                  <c:v>0.29927007299270075</c:v>
                </c:pt>
                <c:pt idx="21">
                  <c:v>0.30821917808219179</c:v>
                </c:pt>
                <c:pt idx="22">
                  <c:v>0.32051282051282054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0598290598290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てんちゃん2!$H$1:$H$2</c:f>
              <c:strCache>
                <c:ptCount val="2"/>
                <c:pt idx="0">
                  <c:v>てんちゃん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てんちゃん2!$H$3:$H$25</c:f>
              <c:numCache>
                <c:formatCode>0.0%</c:formatCode>
                <c:ptCount val="23"/>
                <c:pt idx="1">
                  <c:v>0</c:v>
                </c:pt>
                <c:pt idx="2">
                  <c:v>0.125</c:v>
                </c:pt>
                <c:pt idx="3">
                  <c:v>9.5238095238095233E-2</c:v>
                </c:pt>
                <c:pt idx="4">
                  <c:v>0.14814814814814814</c:v>
                </c:pt>
                <c:pt idx="5">
                  <c:v>0.11764705882352941</c:v>
                </c:pt>
                <c:pt idx="6">
                  <c:v>9.5238095238095233E-2</c:v>
                </c:pt>
                <c:pt idx="7">
                  <c:v>0.13043478260869565</c:v>
                </c:pt>
                <c:pt idx="8">
                  <c:v>0.13207547169811321</c:v>
                </c:pt>
                <c:pt idx="9">
                  <c:v>0.12280701754385964</c:v>
                </c:pt>
                <c:pt idx="10">
                  <c:v>0.14285714285714285</c:v>
                </c:pt>
                <c:pt idx="11">
                  <c:v>0.12857142857142856</c:v>
                </c:pt>
                <c:pt idx="12">
                  <c:v>0.12</c:v>
                </c:pt>
                <c:pt idx="13">
                  <c:v>0.12195121951219512</c:v>
                </c:pt>
                <c:pt idx="14">
                  <c:v>0.125</c:v>
                </c:pt>
                <c:pt idx="15">
                  <c:v>0.1368421052631579</c:v>
                </c:pt>
                <c:pt idx="16">
                  <c:v>0.14705882352941177</c:v>
                </c:pt>
                <c:pt idx="17">
                  <c:v>0.1415929203539823</c:v>
                </c:pt>
                <c:pt idx="18">
                  <c:v>0.14516129032258066</c:v>
                </c:pt>
                <c:pt idx="19">
                  <c:v>0.1484375</c:v>
                </c:pt>
                <c:pt idx="20">
                  <c:v>0.13868613138686131</c:v>
                </c:pt>
                <c:pt idx="21">
                  <c:v>0.13013698630136986</c:v>
                </c:pt>
                <c:pt idx="22">
                  <c:v>0.14743589743589744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3076923076923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てんちゃん2!$I$1:$I$2</c:f>
              <c:strCache>
                <c:ptCount val="2"/>
                <c:pt idx="0">
                  <c:v>てんちゃん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てんちゃん2!$I$3:$I$25</c:f>
              <c:numCache>
                <c:formatCode>0</c:formatCode>
                <c:ptCount val="23"/>
                <c:pt idx="1">
                  <c:v>2500</c:v>
                </c:pt>
                <c:pt idx="2">
                  <c:v>5250</c:v>
                </c:pt>
                <c:pt idx="3">
                  <c:v>6600</c:v>
                </c:pt>
                <c:pt idx="4">
                  <c:v>6600</c:v>
                </c:pt>
                <c:pt idx="5">
                  <c:v>10714.285714285714</c:v>
                </c:pt>
                <c:pt idx="6">
                  <c:v>11000</c:v>
                </c:pt>
                <c:pt idx="7">
                  <c:v>11100</c:v>
                </c:pt>
                <c:pt idx="8">
                  <c:v>10241.666666666666</c:v>
                </c:pt>
                <c:pt idx="9">
                  <c:v>10412.5</c:v>
                </c:pt>
                <c:pt idx="10">
                  <c:v>10505.882352941177</c:v>
                </c:pt>
                <c:pt idx="11">
                  <c:v>10505.882352941177</c:v>
                </c:pt>
                <c:pt idx="12">
                  <c:v>11470</c:v>
                </c:pt>
                <c:pt idx="13">
                  <c:v>12629.166666666666</c:v>
                </c:pt>
                <c:pt idx="14">
                  <c:v>12707.407407407407</c:v>
                </c:pt>
                <c:pt idx="15">
                  <c:v>12539.285714285714</c:v>
                </c:pt>
                <c:pt idx="16">
                  <c:v>12382.758620689656</c:v>
                </c:pt>
                <c:pt idx="17">
                  <c:v>11793.75</c:v>
                </c:pt>
                <c:pt idx="18">
                  <c:v>10654.054054054053</c:v>
                </c:pt>
                <c:pt idx="19">
                  <c:v>10847.368421052632</c:v>
                </c:pt>
                <c:pt idx="20">
                  <c:v>10931.707317073171</c:v>
                </c:pt>
                <c:pt idx="21">
                  <c:v>10493.333333333334</c:v>
                </c:pt>
                <c:pt idx="22">
                  <c:v>10360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605.8823529411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てんちゃん2!$J$1:$J$2</c:f>
              <c:strCache>
                <c:ptCount val="2"/>
                <c:pt idx="0">
                  <c:v>てんちゃん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てんちゃん2!$J$3:$J$25</c:f>
              <c:numCache>
                <c:formatCode>0</c:formatCode>
                <c:ptCount val="23"/>
                <c:pt idx="1">
                  <c:v>0</c:v>
                </c:pt>
                <c:pt idx="2">
                  <c:v>-12000</c:v>
                </c:pt>
                <c:pt idx="3">
                  <c:v>-12000</c:v>
                </c:pt>
                <c:pt idx="4">
                  <c:v>-10900</c:v>
                </c:pt>
                <c:pt idx="5">
                  <c:v>-10900</c:v>
                </c:pt>
                <c:pt idx="6">
                  <c:v>-10900</c:v>
                </c:pt>
                <c:pt idx="7">
                  <c:v>-9400</c:v>
                </c:pt>
                <c:pt idx="8">
                  <c:v>-9771.4285714285706</c:v>
                </c:pt>
                <c:pt idx="9">
                  <c:v>-9771.4285714285706</c:v>
                </c:pt>
                <c:pt idx="10">
                  <c:v>-10266.666666666666</c:v>
                </c:pt>
                <c:pt idx="11">
                  <c:v>-10266.666666666666</c:v>
                </c:pt>
                <c:pt idx="12">
                  <c:v>-10266.666666666666</c:v>
                </c:pt>
                <c:pt idx="13">
                  <c:v>-10040</c:v>
                </c:pt>
                <c:pt idx="14">
                  <c:v>-10218.181818181818</c:v>
                </c:pt>
                <c:pt idx="15">
                  <c:v>-9876.9230769230762</c:v>
                </c:pt>
                <c:pt idx="16">
                  <c:v>-10160</c:v>
                </c:pt>
                <c:pt idx="17">
                  <c:v>-11025</c:v>
                </c:pt>
                <c:pt idx="18">
                  <c:v>-10211.111111111111</c:v>
                </c:pt>
                <c:pt idx="19">
                  <c:v>-10305.263157894737</c:v>
                </c:pt>
                <c:pt idx="20">
                  <c:v>-10305.263157894737</c:v>
                </c:pt>
                <c:pt idx="21">
                  <c:v>-10305.263157894737</c:v>
                </c:pt>
                <c:pt idx="22">
                  <c:v>-9595.652173913044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0809.8765432098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てんちゃん2!$K$1:$K$2</c:f>
              <c:strCache>
                <c:ptCount val="2"/>
                <c:pt idx="0">
                  <c:v>てんちゃん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てんちゃん2!$K$3:$K$25</c:f>
              <c:numCache>
                <c:formatCode>0.0%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てんちゃん2!$L$1:$L$2</c:f>
              <c:strCache>
                <c:ptCount val="2"/>
                <c:pt idx="0">
                  <c:v>てんちゃん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てんちゃん2!$L$3:$L$25</c:f>
              <c:numCache>
                <c:formatCode>0.0%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てんちゃん2!$M$1:$M$2</c:f>
              <c:strCache>
                <c:ptCount val="2"/>
                <c:pt idx="0">
                  <c:v>てんちゃん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てんちゃん2!$M$3:$M$25</c:f>
              <c:numCache>
                <c:formatCode>0.0%</c:formatCode>
                <c:ptCount val="23"/>
                <c:pt idx="1">
                  <c:v>0.14285714285714285</c:v>
                </c:pt>
                <c:pt idx="2">
                  <c:v>0.1875</c:v>
                </c:pt>
                <c:pt idx="3">
                  <c:v>0.23809523809523808</c:v>
                </c:pt>
                <c:pt idx="4">
                  <c:v>0.29629629629629628</c:v>
                </c:pt>
                <c:pt idx="5">
                  <c:v>0.3235294117647059</c:v>
                </c:pt>
                <c:pt idx="6">
                  <c:v>0.35714285714285715</c:v>
                </c:pt>
                <c:pt idx="7">
                  <c:v>0.32608695652173914</c:v>
                </c:pt>
                <c:pt idx="8">
                  <c:v>0.30188679245283018</c:v>
                </c:pt>
                <c:pt idx="9">
                  <c:v>0.33333333333333331</c:v>
                </c:pt>
                <c:pt idx="10">
                  <c:v>0.34920634920634919</c:v>
                </c:pt>
                <c:pt idx="11">
                  <c:v>0.31428571428571428</c:v>
                </c:pt>
                <c:pt idx="12">
                  <c:v>0.33333333333333331</c:v>
                </c:pt>
                <c:pt idx="13">
                  <c:v>0.32926829268292684</c:v>
                </c:pt>
                <c:pt idx="14">
                  <c:v>0.35227272727272729</c:v>
                </c:pt>
                <c:pt idx="15">
                  <c:v>0.3473684210526316</c:v>
                </c:pt>
                <c:pt idx="16">
                  <c:v>0.33333333333333331</c:v>
                </c:pt>
                <c:pt idx="17">
                  <c:v>0.30088495575221241</c:v>
                </c:pt>
                <c:pt idx="18">
                  <c:v>0.29032258064516131</c:v>
                </c:pt>
                <c:pt idx="19">
                  <c:v>0.2890625</c:v>
                </c:pt>
                <c:pt idx="20">
                  <c:v>0.29927007299270075</c:v>
                </c:pt>
                <c:pt idx="21">
                  <c:v>0.30136986301369861</c:v>
                </c:pt>
                <c:pt idx="22">
                  <c:v>0.30128205128205127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188034188034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てんちゃん2!$N$1:$N$2</c:f>
              <c:strCache>
                <c:ptCount val="2"/>
                <c:pt idx="0">
                  <c:v>てんちゃん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てんちゃん2!$N$3:$N$25</c:f>
              <c:numCache>
                <c:formatCode>0.0%</c:formatCode>
                <c:ptCount val="23"/>
                <c:pt idx="1">
                  <c:v>0.14285714285714285</c:v>
                </c:pt>
                <c:pt idx="2">
                  <c:v>6.25E-2</c:v>
                </c:pt>
                <c:pt idx="3">
                  <c:v>4.7619047619047616E-2</c:v>
                </c:pt>
                <c:pt idx="4">
                  <c:v>3.7037037037037035E-2</c:v>
                </c:pt>
                <c:pt idx="5">
                  <c:v>2.9411764705882353E-2</c:v>
                </c:pt>
                <c:pt idx="6">
                  <c:v>7.1428571428571425E-2</c:v>
                </c:pt>
                <c:pt idx="7">
                  <c:v>8.6956521739130432E-2</c:v>
                </c:pt>
                <c:pt idx="8">
                  <c:v>9.4339622641509441E-2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0.14285714285714285</c:v>
                </c:pt>
                <c:pt idx="12">
                  <c:v>0.13333333333333333</c:v>
                </c:pt>
                <c:pt idx="13">
                  <c:v>0.15853658536585366</c:v>
                </c:pt>
                <c:pt idx="14">
                  <c:v>0.15909090909090909</c:v>
                </c:pt>
                <c:pt idx="15">
                  <c:v>0.17894736842105263</c:v>
                </c:pt>
                <c:pt idx="16">
                  <c:v>0.20588235294117646</c:v>
                </c:pt>
                <c:pt idx="17">
                  <c:v>0.23008849557522124</c:v>
                </c:pt>
                <c:pt idx="18">
                  <c:v>0.24193548387096775</c:v>
                </c:pt>
                <c:pt idx="19">
                  <c:v>0.234375</c:v>
                </c:pt>
                <c:pt idx="20">
                  <c:v>0.22627737226277372</c:v>
                </c:pt>
                <c:pt idx="21">
                  <c:v>0.24657534246575341</c:v>
                </c:pt>
                <c:pt idx="22">
                  <c:v>0.23717948717948717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8547008547008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てんちゃん2!$O$1:$O$2</c:f>
              <c:strCache>
                <c:ptCount val="2"/>
                <c:pt idx="0">
                  <c:v>てんちゃん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てんちゃん2!$O$3:$O$25</c:f>
              <c:numCache>
                <c:formatCode>0.0%</c:formatCode>
                <c:ptCount val="23"/>
                <c:pt idx="1">
                  <c:v>1</c:v>
                </c:pt>
                <c:pt idx="2">
                  <c:v>1</c:v>
                </c:pt>
                <c:pt idx="3">
                  <c:v>0.8</c:v>
                </c:pt>
                <c:pt idx="4">
                  <c:v>0.5</c:v>
                </c:pt>
                <c:pt idx="5">
                  <c:v>0.54545454545454541</c:v>
                </c:pt>
                <c:pt idx="6">
                  <c:v>0.53333333333333333</c:v>
                </c:pt>
                <c:pt idx="7">
                  <c:v>0.53333333333333333</c:v>
                </c:pt>
                <c:pt idx="8">
                  <c:v>0.5625</c:v>
                </c:pt>
                <c:pt idx="9">
                  <c:v>0.63157894736842102</c:v>
                </c:pt>
                <c:pt idx="10">
                  <c:v>0.59090909090909094</c:v>
                </c:pt>
                <c:pt idx="11">
                  <c:v>0.59090909090909094</c:v>
                </c:pt>
                <c:pt idx="12">
                  <c:v>0.64</c:v>
                </c:pt>
                <c:pt idx="13">
                  <c:v>0.62962962962962965</c:v>
                </c:pt>
                <c:pt idx="14">
                  <c:v>0.61290322580645162</c:v>
                </c:pt>
                <c:pt idx="15">
                  <c:v>0.5757575757575758</c:v>
                </c:pt>
                <c:pt idx="16">
                  <c:v>0.58823529411764708</c:v>
                </c:pt>
                <c:pt idx="17">
                  <c:v>0.58823529411764708</c:v>
                </c:pt>
                <c:pt idx="18">
                  <c:v>0.55555555555555558</c:v>
                </c:pt>
                <c:pt idx="19">
                  <c:v>0.56756756756756754</c:v>
                </c:pt>
                <c:pt idx="20">
                  <c:v>0.58536585365853655</c:v>
                </c:pt>
                <c:pt idx="21">
                  <c:v>0.56818181818181823</c:v>
                </c:pt>
                <c:pt idx="22">
                  <c:v>0.5957446808510638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09022556390977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てんちゃん2!$P$1:$P$2</c:f>
              <c:strCache>
                <c:ptCount val="2"/>
                <c:pt idx="0">
                  <c:v>てんちゃん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てんちゃん2!$P$3:$P$25</c:f>
              <c:numCache>
                <c:formatCode>0.0%</c:formatCode>
                <c:ptCount val="23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0.33333333333333331</c:v>
                </c:pt>
                <c:pt idx="7">
                  <c:v>0.5</c:v>
                </c:pt>
                <c:pt idx="8">
                  <c:v>0.6</c:v>
                </c:pt>
                <c:pt idx="9">
                  <c:v>0.66666666666666663</c:v>
                </c:pt>
                <c:pt idx="10">
                  <c:v>0.66666666666666663</c:v>
                </c:pt>
                <c:pt idx="11">
                  <c:v>0.4</c:v>
                </c:pt>
                <c:pt idx="12">
                  <c:v>0.4</c:v>
                </c:pt>
                <c:pt idx="13">
                  <c:v>0.46153846153846156</c:v>
                </c:pt>
                <c:pt idx="14">
                  <c:v>0.5</c:v>
                </c:pt>
                <c:pt idx="15">
                  <c:v>0.47058823529411764</c:v>
                </c:pt>
                <c:pt idx="16">
                  <c:v>0.38095238095238093</c:v>
                </c:pt>
                <c:pt idx="17">
                  <c:v>0.42307692307692307</c:v>
                </c:pt>
                <c:pt idx="18">
                  <c:v>0.46666666666666667</c:v>
                </c:pt>
                <c:pt idx="19">
                  <c:v>0.46666666666666667</c:v>
                </c:pt>
                <c:pt idx="20">
                  <c:v>0.45161290322580644</c:v>
                </c:pt>
                <c:pt idx="21">
                  <c:v>0.47222222222222221</c:v>
                </c:pt>
                <c:pt idx="22">
                  <c:v>0.48648648648648651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63636363636363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てんちゃん2!$Q$1:$Q$2</c:f>
              <c:strCache>
                <c:ptCount val="2"/>
                <c:pt idx="0">
                  <c:v>てんちゃん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てんちゃん2!$A$3:$A$25</c:f>
              <c:numCache>
                <c:formatCode>0\ "回"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てんちゃん2!$Q$3:$Q$25</c:f>
              <c:numCache>
                <c:formatCode>0.0%</c:formatCode>
                <c:ptCount val="23"/>
                <c:pt idx="1">
                  <c:v>0.5</c:v>
                </c:pt>
                <c:pt idx="2">
                  <c:v>0.75</c:v>
                </c:pt>
                <c:pt idx="3">
                  <c:v>0.6</c:v>
                </c:pt>
                <c:pt idx="4">
                  <c:v>0.6</c:v>
                </c:pt>
                <c:pt idx="5">
                  <c:v>0.42857142857142855</c:v>
                </c:pt>
                <c:pt idx="6">
                  <c:v>0.55555555555555558</c:v>
                </c:pt>
                <c:pt idx="7">
                  <c:v>0.5</c:v>
                </c:pt>
                <c:pt idx="8">
                  <c:v>0.41666666666666669</c:v>
                </c:pt>
                <c:pt idx="9">
                  <c:v>0.3125</c:v>
                </c:pt>
                <c:pt idx="10">
                  <c:v>0.35294117647058826</c:v>
                </c:pt>
                <c:pt idx="11">
                  <c:v>0.35294117647058826</c:v>
                </c:pt>
                <c:pt idx="12">
                  <c:v>0.4</c:v>
                </c:pt>
                <c:pt idx="13">
                  <c:v>0.45833333333333331</c:v>
                </c:pt>
                <c:pt idx="14">
                  <c:v>0.44444444444444442</c:v>
                </c:pt>
                <c:pt idx="15">
                  <c:v>0.42857142857142855</c:v>
                </c:pt>
                <c:pt idx="16">
                  <c:v>0.44827586206896552</c:v>
                </c:pt>
                <c:pt idx="17">
                  <c:v>0.40625</c:v>
                </c:pt>
                <c:pt idx="18">
                  <c:v>0.40540540540540543</c:v>
                </c:pt>
                <c:pt idx="19">
                  <c:v>0.39473684210526316</c:v>
                </c:pt>
                <c:pt idx="20">
                  <c:v>0.3902439024390244</c:v>
                </c:pt>
                <c:pt idx="21">
                  <c:v>0.4</c:v>
                </c:pt>
                <c:pt idx="22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7058823529411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59765625" style="1" customWidth="1"/>
    <col min="11" max="11" width="3.5" style="5" customWidth="1"/>
    <col min="12" max="12" width="9" style="99" customWidth="1"/>
    <col min="13" max="13" width="3.59765625" style="1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1"/>
  </cols>
  <sheetData>
    <row r="1" spans="1:17" x14ac:dyDescent="0.45">
      <c r="A1" s="20" t="s">
        <v>0</v>
      </c>
      <c r="B1" s="144"/>
      <c r="C1" s="145"/>
      <c r="E1" s="129" t="s">
        <v>165</v>
      </c>
      <c r="F1" s="12" t="s">
        <v>116</v>
      </c>
      <c r="G1" s="26" t="s">
        <v>117</v>
      </c>
      <c r="H1" s="130" t="s">
        <v>118</v>
      </c>
      <c r="I1" s="100" t="s">
        <v>152</v>
      </c>
      <c r="K1" s="2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157</v>
      </c>
    </row>
    <row r="2" spans="1:17" x14ac:dyDescent="0.45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130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5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131</v>
      </c>
      <c r="O3" s="122">
        <f t="shared" si="0"/>
        <v>0</v>
      </c>
      <c r="P3" s="119">
        <v>0</v>
      </c>
      <c r="Q3" s="103">
        <v>0</v>
      </c>
    </row>
    <row r="4" spans="1:17" x14ac:dyDescent="0.45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132</v>
      </c>
      <c r="O4" s="122">
        <f t="shared" si="0"/>
        <v>0</v>
      </c>
      <c r="P4" s="119">
        <v>0</v>
      </c>
      <c r="Q4" s="103">
        <v>0</v>
      </c>
    </row>
    <row r="5" spans="1:17" x14ac:dyDescent="0.45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133</v>
      </c>
      <c r="O5" s="122">
        <f t="shared" si="0"/>
        <v>0</v>
      </c>
      <c r="P5" s="119">
        <v>0</v>
      </c>
      <c r="Q5" s="103">
        <v>0</v>
      </c>
    </row>
    <row r="6" spans="1:17" x14ac:dyDescent="0.45">
      <c r="A6" s="22" t="s">
        <v>1</v>
      </c>
      <c r="B6" s="142">
        <f>IF(B$2=0,0,(B$7*1+B$8*2+B$9*3)/B$2)</f>
        <v>0</v>
      </c>
      <c r="C6" s="143"/>
      <c r="E6" s="63" t="s">
        <v>173</v>
      </c>
      <c r="F6" s="60" t="s">
        <v>174</v>
      </c>
      <c r="G6" s="47">
        <v>0</v>
      </c>
      <c r="H6" s="133">
        <f>IF(B$17=0,0,G6/B$17)</f>
        <v>0</v>
      </c>
      <c r="I6" s="94"/>
      <c r="N6" s="115" t="s">
        <v>134</v>
      </c>
      <c r="O6" s="122">
        <f t="shared" si="0"/>
        <v>0</v>
      </c>
      <c r="P6" s="119">
        <v>0</v>
      </c>
      <c r="Q6" s="103">
        <v>0</v>
      </c>
    </row>
    <row r="7" spans="1:17" x14ac:dyDescent="0.45">
      <c r="A7" s="22" t="s">
        <v>2</v>
      </c>
      <c r="B7" s="15">
        <v>0</v>
      </c>
      <c r="C7" s="6">
        <f>IF(B$2=0,0,B7/B$2)</f>
        <v>0</v>
      </c>
      <c r="E7" s="63" t="s">
        <v>69</v>
      </c>
      <c r="F7" s="28" t="s">
        <v>12</v>
      </c>
      <c r="G7" s="15">
        <v>0</v>
      </c>
      <c r="H7" s="133">
        <f t="shared" si="1"/>
        <v>0</v>
      </c>
      <c r="I7" s="94"/>
      <c r="N7" s="116" t="s">
        <v>135</v>
      </c>
      <c r="O7" s="123">
        <f t="shared" si="0"/>
        <v>0</v>
      </c>
      <c r="P7" s="120">
        <v>0</v>
      </c>
      <c r="Q7" s="104">
        <v>0</v>
      </c>
    </row>
    <row r="8" spans="1:17" x14ac:dyDescent="0.45">
      <c r="A8" s="22" t="s">
        <v>3</v>
      </c>
      <c r="B8" s="15">
        <v>0</v>
      </c>
      <c r="C8" s="6">
        <f>IF(B$2=0,0,B8/B$2)</f>
        <v>0</v>
      </c>
      <c r="E8" s="63" t="s">
        <v>70</v>
      </c>
      <c r="F8" s="28" t="s">
        <v>25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5">
      <c r="A9" s="23" t="s">
        <v>4</v>
      </c>
      <c r="B9" s="16">
        <v>0</v>
      </c>
      <c r="C9" s="7">
        <f t="shared" ref="C9" si="2">IF(B$2=0,0,B9/B$2)</f>
        <v>0</v>
      </c>
      <c r="E9" s="63" t="s">
        <v>71</v>
      </c>
      <c r="F9" s="28" t="s">
        <v>26</v>
      </c>
      <c r="G9" s="15">
        <v>0</v>
      </c>
      <c r="H9" s="133">
        <f t="shared" si="1"/>
        <v>0</v>
      </c>
      <c r="I9" s="94"/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5">
      <c r="A10" s="23" t="s">
        <v>19</v>
      </c>
      <c r="B10" s="16">
        <v>0</v>
      </c>
      <c r="C10" s="7">
        <f>IF(B$2=0,0,B10/B$2)</f>
        <v>0</v>
      </c>
      <c r="E10" s="63" t="s">
        <v>72</v>
      </c>
      <c r="F10" s="28" t="s">
        <v>27</v>
      </c>
      <c r="G10" s="15">
        <v>0</v>
      </c>
      <c r="H10" s="133">
        <f t="shared" si="1"/>
        <v>0</v>
      </c>
      <c r="I10" s="94"/>
      <c r="N10" s="114" t="s">
        <v>162</v>
      </c>
      <c r="O10" s="124">
        <f>IF(P10=0,0,Q10/P10)</f>
        <v>0</v>
      </c>
      <c r="P10" s="118">
        <v>0</v>
      </c>
      <c r="Q10" s="106">
        <v>0</v>
      </c>
    </row>
    <row r="11" spans="1:17" x14ac:dyDescent="0.45">
      <c r="A11" s="56" t="s">
        <v>138</v>
      </c>
      <c r="B11" s="48">
        <v>0</v>
      </c>
      <c r="C11" s="40">
        <f>IF(B$2=0,0,B11/B$2)</f>
        <v>0</v>
      </c>
      <c r="E11" s="63" t="s">
        <v>73</v>
      </c>
      <c r="F11" s="28" t="s">
        <v>28</v>
      </c>
      <c r="G11" s="15">
        <v>0</v>
      </c>
      <c r="H11" s="133">
        <f t="shared" si="1"/>
        <v>0</v>
      </c>
      <c r="I11" s="94"/>
      <c r="N11" s="115" t="s">
        <v>163</v>
      </c>
      <c r="O11" s="125">
        <f>IF(P11=0,0,Q11/P11)</f>
        <v>0</v>
      </c>
      <c r="P11" s="119">
        <v>0</v>
      </c>
      <c r="Q11" s="107">
        <v>0</v>
      </c>
    </row>
    <row r="12" spans="1:17" x14ac:dyDescent="0.45">
      <c r="A12" s="57" t="s">
        <v>158</v>
      </c>
      <c r="B12" s="49">
        <v>0</v>
      </c>
      <c r="C12" s="42">
        <f>IF(B$2=0,0,B12/B$2)</f>
        <v>0</v>
      </c>
      <c r="E12" s="63" t="s">
        <v>74</v>
      </c>
      <c r="F12" s="28" t="s">
        <v>29</v>
      </c>
      <c r="G12" s="15">
        <v>0</v>
      </c>
      <c r="H12" s="133">
        <f t="shared" si="1"/>
        <v>0</v>
      </c>
      <c r="I12" s="94"/>
      <c r="N12" s="116" t="s">
        <v>164</v>
      </c>
      <c r="O12" s="126">
        <f>IF(P12=0,0,Q12/P12)</f>
        <v>0</v>
      </c>
      <c r="P12" s="120">
        <v>0</v>
      </c>
      <c r="Q12" s="108">
        <v>0</v>
      </c>
    </row>
    <row r="13" spans="1:17" x14ac:dyDescent="0.45">
      <c r="A13" s="25" t="s">
        <v>122</v>
      </c>
      <c r="B13" s="17">
        <v>0</v>
      </c>
      <c r="C13" s="11">
        <f>IF(B$3=0,0,B13/B$3)</f>
        <v>0</v>
      </c>
      <c r="E13" s="63" t="s">
        <v>75</v>
      </c>
      <c r="F13" s="28" t="s">
        <v>30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5">
      <c r="A14" s="22" t="s">
        <v>119</v>
      </c>
      <c r="B14" s="15">
        <v>0</v>
      </c>
      <c r="C14" s="6">
        <f>IF(B$3=0,0,B14/B$3)</f>
        <v>0</v>
      </c>
      <c r="E14" s="63" t="s">
        <v>76</v>
      </c>
      <c r="F14" s="28" t="s">
        <v>31</v>
      </c>
      <c r="G14" s="15">
        <v>0</v>
      </c>
      <c r="H14" s="133">
        <f t="shared" si="1"/>
        <v>0</v>
      </c>
      <c r="I14" s="94"/>
      <c r="N14" s="113" t="s">
        <v>153</v>
      </c>
      <c r="O14" s="34" t="s">
        <v>154</v>
      </c>
      <c r="P14" s="117" t="s">
        <v>155</v>
      </c>
      <c r="Q14" s="105" t="s">
        <v>156</v>
      </c>
    </row>
    <row r="15" spans="1:17" x14ac:dyDescent="0.45">
      <c r="A15" s="21" t="s">
        <v>124</v>
      </c>
      <c r="B15" s="14">
        <v>0</v>
      </c>
      <c r="C15" s="4">
        <f>IF(B$13=0,0,B15/B$13)</f>
        <v>0</v>
      </c>
      <c r="E15" s="63" t="s">
        <v>77</v>
      </c>
      <c r="F15" s="28" t="s">
        <v>32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5">
      <c r="A16" s="21" t="s">
        <v>125</v>
      </c>
      <c r="B16" s="14">
        <v>0</v>
      </c>
      <c r="C16" s="4">
        <f>IF(B$14=0,0,B16/B$14)</f>
        <v>0</v>
      </c>
      <c r="E16" s="63" t="s">
        <v>78</v>
      </c>
      <c r="F16" s="28" t="s">
        <v>33</v>
      </c>
      <c r="G16" s="15">
        <v>0</v>
      </c>
      <c r="H16" s="133">
        <f t="shared" si="1"/>
        <v>0</v>
      </c>
      <c r="I16" s="94"/>
    </row>
    <row r="17" spans="1:9" x14ac:dyDescent="0.45">
      <c r="A17" s="21" t="s">
        <v>10</v>
      </c>
      <c r="B17" s="14">
        <f>B19+B18</f>
        <v>0</v>
      </c>
      <c r="C17" s="4">
        <f>IF(B$3=0,0,B17/B$3)</f>
        <v>0</v>
      </c>
      <c r="E17" s="63" t="s">
        <v>79</v>
      </c>
      <c r="F17" s="28" t="s">
        <v>34</v>
      </c>
      <c r="G17" s="15">
        <v>0</v>
      </c>
      <c r="H17" s="133">
        <f t="shared" si="1"/>
        <v>0</v>
      </c>
      <c r="I17" s="94"/>
    </row>
    <row r="18" spans="1:9" x14ac:dyDescent="0.45">
      <c r="A18" s="22" t="s">
        <v>12</v>
      </c>
      <c r="B18" s="15">
        <v>0</v>
      </c>
      <c r="C18" s="6">
        <f>IF(B$17=0,0,B18/B$17)</f>
        <v>0</v>
      </c>
      <c r="E18" s="63" t="s">
        <v>80</v>
      </c>
      <c r="F18" s="28" t="s">
        <v>35</v>
      </c>
      <c r="G18" s="15">
        <v>0</v>
      </c>
      <c r="H18" s="133">
        <f t="shared" si="1"/>
        <v>0</v>
      </c>
      <c r="I18" s="94"/>
    </row>
    <row r="19" spans="1:9" x14ac:dyDescent="0.45">
      <c r="A19" s="22" t="s">
        <v>11</v>
      </c>
      <c r="B19" s="15">
        <v>0</v>
      </c>
      <c r="C19" s="6">
        <f>IF(B$17=0,0,B19/B$17)</f>
        <v>0</v>
      </c>
      <c r="E19" s="63" t="s">
        <v>81</v>
      </c>
      <c r="F19" s="28" t="s">
        <v>36</v>
      </c>
      <c r="G19" s="15">
        <v>0</v>
      </c>
      <c r="H19" s="133">
        <f t="shared" si="1"/>
        <v>0</v>
      </c>
      <c r="I19" s="94"/>
    </row>
    <row r="20" spans="1:9" x14ac:dyDescent="0.45">
      <c r="A20" s="55" t="s">
        <v>13</v>
      </c>
      <c r="B20" s="47">
        <v>0</v>
      </c>
      <c r="C20" s="39">
        <f>IF(B$3=0,0,B20/B$3)</f>
        <v>0</v>
      </c>
      <c r="E20" s="63" t="s">
        <v>82</v>
      </c>
      <c r="F20" s="28" t="s">
        <v>37</v>
      </c>
      <c r="G20" s="15">
        <v>0</v>
      </c>
      <c r="H20" s="133">
        <f t="shared" si="1"/>
        <v>0</v>
      </c>
      <c r="I20" s="94"/>
    </row>
    <row r="21" spans="1:9" x14ac:dyDescent="0.45">
      <c r="A21" s="55" t="s">
        <v>171</v>
      </c>
      <c r="B21" s="47">
        <v>0</v>
      </c>
      <c r="C21" s="135">
        <v>0</v>
      </c>
      <c r="E21" s="63" t="s">
        <v>83</v>
      </c>
      <c r="F21" s="28" t="s">
        <v>38</v>
      </c>
      <c r="G21" s="15">
        <v>0</v>
      </c>
      <c r="H21" s="133">
        <f t="shared" si="1"/>
        <v>0</v>
      </c>
      <c r="I21" s="94"/>
    </row>
    <row r="22" spans="1:9" x14ac:dyDescent="0.45">
      <c r="A22" s="22" t="s">
        <v>172</v>
      </c>
      <c r="B22" s="15">
        <v>0</v>
      </c>
      <c r="C22" s="135">
        <v>0</v>
      </c>
      <c r="E22" s="63" t="s">
        <v>84</v>
      </c>
      <c r="F22" s="28" t="s">
        <v>39</v>
      </c>
      <c r="G22" s="15">
        <v>0</v>
      </c>
      <c r="H22" s="133">
        <f t="shared" si="1"/>
        <v>0</v>
      </c>
      <c r="I22" s="94"/>
    </row>
    <row r="23" spans="1:9" x14ac:dyDescent="0.45">
      <c r="A23" s="22" t="s">
        <v>5</v>
      </c>
      <c r="B23" s="18">
        <f>IF(B$17=0,0,C23/B$17)</f>
        <v>0</v>
      </c>
      <c r="C23" s="8">
        <v>0</v>
      </c>
      <c r="E23" s="63" t="s">
        <v>85</v>
      </c>
      <c r="F23" s="28" t="s">
        <v>40</v>
      </c>
      <c r="G23" s="15">
        <v>0</v>
      </c>
      <c r="H23" s="133">
        <f t="shared" si="1"/>
        <v>0</v>
      </c>
      <c r="I23" s="94"/>
    </row>
    <row r="24" spans="1:9" x14ac:dyDescent="0.45">
      <c r="A24" s="24" t="s">
        <v>14</v>
      </c>
      <c r="B24" s="19">
        <f>IF(B$20=0,0,C24/B$20)</f>
        <v>0</v>
      </c>
      <c r="C24" s="13">
        <v>0</v>
      </c>
      <c r="E24" s="63" t="s">
        <v>86</v>
      </c>
      <c r="F24" s="28" t="s">
        <v>41</v>
      </c>
      <c r="G24" s="15">
        <v>0</v>
      </c>
      <c r="H24" s="133">
        <f t="shared" si="1"/>
        <v>0</v>
      </c>
      <c r="I24" s="94"/>
    </row>
    <row r="25" spans="1:9" x14ac:dyDescent="0.45">
      <c r="A25" s="90" t="s">
        <v>140</v>
      </c>
      <c r="B25" s="140">
        <v>0</v>
      </c>
      <c r="C25" s="141"/>
      <c r="E25" s="63" t="s">
        <v>87</v>
      </c>
      <c r="F25" s="28" t="s">
        <v>42</v>
      </c>
      <c r="G25" s="15">
        <v>0</v>
      </c>
      <c r="H25" s="133">
        <f t="shared" si="1"/>
        <v>0</v>
      </c>
      <c r="I25" s="94"/>
    </row>
    <row r="26" spans="1:9" x14ac:dyDescent="0.45">
      <c r="A26" s="58" t="s">
        <v>150</v>
      </c>
      <c r="B26" s="138">
        <v>0</v>
      </c>
      <c r="C26" s="139"/>
      <c r="E26" s="63" t="s">
        <v>88</v>
      </c>
      <c r="F26" s="28" t="s">
        <v>43</v>
      </c>
      <c r="G26" s="15">
        <v>0</v>
      </c>
      <c r="H26" s="133">
        <f t="shared" si="1"/>
        <v>0</v>
      </c>
      <c r="I26" s="94"/>
    </row>
    <row r="27" spans="1:9" x14ac:dyDescent="0.45">
      <c r="A27" s="24" t="s">
        <v>141</v>
      </c>
      <c r="B27" s="32">
        <v>0</v>
      </c>
      <c r="C27" s="9">
        <f>IF(B$3=0,0,B27/B$3)</f>
        <v>0</v>
      </c>
      <c r="E27" s="63" t="s">
        <v>89</v>
      </c>
      <c r="F27" s="28" t="s">
        <v>44</v>
      </c>
      <c r="G27" s="15">
        <v>0</v>
      </c>
      <c r="H27" s="133">
        <f t="shared" si="1"/>
        <v>0</v>
      </c>
      <c r="I27" s="94"/>
    </row>
    <row r="28" spans="1:9" x14ac:dyDescent="0.45">
      <c r="E28" s="63" t="s">
        <v>90</v>
      </c>
      <c r="F28" s="28" t="s">
        <v>45</v>
      </c>
      <c r="G28" s="15">
        <v>0</v>
      </c>
      <c r="H28" s="133">
        <f t="shared" si="1"/>
        <v>0</v>
      </c>
      <c r="I28" s="94"/>
    </row>
    <row r="29" spans="1:9" x14ac:dyDescent="0.45">
      <c r="E29" s="63" t="s">
        <v>91</v>
      </c>
      <c r="F29" s="28" t="s">
        <v>46</v>
      </c>
      <c r="G29" s="15">
        <v>0</v>
      </c>
      <c r="H29" s="133">
        <f t="shared" si="1"/>
        <v>0</v>
      </c>
      <c r="I29" s="94"/>
    </row>
    <row r="30" spans="1:9" x14ac:dyDescent="0.45">
      <c r="E30" s="63" t="s">
        <v>92</v>
      </c>
      <c r="F30" s="28" t="s">
        <v>47</v>
      </c>
      <c r="G30" s="15">
        <v>0</v>
      </c>
      <c r="H30" s="133">
        <f t="shared" si="1"/>
        <v>0</v>
      </c>
      <c r="I30" s="94"/>
    </row>
    <row r="31" spans="1:9" x14ac:dyDescent="0.45">
      <c r="E31" s="63" t="s">
        <v>93</v>
      </c>
      <c r="F31" s="28" t="s">
        <v>48</v>
      </c>
      <c r="G31" s="15">
        <v>0</v>
      </c>
      <c r="H31" s="133">
        <f t="shared" si="1"/>
        <v>0</v>
      </c>
      <c r="I31" s="94"/>
    </row>
    <row r="32" spans="1:9" x14ac:dyDescent="0.45">
      <c r="E32" s="63" t="s">
        <v>94</v>
      </c>
      <c r="F32" s="28" t="s">
        <v>49</v>
      </c>
      <c r="G32" s="15">
        <v>0</v>
      </c>
      <c r="H32" s="133">
        <f t="shared" si="1"/>
        <v>0</v>
      </c>
      <c r="I32" s="94"/>
    </row>
    <row r="33" spans="5:9" x14ac:dyDescent="0.45">
      <c r="E33" s="63" t="s">
        <v>95</v>
      </c>
      <c r="F33" s="28" t="s">
        <v>50</v>
      </c>
      <c r="G33" s="15">
        <v>0</v>
      </c>
      <c r="H33" s="133">
        <f t="shared" si="1"/>
        <v>0</v>
      </c>
      <c r="I33" s="94"/>
    </row>
    <row r="34" spans="5:9" x14ac:dyDescent="0.45">
      <c r="E34" s="63" t="s">
        <v>96</v>
      </c>
      <c r="F34" s="28" t="s">
        <v>51</v>
      </c>
      <c r="G34" s="15">
        <v>0</v>
      </c>
      <c r="H34" s="133">
        <f t="shared" si="1"/>
        <v>0</v>
      </c>
      <c r="I34" s="94"/>
    </row>
    <row r="35" spans="5:9" x14ac:dyDescent="0.45">
      <c r="E35" s="63" t="s">
        <v>97</v>
      </c>
      <c r="F35" s="28" t="s">
        <v>52</v>
      </c>
      <c r="G35" s="15">
        <v>0</v>
      </c>
      <c r="H35" s="133">
        <f t="shared" si="1"/>
        <v>0</v>
      </c>
      <c r="I35" s="94"/>
    </row>
    <row r="36" spans="5:9" x14ac:dyDescent="0.45">
      <c r="E36" s="63" t="s">
        <v>98</v>
      </c>
      <c r="F36" s="28" t="s">
        <v>53</v>
      </c>
      <c r="G36" s="15">
        <v>0</v>
      </c>
      <c r="H36" s="133">
        <f t="shared" si="1"/>
        <v>0</v>
      </c>
      <c r="I36" s="94"/>
    </row>
    <row r="37" spans="5:9" x14ac:dyDescent="0.45">
      <c r="E37" s="63" t="s">
        <v>99</v>
      </c>
      <c r="F37" s="28" t="s">
        <v>54</v>
      </c>
      <c r="G37" s="15">
        <v>0</v>
      </c>
      <c r="H37" s="133">
        <f t="shared" si="1"/>
        <v>0</v>
      </c>
      <c r="I37" s="94"/>
    </row>
    <row r="38" spans="5:9" x14ac:dyDescent="0.45">
      <c r="E38" s="63" t="s">
        <v>100</v>
      </c>
      <c r="F38" s="28" t="s">
        <v>55</v>
      </c>
      <c r="G38" s="15">
        <v>0</v>
      </c>
      <c r="H38" s="133">
        <f t="shared" si="1"/>
        <v>0</v>
      </c>
      <c r="I38" s="94"/>
    </row>
    <row r="39" spans="5:9" x14ac:dyDescent="0.45">
      <c r="E39" s="63" t="s">
        <v>101</v>
      </c>
      <c r="F39" s="28" t="s">
        <v>56</v>
      </c>
      <c r="G39" s="15">
        <v>0</v>
      </c>
      <c r="H39" s="133">
        <f t="shared" si="1"/>
        <v>0</v>
      </c>
      <c r="I39" s="94"/>
    </row>
    <row r="40" spans="5:9" x14ac:dyDescent="0.45">
      <c r="E40" s="63" t="s">
        <v>102</v>
      </c>
      <c r="F40" s="28" t="s">
        <v>57</v>
      </c>
      <c r="G40" s="15">
        <v>0</v>
      </c>
      <c r="H40" s="133">
        <f t="shared" si="1"/>
        <v>0</v>
      </c>
      <c r="I40" s="94"/>
    </row>
    <row r="41" spans="5:9" x14ac:dyDescent="0.45">
      <c r="E41" s="63" t="s">
        <v>103</v>
      </c>
      <c r="F41" s="28" t="s">
        <v>58</v>
      </c>
      <c r="G41" s="15">
        <v>0</v>
      </c>
      <c r="H41" s="133">
        <f t="shared" si="1"/>
        <v>0</v>
      </c>
      <c r="I41" s="94"/>
    </row>
    <row r="42" spans="5:9" x14ac:dyDescent="0.45">
      <c r="E42" s="63" t="s">
        <v>104</v>
      </c>
      <c r="F42" s="28" t="s">
        <v>59</v>
      </c>
      <c r="G42" s="15">
        <v>0</v>
      </c>
      <c r="H42" s="133">
        <f t="shared" si="1"/>
        <v>0</v>
      </c>
      <c r="I42" s="94"/>
    </row>
    <row r="43" spans="5:9" x14ac:dyDescent="0.45">
      <c r="E43" s="63" t="s">
        <v>105</v>
      </c>
      <c r="F43" s="28" t="s">
        <v>60</v>
      </c>
      <c r="G43" s="15">
        <v>0</v>
      </c>
      <c r="H43" s="133">
        <f t="shared" si="1"/>
        <v>0</v>
      </c>
      <c r="I43" s="94"/>
    </row>
    <row r="44" spans="5:9" x14ac:dyDescent="0.45">
      <c r="E44" s="63" t="s">
        <v>106</v>
      </c>
      <c r="F44" s="28" t="s">
        <v>113</v>
      </c>
      <c r="G44" s="15">
        <v>0</v>
      </c>
      <c r="H44" s="133">
        <f t="shared" si="1"/>
        <v>0</v>
      </c>
      <c r="I44" s="94"/>
    </row>
    <row r="45" spans="5:9" x14ac:dyDescent="0.45">
      <c r="E45" s="63" t="s">
        <v>107</v>
      </c>
      <c r="F45" s="28" t="s">
        <v>114</v>
      </c>
      <c r="G45" s="15">
        <v>0</v>
      </c>
      <c r="H45" s="133">
        <f t="shared" si="1"/>
        <v>0</v>
      </c>
      <c r="I45" s="94"/>
    </row>
    <row r="46" spans="5:9" x14ac:dyDescent="0.45">
      <c r="E46" s="63" t="s">
        <v>108</v>
      </c>
      <c r="F46" s="28" t="s">
        <v>115</v>
      </c>
      <c r="G46" s="15">
        <v>0</v>
      </c>
      <c r="H46" s="133">
        <f t="shared" si="1"/>
        <v>0</v>
      </c>
      <c r="I46" s="94"/>
    </row>
    <row r="47" spans="5:9" x14ac:dyDescent="0.45">
      <c r="E47" s="63" t="s">
        <v>109</v>
      </c>
      <c r="F47" s="28" t="s">
        <v>61</v>
      </c>
      <c r="G47" s="15">
        <v>0</v>
      </c>
      <c r="H47" s="133">
        <f t="shared" si="1"/>
        <v>0</v>
      </c>
      <c r="I47" s="94"/>
    </row>
    <row r="48" spans="5:9" x14ac:dyDescent="0.45">
      <c r="E48" s="63" t="s">
        <v>110</v>
      </c>
      <c r="F48" s="28" t="s">
        <v>62</v>
      </c>
      <c r="G48" s="15">
        <v>0</v>
      </c>
      <c r="H48" s="133">
        <f t="shared" si="1"/>
        <v>0</v>
      </c>
      <c r="I48" s="94"/>
    </row>
    <row r="49" spans="5:9" x14ac:dyDescent="0.45">
      <c r="E49" s="63" t="s">
        <v>111</v>
      </c>
      <c r="F49" s="28" t="s">
        <v>63</v>
      </c>
      <c r="G49" s="15">
        <v>0</v>
      </c>
      <c r="H49" s="133">
        <f t="shared" si="1"/>
        <v>0</v>
      </c>
      <c r="I49" s="94"/>
    </row>
    <row r="50" spans="5:9" x14ac:dyDescent="0.45">
      <c r="E50" s="63" t="s">
        <v>112</v>
      </c>
      <c r="F50" s="60" t="s">
        <v>64</v>
      </c>
      <c r="G50" s="47">
        <v>0</v>
      </c>
      <c r="H50" s="133">
        <f t="shared" si="1"/>
        <v>0</v>
      </c>
      <c r="I50" s="94"/>
    </row>
    <row r="51" spans="5:9" x14ac:dyDescent="0.45">
      <c r="E51" s="64" t="s">
        <v>169</v>
      </c>
      <c r="F51" s="61" t="s">
        <v>170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8"/>
  <sheetViews>
    <sheetView workbookViewId="0"/>
  </sheetViews>
  <sheetFormatPr defaultColWidth="9" defaultRowHeight="18" x14ac:dyDescent="0.45"/>
  <cols>
    <col min="1" max="1" width="16.3984375" style="30" bestFit="1" customWidth="1"/>
    <col min="2" max="2" width="16.8984375" style="31" bestFit="1" customWidth="1"/>
    <col min="3" max="16384" width="9" style="30"/>
  </cols>
  <sheetData>
    <row r="1" spans="1:7" x14ac:dyDescent="0.45">
      <c r="A1" s="29">
        <v>32874</v>
      </c>
      <c r="B1" s="29">
        <v>2958465</v>
      </c>
    </row>
    <row r="2" spans="1:7" x14ac:dyDescent="0.45">
      <c r="A2" s="30" t="s">
        <v>175</v>
      </c>
      <c r="B2" s="31">
        <v>43532.736307870371</v>
      </c>
      <c r="C2" s="30" t="s">
        <v>128</v>
      </c>
      <c r="D2" s="30" t="s">
        <v>129</v>
      </c>
      <c r="E2" s="30" t="s">
        <v>166</v>
      </c>
    </row>
    <row r="3" spans="1:7" x14ac:dyDescent="0.45">
      <c r="A3" s="30" t="s">
        <v>178</v>
      </c>
      <c r="B3" s="31">
        <v>43545.738449074073</v>
      </c>
      <c r="C3" s="30" t="s">
        <v>128</v>
      </c>
      <c r="D3" s="30" t="s">
        <v>129</v>
      </c>
      <c r="E3" s="30" t="s">
        <v>166</v>
      </c>
    </row>
    <row r="4" spans="1:7" x14ac:dyDescent="0.45">
      <c r="A4" s="30" t="s">
        <v>179</v>
      </c>
      <c r="B4" s="31">
        <v>43585.010081018518</v>
      </c>
      <c r="C4" s="30" t="s">
        <v>128</v>
      </c>
      <c r="D4" s="30" t="s">
        <v>129</v>
      </c>
      <c r="E4" s="30" t="s">
        <v>166</v>
      </c>
      <c r="F4" s="30" t="s">
        <v>167</v>
      </c>
      <c r="G4" s="30" t="s">
        <v>168</v>
      </c>
    </row>
    <row r="5" spans="1:7" x14ac:dyDescent="0.45">
      <c r="A5" s="30" t="s">
        <v>180</v>
      </c>
      <c r="B5" s="31">
        <v>43651.894143518519</v>
      </c>
      <c r="C5" s="30" t="s">
        <v>128</v>
      </c>
      <c r="D5" s="30" t="s">
        <v>129</v>
      </c>
    </row>
    <row r="6" spans="1:7" x14ac:dyDescent="0.45">
      <c r="A6" s="30" t="s">
        <v>181</v>
      </c>
      <c r="B6" s="31">
        <v>43667.472534722219</v>
      </c>
      <c r="C6" s="30" t="s">
        <v>128</v>
      </c>
      <c r="D6" s="30" t="s">
        <v>129</v>
      </c>
      <c r="E6" s="30" t="s">
        <v>166</v>
      </c>
    </row>
    <row r="7" spans="1:7" x14ac:dyDescent="0.45">
      <c r="A7" s="30" t="s">
        <v>182</v>
      </c>
      <c r="B7" s="31">
        <v>43693.639780092592</v>
      </c>
      <c r="C7" s="30" t="s">
        <v>128</v>
      </c>
      <c r="D7" s="30" t="s">
        <v>129</v>
      </c>
    </row>
    <row r="8" spans="1:7" x14ac:dyDescent="0.45">
      <c r="A8" s="30" t="s">
        <v>183</v>
      </c>
      <c r="B8" s="31">
        <v>43905.722430555557</v>
      </c>
      <c r="C8" s="30" t="s">
        <v>128</v>
      </c>
      <c r="D8" s="30" t="s">
        <v>129</v>
      </c>
      <c r="E8" s="30" t="s">
        <v>166</v>
      </c>
      <c r="F8" s="30" t="s">
        <v>167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5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4"/>
  <sheetViews>
    <sheetView workbookViewId="0"/>
  </sheetViews>
  <sheetFormatPr defaultRowHeight="18" x14ac:dyDescent="0.45"/>
  <sheetData>
    <row r="1" spans="1:1" x14ac:dyDescent="0.45">
      <c r="A1" t="s">
        <v>143</v>
      </c>
    </row>
    <row r="2" spans="1:1" x14ac:dyDescent="0.45">
      <c r="A2" t="s">
        <v>127</v>
      </c>
    </row>
    <row r="3" spans="1:1" x14ac:dyDescent="0.45">
      <c r="A3" t="s">
        <v>176</v>
      </c>
    </row>
    <row r="4" spans="1:1" x14ac:dyDescent="0.45">
      <c r="A4" t="s">
        <v>177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"/>
  <sheetViews>
    <sheetView showGridLines="0" tabSelected="1" zoomScale="150" zoomScaleNormal="150" workbookViewId="0"/>
  </sheetViews>
  <sheetFormatPr defaultColWidth="9" defaultRowHeight="18" x14ac:dyDescent="0.45"/>
  <cols>
    <col min="1" max="1" width="6" style="82" customWidth="1"/>
    <col min="2" max="2" width="10.69921875" style="83" customWidth="1"/>
    <col min="3" max="3" width="10.69921875" style="84" customWidth="1"/>
    <col min="4" max="4" width="10.69921875" style="85" customWidth="1"/>
    <col min="5" max="5" width="10.69921875" style="97" customWidth="1"/>
    <col min="6" max="6" width="10.69921875" style="85" customWidth="1"/>
    <col min="7" max="7" width="10.69921875" style="86" customWidth="1"/>
    <col min="8" max="8" width="10.69921875" style="85" customWidth="1"/>
    <col min="9" max="9" width="10.69921875" style="87" customWidth="1"/>
    <col min="10" max="10" width="10.69921875" style="85" customWidth="1"/>
    <col min="11" max="11" width="10.69921875" style="87" customWidth="1"/>
    <col min="12" max="12" width="10.69921875" style="85" customWidth="1"/>
    <col min="13" max="13" width="10.69921875" style="88" customWidth="1"/>
    <col min="14" max="14" width="10.69921875" style="85" customWidth="1"/>
    <col min="15" max="15" width="10.69921875" style="88" customWidth="1"/>
    <col min="16" max="16" width="10.69921875" style="85" customWidth="1"/>
    <col min="17" max="17" width="10.69921875" style="89" customWidth="1"/>
    <col min="18" max="18" width="10.69921875" style="85" customWidth="1"/>
    <col min="19" max="19" width="10.69921875" style="89" customWidth="1"/>
    <col min="20" max="20" width="10.69921875" style="85" customWidth="1"/>
    <col min="21" max="21" width="10.69921875" style="87" customWidth="1"/>
    <col min="22" max="22" width="10.69921875" style="85" customWidth="1"/>
    <col min="23" max="23" width="10.69921875" style="87" customWidth="1"/>
    <col min="24" max="24" width="10.69921875" style="85" customWidth="1"/>
    <col min="25" max="25" width="10.69921875" style="88" customWidth="1"/>
    <col min="26" max="26" width="10.69921875" style="85" customWidth="1"/>
    <col min="27" max="27" width="10.69921875" style="88" customWidth="1"/>
    <col min="28" max="28" width="10.69921875" style="85" customWidth="1"/>
    <col min="29" max="29" width="10.69921875" style="88" customWidth="1"/>
    <col min="30" max="30" width="10.69921875" style="85" customWidth="1"/>
    <col min="31" max="31" width="10.69921875" style="88" customWidth="1"/>
    <col min="32" max="32" width="10.69921875" style="85" customWidth="1"/>
    <col min="33" max="33" width="10.69921875" style="88" customWidth="1"/>
    <col min="34" max="34" width="10.69921875" style="85" customWidth="1"/>
    <col min="35" max="35" width="10.69921875" style="92" customWidth="1"/>
    <col min="36" max="16384" width="9" style="73"/>
  </cols>
  <sheetData>
    <row r="1" spans="1:35" x14ac:dyDescent="0.45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160</v>
      </c>
      <c r="K1" s="155"/>
      <c r="L1" s="154" t="s">
        <v>147</v>
      </c>
      <c r="M1" s="155"/>
      <c r="N1" s="154" t="s">
        <v>148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139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149</v>
      </c>
      <c r="AE1" s="155"/>
      <c r="AF1" s="154" t="s">
        <v>142</v>
      </c>
      <c r="AG1" s="155"/>
      <c r="AH1" s="154" t="s">
        <v>151</v>
      </c>
      <c r="AI1" s="155"/>
    </row>
    <row r="2" spans="1:35" x14ac:dyDescent="0.45">
      <c r="A2" s="72" t="s">
        <v>159</v>
      </c>
      <c r="B2" s="156"/>
      <c r="C2" s="157"/>
      <c r="D2" s="156"/>
      <c r="E2" s="157"/>
      <c r="F2" s="158">
        <v>0.18246217287953903</v>
      </c>
      <c r="G2" s="159"/>
      <c r="H2" s="158">
        <v>0.31413164919885589</v>
      </c>
      <c r="I2" s="159"/>
      <c r="J2" s="158">
        <v>2.8514670665539352E-2</v>
      </c>
      <c r="K2" s="159"/>
      <c r="L2" s="158">
        <v>-0.16977349160213837</v>
      </c>
      <c r="M2" s="159"/>
      <c r="N2" s="158">
        <v>-0.27139402258438294</v>
      </c>
      <c r="O2" s="159"/>
      <c r="P2" s="158">
        <v>0.229181182187675</v>
      </c>
      <c r="Q2" s="159"/>
      <c r="R2" s="158">
        <v>-0.99469198907004786</v>
      </c>
      <c r="S2" s="159"/>
      <c r="T2" s="158">
        <v>-0.53412515767946456</v>
      </c>
      <c r="U2" s="159"/>
      <c r="V2" s="158">
        <v>1.0288260733058815E-2</v>
      </c>
      <c r="W2" s="159"/>
      <c r="X2" s="158">
        <v>-3.5015009132113133E-2</v>
      </c>
      <c r="Y2" s="159"/>
      <c r="Z2" s="158">
        <v>0.41779590441638459</v>
      </c>
      <c r="AA2" s="159"/>
      <c r="AB2" s="158">
        <v>0.69042952347529707</v>
      </c>
      <c r="AC2" s="159"/>
      <c r="AD2" s="158">
        <v>-0.57985183676638297</v>
      </c>
      <c r="AE2" s="159"/>
      <c r="AF2" s="158">
        <v>0.6981322844135277</v>
      </c>
      <c r="AG2" s="159"/>
      <c r="AH2" s="158">
        <v>0.11661951291840428</v>
      </c>
      <c r="AI2" s="159"/>
    </row>
    <row r="3" spans="1:35" x14ac:dyDescent="0.45">
      <c r="A3" s="74">
        <v>1</v>
      </c>
      <c r="B3" s="75" t="s">
        <v>127</v>
      </c>
      <c r="C3" s="76">
        <v>449.30000000000007</v>
      </c>
      <c r="D3" s="77" t="s">
        <v>127</v>
      </c>
      <c r="E3" s="96">
        <v>20.422727272727276</v>
      </c>
      <c r="F3" s="77" t="s">
        <v>127</v>
      </c>
      <c r="G3" s="78">
        <v>1.5454545454545454</v>
      </c>
      <c r="H3" s="77" t="s">
        <v>127</v>
      </c>
      <c r="I3" s="79">
        <v>0.59090909090909094</v>
      </c>
      <c r="J3" s="77" t="s">
        <v>127</v>
      </c>
      <c r="K3" s="79">
        <v>0.13636363636363635</v>
      </c>
      <c r="L3" s="77" t="s">
        <v>127</v>
      </c>
      <c r="M3" s="80">
        <v>0.37179487179487181</v>
      </c>
      <c r="N3" s="77" t="s">
        <v>127</v>
      </c>
      <c r="O3" s="80">
        <v>0.12820512820512819</v>
      </c>
      <c r="P3" s="77" t="s">
        <v>127</v>
      </c>
      <c r="Q3" s="81">
        <v>11177.586206896553</v>
      </c>
      <c r="R3" s="77" t="s">
        <v>177</v>
      </c>
      <c r="S3" s="81">
        <v>-9595.652173913044</v>
      </c>
      <c r="T3" s="77" t="s">
        <v>177</v>
      </c>
      <c r="U3" s="79">
        <v>4.5454545454545456E-2</v>
      </c>
      <c r="V3" s="77" t="s">
        <v>127</v>
      </c>
      <c r="W3" s="79">
        <v>0.31818181818181818</v>
      </c>
      <c r="X3" s="77" t="s">
        <v>127</v>
      </c>
      <c r="Y3" s="80">
        <v>0.39102564102564102</v>
      </c>
      <c r="Z3" s="77" t="s">
        <v>176</v>
      </c>
      <c r="AA3" s="80">
        <v>0.30128205128205127</v>
      </c>
      <c r="AB3" s="77" t="s">
        <v>127</v>
      </c>
      <c r="AC3" s="80">
        <v>0.62295081967213117</v>
      </c>
      <c r="AD3" s="77" t="s">
        <v>177</v>
      </c>
      <c r="AE3" s="80">
        <v>0.48648648648648651</v>
      </c>
      <c r="AF3" s="77" t="s">
        <v>176</v>
      </c>
      <c r="AG3" s="80">
        <v>0.42857142857142855</v>
      </c>
      <c r="AH3" s="77" t="s">
        <v>127</v>
      </c>
      <c r="AI3" s="91">
        <v>110000</v>
      </c>
    </row>
    <row r="4" spans="1:35" x14ac:dyDescent="0.45">
      <c r="A4" s="82">
        <v>2</v>
      </c>
      <c r="B4" s="83" t="s">
        <v>177</v>
      </c>
      <c r="C4" s="84">
        <v>57.4</v>
      </c>
      <c r="D4" s="85" t="s">
        <v>177</v>
      </c>
      <c r="E4" s="97">
        <v>2.6090909090909089</v>
      </c>
      <c r="F4" s="85" t="s">
        <v>143</v>
      </c>
      <c r="G4" s="86">
        <v>2</v>
      </c>
      <c r="H4" s="85" t="s">
        <v>143</v>
      </c>
      <c r="I4" s="87">
        <v>0.33333333333333331</v>
      </c>
      <c r="J4" s="85" t="s">
        <v>177</v>
      </c>
      <c r="K4" s="87">
        <v>0.31818181818181818</v>
      </c>
      <c r="L4" s="85" t="s">
        <v>177</v>
      </c>
      <c r="M4" s="88">
        <v>0.32051282051282054</v>
      </c>
      <c r="N4" s="85" t="s">
        <v>177</v>
      </c>
      <c r="O4" s="88">
        <v>0.14743589743589744</v>
      </c>
      <c r="P4" s="85" t="s">
        <v>143</v>
      </c>
      <c r="Q4" s="89">
        <v>10605.882352941177</v>
      </c>
      <c r="R4" s="85" t="s">
        <v>143</v>
      </c>
      <c r="S4" s="89">
        <v>-10809.876543209877</v>
      </c>
      <c r="T4" s="85" t="s">
        <v>127</v>
      </c>
      <c r="U4" s="87">
        <v>9.0909090909090912E-2</v>
      </c>
      <c r="V4" s="85" t="s">
        <v>177</v>
      </c>
      <c r="W4" s="87">
        <v>0.18181818181818182</v>
      </c>
      <c r="X4" s="85" t="s">
        <v>177</v>
      </c>
      <c r="Y4" s="88">
        <v>0.30128205128205127</v>
      </c>
      <c r="Z4" s="85" t="s">
        <v>143</v>
      </c>
      <c r="AA4" s="88">
        <v>0.25854700854700857</v>
      </c>
      <c r="AB4" s="85" t="s">
        <v>143</v>
      </c>
      <c r="AC4" s="88">
        <v>0.60902255639097747</v>
      </c>
      <c r="AD4" s="85" t="s">
        <v>127</v>
      </c>
      <c r="AE4" s="88">
        <v>0.43243243243243246</v>
      </c>
      <c r="AF4" s="85" t="s">
        <v>143</v>
      </c>
      <c r="AG4" s="88">
        <v>0.39705882352941174</v>
      </c>
      <c r="AH4" s="85" t="s">
        <v>143</v>
      </c>
      <c r="AI4" s="92">
        <v>110000</v>
      </c>
    </row>
    <row r="5" spans="1:35" x14ac:dyDescent="0.45">
      <c r="A5" s="82">
        <v>3</v>
      </c>
      <c r="B5" s="83" t="s">
        <v>143</v>
      </c>
      <c r="C5" s="84">
        <v>-2.1316282072803006E-14</v>
      </c>
      <c r="D5" s="85" t="s">
        <v>143</v>
      </c>
      <c r="E5" s="97">
        <v>-3.2297397080004555E-16</v>
      </c>
      <c r="F5" s="85" t="s">
        <v>177</v>
      </c>
      <c r="G5" s="86">
        <v>2.0454545454545454</v>
      </c>
      <c r="H5" s="85" t="s">
        <v>177</v>
      </c>
      <c r="I5" s="87">
        <v>0.27272727272727271</v>
      </c>
      <c r="J5" s="85" t="s">
        <v>143</v>
      </c>
      <c r="K5" s="87">
        <v>0.33333333333333331</v>
      </c>
      <c r="L5" s="85" t="s">
        <v>143</v>
      </c>
      <c r="M5" s="88">
        <v>0.29059829059829062</v>
      </c>
      <c r="N5" s="85" t="s">
        <v>143</v>
      </c>
      <c r="O5" s="88">
        <v>0.17307692307692307</v>
      </c>
      <c r="P5" s="85" t="s">
        <v>177</v>
      </c>
      <c r="Q5" s="89">
        <v>10360</v>
      </c>
      <c r="R5" s="85" t="s">
        <v>176</v>
      </c>
      <c r="S5" s="89">
        <v>-11152.631578947368</v>
      </c>
      <c r="T5" s="85" t="s">
        <v>143</v>
      </c>
      <c r="U5" s="87">
        <v>0.16666666666666666</v>
      </c>
      <c r="V5" s="85" t="s">
        <v>143</v>
      </c>
      <c r="W5" s="87">
        <v>0.16666666666666666</v>
      </c>
      <c r="X5" s="85" t="s">
        <v>143</v>
      </c>
      <c r="Y5" s="88">
        <v>0.28418803418803418</v>
      </c>
      <c r="Z5" s="85" t="s">
        <v>127</v>
      </c>
      <c r="AA5" s="88">
        <v>0.23717948717948717</v>
      </c>
      <c r="AB5" s="85" t="s">
        <v>176</v>
      </c>
      <c r="AC5" s="88">
        <v>0.6</v>
      </c>
      <c r="AD5" s="85" t="s">
        <v>143</v>
      </c>
      <c r="AE5" s="88">
        <v>0.36363636363636365</v>
      </c>
      <c r="AF5" s="85" t="s">
        <v>127</v>
      </c>
      <c r="AG5" s="88">
        <v>0.39655172413793105</v>
      </c>
      <c r="AH5" s="85" t="s">
        <v>177</v>
      </c>
      <c r="AI5" s="92">
        <v>90200</v>
      </c>
    </row>
    <row r="6" spans="1:35" x14ac:dyDescent="0.45">
      <c r="A6" s="82">
        <v>4</v>
      </c>
      <c r="B6" s="83" t="s">
        <v>176</v>
      </c>
      <c r="C6" s="84">
        <v>-506.7000000000001</v>
      </c>
      <c r="D6" s="85" t="s">
        <v>176</v>
      </c>
      <c r="E6" s="97">
        <v>-23.031818181818185</v>
      </c>
      <c r="F6" s="85" t="s">
        <v>176</v>
      </c>
      <c r="G6" s="86">
        <v>2.4090909090909092</v>
      </c>
      <c r="H6" s="85" t="s">
        <v>176</v>
      </c>
      <c r="I6" s="87">
        <v>0.13636363636363635</v>
      </c>
      <c r="J6" s="85" t="s">
        <v>176</v>
      </c>
      <c r="K6" s="87">
        <v>0.54545454545454541</v>
      </c>
      <c r="L6" s="85" t="s">
        <v>176</v>
      </c>
      <c r="M6" s="88">
        <v>0.17948717948717949</v>
      </c>
      <c r="N6" s="85" t="s">
        <v>176</v>
      </c>
      <c r="O6" s="88">
        <v>0.24358974358974358</v>
      </c>
      <c r="P6" s="85" t="s">
        <v>176</v>
      </c>
      <c r="Q6" s="89">
        <v>9860.7142857142862</v>
      </c>
      <c r="R6" s="85" t="s">
        <v>127</v>
      </c>
      <c r="S6" s="89">
        <v>-11555</v>
      </c>
      <c r="T6" s="85" t="s">
        <v>176</v>
      </c>
      <c r="U6" s="87">
        <v>0.36363636363636365</v>
      </c>
      <c r="V6" s="85" t="s">
        <v>176</v>
      </c>
      <c r="W6" s="87">
        <v>0</v>
      </c>
      <c r="X6" s="85" t="s">
        <v>176</v>
      </c>
      <c r="Y6" s="88">
        <v>0.16025641025641027</v>
      </c>
      <c r="Z6" s="85" t="s">
        <v>177</v>
      </c>
      <c r="AA6" s="88">
        <v>0.23717948717948717</v>
      </c>
      <c r="AB6" s="85" t="s">
        <v>177</v>
      </c>
      <c r="AC6" s="88">
        <v>0.5957446808510638</v>
      </c>
      <c r="AD6" s="85" t="s">
        <v>176</v>
      </c>
      <c r="AE6" s="88">
        <v>0.21276595744680851</v>
      </c>
      <c r="AF6" s="85" t="s">
        <v>177</v>
      </c>
      <c r="AG6" s="88">
        <v>0.38</v>
      </c>
      <c r="AH6" s="85" t="s">
        <v>176</v>
      </c>
      <c r="AI6" s="92">
        <v>72000</v>
      </c>
    </row>
  </sheetData>
  <sortState xmlns:xlrd2="http://schemas.microsoft.com/office/spreadsheetml/2017/richdata2" ref="AH3:AI24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DC69E-0C3A-4022-BA01-F1BF56FE7B7E}">
  <sheetPr codeName="Sheet4"/>
  <dimension ref="A1:Q68"/>
  <sheetViews>
    <sheetView showGridLines="0" zoomScaleNormal="100" workbookViewId="0"/>
  </sheetViews>
  <sheetFormatPr defaultColWidth="9" defaultRowHeight="18" x14ac:dyDescent="0.45"/>
  <cols>
    <col min="1" max="1" width="13" style="33" customWidth="1"/>
    <col min="2" max="3" width="9" style="33" customWidth="1"/>
    <col min="4" max="4" width="3.59765625" style="33" customWidth="1"/>
    <col min="5" max="5" width="3.59765625" style="128" bestFit="1" customWidth="1"/>
    <col min="6" max="6" width="11" style="43" bestFit="1" customWidth="1"/>
    <col min="7" max="9" width="9" style="33" customWidth="1"/>
    <col min="10" max="10" width="3.59765625" style="33" customWidth="1"/>
    <col min="11" max="11" width="3.5" style="38" customWidth="1"/>
    <col min="12" max="12" width="9" style="99" customWidth="1"/>
    <col min="13" max="13" width="3.59765625" style="33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33"/>
  </cols>
  <sheetData>
    <row r="1" spans="1:17" x14ac:dyDescent="0.45">
      <c r="A1" s="53" t="s">
        <v>0</v>
      </c>
      <c r="B1" s="144" t="s">
        <v>143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5">
      <c r="A2" s="54" t="s">
        <v>9</v>
      </c>
      <c r="B2" s="146">
        <v>66</v>
      </c>
      <c r="C2" s="147"/>
      <c r="E2" s="62" t="s">
        <v>173</v>
      </c>
      <c r="F2" s="59" t="s">
        <v>174</v>
      </c>
      <c r="G2" s="46">
        <v>122</v>
      </c>
      <c r="H2" s="132">
        <f>IF(B$17=0,0,G2/B$17)</f>
        <v>0.8970588235294118</v>
      </c>
      <c r="I2" s="93">
        <v>2</v>
      </c>
      <c r="K2" s="36">
        <v>0</v>
      </c>
      <c r="L2" s="98">
        <v>0</v>
      </c>
      <c r="N2" s="114" t="s">
        <v>130</v>
      </c>
      <c r="O2" s="121">
        <f t="shared" ref="O2:O7" si="0">IF(P2=0,0,Q2/P2)</f>
        <v>0</v>
      </c>
      <c r="P2" s="118">
        <v>66</v>
      </c>
      <c r="Q2" s="102">
        <v>0</v>
      </c>
    </row>
    <row r="3" spans="1:17" x14ac:dyDescent="0.45">
      <c r="A3" s="55" t="s">
        <v>8</v>
      </c>
      <c r="B3" s="148">
        <v>468</v>
      </c>
      <c r="C3" s="149"/>
      <c r="E3" s="63" t="s">
        <v>67</v>
      </c>
      <c r="F3" s="60" t="s">
        <v>23</v>
      </c>
      <c r="G3" s="47">
        <v>98</v>
      </c>
      <c r="H3" s="133">
        <f>IF(B$17=0,0,G3/B$17)</f>
        <v>0.72058823529411764</v>
      </c>
      <c r="I3" s="94">
        <v>3</v>
      </c>
      <c r="K3" s="38">
        <v>1</v>
      </c>
      <c r="L3" s="99">
        <v>-14.1</v>
      </c>
      <c r="N3" s="115" t="s">
        <v>131</v>
      </c>
      <c r="O3" s="122">
        <f t="shared" si="0"/>
        <v>-45.454545454545453</v>
      </c>
      <c r="P3" s="119">
        <v>66</v>
      </c>
      <c r="Q3" s="103">
        <v>-3000</v>
      </c>
    </row>
    <row r="4" spans="1:17" x14ac:dyDescent="0.45">
      <c r="A4" s="55" t="s">
        <v>6</v>
      </c>
      <c r="B4" s="150">
        <v>-2.1316282072803006E-14</v>
      </c>
      <c r="C4" s="151"/>
      <c r="E4" s="63" t="s">
        <v>65</v>
      </c>
      <c r="F4" s="60" t="s">
        <v>21</v>
      </c>
      <c r="G4" s="47">
        <v>79</v>
      </c>
      <c r="H4" s="133">
        <f>IF(B$17=0,0,G4/B$17)</f>
        <v>0.58088235294117652</v>
      </c>
      <c r="I4" s="94">
        <v>2</v>
      </c>
      <c r="K4" s="38">
        <v>2</v>
      </c>
      <c r="L4" s="99">
        <v>3.0000000000000018</v>
      </c>
      <c r="N4" s="115" t="s">
        <v>132</v>
      </c>
      <c r="O4" s="122">
        <f t="shared" si="0"/>
        <v>52.631578947368418</v>
      </c>
      <c r="P4" s="119">
        <v>57</v>
      </c>
      <c r="Q4" s="103">
        <v>3000</v>
      </c>
    </row>
    <row r="5" spans="1:17" x14ac:dyDescent="0.45">
      <c r="A5" s="55" t="s">
        <v>7</v>
      </c>
      <c r="B5" s="152">
        <f>IF(B$2=0,0,B$4/B$2)</f>
        <v>-3.2297397080004555E-16</v>
      </c>
      <c r="C5" s="153"/>
      <c r="E5" s="63" t="s">
        <v>73</v>
      </c>
      <c r="F5" s="60" t="s">
        <v>28</v>
      </c>
      <c r="G5" s="47">
        <v>63</v>
      </c>
      <c r="H5" s="133">
        <f>IF(B$17=0,0,G5/B$17)</f>
        <v>0.46323529411764708</v>
      </c>
      <c r="I5" s="94">
        <v>3</v>
      </c>
      <c r="K5" s="38">
        <v>3</v>
      </c>
      <c r="L5" s="99">
        <v>1.7763568394002505E-15</v>
      </c>
      <c r="N5" s="115" t="s">
        <v>133</v>
      </c>
      <c r="O5" s="122">
        <f t="shared" si="0"/>
        <v>-22.222222222222221</v>
      </c>
      <c r="P5" s="119">
        <v>45</v>
      </c>
      <c r="Q5" s="103">
        <v>-1000</v>
      </c>
    </row>
    <row r="6" spans="1:17" x14ac:dyDescent="0.45">
      <c r="A6" s="55" t="s">
        <v>1</v>
      </c>
      <c r="B6" s="142">
        <f>IF(B$2=0,0,(B$7*1+B$8*2+B$9*3)/B$2)</f>
        <v>2</v>
      </c>
      <c r="C6" s="143"/>
      <c r="E6" s="63" t="s">
        <v>68</v>
      </c>
      <c r="F6" s="60" t="s">
        <v>24</v>
      </c>
      <c r="G6" s="47">
        <v>52</v>
      </c>
      <c r="H6" s="133">
        <f>IF(B$17=0,0,G6/B$17)</f>
        <v>0.38235294117647056</v>
      </c>
      <c r="I6" s="94">
        <v>3</v>
      </c>
      <c r="K6" s="38">
        <v>4</v>
      </c>
      <c r="L6" s="99">
        <v>75</v>
      </c>
      <c r="N6" s="115" t="s">
        <v>134</v>
      </c>
      <c r="O6" s="122">
        <f t="shared" si="0"/>
        <v>30.303030303030305</v>
      </c>
      <c r="P6" s="119">
        <v>33</v>
      </c>
      <c r="Q6" s="103">
        <v>1000</v>
      </c>
    </row>
    <row r="7" spans="1:17" x14ac:dyDescent="0.45">
      <c r="A7" s="55" t="s">
        <v>2</v>
      </c>
      <c r="B7" s="47">
        <v>22</v>
      </c>
      <c r="C7" s="39">
        <f>IF(B$2=0,0,B7/B$2)</f>
        <v>0.33333333333333331</v>
      </c>
      <c r="E7" s="63" t="s">
        <v>169</v>
      </c>
      <c r="F7" s="60" t="s">
        <v>170</v>
      </c>
      <c r="G7" s="47">
        <v>41</v>
      </c>
      <c r="H7" s="133">
        <f>IF(B$17=0,0,G7/B$17)</f>
        <v>0.3014705882352941</v>
      </c>
      <c r="I7" s="94">
        <v>3</v>
      </c>
      <c r="K7" s="38">
        <v>5</v>
      </c>
      <c r="L7" s="99">
        <v>19</v>
      </c>
      <c r="N7" s="116" t="s">
        <v>135</v>
      </c>
      <c r="O7" s="123">
        <f t="shared" si="0"/>
        <v>0</v>
      </c>
      <c r="P7" s="120">
        <v>21</v>
      </c>
      <c r="Q7" s="104">
        <v>0</v>
      </c>
    </row>
    <row r="8" spans="1:17" x14ac:dyDescent="0.45">
      <c r="A8" s="55" t="s">
        <v>3</v>
      </c>
      <c r="B8" s="47">
        <v>22</v>
      </c>
      <c r="C8" s="39">
        <f>IF(B$2=0,0,B8/B$2)</f>
        <v>0.33333333333333331</v>
      </c>
      <c r="E8" s="63" t="s">
        <v>69</v>
      </c>
      <c r="F8" s="60" t="s">
        <v>12</v>
      </c>
      <c r="G8" s="47">
        <v>39</v>
      </c>
      <c r="H8" s="133">
        <f>IF(B$17=0,0,G8/B$17)</f>
        <v>0.28676470588235292</v>
      </c>
      <c r="I8" s="94">
        <v>3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5">
      <c r="A9" s="56" t="s">
        <v>4</v>
      </c>
      <c r="B9" s="48">
        <v>22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24</v>
      </c>
      <c r="H9" s="133">
        <f>IF(B$17=0,0,G9/B$17)</f>
        <v>0.17647058823529413</v>
      </c>
      <c r="I9" s="94">
        <v>2</v>
      </c>
      <c r="K9" s="38">
        <v>7</v>
      </c>
      <c r="L9" s="99">
        <v>45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5">
      <c r="A10" s="56" t="s">
        <v>19</v>
      </c>
      <c r="B10" s="48">
        <v>11</v>
      </c>
      <c r="C10" s="40">
        <f>IF(B$2=0,0,B10/B$2)</f>
        <v>0.16666666666666666</v>
      </c>
      <c r="E10" s="63" t="s">
        <v>70</v>
      </c>
      <c r="F10" s="60" t="s">
        <v>25</v>
      </c>
      <c r="G10" s="47">
        <v>20</v>
      </c>
      <c r="H10" s="133">
        <f>IF(B$17=0,0,G10/B$17)</f>
        <v>0.14705882352941177</v>
      </c>
      <c r="I10" s="94">
        <v>2</v>
      </c>
      <c r="K10" s="38">
        <v>8</v>
      </c>
      <c r="L10" s="99">
        <v>-1</v>
      </c>
      <c r="N10" s="114" t="s">
        <v>162</v>
      </c>
      <c r="O10" s="124">
        <f>IF(P10=0,0,Q10/P10)</f>
        <v>-0.54999999999999893</v>
      </c>
      <c r="P10" s="118">
        <v>22</v>
      </c>
      <c r="Q10" s="106">
        <v>-12.099999999999977</v>
      </c>
    </row>
    <row r="11" spans="1:17" x14ac:dyDescent="0.45">
      <c r="A11" s="56" t="s">
        <v>138</v>
      </c>
      <c r="B11" s="48">
        <v>11</v>
      </c>
      <c r="C11" s="40">
        <f>IF(B$2=0,0,B11/B$2)</f>
        <v>0.16666666666666666</v>
      </c>
      <c r="E11" s="63" t="s">
        <v>90</v>
      </c>
      <c r="F11" s="60" t="s">
        <v>45</v>
      </c>
      <c r="G11" s="47">
        <v>16</v>
      </c>
      <c r="H11" s="133">
        <f>IF(B$17=0,0,G11/B$17)</f>
        <v>0.11764705882352941</v>
      </c>
      <c r="I11" s="94">
        <v>2</v>
      </c>
      <c r="K11" s="38">
        <v>9</v>
      </c>
      <c r="L11" s="99">
        <v>0</v>
      </c>
      <c r="N11" s="115" t="s">
        <v>163</v>
      </c>
      <c r="O11" s="125">
        <f>IF(P11=0,0,Q11/P11)</f>
        <v>0.42727272727272719</v>
      </c>
      <c r="P11" s="119">
        <v>22</v>
      </c>
      <c r="Q11" s="107">
        <v>9.3999999999999986</v>
      </c>
    </row>
    <row r="12" spans="1:17" x14ac:dyDescent="0.45">
      <c r="A12" s="57" t="s">
        <v>158</v>
      </c>
      <c r="B12" s="49">
        <v>7</v>
      </c>
      <c r="C12" s="42">
        <f>IF(B$2=0,0,B12/B$2)</f>
        <v>0.10606060606060606</v>
      </c>
      <c r="E12" s="63" t="s">
        <v>72</v>
      </c>
      <c r="F12" s="60" t="s">
        <v>27</v>
      </c>
      <c r="G12" s="47">
        <v>13</v>
      </c>
      <c r="H12" s="133">
        <f>IF(B$17=0,0,G12/B$17)</f>
        <v>9.5588235294117641E-2</v>
      </c>
      <c r="I12" s="94">
        <v>2</v>
      </c>
      <c r="K12" s="38">
        <v>10</v>
      </c>
      <c r="L12" s="99">
        <v>28.5</v>
      </c>
      <c r="N12" s="116" t="s">
        <v>164</v>
      </c>
      <c r="O12" s="126">
        <f>IF(P12=0,0,Q12/P12)</f>
        <v>0.12272727272727189</v>
      </c>
      <c r="P12" s="120">
        <v>22</v>
      </c>
      <c r="Q12" s="108">
        <v>2.6999999999999815</v>
      </c>
    </row>
    <row r="13" spans="1:17" x14ac:dyDescent="0.45">
      <c r="A13" s="58" t="s">
        <v>122</v>
      </c>
      <c r="B13" s="50">
        <v>133</v>
      </c>
      <c r="C13" s="44">
        <f>IF(B$3=0,0,B13/B$3)</f>
        <v>0.28418803418803418</v>
      </c>
      <c r="E13" s="63" t="s">
        <v>71</v>
      </c>
      <c r="F13" s="60" t="s">
        <v>26</v>
      </c>
      <c r="G13" s="47">
        <v>8</v>
      </c>
      <c r="H13" s="133">
        <f>IF(B$17=0,0,G13/B$17)</f>
        <v>5.8823529411764705E-2</v>
      </c>
      <c r="I13" s="94">
        <v>3</v>
      </c>
      <c r="K13" s="38">
        <v>11</v>
      </c>
      <c r="L13" s="99">
        <v>38.6</v>
      </c>
      <c r="N13" s="33"/>
      <c r="O13" s="110"/>
      <c r="P13" s="112"/>
      <c r="Q13" s="110"/>
    </row>
    <row r="14" spans="1:17" x14ac:dyDescent="0.45">
      <c r="A14" s="55" t="s">
        <v>119</v>
      </c>
      <c r="B14" s="47">
        <v>121</v>
      </c>
      <c r="C14" s="39">
        <f>IF(B$3=0,0,B14/B$3)</f>
        <v>0.25854700854700857</v>
      </c>
      <c r="E14" s="63" t="s">
        <v>84</v>
      </c>
      <c r="F14" s="60" t="s">
        <v>39</v>
      </c>
      <c r="G14" s="47">
        <v>8</v>
      </c>
      <c r="H14" s="133">
        <f>IF(B$17=0,0,G14/B$17)</f>
        <v>5.8823529411764705E-2</v>
      </c>
      <c r="I14" s="94">
        <v>3</v>
      </c>
      <c r="K14" s="38">
        <v>12</v>
      </c>
      <c r="L14" s="99">
        <v>0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5">
      <c r="A15" s="54" t="s">
        <v>124</v>
      </c>
      <c r="B15" s="46">
        <v>81</v>
      </c>
      <c r="C15" s="37">
        <f>IF(B$13=0,0,B15/B$13)</f>
        <v>0.60902255639097747</v>
      </c>
      <c r="E15" s="63" t="s">
        <v>87</v>
      </c>
      <c r="F15" s="60" t="s">
        <v>42</v>
      </c>
      <c r="G15" s="47">
        <v>6</v>
      </c>
      <c r="H15" s="133">
        <f>IF(B$17=0,0,G15/B$17)</f>
        <v>4.4117647058823532E-2</v>
      </c>
      <c r="I15" s="94">
        <v>2</v>
      </c>
      <c r="K15" s="38">
        <v>13</v>
      </c>
      <c r="L15" s="99">
        <v>18.100000000000001</v>
      </c>
      <c r="N15" s="114" t="s">
        <v>176</v>
      </c>
      <c r="O15" s="124">
        <f>IF(P15=0,0,Q15/P15)</f>
        <v>34.547727272727272</v>
      </c>
      <c r="P15" s="118">
        <v>44</v>
      </c>
      <c r="Q15" s="106">
        <v>1520.1</v>
      </c>
    </row>
    <row r="16" spans="1:17" x14ac:dyDescent="0.45">
      <c r="A16" s="54" t="s">
        <v>125</v>
      </c>
      <c r="B16" s="46">
        <v>44</v>
      </c>
      <c r="C16" s="37">
        <f>IF(B$14=0,0,B16/B$14)</f>
        <v>0.36363636363636365</v>
      </c>
      <c r="E16" s="63" t="s">
        <v>79</v>
      </c>
      <c r="F16" s="60" t="s">
        <v>34</v>
      </c>
      <c r="G16" s="47">
        <v>5</v>
      </c>
      <c r="H16" s="133">
        <f>IF(B$17=0,0,G16/B$17)</f>
        <v>3.6764705882352942E-2</v>
      </c>
      <c r="I16" s="94">
        <v>2</v>
      </c>
      <c r="K16" s="38">
        <v>14</v>
      </c>
      <c r="L16" s="99">
        <v>-31.699999999999996</v>
      </c>
      <c r="N16" s="115" t="s">
        <v>177</v>
      </c>
      <c r="O16" s="125">
        <f>IF(P16=0,0,Q16/P16)</f>
        <v>-3.9136363636363658</v>
      </c>
      <c r="P16" s="119">
        <v>44</v>
      </c>
      <c r="Q16" s="107">
        <v>-172.2000000000001</v>
      </c>
    </row>
    <row r="17" spans="1:17" x14ac:dyDescent="0.45">
      <c r="A17" s="54" t="s">
        <v>10</v>
      </c>
      <c r="B17" s="46">
        <f>B19+B18</f>
        <v>136</v>
      </c>
      <c r="C17" s="37">
        <f>IF(B$3=0,0,B17/B$3)</f>
        <v>0.29059829059829062</v>
      </c>
      <c r="E17" s="63" t="s">
        <v>82</v>
      </c>
      <c r="F17" s="60" t="s">
        <v>37</v>
      </c>
      <c r="G17" s="47">
        <v>4</v>
      </c>
      <c r="H17" s="133">
        <f>IF(B$17=0,0,G17/B$17)</f>
        <v>2.9411764705882353E-2</v>
      </c>
      <c r="I17" s="94">
        <v>2</v>
      </c>
      <c r="K17" s="38">
        <v>15</v>
      </c>
      <c r="L17" s="99">
        <v>3.5527136788005009E-15</v>
      </c>
      <c r="N17" s="115" t="s">
        <v>127</v>
      </c>
      <c r="O17" s="125">
        <f>IF(P17=0,0,Q17/P17)</f>
        <v>-30.634090909090904</v>
      </c>
      <c r="P17" s="119">
        <v>44</v>
      </c>
      <c r="Q17" s="107">
        <v>-1347.8999999999999</v>
      </c>
    </row>
    <row r="18" spans="1:17" x14ac:dyDescent="0.45">
      <c r="A18" s="55" t="s">
        <v>12</v>
      </c>
      <c r="B18" s="47">
        <v>54</v>
      </c>
      <c r="C18" s="39">
        <f>IF(B$17=0,0,B18/B$17)</f>
        <v>0.39705882352941174</v>
      </c>
      <c r="E18" s="63" t="s">
        <v>74</v>
      </c>
      <c r="F18" s="60" t="s">
        <v>29</v>
      </c>
      <c r="G18" s="47">
        <v>1</v>
      </c>
      <c r="H18" s="133">
        <f>IF(B$17=0,0,G18/B$17)</f>
        <v>7.3529411764705881E-3</v>
      </c>
      <c r="I18" s="94">
        <v>2</v>
      </c>
      <c r="K18" s="38">
        <v>16</v>
      </c>
      <c r="L18" s="99">
        <v>6.8000000000000034</v>
      </c>
    </row>
    <row r="19" spans="1:17" x14ac:dyDescent="0.45">
      <c r="A19" s="55" t="s">
        <v>11</v>
      </c>
      <c r="B19" s="47">
        <v>82</v>
      </c>
      <c r="C19" s="39">
        <f>IF(B$17=0,0,B19/B$17)</f>
        <v>0.6029411764705882</v>
      </c>
      <c r="E19" s="63" t="s">
        <v>75</v>
      </c>
      <c r="F19" s="60" t="s">
        <v>30</v>
      </c>
      <c r="G19" s="47">
        <v>1</v>
      </c>
      <c r="H19" s="133">
        <f>IF(B$17=0,0,G19/B$17)</f>
        <v>7.3529411764705881E-3</v>
      </c>
      <c r="I19" s="94">
        <v>2</v>
      </c>
      <c r="K19" s="38">
        <v>17</v>
      </c>
      <c r="L19" s="99">
        <v>-0.8999999999999968</v>
      </c>
    </row>
    <row r="20" spans="1:17" x14ac:dyDescent="0.45">
      <c r="A20" s="55" t="s">
        <v>13</v>
      </c>
      <c r="B20" s="47">
        <v>81</v>
      </c>
      <c r="C20" s="39">
        <f>IF(B$3=0,0,B20/B$3)</f>
        <v>0.17307692307692307</v>
      </c>
      <c r="E20" s="63" t="s">
        <v>76</v>
      </c>
      <c r="F20" s="60" t="s">
        <v>31</v>
      </c>
      <c r="G20" s="47">
        <v>1</v>
      </c>
      <c r="H20" s="133">
        <f>IF(B$17=0,0,G20/B$17)</f>
        <v>7.3529411764705881E-3</v>
      </c>
      <c r="I20" s="94">
        <v>2</v>
      </c>
      <c r="K20" s="38">
        <v>18</v>
      </c>
      <c r="L20" s="99">
        <v>3.219646771412954E-15</v>
      </c>
    </row>
    <row r="21" spans="1:17" x14ac:dyDescent="0.45">
      <c r="A21" s="55" t="s">
        <v>171</v>
      </c>
      <c r="B21" s="47">
        <v>6</v>
      </c>
      <c r="C21" s="135">
        <v>2</v>
      </c>
      <c r="E21" s="63" t="s">
        <v>78</v>
      </c>
      <c r="F21" s="60" t="s">
        <v>33</v>
      </c>
      <c r="G21" s="47">
        <v>1</v>
      </c>
      <c r="H21" s="133">
        <f>IF(B$17=0,0,G21/B$17)</f>
        <v>7.3529411764705881E-3</v>
      </c>
      <c r="I21" s="94">
        <v>2</v>
      </c>
      <c r="K21" s="38">
        <v>19</v>
      </c>
      <c r="L21" s="99">
        <v>75.8</v>
      </c>
    </row>
    <row r="22" spans="1:17" x14ac:dyDescent="0.45">
      <c r="A22" s="55" t="s">
        <v>172</v>
      </c>
      <c r="B22" s="47">
        <v>28</v>
      </c>
      <c r="C22" s="135">
        <v>2</v>
      </c>
      <c r="E22" s="63" t="s">
        <v>85</v>
      </c>
      <c r="F22" s="60" t="s">
        <v>40</v>
      </c>
      <c r="G22" s="47">
        <v>1</v>
      </c>
      <c r="H22" s="133">
        <f>IF(B$17=0,0,G22/B$17)</f>
        <v>7.3529411764705881E-3</v>
      </c>
      <c r="I22" s="94">
        <v>2</v>
      </c>
      <c r="K22" s="38">
        <v>20</v>
      </c>
      <c r="L22" s="99">
        <v>11.799999999999997</v>
      </c>
    </row>
    <row r="23" spans="1:17" x14ac:dyDescent="0.45">
      <c r="A23" s="55" t="s">
        <v>5</v>
      </c>
      <c r="B23" s="51">
        <f>IF(B$17=0,0,C23/B$17)</f>
        <v>10605.882352941177</v>
      </c>
      <c r="C23" s="41">
        <v>1442400</v>
      </c>
      <c r="E23" s="63" t="s">
        <v>92</v>
      </c>
      <c r="F23" s="60" t="s">
        <v>47</v>
      </c>
      <c r="G23" s="47">
        <v>1</v>
      </c>
      <c r="H23" s="133">
        <f>IF(B$17=0,0,G23/B$17)</f>
        <v>7.3529411764705881E-3</v>
      </c>
      <c r="I23" s="94">
        <v>2</v>
      </c>
      <c r="K23" s="38">
        <v>21</v>
      </c>
      <c r="L23" s="99">
        <v>-3.5527136788005009E-15</v>
      </c>
    </row>
    <row r="24" spans="1:17" x14ac:dyDescent="0.45">
      <c r="A24" s="57" t="s">
        <v>14</v>
      </c>
      <c r="B24" s="52">
        <f>IF(B$20=0,0,C24/B$20)</f>
        <v>-10809.876543209877</v>
      </c>
      <c r="C24" s="45">
        <v>-875600</v>
      </c>
      <c r="E24" s="63" t="s">
        <v>96</v>
      </c>
      <c r="F24" s="60" t="s">
        <v>51</v>
      </c>
      <c r="G24" s="47">
        <v>1</v>
      </c>
      <c r="H24" s="133">
        <f>IF(B$17=0,0,G24/B$17)</f>
        <v>7.3529411764705881E-3</v>
      </c>
      <c r="I24" s="94">
        <v>2</v>
      </c>
      <c r="K24" s="38">
        <v>22</v>
      </c>
      <c r="L24" s="99">
        <v>37</v>
      </c>
    </row>
    <row r="25" spans="1:17" x14ac:dyDescent="0.45">
      <c r="A25" s="90" t="s">
        <v>140</v>
      </c>
      <c r="B25" s="140">
        <v>9</v>
      </c>
      <c r="C25" s="141"/>
      <c r="E25" s="63" t="s">
        <v>77</v>
      </c>
      <c r="F25" s="60" t="s">
        <v>32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30.1</v>
      </c>
    </row>
    <row r="26" spans="1:17" x14ac:dyDescent="0.45">
      <c r="A26" s="58" t="s">
        <v>150</v>
      </c>
      <c r="B26" s="138">
        <v>110000</v>
      </c>
      <c r="C26" s="139"/>
      <c r="E26" s="63" t="s">
        <v>80</v>
      </c>
      <c r="F26" s="60" t="s">
        <v>35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0</v>
      </c>
    </row>
    <row r="27" spans="1:17" x14ac:dyDescent="0.45">
      <c r="A27" s="57" t="s">
        <v>141</v>
      </c>
      <c r="B27" s="65">
        <v>0</v>
      </c>
      <c r="C27" s="42">
        <f>IF(B$3=0,0,B27/B$3)</f>
        <v>0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0</v>
      </c>
    </row>
    <row r="28" spans="1:17" x14ac:dyDescent="0.45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-64.7</v>
      </c>
    </row>
    <row r="29" spans="1:17" x14ac:dyDescent="0.45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0</v>
      </c>
    </row>
    <row r="30" spans="1:17" x14ac:dyDescent="0.45">
      <c r="E30" s="63" t="s">
        <v>88</v>
      </c>
      <c r="F30" s="60" t="s">
        <v>43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43.1</v>
      </c>
    </row>
    <row r="31" spans="1:17" x14ac:dyDescent="0.45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33.299999999999997</v>
      </c>
    </row>
    <row r="32" spans="1:17" x14ac:dyDescent="0.45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5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43.6</v>
      </c>
    </row>
    <row r="34" spans="5:12" x14ac:dyDescent="0.45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34.299999999999997</v>
      </c>
    </row>
    <row r="35" spans="5:12" x14ac:dyDescent="0.45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0</v>
      </c>
    </row>
    <row r="36" spans="5:12" x14ac:dyDescent="0.45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-7.1</v>
      </c>
    </row>
    <row r="37" spans="5:12" x14ac:dyDescent="0.45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-69.8</v>
      </c>
    </row>
    <row r="38" spans="5:12" x14ac:dyDescent="0.45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0</v>
      </c>
    </row>
    <row r="39" spans="5:12" x14ac:dyDescent="0.45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-15.4</v>
      </c>
    </row>
    <row r="40" spans="5:12" x14ac:dyDescent="0.45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-75.2</v>
      </c>
    </row>
    <row r="41" spans="5:12" x14ac:dyDescent="0.45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0</v>
      </c>
    </row>
    <row r="42" spans="5:12" x14ac:dyDescent="0.45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15</v>
      </c>
    </row>
    <row r="43" spans="5:12" x14ac:dyDescent="0.45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61</v>
      </c>
    </row>
    <row r="44" spans="5:12" x14ac:dyDescent="0.45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0</v>
      </c>
    </row>
    <row r="45" spans="5:12" x14ac:dyDescent="0.45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-29</v>
      </c>
    </row>
    <row r="46" spans="5:12" x14ac:dyDescent="0.45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-1.3999999999999986</v>
      </c>
    </row>
    <row r="47" spans="5:12" x14ac:dyDescent="0.45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1.3322676295501878E-15</v>
      </c>
    </row>
    <row r="48" spans="5:12" x14ac:dyDescent="0.45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-50</v>
      </c>
    </row>
    <row r="49" spans="5:12" x14ac:dyDescent="0.45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-57</v>
      </c>
    </row>
    <row r="50" spans="5:12" x14ac:dyDescent="0.45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0</v>
      </c>
    </row>
    <row r="51" spans="5:12" x14ac:dyDescent="0.45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38.299999999999997</v>
      </c>
    </row>
    <row r="52" spans="5:12" x14ac:dyDescent="0.45">
      <c r="K52" s="38">
        <v>50</v>
      </c>
      <c r="L52" s="99">
        <v>7.4999999999999964</v>
      </c>
    </row>
    <row r="53" spans="5:12" x14ac:dyDescent="0.45">
      <c r="K53" s="38">
        <v>51</v>
      </c>
      <c r="L53" s="99">
        <v>-3.5527136788005009E-15</v>
      </c>
    </row>
    <row r="54" spans="5:12" x14ac:dyDescent="0.45">
      <c r="K54" s="38">
        <v>52</v>
      </c>
      <c r="L54" s="99">
        <v>-37.100000000000009</v>
      </c>
    </row>
    <row r="55" spans="5:12" x14ac:dyDescent="0.45">
      <c r="K55" s="38">
        <v>53</v>
      </c>
      <c r="L55" s="99">
        <v>-7.7000000000000099</v>
      </c>
    </row>
    <row r="56" spans="5:12" x14ac:dyDescent="0.45">
      <c r="K56" s="38">
        <v>54</v>
      </c>
      <c r="L56" s="99">
        <v>-9.7699626167013776E-15</v>
      </c>
    </row>
    <row r="57" spans="5:12" x14ac:dyDescent="0.45">
      <c r="K57" s="38">
        <v>55</v>
      </c>
      <c r="L57" s="99">
        <v>-56.70000000000001</v>
      </c>
    </row>
    <row r="58" spans="5:12" x14ac:dyDescent="0.45">
      <c r="K58" s="38">
        <v>56</v>
      </c>
      <c r="L58" s="99">
        <v>18.999999999999993</v>
      </c>
    </row>
    <row r="59" spans="5:12" x14ac:dyDescent="0.45">
      <c r="K59" s="38">
        <v>57</v>
      </c>
      <c r="L59" s="99">
        <v>-7.1054273576010019E-15</v>
      </c>
    </row>
    <row r="60" spans="5:12" x14ac:dyDescent="0.45">
      <c r="K60" s="38">
        <v>58</v>
      </c>
      <c r="L60" s="99">
        <v>-66.300000000000011</v>
      </c>
    </row>
    <row r="61" spans="5:12" x14ac:dyDescent="0.45">
      <c r="K61" s="38">
        <v>59</v>
      </c>
      <c r="L61" s="99">
        <v>-20.70000000000001</v>
      </c>
    </row>
    <row r="62" spans="5:12" x14ac:dyDescent="0.45">
      <c r="K62" s="38">
        <v>60</v>
      </c>
      <c r="L62" s="99">
        <v>-1.0658141036401503E-14</v>
      </c>
    </row>
    <row r="63" spans="5:12" x14ac:dyDescent="0.45">
      <c r="K63" s="38">
        <v>61</v>
      </c>
      <c r="L63" s="99">
        <v>-40.200000000000017</v>
      </c>
    </row>
    <row r="64" spans="5:12" x14ac:dyDescent="0.45">
      <c r="K64" s="38">
        <v>62</v>
      </c>
      <c r="L64" s="99">
        <v>-9.0000000000000178</v>
      </c>
    </row>
    <row r="65" spans="11:12" x14ac:dyDescent="0.45">
      <c r="K65" s="38">
        <v>63</v>
      </c>
      <c r="L65" s="99">
        <v>-1.7763568394002505E-14</v>
      </c>
    </row>
    <row r="66" spans="11:12" x14ac:dyDescent="0.45">
      <c r="K66" s="38">
        <v>64</v>
      </c>
      <c r="L66" s="99">
        <v>-32.600000000000023</v>
      </c>
    </row>
    <row r="67" spans="11:12" x14ac:dyDescent="0.45">
      <c r="K67" s="38">
        <v>65</v>
      </c>
      <c r="L67" s="99">
        <v>-38.90000000000002</v>
      </c>
    </row>
    <row r="68" spans="11:12" x14ac:dyDescent="0.45">
      <c r="K68" s="38">
        <v>66</v>
      </c>
      <c r="L68" s="99">
        <v>-2.1316282072803006E-14</v>
      </c>
    </row>
  </sheetData>
  <sortState xmlns:xlrd2="http://schemas.microsoft.com/office/spreadsheetml/2017/richdata2"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AF17-7B5A-4823-8697-34D9694130F1}">
  <sheetPr codeName="Sheet7"/>
  <dimension ref="A1:Q51"/>
  <sheetViews>
    <sheetView showGridLines="0" zoomScaleNormal="100" workbookViewId="0"/>
  </sheetViews>
  <sheetFormatPr defaultColWidth="9" defaultRowHeight="18" x14ac:dyDescent="0.45"/>
  <cols>
    <col min="1" max="1" width="13" style="33" customWidth="1"/>
    <col min="2" max="3" width="9" style="33" customWidth="1"/>
    <col min="4" max="4" width="3.59765625" style="33" customWidth="1"/>
    <col min="5" max="5" width="3.59765625" style="128" bestFit="1" customWidth="1"/>
    <col min="6" max="6" width="11" style="43" bestFit="1" customWidth="1"/>
    <col min="7" max="9" width="9" style="33" customWidth="1"/>
    <col min="10" max="10" width="3.59765625" style="33" customWidth="1"/>
    <col min="11" max="11" width="3.5" style="38" customWidth="1"/>
    <col min="12" max="12" width="9" style="99" customWidth="1"/>
    <col min="13" max="13" width="3.59765625" style="33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33"/>
  </cols>
  <sheetData>
    <row r="1" spans="1:17" x14ac:dyDescent="0.45">
      <c r="A1" s="53" t="s">
        <v>0</v>
      </c>
      <c r="B1" s="144" t="s">
        <v>127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5">
      <c r="A2" s="54" t="s">
        <v>9</v>
      </c>
      <c r="B2" s="146">
        <v>22</v>
      </c>
      <c r="C2" s="147"/>
      <c r="E2" s="62" t="s">
        <v>173</v>
      </c>
      <c r="F2" s="59" t="s">
        <v>174</v>
      </c>
      <c r="G2" s="46">
        <v>46</v>
      </c>
      <c r="H2" s="132">
        <f>IF(B$17=0,0,G2/B$17)</f>
        <v>0.7931034482758621</v>
      </c>
      <c r="I2" s="93">
        <v>4</v>
      </c>
      <c r="K2" s="36">
        <v>0</v>
      </c>
      <c r="L2" s="98">
        <v>0</v>
      </c>
      <c r="N2" s="114" t="s">
        <v>130</v>
      </c>
      <c r="O2" s="121">
        <f t="shared" ref="O2:O7" si="0">IF(P2=0,0,Q2/P2)</f>
        <v>222.72727272727272</v>
      </c>
      <c r="P2" s="118">
        <v>22</v>
      </c>
      <c r="Q2" s="102">
        <v>4900</v>
      </c>
    </row>
    <row r="3" spans="1:17" x14ac:dyDescent="0.45">
      <c r="A3" s="55" t="s">
        <v>8</v>
      </c>
      <c r="B3" s="148">
        <v>156</v>
      </c>
      <c r="C3" s="149"/>
      <c r="E3" s="63" t="s">
        <v>65</v>
      </c>
      <c r="F3" s="60" t="s">
        <v>21</v>
      </c>
      <c r="G3" s="47">
        <v>36</v>
      </c>
      <c r="H3" s="133">
        <f>IF(B$17=0,0,G3/B$17)</f>
        <v>0.62068965517241381</v>
      </c>
      <c r="I3" s="94">
        <v>1</v>
      </c>
      <c r="K3" s="38">
        <v>1</v>
      </c>
      <c r="L3" s="99">
        <v>-14.1</v>
      </c>
      <c r="N3" s="115" t="s">
        <v>131</v>
      </c>
      <c r="O3" s="122">
        <f t="shared" si="0"/>
        <v>7581.818181818182</v>
      </c>
      <c r="P3" s="119">
        <v>22</v>
      </c>
      <c r="Q3" s="103">
        <v>166800</v>
      </c>
    </row>
    <row r="4" spans="1:17" x14ac:dyDescent="0.45">
      <c r="A4" s="55" t="s">
        <v>6</v>
      </c>
      <c r="B4" s="150">
        <v>449.30000000000007</v>
      </c>
      <c r="C4" s="151"/>
      <c r="E4" s="63" t="s">
        <v>67</v>
      </c>
      <c r="F4" s="60" t="s">
        <v>23</v>
      </c>
      <c r="G4" s="47">
        <v>36</v>
      </c>
      <c r="H4" s="133">
        <f>IF(B$17=0,0,G4/B$17)</f>
        <v>0.62068965517241381</v>
      </c>
      <c r="I4" s="94">
        <v>4</v>
      </c>
      <c r="K4" s="38">
        <v>2</v>
      </c>
      <c r="L4" s="99">
        <v>60.9</v>
      </c>
      <c r="N4" s="115" t="s">
        <v>132</v>
      </c>
      <c r="O4" s="122">
        <f t="shared" si="0"/>
        <v>926.31578947368416</v>
      </c>
      <c r="P4" s="119">
        <v>19</v>
      </c>
      <c r="Q4" s="103">
        <v>17600</v>
      </c>
    </row>
    <row r="5" spans="1:17" x14ac:dyDescent="0.45">
      <c r="A5" s="55" t="s">
        <v>7</v>
      </c>
      <c r="B5" s="152">
        <f>IF(B$2=0,0,B$4/B$2)</f>
        <v>20.422727272727276</v>
      </c>
      <c r="C5" s="153"/>
      <c r="E5" s="63" t="s">
        <v>73</v>
      </c>
      <c r="F5" s="60" t="s">
        <v>28</v>
      </c>
      <c r="G5" s="47">
        <v>27</v>
      </c>
      <c r="H5" s="133">
        <f>IF(B$17=0,0,G5/B$17)</f>
        <v>0.46551724137931033</v>
      </c>
      <c r="I5" s="94">
        <v>2</v>
      </c>
      <c r="K5" s="38">
        <v>3</v>
      </c>
      <c r="L5" s="99">
        <v>105.9</v>
      </c>
      <c r="N5" s="115" t="s">
        <v>133</v>
      </c>
      <c r="O5" s="122">
        <f t="shared" si="0"/>
        <v>6886.666666666667</v>
      </c>
      <c r="P5" s="119">
        <v>15</v>
      </c>
      <c r="Q5" s="103">
        <v>103300</v>
      </c>
    </row>
    <row r="6" spans="1:17" x14ac:dyDescent="0.45">
      <c r="A6" s="55" t="s">
        <v>1</v>
      </c>
      <c r="B6" s="142">
        <f>IF(B$2=0,0,(B$7*1+B$8*2+B$9*3)/B$2)</f>
        <v>1.5454545454545454</v>
      </c>
      <c r="C6" s="143"/>
      <c r="E6" s="63" t="s">
        <v>68</v>
      </c>
      <c r="F6" s="60" t="s">
        <v>24</v>
      </c>
      <c r="G6" s="47">
        <v>25</v>
      </c>
      <c r="H6" s="133">
        <f>IF(B$17=0,0,G6/B$17)</f>
        <v>0.43103448275862066</v>
      </c>
      <c r="I6" s="94">
        <v>2</v>
      </c>
      <c r="K6" s="38">
        <v>4</v>
      </c>
      <c r="L6" s="99">
        <v>134.4</v>
      </c>
      <c r="N6" s="115" t="s">
        <v>134</v>
      </c>
      <c r="O6" s="122">
        <f t="shared" si="0"/>
        <v>-3818.181818181818</v>
      </c>
      <c r="P6" s="119">
        <v>11</v>
      </c>
      <c r="Q6" s="103">
        <v>-42000</v>
      </c>
    </row>
    <row r="7" spans="1:17" x14ac:dyDescent="0.45">
      <c r="A7" s="55" t="s">
        <v>2</v>
      </c>
      <c r="B7" s="47">
        <v>13</v>
      </c>
      <c r="C7" s="39">
        <f>IF(B$2=0,0,B7/B$2)</f>
        <v>0.59090909090909094</v>
      </c>
      <c r="E7" s="63" t="s">
        <v>169</v>
      </c>
      <c r="F7" s="60" t="s">
        <v>170</v>
      </c>
      <c r="G7" s="47">
        <v>20</v>
      </c>
      <c r="H7" s="133">
        <f>IF(B$17=0,0,G7/B$17)</f>
        <v>0.34482758620689657</v>
      </c>
      <c r="I7" s="94">
        <v>1</v>
      </c>
      <c r="K7" s="38">
        <v>5</v>
      </c>
      <c r="L7" s="99">
        <v>152.5</v>
      </c>
      <c r="N7" s="116" t="s">
        <v>135</v>
      </c>
      <c r="O7" s="123">
        <f t="shared" si="0"/>
        <v>2214.2857142857142</v>
      </c>
      <c r="P7" s="120">
        <v>7</v>
      </c>
      <c r="Q7" s="104">
        <v>15500</v>
      </c>
    </row>
    <row r="8" spans="1:17" x14ac:dyDescent="0.45">
      <c r="A8" s="55" t="s">
        <v>3</v>
      </c>
      <c r="B8" s="47">
        <v>6</v>
      </c>
      <c r="C8" s="39">
        <f>IF(B$2=0,0,B8/B$2)</f>
        <v>0.27272727272727271</v>
      </c>
      <c r="E8" s="63" t="s">
        <v>69</v>
      </c>
      <c r="F8" s="60" t="s">
        <v>12</v>
      </c>
      <c r="G8" s="47">
        <v>17</v>
      </c>
      <c r="H8" s="133">
        <f>IF(B$17=0,0,G8/B$17)</f>
        <v>0.29310344827586204</v>
      </c>
      <c r="I8" s="94">
        <v>2</v>
      </c>
      <c r="K8" s="38">
        <v>6</v>
      </c>
      <c r="L8" s="99">
        <v>159.30000000000001</v>
      </c>
      <c r="N8" s="43"/>
      <c r="O8" s="127"/>
      <c r="P8" s="111"/>
      <c r="Q8" s="109"/>
    </row>
    <row r="9" spans="1:17" x14ac:dyDescent="0.45">
      <c r="A9" s="56" t="s">
        <v>4</v>
      </c>
      <c r="B9" s="48">
        <v>3</v>
      </c>
      <c r="C9" s="40">
        <f t="shared" ref="C9" si="1">IF(B$2=0,0,B9/B$2)</f>
        <v>0.13636363636363635</v>
      </c>
      <c r="E9" s="63" t="s">
        <v>66</v>
      </c>
      <c r="F9" s="60" t="s">
        <v>22</v>
      </c>
      <c r="G9" s="47">
        <v>12</v>
      </c>
      <c r="H9" s="133">
        <f>IF(B$17=0,0,G9/B$17)</f>
        <v>0.20689655172413793</v>
      </c>
      <c r="I9" s="94">
        <v>1</v>
      </c>
      <c r="K9" s="38">
        <v>7</v>
      </c>
      <c r="L9" s="99">
        <v>235.10000000000002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5">
      <c r="A10" s="56" t="s">
        <v>19</v>
      </c>
      <c r="B10" s="48">
        <v>2</v>
      </c>
      <c r="C10" s="40">
        <f>IF(B$2=0,0,B10/B$2)</f>
        <v>9.0909090909090912E-2</v>
      </c>
      <c r="E10" s="63" t="s">
        <v>90</v>
      </c>
      <c r="F10" s="60" t="s">
        <v>45</v>
      </c>
      <c r="G10" s="47">
        <v>10</v>
      </c>
      <c r="H10" s="133">
        <f>IF(B$17=0,0,G10/B$17)</f>
        <v>0.17241379310344829</v>
      </c>
      <c r="I10" s="94">
        <v>1</v>
      </c>
      <c r="K10" s="38">
        <v>8</v>
      </c>
      <c r="L10" s="99">
        <v>272.10000000000002</v>
      </c>
      <c r="N10" s="114" t="s">
        <v>162</v>
      </c>
      <c r="O10" s="124">
        <f>IF(P10=0,0,Q10/P10)</f>
        <v>17.285714285714288</v>
      </c>
      <c r="P10" s="118">
        <v>7</v>
      </c>
      <c r="Q10" s="106">
        <v>121.00000000000001</v>
      </c>
    </row>
    <row r="11" spans="1:17" x14ac:dyDescent="0.45">
      <c r="A11" s="56" t="s">
        <v>138</v>
      </c>
      <c r="B11" s="48">
        <v>7</v>
      </c>
      <c r="C11" s="40">
        <f>IF(B$2=0,0,B11/B$2)</f>
        <v>0.31818181818181818</v>
      </c>
      <c r="E11" s="63" t="s">
        <v>70</v>
      </c>
      <c r="F11" s="60" t="s">
        <v>25</v>
      </c>
      <c r="G11" s="47">
        <v>9</v>
      </c>
      <c r="H11" s="133">
        <f>IF(B$17=0,0,G11/B$17)</f>
        <v>0.15517241379310345</v>
      </c>
      <c r="I11" s="94">
        <v>1</v>
      </c>
      <c r="K11" s="38">
        <v>9</v>
      </c>
      <c r="L11" s="99">
        <v>272.10000000000002</v>
      </c>
      <c r="N11" s="115" t="s">
        <v>163</v>
      </c>
      <c r="O11" s="125">
        <f>IF(P11=0,0,Q11/P11)</f>
        <v>15.799999999999994</v>
      </c>
      <c r="P11" s="119">
        <v>10</v>
      </c>
      <c r="Q11" s="107">
        <v>157.99999999999994</v>
      </c>
    </row>
    <row r="12" spans="1:17" x14ac:dyDescent="0.45">
      <c r="A12" s="57" t="s">
        <v>158</v>
      </c>
      <c r="B12" s="49">
        <v>4</v>
      </c>
      <c r="C12" s="42">
        <f>IF(B$2=0,0,B12/B$2)</f>
        <v>0.18181818181818182</v>
      </c>
      <c r="E12" s="63" t="s">
        <v>72</v>
      </c>
      <c r="F12" s="60" t="s">
        <v>27</v>
      </c>
      <c r="G12" s="47">
        <v>7</v>
      </c>
      <c r="H12" s="133">
        <f>IF(B$17=0,0,G12/B$17)</f>
        <v>0.1206896551724138</v>
      </c>
      <c r="I12" s="94">
        <v>1</v>
      </c>
      <c r="K12" s="38">
        <v>10</v>
      </c>
      <c r="L12" s="99">
        <v>315.20000000000005</v>
      </c>
      <c r="N12" s="116" t="s">
        <v>164</v>
      </c>
      <c r="O12" s="126">
        <f>IF(P12=0,0,Q12/P12)</f>
        <v>34.06</v>
      </c>
      <c r="P12" s="120">
        <v>5</v>
      </c>
      <c r="Q12" s="108">
        <v>170.3</v>
      </c>
    </row>
    <row r="13" spans="1:17" x14ac:dyDescent="0.45">
      <c r="A13" s="58" t="s">
        <v>122</v>
      </c>
      <c r="B13" s="50">
        <v>61</v>
      </c>
      <c r="C13" s="44">
        <f>IF(B$3=0,0,B13/B$3)</f>
        <v>0.39102564102564102</v>
      </c>
      <c r="E13" s="63" t="s">
        <v>84</v>
      </c>
      <c r="F13" s="60" t="s">
        <v>39</v>
      </c>
      <c r="G13" s="47">
        <v>5</v>
      </c>
      <c r="H13" s="133">
        <f>IF(B$17=0,0,G13/B$17)</f>
        <v>8.6206896551724144E-2</v>
      </c>
      <c r="I13" s="94">
        <v>2</v>
      </c>
      <c r="K13" s="38">
        <v>11</v>
      </c>
      <c r="L13" s="99">
        <v>358.80000000000007</v>
      </c>
      <c r="N13" s="33"/>
      <c r="O13" s="110"/>
      <c r="P13" s="112"/>
      <c r="Q13" s="110"/>
    </row>
    <row r="14" spans="1:17" x14ac:dyDescent="0.45">
      <c r="A14" s="55" t="s">
        <v>119</v>
      </c>
      <c r="B14" s="47">
        <v>37</v>
      </c>
      <c r="C14" s="39">
        <f>IF(B$3=0,0,B14/B$3)</f>
        <v>0.23717948717948717</v>
      </c>
      <c r="E14" s="63" t="s">
        <v>71</v>
      </c>
      <c r="F14" s="60" t="s">
        <v>26</v>
      </c>
      <c r="G14" s="47">
        <v>4</v>
      </c>
      <c r="H14" s="133">
        <f>IF(B$17=0,0,G14/B$17)</f>
        <v>6.8965517241379309E-2</v>
      </c>
      <c r="I14" s="94">
        <v>1</v>
      </c>
      <c r="K14" s="38">
        <v>12</v>
      </c>
      <c r="L14" s="99">
        <v>296.10000000000008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5">
      <c r="A15" s="54" t="s">
        <v>124</v>
      </c>
      <c r="B15" s="46">
        <v>38</v>
      </c>
      <c r="C15" s="37">
        <f>IF(B$13=0,0,B15/B$13)</f>
        <v>0.62295081967213117</v>
      </c>
      <c r="E15" s="63" t="s">
        <v>82</v>
      </c>
      <c r="F15" s="60" t="s">
        <v>37</v>
      </c>
      <c r="G15" s="47">
        <v>3</v>
      </c>
      <c r="H15" s="133">
        <f>IF(B$17=0,0,G15/B$17)</f>
        <v>5.1724137931034482E-2</v>
      </c>
      <c r="I15" s="94">
        <v>1</v>
      </c>
      <c r="K15" s="38">
        <v>13</v>
      </c>
      <c r="L15" s="99">
        <v>236.30000000000007</v>
      </c>
      <c r="N15" s="114" t="s">
        <v>176</v>
      </c>
      <c r="O15" s="124">
        <f>IF(P15=0,0,Q15/P15)</f>
        <v>43.454545454545467</v>
      </c>
      <c r="P15" s="118">
        <v>22</v>
      </c>
      <c r="Q15" s="106">
        <v>956.00000000000034</v>
      </c>
    </row>
    <row r="16" spans="1:17" x14ac:dyDescent="0.45">
      <c r="A16" s="54" t="s">
        <v>125</v>
      </c>
      <c r="B16" s="46">
        <v>16</v>
      </c>
      <c r="C16" s="37">
        <f>IF(B$14=0,0,B16/B$14)</f>
        <v>0.43243243243243246</v>
      </c>
      <c r="E16" s="63" t="s">
        <v>79</v>
      </c>
      <c r="F16" s="60" t="s">
        <v>34</v>
      </c>
      <c r="G16" s="47">
        <v>2</v>
      </c>
      <c r="H16" s="133">
        <f>IF(B$17=0,0,G16/B$17)</f>
        <v>3.4482758620689655E-2</v>
      </c>
      <c r="I16" s="94">
        <v>3</v>
      </c>
      <c r="K16" s="38">
        <v>14</v>
      </c>
      <c r="L16" s="99">
        <v>282.30000000000007</v>
      </c>
      <c r="N16" s="115" t="s">
        <v>177</v>
      </c>
      <c r="O16" s="125">
        <f>IF(P16=0,0,Q16/P16)</f>
        <v>17.813636363636373</v>
      </c>
      <c r="P16" s="119">
        <v>22</v>
      </c>
      <c r="Q16" s="107">
        <v>391.9000000000002</v>
      </c>
    </row>
    <row r="17" spans="1:12" x14ac:dyDescent="0.45">
      <c r="A17" s="54" t="s">
        <v>10</v>
      </c>
      <c r="B17" s="46">
        <f>B19+B18</f>
        <v>58</v>
      </c>
      <c r="C17" s="37">
        <f>IF(B$3=0,0,B17/B$3)</f>
        <v>0.37179487179487181</v>
      </c>
      <c r="E17" s="63" t="s">
        <v>87</v>
      </c>
      <c r="F17" s="60" t="s">
        <v>42</v>
      </c>
      <c r="G17" s="47">
        <v>2</v>
      </c>
      <c r="H17" s="133">
        <f>IF(B$17=0,0,G17/B$17)</f>
        <v>3.4482758620689655E-2</v>
      </c>
      <c r="I17" s="94">
        <v>3</v>
      </c>
      <c r="K17" s="38">
        <v>15</v>
      </c>
      <c r="L17" s="99">
        <v>309.90000000000009</v>
      </c>
    </row>
    <row r="18" spans="1:12" x14ac:dyDescent="0.45">
      <c r="A18" s="55" t="s">
        <v>12</v>
      </c>
      <c r="B18" s="47">
        <v>23</v>
      </c>
      <c r="C18" s="39">
        <f>IF(B$17=0,0,B18/B$17)</f>
        <v>0.39655172413793105</v>
      </c>
      <c r="E18" s="63" t="s">
        <v>74</v>
      </c>
      <c r="F18" s="60" t="s">
        <v>29</v>
      </c>
      <c r="G18" s="47">
        <v>1</v>
      </c>
      <c r="H18" s="133">
        <f>IF(B$17=0,0,G18/B$17)</f>
        <v>1.7241379310344827E-2</v>
      </c>
      <c r="I18" s="94">
        <v>1</v>
      </c>
      <c r="K18" s="38">
        <v>16</v>
      </c>
      <c r="L18" s="99">
        <v>302.90000000000009</v>
      </c>
    </row>
    <row r="19" spans="1:12" x14ac:dyDescent="0.45">
      <c r="A19" s="55" t="s">
        <v>11</v>
      </c>
      <c r="B19" s="47">
        <v>35</v>
      </c>
      <c r="C19" s="39">
        <f>IF(B$17=0,0,B19/B$17)</f>
        <v>0.60344827586206895</v>
      </c>
      <c r="E19" s="63" t="s">
        <v>78</v>
      </c>
      <c r="F19" s="60" t="s">
        <v>33</v>
      </c>
      <c r="G19" s="47">
        <v>1</v>
      </c>
      <c r="H19" s="133">
        <f>IF(B$17=0,0,G19/B$17)</f>
        <v>1.7241379310344827E-2</v>
      </c>
      <c r="I19" s="94">
        <v>1</v>
      </c>
      <c r="K19" s="38">
        <v>17</v>
      </c>
      <c r="L19" s="99">
        <v>295.40000000000009</v>
      </c>
    </row>
    <row r="20" spans="1:12" x14ac:dyDescent="0.45">
      <c r="A20" s="55" t="s">
        <v>13</v>
      </c>
      <c r="B20" s="47">
        <v>20</v>
      </c>
      <c r="C20" s="39">
        <f>IF(B$3=0,0,B20/B$3)</f>
        <v>0.12820512820512819</v>
      </c>
      <c r="E20" s="63" t="s">
        <v>85</v>
      </c>
      <c r="F20" s="60" t="s">
        <v>40</v>
      </c>
      <c r="G20" s="47">
        <v>1</v>
      </c>
      <c r="H20" s="133">
        <f>IF(B$17=0,0,G20/B$17)</f>
        <v>1.7241379310344827E-2</v>
      </c>
      <c r="I20" s="94">
        <v>1</v>
      </c>
      <c r="K20" s="38">
        <v>18</v>
      </c>
      <c r="L20" s="99">
        <v>303.10000000000008</v>
      </c>
    </row>
    <row r="21" spans="1:12" x14ac:dyDescent="0.45">
      <c r="A21" s="55" t="s">
        <v>171</v>
      </c>
      <c r="B21" s="47">
        <v>5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378.80000000000007</v>
      </c>
    </row>
    <row r="22" spans="1:12" x14ac:dyDescent="0.45">
      <c r="A22" s="55" t="s">
        <v>172</v>
      </c>
      <c r="B22" s="47">
        <v>25</v>
      </c>
      <c r="C22" s="135">
        <v>0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424.40000000000009</v>
      </c>
    </row>
    <row r="23" spans="1:12" x14ac:dyDescent="0.45">
      <c r="A23" s="55" t="s">
        <v>5</v>
      </c>
      <c r="B23" s="51">
        <f>IF(B$17=0,0,C23/B$17)</f>
        <v>11177.586206896553</v>
      </c>
      <c r="C23" s="41">
        <v>648300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455.60000000000008</v>
      </c>
    </row>
    <row r="24" spans="1:12" x14ac:dyDescent="0.45">
      <c r="A24" s="57" t="s">
        <v>14</v>
      </c>
      <c r="B24" s="52">
        <f>IF(B$20=0,0,C24/B$20)</f>
        <v>-11555</v>
      </c>
      <c r="C24" s="45">
        <v>-231100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449.30000000000007</v>
      </c>
    </row>
    <row r="25" spans="1:12" x14ac:dyDescent="0.45">
      <c r="A25" s="90" t="s">
        <v>140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</row>
    <row r="26" spans="1:12" x14ac:dyDescent="0.45">
      <c r="A26" s="58" t="s">
        <v>150</v>
      </c>
      <c r="B26" s="138">
        <v>110000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</row>
    <row r="27" spans="1:12" x14ac:dyDescent="0.45">
      <c r="A27" s="57" t="s">
        <v>141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1</v>
      </c>
    </row>
    <row r="28" spans="1:12" x14ac:dyDescent="0.45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1</v>
      </c>
    </row>
    <row r="29" spans="1:12" x14ac:dyDescent="0.45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1</v>
      </c>
    </row>
    <row r="30" spans="1:12" x14ac:dyDescent="0.45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12" x14ac:dyDescent="0.45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3</v>
      </c>
    </row>
    <row r="32" spans="1:12" x14ac:dyDescent="0.45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1</v>
      </c>
    </row>
    <row r="33" spans="5:9" x14ac:dyDescent="0.45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5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5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5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5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5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5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5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5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5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5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5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5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5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5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5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5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5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5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EAD01-9319-40C3-B1F3-EA3278758F8A}">
  <sheetPr codeName="Sheet9"/>
  <dimension ref="A1:Q51"/>
  <sheetViews>
    <sheetView showGridLines="0" zoomScaleNormal="100" workbookViewId="0"/>
  </sheetViews>
  <sheetFormatPr defaultColWidth="9" defaultRowHeight="18" x14ac:dyDescent="0.45"/>
  <cols>
    <col min="1" max="1" width="13" style="33" customWidth="1"/>
    <col min="2" max="3" width="9" style="33" customWidth="1"/>
    <col min="4" max="4" width="3.59765625" style="33" customWidth="1"/>
    <col min="5" max="5" width="3.59765625" style="128" bestFit="1" customWidth="1"/>
    <col min="6" max="6" width="11" style="43" bestFit="1" customWidth="1"/>
    <col min="7" max="9" width="9" style="33" customWidth="1"/>
    <col min="10" max="10" width="3.59765625" style="33" customWidth="1"/>
    <col min="11" max="11" width="3.5" style="38" customWidth="1"/>
    <col min="12" max="12" width="9" style="99" customWidth="1"/>
    <col min="13" max="13" width="3.59765625" style="33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33"/>
  </cols>
  <sheetData>
    <row r="1" spans="1:17" x14ac:dyDescent="0.45">
      <c r="A1" s="53" t="s">
        <v>0</v>
      </c>
      <c r="B1" s="144" t="s">
        <v>176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5">
      <c r="A2" s="54" t="s">
        <v>9</v>
      </c>
      <c r="B2" s="146">
        <v>22</v>
      </c>
      <c r="C2" s="147"/>
      <c r="E2" s="62" t="s">
        <v>173</v>
      </c>
      <c r="F2" s="59" t="s">
        <v>174</v>
      </c>
      <c r="G2" s="46">
        <v>34</v>
      </c>
      <c r="H2" s="132">
        <f>IF(B$17=0,0,G2/B$17)</f>
        <v>1.2142857142857142</v>
      </c>
      <c r="I2" s="93">
        <v>1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-1368.1818181818182</v>
      </c>
      <c r="P2" s="118">
        <v>22</v>
      </c>
      <c r="Q2" s="102">
        <v>-30100</v>
      </c>
    </row>
    <row r="3" spans="1:17" x14ac:dyDescent="0.45">
      <c r="A3" s="55" t="s">
        <v>8</v>
      </c>
      <c r="B3" s="148">
        <v>156</v>
      </c>
      <c r="C3" s="149"/>
      <c r="E3" s="63" t="s">
        <v>67</v>
      </c>
      <c r="F3" s="60" t="s">
        <v>23</v>
      </c>
      <c r="G3" s="47">
        <v>21</v>
      </c>
      <c r="H3" s="133">
        <f>IF(B$17=0,0,G3/B$17)</f>
        <v>0.75</v>
      </c>
      <c r="I3" s="94">
        <v>2</v>
      </c>
      <c r="K3" s="38">
        <v>1</v>
      </c>
      <c r="L3" s="99">
        <v>17.100000000000001</v>
      </c>
      <c r="N3" s="115" t="s">
        <v>131</v>
      </c>
      <c r="O3" s="122">
        <f t="shared" si="0"/>
        <v>-8490.9090909090901</v>
      </c>
      <c r="P3" s="119">
        <v>22</v>
      </c>
      <c r="Q3" s="103">
        <v>-186800</v>
      </c>
    </row>
    <row r="4" spans="1:17" x14ac:dyDescent="0.45">
      <c r="A4" s="55" t="s">
        <v>6</v>
      </c>
      <c r="B4" s="150">
        <v>-506.7000000000001</v>
      </c>
      <c r="C4" s="151"/>
      <c r="E4" s="63" t="s">
        <v>65</v>
      </c>
      <c r="F4" s="60" t="s">
        <v>21</v>
      </c>
      <c r="G4" s="47">
        <v>15</v>
      </c>
      <c r="H4" s="133">
        <f>IF(B$17=0,0,G4/B$17)</f>
        <v>0.5357142857142857</v>
      </c>
      <c r="I4" s="94">
        <v>4</v>
      </c>
      <c r="K4" s="38">
        <v>2</v>
      </c>
      <c r="L4" s="99">
        <v>-38.9</v>
      </c>
      <c r="N4" s="115" t="s">
        <v>132</v>
      </c>
      <c r="O4" s="122">
        <f t="shared" si="0"/>
        <v>-3078.9473684210525</v>
      </c>
      <c r="P4" s="119">
        <v>19</v>
      </c>
      <c r="Q4" s="103">
        <v>-58500</v>
      </c>
    </row>
    <row r="5" spans="1:17" x14ac:dyDescent="0.45">
      <c r="A5" s="55" t="s">
        <v>7</v>
      </c>
      <c r="B5" s="152">
        <f>IF(B$2=0,0,B$4/B$2)</f>
        <v>-23.031818181818185</v>
      </c>
      <c r="C5" s="153"/>
      <c r="E5" s="63" t="s">
        <v>169</v>
      </c>
      <c r="F5" s="60" t="s">
        <v>170</v>
      </c>
      <c r="G5" s="47">
        <v>9</v>
      </c>
      <c r="H5" s="133">
        <f>IF(B$17=0,0,G5/B$17)</f>
        <v>0.32142857142857145</v>
      </c>
      <c r="I5" s="94">
        <v>2</v>
      </c>
      <c r="K5" s="38">
        <v>3</v>
      </c>
      <c r="L5" s="99">
        <v>-84.9</v>
      </c>
      <c r="N5" s="115" t="s">
        <v>133</v>
      </c>
      <c r="O5" s="122">
        <f t="shared" si="0"/>
        <v>-5440</v>
      </c>
      <c r="P5" s="119">
        <v>15</v>
      </c>
      <c r="Q5" s="103">
        <v>-81600</v>
      </c>
    </row>
    <row r="6" spans="1:17" x14ac:dyDescent="0.45">
      <c r="A6" s="55" t="s">
        <v>1</v>
      </c>
      <c r="B6" s="142">
        <f>IF(B$2=0,0,(B$7*1+B$8*2+B$9*3)/B$2)</f>
        <v>2.4090909090909092</v>
      </c>
      <c r="C6" s="143"/>
      <c r="E6" s="63" t="s">
        <v>69</v>
      </c>
      <c r="F6" s="60" t="s">
        <v>12</v>
      </c>
      <c r="G6" s="47">
        <v>7</v>
      </c>
      <c r="H6" s="133">
        <f>IF(B$17=0,0,G6/B$17)</f>
        <v>0.25</v>
      </c>
      <c r="I6" s="94">
        <v>4</v>
      </c>
      <c r="K6" s="38">
        <v>4</v>
      </c>
      <c r="L6" s="99">
        <v>-74.800000000000011</v>
      </c>
      <c r="N6" s="115" t="s">
        <v>134</v>
      </c>
      <c r="O6" s="122">
        <f t="shared" si="0"/>
        <v>-690.90909090909088</v>
      </c>
      <c r="P6" s="119">
        <v>11</v>
      </c>
      <c r="Q6" s="103">
        <v>-7600</v>
      </c>
    </row>
    <row r="7" spans="1:17" x14ac:dyDescent="0.45">
      <c r="A7" s="55" t="s">
        <v>2</v>
      </c>
      <c r="B7" s="47">
        <v>3</v>
      </c>
      <c r="C7" s="39">
        <f>IF(B$2=0,0,B7/B$2)</f>
        <v>0.13636363636363635</v>
      </c>
      <c r="E7" s="63" t="s">
        <v>73</v>
      </c>
      <c r="F7" s="60" t="s">
        <v>28</v>
      </c>
      <c r="G7" s="47">
        <v>7</v>
      </c>
      <c r="H7" s="133">
        <f>IF(B$17=0,0,G7/B$17)</f>
        <v>0.25</v>
      </c>
      <c r="I7" s="94">
        <v>4</v>
      </c>
      <c r="K7" s="38">
        <v>5</v>
      </c>
      <c r="L7" s="99">
        <v>-124.60000000000001</v>
      </c>
      <c r="N7" s="116" t="s">
        <v>135</v>
      </c>
      <c r="O7" s="123">
        <f t="shared" si="0"/>
        <v>-1442.8571428571429</v>
      </c>
      <c r="P7" s="120">
        <v>7</v>
      </c>
      <c r="Q7" s="104">
        <v>-10100</v>
      </c>
    </row>
    <row r="8" spans="1:17" x14ac:dyDescent="0.45">
      <c r="A8" s="55" t="s">
        <v>3</v>
      </c>
      <c r="B8" s="47">
        <v>7</v>
      </c>
      <c r="C8" s="39">
        <f>IF(B$2=0,0,B8/B$2)</f>
        <v>0.31818181818181818</v>
      </c>
      <c r="E8" s="63" t="s">
        <v>68</v>
      </c>
      <c r="F8" s="60" t="s">
        <v>24</v>
      </c>
      <c r="G8" s="47">
        <v>5</v>
      </c>
      <c r="H8" s="133">
        <f>IF(B$17=0,0,G8/B$17)</f>
        <v>0.17857142857142858</v>
      </c>
      <c r="I8" s="94">
        <v>4</v>
      </c>
      <c r="K8" s="38">
        <v>6</v>
      </c>
      <c r="L8" s="99">
        <v>-132.30000000000001</v>
      </c>
      <c r="N8" s="43"/>
      <c r="O8" s="127"/>
      <c r="P8" s="111"/>
      <c r="Q8" s="109"/>
    </row>
    <row r="9" spans="1:17" x14ac:dyDescent="0.45">
      <c r="A9" s="56" t="s">
        <v>4</v>
      </c>
      <c r="B9" s="48">
        <v>12</v>
      </c>
      <c r="C9" s="40">
        <f t="shared" ref="C9" si="1">IF(B$2=0,0,B9/B$2)</f>
        <v>0.54545454545454541</v>
      </c>
      <c r="E9" s="63" t="s">
        <v>66</v>
      </c>
      <c r="F9" s="60" t="s">
        <v>22</v>
      </c>
      <c r="G9" s="47">
        <v>4</v>
      </c>
      <c r="H9" s="133">
        <f>IF(B$17=0,0,G9/B$17)</f>
        <v>0.14285714285714285</v>
      </c>
      <c r="I9" s="94">
        <v>4</v>
      </c>
      <c r="K9" s="38">
        <v>7</v>
      </c>
      <c r="L9" s="99">
        <v>-196.3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5">
      <c r="A10" s="56" t="s">
        <v>19</v>
      </c>
      <c r="B10" s="48">
        <v>8</v>
      </c>
      <c r="C10" s="40">
        <f>IF(B$2=0,0,B10/B$2)</f>
        <v>0.36363636363636365</v>
      </c>
      <c r="E10" s="63" t="s">
        <v>70</v>
      </c>
      <c r="F10" s="60" t="s">
        <v>25</v>
      </c>
      <c r="G10" s="47">
        <v>4</v>
      </c>
      <c r="H10" s="133">
        <f>IF(B$17=0,0,G10/B$17)</f>
        <v>0.14285714285714285</v>
      </c>
      <c r="I10" s="94">
        <v>3</v>
      </c>
      <c r="K10" s="38">
        <v>8</v>
      </c>
      <c r="L10" s="99">
        <v>-203.20000000000002</v>
      </c>
      <c r="N10" s="114" t="s">
        <v>162</v>
      </c>
      <c r="O10" s="124">
        <f>IF(P10=0,0,Q10/P10)</f>
        <v>-8.4833333333333343</v>
      </c>
      <c r="P10" s="118">
        <v>6</v>
      </c>
      <c r="Q10" s="106">
        <v>-50.900000000000006</v>
      </c>
    </row>
    <row r="11" spans="1:17" x14ac:dyDescent="0.45">
      <c r="A11" s="56" t="s">
        <v>138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3</v>
      </c>
      <c r="H11" s="133">
        <f>IF(B$17=0,0,G11/B$17)</f>
        <v>0.10714285714285714</v>
      </c>
      <c r="I11" s="94">
        <v>1</v>
      </c>
      <c r="K11" s="38">
        <v>9</v>
      </c>
      <c r="L11" s="99">
        <v>-267.90000000000003</v>
      </c>
      <c r="N11" s="115" t="s">
        <v>163</v>
      </c>
      <c r="O11" s="125">
        <f>IF(P11=0,0,Q11/P11)</f>
        <v>-34.019999999999996</v>
      </c>
      <c r="P11" s="119">
        <v>5</v>
      </c>
      <c r="Q11" s="107">
        <v>-170.1</v>
      </c>
    </row>
    <row r="12" spans="1:17" x14ac:dyDescent="0.45">
      <c r="A12" s="57" t="s">
        <v>158</v>
      </c>
      <c r="B12" s="49">
        <v>0</v>
      </c>
      <c r="C12" s="42">
        <f>IF(B$2=0,0,B12/B$2)</f>
        <v>0</v>
      </c>
      <c r="E12" s="63" t="s">
        <v>84</v>
      </c>
      <c r="F12" s="60" t="s">
        <v>39</v>
      </c>
      <c r="G12" s="47">
        <v>3</v>
      </c>
      <c r="H12" s="133">
        <f>IF(B$17=0,0,G12/B$17)</f>
        <v>0.10714285714285714</v>
      </c>
      <c r="I12" s="94">
        <v>1</v>
      </c>
      <c r="K12" s="38">
        <v>10</v>
      </c>
      <c r="L12" s="99">
        <v>-277.70000000000005</v>
      </c>
      <c r="N12" s="116" t="s">
        <v>164</v>
      </c>
      <c r="O12" s="126">
        <f>IF(P12=0,0,Q12/P12)</f>
        <v>-25.972727272727273</v>
      </c>
      <c r="P12" s="120">
        <v>11</v>
      </c>
      <c r="Q12" s="108">
        <v>-285.7</v>
      </c>
    </row>
    <row r="13" spans="1:17" x14ac:dyDescent="0.45">
      <c r="A13" s="58" t="s">
        <v>122</v>
      </c>
      <c r="B13" s="50">
        <v>25</v>
      </c>
      <c r="C13" s="44">
        <f>IF(B$3=0,0,B13/B$3)</f>
        <v>0.16025641025641027</v>
      </c>
      <c r="E13" s="63" t="s">
        <v>87</v>
      </c>
      <c r="F13" s="60" t="s">
        <v>42</v>
      </c>
      <c r="G13" s="47">
        <v>3</v>
      </c>
      <c r="H13" s="133">
        <f>IF(B$17=0,0,G13/B$17)</f>
        <v>0.10714285714285714</v>
      </c>
      <c r="I13" s="94">
        <v>1</v>
      </c>
      <c r="K13" s="38">
        <v>11</v>
      </c>
      <c r="L13" s="99">
        <v>-287.00000000000006</v>
      </c>
      <c r="N13" s="33"/>
      <c r="O13" s="110"/>
      <c r="P13" s="112"/>
      <c r="Q13" s="110"/>
    </row>
    <row r="14" spans="1:17" x14ac:dyDescent="0.45">
      <c r="A14" s="55" t="s">
        <v>119</v>
      </c>
      <c r="B14" s="47">
        <v>47</v>
      </c>
      <c r="C14" s="39">
        <f>IF(B$3=0,0,B14/B$3)</f>
        <v>0.30128205128205127</v>
      </c>
      <c r="E14" s="63" t="s">
        <v>72</v>
      </c>
      <c r="F14" s="60" t="s">
        <v>27</v>
      </c>
      <c r="G14" s="47">
        <v>2</v>
      </c>
      <c r="H14" s="133">
        <f>IF(B$17=0,0,G14/B$17)</f>
        <v>7.1428571428571425E-2</v>
      </c>
      <c r="I14" s="94">
        <v>4</v>
      </c>
      <c r="K14" s="38">
        <v>12</v>
      </c>
      <c r="L14" s="99">
        <v>-294.10000000000008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5">
      <c r="A15" s="54" t="s">
        <v>124</v>
      </c>
      <c r="B15" s="46">
        <v>15</v>
      </c>
      <c r="C15" s="37">
        <f>IF(B$13=0,0,B15/B$13)</f>
        <v>0.6</v>
      </c>
      <c r="E15" s="63" t="s">
        <v>71</v>
      </c>
      <c r="F15" s="60" t="s">
        <v>26</v>
      </c>
      <c r="G15" s="47">
        <v>1</v>
      </c>
      <c r="H15" s="133">
        <f>IF(B$17=0,0,G15/B$17)</f>
        <v>3.5714285714285712E-2</v>
      </c>
      <c r="I15" s="94">
        <v>4</v>
      </c>
      <c r="K15" s="38">
        <v>13</v>
      </c>
      <c r="L15" s="99">
        <v>-309.50000000000006</v>
      </c>
      <c r="N15" s="114" t="s">
        <v>177</v>
      </c>
      <c r="O15" s="124">
        <f>IF(P15=0,0,Q15/P15)</f>
        <v>-25.640909090909087</v>
      </c>
      <c r="P15" s="118">
        <v>22</v>
      </c>
      <c r="Q15" s="106">
        <v>-564.09999999999991</v>
      </c>
    </row>
    <row r="16" spans="1:17" x14ac:dyDescent="0.45">
      <c r="A16" s="54" t="s">
        <v>125</v>
      </c>
      <c r="B16" s="46">
        <v>10</v>
      </c>
      <c r="C16" s="37">
        <f>IF(B$14=0,0,B16/B$14)</f>
        <v>0.21276595744680851</v>
      </c>
      <c r="E16" s="63" t="s">
        <v>75</v>
      </c>
      <c r="F16" s="60" t="s">
        <v>30</v>
      </c>
      <c r="G16" s="47">
        <v>1</v>
      </c>
      <c r="H16" s="133">
        <f>IF(B$17=0,0,G16/B$17)</f>
        <v>3.5714285714285712E-2</v>
      </c>
      <c r="I16" s="94">
        <v>1</v>
      </c>
      <c r="K16" s="38">
        <v>14</v>
      </c>
      <c r="L16" s="99">
        <v>-370.50000000000006</v>
      </c>
      <c r="N16" s="115" t="s">
        <v>127</v>
      </c>
      <c r="O16" s="125">
        <f>IF(P16=0,0,Q16/P16)</f>
        <v>-43.454545454545467</v>
      </c>
      <c r="P16" s="119">
        <v>22</v>
      </c>
      <c r="Q16" s="107">
        <v>-956.00000000000034</v>
      </c>
    </row>
    <row r="17" spans="1:12" x14ac:dyDescent="0.45">
      <c r="A17" s="54" t="s">
        <v>10</v>
      </c>
      <c r="B17" s="46">
        <f>B19+B18</f>
        <v>28</v>
      </c>
      <c r="C17" s="37">
        <f>IF(B$3=0,0,B17/B$3)</f>
        <v>0.17948717948717949</v>
      </c>
      <c r="E17" s="63" t="s">
        <v>90</v>
      </c>
      <c r="F17" s="60" t="s">
        <v>45</v>
      </c>
      <c r="G17" s="47">
        <v>1</v>
      </c>
      <c r="H17" s="133">
        <f>IF(B$17=0,0,G17/B$17)</f>
        <v>3.5714285714285712E-2</v>
      </c>
      <c r="I17" s="94">
        <v>4</v>
      </c>
      <c r="K17" s="38">
        <v>15</v>
      </c>
      <c r="L17" s="99">
        <v>-369.10000000000008</v>
      </c>
    </row>
    <row r="18" spans="1:12" x14ac:dyDescent="0.45">
      <c r="A18" s="55" t="s">
        <v>12</v>
      </c>
      <c r="B18" s="47">
        <v>12</v>
      </c>
      <c r="C18" s="39">
        <f>IF(B$17=0,0,B18/B$17)</f>
        <v>0.42857142857142855</v>
      </c>
      <c r="E18" s="63" t="s">
        <v>92</v>
      </c>
      <c r="F18" s="60" t="s">
        <v>47</v>
      </c>
      <c r="G18" s="47">
        <v>1</v>
      </c>
      <c r="H18" s="133">
        <f>IF(B$17=0,0,G18/B$17)</f>
        <v>3.5714285714285712E-2</v>
      </c>
      <c r="I18" s="94">
        <v>1</v>
      </c>
      <c r="K18" s="38">
        <v>16</v>
      </c>
      <c r="L18" s="99">
        <v>-312.10000000000008</v>
      </c>
    </row>
    <row r="19" spans="1:12" x14ac:dyDescent="0.45">
      <c r="A19" s="55" t="s">
        <v>11</v>
      </c>
      <c r="B19" s="47">
        <v>16</v>
      </c>
      <c r="C19" s="39">
        <f>IF(B$17=0,0,B19/B$17)</f>
        <v>0.5714285714285714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3</v>
      </c>
      <c r="K19" s="38">
        <v>17</v>
      </c>
      <c r="L19" s="99">
        <v>-273.80000000000007</v>
      </c>
    </row>
    <row r="20" spans="1:12" x14ac:dyDescent="0.45">
      <c r="A20" s="55" t="s">
        <v>13</v>
      </c>
      <c r="B20" s="47">
        <v>38</v>
      </c>
      <c r="C20" s="39">
        <f>IF(B$3=0,0,B20/B$3)</f>
        <v>0.24358974358974358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-310.90000000000009</v>
      </c>
    </row>
    <row r="21" spans="1:12" x14ac:dyDescent="0.45">
      <c r="A21" s="55" t="s">
        <v>171</v>
      </c>
      <c r="B21" s="47">
        <v>3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-367.60000000000008</v>
      </c>
    </row>
    <row r="22" spans="1:12" x14ac:dyDescent="0.45">
      <c r="A22" s="55" t="s">
        <v>172</v>
      </c>
      <c r="B22" s="47">
        <v>19</v>
      </c>
      <c r="C22" s="135">
        <v>5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-433.90000000000009</v>
      </c>
    </row>
    <row r="23" spans="1:12" x14ac:dyDescent="0.45">
      <c r="A23" s="55" t="s">
        <v>5</v>
      </c>
      <c r="B23" s="51">
        <f>IF(B$17=0,0,C23/B$17)</f>
        <v>9860.7142857142862</v>
      </c>
      <c r="C23" s="41">
        <v>276100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-474.10000000000008</v>
      </c>
    </row>
    <row r="24" spans="1:12" x14ac:dyDescent="0.45">
      <c r="A24" s="57" t="s">
        <v>14</v>
      </c>
      <c r="B24" s="52">
        <f>IF(B$20=0,0,C24/B$20)</f>
        <v>-11152.631578947368</v>
      </c>
      <c r="C24" s="45">
        <v>-423800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-506.7000000000001</v>
      </c>
    </row>
    <row r="25" spans="1:12" x14ac:dyDescent="0.45">
      <c r="A25" s="90" t="s">
        <v>140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4</v>
      </c>
    </row>
    <row r="26" spans="1:12" x14ac:dyDescent="0.45">
      <c r="A26" s="58" t="s">
        <v>150</v>
      </c>
      <c r="B26" s="138">
        <v>72000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</row>
    <row r="27" spans="1:12" x14ac:dyDescent="0.45">
      <c r="A27" s="57" t="s">
        <v>141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2" x14ac:dyDescent="0.45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1</v>
      </c>
    </row>
    <row r="29" spans="1:12" x14ac:dyDescent="0.45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1</v>
      </c>
    </row>
    <row r="30" spans="1:12" x14ac:dyDescent="0.45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1</v>
      </c>
    </row>
    <row r="31" spans="1:12" x14ac:dyDescent="0.45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1</v>
      </c>
    </row>
    <row r="32" spans="1:12" x14ac:dyDescent="0.45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1</v>
      </c>
    </row>
    <row r="33" spans="5:9" x14ac:dyDescent="0.45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5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5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5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5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5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5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5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5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5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5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5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5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5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5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5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5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5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5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1288D-25FB-489B-8DAD-58F885342417}">
  <sheetPr codeName="Sheet11"/>
  <dimension ref="A1:Q51"/>
  <sheetViews>
    <sheetView showGridLines="0" zoomScaleNormal="100" workbookViewId="0"/>
  </sheetViews>
  <sheetFormatPr defaultColWidth="9" defaultRowHeight="18" x14ac:dyDescent="0.45"/>
  <cols>
    <col min="1" max="1" width="13" style="33" customWidth="1"/>
    <col min="2" max="3" width="9" style="33" customWidth="1"/>
    <col min="4" max="4" width="3.59765625" style="33" customWidth="1"/>
    <col min="5" max="5" width="3.59765625" style="128" bestFit="1" customWidth="1"/>
    <col min="6" max="6" width="11" style="43" bestFit="1" customWidth="1"/>
    <col min="7" max="9" width="9" style="33" customWidth="1"/>
    <col min="10" max="10" width="3.59765625" style="33" customWidth="1"/>
    <col min="11" max="11" width="3.5" style="38" customWidth="1"/>
    <col min="12" max="12" width="9" style="99" customWidth="1"/>
    <col min="13" max="13" width="3.59765625" style="33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33"/>
  </cols>
  <sheetData>
    <row r="1" spans="1:17" x14ac:dyDescent="0.45">
      <c r="A1" s="53" t="s">
        <v>0</v>
      </c>
      <c r="B1" s="144" t="s">
        <v>177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5">
      <c r="A2" s="54" t="s">
        <v>9</v>
      </c>
      <c r="B2" s="146">
        <v>22</v>
      </c>
      <c r="C2" s="147"/>
      <c r="E2" s="62" t="s">
        <v>173</v>
      </c>
      <c r="F2" s="59" t="s">
        <v>174</v>
      </c>
      <c r="G2" s="46">
        <v>42</v>
      </c>
      <c r="H2" s="132">
        <f>IF(B$17=0,0,G2/B$17)</f>
        <v>0.84</v>
      </c>
      <c r="I2" s="93">
        <v>3</v>
      </c>
      <c r="K2" s="36">
        <v>0</v>
      </c>
      <c r="L2" s="98">
        <v>0</v>
      </c>
      <c r="N2" s="114" t="s">
        <v>130</v>
      </c>
      <c r="O2" s="121">
        <f t="shared" ref="O2:O7" si="0">IF(P2=0,0,Q2/P2)</f>
        <v>1145.4545454545455</v>
      </c>
      <c r="P2" s="118">
        <v>22</v>
      </c>
      <c r="Q2" s="102">
        <v>25200</v>
      </c>
    </row>
    <row r="3" spans="1:17" x14ac:dyDescent="0.45">
      <c r="A3" s="55" t="s">
        <v>8</v>
      </c>
      <c r="B3" s="148">
        <v>156</v>
      </c>
      <c r="C3" s="149"/>
      <c r="E3" s="63" t="s">
        <v>67</v>
      </c>
      <c r="F3" s="60" t="s">
        <v>23</v>
      </c>
      <c r="G3" s="47">
        <v>41</v>
      </c>
      <c r="H3" s="133">
        <f>IF(B$17=0,0,G3/B$17)</f>
        <v>0.82</v>
      </c>
      <c r="I3" s="94">
        <v>1</v>
      </c>
      <c r="K3" s="38">
        <v>1</v>
      </c>
      <c r="L3" s="99">
        <v>-3</v>
      </c>
      <c r="N3" s="115" t="s">
        <v>131</v>
      </c>
      <c r="O3" s="122">
        <f t="shared" si="0"/>
        <v>772.72727272727275</v>
      </c>
      <c r="P3" s="119">
        <v>22</v>
      </c>
      <c r="Q3" s="103">
        <v>17000</v>
      </c>
    </row>
    <row r="4" spans="1:17" x14ac:dyDescent="0.45">
      <c r="A4" s="55" t="s">
        <v>6</v>
      </c>
      <c r="B4" s="150">
        <v>57.4</v>
      </c>
      <c r="C4" s="151"/>
      <c r="E4" s="63" t="s">
        <v>73</v>
      </c>
      <c r="F4" s="60" t="s">
        <v>28</v>
      </c>
      <c r="G4" s="47">
        <v>29</v>
      </c>
      <c r="H4" s="133">
        <f>IF(B$17=0,0,G4/B$17)</f>
        <v>0.57999999999999996</v>
      </c>
      <c r="I4" s="94">
        <v>1</v>
      </c>
      <c r="K4" s="38">
        <v>2</v>
      </c>
      <c r="L4" s="99">
        <v>-22</v>
      </c>
      <c r="N4" s="115" t="s">
        <v>132</v>
      </c>
      <c r="O4" s="122">
        <f t="shared" si="0"/>
        <v>2310.5263157894738</v>
      </c>
      <c r="P4" s="119">
        <v>19</v>
      </c>
      <c r="Q4" s="103">
        <v>43900</v>
      </c>
    </row>
    <row r="5" spans="1:17" x14ac:dyDescent="0.45">
      <c r="A5" s="55" t="s">
        <v>7</v>
      </c>
      <c r="B5" s="152">
        <f>IF(B$2=0,0,B$4/B$2)</f>
        <v>2.6090909090909089</v>
      </c>
      <c r="C5" s="153"/>
      <c r="E5" s="63" t="s">
        <v>65</v>
      </c>
      <c r="F5" s="60" t="s">
        <v>21</v>
      </c>
      <c r="G5" s="47">
        <v>28</v>
      </c>
      <c r="H5" s="133">
        <f>IF(B$17=0,0,G5/B$17)</f>
        <v>0.56000000000000005</v>
      </c>
      <c r="I5" s="94">
        <v>3</v>
      </c>
      <c r="K5" s="38">
        <v>3</v>
      </c>
      <c r="L5" s="99">
        <v>-21</v>
      </c>
      <c r="N5" s="115" t="s">
        <v>133</v>
      </c>
      <c r="O5" s="122">
        <f t="shared" si="0"/>
        <v>-1513.3333333333333</v>
      </c>
      <c r="P5" s="119">
        <v>15</v>
      </c>
      <c r="Q5" s="103">
        <v>-22700</v>
      </c>
    </row>
    <row r="6" spans="1:17" x14ac:dyDescent="0.45">
      <c r="A6" s="55" t="s">
        <v>1</v>
      </c>
      <c r="B6" s="142">
        <f>IF(B$2=0,0,(B$7*1+B$8*2+B$9*3)/B$2)</f>
        <v>2.0454545454545454</v>
      </c>
      <c r="C6" s="143"/>
      <c r="E6" s="63" t="s">
        <v>68</v>
      </c>
      <c r="F6" s="60" t="s">
        <v>24</v>
      </c>
      <c r="G6" s="47">
        <v>22</v>
      </c>
      <c r="H6" s="133">
        <f>IF(B$17=0,0,G6/B$17)</f>
        <v>0.44</v>
      </c>
      <c r="I6" s="94">
        <v>1</v>
      </c>
      <c r="K6" s="38">
        <v>4</v>
      </c>
      <c r="L6" s="99">
        <v>-59.6</v>
      </c>
      <c r="N6" s="115" t="s">
        <v>134</v>
      </c>
      <c r="O6" s="122">
        <f t="shared" si="0"/>
        <v>4600</v>
      </c>
      <c r="P6" s="119">
        <v>11</v>
      </c>
      <c r="Q6" s="103">
        <v>50600</v>
      </c>
    </row>
    <row r="7" spans="1:17" x14ac:dyDescent="0.45">
      <c r="A7" s="55" t="s">
        <v>2</v>
      </c>
      <c r="B7" s="47">
        <v>6</v>
      </c>
      <c r="C7" s="39">
        <f>IF(B$2=0,0,B7/B$2)</f>
        <v>0.27272727272727271</v>
      </c>
      <c r="E7" s="63" t="s">
        <v>69</v>
      </c>
      <c r="F7" s="60" t="s">
        <v>12</v>
      </c>
      <c r="G7" s="47">
        <v>15</v>
      </c>
      <c r="H7" s="133">
        <f>IF(B$17=0,0,G7/B$17)</f>
        <v>0.3</v>
      </c>
      <c r="I7" s="94">
        <v>1</v>
      </c>
      <c r="K7" s="38">
        <v>5</v>
      </c>
      <c r="L7" s="99">
        <v>-27.900000000000002</v>
      </c>
      <c r="N7" s="116" t="s">
        <v>135</v>
      </c>
      <c r="O7" s="123">
        <f t="shared" si="0"/>
        <v>-771.42857142857144</v>
      </c>
      <c r="P7" s="120">
        <v>7</v>
      </c>
      <c r="Q7" s="104">
        <v>-5400</v>
      </c>
    </row>
    <row r="8" spans="1:17" x14ac:dyDescent="0.45">
      <c r="A8" s="55" t="s">
        <v>3</v>
      </c>
      <c r="B8" s="47">
        <v>9</v>
      </c>
      <c r="C8" s="39">
        <f>IF(B$2=0,0,B8/B$2)</f>
        <v>0.40909090909090912</v>
      </c>
      <c r="E8" s="63" t="s">
        <v>169</v>
      </c>
      <c r="F8" s="60" t="s">
        <v>170</v>
      </c>
      <c r="G8" s="47">
        <v>12</v>
      </c>
      <c r="H8" s="133">
        <f>IF(B$17=0,0,G8/B$17)</f>
        <v>0.24</v>
      </c>
      <c r="I8" s="94">
        <v>4</v>
      </c>
      <c r="K8" s="38">
        <v>6</v>
      </c>
      <c r="L8" s="99">
        <v>-27.000000000000004</v>
      </c>
      <c r="N8" s="43"/>
      <c r="O8" s="127"/>
      <c r="P8" s="111"/>
      <c r="Q8" s="109"/>
    </row>
    <row r="9" spans="1:17" x14ac:dyDescent="0.45">
      <c r="A9" s="56" t="s">
        <v>4</v>
      </c>
      <c r="B9" s="48">
        <v>7</v>
      </c>
      <c r="C9" s="40">
        <f t="shared" ref="C9" si="1">IF(B$2=0,0,B9/B$2)</f>
        <v>0.31818181818181818</v>
      </c>
      <c r="E9" s="63" t="s">
        <v>66</v>
      </c>
      <c r="F9" s="60" t="s">
        <v>22</v>
      </c>
      <c r="G9" s="47">
        <v>8</v>
      </c>
      <c r="H9" s="133">
        <f>IF(B$17=0,0,G9/B$17)</f>
        <v>0.16</v>
      </c>
      <c r="I9" s="94">
        <v>3</v>
      </c>
      <c r="K9" s="38">
        <v>7</v>
      </c>
      <c r="L9" s="99">
        <v>-38.800000000000004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5">
      <c r="A10" s="56" t="s">
        <v>19</v>
      </c>
      <c r="B10" s="48">
        <v>1</v>
      </c>
      <c r="C10" s="40">
        <f>IF(B$2=0,0,B10/B$2)</f>
        <v>4.5454545454545456E-2</v>
      </c>
      <c r="E10" s="63" t="s">
        <v>70</v>
      </c>
      <c r="F10" s="60" t="s">
        <v>25</v>
      </c>
      <c r="G10" s="47">
        <v>7</v>
      </c>
      <c r="H10" s="133">
        <f>IF(B$17=0,0,G10/B$17)</f>
        <v>0.14000000000000001</v>
      </c>
      <c r="I10" s="94">
        <v>4</v>
      </c>
      <c r="K10" s="38">
        <v>8</v>
      </c>
      <c r="L10" s="99">
        <v>-68.900000000000006</v>
      </c>
      <c r="N10" s="114" t="s">
        <v>162</v>
      </c>
      <c r="O10" s="124">
        <f>IF(P10=0,0,Q10/P10)</f>
        <v>-9.1333333333333329</v>
      </c>
      <c r="P10" s="118">
        <v>9</v>
      </c>
      <c r="Q10" s="106">
        <v>-82.199999999999989</v>
      </c>
    </row>
    <row r="11" spans="1:17" x14ac:dyDescent="0.45">
      <c r="A11" s="56" t="s">
        <v>138</v>
      </c>
      <c r="B11" s="48">
        <v>4</v>
      </c>
      <c r="C11" s="40">
        <f>IF(B$2=0,0,B11/B$2)</f>
        <v>0.18181818181818182</v>
      </c>
      <c r="E11" s="63" t="s">
        <v>90</v>
      </c>
      <c r="F11" s="60" t="s">
        <v>45</v>
      </c>
      <c r="G11" s="47">
        <v>5</v>
      </c>
      <c r="H11" s="133">
        <f>IF(B$17=0,0,G11/B$17)</f>
        <v>0.1</v>
      </c>
      <c r="I11" s="94">
        <v>3</v>
      </c>
      <c r="K11" s="38">
        <v>9</v>
      </c>
      <c r="L11" s="99">
        <v>-4.2000000000000028</v>
      </c>
      <c r="N11" s="115" t="s">
        <v>163</v>
      </c>
      <c r="O11" s="125">
        <f>IF(P11=0,0,Q11/P11)</f>
        <v>3.0714285714285716</v>
      </c>
      <c r="P11" s="119">
        <v>7</v>
      </c>
      <c r="Q11" s="107">
        <v>21.5</v>
      </c>
    </row>
    <row r="12" spans="1:17" x14ac:dyDescent="0.45">
      <c r="A12" s="57" t="s">
        <v>158</v>
      </c>
      <c r="B12" s="49">
        <v>3</v>
      </c>
      <c r="C12" s="42">
        <f>IF(B$2=0,0,B12/B$2)</f>
        <v>0.13636363636363635</v>
      </c>
      <c r="E12" s="63" t="s">
        <v>72</v>
      </c>
      <c r="F12" s="60" t="s">
        <v>27</v>
      </c>
      <c r="G12" s="47">
        <v>4</v>
      </c>
      <c r="H12" s="133">
        <f>IF(B$17=0,0,G12/B$17)</f>
        <v>0.08</v>
      </c>
      <c r="I12" s="94">
        <v>3</v>
      </c>
      <c r="K12" s="38">
        <v>10</v>
      </c>
      <c r="L12" s="99">
        <v>-37.5</v>
      </c>
      <c r="N12" s="116" t="s">
        <v>164</v>
      </c>
      <c r="O12" s="126">
        <f>IF(P12=0,0,Q12/P12)</f>
        <v>19.683333333333334</v>
      </c>
      <c r="P12" s="120">
        <v>6</v>
      </c>
      <c r="Q12" s="108">
        <v>118.1</v>
      </c>
    </row>
    <row r="13" spans="1:17" x14ac:dyDescent="0.45">
      <c r="A13" s="58" t="s">
        <v>122</v>
      </c>
      <c r="B13" s="50">
        <v>47</v>
      </c>
      <c r="C13" s="44">
        <f>IF(B$3=0,0,B13/B$3)</f>
        <v>0.30128205128205127</v>
      </c>
      <c r="E13" s="63" t="s">
        <v>71</v>
      </c>
      <c r="F13" s="60" t="s">
        <v>26</v>
      </c>
      <c r="G13" s="47">
        <v>3</v>
      </c>
      <c r="H13" s="133">
        <f>IF(B$17=0,0,G13/B$17)</f>
        <v>0.06</v>
      </c>
      <c r="I13" s="94">
        <v>2</v>
      </c>
      <c r="K13" s="38">
        <v>11</v>
      </c>
      <c r="L13" s="99">
        <v>-71.8</v>
      </c>
      <c r="N13" s="33"/>
      <c r="O13" s="110"/>
      <c r="P13" s="112"/>
      <c r="Q13" s="110"/>
    </row>
    <row r="14" spans="1:17" x14ac:dyDescent="0.45">
      <c r="A14" s="55" t="s">
        <v>119</v>
      </c>
      <c r="B14" s="47">
        <v>37</v>
      </c>
      <c r="C14" s="39">
        <f>IF(B$3=0,0,B14/B$3)</f>
        <v>0.23717948717948717</v>
      </c>
      <c r="E14" s="63" t="s">
        <v>76</v>
      </c>
      <c r="F14" s="60" t="s">
        <v>31</v>
      </c>
      <c r="G14" s="47">
        <v>1</v>
      </c>
      <c r="H14" s="133">
        <f>IF(B$17=0,0,G14/B$17)</f>
        <v>0.02</v>
      </c>
      <c r="I14" s="94">
        <v>1</v>
      </c>
      <c r="K14" s="38">
        <v>12</v>
      </c>
      <c r="L14" s="99">
        <v>-2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5">
      <c r="A15" s="54" t="s">
        <v>124</v>
      </c>
      <c r="B15" s="46">
        <v>28</v>
      </c>
      <c r="C15" s="37">
        <f>IF(B$13=0,0,B15/B$13)</f>
        <v>0.5957446808510638</v>
      </c>
      <c r="E15" s="63" t="s">
        <v>82</v>
      </c>
      <c r="F15" s="60" t="s">
        <v>37</v>
      </c>
      <c r="G15" s="47">
        <v>1</v>
      </c>
      <c r="H15" s="133">
        <f>IF(B$17=0,0,G15/B$17)</f>
        <v>0.02</v>
      </c>
      <c r="I15" s="94">
        <v>3</v>
      </c>
      <c r="K15" s="38">
        <v>13</v>
      </c>
      <c r="L15" s="99">
        <v>73.2</v>
      </c>
      <c r="N15" s="114" t="s">
        <v>176</v>
      </c>
      <c r="O15" s="124">
        <f>IF(P15=0,0,Q15/P15)</f>
        <v>25.640909090909091</v>
      </c>
      <c r="P15" s="118">
        <v>22</v>
      </c>
      <c r="Q15" s="106">
        <v>564.1</v>
      </c>
    </row>
    <row r="16" spans="1:17" x14ac:dyDescent="0.45">
      <c r="A16" s="54" t="s">
        <v>125</v>
      </c>
      <c r="B16" s="46">
        <v>18</v>
      </c>
      <c r="C16" s="37">
        <f>IF(B$14=0,0,B16/B$14)</f>
        <v>0.48648648648648651</v>
      </c>
      <c r="E16" s="63" t="s">
        <v>87</v>
      </c>
      <c r="F16" s="60" t="s">
        <v>42</v>
      </c>
      <c r="G16" s="47">
        <v>1</v>
      </c>
      <c r="H16" s="133">
        <f>IF(B$17=0,0,G16/B$17)</f>
        <v>0.02</v>
      </c>
      <c r="I16" s="94">
        <v>4</v>
      </c>
      <c r="K16" s="38">
        <v>14</v>
      </c>
      <c r="L16" s="99">
        <v>88.2</v>
      </c>
      <c r="N16" s="115" t="s">
        <v>127</v>
      </c>
      <c r="O16" s="125">
        <f>IF(P16=0,0,Q16/P16)</f>
        <v>-17.813636363636373</v>
      </c>
      <c r="P16" s="119">
        <v>22</v>
      </c>
      <c r="Q16" s="107">
        <v>-391.9000000000002</v>
      </c>
    </row>
    <row r="17" spans="1:12" x14ac:dyDescent="0.45">
      <c r="A17" s="54" t="s">
        <v>10</v>
      </c>
      <c r="B17" s="46">
        <f>B19+B18</f>
        <v>50</v>
      </c>
      <c r="C17" s="37">
        <f>IF(B$3=0,0,B17/B$3)</f>
        <v>0.32051282051282054</v>
      </c>
      <c r="E17" s="63" t="s">
        <v>96</v>
      </c>
      <c r="F17" s="60" t="s">
        <v>51</v>
      </c>
      <c r="G17" s="47">
        <v>1</v>
      </c>
      <c r="H17" s="133">
        <f>IF(B$17=0,0,G17/B$17)</f>
        <v>0.02</v>
      </c>
      <c r="I17" s="94">
        <v>1</v>
      </c>
      <c r="K17" s="38">
        <v>15</v>
      </c>
      <c r="L17" s="99">
        <v>59.2</v>
      </c>
    </row>
    <row r="18" spans="1:12" x14ac:dyDescent="0.45">
      <c r="A18" s="55" t="s">
        <v>12</v>
      </c>
      <c r="B18" s="47">
        <v>19</v>
      </c>
      <c r="C18" s="39">
        <f>IF(B$17=0,0,B18/B$17)</f>
        <v>0.38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9.2000000000000028</v>
      </c>
    </row>
    <row r="19" spans="1:12" x14ac:dyDescent="0.45">
      <c r="A19" s="55" t="s">
        <v>11</v>
      </c>
      <c r="B19" s="47">
        <v>31</v>
      </c>
      <c r="C19" s="39">
        <f>IF(B$17=0,0,B19/B$17)</f>
        <v>0.62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K19" s="38">
        <v>17</v>
      </c>
      <c r="L19" s="99">
        <v>-21.599999999999998</v>
      </c>
    </row>
    <row r="20" spans="1:12" x14ac:dyDescent="0.45">
      <c r="A20" s="55" t="s">
        <v>13</v>
      </c>
      <c r="B20" s="47">
        <v>23</v>
      </c>
      <c r="C20" s="39">
        <f>IF(B$3=0,0,B20/B$3)</f>
        <v>0.14743589743589744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7.8000000000000007</v>
      </c>
    </row>
    <row r="21" spans="1:12" x14ac:dyDescent="0.45">
      <c r="A21" s="55" t="s">
        <v>171</v>
      </c>
      <c r="B21" s="47">
        <v>6</v>
      </c>
      <c r="C21" s="135">
        <v>2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-11.2</v>
      </c>
    </row>
    <row r="22" spans="1:12" x14ac:dyDescent="0.45">
      <c r="A22" s="55" t="s">
        <v>172</v>
      </c>
      <c r="B22" s="47">
        <v>22</v>
      </c>
      <c r="C22" s="135">
        <v>2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9.5</v>
      </c>
    </row>
    <row r="23" spans="1:12" x14ac:dyDescent="0.45">
      <c r="A23" s="55" t="s">
        <v>5</v>
      </c>
      <c r="B23" s="51">
        <f>IF(B$17=0,0,C23/B$17)</f>
        <v>10360</v>
      </c>
      <c r="C23" s="41">
        <v>518000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18.5</v>
      </c>
    </row>
    <row r="24" spans="1:12" x14ac:dyDescent="0.45">
      <c r="A24" s="57" t="s">
        <v>14</v>
      </c>
      <c r="B24" s="52">
        <f>IF(B$20=0,0,C24/B$20)</f>
        <v>-9595.652173913044</v>
      </c>
      <c r="C24" s="45">
        <v>-220700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57.4</v>
      </c>
    </row>
    <row r="25" spans="1:12" x14ac:dyDescent="0.45">
      <c r="A25" s="90" t="s">
        <v>140</v>
      </c>
      <c r="B25" s="140">
        <v>9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2" x14ac:dyDescent="0.45">
      <c r="A26" s="58" t="s">
        <v>150</v>
      </c>
      <c r="B26" s="138">
        <v>90200</v>
      </c>
      <c r="C26" s="139"/>
      <c r="E26" s="63" t="s">
        <v>84</v>
      </c>
      <c r="F26" s="60" t="s">
        <v>39</v>
      </c>
      <c r="G26" s="47">
        <v>0</v>
      </c>
      <c r="H26" s="133">
        <f>IF(B$17=0,0,G26/B$17)</f>
        <v>0</v>
      </c>
      <c r="I26" s="94">
        <v>4</v>
      </c>
    </row>
    <row r="27" spans="1:12" x14ac:dyDescent="0.45">
      <c r="A27" s="57" t="s">
        <v>141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2" x14ac:dyDescent="0.45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1</v>
      </c>
    </row>
    <row r="29" spans="1:12" x14ac:dyDescent="0.45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1</v>
      </c>
    </row>
    <row r="30" spans="1:12" x14ac:dyDescent="0.45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1</v>
      </c>
    </row>
    <row r="31" spans="1:12" x14ac:dyDescent="0.45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1</v>
      </c>
    </row>
    <row r="32" spans="1:12" x14ac:dyDescent="0.45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3</v>
      </c>
    </row>
    <row r="33" spans="5:9" x14ac:dyDescent="0.45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1</v>
      </c>
    </row>
    <row r="34" spans="5:9" x14ac:dyDescent="0.45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</row>
    <row r="35" spans="5:9" x14ac:dyDescent="0.45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</row>
    <row r="36" spans="5:9" x14ac:dyDescent="0.45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5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5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5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5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5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5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5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5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5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5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5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5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5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5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5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0D13-CAB3-43EA-B7BE-0E7C0D610A33}">
  <sheetPr codeName="Sheet12"/>
  <dimension ref="A1:Q25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5">
      <c r="A3" s="69">
        <v>0</v>
      </c>
      <c r="B3" s="66">
        <v>0</v>
      </c>
    </row>
    <row r="4" spans="1:17" x14ac:dyDescent="0.45">
      <c r="A4" s="69">
        <v>1</v>
      </c>
      <c r="B4" s="66">
        <v>-3</v>
      </c>
      <c r="C4" s="66">
        <v>-3</v>
      </c>
      <c r="D4" s="71">
        <v>2</v>
      </c>
      <c r="E4" s="67">
        <v>0</v>
      </c>
      <c r="F4" s="67">
        <v>0</v>
      </c>
      <c r="G4" s="67">
        <v>0.2857142857142857</v>
      </c>
      <c r="H4" s="67">
        <v>0</v>
      </c>
      <c r="I4" s="68">
        <v>2500</v>
      </c>
      <c r="J4" s="68">
        <v>0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1</v>
      </c>
      <c r="P4" s="67">
        <v>1</v>
      </c>
      <c r="Q4" s="67">
        <v>0.5</v>
      </c>
    </row>
    <row r="5" spans="1:17" x14ac:dyDescent="0.45">
      <c r="A5" s="69">
        <v>2</v>
      </c>
      <c r="B5" s="66">
        <v>-22</v>
      </c>
      <c r="C5" s="66">
        <v>-11</v>
      </c>
      <c r="D5" s="71">
        <v>2</v>
      </c>
      <c r="E5" s="67">
        <v>0</v>
      </c>
      <c r="F5" s="67">
        <v>0</v>
      </c>
      <c r="G5" s="67">
        <v>0.25</v>
      </c>
      <c r="H5" s="67">
        <v>0.125</v>
      </c>
      <c r="I5" s="68">
        <v>5250</v>
      </c>
      <c r="J5" s="68">
        <v>-12000</v>
      </c>
      <c r="K5" s="67">
        <v>0</v>
      </c>
      <c r="L5" s="67">
        <v>0</v>
      </c>
      <c r="M5" s="67">
        <v>0.1875</v>
      </c>
      <c r="N5" s="67">
        <v>6.25E-2</v>
      </c>
      <c r="O5" s="67">
        <v>1</v>
      </c>
      <c r="P5" s="67">
        <v>1</v>
      </c>
      <c r="Q5" s="67">
        <v>0.75</v>
      </c>
    </row>
    <row r="6" spans="1:17" x14ac:dyDescent="0.45">
      <c r="A6" s="69">
        <v>3</v>
      </c>
      <c r="B6" s="66">
        <v>-21</v>
      </c>
      <c r="C6" s="66">
        <v>-7</v>
      </c>
      <c r="D6" s="71">
        <v>2</v>
      </c>
      <c r="E6" s="67">
        <v>0</v>
      </c>
      <c r="F6" s="67">
        <v>0</v>
      </c>
      <c r="G6" s="67">
        <v>0.23809523809523808</v>
      </c>
      <c r="H6" s="67">
        <v>9.5238095238095233E-2</v>
      </c>
      <c r="I6" s="68">
        <v>6600</v>
      </c>
      <c r="J6" s="68">
        <v>-12000</v>
      </c>
      <c r="K6" s="67">
        <v>0</v>
      </c>
      <c r="L6" s="67">
        <v>0</v>
      </c>
      <c r="M6" s="67">
        <v>0.23809523809523808</v>
      </c>
      <c r="N6" s="67">
        <v>4.7619047619047616E-2</v>
      </c>
      <c r="O6" s="67">
        <v>0.8</v>
      </c>
      <c r="P6" s="67">
        <v>1</v>
      </c>
      <c r="Q6" s="67">
        <v>0.6</v>
      </c>
    </row>
    <row r="7" spans="1:17" x14ac:dyDescent="0.45">
      <c r="A7" s="69">
        <v>4</v>
      </c>
      <c r="B7" s="66">
        <v>-59.6</v>
      </c>
      <c r="C7" s="66">
        <v>-14.9</v>
      </c>
      <c r="D7" s="71">
        <v>2.25</v>
      </c>
      <c r="E7" s="67">
        <v>0</v>
      </c>
      <c r="F7" s="67">
        <v>0.25</v>
      </c>
      <c r="G7" s="67">
        <v>0.18518518518518517</v>
      </c>
      <c r="H7" s="67">
        <v>0.14814814814814814</v>
      </c>
      <c r="I7" s="68">
        <v>6600</v>
      </c>
      <c r="J7" s="68">
        <v>-10900</v>
      </c>
      <c r="K7" s="67">
        <v>0.25</v>
      </c>
      <c r="L7" s="67">
        <v>0</v>
      </c>
      <c r="M7" s="67">
        <v>0.29629629629629628</v>
      </c>
      <c r="N7" s="67">
        <v>3.7037037037037035E-2</v>
      </c>
      <c r="O7" s="67">
        <v>0.5</v>
      </c>
      <c r="P7" s="67">
        <v>1</v>
      </c>
      <c r="Q7" s="67">
        <v>0.6</v>
      </c>
    </row>
    <row r="8" spans="1:17" x14ac:dyDescent="0.45">
      <c r="A8" s="69">
        <v>5</v>
      </c>
      <c r="B8" s="66">
        <v>-27.900000000000002</v>
      </c>
      <c r="C8" s="66">
        <v>-5.58</v>
      </c>
      <c r="D8" s="71">
        <v>2</v>
      </c>
      <c r="E8" s="67">
        <v>0.2</v>
      </c>
      <c r="F8" s="67">
        <v>0.2</v>
      </c>
      <c r="G8" s="67">
        <v>0.20588235294117646</v>
      </c>
      <c r="H8" s="67">
        <v>0.11764705882352941</v>
      </c>
      <c r="I8" s="68">
        <v>10714.285714285714</v>
      </c>
      <c r="J8" s="68">
        <v>-10900</v>
      </c>
      <c r="K8" s="67">
        <v>0.2</v>
      </c>
      <c r="L8" s="67">
        <v>0.2</v>
      </c>
      <c r="M8" s="67">
        <v>0.3235294117647059</v>
      </c>
      <c r="N8" s="67">
        <v>2.9411764705882353E-2</v>
      </c>
      <c r="O8" s="67">
        <v>0.54545454545454541</v>
      </c>
      <c r="P8" s="67">
        <v>1</v>
      </c>
      <c r="Q8" s="67">
        <v>0.42857142857142855</v>
      </c>
    </row>
    <row r="9" spans="1:17" x14ac:dyDescent="0.45">
      <c r="A9" s="69">
        <v>6</v>
      </c>
      <c r="B9" s="66">
        <v>-27.000000000000004</v>
      </c>
      <c r="C9" s="66">
        <v>-4.5000000000000009</v>
      </c>
      <c r="D9" s="71">
        <v>2</v>
      </c>
      <c r="E9" s="67">
        <v>0.16666666666666666</v>
      </c>
      <c r="F9" s="67">
        <v>0.16666666666666666</v>
      </c>
      <c r="G9" s="67">
        <v>0.21428571428571427</v>
      </c>
      <c r="H9" s="67">
        <v>9.5238095238095233E-2</v>
      </c>
      <c r="I9" s="68">
        <v>11000</v>
      </c>
      <c r="J9" s="68">
        <v>-10900</v>
      </c>
      <c r="K9" s="67">
        <v>0.16666666666666666</v>
      </c>
      <c r="L9" s="67">
        <v>0.16666666666666666</v>
      </c>
      <c r="M9" s="67">
        <v>0.35714285714285715</v>
      </c>
      <c r="N9" s="67">
        <v>7.1428571428571425E-2</v>
      </c>
      <c r="O9" s="67">
        <v>0.53333333333333333</v>
      </c>
      <c r="P9" s="67">
        <v>0.33333333333333331</v>
      </c>
      <c r="Q9" s="67">
        <v>0.55555555555555558</v>
      </c>
    </row>
    <row r="10" spans="1:17" x14ac:dyDescent="0.45">
      <c r="A10" s="69">
        <v>7</v>
      </c>
      <c r="B10" s="66">
        <v>-38.800000000000004</v>
      </c>
      <c r="C10" s="66">
        <v>-5.5428571428571436</v>
      </c>
      <c r="D10" s="71">
        <v>2</v>
      </c>
      <c r="E10" s="67">
        <v>0.14285714285714285</v>
      </c>
      <c r="F10" s="67">
        <v>0.14285714285714285</v>
      </c>
      <c r="G10" s="67">
        <v>0.21739130434782608</v>
      </c>
      <c r="H10" s="67">
        <v>0.13043478260869565</v>
      </c>
      <c r="I10" s="68">
        <v>11100</v>
      </c>
      <c r="J10" s="68">
        <v>-9400</v>
      </c>
      <c r="K10" s="67">
        <v>0.14285714285714285</v>
      </c>
      <c r="L10" s="67">
        <v>0.14285714285714285</v>
      </c>
      <c r="M10" s="67">
        <v>0.32608695652173914</v>
      </c>
      <c r="N10" s="67">
        <v>8.6956521739130432E-2</v>
      </c>
      <c r="O10" s="67">
        <v>0.53333333333333333</v>
      </c>
      <c r="P10" s="67">
        <v>0.5</v>
      </c>
      <c r="Q10" s="67">
        <v>0.5</v>
      </c>
    </row>
    <row r="11" spans="1:17" x14ac:dyDescent="0.45">
      <c r="A11" s="69">
        <v>8</v>
      </c>
      <c r="B11" s="66">
        <v>-68.900000000000006</v>
      </c>
      <c r="C11" s="66">
        <v>-8.6125000000000007</v>
      </c>
      <c r="D11" s="71">
        <v>2.125</v>
      </c>
      <c r="E11" s="67">
        <v>0.125</v>
      </c>
      <c r="F11" s="67">
        <v>0.25</v>
      </c>
      <c r="G11" s="67">
        <v>0.22641509433962265</v>
      </c>
      <c r="H11" s="67">
        <v>0.13207547169811321</v>
      </c>
      <c r="I11" s="68">
        <v>10241.666666666666</v>
      </c>
      <c r="J11" s="68">
        <v>-9771.4285714285706</v>
      </c>
      <c r="K11" s="67">
        <v>0.125</v>
      </c>
      <c r="L11" s="67">
        <v>0.125</v>
      </c>
      <c r="M11" s="67">
        <v>0.30188679245283018</v>
      </c>
      <c r="N11" s="67">
        <v>9.4339622641509441E-2</v>
      </c>
      <c r="O11" s="67">
        <v>0.5625</v>
      </c>
      <c r="P11" s="67">
        <v>0.6</v>
      </c>
      <c r="Q11" s="67">
        <v>0.41666666666666669</v>
      </c>
    </row>
    <row r="12" spans="1:17" x14ac:dyDescent="0.45">
      <c r="A12" s="69">
        <v>9</v>
      </c>
      <c r="B12" s="66">
        <v>-4.2000000000000028</v>
      </c>
      <c r="C12" s="66">
        <v>-0.46666666666666701</v>
      </c>
      <c r="D12" s="71">
        <v>2</v>
      </c>
      <c r="E12" s="67">
        <v>0.22222222222222221</v>
      </c>
      <c r="F12" s="67">
        <v>0.22222222222222221</v>
      </c>
      <c r="G12" s="67">
        <v>0.2807017543859649</v>
      </c>
      <c r="H12" s="67">
        <v>0.12280701754385964</v>
      </c>
      <c r="I12" s="68">
        <v>10412.5</v>
      </c>
      <c r="J12" s="68">
        <v>-9771.4285714285706</v>
      </c>
      <c r="K12" s="67">
        <v>0.1111111111111111</v>
      </c>
      <c r="L12" s="67">
        <v>0.22222222222222221</v>
      </c>
      <c r="M12" s="67">
        <v>0.33333333333333331</v>
      </c>
      <c r="N12" s="67">
        <v>0.10526315789473684</v>
      </c>
      <c r="O12" s="67">
        <v>0.63157894736842102</v>
      </c>
      <c r="P12" s="67">
        <v>0.66666666666666663</v>
      </c>
      <c r="Q12" s="67">
        <v>0.3125</v>
      </c>
    </row>
    <row r="13" spans="1:17" x14ac:dyDescent="0.45">
      <c r="A13" s="69">
        <v>10</v>
      </c>
      <c r="B13" s="66">
        <v>-37.5</v>
      </c>
      <c r="C13" s="66">
        <v>-3.75</v>
      </c>
      <c r="D13" s="71">
        <v>2.1</v>
      </c>
      <c r="E13" s="67">
        <v>0.2</v>
      </c>
      <c r="F13" s="67">
        <v>0.3</v>
      </c>
      <c r="G13" s="67">
        <v>0.26984126984126983</v>
      </c>
      <c r="H13" s="67">
        <v>0.14285714285714285</v>
      </c>
      <c r="I13" s="68">
        <v>10505.882352941177</v>
      </c>
      <c r="J13" s="68">
        <v>-10266.666666666666</v>
      </c>
      <c r="K13" s="67">
        <v>0.1</v>
      </c>
      <c r="L13" s="67">
        <v>0.2</v>
      </c>
      <c r="M13" s="67">
        <v>0.34920634920634919</v>
      </c>
      <c r="N13" s="67">
        <v>9.5238095238095233E-2</v>
      </c>
      <c r="O13" s="67">
        <v>0.59090909090909094</v>
      </c>
      <c r="P13" s="67">
        <v>0.66666666666666663</v>
      </c>
      <c r="Q13" s="67">
        <v>0.35294117647058826</v>
      </c>
    </row>
    <row r="14" spans="1:17" x14ac:dyDescent="0.45">
      <c r="A14" s="69">
        <v>11</v>
      </c>
      <c r="B14" s="66">
        <v>-71.8</v>
      </c>
      <c r="C14" s="66">
        <v>-6.5272727272727273</v>
      </c>
      <c r="D14" s="71">
        <v>2.1818181818181817</v>
      </c>
      <c r="E14" s="67">
        <v>0.18181818181818182</v>
      </c>
      <c r="F14" s="67">
        <v>0.36363636363636365</v>
      </c>
      <c r="G14" s="67">
        <v>0.24285714285714285</v>
      </c>
      <c r="H14" s="67">
        <v>0.12857142857142856</v>
      </c>
      <c r="I14" s="68">
        <v>10505.882352941177</v>
      </c>
      <c r="J14" s="68">
        <v>-10266.666666666666</v>
      </c>
      <c r="K14" s="67">
        <v>9.0909090909090912E-2</v>
      </c>
      <c r="L14" s="67">
        <v>0.18181818181818182</v>
      </c>
      <c r="M14" s="67">
        <v>0.31428571428571428</v>
      </c>
      <c r="N14" s="67">
        <v>0.14285714285714285</v>
      </c>
      <c r="O14" s="67">
        <v>0.59090909090909094</v>
      </c>
      <c r="P14" s="67">
        <v>0.4</v>
      </c>
      <c r="Q14" s="67">
        <v>0.35294117647058826</v>
      </c>
    </row>
    <row r="15" spans="1:17" x14ac:dyDescent="0.45">
      <c r="A15" s="69">
        <v>12</v>
      </c>
      <c r="B15" s="66">
        <v>-2</v>
      </c>
      <c r="C15" s="66">
        <v>-0.16666666666666666</v>
      </c>
      <c r="D15" s="71">
        <v>2.0833333333333335</v>
      </c>
      <c r="E15" s="67">
        <v>0.25</v>
      </c>
      <c r="F15" s="67">
        <v>0.33333333333333331</v>
      </c>
      <c r="G15" s="67">
        <v>0.26666666666666666</v>
      </c>
      <c r="H15" s="67">
        <v>0.12</v>
      </c>
      <c r="I15" s="68">
        <v>11470</v>
      </c>
      <c r="J15" s="68">
        <v>-10266.666666666666</v>
      </c>
      <c r="K15" s="67">
        <v>8.3333333333333329E-2</v>
      </c>
      <c r="L15" s="67">
        <v>0.25</v>
      </c>
      <c r="M15" s="67">
        <v>0.33333333333333331</v>
      </c>
      <c r="N15" s="67">
        <v>0.13333333333333333</v>
      </c>
      <c r="O15" s="67">
        <v>0.64</v>
      </c>
      <c r="P15" s="67">
        <v>0.4</v>
      </c>
      <c r="Q15" s="67">
        <v>0.4</v>
      </c>
    </row>
    <row r="16" spans="1:17" x14ac:dyDescent="0.45">
      <c r="A16" s="69">
        <v>13</v>
      </c>
      <c r="B16" s="66">
        <v>73.2</v>
      </c>
      <c r="C16" s="66">
        <v>5.6307692307692312</v>
      </c>
      <c r="D16" s="71">
        <v>2</v>
      </c>
      <c r="E16" s="67">
        <v>0.30769230769230771</v>
      </c>
      <c r="F16" s="67">
        <v>0.30769230769230771</v>
      </c>
      <c r="G16" s="67">
        <v>0.29268292682926828</v>
      </c>
      <c r="H16" s="67">
        <v>0.12195121951219512</v>
      </c>
      <c r="I16" s="68">
        <v>12629.166666666666</v>
      </c>
      <c r="J16" s="68">
        <v>-10040</v>
      </c>
      <c r="K16" s="67">
        <v>7.6923076923076927E-2</v>
      </c>
      <c r="L16" s="67">
        <v>0.30769230769230771</v>
      </c>
      <c r="M16" s="67">
        <v>0.32926829268292684</v>
      </c>
      <c r="N16" s="67">
        <v>0.15853658536585366</v>
      </c>
      <c r="O16" s="67">
        <v>0.62962962962962965</v>
      </c>
      <c r="P16" s="67">
        <v>0.46153846153846156</v>
      </c>
      <c r="Q16" s="67">
        <v>0.45833333333333331</v>
      </c>
    </row>
    <row r="17" spans="1:17" x14ac:dyDescent="0.45">
      <c r="A17" s="69">
        <v>14</v>
      </c>
      <c r="B17" s="66">
        <v>88.2</v>
      </c>
      <c r="C17" s="66">
        <v>6.3</v>
      </c>
      <c r="D17" s="71">
        <v>2</v>
      </c>
      <c r="E17" s="67">
        <v>0.2857142857142857</v>
      </c>
      <c r="F17" s="67">
        <v>0.2857142857142857</v>
      </c>
      <c r="G17" s="67">
        <v>0.30681818181818182</v>
      </c>
      <c r="H17" s="67">
        <v>0.125</v>
      </c>
      <c r="I17" s="68">
        <v>12707.407407407407</v>
      </c>
      <c r="J17" s="68">
        <v>-10218.181818181818</v>
      </c>
      <c r="K17" s="67">
        <v>7.1428571428571425E-2</v>
      </c>
      <c r="L17" s="67">
        <v>0.2857142857142857</v>
      </c>
      <c r="M17" s="67">
        <v>0.35227272727272729</v>
      </c>
      <c r="N17" s="67">
        <v>0.15909090909090909</v>
      </c>
      <c r="O17" s="67">
        <v>0.61290322580645162</v>
      </c>
      <c r="P17" s="67">
        <v>0.5</v>
      </c>
      <c r="Q17" s="67">
        <v>0.44444444444444442</v>
      </c>
    </row>
    <row r="18" spans="1:17" x14ac:dyDescent="0.45">
      <c r="A18" s="69">
        <v>15</v>
      </c>
      <c r="B18" s="66">
        <v>59.2</v>
      </c>
      <c r="C18" s="66">
        <v>3.9466666666666668</v>
      </c>
      <c r="D18" s="71">
        <v>2.0666666666666669</v>
      </c>
      <c r="E18" s="67">
        <v>0.26666666666666666</v>
      </c>
      <c r="F18" s="67">
        <v>0.33333333333333331</v>
      </c>
      <c r="G18" s="67">
        <v>0.29473684210526313</v>
      </c>
      <c r="H18" s="67">
        <v>0.1368421052631579</v>
      </c>
      <c r="I18" s="68">
        <v>12539.285714285714</v>
      </c>
      <c r="J18" s="68">
        <v>-9876.9230769230762</v>
      </c>
      <c r="K18" s="67">
        <v>6.6666666666666666E-2</v>
      </c>
      <c r="L18" s="67">
        <v>0.26666666666666666</v>
      </c>
      <c r="M18" s="67">
        <v>0.3473684210526316</v>
      </c>
      <c r="N18" s="67">
        <v>0.17894736842105263</v>
      </c>
      <c r="O18" s="67">
        <v>0.5757575757575758</v>
      </c>
      <c r="P18" s="67">
        <v>0.47058823529411764</v>
      </c>
      <c r="Q18" s="67">
        <v>0.42857142857142855</v>
      </c>
    </row>
    <row r="19" spans="1:17" x14ac:dyDescent="0.45">
      <c r="A19" s="69">
        <v>16</v>
      </c>
      <c r="B19" s="66">
        <v>9.2000000000000028</v>
      </c>
      <c r="C19" s="66">
        <v>0.57500000000000018</v>
      </c>
      <c r="D19" s="71">
        <v>2.125</v>
      </c>
      <c r="E19" s="67">
        <v>0.25</v>
      </c>
      <c r="F19" s="67">
        <v>0.375</v>
      </c>
      <c r="G19" s="67">
        <v>0.28431372549019607</v>
      </c>
      <c r="H19" s="67">
        <v>0.14705882352941177</v>
      </c>
      <c r="I19" s="68">
        <v>12382.758620689656</v>
      </c>
      <c r="J19" s="68">
        <v>-10160</v>
      </c>
      <c r="K19" s="67">
        <v>6.25E-2</v>
      </c>
      <c r="L19" s="67">
        <v>0.25</v>
      </c>
      <c r="M19" s="67">
        <v>0.33333333333333331</v>
      </c>
      <c r="N19" s="67">
        <v>0.20588235294117646</v>
      </c>
      <c r="O19" s="67">
        <v>0.58823529411764708</v>
      </c>
      <c r="P19" s="67">
        <v>0.38095238095238093</v>
      </c>
      <c r="Q19" s="67">
        <v>0.44827586206896552</v>
      </c>
    </row>
    <row r="20" spans="1:17" x14ac:dyDescent="0.45">
      <c r="A20" s="69">
        <v>17</v>
      </c>
      <c r="B20" s="66">
        <v>-21.599999999999998</v>
      </c>
      <c r="C20" s="66">
        <v>-1.2705882352941176</v>
      </c>
      <c r="D20" s="71">
        <v>2.1764705882352939</v>
      </c>
      <c r="E20" s="67">
        <v>0.23529411764705882</v>
      </c>
      <c r="F20" s="67">
        <v>0.41176470588235292</v>
      </c>
      <c r="G20" s="67">
        <v>0.2831858407079646</v>
      </c>
      <c r="H20" s="67">
        <v>0.1415929203539823</v>
      </c>
      <c r="I20" s="68">
        <v>11793.75</v>
      </c>
      <c r="J20" s="68">
        <v>-11025</v>
      </c>
      <c r="K20" s="67">
        <v>5.8823529411764705E-2</v>
      </c>
      <c r="L20" s="67">
        <v>0.23529411764705882</v>
      </c>
      <c r="M20" s="67">
        <v>0.30088495575221241</v>
      </c>
      <c r="N20" s="67">
        <v>0.23008849557522124</v>
      </c>
      <c r="O20" s="67">
        <v>0.58823529411764708</v>
      </c>
      <c r="P20" s="67">
        <v>0.42307692307692307</v>
      </c>
      <c r="Q20" s="67">
        <v>0.40625</v>
      </c>
    </row>
    <row r="21" spans="1:17" x14ac:dyDescent="0.45">
      <c r="A21" s="69">
        <v>18</v>
      </c>
      <c r="B21" s="66">
        <v>7.8000000000000007</v>
      </c>
      <c r="C21" s="66">
        <v>0.43333333333333335</v>
      </c>
      <c r="D21" s="71">
        <v>2.1111111111111112</v>
      </c>
      <c r="E21" s="67">
        <v>0.27777777777777779</v>
      </c>
      <c r="F21" s="67">
        <v>0.3888888888888889</v>
      </c>
      <c r="G21" s="67">
        <v>0.29838709677419356</v>
      </c>
      <c r="H21" s="67">
        <v>0.14516129032258066</v>
      </c>
      <c r="I21" s="68">
        <v>10654.054054054053</v>
      </c>
      <c r="J21" s="68">
        <v>-10211.111111111111</v>
      </c>
      <c r="K21" s="67">
        <v>5.5555555555555552E-2</v>
      </c>
      <c r="L21" s="67">
        <v>0.22222222222222221</v>
      </c>
      <c r="M21" s="67">
        <v>0.29032258064516131</v>
      </c>
      <c r="N21" s="67">
        <v>0.24193548387096775</v>
      </c>
      <c r="O21" s="67">
        <v>0.55555555555555558</v>
      </c>
      <c r="P21" s="67">
        <v>0.46666666666666667</v>
      </c>
      <c r="Q21" s="67">
        <v>0.40540540540540543</v>
      </c>
    </row>
    <row r="22" spans="1:17" x14ac:dyDescent="0.45">
      <c r="A22" s="69">
        <v>19</v>
      </c>
      <c r="B22" s="66">
        <v>-11.2</v>
      </c>
      <c r="C22" s="66">
        <v>-0.58947368421052626</v>
      </c>
      <c r="D22" s="71">
        <v>2.1052631578947367</v>
      </c>
      <c r="E22" s="67">
        <v>0.26315789473684209</v>
      </c>
      <c r="F22" s="67">
        <v>0.36842105263157893</v>
      </c>
      <c r="G22" s="67">
        <v>0.296875</v>
      </c>
      <c r="H22" s="67">
        <v>0.1484375</v>
      </c>
      <c r="I22" s="68">
        <v>10847.368421052632</v>
      </c>
      <c r="J22" s="68">
        <v>-10305.263157894737</v>
      </c>
      <c r="K22" s="67">
        <v>5.2631578947368418E-2</v>
      </c>
      <c r="L22" s="67">
        <v>0.21052631578947367</v>
      </c>
      <c r="M22" s="67">
        <v>0.2890625</v>
      </c>
      <c r="N22" s="67">
        <v>0.234375</v>
      </c>
      <c r="O22" s="67">
        <v>0.56756756756756754</v>
      </c>
      <c r="P22" s="67">
        <v>0.46666666666666667</v>
      </c>
      <c r="Q22" s="67">
        <v>0.39473684210526316</v>
      </c>
    </row>
    <row r="23" spans="1:17" x14ac:dyDescent="0.45">
      <c r="A23" s="69">
        <v>20</v>
      </c>
      <c r="B23" s="66">
        <v>9.5</v>
      </c>
      <c r="C23" s="66">
        <v>0.47499999999999998</v>
      </c>
      <c r="D23" s="71">
        <v>2.1</v>
      </c>
      <c r="E23" s="67">
        <v>0.25</v>
      </c>
      <c r="F23" s="67">
        <v>0.35</v>
      </c>
      <c r="G23" s="67">
        <v>0.29927007299270075</v>
      </c>
      <c r="H23" s="67">
        <v>0.13868613138686131</v>
      </c>
      <c r="I23" s="68">
        <v>10931.707317073171</v>
      </c>
      <c r="J23" s="68">
        <v>-10305.263157894737</v>
      </c>
      <c r="K23" s="67">
        <v>0.05</v>
      </c>
      <c r="L23" s="67">
        <v>0.2</v>
      </c>
      <c r="M23" s="67">
        <v>0.29927007299270075</v>
      </c>
      <c r="N23" s="67">
        <v>0.22627737226277372</v>
      </c>
      <c r="O23" s="67">
        <v>0.58536585365853655</v>
      </c>
      <c r="P23" s="67">
        <v>0.45161290322580644</v>
      </c>
      <c r="Q23" s="67">
        <v>0.3902439024390244</v>
      </c>
    </row>
    <row r="24" spans="1:17" x14ac:dyDescent="0.45">
      <c r="A24" s="69">
        <v>21</v>
      </c>
      <c r="B24" s="66">
        <v>18.5</v>
      </c>
      <c r="C24" s="66">
        <v>0.88095238095238093</v>
      </c>
      <c r="D24" s="71">
        <v>2.0952380952380953</v>
      </c>
      <c r="E24" s="67">
        <v>0.23809523809523808</v>
      </c>
      <c r="F24" s="67">
        <v>0.33333333333333331</v>
      </c>
      <c r="G24" s="67">
        <v>0.30821917808219179</v>
      </c>
      <c r="H24" s="67">
        <v>0.13013698630136986</v>
      </c>
      <c r="I24" s="68">
        <v>10493.333333333334</v>
      </c>
      <c r="J24" s="68">
        <v>-10305.263157894737</v>
      </c>
      <c r="K24" s="67">
        <v>4.7619047619047616E-2</v>
      </c>
      <c r="L24" s="67">
        <v>0.19047619047619047</v>
      </c>
      <c r="M24" s="67">
        <v>0.30136986301369861</v>
      </c>
      <c r="N24" s="67">
        <v>0.24657534246575341</v>
      </c>
      <c r="O24" s="67">
        <v>0.56818181818181823</v>
      </c>
      <c r="P24" s="67">
        <v>0.47222222222222221</v>
      </c>
      <c r="Q24" s="67">
        <v>0.4</v>
      </c>
    </row>
    <row r="25" spans="1:17" x14ac:dyDescent="0.45">
      <c r="A25" s="69">
        <v>22</v>
      </c>
      <c r="B25" s="66">
        <v>57.4</v>
      </c>
      <c r="C25" s="66">
        <v>2.6090909090909089</v>
      </c>
      <c r="D25" s="71">
        <v>2.0454545454545454</v>
      </c>
      <c r="E25" s="67">
        <v>0.27272727272727271</v>
      </c>
      <c r="F25" s="67">
        <v>0.31818181818181818</v>
      </c>
      <c r="G25" s="67">
        <v>0.32051282051282054</v>
      </c>
      <c r="H25" s="67">
        <v>0.14743589743589744</v>
      </c>
      <c r="I25" s="68">
        <v>10360</v>
      </c>
      <c r="J25" s="68">
        <v>-9595.652173913044</v>
      </c>
      <c r="K25" s="67">
        <v>4.5454545454545456E-2</v>
      </c>
      <c r="L25" s="67">
        <v>0.18181818181818182</v>
      </c>
      <c r="M25" s="67">
        <v>0.30128205128205127</v>
      </c>
      <c r="N25" s="67">
        <v>0.23717948717948717</v>
      </c>
      <c r="O25" s="67">
        <v>0.5957446808510638</v>
      </c>
      <c r="P25" s="67">
        <v>0.48648648648648651</v>
      </c>
      <c r="Q25" s="67">
        <v>0.38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098A7-A823-45A0-A0F5-6EDE6D47847E}">
  <sheetPr codeName="Sheet10"/>
  <dimension ref="A1:Q25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5">
      <c r="A3" s="69">
        <v>0</v>
      </c>
      <c r="B3" s="66">
        <v>0</v>
      </c>
    </row>
    <row r="4" spans="1:17" x14ac:dyDescent="0.45">
      <c r="A4" s="69">
        <v>1</v>
      </c>
      <c r="B4" s="66">
        <v>17.100000000000001</v>
      </c>
      <c r="C4" s="66">
        <v>17.100000000000001</v>
      </c>
      <c r="D4" s="71">
        <v>1</v>
      </c>
      <c r="E4" s="67">
        <v>1</v>
      </c>
      <c r="F4" s="67">
        <v>0</v>
      </c>
      <c r="G4" s="67">
        <v>0.2857142857142857</v>
      </c>
      <c r="H4" s="67">
        <v>0.14285714285714285</v>
      </c>
      <c r="I4" s="68">
        <v>9850</v>
      </c>
      <c r="J4" s="68">
        <v>-1600</v>
      </c>
      <c r="K4" s="67">
        <v>0</v>
      </c>
      <c r="L4" s="67">
        <v>0</v>
      </c>
      <c r="M4" s="67">
        <v>0</v>
      </c>
      <c r="N4" s="67">
        <v>0.7142857142857143</v>
      </c>
      <c r="O4" s="67">
        <v>0</v>
      </c>
      <c r="P4" s="67">
        <v>0.4</v>
      </c>
      <c r="Q4" s="67">
        <v>0</v>
      </c>
    </row>
    <row r="5" spans="1:17" x14ac:dyDescent="0.45">
      <c r="A5" s="69">
        <v>2</v>
      </c>
      <c r="B5" s="66">
        <v>-38.9</v>
      </c>
      <c r="C5" s="66">
        <v>-19.45</v>
      </c>
      <c r="D5" s="71">
        <v>2</v>
      </c>
      <c r="E5" s="67">
        <v>0.5</v>
      </c>
      <c r="F5" s="67">
        <v>0.5</v>
      </c>
      <c r="G5" s="67">
        <v>0.125</v>
      </c>
      <c r="H5" s="67">
        <v>0.1875</v>
      </c>
      <c r="I5" s="68">
        <v>9850</v>
      </c>
      <c r="J5" s="68">
        <v>-10533.333333333334</v>
      </c>
      <c r="K5" s="67">
        <v>0.5</v>
      </c>
      <c r="L5" s="67">
        <v>0</v>
      </c>
      <c r="M5" s="67">
        <v>0</v>
      </c>
      <c r="N5" s="67">
        <v>0.4375</v>
      </c>
      <c r="O5" s="67">
        <v>0</v>
      </c>
      <c r="P5" s="67">
        <v>0.2857142857142857</v>
      </c>
      <c r="Q5" s="67">
        <v>0</v>
      </c>
    </row>
    <row r="6" spans="1:17" x14ac:dyDescent="0.45">
      <c r="A6" s="69">
        <v>3</v>
      </c>
      <c r="B6" s="66">
        <v>-84.9</v>
      </c>
      <c r="C6" s="66">
        <v>-28.3</v>
      </c>
      <c r="D6" s="71">
        <v>2.3333333333333335</v>
      </c>
      <c r="E6" s="67">
        <v>0.33333333333333331</v>
      </c>
      <c r="F6" s="67">
        <v>0.66666666666666663</v>
      </c>
      <c r="G6" s="67">
        <v>9.5238095238095233E-2</v>
      </c>
      <c r="H6" s="67">
        <v>0.2857142857142857</v>
      </c>
      <c r="I6" s="68">
        <v>9850</v>
      </c>
      <c r="J6" s="68">
        <v>-11266.666666666666</v>
      </c>
      <c r="K6" s="67">
        <v>0.66666666666666663</v>
      </c>
      <c r="L6" s="67">
        <v>0</v>
      </c>
      <c r="M6" s="67">
        <v>4.7619047619047616E-2</v>
      </c>
      <c r="N6" s="67">
        <v>0.42857142857142855</v>
      </c>
      <c r="O6" s="67">
        <v>0</v>
      </c>
      <c r="P6" s="67">
        <v>0.22222222222222221</v>
      </c>
      <c r="Q6" s="67">
        <v>0</v>
      </c>
    </row>
    <row r="7" spans="1:17" x14ac:dyDescent="0.45">
      <c r="A7" s="69">
        <v>4</v>
      </c>
      <c r="B7" s="66">
        <v>-74.800000000000011</v>
      </c>
      <c r="C7" s="66">
        <v>-18.700000000000003</v>
      </c>
      <c r="D7" s="71">
        <v>2.25</v>
      </c>
      <c r="E7" s="67">
        <v>0.25</v>
      </c>
      <c r="F7" s="67">
        <v>0.5</v>
      </c>
      <c r="G7" s="67">
        <v>0.18518518518518517</v>
      </c>
      <c r="H7" s="67">
        <v>0.25925925925925924</v>
      </c>
      <c r="I7" s="68">
        <v>12260</v>
      </c>
      <c r="J7" s="68">
        <v>-14228.571428571429</v>
      </c>
      <c r="K7" s="67">
        <v>0.5</v>
      </c>
      <c r="L7" s="67">
        <v>0</v>
      </c>
      <c r="M7" s="67">
        <v>0.14814814814814814</v>
      </c>
      <c r="N7" s="67">
        <v>0.40740740740740738</v>
      </c>
      <c r="O7" s="67">
        <v>0.5</v>
      </c>
      <c r="P7" s="67">
        <v>0.27272727272727271</v>
      </c>
      <c r="Q7" s="67">
        <v>0.4</v>
      </c>
    </row>
    <row r="8" spans="1:17" x14ac:dyDescent="0.45">
      <c r="A8" s="69">
        <v>5</v>
      </c>
      <c r="B8" s="66">
        <v>-124.60000000000001</v>
      </c>
      <c r="C8" s="66">
        <v>-24.92</v>
      </c>
      <c r="D8" s="71">
        <v>2.4</v>
      </c>
      <c r="E8" s="67">
        <v>0.2</v>
      </c>
      <c r="F8" s="67">
        <v>0.6</v>
      </c>
      <c r="G8" s="67">
        <v>0.17647058823529413</v>
      </c>
      <c r="H8" s="67">
        <v>0.29411764705882354</v>
      </c>
      <c r="I8" s="68">
        <v>12216.666666666666</v>
      </c>
      <c r="J8" s="68">
        <v>-15360</v>
      </c>
      <c r="K8" s="67">
        <v>0.6</v>
      </c>
      <c r="L8" s="67">
        <v>0</v>
      </c>
      <c r="M8" s="67">
        <v>0.11764705882352941</v>
      </c>
      <c r="N8" s="67">
        <v>0.47058823529411764</v>
      </c>
      <c r="O8" s="67">
        <v>0.5</v>
      </c>
      <c r="P8" s="67">
        <v>0.25</v>
      </c>
      <c r="Q8" s="67">
        <v>0.33333333333333331</v>
      </c>
    </row>
    <row r="9" spans="1:17" x14ac:dyDescent="0.45">
      <c r="A9" s="69">
        <v>6</v>
      </c>
      <c r="B9" s="66">
        <v>-132.30000000000001</v>
      </c>
      <c r="C9" s="66">
        <v>-22.05</v>
      </c>
      <c r="D9" s="71">
        <v>2.5</v>
      </c>
      <c r="E9" s="67">
        <v>0.16666666666666666</v>
      </c>
      <c r="F9" s="67">
        <v>0.66666666666666663</v>
      </c>
      <c r="G9" s="67">
        <v>0.21428571428571427</v>
      </c>
      <c r="H9" s="67">
        <v>0.26190476190476192</v>
      </c>
      <c r="I9" s="68">
        <v>10000</v>
      </c>
      <c r="J9" s="68">
        <v>-14318.181818181818</v>
      </c>
      <c r="K9" s="67">
        <v>0.5</v>
      </c>
      <c r="L9" s="67">
        <v>0</v>
      </c>
      <c r="M9" s="67">
        <v>9.5238095238095233E-2</v>
      </c>
      <c r="N9" s="67">
        <v>0.42857142857142855</v>
      </c>
      <c r="O9" s="67">
        <v>0.5</v>
      </c>
      <c r="P9" s="67">
        <v>0.33333333333333331</v>
      </c>
      <c r="Q9" s="67">
        <v>0.55555555555555558</v>
      </c>
    </row>
    <row r="10" spans="1:17" x14ac:dyDescent="0.45">
      <c r="A10" s="69">
        <v>7</v>
      </c>
      <c r="B10" s="66">
        <v>-196.3</v>
      </c>
      <c r="C10" s="66">
        <v>-28.042857142857144</v>
      </c>
      <c r="D10" s="71">
        <v>2.5714285714285716</v>
      </c>
      <c r="E10" s="67">
        <v>0.14285714285714285</v>
      </c>
      <c r="F10" s="67">
        <v>0.7142857142857143</v>
      </c>
      <c r="G10" s="67">
        <v>0.19565217391304349</v>
      </c>
      <c r="H10" s="67">
        <v>0.2608695652173913</v>
      </c>
      <c r="I10" s="68">
        <v>10000</v>
      </c>
      <c r="J10" s="68">
        <v>-15625</v>
      </c>
      <c r="K10" s="67">
        <v>0.5714285714285714</v>
      </c>
      <c r="L10" s="67">
        <v>0</v>
      </c>
      <c r="M10" s="67">
        <v>8.6956521739130432E-2</v>
      </c>
      <c r="N10" s="67">
        <v>0.43478260869565216</v>
      </c>
      <c r="O10" s="67">
        <v>0.5</v>
      </c>
      <c r="P10" s="67">
        <v>0.3</v>
      </c>
      <c r="Q10" s="67">
        <v>0.55555555555555558</v>
      </c>
    </row>
    <row r="11" spans="1:17" x14ac:dyDescent="0.45">
      <c r="A11" s="69">
        <v>8</v>
      </c>
      <c r="B11" s="66">
        <v>-203.20000000000002</v>
      </c>
      <c r="C11" s="66">
        <v>-25.400000000000002</v>
      </c>
      <c r="D11" s="71">
        <v>2.5</v>
      </c>
      <c r="E11" s="67">
        <v>0.125</v>
      </c>
      <c r="F11" s="67">
        <v>0.625</v>
      </c>
      <c r="G11" s="67">
        <v>0.18867924528301888</v>
      </c>
      <c r="H11" s="67">
        <v>0.26415094339622641</v>
      </c>
      <c r="I11" s="68">
        <v>10200</v>
      </c>
      <c r="J11" s="68">
        <v>-14242.857142857143</v>
      </c>
      <c r="K11" s="67">
        <v>0.5</v>
      </c>
      <c r="L11" s="67">
        <v>0</v>
      </c>
      <c r="M11" s="67">
        <v>9.4339622641509441E-2</v>
      </c>
      <c r="N11" s="67">
        <v>0.41509433962264153</v>
      </c>
      <c r="O11" s="67">
        <v>0.6</v>
      </c>
      <c r="P11" s="67">
        <v>0.27272727272727271</v>
      </c>
      <c r="Q11" s="67">
        <v>0.5</v>
      </c>
    </row>
    <row r="12" spans="1:17" x14ac:dyDescent="0.45">
      <c r="A12" s="69">
        <v>9</v>
      </c>
      <c r="B12" s="66">
        <v>-267.90000000000003</v>
      </c>
      <c r="C12" s="66">
        <v>-29.766666666666669</v>
      </c>
      <c r="D12" s="71">
        <v>2.5555555555555554</v>
      </c>
      <c r="E12" s="67">
        <v>0.1111111111111111</v>
      </c>
      <c r="F12" s="67">
        <v>0.66666666666666663</v>
      </c>
      <c r="G12" s="67">
        <v>0.17543859649122806</v>
      </c>
      <c r="H12" s="67">
        <v>0.31578947368421051</v>
      </c>
      <c r="I12" s="68">
        <v>10200</v>
      </c>
      <c r="J12" s="68">
        <v>-13505.555555555555</v>
      </c>
      <c r="K12" s="67">
        <v>0.55555555555555558</v>
      </c>
      <c r="L12" s="67">
        <v>0</v>
      </c>
      <c r="M12" s="67">
        <v>8.771929824561403E-2</v>
      </c>
      <c r="N12" s="67">
        <v>0.42105263157894735</v>
      </c>
      <c r="O12" s="67">
        <v>0.6</v>
      </c>
      <c r="P12" s="67">
        <v>0.25</v>
      </c>
      <c r="Q12" s="67">
        <v>0.5</v>
      </c>
    </row>
    <row r="13" spans="1:17" x14ac:dyDescent="0.45">
      <c r="A13" s="69">
        <v>10</v>
      </c>
      <c r="B13" s="66">
        <v>-277.70000000000005</v>
      </c>
      <c r="C13" s="66">
        <v>-27.770000000000003</v>
      </c>
      <c r="D13" s="71">
        <v>2.5</v>
      </c>
      <c r="E13" s="67">
        <v>0.1</v>
      </c>
      <c r="F13" s="67">
        <v>0.6</v>
      </c>
      <c r="G13" s="67">
        <v>0.17460317460317459</v>
      </c>
      <c r="H13" s="67">
        <v>0.30158730158730157</v>
      </c>
      <c r="I13" s="68">
        <v>10000</v>
      </c>
      <c r="J13" s="68">
        <v>-13426.315789473685</v>
      </c>
      <c r="K13" s="67">
        <v>0.5</v>
      </c>
      <c r="L13" s="67">
        <v>0</v>
      </c>
      <c r="M13" s="67">
        <v>9.5238095238095233E-2</v>
      </c>
      <c r="N13" s="67">
        <v>0.3968253968253968</v>
      </c>
      <c r="O13" s="67">
        <v>0.66666666666666663</v>
      </c>
      <c r="P13" s="67">
        <v>0.24</v>
      </c>
      <c r="Q13" s="67">
        <v>0.45454545454545453</v>
      </c>
    </row>
    <row r="14" spans="1:17" x14ac:dyDescent="0.45">
      <c r="A14" s="69">
        <v>11</v>
      </c>
      <c r="B14" s="66">
        <v>-287.00000000000006</v>
      </c>
      <c r="C14" s="66">
        <v>-26.090909090909097</v>
      </c>
      <c r="D14" s="71">
        <v>2.4545454545454546</v>
      </c>
      <c r="E14" s="67">
        <v>9.0909090909090912E-2</v>
      </c>
      <c r="F14" s="67">
        <v>0.54545454545454541</v>
      </c>
      <c r="G14" s="67">
        <v>0.17142857142857143</v>
      </c>
      <c r="H14" s="67">
        <v>0.2857142857142857</v>
      </c>
      <c r="I14" s="68">
        <v>9608.3333333333339</v>
      </c>
      <c r="J14" s="68">
        <v>-13335</v>
      </c>
      <c r="K14" s="67">
        <v>0.45454545454545453</v>
      </c>
      <c r="L14" s="67">
        <v>0</v>
      </c>
      <c r="M14" s="67">
        <v>0.1</v>
      </c>
      <c r="N14" s="67">
        <v>0.41428571428571431</v>
      </c>
      <c r="O14" s="67">
        <v>0.5714285714285714</v>
      </c>
      <c r="P14" s="67">
        <v>0.2413793103448276</v>
      </c>
      <c r="Q14" s="67">
        <v>0.5</v>
      </c>
    </row>
    <row r="15" spans="1:17" x14ac:dyDescent="0.45">
      <c r="A15" s="69">
        <v>12</v>
      </c>
      <c r="B15" s="66">
        <v>-294.10000000000008</v>
      </c>
      <c r="C15" s="66">
        <v>-24.50833333333334</v>
      </c>
      <c r="D15" s="71">
        <v>2.4166666666666665</v>
      </c>
      <c r="E15" s="67">
        <v>8.3333333333333329E-2</v>
      </c>
      <c r="F15" s="67">
        <v>0.5</v>
      </c>
      <c r="G15" s="67">
        <v>0.17333333333333334</v>
      </c>
      <c r="H15" s="67">
        <v>0.26666666666666666</v>
      </c>
      <c r="I15" s="68">
        <v>9100</v>
      </c>
      <c r="J15" s="68">
        <v>-13335</v>
      </c>
      <c r="K15" s="67">
        <v>0.41666666666666669</v>
      </c>
      <c r="L15" s="67">
        <v>0</v>
      </c>
      <c r="M15" s="67">
        <v>9.3333333333333338E-2</v>
      </c>
      <c r="N15" s="67">
        <v>0.38666666666666666</v>
      </c>
      <c r="O15" s="67">
        <v>0.5714285714285714</v>
      </c>
      <c r="P15" s="67">
        <v>0.2413793103448276</v>
      </c>
      <c r="Q15" s="67">
        <v>0.53846153846153844</v>
      </c>
    </row>
    <row r="16" spans="1:17" x14ac:dyDescent="0.45">
      <c r="A16" s="69">
        <v>13</v>
      </c>
      <c r="B16" s="66">
        <v>-309.50000000000006</v>
      </c>
      <c r="C16" s="66">
        <v>-23.807692307692314</v>
      </c>
      <c r="D16" s="71">
        <v>2.3846153846153846</v>
      </c>
      <c r="E16" s="67">
        <v>7.6923076923076927E-2</v>
      </c>
      <c r="F16" s="67">
        <v>0.46153846153846156</v>
      </c>
      <c r="G16" s="67">
        <v>0.17073170731707318</v>
      </c>
      <c r="H16" s="67">
        <v>0.24390243902439024</v>
      </c>
      <c r="I16" s="68">
        <v>9307.1428571428569</v>
      </c>
      <c r="J16" s="68">
        <v>-13335</v>
      </c>
      <c r="K16" s="67">
        <v>0.38461538461538464</v>
      </c>
      <c r="L16" s="67">
        <v>0</v>
      </c>
      <c r="M16" s="67">
        <v>8.5365853658536592E-2</v>
      </c>
      <c r="N16" s="67">
        <v>0.40243902439024393</v>
      </c>
      <c r="O16" s="67">
        <v>0.5714285714285714</v>
      </c>
      <c r="P16" s="67">
        <v>0.24242424242424243</v>
      </c>
      <c r="Q16" s="67">
        <v>0.5714285714285714</v>
      </c>
    </row>
    <row r="17" spans="1:17" x14ac:dyDescent="0.45">
      <c r="A17" s="69">
        <v>14</v>
      </c>
      <c r="B17" s="66">
        <v>-370.50000000000006</v>
      </c>
      <c r="C17" s="66">
        <v>-26.464285714285719</v>
      </c>
      <c r="D17" s="71">
        <v>2.4285714285714284</v>
      </c>
      <c r="E17" s="67">
        <v>7.1428571428571425E-2</v>
      </c>
      <c r="F17" s="67">
        <v>0.5</v>
      </c>
      <c r="G17" s="67">
        <v>0.15909090909090909</v>
      </c>
      <c r="H17" s="67">
        <v>0.25</v>
      </c>
      <c r="I17" s="68">
        <v>9307.1428571428569</v>
      </c>
      <c r="J17" s="68">
        <v>-13031.818181818182</v>
      </c>
      <c r="K17" s="67">
        <v>0.42857142857142855</v>
      </c>
      <c r="L17" s="67">
        <v>0</v>
      </c>
      <c r="M17" s="67">
        <v>7.9545454545454544E-2</v>
      </c>
      <c r="N17" s="67">
        <v>0.39772727272727271</v>
      </c>
      <c r="O17" s="67">
        <v>0.5714285714285714</v>
      </c>
      <c r="P17" s="67">
        <v>0.22857142857142856</v>
      </c>
      <c r="Q17" s="67">
        <v>0.5714285714285714</v>
      </c>
    </row>
    <row r="18" spans="1:17" x14ac:dyDescent="0.45">
      <c r="A18" s="69">
        <v>15</v>
      </c>
      <c r="B18" s="66">
        <v>-369.10000000000008</v>
      </c>
      <c r="C18" s="66">
        <v>-24.606666666666673</v>
      </c>
      <c r="D18" s="71">
        <v>2.4</v>
      </c>
      <c r="E18" s="67">
        <v>6.6666666666666666E-2</v>
      </c>
      <c r="F18" s="67">
        <v>0.46666666666666667</v>
      </c>
      <c r="G18" s="67">
        <v>0.16842105263157894</v>
      </c>
      <c r="H18" s="67">
        <v>0.24210526315789474</v>
      </c>
      <c r="I18" s="68">
        <v>9043.75</v>
      </c>
      <c r="J18" s="68">
        <v>-12986.95652173913</v>
      </c>
      <c r="K18" s="67">
        <v>0.4</v>
      </c>
      <c r="L18" s="67">
        <v>0</v>
      </c>
      <c r="M18" s="67">
        <v>9.4736842105263161E-2</v>
      </c>
      <c r="N18" s="67">
        <v>0.38947368421052631</v>
      </c>
      <c r="O18" s="67">
        <v>0.55555555555555558</v>
      </c>
      <c r="P18" s="67">
        <v>0.21621621621621623</v>
      </c>
      <c r="Q18" s="67">
        <v>0.5</v>
      </c>
    </row>
    <row r="19" spans="1:17" x14ac:dyDescent="0.45">
      <c r="A19" s="69">
        <v>16</v>
      </c>
      <c r="B19" s="66">
        <v>-312.10000000000008</v>
      </c>
      <c r="C19" s="66">
        <v>-19.506250000000005</v>
      </c>
      <c r="D19" s="71">
        <v>2.3125</v>
      </c>
      <c r="E19" s="67">
        <v>0.125</v>
      </c>
      <c r="F19" s="67">
        <v>0.4375</v>
      </c>
      <c r="G19" s="67">
        <v>0.19607843137254902</v>
      </c>
      <c r="H19" s="67">
        <v>0.22549019607843138</v>
      </c>
      <c r="I19" s="68">
        <v>9235</v>
      </c>
      <c r="J19" s="68">
        <v>-12986.95652173913</v>
      </c>
      <c r="K19" s="67">
        <v>0.375</v>
      </c>
      <c r="L19" s="67">
        <v>0</v>
      </c>
      <c r="M19" s="67">
        <v>0.12745098039215685</v>
      </c>
      <c r="N19" s="67">
        <v>0.38235294117647056</v>
      </c>
      <c r="O19" s="67">
        <v>0.61538461538461542</v>
      </c>
      <c r="P19" s="67">
        <v>0.23076923076923078</v>
      </c>
      <c r="Q19" s="67">
        <v>0.55000000000000004</v>
      </c>
    </row>
    <row r="20" spans="1:17" x14ac:dyDescent="0.45">
      <c r="A20" s="69">
        <v>17</v>
      </c>
      <c r="B20" s="66">
        <v>-273.80000000000007</v>
      </c>
      <c r="C20" s="66">
        <v>-16.10588235294118</v>
      </c>
      <c r="D20" s="71">
        <v>2.2352941176470589</v>
      </c>
      <c r="E20" s="67">
        <v>0.17647058823529413</v>
      </c>
      <c r="F20" s="67">
        <v>0.41176470588235292</v>
      </c>
      <c r="G20" s="67">
        <v>0.19469026548672566</v>
      </c>
      <c r="H20" s="67">
        <v>0.23893805309734514</v>
      </c>
      <c r="I20" s="68">
        <v>10395.454545454546</v>
      </c>
      <c r="J20" s="68">
        <v>-11800</v>
      </c>
      <c r="K20" s="67">
        <v>0.35294117647058826</v>
      </c>
      <c r="L20" s="67">
        <v>0</v>
      </c>
      <c r="M20" s="67">
        <v>0.1415929203539823</v>
      </c>
      <c r="N20" s="67">
        <v>0.36283185840707965</v>
      </c>
      <c r="O20" s="67">
        <v>0.625</v>
      </c>
      <c r="P20" s="67">
        <v>0.21951219512195122</v>
      </c>
      <c r="Q20" s="67">
        <v>0.5</v>
      </c>
    </row>
    <row r="21" spans="1:17" x14ac:dyDescent="0.45">
      <c r="A21" s="69">
        <v>18</v>
      </c>
      <c r="B21" s="66">
        <v>-310.90000000000009</v>
      </c>
      <c r="C21" s="66">
        <v>-17.272222222222226</v>
      </c>
      <c r="D21" s="71">
        <v>2.2777777777777777</v>
      </c>
      <c r="E21" s="67">
        <v>0.16666666666666666</v>
      </c>
      <c r="F21" s="67">
        <v>0.44444444444444442</v>
      </c>
      <c r="G21" s="67">
        <v>0.18548387096774194</v>
      </c>
      <c r="H21" s="67">
        <v>0.24193548387096775</v>
      </c>
      <c r="I21" s="68">
        <v>10221.739130434782</v>
      </c>
      <c r="J21" s="68">
        <v>-11136.666666666666</v>
      </c>
      <c r="K21" s="67">
        <v>0.33333333333333331</v>
      </c>
      <c r="L21" s="67">
        <v>0</v>
      </c>
      <c r="M21" s="67">
        <v>0.16129032258064516</v>
      </c>
      <c r="N21" s="67">
        <v>0.33064516129032256</v>
      </c>
      <c r="O21" s="67">
        <v>0.55000000000000004</v>
      </c>
      <c r="P21" s="67">
        <v>0.21951219512195122</v>
      </c>
      <c r="Q21" s="67">
        <v>0.47826086956521741</v>
      </c>
    </row>
    <row r="22" spans="1:17" x14ac:dyDescent="0.45">
      <c r="A22" s="69">
        <v>19</v>
      </c>
      <c r="B22" s="66">
        <v>-367.60000000000008</v>
      </c>
      <c r="C22" s="66">
        <v>-19.347368421052636</v>
      </c>
      <c r="D22" s="71">
        <v>2.3157894736842106</v>
      </c>
      <c r="E22" s="67">
        <v>0.15789473684210525</v>
      </c>
      <c r="F22" s="67">
        <v>0.47368421052631576</v>
      </c>
      <c r="G22" s="67">
        <v>0.1875</v>
      </c>
      <c r="H22" s="67">
        <v>0.25</v>
      </c>
      <c r="I22" s="68">
        <v>10295.833333333334</v>
      </c>
      <c r="J22" s="68">
        <v>-11243.75</v>
      </c>
      <c r="K22" s="67">
        <v>0.36842105263157893</v>
      </c>
      <c r="L22" s="67">
        <v>0</v>
      </c>
      <c r="M22" s="67">
        <v>0.1640625</v>
      </c>
      <c r="N22" s="67">
        <v>0.328125</v>
      </c>
      <c r="O22" s="67">
        <v>0.5714285714285714</v>
      </c>
      <c r="P22" s="67">
        <v>0.21428571428571427</v>
      </c>
      <c r="Q22" s="67">
        <v>0.45833333333333331</v>
      </c>
    </row>
    <row r="23" spans="1:17" x14ac:dyDescent="0.45">
      <c r="A23" s="69">
        <v>20</v>
      </c>
      <c r="B23" s="66">
        <v>-433.90000000000009</v>
      </c>
      <c r="C23" s="66">
        <v>-21.695000000000004</v>
      </c>
      <c r="D23" s="71">
        <v>2.35</v>
      </c>
      <c r="E23" s="67">
        <v>0.15</v>
      </c>
      <c r="F23" s="67">
        <v>0.5</v>
      </c>
      <c r="G23" s="67">
        <v>0.17518248175182483</v>
      </c>
      <c r="H23" s="67">
        <v>0.24817518248175183</v>
      </c>
      <c r="I23" s="68">
        <v>10295.833333333334</v>
      </c>
      <c r="J23" s="68">
        <v>-11170.588235294117</v>
      </c>
      <c r="K23" s="67">
        <v>0.4</v>
      </c>
      <c r="L23" s="67">
        <v>0</v>
      </c>
      <c r="M23" s="67">
        <v>0.15328467153284672</v>
      </c>
      <c r="N23" s="67">
        <v>0.30656934306569344</v>
      </c>
      <c r="O23" s="67">
        <v>0.5714285714285714</v>
      </c>
      <c r="P23" s="67">
        <v>0.21428571428571427</v>
      </c>
      <c r="Q23" s="67">
        <v>0.45833333333333331</v>
      </c>
    </row>
    <row r="24" spans="1:17" x14ac:dyDescent="0.45">
      <c r="A24" s="69">
        <v>21</v>
      </c>
      <c r="B24" s="66">
        <v>-474.10000000000008</v>
      </c>
      <c r="C24" s="66">
        <v>-22.576190476190479</v>
      </c>
      <c r="D24" s="71">
        <v>2.3809523809523809</v>
      </c>
      <c r="E24" s="67">
        <v>0.14285714285714285</v>
      </c>
      <c r="F24" s="67">
        <v>0.52380952380952384</v>
      </c>
      <c r="G24" s="67">
        <v>0.17808219178082191</v>
      </c>
      <c r="H24" s="67">
        <v>0.24657534246575341</v>
      </c>
      <c r="I24" s="68">
        <v>9911.538461538461</v>
      </c>
      <c r="J24" s="68">
        <v>-11105.555555555555</v>
      </c>
      <c r="K24" s="67">
        <v>0.38095238095238093</v>
      </c>
      <c r="L24" s="67">
        <v>0</v>
      </c>
      <c r="M24" s="67">
        <v>0.16438356164383561</v>
      </c>
      <c r="N24" s="67">
        <v>0.30821917808219179</v>
      </c>
      <c r="O24" s="67">
        <v>0.58333333333333337</v>
      </c>
      <c r="P24" s="67">
        <v>0.2</v>
      </c>
      <c r="Q24" s="67">
        <v>0.46153846153846156</v>
      </c>
    </row>
    <row r="25" spans="1:17" x14ac:dyDescent="0.45">
      <c r="A25" s="69">
        <v>22</v>
      </c>
      <c r="B25" s="66">
        <v>-506.7000000000001</v>
      </c>
      <c r="C25" s="66">
        <v>-23.031818181818185</v>
      </c>
      <c r="D25" s="71">
        <v>2.4090909090909092</v>
      </c>
      <c r="E25" s="67">
        <v>0.13636363636363635</v>
      </c>
      <c r="F25" s="67">
        <v>0.54545454545454541</v>
      </c>
      <c r="G25" s="67">
        <v>0.17948717948717949</v>
      </c>
      <c r="H25" s="67">
        <v>0.24358974358974358</v>
      </c>
      <c r="I25" s="68">
        <v>9860.7142857142862</v>
      </c>
      <c r="J25" s="68">
        <v>-11152.631578947368</v>
      </c>
      <c r="K25" s="67">
        <v>0.36363636363636365</v>
      </c>
      <c r="L25" s="67">
        <v>0</v>
      </c>
      <c r="M25" s="67">
        <v>0.16025641025641027</v>
      </c>
      <c r="N25" s="67">
        <v>0.30128205128205127</v>
      </c>
      <c r="O25" s="67">
        <v>0.6</v>
      </c>
      <c r="P25" s="67">
        <v>0.21276595744680851</v>
      </c>
      <c r="Q25" s="67">
        <v>0.42857142857142855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2B858-1734-4889-A46B-A5FE90B933FD}">
  <sheetPr codeName="Sheet8"/>
  <dimension ref="A1:Q25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5">
      <c r="A3" s="69">
        <v>0</v>
      </c>
      <c r="B3" s="66">
        <v>0</v>
      </c>
    </row>
    <row r="4" spans="1:17" x14ac:dyDescent="0.45">
      <c r="A4" s="69">
        <v>1</v>
      </c>
      <c r="B4" s="66">
        <v>-14.1</v>
      </c>
      <c r="C4" s="66">
        <v>-14.1</v>
      </c>
      <c r="D4" s="71">
        <v>3</v>
      </c>
      <c r="E4" s="67">
        <v>0</v>
      </c>
      <c r="F4" s="67">
        <v>1</v>
      </c>
      <c r="G4" s="67">
        <v>0.2857142857142857</v>
      </c>
      <c r="H4" s="67">
        <v>0.42857142857142855</v>
      </c>
      <c r="I4" s="68">
        <v>6800</v>
      </c>
      <c r="J4" s="68">
        <v>-6900</v>
      </c>
      <c r="K4" s="67">
        <v>0</v>
      </c>
      <c r="L4" s="67">
        <v>0</v>
      </c>
      <c r="M4" s="67">
        <v>0.42857142857142855</v>
      </c>
      <c r="N4" s="67">
        <v>0.14285714285714285</v>
      </c>
      <c r="O4" s="67">
        <v>0.33333333333333331</v>
      </c>
      <c r="P4" s="67">
        <v>0</v>
      </c>
      <c r="Q4" s="67">
        <v>0.5</v>
      </c>
    </row>
    <row r="5" spans="1:17" x14ac:dyDescent="0.45">
      <c r="A5" s="69">
        <v>2</v>
      </c>
      <c r="B5" s="66">
        <v>60.9</v>
      </c>
      <c r="C5" s="66">
        <v>30.45</v>
      </c>
      <c r="D5" s="71">
        <v>2</v>
      </c>
      <c r="E5" s="67">
        <v>0.5</v>
      </c>
      <c r="F5" s="67">
        <v>0.5</v>
      </c>
      <c r="G5" s="67">
        <v>0.5</v>
      </c>
      <c r="H5" s="67">
        <v>0.1875</v>
      </c>
      <c r="I5" s="68">
        <v>9950</v>
      </c>
      <c r="J5" s="68">
        <v>-6900</v>
      </c>
      <c r="K5" s="67">
        <v>0</v>
      </c>
      <c r="L5" s="67">
        <v>0.5</v>
      </c>
      <c r="M5" s="67">
        <v>0.4375</v>
      </c>
      <c r="N5" s="67">
        <v>0.3125</v>
      </c>
      <c r="O5" s="67">
        <v>0.5714285714285714</v>
      </c>
      <c r="P5" s="67">
        <v>0.6</v>
      </c>
      <c r="Q5" s="67">
        <v>0.375</v>
      </c>
    </row>
    <row r="6" spans="1:17" x14ac:dyDescent="0.45">
      <c r="A6" s="69">
        <v>3</v>
      </c>
      <c r="B6" s="66">
        <v>105.9</v>
      </c>
      <c r="C6" s="66">
        <v>35.300000000000004</v>
      </c>
      <c r="D6" s="71">
        <v>1.6666666666666667</v>
      </c>
      <c r="E6" s="67">
        <v>0.66666666666666663</v>
      </c>
      <c r="F6" s="67">
        <v>0.33333333333333331</v>
      </c>
      <c r="G6" s="67">
        <v>0.5714285714285714</v>
      </c>
      <c r="H6" s="67">
        <v>0.14285714285714285</v>
      </c>
      <c r="I6" s="68">
        <v>9883.3333333333339</v>
      </c>
      <c r="J6" s="68">
        <v>-6900</v>
      </c>
      <c r="K6" s="67">
        <v>0</v>
      </c>
      <c r="L6" s="67">
        <v>0.66666666666666663</v>
      </c>
      <c r="M6" s="67">
        <v>0.47619047619047616</v>
      </c>
      <c r="N6" s="67">
        <v>0.33333333333333331</v>
      </c>
      <c r="O6" s="67">
        <v>0.7</v>
      </c>
      <c r="P6" s="67">
        <v>0.5714285714285714</v>
      </c>
      <c r="Q6" s="67">
        <v>0.41666666666666669</v>
      </c>
    </row>
    <row r="7" spans="1:17" x14ac:dyDescent="0.45">
      <c r="A7" s="69">
        <v>4</v>
      </c>
      <c r="B7" s="66">
        <v>134.4</v>
      </c>
      <c r="C7" s="66">
        <v>33.6</v>
      </c>
      <c r="D7" s="71">
        <v>1.5</v>
      </c>
      <c r="E7" s="67">
        <v>0.75</v>
      </c>
      <c r="F7" s="67">
        <v>0.25</v>
      </c>
      <c r="G7" s="67">
        <v>0.51851851851851849</v>
      </c>
      <c r="H7" s="67">
        <v>0.1111111111111111</v>
      </c>
      <c r="I7" s="68">
        <v>11328.571428571429</v>
      </c>
      <c r="J7" s="68">
        <v>-6900</v>
      </c>
      <c r="K7" s="67">
        <v>0</v>
      </c>
      <c r="L7" s="67">
        <v>0.75</v>
      </c>
      <c r="M7" s="67">
        <v>0.51851851851851849</v>
      </c>
      <c r="N7" s="67">
        <v>0.25925925925925924</v>
      </c>
      <c r="O7" s="67">
        <v>0.6428571428571429</v>
      </c>
      <c r="P7" s="67">
        <v>0.5714285714285714</v>
      </c>
      <c r="Q7" s="67">
        <v>0.35714285714285715</v>
      </c>
    </row>
    <row r="8" spans="1:17" x14ac:dyDescent="0.45">
      <c r="A8" s="69">
        <v>5</v>
      </c>
      <c r="B8" s="66">
        <v>152.5</v>
      </c>
      <c r="C8" s="66">
        <v>30.5</v>
      </c>
      <c r="D8" s="71">
        <v>1.6</v>
      </c>
      <c r="E8" s="67">
        <v>0.6</v>
      </c>
      <c r="F8" s="67">
        <v>0.2</v>
      </c>
      <c r="G8" s="67">
        <v>0.5</v>
      </c>
      <c r="H8" s="67">
        <v>0.11764705882352941</v>
      </c>
      <c r="I8" s="68">
        <v>10952.941176470587</v>
      </c>
      <c r="J8" s="68">
        <v>-8175</v>
      </c>
      <c r="K8" s="67">
        <v>0</v>
      </c>
      <c r="L8" s="67">
        <v>0.6</v>
      </c>
      <c r="M8" s="67">
        <v>0.5</v>
      </c>
      <c r="N8" s="67">
        <v>0.26470588235294118</v>
      </c>
      <c r="O8" s="67">
        <v>0.6470588235294118</v>
      </c>
      <c r="P8" s="67">
        <v>0.55555555555555558</v>
      </c>
      <c r="Q8" s="67">
        <v>0.41176470588235292</v>
      </c>
    </row>
    <row r="9" spans="1:17" x14ac:dyDescent="0.45">
      <c r="A9" s="69">
        <v>6</v>
      </c>
      <c r="B9" s="66">
        <v>159.30000000000001</v>
      </c>
      <c r="C9" s="66">
        <v>26.55</v>
      </c>
      <c r="D9" s="71">
        <v>1.5</v>
      </c>
      <c r="E9" s="67">
        <v>0.66666666666666663</v>
      </c>
      <c r="F9" s="67">
        <v>0.16666666666666666</v>
      </c>
      <c r="G9" s="67">
        <v>0.47619047619047616</v>
      </c>
      <c r="H9" s="67">
        <v>9.5238095238095233E-2</v>
      </c>
      <c r="I9" s="68">
        <v>10505</v>
      </c>
      <c r="J9" s="68">
        <v>-8175</v>
      </c>
      <c r="K9" s="67">
        <v>0</v>
      </c>
      <c r="L9" s="67">
        <v>0.5</v>
      </c>
      <c r="M9" s="67">
        <v>0.45238095238095238</v>
      </c>
      <c r="N9" s="67">
        <v>0.2857142857142857</v>
      </c>
      <c r="O9" s="67">
        <v>0.63157894736842102</v>
      </c>
      <c r="P9" s="67">
        <v>0.5</v>
      </c>
      <c r="Q9" s="67">
        <v>0.45</v>
      </c>
    </row>
    <row r="10" spans="1:17" x14ac:dyDescent="0.45">
      <c r="A10" s="69">
        <v>7</v>
      </c>
      <c r="B10" s="66">
        <v>235.10000000000002</v>
      </c>
      <c r="C10" s="66">
        <v>33.585714285714289</v>
      </c>
      <c r="D10" s="71">
        <v>1.4285714285714286</v>
      </c>
      <c r="E10" s="67">
        <v>0.7142857142857143</v>
      </c>
      <c r="F10" s="67">
        <v>0.14285714285714285</v>
      </c>
      <c r="G10" s="67">
        <v>0.52173913043478259</v>
      </c>
      <c r="H10" s="67">
        <v>8.6956521739130432E-2</v>
      </c>
      <c r="I10" s="68">
        <v>11037.5</v>
      </c>
      <c r="J10" s="68">
        <v>-8175</v>
      </c>
      <c r="K10" s="67">
        <v>0</v>
      </c>
      <c r="L10" s="67">
        <v>0.5714285714285714</v>
      </c>
      <c r="M10" s="67">
        <v>0.47826086956521741</v>
      </c>
      <c r="N10" s="67">
        <v>0.2608695652173913</v>
      </c>
      <c r="O10" s="67">
        <v>0.68181818181818177</v>
      </c>
      <c r="P10" s="67">
        <v>0.5</v>
      </c>
      <c r="Q10" s="67">
        <v>0.41666666666666669</v>
      </c>
    </row>
    <row r="11" spans="1:17" x14ac:dyDescent="0.45">
      <c r="A11" s="69">
        <v>8</v>
      </c>
      <c r="B11" s="66">
        <v>272.10000000000002</v>
      </c>
      <c r="C11" s="66">
        <v>34.012500000000003</v>
      </c>
      <c r="D11" s="71">
        <v>1.375</v>
      </c>
      <c r="E11" s="67">
        <v>0.75</v>
      </c>
      <c r="F11" s="67">
        <v>0.125</v>
      </c>
      <c r="G11" s="67">
        <v>0.49056603773584906</v>
      </c>
      <c r="H11" s="67">
        <v>9.4339622641509441E-2</v>
      </c>
      <c r="I11" s="68">
        <v>11111.538461538461</v>
      </c>
      <c r="J11" s="68">
        <v>-8140</v>
      </c>
      <c r="K11" s="67">
        <v>0</v>
      </c>
      <c r="L11" s="67">
        <v>0.5</v>
      </c>
      <c r="M11" s="67">
        <v>0.45283018867924529</v>
      </c>
      <c r="N11" s="67">
        <v>0.26415094339622641</v>
      </c>
      <c r="O11" s="67">
        <v>0.70833333333333337</v>
      </c>
      <c r="P11" s="67">
        <v>0.42857142857142855</v>
      </c>
      <c r="Q11" s="67">
        <v>0.42307692307692307</v>
      </c>
    </row>
    <row r="12" spans="1:17" x14ac:dyDescent="0.45">
      <c r="A12" s="69">
        <v>9</v>
      </c>
      <c r="B12" s="66">
        <v>272.10000000000002</v>
      </c>
      <c r="C12" s="66">
        <v>30.233333333333334</v>
      </c>
      <c r="D12" s="71">
        <v>1.4444444444444444</v>
      </c>
      <c r="E12" s="67">
        <v>0.66666666666666663</v>
      </c>
      <c r="F12" s="67">
        <v>0.1111111111111111</v>
      </c>
      <c r="G12" s="67">
        <v>0.45614035087719296</v>
      </c>
      <c r="H12" s="67">
        <v>8.771929824561403E-2</v>
      </c>
      <c r="I12" s="68">
        <v>11111.538461538461</v>
      </c>
      <c r="J12" s="68">
        <v>-8140</v>
      </c>
      <c r="K12" s="67">
        <v>0</v>
      </c>
      <c r="L12" s="67">
        <v>0.44444444444444442</v>
      </c>
      <c r="M12" s="67">
        <v>0.42105263157894735</v>
      </c>
      <c r="N12" s="67">
        <v>0.2982456140350877</v>
      </c>
      <c r="O12" s="67">
        <v>0.70833333333333337</v>
      </c>
      <c r="P12" s="67">
        <v>0.35294117647058826</v>
      </c>
      <c r="Q12" s="67">
        <v>0.42307692307692307</v>
      </c>
    </row>
    <row r="13" spans="1:17" x14ac:dyDescent="0.45">
      <c r="A13" s="69">
        <v>10</v>
      </c>
      <c r="B13" s="66">
        <v>315.20000000000005</v>
      </c>
      <c r="C13" s="66">
        <v>31.520000000000003</v>
      </c>
      <c r="D13" s="71">
        <v>1.4</v>
      </c>
      <c r="E13" s="67">
        <v>0.7</v>
      </c>
      <c r="F13" s="67">
        <v>0.1</v>
      </c>
      <c r="G13" s="67">
        <v>0.46031746031746029</v>
      </c>
      <c r="H13" s="67">
        <v>7.9365079365079361E-2</v>
      </c>
      <c r="I13" s="68">
        <v>11000</v>
      </c>
      <c r="J13" s="68">
        <v>-8140</v>
      </c>
      <c r="K13" s="67">
        <v>0</v>
      </c>
      <c r="L13" s="67">
        <v>0.4</v>
      </c>
      <c r="M13" s="67">
        <v>0.41269841269841268</v>
      </c>
      <c r="N13" s="67">
        <v>0.2857142857142857</v>
      </c>
      <c r="O13" s="67">
        <v>0.73076923076923073</v>
      </c>
      <c r="P13" s="67">
        <v>0.3888888888888889</v>
      </c>
      <c r="Q13" s="67">
        <v>0.41379310344827586</v>
      </c>
    </row>
    <row r="14" spans="1:17" x14ac:dyDescent="0.45">
      <c r="A14" s="69">
        <v>11</v>
      </c>
      <c r="B14" s="66">
        <v>358.80000000000007</v>
      </c>
      <c r="C14" s="66">
        <v>32.618181818181824</v>
      </c>
      <c r="D14" s="71">
        <v>1.3636363636363635</v>
      </c>
      <c r="E14" s="67">
        <v>0.72727272727272729</v>
      </c>
      <c r="F14" s="67">
        <v>9.0909090909090912E-2</v>
      </c>
      <c r="G14" s="67">
        <v>0.45714285714285713</v>
      </c>
      <c r="H14" s="67">
        <v>7.1428571428571425E-2</v>
      </c>
      <c r="I14" s="68">
        <v>10612.5</v>
      </c>
      <c r="J14" s="68">
        <v>-8140</v>
      </c>
      <c r="K14" s="67">
        <v>0</v>
      </c>
      <c r="L14" s="67">
        <v>0.36363636363636365</v>
      </c>
      <c r="M14" s="67">
        <v>0.42857142857142855</v>
      </c>
      <c r="N14" s="67">
        <v>0.27142857142857141</v>
      </c>
      <c r="O14" s="67">
        <v>0.7</v>
      </c>
      <c r="P14" s="67">
        <v>0.42105263157894735</v>
      </c>
      <c r="Q14" s="67">
        <v>0.4375</v>
      </c>
    </row>
    <row r="15" spans="1:17" x14ac:dyDescent="0.45">
      <c r="A15" s="69">
        <v>12</v>
      </c>
      <c r="B15" s="66">
        <v>296.10000000000008</v>
      </c>
      <c r="C15" s="66">
        <v>24.675000000000008</v>
      </c>
      <c r="D15" s="71">
        <v>1.5</v>
      </c>
      <c r="E15" s="67">
        <v>0.66666666666666663</v>
      </c>
      <c r="F15" s="67">
        <v>0.16666666666666666</v>
      </c>
      <c r="G15" s="67">
        <v>0.42666666666666669</v>
      </c>
      <c r="H15" s="67">
        <v>0.08</v>
      </c>
      <c r="I15" s="68">
        <v>10612.5</v>
      </c>
      <c r="J15" s="68">
        <v>-10783.333333333334</v>
      </c>
      <c r="K15" s="67">
        <v>8.3333333333333329E-2</v>
      </c>
      <c r="L15" s="67">
        <v>0.33333333333333331</v>
      </c>
      <c r="M15" s="67">
        <v>0.4</v>
      </c>
      <c r="N15" s="67">
        <v>0.26666666666666666</v>
      </c>
      <c r="O15" s="67">
        <v>0.7</v>
      </c>
      <c r="P15" s="67">
        <v>0.4</v>
      </c>
      <c r="Q15" s="67">
        <v>0.4375</v>
      </c>
    </row>
    <row r="16" spans="1:17" x14ac:dyDescent="0.45">
      <c r="A16" s="69">
        <v>13</v>
      </c>
      <c r="B16" s="66">
        <v>236.30000000000007</v>
      </c>
      <c r="C16" s="66">
        <v>18.176923076923082</v>
      </c>
      <c r="D16" s="71">
        <v>1.6153846153846154</v>
      </c>
      <c r="E16" s="67">
        <v>0.61538461538461542</v>
      </c>
      <c r="F16" s="67">
        <v>0.23076923076923078</v>
      </c>
      <c r="G16" s="67">
        <v>0.41463414634146339</v>
      </c>
      <c r="H16" s="67">
        <v>8.5365853658536592E-2</v>
      </c>
      <c r="I16" s="68">
        <v>10929.411764705883</v>
      </c>
      <c r="J16" s="68">
        <v>-16100</v>
      </c>
      <c r="K16" s="67">
        <v>0.15384615384615385</v>
      </c>
      <c r="L16" s="67">
        <v>0.30769230769230771</v>
      </c>
      <c r="M16" s="67">
        <v>0.3902439024390244</v>
      </c>
      <c r="N16" s="67">
        <v>0.26829268292682928</v>
      </c>
      <c r="O16" s="67">
        <v>0.6875</v>
      </c>
      <c r="P16" s="67">
        <v>0.40909090909090912</v>
      </c>
      <c r="Q16" s="67">
        <v>0.44117647058823528</v>
      </c>
    </row>
    <row r="17" spans="1:17" x14ac:dyDescent="0.45">
      <c r="A17" s="69">
        <v>14</v>
      </c>
      <c r="B17" s="66">
        <v>282.30000000000007</v>
      </c>
      <c r="C17" s="66">
        <v>20.164285714285718</v>
      </c>
      <c r="D17" s="71">
        <v>1.5714285714285714</v>
      </c>
      <c r="E17" s="67">
        <v>0.6428571428571429</v>
      </c>
      <c r="F17" s="67">
        <v>0.21428571428571427</v>
      </c>
      <c r="G17" s="67">
        <v>0.42045454545454547</v>
      </c>
      <c r="H17" s="67">
        <v>9.0909090909090912E-2</v>
      </c>
      <c r="I17" s="68">
        <v>11232.432432432432</v>
      </c>
      <c r="J17" s="68">
        <v>-16087.5</v>
      </c>
      <c r="K17" s="67">
        <v>0.14285714285714285</v>
      </c>
      <c r="L17" s="67">
        <v>0.35714285714285715</v>
      </c>
      <c r="M17" s="67">
        <v>0.38636363636363635</v>
      </c>
      <c r="N17" s="67">
        <v>0.26136363636363635</v>
      </c>
      <c r="O17" s="67">
        <v>0.70588235294117652</v>
      </c>
      <c r="P17" s="67">
        <v>0.43478260869565216</v>
      </c>
      <c r="Q17" s="67">
        <v>0.43243243243243246</v>
      </c>
    </row>
    <row r="18" spans="1:17" x14ac:dyDescent="0.45">
      <c r="A18" s="69">
        <v>15</v>
      </c>
      <c r="B18" s="66">
        <v>309.90000000000009</v>
      </c>
      <c r="C18" s="66">
        <v>20.660000000000007</v>
      </c>
      <c r="D18" s="71">
        <v>1.5333333333333334</v>
      </c>
      <c r="E18" s="67">
        <v>0.66666666666666663</v>
      </c>
      <c r="F18" s="67">
        <v>0.2</v>
      </c>
      <c r="G18" s="67">
        <v>0.41052631578947368</v>
      </c>
      <c r="H18" s="67">
        <v>0.10526315789473684</v>
      </c>
      <c r="I18" s="68">
        <v>11169.23076923077</v>
      </c>
      <c r="J18" s="68">
        <v>-14310</v>
      </c>
      <c r="K18" s="67">
        <v>0.13333333333333333</v>
      </c>
      <c r="L18" s="67">
        <v>0.33333333333333331</v>
      </c>
      <c r="M18" s="67">
        <v>0.4</v>
      </c>
      <c r="N18" s="67">
        <v>0.24210526315789474</v>
      </c>
      <c r="O18" s="67">
        <v>0.68421052631578949</v>
      </c>
      <c r="P18" s="67">
        <v>0.43478260869565216</v>
      </c>
      <c r="Q18" s="67">
        <v>0.41025641025641024</v>
      </c>
    </row>
    <row r="19" spans="1:17" x14ac:dyDescent="0.45">
      <c r="A19" s="69">
        <v>16</v>
      </c>
      <c r="B19" s="66">
        <v>302.90000000000009</v>
      </c>
      <c r="C19" s="66">
        <v>18.931250000000006</v>
      </c>
      <c r="D19" s="71">
        <v>1.5625</v>
      </c>
      <c r="E19" s="67">
        <v>0.625</v>
      </c>
      <c r="F19" s="67">
        <v>0.1875</v>
      </c>
      <c r="G19" s="67">
        <v>0.39215686274509803</v>
      </c>
      <c r="H19" s="67">
        <v>9.8039215686274508E-2</v>
      </c>
      <c r="I19" s="68">
        <v>11190</v>
      </c>
      <c r="J19" s="68">
        <v>-14310</v>
      </c>
      <c r="K19" s="67">
        <v>0.125</v>
      </c>
      <c r="L19" s="67">
        <v>0.3125</v>
      </c>
      <c r="M19" s="67">
        <v>0.39215686274509803</v>
      </c>
      <c r="N19" s="67">
        <v>0.23529411764705882</v>
      </c>
      <c r="O19" s="67">
        <v>0.67500000000000004</v>
      </c>
      <c r="P19" s="67">
        <v>0.41666666666666669</v>
      </c>
      <c r="Q19" s="67">
        <v>0.4</v>
      </c>
    </row>
    <row r="20" spans="1:17" x14ac:dyDescent="0.45">
      <c r="A20" s="69">
        <v>17</v>
      </c>
      <c r="B20" s="66">
        <v>295.40000000000009</v>
      </c>
      <c r="C20" s="66">
        <v>17.3764705882353</v>
      </c>
      <c r="D20" s="71">
        <v>1.588235294117647</v>
      </c>
      <c r="E20" s="67">
        <v>0.58823529411764708</v>
      </c>
      <c r="F20" s="67">
        <v>0.17647058823529413</v>
      </c>
      <c r="G20" s="67">
        <v>0.39823008849557523</v>
      </c>
      <c r="H20" s="67">
        <v>0.11504424778761062</v>
      </c>
      <c r="I20" s="68">
        <v>11062.222222222223</v>
      </c>
      <c r="J20" s="68">
        <v>-14984.615384615385</v>
      </c>
      <c r="K20" s="67">
        <v>0.11764705882352941</v>
      </c>
      <c r="L20" s="67">
        <v>0.29411764705882354</v>
      </c>
      <c r="M20" s="67">
        <v>0.36283185840707965</v>
      </c>
      <c r="N20" s="67">
        <v>0.26548672566371684</v>
      </c>
      <c r="O20" s="67">
        <v>0.68292682926829273</v>
      </c>
      <c r="P20" s="67">
        <v>0.43333333333333335</v>
      </c>
      <c r="Q20" s="67">
        <v>0.4</v>
      </c>
    </row>
    <row r="21" spans="1:17" x14ac:dyDescent="0.45">
      <c r="A21" s="69">
        <v>18</v>
      </c>
      <c r="B21" s="66">
        <v>303.10000000000008</v>
      </c>
      <c r="C21" s="66">
        <v>16.838888888888892</v>
      </c>
      <c r="D21" s="71">
        <v>1.6111111111111112</v>
      </c>
      <c r="E21" s="67">
        <v>0.55555555555555558</v>
      </c>
      <c r="F21" s="67">
        <v>0.16666666666666666</v>
      </c>
      <c r="G21" s="67">
        <v>0.38709677419354838</v>
      </c>
      <c r="H21" s="67">
        <v>0.11290322580645161</v>
      </c>
      <c r="I21" s="68">
        <v>10677.083333333334</v>
      </c>
      <c r="J21" s="68">
        <v>-14057.142857142857</v>
      </c>
      <c r="K21" s="67">
        <v>0.1111111111111111</v>
      </c>
      <c r="L21" s="67">
        <v>0.27777777777777779</v>
      </c>
      <c r="M21" s="67">
        <v>0.34677419354838712</v>
      </c>
      <c r="N21" s="67">
        <v>0.25806451612903225</v>
      </c>
      <c r="O21" s="67">
        <v>0.69767441860465118</v>
      </c>
      <c r="P21" s="67">
        <v>0.4375</v>
      </c>
      <c r="Q21" s="67">
        <v>0.39583333333333331</v>
      </c>
    </row>
    <row r="22" spans="1:17" x14ac:dyDescent="0.45">
      <c r="A22" s="69">
        <v>19</v>
      </c>
      <c r="B22" s="66">
        <v>378.80000000000007</v>
      </c>
      <c r="C22" s="66">
        <v>19.93684210526316</v>
      </c>
      <c r="D22" s="71">
        <v>1.5789473684210527</v>
      </c>
      <c r="E22" s="67">
        <v>0.57894736842105265</v>
      </c>
      <c r="F22" s="67">
        <v>0.15789473684210525</v>
      </c>
      <c r="G22" s="67">
        <v>0.390625</v>
      </c>
      <c r="H22" s="67">
        <v>0.109375</v>
      </c>
      <c r="I22" s="68">
        <v>11364</v>
      </c>
      <c r="J22" s="68">
        <v>-14057.142857142857</v>
      </c>
      <c r="K22" s="67">
        <v>0.10526315789473684</v>
      </c>
      <c r="L22" s="67">
        <v>0.31578947368421051</v>
      </c>
      <c r="M22" s="67">
        <v>0.3515625</v>
      </c>
      <c r="N22" s="67">
        <v>0.25</v>
      </c>
      <c r="O22" s="67">
        <v>0.71111111111111114</v>
      </c>
      <c r="P22" s="67">
        <v>0.4375</v>
      </c>
      <c r="Q22" s="67">
        <v>0.4</v>
      </c>
    </row>
    <row r="23" spans="1:17" x14ac:dyDescent="0.45">
      <c r="A23" s="69">
        <v>20</v>
      </c>
      <c r="B23" s="66">
        <v>424.40000000000009</v>
      </c>
      <c r="C23" s="66">
        <v>21.220000000000006</v>
      </c>
      <c r="D23" s="71">
        <v>1.55</v>
      </c>
      <c r="E23" s="67">
        <v>0.6</v>
      </c>
      <c r="F23" s="67">
        <v>0.15</v>
      </c>
      <c r="G23" s="67">
        <v>0.38686131386861317</v>
      </c>
      <c r="H23" s="67">
        <v>0.10948905109489052</v>
      </c>
      <c r="I23" s="68">
        <v>11430.188679245282</v>
      </c>
      <c r="J23" s="68">
        <v>-13920</v>
      </c>
      <c r="K23" s="67">
        <v>0.1</v>
      </c>
      <c r="L23" s="67">
        <v>0.35</v>
      </c>
      <c r="M23" s="67">
        <v>0.36496350364963503</v>
      </c>
      <c r="N23" s="67">
        <v>0.24817518248175183</v>
      </c>
      <c r="O23" s="67">
        <v>0.68</v>
      </c>
      <c r="P23" s="67">
        <v>0.44117647058823528</v>
      </c>
      <c r="Q23" s="67">
        <v>0.41509433962264153</v>
      </c>
    </row>
    <row r="24" spans="1:17" x14ac:dyDescent="0.45">
      <c r="A24" s="69">
        <v>21</v>
      </c>
      <c r="B24" s="66">
        <v>455.60000000000008</v>
      </c>
      <c r="C24" s="66">
        <v>21.6952380952381</v>
      </c>
      <c r="D24" s="71">
        <v>1.5238095238095237</v>
      </c>
      <c r="E24" s="67">
        <v>0.61904761904761907</v>
      </c>
      <c r="F24" s="67">
        <v>0.14285714285714285</v>
      </c>
      <c r="G24" s="67">
        <v>0.37671232876712329</v>
      </c>
      <c r="H24" s="67">
        <v>0.11643835616438356</v>
      </c>
      <c r="I24" s="68">
        <v>11450.90909090909</v>
      </c>
      <c r="J24" s="68">
        <v>-12664.705882352941</v>
      </c>
      <c r="K24" s="67">
        <v>9.5238095238095233E-2</v>
      </c>
      <c r="L24" s="67">
        <v>0.33333333333333331</v>
      </c>
      <c r="M24" s="67">
        <v>0.38356164383561642</v>
      </c>
      <c r="N24" s="67">
        <v>0.23287671232876711</v>
      </c>
      <c r="O24" s="67">
        <v>0.6428571428571429</v>
      </c>
      <c r="P24" s="67">
        <v>0.44117647058823528</v>
      </c>
      <c r="Q24" s="67">
        <v>0.41818181818181815</v>
      </c>
    </row>
    <row r="25" spans="1:17" x14ac:dyDescent="0.45">
      <c r="A25" s="69">
        <v>22</v>
      </c>
      <c r="B25" s="66">
        <v>449.30000000000007</v>
      </c>
      <c r="C25" s="66">
        <v>20.422727272727276</v>
      </c>
      <c r="D25" s="71">
        <v>1.5454545454545454</v>
      </c>
      <c r="E25" s="67">
        <v>0.59090909090909094</v>
      </c>
      <c r="F25" s="67">
        <v>0.13636363636363635</v>
      </c>
      <c r="G25" s="67">
        <v>0.37179487179487181</v>
      </c>
      <c r="H25" s="67">
        <v>0.12820512820512819</v>
      </c>
      <c r="I25" s="68">
        <v>11177.586206896553</v>
      </c>
      <c r="J25" s="68">
        <v>-11555</v>
      </c>
      <c r="K25" s="67">
        <v>9.0909090909090912E-2</v>
      </c>
      <c r="L25" s="67">
        <v>0.31818181818181818</v>
      </c>
      <c r="M25" s="67">
        <v>0.39102564102564102</v>
      </c>
      <c r="N25" s="67">
        <v>0.23717948717948717</v>
      </c>
      <c r="O25" s="67">
        <v>0.62295081967213117</v>
      </c>
      <c r="P25" s="67">
        <v>0.43243243243243246</v>
      </c>
      <c r="Q25" s="67">
        <v>0.39655172413793105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8301D-632F-46D5-B990-3C1DC08B6970}">
  <sheetPr codeName="Sheet6"/>
  <dimension ref="A1:Q25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 t="s">
        <v>143</v>
      </c>
      <c r="B1" s="70" t="s">
        <v>143</v>
      </c>
      <c r="C1" s="70" t="s">
        <v>143</v>
      </c>
      <c r="D1" s="71" t="s">
        <v>143</v>
      </c>
      <c r="E1" s="70" t="s">
        <v>143</v>
      </c>
      <c r="F1" s="70" t="s">
        <v>143</v>
      </c>
      <c r="G1" s="70" t="s">
        <v>143</v>
      </c>
      <c r="H1" s="70" t="s">
        <v>143</v>
      </c>
      <c r="I1" s="70" t="s">
        <v>143</v>
      </c>
      <c r="J1" s="70" t="s">
        <v>143</v>
      </c>
      <c r="K1" s="70" t="s">
        <v>143</v>
      </c>
      <c r="L1" s="70" t="s">
        <v>143</v>
      </c>
      <c r="M1" s="70" t="s">
        <v>143</v>
      </c>
      <c r="N1" s="70" t="s">
        <v>143</v>
      </c>
      <c r="O1" s="70" t="s">
        <v>143</v>
      </c>
      <c r="P1" s="70" t="s">
        <v>143</v>
      </c>
      <c r="Q1" s="70" t="s">
        <v>143</v>
      </c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5">
      <c r="A3" s="69">
        <v>0</v>
      </c>
      <c r="B3" s="66">
        <v>0</v>
      </c>
    </row>
    <row r="4" spans="1:17" x14ac:dyDescent="0.45">
      <c r="A4" s="69">
        <v>1</v>
      </c>
      <c r="B4" s="66">
        <v>1.7763568394002505E-15</v>
      </c>
      <c r="C4" s="66">
        <v>5.9211894646675012E-16</v>
      </c>
      <c r="D4" s="71">
        <v>2</v>
      </c>
      <c r="E4" s="67">
        <v>0.33333333333333331</v>
      </c>
      <c r="F4" s="67">
        <v>0.33333333333333331</v>
      </c>
      <c r="G4" s="67">
        <v>0.2857142857142857</v>
      </c>
      <c r="H4" s="67">
        <v>0.19047619047619047</v>
      </c>
      <c r="I4" s="68">
        <v>6383.333333333333</v>
      </c>
      <c r="J4" s="68">
        <v>-5575</v>
      </c>
      <c r="K4" s="67">
        <v>0</v>
      </c>
      <c r="L4" s="67">
        <v>0</v>
      </c>
      <c r="M4" s="67">
        <v>0.19047619047619047</v>
      </c>
      <c r="N4" s="67">
        <v>0.33333333333333331</v>
      </c>
      <c r="O4" s="67">
        <v>0.5</v>
      </c>
      <c r="P4" s="67">
        <v>0.42857142857142855</v>
      </c>
      <c r="Q4" s="67">
        <v>0.33333333333333331</v>
      </c>
    </row>
    <row r="5" spans="1:17" x14ac:dyDescent="0.45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0.29166666666666669</v>
      </c>
      <c r="H5" s="67">
        <v>0.16666666666666666</v>
      </c>
      <c r="I5" s="68">
        <v>8592.8571428571431</v>
      </c>
      <c r="J5" s="68">
        <v>-9537.5</v>
      </c>
      <c r="K5" s="67">
        <v>0.16666666666666666</v>
      </c>
      <c r="L5" s="67">
        <v>0.16666666666666666</v>
      </c>
      <c r="M5" s="67">
        <v>0.20833333333333334</v>
      </c>
      <c r="N5" s="67">
        <v>0.27083333333333331</v>
      </c>
      <c r="O5" s="67">
        <v>0.7</v>
      </c>
      <c r="P5" s="67">
        <v>0.46153846153846156</v>
      </c>
      <c r="Q5" s="67">
        <v>0.42857142857142855</v>
      </c>
    </row>
    <row r="6" spans="1:17" x14ac:dyDescent="0.45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0.30158730158730157</v>
      </c>
      <c r="H6" s="67">
        <v>0.17460317460317459</v>
      </c>
      <c r="I6" s="68">
        <v>9015.78947368421</v>
      </c>
      <c r="J6" s="68">
        <v>-10209.09090909091</v>
      </c>
      <c r="K6" s="67">
        <v>0.22222222222222221</v>
      </c>
      <c r="L6" s="67">
        <v>0.22222222222222221</v>
      </c>
      <c r="M6" s="67">
        <v>0.25396825396825395</v>
      </c>
      <c r="N6" s="67">
        <v>0.26984126984126983</v>
      </c>
      <c r="O6" s="67">
        <v>0.6875</v>
      </c>
      <c r="P6" s="67">
        <v>0.41176470588235292</v>
      </c>
      <c r="Q6" s="67">
        <v>0.42105263157894735</v>
      </c>
    </row>
    <row r="7" spans="1:17" x14ac:dyDescent="0.45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0.29629629629629628</v>
      </c>
      <c r="H7" s="67">
        <v>0.1728395061728395</v>
      </c>
      <c r="I7" s="68">
        <v>10537.5</v>
      </c>
      <c r="J7" s="68">
        <v>-11707.142857142857</v>
      </c>
      <c r="K7" s="67">
        <v>0.25</v>
      </c>
      <c r="L7" s="67">
        <v>0.25</v>
      </c>
      <c r="M7" s="67">
        <v>0.32098765432098764</v>
      </c>
      <c r="N7" s="67">
        <v>0.23456790123456789</v>
      </c>
      <c r="O7" s="67">
        <v>0.57692307692307687</v>
      </c>
      <c r="P7" s="67">
        <v>0.42105263157894735</v>
      </c>
      <c r="Q7" s="67">
        <v>0.41666666666666669</v>
      </c>
    </row>
    <row r="8" spans="1:17" x14ac:dyDescent="0.45">
      <c r="A8" s="69">
        <v>5</v>
      </c>
      <c r="B8" s="66">
        <v>3.5527136788005009E-15</v>
      </c>
      <c r="C8" s="66">
        <v>2.3684757858670006E-16</v>
      </c>
      <c r="D8" s="71">
        <v>2</v>
      </c>
      <c r="E8" s="67">
        <v>0.33333333333333331</v>
      </c>
      <c r="F8" s="67">
        <v>0.33333333333333331</v>
      </c>
      <c r="G8" s="67">
        <v>0.29411764705882354</v>
      </c>
      <c r="H8" s="67">
        <v>0.17647058823529413</v>
      </c>
      <c r="I8" s="68">
        <v>11150</v>
      </c>
      <c r="J8" s="68">
        <v>-12772.222222222223</v>
      </c>
      <c r="K8" s="67">
        <v>0.26666666666666666</v>
      </c>
      <c r="L8" s="67">
        <v>0.26666666666666666</v>
      </c>
      <c r="M8" s="67">
        <v>0.31372549019607843</v>
      </c>
      <c r="N8" s="67">
        <v>0.25490196078431371</v>
      </c>
      <c r="O8" s="67">
        <v>0.59375</v>
      </c>
      <c r="P8" s="67">
        <v>0.38461538461538464</v>
      </c>
      <c r="Q8" s="67">
        <v>0.4</v>
      </c>
    </row>
    <row r="9" spans="1:17" x14ac:dyDescent="0.45">
      <c r="A9" s="69">
        <v>6</v>
      </c>
      <c r="B9" s="66">
        <v>3.219646771412954E-15</v>
      </c>
      <c r="C9" s="66">
        <v>1.7886926507849745E-16</v>
      </c>
      <c r="D9" s="71">
        <v>2</v>
      </c>
      <c r="E9" s="67">
        <v>0.33333333333333331</v>
      </c>
      <c r="F9" s="67">
        <v>0.33333333333333331</v>
      </c>
      <c r="G9" s="67">
        <v>0.30158730158730157</v>
      </c>
      <c r="H9" s="67">
        <v>0.15079365079365079</v>
      </c>
      <c r="I9" s="68">
        <v>10502.631578947368</v>
      </c>
      <c r="J9" s="68">
        <v>-12305.263157894737</v>
      </c>
      <c r="K9" s="67">
        <v>0.22222222222222221</v>
      </c>
      <c r="L9" s="67">
        <v>0.22222222222222221</v>
      </c>
      <c r="M9" s="67">
        <v>0.30158730158730157</v>
      </c>
      <c r="N9" s="67">
        <v>0.26190476190476192</v>
      </c>
      <c r="O9" s="67">
        <v>0.57894736842105265</v>
      </c>
      <c r="P9" s="67">
        <v>0.39393939393939392</v>
      </c>
      <c r="Q9" s="67">
        <v>0.5</v>
      </c>
    </row>
    <row r="10" spans="1:17" x14ac:dyDescent="0.45">
      <c r="A10" s="69">
        <v>7</v>
      </c>
      <c r="B10" s="66">
        <v>-3.5527136788005009E-15</v>
      </c>
      <c r="C10" s="66">
        <v>-1.6917684184764289E-16</v>
      </c>
      <c r="D10" s="71">
        <v>2</v>
      </c>
      <c r="E10" s="67">
        <v>0.33333333333333331</v>
      </c>
      <c r="F10" s="67">
        <v>0.33333333333333331</v>
      </c>
      <c r="G10" s="67">
        <v>0.31159420289855072</v>
      </c>
      <c r="H10" s="67">
        <v>0.15942028985507245</v>
      </c>
      <c r="I10" s="68">
        <v>10834.883720930233</v>
      </c>
      <c r="J10" s="68">
        <v>-12572.727272727272</v>
      </c>
      <c r="K10" s="67">
        <v>0.23809523809523808</v>
      </c>
      <c r="L10" s="67">
        <v>0.23809523809523808</v>
      </c>
      <c r="M10" s="67">
        <v>0.29710144927536231</v>
      </c>
      <c r="N10" s="67">
        <v>0.2608695652173913</v>
      </c>
      <c r="O10" s="67">
        <v>0.6097560975609756</v>
      </c>
      <c r="P10" s="67">
        <v>0.3888888888888889</v>
      </c>
      <c r="Q10" s="67">
        <v>0.46511627906976744</v>
      </c>
    </row>
    <row r="11" spans="1:17" x14ac:dyDescent="0.45">
      <c r="A11" s="69">
        <v>8</v>
      </c>
      <c r="B11" s="66">
        <v>0</v>
      </c>
      <c r="C11" s="66">
        <v>0</v>
      </c>
      <c r="D11" s="71">
        <v>2</v>
      </c>
      <c r="E11" s="67">
        <v>0.33333333333333331</v>
      </c>
      <c r="F11" s="67">
        <v>0.33333333333333331</v>
      </c>
      <c r="G11" s="67">
        <v>0.30188679245283018</v>
      </c>
      <c r="H11" s="67">
        <v>0.16352201257861634</v>
      </c>
      <c r="I11" s="68">
        <v>10704.166666666666</v>
      </c>
      <c r="J11" s="68">
        <v>-11865.384615384615</v>
      </c>
      <c r="K11" s="67">
        <v>0.20833333333333334</v>
      </c>
      <c r="L11" s="67">
        <v>0.20833333333333334</v>
      </c>
      <c r="M11" s="67">
        <v>0.28301886792452829</v>
      </c>
      <c r="N11" s="67">
        <v>0.25786163522012578</v>
      </c>
      <c r="O11" s="67">
        <v>0.64444444444444449</v>
      </c>
      <c r="P11" s="67">
        <v>0.36585365853658536</v>
      </c>
      <c r="Q11" s="67">
        <v>0.4375</v>
      </c>
    </row>
    <row r="12" spans="1:17" x14ac:dyDescent="0.45">
      <c r="A12" s="69">
        <v>9</v>
      </c>
      <c r="B12" s="66">
        <v>0</v>
      </c>
      <c r="C12" s="66">
        <v>0</v>
      </c>
      <c r="D12" s="71">
        <v>2</v>
      </c>
      <c r="E12" s="67">
        <v>0.33333333333333331</v>
      </c>
      <c r="F12" s="67">
        <v>0.33333333333333331</v>
      </c>
      <c r="G12" s="67">
        <v>0.30409356725146197</v>
      </c>
      <c r="H12" s="67">
        <v>0.17543859649122806</v>
      </c>
      <c r="I12" s="68">
        <v>10721.153846153846</v>
      </c>
      <c r="J12" s="68">
        <v>-11740</v>
      </c>
      <c r="K12" s="67">
        <v>0.22222222222222221</v>
      </c>
      <c r="L12" s="67">
        <v>0.22222222222222221</v>
      </c>
      <c r="M12" s="67">
        <v>0.2807017543859649</v>
      </c>
      <c r="N12" s="67">
        <v>0.27485380116959063</v>
      </c>
      <c r="O12" s="67">
        <v>0.66666666666666663</v>
      </c>
      <c r="P12" s="67">
        <v>0.34042553191489361</v>
      </c>
      <c r="Q12" s="67">
        <v>0.40384615384615385</v>
      </c>
    </row>
    <row r="13" spans="1:17" x14ac:dyDescent="0.45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0.30158730158730157</v>
      </c>
      <c r="H13" s="67">
        <v>0.17460317460317459</v>
      </c>
      <c r="I13" s="68">
        <v>10659.649122807017</v>
      </c>
      <c r="J13" s="68">
        <v>-11763.636363636364</v>
      </c>
      <c r="K13" s="67">
        <v>0.2</v>
      </c>
      <c r="L13" s="67">
        <v>0.2</v>
      </c>
      <c r="M13" s="67">
        <v>0.2857142857142857</v>
      </c>
      <c r="N13" s="67">
        <v>0.25925925925925924</v>
      </c>
      <c r="O13" s="67">
        <v>0.66666666666666663</v>
      </c>
      <c r="P13" s="67">
        <v>0.34693877551020408</v>
      </c>
      <c r="Q13" s="67">
        <v>0.40350877192982454</v>
      </c>
    </row>
    <row r="14" spans="1:17" x14ac:dyDescent="0.45">
      <c r="A14" s="69">
        <v>11</v>
      </c>
      <c r="B14" s="66">
        <v>0</v>
      </c>
      <c r="C14" s="66">
        <v>0</v>
      </c>
      <c r="D14" s="71">
        <v>2</v>
      </c>
      <c r="E14" s="67">
        <v>0.33333333333333331</v>
      </c>
      <c r="F14" s="67">
        <v>0.33333333333333331</v>
      </c>
      <c r="G14" s="67">
        <v>0.2904761904761905</v>
      </c>
      <c r="H14" s="67">
        <v>0.16190476190476191</v>
      </c>
      <c r="I14" s="68">
        <v>10385.245901639344</v>
      </c>
      <c r="J14" s="68">
        <v>-11758.823529411764</v>
      </c>
      <c r="K14" s="67">
        <v>0.18181818181818182</v>
      </c>
      <c r="L14" s="67">
        <v>0.18181818181818182</v>
      </c>
      <c r="M14" s="67">
        <v>0.28095238095238095</v>
      </c>
      <c r="N14" s="67">
        <v>0.27619047619047621</v>
      </c>
      <c r="O14" s="67">
        <v>0.64406779661016944</v>
      </c>
      <c r="P14" s="67">
        <v>0.32758620689655171</v>
      </c>
      <c r="Q14" s="67">
        <v>0.42622950819672129</v>
      </c>
    </row>
    <row r="15" spans="1:17" x14ac:dyDescent="0.45">
      <c r="A15" s="69">
        <v>12</v>
      </c>
      <c r="B15" s="66">
        <v>0</v>
      </c>
      <c r="C15" s="66">
        <v>0</v>
      </c>
      <c r="D15" s="71">
        <v>2</v>
      </c>
      <c r="E15" s="67">
        <v>0.33333333333333331</v>
      </c>
      <c r="F15" s="67">
        <v>0.33333333333333331</v>
      </c>
      <c r="G15" s="67">
        <v>0.28888888888888886</v>
      </c>
      <c r="H15" s="67">
        <v>0.15555555555555556</v>
      </c>
      <c r="I15" s="68">
        <v>10573.846153846154</v>
      </c>
      <c r="J15" s="68">
        <v>-12108.571428571429</v>
      </c>
      <c r="K15" s="67">
        <v>0.19444444444444445</v>
      </c>
      <c r="L15" s="67">
        <v>0.19444444444444445</v>
      </c>
      <c r="M15" s="67">
        <v>0.27555555555555555</v>
      </c>
      <c r="N15" s="67">
        <v>0.26222222222222225</v>
      </c>
      <c r="O15" s="67">
        <v>0.66129032258064513</v>
      </c>
      <c r="P15" s="67">
        <v>0.32203389830508472</v>
      </c>
      <c r="Q15" s="67">
        <v>0.44615384615384618</v>
      </c>
    </row>
    <row r="16" spans="1:17" x14ac:dyDescent="0.45">
      <c r="A16" s="69">
        <v>13</v>
      </c>
      <c r="B16" s="66">
        <v>0</v>
      </c>
      <c r="C16" s="66">
        <v>0</v>
      </c>
      <c r="D16" s="71">
        <v>2</v>
      </c>
      <c r="E16" s="67">
        <v>0.33333333333333331</v>
      </c>
      <c r="F16" s="67">
        <v>0.33333333333333331</v>
      </c>
      <c r="G16" s="67">
        <v>0.29268292682926828</v>
      </c>
      <c r="H16" s="67">
        <v>0.15040650406504066</v>
      </c>
      <c r="I16" s="68">
        <v>11180.555555555555</v>
      </c>
      <c r="J16" s="68">
        <v>-12967.567567567568</v>
      </c>
      <c r="K16" s="67">
        <v>0.20512820512820512</v>
      </c>
      <c r="L16" s="67">
        <v>0.20512820512820512</v>
      </c>
      <c r="M16" s="67">
        <v>0.26829268292682928</v>
      </c>
      <c r="N16" s="67">
        <v>0.27642276422764228</v>
      </c>
      <c r="O16" s="67">
        <v>0.65151515151515149</v>
      </c>
      <c r="P16" s="67">
        <v>0.33823529411764708</v>
      </c>
      <c r="Q16" s="67">
        <v>0.47222222222222221</v>
      </c>
    </row>
    <row r="17" spans="1:17" x14ac:dyDescent="0.45">
      <c r="A17" s="69">
        <v>14</v>
      </c>
      <c r="B17" s="66">
        <v>0</v>
      </c>
      <c r="C17" s="66">
        <v>0</v>
      </c>
      <c r="D17" s="71">
        <v>2</v>
      </c>
      <c r="E17" s="67">
        <v>0.33333333333333331</v>
      </c>
      <c r="F17" s="67">
        <v>0.33333333333333331</v>
      </c>
      <c r="G17" s="67">
        <v>0.29545454545454547</v>
      </c>
      <c r="H17" s="67">
        <v>0.1553030303030303</v>
      </c>
      <c r="I17" s="68">
        <v>11397.435897435897</v>
      </c>
      <c r="J17" s="68">
        <v>-12873.170731707318</v>
      </c>
      <c r="K17" s="67">
        <v>0.21428571428571427</v>
      </c>
      <c r="L17" s="67">
        <v>0.21428571428571427</v>
      </c>
      <c r="M17" s="67">
        <v>0.27272727272727271</v>
      </c>
      <c r="N17" s="67">
        <v>0.27272727272727271</v>
      </c>
      <c r="O17" s="67">
        <v>0.65277777777777779</v>
      </c>
      <c r="P17" s="67">
        <v>0.34722222222222221</v>
      </c>
      <c r="Q17" s="67">
        <v>0.46153846153846156</v>
      </c>
    </row>
    <row r="18" spans="1:17" x14ac:dyDescent="0.45">
      <c r="A18" s="69">
        <v>15</v>
      </c>
      <c r="B18" s="66">
        <v>1.3322676295501878E-15</v>
      </c>
      <c r="C18" s="66">
        <v>2.9605947323337507E-17</v>
      </c>
      <c r="D18" s="71">
        <v>2</v>
      </c>
      <c r="E18" s="67">
        <v>0.33333333333333331</v>
      </c>
      <c r="F18" s="67">
        <v>0.33333333333333331</v>
      </c>
      <c r="G18" s="67">
        <v>0.29122807017543861</v>
      </c>
      <c r="H18" s="67">
        <v>0.16140350877192983</v>
      </c>
      <c r="I18" s="68">
        <v>11221.686746987953</v>
      </c>
      <c r="J18" s="68">
        <v>-12395.652173913044</v>
      </c>
      <c r="K18" s="67">
        <v>0.2</v>
      </c>
      <c r="L18" s="67">
        <v>0.2</v>
      </c>
      <c r="M18" s="67">
        <v>0.2807017543859649</v>
      </c>
      <c r="N18" s="67">
        <v>0.27017543859649124</v>
      </c>
      <c r="O18" s="67">
        <v>0.625</v>
      </c>
      <c r="P18" s="67">
        <v>0.33766233766233766</v>
      </c>
      <c r="Q18" s="67">
        <v>0.43373493975903615</v>
      </c>
    </row>
    <row r="19" spans="1:17" x14ac:dyDescent="0.45">
      <c r="A19" s="69">
        <v>16</v>
      </c>
      <c r="B19" s="66">
        <v>0</v>
      </c>
      <c r="C19" s="66">
        <v>0</v>
      </c>
      <c r="D19" s="71">
        <v>2</v>
      </c>
      <c r="E19" s="67">
        <v>0.33333333333333331</v>
      </c>
      <c r="F19" s="67">
        <v>0.33333333333333331</v>
      </c>
      <c r="G19" s="67">
        <v>0.2908496732026144</v>
      </c>
      <c r="H19" s="67">
        <v>0.15686274509803921</v>
      </c>
      <c r="I19" s="68">
        <v>11139.325842696629</v>
      </c>
      <c r="J19" s="68">
        <v>-12379.166666666666</v>
      </c>
      <c r="K19" s="67">
        <v>0.1875</v>
      </c>
      <c r="L19" s="67">
        <v>0.1875</v>
      </c>
      <c r="M19" s="67">
        <v>0.28431372549019607</v>
      </c>
      <c r="N19" s="67">
        <v>0.27450980392156865</v>
      </c>
      <c r="O19" s="67">
        <v>0.63218390804597702</v>
      </c>
      <c r="P19" s="67">
        <v>0.32142857142857145</v>
      </c>
      <c r="Q19" s="67">
        <v>0.449438202247191</v>
      </c>
    </row>
    <row r="20" spans="1:17" x14ac:dyDescent="0.45">
      <c r="A20" s="69">
        <v>17</v>
      </c>
      <c r="B20" s="66">
        <v>-3.5527136788005009E-15</v>
      </c>
      <c r="C20" s="66">
        <v>-6.9661052525500017E-17</v>
      </c>
      <c r="D20" s="71">
        <v>2</v>
      </c>
      <c r="E20" s="67">
        <v>0.33333333333333331</v>
      </c>
      <c r="F20" s="67">
        <v>0.33333333333333331</v>
      </c>
      <c r="G20" s="67">
        <v>0.29203539823008851</v>
      </c>
      <c r="H20" s="67">
        <v>0.16519174041297935</v>
      </c>
      <c r="I20" s="68">
        <v>11150.505050505051</v>
      </c>
      <c r="J20" s="68">
        <v>-12317.857142857143</v>
      </c>
      <c r="K20" s="67">
        <v>0.17647058823529413</v>
      </c>
      <c r="L20" s="67">
        <v>0.17647058823529413</v>
      </c>
      <c r="M20" s="67">
        <v>0.26843657817109146</v>
      </c>
      <c r="N20" s="67">
        <v>0.28613569321533922</v>
      </c>
      <c r="O20" s="67">
        <v>0.63736263736263732</v>
      </c>
      <c r="P20" s="67">
        <v>0.34020618556701032</v>
      </c>
      <c r="Q20" s="67">
        <v>0.42424242424242425</v>
      </c>
    </row>
    <row r="21" spans="1:17" x14ac:dyDescent="0.45">
      <c r="A21" s="69">
        <v>18</v>
      </c>
      <c r="B21" s="66">
        <v>-9.7699626167013776E-15</v>
      </c>
      <c r="C21" s="66">
        <v>-1.8092523364261809E-16</v>
      </c>
      <c r="D21" s="71">
        <v>2</v>
      </c>
      <c r="E21" s="67">
        <v>0.33333333333333331</v>
      </c>
      <c r="F21" s="67">
        <v>0.33333333333333331</v>
      </c>
      <c r="G21" s="67">
        <v>0.29032258064516131</v>
      </c>
      <c r="H21" s="67">
        <v>0.16666666666666666</v>
      </c>
      <c r="I21" s="68">
        <v>10572.222222222223</v>
      </c>
      <c r="J21" s="68">
        <v>-11527.41935483871</v>
      </c>
      <c r="K21" s="67">
        <v>0.16666666666666666</v>
      </c>
      <c r="L21" s="67">
        <v>0.16666666666666666</v>
      </c>
      <c r="M21" s="67">
        <v>0.2661290322580645</v>
      </c>
      <c r="N21" s="67">
        <v>0.2768817204301075</v>
      </c>
      <c r="O21" s="67">
        <v>0.61616161616161613</v>
      </c>
      <c r="P21" s="67">
        <v>0.35922330097087379</v>
      </c>
      <c r="Q21" s="67">
        <v>0.41666666666666669</v>
      </c>
    </row>
    <row r="22" spans="1:17" x14ac:dyDescent="0.45">
      <c r="A22" s="69">
        <v>19</v>
      </c>
      <c r="B22" s="66">
        <v>-7.1054273576010019E-15</v>
      </c>
      <c r="C22" s="66">
        <v>-1.246566203087895E-16</v>
      </c>
      <c r="D22" s="71">
        <v>2</v>
      </c>
      <c r="E22" s="67">
        <v>0.33333333333333331</v>
      </c>
      <c r="F22" s="67">
        <v>0.33333333333333331</v>
      </c>
      <c r="G22" s="67">
        <v>0.29166666666666669</v>
      </c>
      <c r="H22" s="67">
        <v>0.16927083333333334</v>
      </c>
      <c r="I22" s="68">
        <v>10959.821428571429</v>
      </c>
      <c r="J22" s="68">
        <v>-11575.384615384615</v>
      </c>
      <c r="K22" s="67">
        <v>0.17543859649122806</v>
      </c>
      <c r="L22" s="67">
        <v>0.17543859649122806</v>
      </c>
      <c r="M22" s="67">
        <v>0.26822916666666669</v>
      </c>
      <c r="N22" s="67">
        <v>0.27083333333333331</v>
      </c>
      <c r="O22" s="67">
        <v>0.6310679611650486</v>
      </c>
      <c r="P22" s="67">
        <v>0.35576923076923078</v>
      </c>
      <c r="Q22" s="67">
        <v>0.4107142857142857</v>
      </c>
    </row>
    <row r="23" spans="1:17" x14ac:dyDescent="0.45">
      <c r="A23" s="69">
        <v>20</v>
      </c>
      <c r="B23" s="66">
        <v>-1.0658141036401503E-14</v>
      </c>
      <c r="C23" s="66">
        <v>-1.7763568394002506E-16</v>
      </c>
      <c r="D23" s="71">
        <v>2</v>
      </c>
      <c r="E23" s="67">
        <v>0.33333333333333331</v>
      </c>
      <c r="F23" s="67">
        <v>0.33333333333333331</v>
      </c>
      <c r="G23" s="67">
        <v>0.28710462287104621</v>
      </c>
      <c r="H23" s="67">
        <v>0.16545012165450121</v>
      </c>
      <c r="I23" s="68">
        <v>11026.271186440677</v>
      </c>
      <c r="J23" s="68">
        <v>-11535.294117647059</v>
      </c>
      <c r="K23" s="67">
        <v>0.18333333333333332</v>
      </c>
      <c r="L23" s="67">
        <v>0.18333333333333332</v>
      </c>
      <c r="M23" s="67">
        <v>0.27250608272506083</v>
      </c>
      <c r="N23" s="67">
        <v>0.26034063260340634</v>
      </c>
      <c r="O23" s="67">
        <v>0.625</v>
      </c>
      <c r="P23" s="67">
        <v>0.35514018691588783</v>
      </c>
      <c r="Q23" s="67">
        <v>0.4152542372881356</v>
      </c>
    </row>
    <row r="24" spans="1:17" x14ac:dyDescent="0.45">
      <c r="A24" s="69">
        <v>21</v>
      </c>
      <c r="B24" s="66">
        <v>-1.7763568394002505E-14</v>
      </c>
      <c r="C24" s="66">
        <v>-2.8196140307940482E-16</v>
      </c>
      <c r="D24" s="71">
        <v>2</v>
      </c>
      <c r="E24" s="67">
        <v>0.33333333333333331</v>
      </c>
      <c r="F24" s="67">
        <v>0.33333333333333331</v>
      </c>
      <c r="G24" s="67">
        <v>0.28767123287671231</v>
      </c>
      <c r="H24" s="67">
        <v>0.16438356164383561</v>
      </c>
      <c r="I24" s="68">
        <v>10791.269841269841</v>
      </c>
      <c r="J24" s="68">
        <v>-11262.5</v>
      </c>
      <c r="K24" s="67">
        <v>0.17460317460317459</v>
      </c>
      <c r="L24" s="67">
        <v>0.17460317460317459</v>
      </c>
      <c r="M24" s="67">
        <v>0.28310502283105021</v>
      </c>
      <c r="N24" s="67">
        <v>0.26255707762557079</v>
      </c>
      <c r="O24" s="67">
        <v>0.60483870967741937</v>
      </c>
      <c r="P24" s="67">
        <v>0.35652173913043478</v>
      </c>
      <c r="Q24" s="67">
        <v>0.42063492063492064</v>
      </c>
    </row>
    <row r="25" spans="1:17" x14ac:dyDescent="0.45">
      <c r="A25" s="69">
        <v>22</v>
      </c>
      <c r="B25" s="66">
        <v>-2.1316282072803006E-14</v>
      </c>
      <c r="C25" s="66">
        <v>-3.2297397080004555E-16</v>
      </c>
      <c r="D25" s="71">
        <v>2</v>
      </c>
      <c r="E25" s="67">
        <v>0.33333333333333331</v>
      </c>
      <c r="F25" s="67">
        <v>0.33333333333333331</v>
      </c>
      <c r="G25" s="67">
        <v>0.29059829059829062</v>
      </c>
      <c r="H25" s="67">
        <v>0.17307692307692307</v>
      </c>
      <c r="I25" s="68">
        <v>10605.882352941177</v>
      </c>
      <c r="J25" s="68">
        <v>-10809.876543209877</v>
      </c>
      <c r="K25" s="67">
        <v>0.16666666666666666</v>
      </c>
      <c r="L25" s="67">
        <v>0.16666666666666666</v>
      </c>
      <c r="M25" s="67">
        <v>0.28418803418803418</v>
      </c>
      <c r="N25" s="67">
        <v>0.25854700854700857</v>
      </c>
      <c r="O25" s="67">
        <v>0.60902255639097747</v>
      </c>
      <c r="P25" s="67">
        <v>0.36363636363636365</v>
      </c>
      <c r="Q25" s="67">
        <v>0.39705882352941174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195</vt:i4>
      </vt:variant>
    </vt:vector>
  </HeadingPairs>
  <TitlesOfParts>
    <vt:vector size="22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りょうすけ</vt:lpstr>
      <vt:lpstr>てんちゃん</vt:lpstr>
      <vt:lpstr>てんちゃん2</vt:lpstr>
      <vt:lpstr>りょうすけ2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てんちゃん!アガリ数</vt:lpstr>
      <vt:lpstr>りょうすけ!アガリ数</vt:lpstr>
      <vt:lpstr>全体!アガリ数</vt:lpstr>
      <vt:lpstr>アガリ数</vt:lpstr>
      <vt:lpstr>だいち!アガリ率</vt:lpstr>
      <vt:lpstr>てんちゃん!アガリ率</vt:lpstr>
      <vt:lpstr>りょうすけ!アガリ率</vt:lpstr>
      <vt:lpstr>全体!アガリ率</vt:lpstr>
      <vt:lpstr>アガリ率</vt:lpstr>
      <vt:lpstr>だいち!チョンボ数</vt:lpstr>
      <vt:lpstr>てんちゃん!チョンボ数</vt:lpstr>
      <vt:lpstr>りょうすけ!チョンボ数</vt:lpstr>
      <vt:lpstr>全体!チョンボ数</vt:lpstr>
      <vt:lpstr>チョンボ数</vt:lpstr>
      <vt:lpstr>だいち!チョンボ率</vt:lpstr>
      <vt:lpstr>てんちゃん!チョンボ率</vt:lpstr>
      <vt:lpstr>りょうすけ!チョンボ率</vt:lpstr>
      <vt:lpstr>全体!チョンボ率</vt:lpstr>
      <vt:lpstr>チョンボ率</vt:lpstr>
      <vt:lpstr>だいち!ツモ数</vt:lpstr>
      <vt:lpstr>てんちゃん!ツモ数</vt:lpstr>
      <vt:lpstr>りょうすけ!ツモ数</vt:lpstr>
      <vt:lpstr>全体!ツモ数</vt:lpstr>
      <vt:lpstr>ツモ数</vt:lpstr>
      <vt:lpstr>だいち!ツモ率</vt:lpstr>
      <vt:lpstr>てんちゃん!ツモ率</vt:lpstr>
      <vt:lpstr>りょうすけ!ツモ率</vt:lpstr>
      <vt:lpstr>全体!ツモ率</vt:lpstr>
      <vt:lpstr>ツモ率</vt:lpstr>
      <vt:lpstr>だいち!トップ数</vt:lpstr>
      <vt:lpstr>てんちゃん!トップ数</vt:lpstr>
      <vt:lpstr>りょうすけ!トップ数</vt:lpstr>
      <vt:lpstr>全体!トップ数</vt:lpstr>
      <vt:lpstr>トップ数</vt:lpstr>
      <vt:lpstr>だいち!トップ率</vt:lpstr>
      <vt:lpstr>てんちゃん!トップ率</vt:lpstr>
      <vt:lpstr>りょうすけ!トップ率</vt:lpstr>
      <vt:lpstr>全体!トップ率</vt:lpstr>
      <vt:lpstr>トップ率</vt:lpstr>
      <vt:lpstr>だいち!ふっとばし数</vt:lpstr>
      <vt:lpstr>てんちゃん!ふっとばし数</vt:lpstr>
      <vt:lpstr>りょうすけ!ふっとばし数</vt:lpstr>
      <vt:lpstr>全体!ふっとばし数</vt:lpstr>
      <vt:lpstr>ふっとばし数</vt:lpstr>
      <vt:lpstr>だいち!ふっとばし率</vt:lpstr>
      <vt:lpstr>てんちゃん!ふっとばし率</vt:lpstr>
      <vt:lpstr>りょうすけ!ふっとばし率</vt:lpstr>
      <vt:lpstr>全体!ふっとばし率</vt:lpstr>
      <vt:lpstr>ふっとばし率</vt:lpstr>
      <vt:lpstr>だいち!ふっとび数</vt:lpstr>
      <vt:lpstr>てんちゃん!ふっとび数</vt:lpstr>
      <vt:lpstr>りょうすけ!ふっとび数</vt:lpstr>
      <vt:lpstr>全体!ふっとび数</vt:lpstr>
      <vt:lpstr>ふっとび数</vt:lpstr>
      <vt:lpstr>だいち!ふっとび率</vt:lpstr>
      <vt:lpstr>てんちゃん!ふっとび率</vt:lpstr>
      <vt:lpstr>りょうすけ!ふっとび率</vt:lpstr>
      <vt:lpstr>全体!ふっとび率</vt:lpstr>
      <vt:lpstr>ふっとび率</vt:lpstr>
      <vt:lpstr>だいち!ラス数</vt:lpstr>
      <vt:lpstr>てんちゃん!ラス数</vt:lpstr>
      <vt:lpstr>りょうすけ!ラス数</vt:lpstr>
      <vt:lpstr>全体!ラス数</vt:lpstr>
      <vt:lpstr>ラス数</vt:lpstr>
      <vt:lpstr>だいち!ラス率</vt:lpstr>
      <vt:lpstr>てんちゃん!ラス率</vt:lpstr>
      <vt:lpstr>りょうすけ!ラス率</vt:lpstr>
      <vt:lpstr>全体!ラス率</vt:lpstr>
      <vt:lpstr>ラス率</vt:lpstr>
      <vt:lpstr>だいち!リーチ数</vt:lpstr>
      <vt:lpstr>てんちゃん!リーチ数</vt:lpstr>
      <vt:lpstr>りょうすけ!リーチ数</vt:lpstr>
      <vt:lpstr>全体!リーチ数</vt:lpstr>
      <vt:lpstr>リーチ数</vt:lpstr>
      <vt:lpstr>だいち!リーチ成功数</vt:lpstr>
      <vt:lpstr>てんちゃん!リーチ成功数</vt:lpstr>
      <vt:lpstr>りょうすけ!リーチ成功数</vt:lpstr>
      <vt:lpstr>全体!リーチ成功数</vt:lpstr>
      <vt:lpstr>リーチ成功数</vt:lpstr>
      <vt:lpstr>だいち!リーチ成功率</vt:lpstr>
      <vt:lpstr>てんちゃん!リーチ成功率</vt:lpstr>
      <vt:lpstr>りょうすけ!リーチ成功率</vt:lpstr>
      <vt:lpstr>全体!リーチ成功率</vt:lpstr>
      <vt:lpstr>リーチ成功率</vt:lpstr>
      <vt:lpstr>だいち!リーチ率</vt:lpstr>
      <vt:lpstr>てんちゃん!リーチ率</vt:lpstr>
      <vt:lpstr>りょうすけ!リーチ率</vt:lpstr>
      <vt:lpstr>全体!リーチ率</vt:lpstr>
      <vt:lpstr>リーチ率</vt:lpstr>
      <vt:lpstr>だいち!ロン数</vt:lpstr>
      <vt:lpstr>てんちゃん!ロン数</vt:lpstr>
      <vt:lpstr>りょうすけ!ロン数</vt:lpstr>
      <vt:lpstr>全体!ロン数</vt:lpstr>
      <vt:lpstr>ロン数</vt:lpstr>
      <vt:lpstr>だいち!ロン率</vt:lpstr>
      <vt:lpstr>てんちゃん!ロン率</vt:lpstr>
      <vt:lpstr>りょうすけ!ロン率</vt:lpstr>
      <vt:lpstr>全体!ロン率</vt:lpstr>
      <vt:lpstr>ロン率</vt:lpstr>
      <vt:lpstr>だいち!逆転数</vt:lpstr>
      <vt:lpstr>てんちゃん!逆転数</vt:lpstr>
      <vt:lpstr>りょうすけ!逆転数</vt:lpstr>
      <vt:lpstr>全体!逆転数</vt:lpstr>
      <vt:lpstr>逆転数</vt:lpstr>
      <vt:lpstr>だいち!逆転率</vt:lpstr>
      <vt:lpstr>てんちゃん!逆転率</vt:lpstr>
      <vt:lpstr>りょうすけ!逆転率</vt:lpstr>
      <vt:lpstr>全体!逆転率</vt:lpstr>
      <vt:lpstr>逆転率</vt:lpstr>
      <vt:lpstr>だいち!最大ドラ数</vt:lpstr>
      <vt:lpstr>てんちゃん!最大ドラ数</vt:lpstr>
      <vt:lpstr>りょうすけ!最大ドラ数</vt:lpstr>
      <vt:lpstr>全体!最大ドラ数</vt:lpstr>
      <vt:lpstr>最大ドラ数</vt:lpstr>
      <vt:lpstr>だいち!最大点数</vt:lpstr>
      <vt:lpstr>てんちゃん!最大点数</vt:lpstr>
      <vt:lpstr>りょうすけ!最大点数</vt:lpstr>
      <vt:lpstr>全体!最大点数</vt:lpstr>
      <vt:lpstr>最大点数</vt:lpstr>
      <vt:lpstr>だいち!総局数</vt:lpstr>
      <vt:lpstr>てんちゃん!総局数</vt:lpstr>
      <vt:lpstr>りょうすけ!総局数</vt:lpstr>
      <vt:lpstr>全体!総局数</vt:lpstr>
      <vt:lpstr>総局数</vt:lpstr>
      <vt:lpstr>だいち!対戦数</vt:lpstr>
      <vt:lpstr>てんちゃん!対戦数</vt:lpstr>
      <vt:lpstr>りょうすけ!対戦数</vt:lpstr>
      <vt:lpstr>全体!対戦数</vt:lpstr>
      <vt:lpstr>対戦数</vt:lpstr>
      <vt:lpstr>だいち!通算スコア</vt:lpstr>
      <vt:lpstr>てんちゃん!通算スコア</vt:lpstr>
      <vt:lpstr>りょうすけ!通算スコア</vt:lpstr>
      <vt:lpstr>全体!通算スコア</vt:lpstr>
      <vt:lpstr>通算スコア</vt:lpstr>
      <vt:lpstr>だいち!副露数</vt:lpstr>
      <vt:lpstr>てんちゃん!副露数</vt:lpstr>
      <vt:lpstr>りょうすけ!副露数</vt:lpstr>
      <vt:lpstr>全体!副露数</vt:lpstr>
      <vt:lpstr>副露数</vt:lpstr>
      <vt:lpstr>だいち!副露成功数</vt:lpstr>
      <vt:lpstr>てんちゃん!副露成功数</vt:lpstr>
      <vt:lpstr>りょうすけ!副露成功数</vt:lpstr>
      <vt:lpstr>全体!副露成功数</vt:lpstr>
      <vt:lpstr>副露成功数</vt:lpstr>
      <vt:lpstr>だいち!副露成功率</vt:lpstr>
      <vt:lpstr>てんちゃん!副露成功率</vt:lpstr>
      <vt:lpstr>りょうすけ!副露成功率</vt:lpstr>
      <vt:lpstr>全体!副露成功率</vt:lpstr>
      <vt:lpstr>副露成功率</vt:lpstr>
      <vt:lpstr>だいち!副露率</vt:lpstr>
      <vt:lpstr>てんちゃん!副露率</vt:lpstr>
      <vt:lpstr>りょうすけ!副露率</vt:lpstr>
      <vt:lpstr>全体!副露率</vt:lpstr>
      <vt:lpstr>副露率</vt:lpstr>
      <vt:lpstr>だいち!平均アガリ点</vt:lpstr>
      <vt:lpstr>てんちゃん!平均アガリ点</vt:lpstr>
      <vt:lpstr>りょうすけ!平均アガリ点</vt:lpstr>
      <vt:lpstr>全体!平均アガリ点</vt:lpstr>
      <vt:lpstr>平均アガリ点</vt:lpstr>
      <vt:lpstr>だいち!平均スコア</vt:lpstr>
      <vt:lpstr>てんちゃん!平均スコア</vt:lpstr>
      <vt:lpstr>りょうすけ!平均スコア</vt:lpstr>
      <vt:lpstr>全体!平均スコア</vt:lpstr>
      <vt:lpstr>平均スコア</vt:lpstr>
      <vt:lpstr>だいち!平均順位</vt:lpstr>
      <vt:lpstr>てんちゃん!平均順位</vt:lpstr>
      <vt:lpstr>りょうすけ!平均順位</vt:lpstr>
      <vt:lpstr>全体!平均順位</vt:lpstr>
      <vt:lpstr>平均順位</vt:lpstr>
      <vt:lpstr>だいち!平均放銃点</vt:lpstr>
      <vt:lpstr>てんちゃん!平均放銃点</vt:lpstr>
      <vt:lpstr>りょうすけ!平均放銃点</vt:lpstr>
      <vt:lpstr>全体!平均放銃点</vt:lpstr>
      <vt:lpstr>平均放銃点</vt:lpstr>
      <vt:lpstr>だいち!放銃数</vt:lpstr>
      <vt:lpstr>てんちゃん!放銃数</vt:lpstr>
      <vt:lpstr>りょうすけ!放銃数</vt:lpstr>
      <vt:lpstr>全体!放銃数</vt:lpstr>
      <vt:lpstr>放銃数</vt:lpstr>
      <vt:lpstr>だいち!放銃率</vt:lpstr>
      <vt:lpstr>てんちゃん!放銃率</vt:lpstr>
      <vt:lpstr>りょうすけ!放銃率</vt:lpstr>
      <vt:lpstr>全体!放銃率</vt:lpstr>
      <vt:lpstr>放銃率</vt:lpstr>
      <vt:lpstr>だいち!連続アガリ</vt:lpstr>
      <vt:lpstr>てんちゃん!連続アガリ</vt:lpstr>
      <vt:lpstr>りょうすけ!連続アガリ</vt:lpstr>
      <vt:lpstr>全体!連続アガリ</vt:lpstr>
      <vt:lpstr>連続アガリ</vt:lpstr>
      <vt:lpstr>だいち!連続無放銃</vt:lpstr>
      <vt:lpstr>てんちゃん!連続無放銃</vt:lpstr>
      <vt:lpstr>りょうすけ!連続無放銃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2020-03-15T08:22:14Z</dcterms:modified>
</cp:coreProperties>
</file>