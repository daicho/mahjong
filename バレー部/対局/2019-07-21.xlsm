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対局\"/>
    </mc:Choice>
  </mc:AlternateContent>
  <xr:revisionPtr revIDLastSave="0" documentId="13_ncr:1_{B802A97E-A77C-4661-936A-D98B350A9191}" xr6:coauthVersionLast="41" xr6:coauthVersionMax="41" xr10:uidLastSave="{00000000-0000-0000-0000-000000000000}"/>
  <bookViews>
    <workbookView xWindow="-120" yWindow="-120" windowWidth="20730" windowHeight="11310" activeTab="2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T11" i="17"/>
  <c r="W11" i="17" s="1"/>
  <c r="O11" i="17"/>
  <c r="V11" i="17" s="1"/>
  <c r="J11" i="17"/>
  <c r="U11" i="17" s="1"/>
  <c r="C11" i="17"/>
  <c r="D10" i="17"/>
  <c r="D11" i="17" s="1"/>
  <c r="C10" i="17"/>
  <c r="D9" i="17"/>
  <c r="C9" i="17"/>
  <c r="D8" i="17"/>
  <c r="C8" i="17"/>
  <c r="D7" i="17"/>
  <c r="C7" i="17"/>
  <c r="D6" i="17"/>
  <c r="C6" i="17"/>
  <c r="T5" i="17"/>
  <c r="T6" i="17" s="1"/>
  <c r="O5" i="17"/>
  <c r="D5" i="17"/>
  <c r="C5" i="17"/>
  <c r="B5" i="17"/>
  <c r="B6" i="17" s="1"/>
  <c r="T4" i="17"/>
  <c r="O4" i="17"/>
  <c r="J4" i="17"/>
  <c r="J5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B11" i="16"/>
  <c r="A11" i="16" s="1"/>
  <c r="T10" i="16"/>
  <c r="O10" i="16"/>
  <c r="J10" i="16"/>
  <c r="U10" i="16" s="1"/>
  <c r="D10" i="16"/>
  <c r="C10" i="16"/>
  <c r="D9" i="16"/>
  <c r="D8" i="16"/>
  <c r="D7" i="16"/>
  <c r="C7" i="16"/>
  <c r="C8" i="16" s="1"/>
  <c r="C9" i="16" s="1"/>
  <c r="D6" i="16"/>
  <c r="C6" i="16"/>
  <c r="O5" i="16"/>
  <c r="J5" i="16"/>
  <c r="D5" i="16"/>
  <c r="C5" i="16"/>
  <c r="B5" i="16"/>
  <c r="B6" i="16" s="1"/>
  <c r="T4" i="16"/>
  <c r="O4" i="16"/>
  <c r="J4" i="16"/>
  <c r="W3" i="16"/>
  <c r="V3" i="16"/>
  <c r="U3" i="16"/>
  <c r="W2" i="16"/>
  <c r="V2" i="16"/>
  <c r="U2" i="16"/>
  <c r="BO1" i="16"/>
  <c r="AT1" i="16"/>
  <c r="Y1" i="16"/>
  <c r="V4" i="17" l="1"/>
  <c r="W4" i="17"/>
  <c r="U4" i="17"/>
  <c r="V5" i="17"/>
  <c r="W6" i="17"/>
  <c r="T7" i="17"/>
  <c r="B7" i="17"/>
  <c r="U5" i="17"/>
  <c r="J6" i="17"/>
  <c r="W5" i="17"/>
  <c r="O6" i="17"/>
  <c r="A5" i="17"/>
  <c r="A6" i="17" s="1"/>
  <c r="V10" i="16"/>
  <c r="W10" i="16"/>
  <c r="W4" i="16"/>
  <c r="B7" i="16"/>
  <c r="V4" i="16"/>
  <c r="T5" i="16"/>
  <c r="J6" i="16"/>
  <c r="U4" i="16"/>
  <c r="O6" i="16"/>
  <c r="A5" i="16"/>
  <c r="A6" i="16" s="1"/>
  <c r="W3" i="1"/>
  <c r="V3" i="1"/>
  <c r="U3" i="1"/>
  <c r="A7" i="17" l="1"/>
  <c r="U6" i="17"/>
  <c r="J7" i="17"/>
  <c r="T8" i="17"/>
  <c r="B8" i="17"/>
  <c r="A8" i="17" s="1"/>
  <c r="V6" i="17"/>
  <c r="O7" i="17"/>
  <c r="B8" i="16"/>
  <c r="W5" i="16"/>
  <c r="T6" i="16"/>
  <c r="A7" i="16"/>
  <c r="U6" i="16"/>
  <c r="J7" i="16"/>
  <c r="U5" i="16"/>
  <c r="O7" i="16"/>
  <c r="V5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7" i="17" l="1"/>
  <c r="T9" i="17"/>
  <c r="B9" i="17"/>
  <c r="U7" i="17"/>
  <c r="J8" i="17"/>
  <c r="O8" i="17"/>
  <c r="V7" i="17"/>
  <c r="A8" i="16"/>
  <c r="J8" i="16"/>
  <c r="W6" i="16"/>
  <c r="T7" i="16"/>
  <c r="V7" i="16" s="1"/>
  <c r="O8" i="16"/>
  <c r="V6" i="16"/>
  <c r="B9" i="16"/>
  <c r="B5" i="1"/>
  <c r="A5" i="1" s="1"/>
  <c r="D6" i="1"/>
  <c r="B6" i="1"/>
  <c r="A6" i="1" s="1"/>
  <c r="D5" i="1"/>
  <c r="W8" i="17" l="1"/>
  <c r="B10" i="17"/>
  <c r="A10" i="17" s="1"/>
  <c r="O9" i="17"/>
  <c r="V8" i="17"/>
  <c r="A9" i="17"/>
  <c r="U8" i="17"/>
  <c r="J9" i="17"/>
  <c r="W9" i="17"/>
  <c r="T10" i="17"/>
  <c r="B10" i="16"/>
  <c r="O9" i="16"/>
  <c r="T8" i="16"/>
  <c r="V8" i="16" s="1"/>
  <c r="W7" i="16"/>
  <c r="U8" i="16"/>
  <c r="J9" i="16"/>
  <c r="A9" i="16"/>
  <c r="U7" i="16"/>
  <c r="Y1" i="1"/>
  <c r="V9" i="17" l="1"/>
  <c r="O10" i="17"/>
  <c r="U9" i="17"/>
  <c r="J10" i="17"/>
  <c r="B11" i="17"/>
  <c r="A11" i="17" s="1"/>
  <c r="A10" i="16"/>
  <c r="W8" i="16"/>
  <c r="T9" i="16"/>
  <c r="W9" i="16" s="1"/>
  <c r="BO1" i="1"/>
  <c r="AT1" i="1"/>
  <c r="V10" i="17" l="1"/>
  <c r="U10" i="17"/>
  <c r="W10" i="17"/>
  <c r="V9" i="16"/>
  <c r="U9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U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V4" i="1" l="1"/>
  <c r="J6" i="1"/>
  <c r="T5" i="1"/>
  <c r="W5" i="1" s="1"/>
  <c r="O6" i="1"/>
  <c r="B10" i="1"/>
  <c r="U5" i="1" l="1"/>
  <c r="V5" i="1"/>
  <c r="O7" i="1"/>
  <c r="J7" i="1"/>
  <c r="J8" i="1"/>
  <c r="B11" i="1"/>
  <c r="A11" i="1" s="1"/>
  <c r="A10" i="1"/>
  <c r="O8" i="1"/>
  <c r="T6" i="1"/>
  <c r="W6" i="1" s="1"/>
  <c r="B12" i="1"/>
  <c r="A12" i="1" s="1"/>
  <c r="U8" i="1" l="1"/>
  <c r="V6" i="1"/>
  <c r="U6" i="1"/>
  <c r="T7" i="1"/>
  <c r="W7" i="1" s="1"/>
  <c r="J9" i="1"/>
  <c r="T8" i="1"/>
  <c r="W8" i="1" s="1"/>
  <c r="O9" i="1"/>
  <c r="B13" i="1"/>
  <c r="A13" i="1" s="1"/>
  <c r="V8" i="1" l="1"/>
  <c r="V7" i="1"/>
  <c r="U7" i="1"/>
  <c r="J10" i="1"/>
  <c r="U10" i="1" s="1"/>
  <c r="J11" i="1"/>
  <c r="U11" i="1" s="1"/>
  <c r="O10" i="1"/>
  <c r="V10" i="1" s="1"/>
  <c r="T9" i="1"/>
  <c r="W9" i="1" s="1"/>
  <c r="B14" i="1"/>
  <c r="A14" i="1" s="1"/>
  <c r="U9" i="1" l="1"/>
  <c r="V9" i="1"/>
  <c r="O11" i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<sst xmlns="http://schemas.openxmlformats.org/spreadsheetml/2006/main" count="739" uniqueCount="156">
  <si>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</si>
  <si>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</si>
  <si>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</si>
  <si>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</si>
  <si>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</si>
  <si>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</si>
  <si>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</si>
  <si>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</si>
  <si>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</si>
  <si>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</si>
  <si>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</si>
  <si>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</si>
  <si>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</si>
  <si>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</si>
  <si>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</si>
  <si>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</si>
  <si>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</si>
  <si>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</si>
  <si>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</si>
  <si>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</si>
  <si>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</si>
  <si>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</si>
  <si>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</si>
  <si>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</si>
  <si>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</si>
  <si>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</si>
  <si>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</si>
  <si>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</si>
  <si>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</si>
  <si>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</si>
  <si>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</si>
  <si>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</si>
  <si>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</si>
  <si>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</si>
  <si>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</si>
  <si>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</si>
  <si>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</si>
  <si>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</si>
  <si>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</si>
  <si>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</si>
  <si>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</si>
  <si>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</si>
  <si>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</si>
  <si>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</si>
  <si>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</si>
  <si>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</si>
  <si>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</si>
  <si>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</si>
  <si>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</si>
  <si>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</si>
  <si>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</si>
  <si>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</si>
  <si>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</si>
  <si>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</si>
  <si>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</si>
  <si>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</si>
  <si>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</si>
  <si>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</si>
  <si>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</si>
  <si>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</si>
  <si>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</si>
  <si>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</si>
  <si>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</si>
  <si>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</si>
  <si>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</si>
  <si>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</si>
  <si>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</si>
  <si>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</si>
  <si>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</si>
  <si>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</si>
  <si>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</si>
  <si>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</si>
  <si>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</si>
  <si>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</si>
  <si>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</si>
  <si>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</si>
  <si>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</si>
  <si>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</si>
  <si>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</si>
  <si>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</si>
  <si>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</si>
  <si>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</si>
  <si>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</si>
  <si>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</si>
  <si>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</si>
  <si>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</si>
  <si>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</si>
  <si>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</si>
  <si>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</si>
  <si>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</si>
  <si>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</si>
  <si>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</si>
  <si>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</si>
  <si>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</si>
  <si>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</si>
  <si>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</si>
  <si>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</si>
  <si>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</si>
  <si>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</si>
  <si>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</si>
  <si>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</si>
  <si>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</si>
  <si>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</si>
  <si>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</si>
  <si>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</si>
  <si>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</si>
  <si>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</si>
  <si>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</si>
  <si>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</si>
  <si>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</si>
  <si>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</si>
  <si>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</si>
  <si>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</si>
  <si>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</si>
  <si>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</si>
  <si>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</si>
  <si>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</si>
  <si>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</si>
  <si>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</si>
  <si>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</si>
  <si>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</si>
  <si>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</si>
  <si>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</si>
  <si>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</si>
  <si>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</si>
  <si>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</si>
  <si>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</si>
  <si>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</si>
  <si>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</si>
  <si>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</si>
  <si>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</si>
  <si>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</si>
  <si>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</si>
  <si>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</si>
  <si>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</si>
  <si>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</si>
  <si>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</si>
  <si>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</si>
  <si>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</si>
  <si>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てんちゃん</t>
  </si>
  <si>
    <t>てんちゃん</t>
    <phoneticPr fontId="1"/>
  </si>
  <si>
    <t>だいち</t>
  </si>
  <si>
    <t>だいち</t>
    <phoneticPr fontId="1"/>
  </si>
  <si>
    <t>りょうすけ</t>
  </si>
  <si>
    <t>りょうすけ</t>
    <phoneticPr fontId="1"/>
  </si>
  <si>
    <t>ロン</t>
  </si>
  <si>
    <t>放銃</t>
  </si>
  <si>
    <t>*</t>
  </si>
  <si>
    <t>01</t>
  </si>
  <si>
    <t>52</t>
  </si>
  <si>
    <t>ツモ</t>
  </si>
  <si>
    <t>ツモ支払</t>
  </si>
  <si>
    <t>T</t>
  </si>
  <si>
    <t>流局</t>
    <phoneticPr fontId="1"/>
  </si>
  <si>
    <t>02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</si>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</sst>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てんちゃん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りょうすけ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てんちゃん</v>
      </c>
      <c r="V2" s="27" t="str">
        <f>$K$1</f>
        <v>だいち</v>
      </c>
      <c r="W2" s="16" t="str">
        <f>$P$1</f>
        <v>りょうすけ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145</v>
      </c>
      <c r="G4" s="9">
        <v>16000</v>
      </c>
      <c r="H4" s="9"/>
      <c r="I4" s="55">
        <v>0</v>
      </c>
      <c r="J4" s="21">
        <f>IF(COUNTA($F4,$K4,$P4)&gt;0,J3+SUM(G4:I4),"")</f>
        <v>51000</v>
      </c>
      <c r="K4" s="8" t="s">
        <v>146</v>
      </c>
      <c r="L4" s="9">
        <v>-16000</v>
      </c>
      <c r="M4" s="9"/>
      <c r="N4" s="55">
        <v>0</v>
      </c>
      <c r="O4" s="21">
        <f>IF(COUNTA($F4,$K4,$P4)&gt;0,O3+SUM(L4:N4),"")</f>
        <v>19000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36</v>
      </c>
      <c r="V4" s="61">
        <f>IF($O4="","",ROUND(($O4-$O$3)/1000,1)+(_xlfn.RANK.AVG($O4,($J4,$O4,$T4),1)-2)*20)</f>
        <v>-36</v>
      </c>
      <c r="W4" s="62">
        <f>IF($T4="","",ROUND(($T4-$T$3)/1000,1)+(_xlfn.RANK.AVG($T4,($J4,$O4,$T4),1)-2)*20)</f>
        <v>0</v>
      </c>
      <c r="Y4" s="8"/>
      <c r="Z4" s="41"/>
      <c r="AA4" s="32">
        <v>1</v>
      </c>
      <c r="AB4" s="32"/>
      <c r="AC4" s="32">
        <v>8</v>
      </c>
      <c r="AD4" s="36" t="s">
        <v>147</v>
      </c>
      <c r="AE4" s="47" t="s">
        <v>148</v>
      </c>
      <c r="AF4" s="48" t="s">
        <v>80</v>
      </c>
      <c r="AG4" s="48" t="s">
        <v>80</v>
      </c>
      <c r="AH4" s="48" t="s">
        <v>81</v>
      </c>
      <c r="AI4" s="48" t="s">
        <v>81</v>
      </c>
      <c r="AJ4" s="48" t="s">
        <v>81</v>
      </c>
      <c r="AK4" s="48" t="s">
        <v>149</v>
      </c>
      <c r="AL4" s="48" t="s">
        <v>82</v>
      </c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150</v>
      </c>
      <c r="G5" s="9">
        <v>12000</v>
      </c>
      <c r="H5" s="9"/>
      <c r="I5" s="55">
        <v>0</v>
      </c>
      <c r="J5" s="21">
        <f t="shared" ref="J5:J30" si="2">IF(COUNTA($F5,$K5,$P5)&gt;0,J4+SUM(G5:I5),"")</f>
        <v>63000</v>
      </c>
      <c r="K5" s="8" t="s">
        <v>151</v>
      </c>
      <c r="L5" s="9">
        <v>-6000</v>
      </c>
      <c r="M5" s="9"/>
      <c r="N5" s="55">
        <v>0</v>
      </c>
      <c r="O5" s="21">
        <f t="shared" ref="O5:O30" si="3">IF(COUNTA($F5,$K5,$P5)&gt;0,O4+SUM(L5:N5),"")</f>
        <v>13000</v>
      </c>
      <c r="P5" s="8" t="s">
        <v>151</v>
      </c>
      <c r="Q5" s="9">
        <v>-6000</v>
      </c>
      <c r="R5" s="9"/>
      <c r="S5" s="55">
        <v>0</v>
      </c>
      <c r="T5" s="21">
        <f t="shared" ref="T5:T30" si="4">IF(COUNTA($F5,$K5,$P5)&gt;0,T4+SUM(Q5:S5),"")</f>
        <v>29000</v>
      </c>
      <c r="U5" s="60">
        <f>IF($J5="","",ROUND(($J5-$J$3)/1000,1)+(_xlfn.RANK.AVG($J5,($J5,$O5,$T5),1)-2)*20)</f>
        <v>48</v>
      </c>
      <c r="V5" s="61">
        <f>IF($O5="","",ROUND(($O5-$O$3)/1000,1)+(_xlfn.RANK.AVG($O5,($J5,$O5,$T5),1)-2)*20)</f>
        <v>-42</v>
      </c>
      <c r="W5" s="62">
        <f>IF($T5="","",ROUND(($T5-$T$3)/1000,1)+(_xlfn.RANK.AVG($T5,($J5,$O5,$T5),1)-2)*20)</f>
        <v>-6</v>
      </c>
      <c r="Y5" s="8"/>
      <c r="Z5" s="41"/>
      <c r="AA5" s="32">
        <v>1</v>
      </c>
      <c r="AB5" s="32"/>
      <c r="AC5" s="32">
        <v>5</v>
      </c>
      <c r="AD5" s="36" t="s">
        <v>147</v>
      </c>
      <c r="AE5" s="47" t="s">
        <v>148</v>
      </c>
      <c r="AF5" s="48" t="s">
        <v>83</v>
      </c>
      <c r="AG5" s="48" t="s">
        <v>84</v>
      </c>
      <c r="AH5" s="48" t="s">
        <v>86</v>
      </c>
      <c r="AI5" s="48" t="s">
        <v>86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139</v>
      </c>
      <c r="F6" s="8"/>
      <c r="G6" s="9"/>
      <c r="H6" s="9">
        <v>-1000</v>
      </c>
      <c r="I6" s="55"/>
      <c r="J6" s="21">
        <f t="shared" si="2"/>
        <v>62000</v>
      </c>
      <c r="K6" s="8" t="s">
        <v>145</v>
      </c>
      <c r="L6" s="9">
        <v>8000</v>
      </c>
      <c r="M6" s="9">
        <v>1000</v>
      </c>
      <c r="N6" s="55">
        <v>1000</v>
      </c>
      <c r="O6" s="21">
        <f t="shared" si="3"/>
        <v>23000</v>
      </c>
      <c r="P6" s="8" t="s">
        <v>146</v>
      </c>
      <c r="Q6" s="9">
        <v>-8000</v>
      </c>
      <c r="R6" s="9"/>
      <c r="S6" s="55">
        <v>-1000</v>
      </c>
      <c r="T6" s="21">
        <f t="shared" si="4"/>
        <v>20000</v>
      </c>
      <c r="U6" s="60">
        <f>IF($J6="","",ROUND(($J6-$J$3)/1000,1)+(_xlfn.RANK.AVG($J6,($J6,$O6,$T6),1)-2)*20)</f>
        <v>47</v>
      </c>
      <c r="V6" s="61">
        <f>IF($O6="","",ROUND(($O6-$O$3)/1000,1)+(_xlfn.RANK.AVG($O6,($J6,$O6,$T6),1)-2)*20)</f>
        <v>-12</v>
      </c>
      <c r="W6" s="62">
        <f>IF($T6="","",ROUND(($T6-$T$3)/1000,1)+(_xlfn.RANK.AVG($T6,($J6,$O6,$T6),1)-2)*20)</f>
        <v>-35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40</v>
      </c>
      <c r="AZ6" s="47" t="s">
        <v>148</v>
      </c>
      <c r="BA6" s="48" t="s">
        <v>149</v>
      </c>
      <c r="BB6" s="48" t="s">
        <v>81</v>
      </c>
      <c r="BC6" s="48" t="s">
        <v>82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141</v>
      </c>
      <c r="F7" s="8" t="s">
        <v>151</v>
      </c>
      <c r="G7" s="9">
        <v>-12000</v>
      </c>
      <c r="H7" s="9"/>
      <c r="I7" s="55">
        <v>0</v>
      </c>
      <c r="J7" s="21">
        <f t="shared" si="2"/>
        <v>50000</v>
      </c>
      <c r="K7" s="8" t="s">
        <v>150</v>
      </c>
      <c r="L7" s="9">
        <v>24000</v>
      </c>
      <c r="M7" s="9"/>
      <c r="N7" s="55">
        <v>0</v>
      </c>
      <c r="O7" s="21">
        <f t="shared" si="3"/>
        <v>47000</v>
      </c>
      <c r="P7" s="8" t="s">
        <v>151</v>
      </c>
      <c r="Q7" s="9">
        <v>-12000</v>
      </c>
      <c r="R7" s="9"/>
      <c r="S7" s="55">
        <v>0</v>
      </c>
      <c r="T7" s="21">
        <f t="shared" si="4"/>
        <v>8000</v>
      </c>
      <c r="U7" s="60">
        <f>IF($J7="","",ROUND(($J7-$J$3)/1000,1)+(_xlfn.RANK.AVG($J7,($J7,$O7,$T7),1)-2)*20)</f>
        <v>35</v>
      </c>
      <c r="V7" s="61">
        <f>IF($O7="","",ROUND(($O7-$O$3)/1000,1)+(_xlfn.RANK.AVG($O7,($J7,$O7,$T7),1)-2)*20)</f>
        <v>12</v>
      </c>
      <c r="W7" s="62">
        <f>IF($T7="","",ROUND(($T7-$T$3)/1000,1)+(_xlfn.RANK.AVG($T7,($J7,$O7,$T7),1)-2)*20)</f>
        <v>-47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8</v>
      </c>
      <c r="AY7" s="36" t="s">
        <v>147</v>
      </c>
      <c r="AZ7" s="47" t="s">
        <v>105</v>
      </c>
      <c r="BA7" s="48" t="s">
        <v>99</v>
      </c>
      <c r="BB7" s="48" t="s">
        <v>87</v>
      </c>
      <c r="BC7" s="48" t="s">
        <v>87</v>
      </c>
      <c r="BD7" s="48" t="s">
        <v>100</v>
      </c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141</v>
      </c>
      <c r="F8" s="8" t="s">
        <v>146</v>
      </c>
      <c r="G8" s="9">
        <v>-12000</v>
      </c>
      <c r="H8" s="9">
        <v>-1000</v>
      </c>
      <c r="I8" s="55">
        <v>-1000</v>
      </c>
      <c r="J8" s="21">
        <f t="shared" si="2"/>
        <v>36000</v>
      </c>
      <c r="K8" s="8" t="s">
        <v>145</v>
      </c>
      <c r="L8" s="9">
        <v>12000</v>
      </c>
      <c r="M8" s="9">
        <v>1000</v>
      </c>
      <c r="N8" s="55">
        <v>1000</v>
      </c>
      <c r="O8" s="21">
        <f t="shared" si="3"/>
        <v>61000</v>
      </c>
      <c r="P8" s="8"/>
      <c r="Q8" s="9"/>
      <c r="R8" s="9"/>
      <c r="S8" s="55"/>
      <c r="T8" s="21">
        <f t="shared" si="4"/>
        <v>8000</v>
      </c>
      <c r="U8" s="60">
        <f>IF($J8="","",ROUND(($J8-$J$3)/1000,1)+(_xlfn.RANK.AVG($J8,($J8,$O8,$T8),1)-2)*20)</f>
        <v>1</v>
      </c>
      <c r="V8" s="61">
        <f>IF($O8="","",ROUND(($O8-$O$3)/1000,1)+(_xlfn.RANK.AVG($O8,($J8,$O8,$T8),1)-2)*20)</f>
        <v>46</v>
      </c>
      <c r="W8" s="62">
        <f>IF($T8="","",ROUND(($T8-$T$3)/1000,1)+(_xlfn.RANK.AVG($T8,($J8,$O8,$T8),1)-2)*20)</f>
        <v>-47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4</v>
      </c>
      <c r="AY8" s="36">
        <v>40</v>
      </c>
      <c r="AZ8" s="47" t="s">
        <v>148</v>
      </c>
      <c r="BA8" s="48" t="s">
        <v>149</v>
      </c>
      <c r="BB8" s="48" t="s">
        <v>81</v>
      </c>
      <c r="BC8" s="48" t="s">
        <v>81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141</v>
      </c>
      <c r="F9" s="8" t="s">
        <v>145</v>
      </c>
      <c r="G9" s="9">
        <v>12000</v>
      </c>
      <c r="H9" s="9"/>
      <c r="I9" s="55">
        <v>2000</v>
      </c>
      <c r="J9" s="21">
        <f t="shared" si="2"/>
        <v>50000</v>
      </c>
      <c r="K9" s="8"/>
      <c r="L9" s="9"/>
      <c r="M9" s="9"/>
      <c r="N9" s="55"/>
      <c r="O9" s="21">
        <f t="shared" si="3"/>
        <v>61000</v>
      </c>
      <c r="P9" s="8" t="s">
        <v>146</v>
      </c>
      <c r="Q9" s="9">
        <v>-12000</v>
      </c>
      <c r="R9" s="9"/>
      <c r="S9" s="55">
        <v>-2000</v>
      </c>
      <c r="T9" s="21">
        <f t="shared" si="4"/>
        <v>-6000</v>
      </c>
      <c r="U9" s="60">
        <f>IF($J9="","",ROUND(($J9-$J$3)/1000,1)+(_xlfn.RANK.AVG($J9,($J9,$O9,$T9),1)-2)*20)</f>
        <v>15</v>
      </c>
      <c r="V9" s="61">
        <f>IF($O9="","",ROUND(($O9-$O$3)/1000,1)+(_xlfn.RANK.AVG($O9,($J9,$O9,$T9),1)-2)*20)</f>
        <v>46</v>
      </c>
      <c r="W9" s="62">
        <f>IF($T9="","",ROUND(($T9-$T$3)/1000,1)+(_xlfn.RANK.AVG($T9,($J9,$O9,$T9),1)-2)*20)</f>
        <v>-61</v>
      </c>
      <c r="Y9" s="8"/>
      <c r="Z9" s="41"/>
      <c r="AA9" s="32"/>
      <c r="AB9" s="32">
        <v>1</v>
      </c>
      <c r="AC9" s="32">
        <v>7</v>
      </c>
      <c r="AD9" s="36" t="s">
        <v>147</v>
      </c>
      <c r="AE9" s="47" t="s">
        <v>87</v>
      </c>
      <c r="AF9" s="48" t="s">
        <v>105</v>
      </c>
      <c r="AG9" s="48" t="s">
        <v>80</v>
      </c>
      <c r="AH9" s="48" t="s">
        <v>80</v>
      </c>
      <c r="AI9" s="48" t="s">
        <v>80</v>
      </c>
      <c r="AJ9" s="48" t="s">
        <v>82</v>
      </c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143</v>
      </c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C8D32-7657-4F45-A9A6-E6355C0F7E39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てんちゃん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りょうすけ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てんちゃん</v>
      </c>
      <c r="V2" s="71" t="str">
        <f>$K$1</f>
        <v>だいち</v>
      </c>
      <c r="W2" s="16" t="str">
        <f>$P$1</f>
        <v>りょうすけ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153</v>
      </c>
      <c r="G4" s="9">
        <v>0</v>
      </c>
      <c r="H4" s="9"/>
      <c r="I4" s="55"/>
      <c r="J4" s="21">
        <f>IF(COUNTA($F4,$K4,$P4)&gt;0,J3+SUM(G4:I4),"")</f>
        <v>35000</v>
      </c>
      <c r="K4" s="8" t="s">
        <v>153</v>
      </c>
      <c r="L4" s="9">
        <v>0</v>
      </c>
      <c r="M4" s="9">
        <v>-1000</v>
      </c>
      <c r="N4" s="55"/>
      <c r="O4" s="21">
        <f>IF(COUNTA($F4,$K4,$P4)&gt;0,O3+SUM(L4:N4),"")</f>
        <v>34000</v>
      </c>
      <c r="P4" s="8" t="s">
        <v>153</v>
      </c>
      <c r="Q4" s="9">
        <v>0</v>
      </c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10</v>
      </c>
      <c r="V4" s="61">
        <f>IF($O4="","",ROUND(($O4-$O$3)/1000,1)+(_xlfn.RANK.AVG($O4,($J4,$O4,$T4),1)-2)*20)</f>
        <v>-21</v>
      </c>
      <c r="W4" s="62">
        <f>IF($T4="","",ROUND(($T4-$T$3)/1000,1)+(_xlfn.RANK.AVG($T4,($J4,$O4,$T4),1)-2)*20)</f>
        <v>10</v>
      </c>
      <c r="Y4" s="8" t="s">
        <v>152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152</v>
      </c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152</v>
      </c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143</v>
      </c>
      <c r="F5" s="8"/>
      <c r="G5" s="9"/>
      <c r="H5" s="9"/>
      <c r="I5" s="55"/>
      <c r="J5" s="21">
        <f t="shared" ref="J5:J30" si="2">IF(COUNTA($F5,$K5,$P5)&gt;0,J4+SUM(G5:I5),"")</f>
        <v>35000</v>
      </c>
      <c r="K5" s="8" t="s">
        <v>145</v>
      </c>
      <c r="L5" s="9">
        <v>12000</v>
      </c>
      <c r="M5" s="9">
        <v>1000</v>
      </c>
      <c r="N5" s="55">
        <v>1000</v>
      </c>
      <c r="O5" s="21">
        <f t="shared" ref="O5:O30" si="3">IF(COUNTA($F5,$K5,$P5)&gt;0,O4+SUM(L5:N5),"")</f>
        <v>48000</v>
      </c>
      <c r="P5" s="8" t="s">
        <v>146</v>
      </c>
      <c r="Q5" s="9">
        <v>-12000</v>
      </c>
      <c r="R5" s="9"/>
      <c r="S5" s="55">
        <v>-1000</v>
      </c>
      <c r="T5" s="21">
        <f t="shared" ref="T5:T30" si="4">IF(COUNTA($F5,$K5,$P5)&gt;0,T4+SUM(Q5:S5),"")</f>
        <v>22000</v>
      </c>
      <c r="U5" s="60">
        <f>IF($J5="","",ROUND(($J5-$J$3)/1000,1)+(_xlfn.RANK.AVG($J5,($J5,$O5,$T5),1)-2)*20)</f>
        <v>0</v>
      </c>
      <c r="V5" s="61">
        <f>IF($O5="","",ROUND(($O5-$O$3)/1000,1)+(_xlfn.RANK.AVG($O5,($J5,$O5,$T5),1)-2)*20)</f>
        <v>33</v>
      </c>
      <c r="W5" s="62">
        <f>IF($T5="","",ROUND(($T5-$T$3)/1000,1)+(_xlfn.RANK.AVG($T5,($J5,$O5,$T5),1)-2)*20)</f>
        <v>-33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6</v>
      </c>
      <c r="AY5" s="36" t="s">
        <v>147</v>
      </c>
      <c r="AZ5" s="47" t="s">
        <v>148</v>
      </c>
      <c r="BA5" s="48" t="s">
        <v>154</v>
      </c>
      <c r="BB5" s="48" t="s">
        <v>99</v>
      </c>
      <c r="BC5" s="48" t="s">
        <v>97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146</v>
      </c>
      <c r="G6" s="9">
        <v>-8000</v>
      </c>
      <c r="H6" s="9"/>
      <c r="I6" s="55">
        <v>0</v>
      </c>
      <c r="J6" s="21">
        <f t="shared" si="2"/>
        <v>27000</v>
      </c>
      <c r="K6" s="8"/>
      <c r="L6" s="9"/>
      <c r="M6" s="9"/>
      <c r="N6" s="55"/>
      <c r="O6" s="21">
        <f t="shared" si="3"/>
        <v>48000</v>
      </c>
      <c r="P6" s="8" t="s">
        <v>145</v>
      </c>
      <c r="Q6" s="9">
        <v>8000</v>
      </c>
      <c r="R6" s="9"/>
      <c r="S6" s="55">
        <v>0</v>
      </c>
      <c r="T6" s="21">
        <f t="shared" si="4"/>
        <v>30000</v>
      </c>
      <c r="U6" s="60">
        <f>IF($J6="","",ROUND(($J6-$J$3)/1000,1)+(_xlfn.RANK.AVG($J6,($J6,$O6,$T6),1)-2)*20)</f>
        <v>-28</v>
      </c>
      <c r="V6" s="61">
        <f>IF($O6="","",ROUND(($O6-$O$3)/1000,1)+(_xlfn.RANK.AVG($O6,($J6,$O6,$T6),1)-2)*20)</f>
        <v>33</v>
      </c>
      <c r="W6" s="62">
        <f>IF($T6="","",ROUND(($T6-$T$3)/1000,1)+(_xlfn.RANK.AVG($T6,($J6,$O6,$T6),1)-2)*20)</f>
        <v>-5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5</v>
      </c>
      <c r="BT6" s="36" t="s">
        <v>147</v>
      </c>
      <c r="BU6" s="47" t="s">
        <v>148</v>
      </c>
      <c r="BV6" s="48" t="s">
        <v>84</v>
      </c>
      <c r="BW6" s="48" t="s">
        <v>82</v>
      </c>
      <c r="BX6" s="48" t="s">
        <v>82</v>
      </c>
      <c r="BY6" s="48" t="s">
        <v>82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141</v>
      </c>
      <c r="F7" s="8"/>
      <c r="G7" s="9"/>
      <c r="H7" s="9">
        <v>-1000</v>
      </c>
      <c r="I7" s="55"/>
      <c r="J7" s="21">
        <f t="shared" si="2"/>
        <v>26000</v>
      </c>
      <c r="K7" s="8" t="s">
        <v>146</v>
      </c>
      <c r="L7" s="9">
        <v>-6400</v>
      </c>
      <c r="M7" s="9"/>
      <c r="N7" s="55">
        <v>0</v>
      </c>
      <c r="O7" s="21">
        <f t="shared" si="3"/>
        <v>41600</v>
      </c>
      <c r="P7" s="8" t="s">
        <v>145</v>
      </c>
      <c r="Q7" s="9">
        <v>6400</v>
      </c>
      <c r="R7" s="9">
        <v>1000</v>
      </c>
      <c r="S7" s="55">
        <v>0</v>
      </c>
      <c r="T7" s="21">
        <f t="shared" si="4"/>
        <v>37400</v>
      </c>
      <c r="U7" s="60">
        <f>IF($J7="","",ROUND(($J7-$J$3)/1000,1)+(_xlfn.RANK.AVG($J7,($J7,$O7,$T7),1)-2)*20)</f>
        <v>-29</v>
      </c>
      <c r="V7" s="61">
        <f>IF($O7="","",ROUND(($O7-$O$3)/1000,1)+(_xlfn.RANK.AVG($O7,($J7,$O7,$T7),1)-2)*20)</f>
        <v>26.6</v>
      </c>
      <c r="W7" s="62">
        <f>IF($T7="","",ROUND(($T7-$T$3)/1000,1)+(_xlfn.RANK.AVG($T7,($J7,$O7,$T7),1)-2)*20)</f>
        <v>2.4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4</v>
      </c>
      <c r="BT7" s="36">
        <v>25</v>
      </c>
      <c r="BU7" s="47" t="s">
        <v>102</v>
      </c>
      <c r="BV7" s="48" t="s">
        <v>80</v>
      </c>
      <c r="BW7" s="48" t="s">
        <v>82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145</v>
      </c>
      <c r="G8" s="9">
        <v>8000</v>
      </c>
      <c r="H8" s="9">
        <v>1000</v>
      </c>
      <c r="I8" s="55">
        <v>0</v>
      </c>
      <c r="J8" s="21">
        <f t="shared" si="2"/>
        <v>35000</v>
      </c>
      <c r="K8" s="8" t="s">
        <v>146</v>
      </c>
      <c r="L8" s="9">
        <v>-8000</v>
      </c>
      <c r="M8" s="9"/>
      <c r="N8" s="55">
        <v>0</v>
      </c>
      <c r="O8" s="21">
        <f t="shared" si="3"/>
        <v>33600</v>
      </c>
      <c r="P8" s="8"/>
      <c r="Q8" s="9"/>
      <c r="R8" s="9">
        <v>-1000</v>
      </c>
      <c r="S8" s="55"/>
      <c r="T8" s="21">
        <f t="shared" si="4"/>
        <v>36400</v>
      </c>
      <c r="U8" s="60">
        <f>IF($J8="","",ROUND(($J8-$J$3)/1000,1)+(_xlfn.RANK.AVG($J8,($J8,$O8,$T8),1)-2)*20)</f>
        <v>0</v>
      </c>
      <c r="V8" s="61">
        <f>IF($O8="","",ROUND(($O8-$O$3)/1000,1)+(_xlfn.RANK.AVG($O8,($J8,$O8,$T8),1)-2)*20)</f>
        <v>-21.4</v>
      </c>
      <c r="W8" s="62">
        <f>IF($T8="","",ROUND(($T8-$T$3)/1000,1)+(_xlfn.RANK.AVG($T8,($J8,$O8,$T8),1)-2)*20)</f>
        <v>21.4</v>
      </c>
      <c r="Y8" s="8"/>
      <c r="Z8" s="41"/>
      <c r="AA8" s="32"/>
      <c r="AB8" s="32">
        <v>1</v>
      </c>
      <c r="AC8" s="32">
        <v>5</v>
      </c>
      <c r="AD8" s="36" t="s">
        <v>147</v>
      </c>
      <c r="AE8" s="47" t="s">
        <v>105</v>
      </c>
      <c r="AF8" s="48" t="s">
        <v>87</v>
      </c>
      <c r="AG8" s="48" t="s">
        <v>149</v>
      </c>
      <c r="AH8" s="48" t="s">
        <v>82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139</v>
      </c>
      <c r="F9" s="8" t="s">
        <v>146</v>
      </c>
      <c r="G9" s="9">
        <v>-8000</v>
      </c>
      <c r="H9" s="9"/>
      <c r="I9" s="55">
        <v>0</v>
      </c>
      <c r="J9" s="21">
        <f t="shared" si="2"/>
        <v>27000</v>
      </c>
      <c r="K9" s="8" t="s">
        <v>145</v>
      </c>
      <c r="L9" s="9">
        <v>8000</v>
      </c>
      <c r="M9" s="9"/>
      <c r="N9" s="55">
        <v>0</v>
      </c>
      <c r="O9" s="21">
        <f t="shared" si="3"/>
        <v>41600</v>
      </c>
      <c r="P9" s="8"/>
      <c r="Q9" s="9"/>
      <c r="R9" s="9"/>
      <c r="S9" s="55"/>
      <c r="T9" s="21">
        <f t="shared" si="4"/>
        <v>36400</v>
      </c>
      <c r="U9" s="60">
        <f>IF($J9="","",ROUND(($J9-$J$3)/1000,1)+(_xlfn.RANK.AVG($J9,($J9,$O9,$T9),1)-2)*20)</f>
        <v>-28</v>
      </c>
      <c r="V9" s="61">
        <f>IF($O9="","",ROUND(($O9-$O$3)/1000,1)+(_xlfn.RANK.AVG($O9,($J9,$O9,$T9),1)-2)*20)</f>
        <v>26.6</v>
      </c>
      <c r="W9" s="62">
        <f>IF($T9="","",ROUND(($T9-$T$3)/1000,1)+(_xlfn.RANK.AVG($T9,($J9,$O9,$T9),1)-2)*20)</f>
        <v>1.4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4</v>
      </c>
      <c r="AY9" s="36">
        <v>40</v>
      </c>
      <c r="AZ9" s="47" t="s">
        <v>148</v>
      </c>
      <c r="BA9" s="48" t="s">
        <v>86</v>
      </c>
      <c r="BB9" s="48" t="s">
        <v>80</v>
      </c>
      <c r="BC9" s="48" t="s">
        <v>82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141</v>
      </c>
      <c r="F10" s="8" t="s">
        <v>153</v>
      </c>
      <c r="G10" s="9">
        <v>0</v>
      </c>
      <c r="H10" s="9">
        <v>-1000</v>
      </c>
      <c r="I10" s="55"/>
      <c r="J10" s="21">
        <f t="shared" si="2"/>
        <v>26000</v>
      </c>
      <c r="K10" s="8" t="s">
        <v>153</v>
      </c>
      <c r="L10" s="9">
        <v>0</v>
      </c>
      <c r="M10" s="9">
        <v>1000</v>
      </c>
      <c r="N10" s="55"/>
      <c r="O10" s="21">
        <f t="shared" si="3"/>
        <v>42600</v>
      </c>
      <c r="P10" s="8" t="s">
        <v>153</v>
      </c>
      <c r="Q10" s="9">
        <v>0</v>
      </c>
      <c r="R10" s="9"/>
      <c r="S10" s="55"/>
      <c r="T10" s="21">
        <f t="shared" si="4"/>
        <v>36400</v>
      </c>
      <c r="U10" s="60">
        <f>IF($J10="","",ROUND(($J10-$J$3)/1000,1)+(_xlfn.RANK.AVG($J10,($J10,$O10,$T10),1)-2)*20)</f>
        <v>-29</v>
      </c>
      <c r="V10" s="61">
        <f>IF($O10="","",ROUND(($O10-$O$3)/1000,1)+(_xlfn.RANK.AVG($O10,($J10,$O10,$T10),1)-2)*20)</f>
        <v>27.6</v>
      </c>
      <c r="W10" s="62">
        <f>IF($T10="","",ROUND(($T10-$T$3)/1000,1)+(_xlfn.RANK.AVG($T10,($J10,$O10,$T10),1)-2)*20)</f>
        <v>1.4</v>
      </c>
      <c r="Y10" s="8" t="s">
        <v>152</v>
      </c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152</v>
      </c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152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141</v>
      </c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DC4CDA44-D534-4156-B6A9-DC3D2437F70F}">
      <formula1>$U$2:$W$2</formula1>
    </dataValidation>
    <dataValidation type="list" showInputMessage="1" showErrorMessage="1" sqref="K4:K30 P4:P30 F4:F30" xr:uid="{CEAF44D5-EE67-482C-A724-9B57F5971B6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513B5-043A-425D-80B1-B24006965EE7}">
  <sheetPr codeName="Sheet1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てんちゃん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りょうすけ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てんちゃん</v>
      </c>
      <c r="V2" s="71" t="str">
        <f>$K$1</f>
        <v>だいち</v>
      </c>
      <c r="W2" s="16" t="str">
        <f>$P$1</f>
        <v>りょうすけ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151</v>
      </c>
      <c r="G4" s="9">
        <v>-7500</v>
      </c>
      <c r="H4" s="9"/>
      <c r="I4" s="55">
        <v>0</v>
      </c>
      <c r="J4" s="21">
        <f>IF(COUNTA($F4,$K4,$P4)&gt;0,J3+SUM(G4:I4),"")</f>
        <v>27500</v>
      </c>
      <c r="K4" s="8" t="s">
        <v>151</v>
      </c>
      <c r="L4" s="9">
        <v>-4500</v>
      </c>
      <c r="M4" s="9"/>
      <c r="N4" s="55">
        <v>0</v>
      </c>
      <c r="O4" s="21">
        <f>IF(COUNTA($F4,$K4,$P4)&gt;0,O3+SUM(L4:N4),"")</f>
        <v>30500</v>
      </c>
      <c r="P4" s="8" t="s">
        <v>150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0">
        <f>IF($J4="","",ROUND(($J4-$J$3)/1000,1)+(_xlfn.RANK.AVG($J4,($J4,$O4,$T4),1)-2)*20)</f>
        <v>-27.5</v>
      </c>
      <c r="V4" s="61">
        <f>IF($O4="","",ROUND(($O4-$O$3)/1000,1)+(_xlfn.RANK.AVG($O4,($J4,$O4,$T4),1)-2)*20)</f>
        <v>-4.5</v>
      </c>
      <c r="W4" s="62">
        <f>IF($T4="","",ROUND(($T4-$T$3)/1000,1)+(_xlfn.RANK.AVG($T4,($J4,$O4,$T4),1)-2)*20)</f>
        <v>32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6</v>
      </c>
      <c r="BT4" s="36" t="s">
        <v>147</v>
      </c>
      <c r="BU4" s="47" t="s">
        <v>148</v>
      </c>
      <c r="BV4" s="48" t="s">
        <v>83</v>
      </c>
      <c r="BW4" s="48" t="s">
        <v>86</v>
      </c>
      <c r="BX4" s="48" t="s">
        <v>149</v>
      </c>
      <c r="BY4" s="48" t="s">
        <v>82</v>
      </c>
      <c r="BZ4" s="48" t="s">
        <v>82</v>
      </c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146</v>
      </c>
      <c r="G5" s="9">
        <v>-12000</v>
      </c>
      <c r="H5" s="9"/>
      <c r="I5" s="55">
        <v>0</v>
      </c>
      <c r="J5" s="21">
        <f t="shared" ref="J5:J30" si="2">IF(COUNTA($F5,$K5,$P5)&gt;0,J4+SUM(G5:I5),"")</f>
        <v>15500</v>
      </c>
      <c r="K5" s="8" t="s">
        <v>145</v>
      </c>
      <c r="L5" s="9">
        <v>12000</v>
      </c>
      <c r="M5" s="9"/>
      <c r="N5" s="55">
        <v>0</v>
      </c>
      <c r="O5" s="21">
        <f t="shared" ref="O5:O30" si="3">IF(COUNTA($F5,$K5,$P5)&gt;0,O4+SUM(L5:N5),"")</f>
        <v>42500</v>
      </c>
      <c r="P5" s="8"/>
      <c r="Q5" s="9"/>
      <c r="R5" s="9"/>
      <c r="S5" s="55"/>
      <c r="T5" s="21">
        <f t="shared" ref="T5:T30" si="4">IF(COUNTA($F5,$K5,$P5)&gt;0,T4+SUM(Q5:S5),"")</f>
        <v>47000</v>
      </c>
      <c r="U5" s="60">
        <f>IF($J5="","",ROUND(($J5-$J$3)/1000,1)+(_xlfn.RANK.AVG($J5,($J5,$O5,$T5),1)-2)*20)</f>
        <v>-39.5</v>
      </c>
      <c r="V5" s="61">
        <f>IF($O5="","",ROUND(($O5-$O$3)/1000,1)+(_xlfn.RANK.AVG($O5,($J5,$O5,$T5),1)-2)*20)</f>
        <v>7.5</v>
      </c>
      <c r="W5" s="62">
        <f>IF($T5="","",ROUND(($T5-$T$3)/1000,1)+(_xlfn.RANK.AVG($T5,($J5,$O5,$T5),1)-2)*20)</f>
        <v>32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40</v>
      </c>
      <c r="AZ5" s="47" t="s">
        <v>148</v>
      </c>
      <c r="BA5" s="48" t="s">
        <v>81</v>
      </c>
      <c r="BB5" s="48" t="s">
        <v>149</v>
      </c>
      <c r="BC5" s="48" t="s">
        <v>82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 t="s">
        <v>153</v>
      </c>
      <c r="G6" s="9">
        <v>-1500</v>
      </c>
      <c r="H6" s="9"/>
      <c r="I6" s="55"/>
      <c r="J6" s="21">
        <f t="shared" si="2"/>
        <v>14000</v>
      </c>
      <c r="K6" s="8" t="s">
        <v>153</v>
      </c>
      <c r="L6" s="9">
        <v>-1500</v>
      </c>
      <c r="M6" s="9"/>
      <c r="N6" s="55"/>
      <c r="O6" s="21">
        <f t="shared" si="3"/>
        <v>41000</v>
      </c>
      <c r="P6" s="8" t="s">
        <v>153</v>
      </c>
      <c r="Q6" s="9">
        <v>3000</v>
      </c>
      <c r="R6" s="9">
        <v>-1000</v>
      </c>
      <c r="S6" s="55"/>
      <c r="T6" s="21">
        <f t="shared" si="4"/>
        <v>49000</v>
      </c>
      <c r="U6" s="60">
        <f>IF($J6="","",ROUND(($J6-$J$3)/1000,1)+(_xlfn.RANK.AVG($J6,($J6,$O6,$T6),1)-2)*20)</f>
        <v>-41</v>
      </c>
      <c r="V6" s="61">
        <f>IF($O6="","",ROUND(($O6-$O$3)/1000,1)+(_xlfn.RANK.AVG($O6,($J6,$O6,$T6),1)-2)*20)</f>
        <v>6</v>
      </c>
      <c r="W6" s="62">
        <f>IF($T6="","",ROUND(($T6-$T$3)/1000,1)+(_xlfn.RANK.AVG($T6,($J6,$O6,$T6),1)-2)*20)</f>
        <v>34</v>
      </c>
      <c r="Y6" s="8" t="s">
        <v>155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155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152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1</v>
      </c>
      <c r="E7" s="4" t="s">
        <v>143</v>
      </c>
      <c r="F7" s="8" t="s">
        <v>150</v>
      </c>
      <c r="G7" s="9">
        <v>8000</v>
      </c>
      <c r="H7" s="9">
        <v>1000</v>
      </c>
      <c r="I7" s="55">
        <v>2000</v>
      </c>
      <c r="J7" s="21">
        <f t="shared" si="2"/>
        <v>25000</v>
      </c>
      <c r="K7" s="8" t="s">
        <v>151</v>
      </c>
      <c r="L7" s="9">
        <v>-3000</v>
      </c>
      <c r="M7" s="9"/>
      <c r="N7" s="55">
        <v>-1000</v>
      </c>
      <c r="O7" s="21">
        <f t="shared" si="3"/>
        <v>37000</v>
      </c>
      <c r="P7" s="8" t="s">
        <v>151</v>
      </c>
      <c r="Q7" s="9">
        <v>-5000</v>
      </c>
      <c r="R7" s="9"/>
      <c r="S7" s="55">
        <v>-1000</v>
      </c>
      <c r="T7" s="21">
        <f t="shared" si="4"/>
        <v>43000</v>
      </c>
      <c r="U7" s="60">
        <f>IF($J7="","",ROUND(($J7-$J$3)/1000,1)+(_xlfn.RANK.AVG($J7,($J7,$O7,$T7),1)-2)*20)</f>
        <v>-30</v>
      </c>
      <c r="V7" s="61">
        <f>IF($O7="","",ROUND(($O7-$O$3)/1000,1)+(_xlfn.RANK.AVG($O7,($J7,$O7,$T7),1)-2)*20)</f>
        <v>2</v>
      </c>
      <c r="W7" s="62">
        <f>IF($T7="","",ROUND(($T7-$T$3)/1000,1)+(_xlfn.RANK.AVG($T7,($J7,$O7,$T7),1)-2)*20)</f>
        <v>28</v>
      </c>
      <c r="Y7" s="8"/>
      <c r="Z7" s="41"/>
      <c r="AA7" s="32">
        <v>1</v>
      </c>
      <c r="AB7" s="32"/>
      <c r="AC7" s="32">
        <v>5</v>
      </c>
      <c r="AD7" s="36" t="s">
        <v>147</v>
      </c>
      <c r="AE7" s="47" t="s">
        <v>148</v>
      </c>
      <c r="AF7" s="48" t="s">
        <v>83</v>
      </c>
      <c r="AG7" s="48" t="s">
        <v>154</v>
      </c>
      <c r="AH7" s="48" t="s">
        <v>87</v>
      </c>
      <c r="AI7" s="48" t="s">
        <v>82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151</v>
      </c>
      <c r="G8" s="9">
        <v>-5000</v>
      </c>
      <c r="H8" s="9"/>
      <c r="I8" s="55">
        <v>0</v>
      </c>
      <c r="J8" s="21">
        <f t="shared" si="2"/>
        <v>20000</v>
      </c>
      <c r="K8" s="8" t="s">
        <v>151</v>
      </c>
      <c r="L8" s="9">
        <v>-3000</v>
      </c>
      <c r="M8" s="9"/>
      <c r="N8" s="55">
        <v>0</v>
      </c>
      <c r="O8" s="21">
        <f t="shared" si="3"/>
        <v>34000</v>
      </c>
      <c r="P8" s="8" t="s">
        <v>150</v>
      </c>
      <c r="Q8" s="9">
        <v>8000</v>
      </c>
      <c r="R8" s="9"/>
      <c r="S8" s="55">
        <v>0</v>
      </c>
      <c r="T8" s="21">
        <f t="shared" si="4"/>
        <v>51000</v>
      </c>
      <c r="U8" s="60">
        <f>IF($J8="","",ROUND(($J8-$J$3)/1000,1)+(_xlfn.RANK.AVG($J8,($J8,$O8,$T8),1)-2)*20)</f>
        <v>-35</v>
      </c>
      <c r="V8" s="61">
        <f>IF($O8="","",ROUND(($O8-$O$3)/1000,1)+(_xlfn.RANK.AVG($O8,($J8,$O8,$T8),1)-2)*20)</f>
        <v>-1</v>
      </c>
      <c r="W8" s="62">
        <f>IF($T8="","",ROUND(($T8-$T$3)/1000,1)+(_xlfn.RANK.AVG($T8,($J8,$O8,$T8),1)-2)*20)</f>
        <v>36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40</v>
      </c>
      <c r="BU8" s="47" t="s">
        <v>148</v>
      </c>
      <c r="BV8" s="48" t="s">
        <v>83</v>
      </c>
      <c r="BW8" s="48" t="s">
        <v>149</v>
      </c>
      <c r="BX8" s="48" t="s">
        <v>82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151</v>
      </c>
      <c r="G9" s="9">
        <v>-3000</v>
      </c>
      <c r="H9" s="9"/>
      <c r="I9" s="55">
        <v>0</v>
      </c>
      <c r="J9" s="21">
        <f t="shared" si="2"/>
        <v>17000</v>
      </c>
      <c r="K9" s="8" t="s">
        <v>151</v>
      </c>
      <c r="L9" s="9">
        <v>-5000</v>
      </c>
      <c r="M9" s="9">
        <v>-1000</v>
      </c>
      <c r="N9" s="55">
        <v>0</v>
      </c>
      <c r="O9" s="21">
        <f t="shared" si="3"/>
        <v>28000</v>
      </c>
      <c r="P9" s="8" t="s">
        <v>150</v>
      </c>
      <c r="Q9" s="9">
        <v>8000</v>
      </c>
      <c r="R9" s="9">
        <v>1000</v>
      </c>
      <c r="S9" s="55">
        <v>0</v>
      </c>
      <c r="T9" s="21">
        <f t="shared" si="4"/>
        <v>60000</v>
      </c>
      <c r="U9" s="60">
        <f>IF($J9="","",ROUND(($J9-$J$3)/1000,1)+(_xlfn.RANK.AVG($J9,($J9,$O9,$T9),1)-2)*20)</f>
        <v>-38</v>
      </c>
      <c r="V9" s="61">
        <f>IF($O9="","",ROUND(($O9-$O$3)/1000,1)+(_xlfn.RANK.AVG($O9,($J9,$O9,$T9),1)-2)*20)</f>
        <v>-7</v>
      </c>
      <c r="W9" s="62">
        <f>IF($T9="","",ROUND(($T9-$T$3)/1000,1)+(_xlfn.RANK.AVG($T9,($J9,$O9,$T9),1)-2)*20)</f>
        <v>45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5</v>
      </c>
      <c r="BT9" s="36" t="s">
        <v>147</v>
      </c>
      <c r="BU9" s="47" t="s">
        <v>148</v>
      </c>
      <c r="BV9" s="48" t="s">
        <v>83</v>
      </c>
      <c r="BW9" s="48" t="s">
        <v>84</v>
      </c>
      <c r="BX9" s="48" t="s">
        <v>80</v>
      </c>
      <c r="BY9" s="48" t="s">
        <v>82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143</v>
      </c>
      <c r="F10" s="8" t="s">
        <v>146</v>
      </c>
      <c r="G10" s="9">
        <v>-12000</v>
      </c>
      <c r="H10" s="9"/>
      <c r="I10" s="55">
        <v>0</v>
      </c>
      <c r="J10" s="21">
        <f t="shared" si="2"/>
        <v>5000</v>
      </c>
      <c r="K10" s="8"/>
      <c r="L10" s="9"/>
      <c r="M10" s="9"/>
      <c r="N10" s="55"/>
      <c r="O10" s="21">
        <f t="shared" si="3"/>
        <v>28000</v>
      </c>
      <c r="P10" s="8" t="s">
        <v>145</v>
      </c>
      <c r="Q10" s="9">
        <v>12000</v>
      </c>
      <c r="R10" s="9"/>
      <c r="S10" s="55">
        <v>0</v>
      </c>
      <c r="T10" s="21">
        <f t="shared" si="4"/>
        <v>72000</v>
      </c>
      <c r="U10" s="60">
        <f>IF($J10="","",ROUND(($J10-$J$3)/1000,1)+(_xlfn.RANK.AVG($J10,($J10,$O10,$T10),1)-2)*20)</f>
        <v>-50</v>
      </c>
      <c r="V10" s="61">
        <f>IF($O10="","",ROUND(($O10-$O$3)/1000,1)+(_xlfn.RANK.AVG($O10,($J10,$O10,$T10),1)-2)*20)</f>
        <v>-7</v>
      </c>
      <c r="W10" s="62">
        <f>IF($T10="","",ROUND(($T10-$T$3)/1000,1)+(_xlfn.RANK.AVG($T10,($J10,$O10,$T10),1)-2)*20)</f>
        <v>57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4</v>
      </c>
      <c r="BT10" s="36">
        <v>40</v>
      </c>
      <c r="BU10" s="47" t="s">
        <v>87</v>
      </c>
      <c r="BV10" s="48" t="s">
        <v>87</v>
      </c>
      <c r="BW10" s="48" t="s">
        <v>105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143</v>
      </c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B6251DC9-1B1E-4973-9B33-E7561641A0FF}">
      <formula1>"ロン,ツモ,放銃,ツモ支払,流局,チョンボ"</formula1>
    </dataValidation>
    <dataValidation type="list" allowBlank="1" showInputMessage="1" showErrorMessage="1" sqref="E4:E30" xr:uid="{CEC42F11-AB3C-4EEE-881C-483B75E8F45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2019-07-21T02:20:27Z</dcterms:modified>
</cp:coreProperties>
</file>