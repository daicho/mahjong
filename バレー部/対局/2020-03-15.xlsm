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バレー部\対局\"/>
    </mc:Choice>
  </mc:AlternateContent>
  <xr:revisionPtr revIDLastSave="0" documentId="13_ncr:1_{48968E76-E8BF-48D4-B476-79BFAFA423F6}" xr6:coauthVersionLast="44" xr6:coauthVersionMax="44" xr10:uidLastSave="{00000000-0000-0000-0000-000000000000}"/>
  <bookViews>
    <workbookView xWindow="-108" yWindow="-108" windowWidth="23256" windowHeight="12720" activeTab="3" xr2:uid="{4CDB34E1-560F-4998-ABAB-D6F7F2862621}"/>
  </bookViews>
  <sheets>
    <sheet name="Sheet1" sheetId="1" r:id="rId1"/>
    <sheet name="Sheet2" sheetId="16" r:id="rId2"/>
    <sheet name="Sheet3" sheetId="17" r:id="rId3"/>
    <sheet name="Sheet4" sheetId="18" r:id="rId4"/>
    <sheet name="役一覧" sheetId="15" state="hidden" r:id="rId5"/>
    <sheet name="点数表(親ロン)" sheetId="4" state="hidden" r:id="rId6"/>
    <sheet name="点数表(親ツモ)" sheetId="9" state="hidden" r:id="rId7"/>
    <sheet name="点数表(子→親)" sheetId="7" state="hidden" r:id="rId8"/>
    <sheet name="点数表(子ロン)" sheetId="3" state="hidden" r:id="rId9"/>
    <sheet name="点数表(子ツモ)" sheetId="10" state="hidden" r:id="rId10"/>
    <sheet name="点数表(子→子)" sheetId="5" state="hidden" r:id="rId11"/>
    <sheet name="点数表(親→子)" sheetId="6" state="hidden" r:id="rId1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0" i="18" l="1"/>
  <c r="W30" i="18" s="1"/>
  <c r="O30" i="18"/>
  <c r="V30" i="18" s="1"/>
  <c r="J30" i="18"/>
  <c r="U30" i="18" s="1"/>
  <c r="D30" i="18"/>
  <c r="C30" i="18"/>
  <c r="B30" i="18"/>
  <c r="A30" i="18"/>
  <c r="T29" i="18"/>
  <c r="W29" i="18" s="1"/>
  <c r="O29" i="18"/>
  <c r="V29" i="18" s="1"/>
  <c r="J29" i="18"/>
  <c r="U29" i="18" s="1"/>
  <c r="D29" i="18"/>
  <c r="C29" i="18"/>
  <c r="B29" i="18"/>
  <c r="A29" i="18"/>
  <c r="T28" i="18"/>
  <c r="W28" i="18" s="1"/>
  <c r="O28" i="18"/>
  <c r="V28" i="18" s="1"/>
  <c r="J28" i="18"/>
  <c r="U28" i="18" s="1"/>
  <c r="D28" i="18"/>
  <c r="C28" i="18"/>
  <c r="B28" i="18"/>
  <c r="A28" i="18"/>
  <c r="T27" i="18"/>
  <c r="W27" i="18" s="1"/>
  <c r="O27" i="18"/>
  <c r="V27" i="18" s="1"/>
  <c r="J27" i="18"/>
  <c r="U27" i="18" s="1"/>
  <c r="D27" i="18"/>
  <c r="C27" i="18"/>
  <c r="B27" i="18"/>
  <c r="A27" i="18"/>
  <c r="T26" i="18"/>
  <c r="W26" i="18" s="1"/>
  <c r="O26" i="18"/>
  <c r="V26" i="18" s="1"/>
  <c r="J26" i="18"/>
  <c r="U26" i="18" s="1"/>
  <c r="D26" i="18"/>
  <c r="C26" i="18"/>
  <c r="B26" i="18"/>
  <c r="A26" i="18"/>
  <c r="T25" i="18"/>
  <c r="W25" i="18" s="1"/>
  <c r="O25" i="18"/>
  <c r="V25" i="18" s="1"/>
  <c r="J25" i="18"/>
  <c r="U25" i="18" s="1"/>
  <c r="D25" i="18"/>
  <c r="C25" i="18"/>
  <c r="B25" i="18"/>
  <c r="A25" i="18"/>
  <c r="T24" i="18"/>
  <c r="W24" i="18" s="1"/>
  <c r="O24" i="18"/>
  <c r="V24" i="18" s="1"/>
  <c r="J24" i="18"/>
  <c r="U24" i="18" s="1"/>
  <c r="D24" i="18"/>
  <c r="C24" i="18"/>
  <c r="B24" i="18"/>
  <c r="A24" i="18"/>
  <c r="T23" i="18"/>
  <c r="W23" i="18" s="1"/>
  <c r="O23" i="18"/>
  <c r="V23" i="18" s="1"/>
  <c r="J23" i="18"/>
  <c r="U23" i="18" s="1"/>
  <c r="D23" i="18"/>
  <c r="C23" i="18"/>
  <c r="B23" i="18"/>
  <c r="A23" i="18"/>
  <c r="T22" i="18"/>
  <c r="W22" i="18" s="1"/>
  <c r="O22" i="18"/>
  <c r="V22" i="18" s="1"/>
  <c r="J22" i="18"/>
  <c r="U22" i="18" s="1"/>
  <c r="D22" i="18"/>
  <c r="C22" i="18"/>
  <c r="B22" i="18"/>
  <c r="A22" i="18"/>
  <c r="T21" i="18"/>
  <c r="W21" i="18" s="1"/>
  <c r="O21" i="18"/>
  <c r="V21" i="18" s="1"/>
  <c r="J21" i="18"/>
  <c r="U21" i="18" s="1"/>
  <c r="D21" i="18"/>
  <c r="C21" i="18"/>
  <c r="B21" i="18"/>
  <c r="A21" i="18"/>
  <c r="T20" i="18"/>
  <c r="W20" i="18" s="1"/>
  <c r="O20" i="18"/>
  <c r="V20" i="18" s="1"/>
  <c r="J20" i="18"/>
  <c r="U20" i="18" s="1"/>
  <c r="D20" i="18"/>
  <c r="C20" i="18"/>
  <c r="B20" i="18"/>
  <c r="A20" i="18"/>
  <c r="T19" i="18"/>
  <c r="W19" i="18" s="1"/>
  <c r="O19" i="18"/>
  <c r="V19" i="18" s="1"/>
  <c r="J19" i="18"/>
  <c r="U19" i="18" s="1"/>
  <c r="D19" i="18"/>
  <c r="C19" i="18"/>
  <c r="B19" i="18"/>
  <c r="A19" i="18"/>
  <c r="T18" i="18"/>
  <c r="W18" i="18" s="1"/>
  <c r="O18" i="18"/>
  <c r="V18" i="18" s="1"/>
  <c r="J18" i="18"/>
  <c r="U18" i="18" s="1"/>
  <c r="D18" i="18"/>
  <c r="C18" i="18"/>
  <c r="B18" i="18"/>
  <c r="A18" i="18"/>
  <c r="T17" i="18"/>
  <c r="W17" i="18" s="1"/>
  <c r="O17" i="18"/>
  <c r="V17" i="18" s="1"/>
  <c r="J17" i="18"/>
  <c r="U17" i="18" s="1"/>
  <c r="D17" i="18"/>
  <c r="C17" i="18"/>
  <c r="B17" i="18"/>
  <c r="A17" i="18"/>
  <c r="T16" i="18"/>
  <c r="W16" i="18" s="1"/>
  <c r="O16" i="18"/>
  <c r="V16" i="18" s="1"/>
  <c r="J16" i="18"/>
  <c r="U16" i="18" s="1"/>
  <c r="D16" i="18"/>
  <c r="C16" i="18"/>
  <c r="B16" i="18"/>
  <c r="A16" i="18"/>
  <c r="T15" i="18"/>
  <c r="W15" i="18" s="1"/>
  <c r="O15" i="18"/>
  <c r="V15" i="18" s="1"/>
  <c r="J15" i="18"/>
  <c r="U15" i="18" s="1"/>
  <c r="D15" i="18"/>
  <c r="C15" i="18"/>
  <c r="B15" i="18"/>
  <c r="A15" i="18"/>
  <c r="T14" i="18"/>
  <c r="W14" i="18" s="1"/>
  <c r="O14" i="18"/>
  <c r="V14" i="18" s="1"/>
  <c r="J14" i="18"/>
  <c r="U14" i="18" s="1"/>
  <c r="D14" i="18"/>
  <c r="C14" i="18"/>
  <c r="B14" i="18"/>
  <c r="A14" i="18"/>
  <c r="T13" i="18"/>
  <c r="W13" i="18" s="1"/>
  <c r="O13" i="18"/>
  <c r="J13" i="18"/>
  <c r="D13" i="18"/>
  <c r="C13" i="18"/>
  <c r="D12" i="18"/>
  <c r="D11" i="18"/>
  <c r="C11" i="18"/>
  <c r="C12" i="18" s="1"/>
  <c r="D10" i="18"/>
  <c r="C10" i="18"/>
  <c r="D9" i="18"/>
  <c r="C9" i="18"/>
  <c r="D8" i="18"/>
  <c r="C8" i="18"/>
  <c r="D7" i="18"/>
  <c r="D6" i="18"/>
  <c r="O5" i="18"/>
  <c r="D5" i="18"/>
  <c r="C5" i="18"/>
  <c r="C6" i="18" s="1"/>
  <c r="C7" i="18" s="1"/>
  <c r="B5" i="18"/>
  <c r="B6" i="18" s="1"/>
  <c r="T4" i="18"/>
  <c r="O4" i="18"/>
  <c r="V4" i="18" s="1"/>
  <c r="J4" i="18"/>
  <c r="J5" i="18" s="1"/>
  <c r="W3" i="18"/>
  <c r="V3" i="18"/>
  <c r="U3" i="18"/>
  <c r="W2" i="18"/>
  <c r="V2" i="18"/>
  <c r="U2" i="18"/>
  <c r="BO1" i="18"/>
  <c r="AT1" i="18"/>
  <c r="Y1" i="18"/>
  <c r="U13" i="18" l="1"/>
  <c r="V13" i="18"/>
  <c r="W4" i="18"/>
  <c r="U4" i="18"/>
  <c r="J6" i="18"/>
  <c r="B7" i="18"/>
  <c r="T5" i="18"/>
  <c r="U5" i="18" s="1"/>
  <c r="O6" i="18"/>
  <c r="A5" i="18"/>
  <c r="A6" i="18"/>
  <c r="A7" i="18" l="1"/>
  <c r="V5" i="18"/>
  <c r="J7" i="18"/>
  <c r="O7" i="18"/>
  <c r="W5" i="18"/>
  <c r="T6" i="18"/>
  <c r="U6" i="18" s="1"/>
  <c r="B8" i="18"/>
  <c r="A8" i="18" s="1"/>
  <c r="V6" i="18" l="1"/>
  <c r="U7" i="18"/>
  <c r="J8" i="18"/>
  <c r="B9" i="18"/>
  <c r="A9" i="18" s="1"/>
  <c r="W6" i="18"/>
  <c r="T7" i="18"/>
  <c r="O8" i="18"/>
  <c r="V7" i="18"/>
  <c r="O9" i="18" l="1"/>
  <c r="W7" i="18"/>
  <c r="T8" i="18"/>
  <c r="B10" i="18"/>
  <c r="A10" i="18" s="1"/>
  <c r="U8" i="18"/>
  <c r="J9" i="18"/>
  <c r="J10" i="18" l="1"/>
  <c r="B11" i="18"/>
  <c r="A11" i="18" s="1"/>
  <c r="W8" i="18"/>
  <c r="T9" i="18"/>
  <c r="U9" i="18" s="1"/>
  <c r="V8" i="18"/>
  <c r="V9" i="18"/>
  <c r="O10" i="18"/>
  <c r="O11" i="18" l="1"/>
  <c r="T10" i="18"/>
  <c r="W9" i="18"/>
  <c r="B12" i="18"/>
  <c r="U10" i="18"/>
  <c r="J11" i="18"/>
  <c r="B13" i="18" l="1"/>
  <c r="A13" i="18" s="1"/>
  <c r="W10" i="18"/>
  <c r="T11" i="18"/>
  <c r="O12" i="18"/>
  <c r="V11" i="18"/>
  <c r="U11" i="18"/>
  <c r="J12" i="18"/>
  <c r="A12" i="18"/>
  <c r="V10" i="18"/>
  <c r="W11" i="18" l="1"/>
  <c r="T12" i="18"/>
  <c r="W12" i="18" s="1"/>
  <c r="U12" i="18"/>
  <c r="V12" i="18" l="1"/>
  <c r="T30" i="17" l="1"/>
  <c r="W30" i="17" s="1"/>
  <c r="O30" i="17"/>
  <c r="V30" i="17" s="1"/>
  <c r="J30" i="17"/>
  <c r="U30" i="17" s="1"/>
  <c r="D30" i="17"/>
  <c r="C30" i="17"/>
  <c r="B30" i="17"/>
  <c r="A30" i="17"/>
  <c r="T29" i="17"/>
  <c r="W29" i="17" s="1"/>
  <c r="O29" i="17"/>
  <c r="V29" i="17" s="1"/>
  <c r="J29" i="17"/>
  <c r="U29" i="17" s="1"/>
  <c r="D29" i="17"/>
  <c r="C29" i="17"/>
  <c r="B29" i="17"/>
  <c r="A29" i="17"/>
  <c r="T28" i="17"/>
  <c r="W28" i="17" s="1"/>
  <c r="O28" i="17"/>
  <c r="V28" i="17" s="1"/>
  <c r="J28" i="17"/>
  <c r="U28" i="17" s="1"/>
  <c r="D28" i="17"/>
  <c r="C28" i="17"/>
  <c r="B28" i="17"/>
  <c r="A28" i="17"/>
  <c r="T27" i="17"/>
  <c r="W27" i="17" s="1"/>
  <c r="O27" i="17"/>
  <c r="V27" i="17" s="1"/>
  <c r="J27" i="17"/>
  <c r="U27" i="17" s="1"/>
  <c r="D27" i="17"/>
  <c r="C27" i="17"/>
  <c r="B27" i="17"/>
  <c r="A27" i="17"/>
  <c r="T26" i="17"/>
  <c r="W26" i="17" s="1"/>
  <c r="O26" i="17"/>
  <c r="V26" i="17" s="1"/>
  <c r="J26" i="17"/>
  <c r="U26" i="17" s="1"/>
  <c r="D26" i="17"/>
  <c r="C26" i="17"/>
  <c r="B26" i="17"/>
  <c r="A26" i="17"/>
  <c r="T25" i="17"/>
  <c r="W25" i="17" s="1"/>
  <c r="O25" i="17"/>
  <c r="V25" i="17" s="1"/>
  <c r="J25" i="17"/>
  <c r="U25" i="17" s="1"/>
  <c r="D25" i="17"/>
  <c r="C25" i="17"/>
  <c r="B25" i="17"/>
  <c r="A25" i="17"/>
  <c r="T24" i="17"/>
  <c r="W24" i="17" s="1"/>
  <c r="O24" i="17"/>
  <c r="V24" i="17" s="1"/>
  <c r="J24" i="17"/>
  <c r="U24" i="17" s="1"/>
  <c r="D24" i="17"/>
  <c r="C24" i="17"/>
  <c r="B24" i="17"/>
  <c r="A24" i="17"/>
  <c r="T23" i="17"/>
  <c r="W23" i="17" s="1"/>
  <c r="O23" i="17"/>
  <c r="V23" i="17" s="1"/>
  <c r="J23" i="17"/>
  <c r="U23" i="17" s="1"/>
  <c r="D23" i="17"/>
  <c r="C23" i="17"/>
  <c r="B23" i="17"/>
  <c r="A23" i="17"/>
  <c r="T22" i="17"/>
  <c r="W22" i="17" s="1"/>
  <c r="O22" i="17"/>
  <c r="V22" i="17" s="1"/>
  <c r="J22" i="17"/>
  <c r="U22" i="17" s="1"/>
  <c r="D22" i="17"/>
  <c r="C22" i="17"/>
  <c r="B22" i="17"/>
  <c r="A22" i="17"/>
  <c r="T21" i="17"/>
  <c r="W21" i="17" s="1"/>
  <c r="O21" i="17"/>
  <c r="V21" i="17" s="1"/>
  <c r="J21" i="17"/>
  <c r="U21" i="17" s="1"/>
  <c r="D21" i="17"/>
  <c r="C21" i="17"/>
  <c r="B21" i="17"/>
  <c r="A21" i="17"/>
  <c r="T20" i="17"/>
  <c r="W20" i="17" s="1"/>
  <c r="O20" i="17"/>
  <c r="V20" i="17" s="1"/>
  <c r="J20" i="17"/>
  <c r="U20" i="17" s="1"/>
  <c r="D20" i="17"/>
  <c r="C20" i="17"/>
  <c r="B20" i="17"/>
  <c r="A20" i="17"/>
  <c r="T19" i="17"/>
  <c r="W19" i="17" s="1"/>
  <c r="O19" i="17"/>
  <c r="V19" i="17" s="1"/>
  <c r="J19" i="17"/>
  <c r="U19" i="17" s="1"/>
  <c r="D19" i="17"/>
  <c r="C19" i="17"/>
  <c r="B19" i="17"/>
  <c r="A19" i="17"/>
  <c r="T18" i="17"/>
  <c r="W18" i="17" s="1"/>
  <c r="O18" i="17"/>
  <c r="V18" i="17" s="1"/>
  <c r="J18" i="17"/>
  <c r="U18" i="17" s="1"/>
  <c r="D18" i="17"/>
  <c r="C18" i="17"/>
  <c r="B18" i="17"/>
  <c r="A18" i="17"/>
  <c r="T17" i="17"/>
  <c r="W17" i="17" s="1"/>
  <c r="O17" i="17"/>
  <c r="V17" i="17" s="1"/>
  <c r="J17" i="17"/>
  <c r="U17" i="17" s="1"/>
  <c r="D17" i="17"/>
  <c r="C17" i="17"/>
  <c r="B17" i="17"/>
  <c r="A17" i="17"/>
  <c r="T16" i="17"/>
  <c r="W16" i="17" s="1"/>
  <c r="O16" i="17"/>
  <c r="V16" i="17" s="1"/>
  <c r="J16" i="17"/>
  <c r="U16" i="17" s="1"/>
  <c r="D16" i="17"/>
  <c r="C16" i="17"/>
  <c r="B16" i="17"/>
  <c r="A16" i="17"/>
  <c r="T15" i="17"/>
  <c r="W15" i="17" s="1"/>
  <c r="O15" i="17"/>
  <c r="V15" i="17" s="1"/>
  <c r="J15" i="17"/>
  <c r="U15" i="17" s="1"/>
  <c r="D15" i="17"/>
  <c r="C15" i="17"/>
  <c r="B15" i="17"/>
  <c r="A15" i="17"/>
  <c r="T14" i="17"/>
  <c r="W14" i="17" s="1"/>
  <c r="O14" i="17"/>
  <c r="V14" i="17" s="1"/>
  <c r="J14" i="17"/>
  <c r="U14" i="17" s="1"/>
  <c r="D14" i="17"/>
  <c r="C14" i="17"/>
  <c r="B14" i="17"/>
  <c r="A14" i="17"/>
  <c r="T13" i="17"/>
  <c r="W13" i="17" s="1"/>
  <c r="O13" i="17"/>
  <c r="V13" i="17" s="1"/>
  <c r="J13" i="17"/>
  <c r="U13" i="17" s="1"/>
  <c r="D13" i="17"/>
  <c r="C13" i="17"/>
  <c r="D12" i="17"/>
  <c r="D11" i="17"/>
  <c r="C11" i="17"/>
  <c r="C12" i="17" s="1"/>
  <c r="D10" i="17"/>
  <c r="C10" i="17"/>
  <c r="D9" i="17"/>
  <c r="C9" i="17"/>
  <c r="D8" i="17"/>
  <c r="C8" i="17"/>
  <c r="B6" i="17"/>
  <c r="B7" i="17" s="1"/>
  <c r="A6" i="17"/>
  <c r="T5" i="17"/>
  <c r="D5" i="17"/>
  <c r="D6" i="17" s="1"/>
  <c r="D7" i="17" s="1"/>
  <c r="C5" i="17"/>
  <c r="C6" i="17" s="1"/>
  <c r="C7" i="17" s="1"/>
  <c r="B5" i="17"/>
  <c r="A5" i="17" s="1"/>
  <c r="T4" i="17"/>
  <c r="O4" i="17"/>
  <c r="O5" i="17" s="1"/>
  <c r="J4" i="17"/>
  <c r="W3" i="17"/>
  <c r="V3" i="17"/>
  <c r="U3" i="17"/>
  <c r="W2" i="17"/>
  <c r="V2" i="17"/>
  <c r="U2" i="17"/>
  <c r="BO1" i="17"/>
  <c r="AT1" i="17"/>
  <c r="Y1" i="17"/>
  <c r="T30" i="16"/>
  <c r="W30" i="16" s="1"/>
  <c r="O30" i="16"/>
  <c r="V30" i="16" s="1"/>
  <c r="J30" i="16"/>
  <c r="U30" i="16" s="1"/>
  <c r="D30" i="16"/>
  <c r="C30" i="16"/>
  <c r="B30" i="16"/>
  <c r="A30" i="16"/>
  <c r="T29" i="16"/>
  <c r="W29" i="16" s="1"/>
  <c r="O29" i="16"/>
  <c r="V29" i="16" s="1"/>
  <c r="J29" i="16"/>
  <c r="U29" i="16" s="1"/>
  <c r="D29" i="16"/>
  <c r="C29" i="16"/>
  <c r="B29" i="16"/>
  <c r="A29" i="16"/>
  <c r="T28" i="16"/>
  <c r="W28" i="16" s="1"/>
  <c r="O28" i="16"/>
  <c r="V28" i="16" s="1"/>
  <c r="J28" i="16"/>
  <c r="U28" i="16" s="1"/>
  <c r="D28" i="16"/>
  <c r="C28" i="16"/>
  <c r="B28" i="16"/>
  <c r="A28" i="16"/>
  <c r="T27" i="16"/>
  <c r="W27" i="16" s="1"/>
  <c r="O27" i="16"/>
  <c r="V27" i="16" s="1"/>
  <c r="J27" i="16"/>
  <c r="U27" i="16" s="1"/>
  <c r="D27" i="16"/>
  <c r="C27" i="16"/>
  <c r="B27" i="16"/>
  <c r="A27" i="16"/>
  <c r="T26" i="16"/>
  <c r="W26" i="16" s="1"/>
  <c r="O26" i="16"/>
  <c r="V26" i="16" s="1"/>
  <c r="J26" i="16"/>
  <c r="U26" i="16" s="1"/>
  <c r="D26" i="16"/>
  <c r="C26" i="16"/>
  <c r="B26" i="16"/>
  <c r="A26" i="16"/>
  <c r="T25" i="16"/>
  <c r="W25" i="16" s="1"/>
  <c r="O25" i="16"/>
  <c r="V25" i="16" s="1"/>
  <c r="J25" i="16"/>
  <c r="U25" i="16" s="1"/>
  <c r="D25" i="16"/>
  <c r="C25" i="16"/>
  <c r="B25" i="16"/>
  <c r="A25" i="16"/>
  <c r="T24" i="16"/>
  <c r="W24" i="16" s="1"/>
  <c r="O24" i="16"/>
  <c r="V24" i="16" s="1"/>
  <c r="J24" i="16"/>
  <c r="U24" i="16" s="1"/>
  <c r="D24" i="16"/>
  <c r="C24" i="16"/>
  <c r="B24" i="16"/>
  <c r="A24" i="16"/>
  <c r="T23" i="16"/>
  <c r="W23" i="16" s="1"/>
  <c r="O23" i="16"/>
  <c r="V23" i="16" s="1"/>
  <c r="J23" i="16"/>
  <c r="U23" i="16" s="1"/>
  <c r="D23" i="16"/>
  <c r="C23" i="16"/>
  <c r="B23" i="16"/>
  <c r="A23" i="16"/>
  <c r="T22" i="16"/>
  <c r="W22" i="16" s="1"/>
  <c r="O22" i="16"/>
  <c r="V22" i="16" s="1"/>
  <c r="J22" i="16"/>
  <c r="U22" i="16" s="1"/>
  <c r="D22" i="16"/>
  <c r="C22" i="16"/>
  <c r="B22" i="16"/>
  <c r="A22" i="16"/>
  <c r="T21" i="16"/>
  <c r="W21" i="16" s="1"/>
  <c r="O21" i="16"/>
  <c r="V21" i="16" s="1"/>
  <c r="J21" i="16"/>
  <c r="U21" i="16" s="1"/>
  <c r="D21" i="16"/>
  <c r="C21" i="16"/>
  <c r="B21" i="16"/>
  <c r="A21" i="16"/>
  <c r="T20" i="16"/>
  <c r="W20" i="16" s="1"/>
  <c r="O20" i="16"/>
  <c r="V20" i="16" s="1"/>
  <c r="J20" i="16"/>
  <c r="U20" i="16" s="1"/>
  <c r="D20" i="16"/>
  <c r="C20" i="16"/>
  <c r="B20" i="16"/>
  <c r="A20" i="16"/>
  <c r="T19" i="16"/>
  <c r="W19" i="16" s="1"/>
  <c r="O19" i="16"/>
  <c r="V19" i="16" s="1"/>
  <c r="J19" i="16"/>
  <c r="U19" i="16" s="1"/>
  <c r="D19" i="16"/>
  <c r="C19" i="16"/>
  <c r="B19" i="16"/>
  <c r="A19" i="16"/>
  <c r="T18" i="16"/>
  <c r="W18" i="16" s="1"/>
  <c r="O18" i="16"/>
  <c r="V18" i="16" s="1"/>
  <c r="J18" i="16"/>
  <c r="U18" i="16" s="1"/>
  <c r="D18" i="16"/>
  <c r="C18" i="16"/>
  <c r="B18" i="16"/>
  <c r="A18" i="16"/>
  <c r="T17" i="16"/>
  <c r="W17" i="16" s="1"/>
  <c r="O17" i="16"/>
  <c r="V17" i="16" s="1"/>
  <c r="J17" i="16"/>
  <c r="U17" i="16" s="1"/>
  <c r="D17" i="16"/>
  <c r="C17" i="16"/>
  <c r="B17" i="16"/>
  <c r="A17" i="16"/>
  <c r="T16" i="16"/>
  <c r="W16" i="16" s="1"/>
  <c r="O16" i="16"/>
  <c r="V16" i="16" s="1"/>
  <c r="J16" i="16"/>
  <c r="U16" i="16" s="1"/>
  <c r="D16" i="16"/>
  <c r="C16" i="16"/>
  <c r="B16" i="16"/>
  <c r="A16" i="16"/>
  <c r="T15" i="16"/>
  <c r="W15" i="16" s="1"/>
  <c r="O15" i="16"/>
  <c r="V15" i="16" s="1"/>
  <c r="J15" i="16"/>
  <c r="U15" i="16" s="1"/>
  <c r="D15" i="16"/>
  <c r="C15" i="16"/>
  <c r="B15" i="16"/>
  <c r="A15" i="16"/>
  <c r="T14" i="16"/>
  <c r="W14" i="16" s="1"/>
  <c r="O14" i="16"/>
  <c r="V14" i="16" s="1"/>
  <c r="J14" i="16"/>
  <c r="U14" i="16" s="1"/>
  <c r="D14" i="16"/>
  <c r="C14" i="16"/>
  <c r="B14" i="16"/>
  <c r="A14" i="16"/>
  <c r="T13" i="16"/>
  <c r="W13" i="16" s="1"/>
  <c r="O13" i="16"/>
  <c r="V13" i="16" s="1"/>
  <c r="J13" i="16"/>
  <c r="U13" i="16" s="1"/>
  <c r="D13" i="16"/>
  <c r="C13" i="16"/>
  <c r="B13" i="16"/>
  <c r="A13" i="16" s="1"/>
  <c r="T12" i="16"/>
  <c r="W12" i="16" s="1"/>
  <c r="O12" i="16"/>
  <c r="V12" i="16" s="1"/>
  <c r="J12" i="16"/>
  <c r="D12" i="16"/>
  <c r="C12" i="16"/>
  <c r="B12" i="16"/>
  <c r="A12" i="16" s="1"/>
  <c r="T11" i="16"/>
  <c r="O11" i="16"/>
  <c r="J11" i="16"/>
  <c r="U11" i="16" s="1"/>
  <c r="D11" i="16"/>
  <c r="C11" i="16"/>
  <c r="B11" i="16"/>
  <c r="A11" i="16" s="1"/>
  <c r="T10" i="16"/>
  <c r="O10" i="16"/>
  <c r="J10" i="16"/>
  <c r="U10" i="16" s="1"/>
  <c r="D10" i="16"/>
  <c r="C10" i="16"/>
  <c r="B10" i="16"/>
  <c r="A10" i="16"/>
  <c r="T9" i="16"/>
  <c r="O9" i="16"/>
  <c r="J9" i="16"/>
  <c r="U9" i="16" s="1"/>
  <c r="D9" i="16"/>
  <c r="C9" i="16"/>
  <c r="B9" i="16"/>
  <c r="A9" i="16" s="1"/>
  <c r="T8" i="16"/>
  <c r="W8" i="16" s="1"/>
  <c r="O8" i="16"/>
  <c r="V8" i="16" s="1"/>
  <c r="J8" i="16"/>
  <c r="D8" i="16"/>
  <c r="D7" i="16"/>
  <c r="C7" i="16"/>
  <c r="C8" i="16" s="1"/>
  <c r="D6" i="16"/>
  <c r="C6" i="16"/>
  <c r="B6" i="16"/>
  <c r="B7" i="16" s="1"/>
  <c r="D5" i="16"/>
  <c r="C5" i="16"/>
  <c r="B5" i="16"/>
  <c r="T4" i="16"/>
  <c r="T5" i="16" s="1"/>
  <c r="O4" i="16"/>
  <c r="V4" i="16" s="1"/>
  <c r="J4" i="16"/>
  <c r="W3" i="16"/>
  <c r="V3" i="16"/>
  <c r="U3" i="16"/>
  <c r="W2" i="16"/>
  <c r="V2" i="16"/>
  <c r="U2" i="16"/>
  <c r="BO1" i="16"/>
  <c r="AT1" i="16"/>
  <c r="Y1" i="16"/>
  <c r="W4" i="17" l="1"/>
  <c r="V4" i="17"/>
  <c r="B8" i="17"/>
  <c r="A8" i="17" s="1"/>
  <c r="O6" i="17"/>
  <c r="J5" i="17"/>
  <c r="V5" i="17" s="1"/>
  <c r="A7" i="17"/>
  <c r="U4" i="17"/>
  <c r="T6" i="17"/>
  <c r="U12" i="16"/>
  <c r="V11" i="16"/>
  <c r="W11" i="16"/>
  <c r="V10" i="16"/>
  <c r="W10" i="16"/>
  <c r="W9" i="16"/>
  <c r="V9" i="16"/>
  <c r="U8" i="16"/>
  <c r="U4" i="16"/>
  <c r="W4" i="16"/>
  <c r="B8" i="16"/>
  <c r="T6" i="16"/>
  <c r="J5" i="16"/>
  <c r="O5" i="16"/>
  <c r="A5" i="16"/>
  <c r="A6" i="16" s="1"/>
  <c r="A7" i="16" s="1"/>
  <c r="W3" i="1"/>
  <c r="V3" i="1"/>
  <c r="U3" i="1"/>
  <c r="O7" i="17" l="1"/>
  <c r="T7" i="17"/>
  <c r="J6" i="17"/>
  <c r="U5" i="17"/>
  <c r="W5" i="17"/>
  <c r="B9" i="17"/>
  <c r="A9" i="17" s="1"/>
  <c r="A8" i="16"/>
  <c r="O6" i="16"/>
  <c r="V5" i="16"/>
  <c r="J6" i="16"/>
  <c r="U5" i="16"/>
  <c r="T7" i="16"/>
  <c r="W5" i="16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U6" i="17" l="1"/>
  <c r="J7" i="17"/>
  <c r="W7" i="17"/>
  <c r="T8" i="17"/>
  <c r="V6" i="17"/>
  <c r="V7" i="17"/>
  <c r="O8" i="17"/>
  <c r="B10" i="17"/>
  <c r="A10" i="17" s="1"/>
  <c r="W6" i="17"/>
  <c r="U6" i="16"/>
  <c r="J7" i="16"/>
  <c r="U7" i="16" s="1"/>
  <c r="V6" i="16"/>
  <c r="O7" i="16"/>
  <c r="W6" i="16"/>
  <c r="W7" i="16"/>
  <c r="B5" i="1"/>
  <c r="A5" i="1" s="1"/>
  <c r="D6" i="1"/>
  <c r="B6" i="1"/>
  <c r="A6" i="1" s="1"/>
  <c r="D5" i="1"/>
  <c r="B11" i="17" l="1"/>
  <c r="O9" i="17"/>
  <c r="T9" i="17"/>
  <c r="U7" i="17"/>
  <c r="J8" i="17"/>
  <c r="V8" i="17" s="1"/>
  <c r="V7" i="16"/>
  <c r="Y1" i="1"/>
  <c r="B12" i="17" l="1"/>
  <c r="U8" i="17"/>
  <c r="J9" i="17"/>
  <c r="W9" i="17"/>
  <c r="T10" i="17"/>
  <c r="V9" i="17"/>
  <c r="O10" i="17"/>
  <c r="W8" i="17"/>
  <c r="A11" i="17"/>
  <c r="BO1" i="1"/>
  <c r="AT1" i="1"/>
  <c r="A12" i="17" l="1"/>
  <c r="O11" i="17"/>
  <c r="T11" i="17"/>
  <c r="U9" i="17"/>
  <c r="J10" i="17"/>
  <c r="V10" i="17" s="1"/>
  <c r="B13" i="17"/>
  <c r="A13" i="17" s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W10" i="17" l="1"/>
  <c r="U10" i="17"/>
  <c r="J11" i="17"/>
  <c r="W11" i="17"/>
  <c r="T12" i="17"/>
  <c r="O12" i="17"/>
  <c r="V11" i="17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U11" i="17" l="1"/>
  <c r="J12" i="17"/>
  <c r="U12" i="17" s="1"/>
  <c r="W2" i="1"/>
  <c r="V2" i="1"/>
  <c r="U2" i="1"/>
  <c r="W12" i="17" l="1"/>
  <c r="V12" i="17"/>
  <c r="J4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B8" i="1" l="1"/>
  <c r="A8" i="1" s="1"/>
  <c r="A7" i="1"/>
  <c r="J5" i="1"/>
  <c r="B9" i="1"/>
  <c r="A9" i="1" s="1"/>
  <c r="O4" i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4" i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5" i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U4" i="1" l="1"/>
  <c r="W4" i="1"/>
  <c r="V4" i="1"/>
  <c r="J6" i="1"/>
  <c r="T5" i="1"/>
  <c r="V5" i="1" s="1"/>
  <c r="O6" i="1"/>
  <c r="B10" i="1"/>
  <c r="U6" i="1" l="1"/>
  <c r="U5" i="1"/>
  <c r="W5" i="1"/>
  <c r="O7" i="1"/>
  <c r="J7" i="1"/>
  <c r="J8" i="1"/>
  <c r="U8" i="1" s="1"/>
  <c r="B11" i="1"/>
  <c r="A11" i="1" s="1"/>
  <c r="A10" i="1"/>
  <c r="O8" i="1"/>
  <c r="V8" i="1" s="1"/>
  <c r="T6" i="1"/>
  <c r="V6" i="1" s="1"/>
  <c r="B12" i="1"/>
  <c r="A12" i="1" s="1"/>
  <c r="W6" i="1" l="1"/>
  <c r="T7" i="1"/>
  <c r="U7" i="1" s="1"/>
  <c r="J9" i="1"/>
  <c r="U9" i="1" s="1"/>
  <c r="T8" i="1"/>
  <c r="W8" i="1" s="1"/>
  <c r="O9" i="1"/>
  <c r="V9" i="1" s="1"/>
  <c r="B13" i="1"/>
  <c r="A13" i="1" s="1"/>
  <c r="V7" i="1" l="1"/>
  <c r="W7" i="1"/>
  <c r="J10" i="1"/>
  <c r="U10" i="1" s="1"/>
  <c r="J11" i="1"/>
  <c r="U11" i="1" s="1"/>
  <c r="O10" i="1"/>
  <c r="V10" i="1" s="1"/>
  <c r="T9" i="1"/>
  <c r="W9" i="1" s="1"/>
  <c r="B14" i="1"/>
  <c r="A14" i="1" s="1"/>
  <c r="O11" i="1" l="1"/>
  <c r="V11" i="1" s="1"/>
  <c r="J12" i="1"/>
  <c r="U12" i="1" s="1"/>
  <c r="T10" i="1"/>
  <c r="W10" i="1" s="1"/>
  <c r="J13" i="1" l="1"/>
  <c r="U13" i="1" s="1"/>
  <c r="O12" i="1"/>
  <c r="V12" i="1" s="1"/>
  <c r="T11" i="1"/>
  <c r="W11" i="1" s="1"/>
  <c r="J14" i="1" l="1"/>
  <c r="U14" i="1" s="1"/>
  <c r="O13" i="1"/>
  <c r="V13" i="1" s="1"/>
  <c r="T12" i="1"/>
  <c r="W12" i="1" s="1"/>
  <c r="O14" i="1" l="1"/>
  <c r="V14" i="1" s="1"/>
  <c r="J15" i="1"/>
  <c r="U15" i="1" s="1"/>
  <c r="T13" i="1"/>
  <c r="W13" i="1" s="1"/>
  <c r="T14" i="1" l="1"/>
  <c r="W14" i="1" s="1"/>
  <c r="O15" i="1"/>
  <c r="V15" i="1" s="1"/>
  <c r="T15" i="1" l="1"/>
  <c r="W15" i="1" s="1"/>
</calcChain>
</file>

<file path=xl/sharedStrings.xml><?xml version="1.0" encoding="utf-8"?>
<sst xmlns="http://schemas.openxmlformats.org/spreadsheetml/2006/main" count="878" uniqueCount="155">
  <si>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</si>
  <si>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</si>
  <si>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</si>
  <si>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</si>
  <si>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</si>
  <si>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</si>
  <si>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</si>
  <si>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</si>
  <si>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</si>
  <si>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</si>
  <si>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</si>
  <si>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</si>
  <si>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</si>
  <si>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</si>
  <si>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</si>
  <si>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</si>
  <si>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</si>
  <si>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</si>
  <si>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</si>
  <si>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</si>
  <si>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</si>
  <si>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</si>
  <si>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</si>
  <si>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</si>
  <si>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</si>
  <si>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</si>
  <si>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</si>
  <si>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</si>
  <si>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</si>
  <si>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</si>
  <si>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</si>
  <si>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</si>
  <si>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</si>
  <si>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</si>
  <si>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</si>
  <si>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</si>
  <si>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</si>
  <si>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</si>
  <si>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</si>
  <si>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</si>
  <si>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</si>
  <si>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</si>
  <si>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</si>
  <si>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</si>
  <si>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</si>
  <si>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</si>
  <si>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</si>
  <si>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</si>
  <si>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</si>
  <si>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</si>
  <si>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</si>
  <si>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</si>
  <si>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</si>
  <si>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</si>
  <si>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</si>
  <si>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</si>
  <si>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</si>
  <si>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</si>
  <si>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</si>
  <si>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</si>
  <si>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</si>
  <si>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</si>
  <si>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</si>
  <si>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</si>
  <si>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</si>
  <si>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</si>
  <si>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</si>
  <si>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</si>
  <si>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</si>
  <si>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</si>
  <si>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</si>
  <si>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</si>
  <si>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</si>
  <si>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</si>
  <si>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</si>
  <si>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</si>
  <si>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</si>
  <si>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</si>
  <si>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</si>
  <si>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</si>
  <si>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</si>
  <si>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</si>
  <si>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</si>
  <si>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</si>
  <si>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</si>
  <si>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</si>
  <si>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</si>
  <si>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</si>
  <si>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</si>
  <si>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</si>
  <si>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</si>
  <si>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</si>
  <si>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</si>
  <si>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</si>
  <si>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</si>
  <si>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</si>
  <si>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</si>
  <si>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</si>
  <si>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</si>
  <si>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</si>
  <si>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</si>
  <si>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</si>
  <si>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</si>
  <si>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</si>
  <si>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</si>
  <si>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</si>
  <si>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</si>
  <si>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</si>
  <si>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</si>
  <si>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</si>
  <si>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</si>
  <si>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</si>
  <si>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</si>
  <si>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</si>
  <si>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</si>
  <si>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</si>
  <si>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</si>
  <si>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</si>
  <si>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</si>
  <si>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</si>
  <si>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</si>
  <si>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</si>
  <si>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</si>
  <si>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</si>
  <si>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</si>
  <si>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</si>
  <si>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</si>
  <si>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</si>
  <si>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</si>
  <si>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</si>
  <si>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</si>
  <si>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</si>
  <si>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</si>
  <si>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</si>
  <si>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</si>
  <si>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</si>
  <si>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</si>
  <si>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</si>
  <si>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</si>
  <si>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りょうすけ</t>
  </si>
  <si>
    <t>りょうすけ</t>
    <phoneticPr fontId="1"/>
  </si>
  <si>
    <t>てんちゃん</t>
  </si>
  <si>
    <t>てんちゃん</t>
    <phoneticPr fontId="1"/>
  </si>
  <si>
    <t>だいち</t>
  </si>
  <si>
    <t>だいち</t>
    <phoneticPr fontId="1"/>
  </si>
  <si>
    <t>放銃</t>
  </si>
  <si>
    <t>ロン</t>
  </si>
  <si>
    <t>*</t>
  </si>
  <si>
    <t>01</t>
  </si>
  <si>
    <t>02</t>
  </si>
  <si>
    <t>ツモ支払</t>
  </si>
  <si>
    <t>ツモ</t>
  </si>
  <si>
    <t>N</t>
  </si>
  <si>
    <t>T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</si>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</sst>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4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2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25" width="3.5" style="25" customWidth="1"/>
    <col min="26" max="29" width="3.5" style="28" customWidth="1"/>
    <col min="30" max="30" width="3.5" style="25" customWidth="1"/>
    <col min="31" max="45" width="3.5" style="25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5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140</v>
      </c>
      <c r="G1" s="74"/>
      <c r="H1" s="74"/>
      <c r="I1" s="83"/>
      <c r="J1" s="75"/>
      <c r="K1" s="72" t="s">
        <v>144</v>
      </c>
      <c r="L1" s="74"/>
      <c r="M1" s="74"/>
      <c r="N1" s="83"/>
      <c r="O1" s="75"/>
      <c r="P1" s="72" t="s">
        <v>142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りょうすけ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だいち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てんちゃん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5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7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26" t="str">
        <f>$F$1</f>
        <v>りょうすけ</v>
      </c>
      <c r="V2" s="27" t="str">
        <f>$K$1</f>
        <v>だいち</v>
      </c>
      <c r="W2" s="16" t="str">
        <f>$P$1</f>
        <v>てんちゃん</v>
      </c>
      <c r="Y2" s="29" t="s">
        <v>24</v>
      </c>
      <c r="Z2" s="39" t="s">
        <v>27</v>
      </c>
      <c r="AA2" s="30" t="s">
        <v>25</v>
      </c>
      <c r="AB2" s="30" t="s">
        <v>128</v>
      </c>
      <c r="AC2" s="30" t="s">
        <v>19</v>
      </c>
      <c r="AD2" s="31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29" t="s">
        <v>24</v>
      </c>
      <c r="AU2" s="39" t="s">
        <v>27</v>
      </c>
      <c r="AV2" s="30" t="s">
        <v>25</v>
      </c>
      <c r="AW2" s="30" t="s">
        <v>129</v>
      </c>
      <c r="AX2" s="30" t="s">
        <v>19</v>
      </c>
      <c r="AY2" s="31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29" t="s">
        <v>24</v>
      </c>
      <c r="BP2" s="39" t="s">
        <v>27</v>
      </c>
      <c r="BQ2" s="30" t="s">
        <v>25</v>
      </c>
      <c r="BR2" s="30" t="s">
        <v>129</v>
      </c>
      <c r="BS2" s="30" t="s">
        <v>19</v>
      </c>
      <c r="BT2" s="31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5">
      <c r="A4" s="13" t="s">
        <v>134</v>
      </c>
      <c r="B4" s="18">
        <v>1</v>
      </c>
      <c r="C4" s="18">
        <v>0</v>
      </c>
      <c r="D4" s="18">
        <v>0</v>
      </c>
      <c r="E4" s="4" t="s">
        <v>141</v>
      </c>
      <c r="F4" s="8" t="s">
        <v>145</v>
      </c>
      <c r="G4" s="9">
        <v>-18000</v>
      </c>
      <c r="H4" s="9"/>
      <c r="I4" s="55">
        <v>0</v>
      </c>
      <c r="J4" s="21">
        <f>IF(COUNTA($F4,$K4,$P4)&gt;0,J3+SUM(G4:I4),"")</f>
        <v>17000</v>
      </c>
      <c r="K4" s="8"/>
      <c r="L4" s="9"/>
      <c r="M4" s="9"/>
      <c r="N4" s="55"/>
      <c r="O4" s="21">
        <f>IF(COUNTA($F4,$K4,$P4)&gt;0,O3+SUM(L4:N4),"")</f>
        <v>35000</v>
      </c>
      <c r="P4" s="8" t="s">
        <v>146</v>
      </c>
      <c r="Q4" s="9">
        <v>18000</v>
      </c>
      <c r="R4" s="9"/>
      <c r="S4" s="55">
        <v>0</v>
      </c>
      <c r="T4" s="21">
        <f>IF(COUNTA($F4,$K4,$P4)&gt;0,T3+SUM(Q4:S4),"")</f>
        <v>53000</v>
      </c>
      <c r="U4" s="60">
        <f>IF($J4="","",ROUND(($J4-$J$3)/1000,1)+(_xlfn.RANK.AVG($J4,($J4,$O4,$T4),1)-2)*20)</f>
        <v>-38</v>
      </c>
      <c r="V4" s="61">
        <f>IF($O4="","",ROUND(($O4-$O$3)/1000,1)+(_xlfn.RANK.AVG($O4,($J4,$O4,$T4),1)-2)*20)</f>
        <v>0</v>
      </c>
      <c r="W4" s="62">
        <f>IF($T4="","",ROUND(($T4-$T$3)/1000,1)+(_xlfn.RANK.AVG($T4,($J4,$O4,$T4),1)-2)*20)</f>
        <v>38</v>
      </c>
      <c r="Y4" s="8"/>
      <c r="Z4" s="41"/>
      <c r="AA4" s="32"/>
      <c r="AB4" s="32">
        <v>1</v>
      </c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>
        <v>1</v>
      </c>
      <c r="BR4" s="32"/>
      <c r="BS4" s="32">
        <v>6</v>
      </c>
      <c r="BT4" s="36" t="s">
        <v>147</v>
      </c>
      <c r="BU4" s="47" t="s">
        <v>148</v>
      </c>
      <c r="BV4" s="48" t="s">
        <v>149</v>
      </c>
      <c r="BW4" s="48" t="s">
        <v>80</v>
      </c>
      <c r="BX4" s="48" t="s">
        <v>80</v>
      </c>
      <c r="BY4" s="48" t="s">
        <v>81</v>
      </c>
      <c r="BZ4" s="48" t="s">
        <v>81</v>
      </c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5">
      <c r="A5" s="13" t="str">
        <f t="shared" ref="A5:A6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141</v>
      </c>
      <c r="F5" s="8" t="s">
        <v>146</v>
      </c>
      <c r="G5" s="9">
        <v>12000</v>
      </c>
      <c r="H5" s="9"/>
      <c r="I5" s="55">
        <v>1000</v>
      </c>
      <c r="J5" s="21">
        <f t="shared" ref="J5:J30" si="2">IF(COUNTA($F5,$K5,$P5)&gt;0,J4+SUM(G5:I5),"")</f>
        <v>30000</v>
      </c>
      <c r="K5" s="8"/>
      <c r="L5" s="9"/>
      <c r="M5" s="9"/>
      <c r="N5" s="55"/>
      <c r="O5" s="21">
        <f t="shared" ref="O5:O30" si="3">IF(COUNTA($F5,$K5,$P5)&gt;0,O4+SUM(L5:N5),"")</f>
        <v>35000</v>
      </c>
      <c r="P5" s="8" t="s">
        <v>145</v>
      </c>
      <c r="Q5" s="9">
        <v>-12000</v>
      </c>
      <c r="R5" s="9"/>
      <c r="S5" s="55">
        <v>-1000</v>
      </c>
      <c r="T5" s="21">
        <f t="shared" ref="T5:T30" si="4">IF(COUNTA($F5,$K5,$P5)&gt;0,T4+SUM(Q5:S5),"")</f>
        <v>40000</v>
      </c>
      <c r="U5" s="60">
        <f>IF($J5="","",ROUND(($J5-$J$3)/1000,1)+(_xlfn.RANK.AVG($J5,($J5,$O5,$T5),1)-2)*20)</f>
        <v>-25</v>
      </c>
      <c r="V5" s="61">
        <f>IF($O5="","",ROUND(($O5-$O$3)/1000,1)+(_xlfn.RANK.AVG($O5,($J5,$O5,$T5),1)-2)*20)</f>
        <v>0</v>
      </c>
      <c r="W5" s="62">
        <f>IF($T5="","",ROUND(($T5-$T$3)/1000,1)+(_xlfn.RANK.AVG($T5,($J5,$O5,$T5),1)-2)*20)</f>
        <v>25</v>
      </c>
      <c r="Y5" s="8"/>
      <c r="Z5" s="41"/>
      <c r="AA5" s="32">
        <v>1</v>
      </c>
      <c r="AB5" s="32"/>
      <c r="AC5" s="32">
        <v>6</v>
      </c>
      <c r="AD5" s="36" t="s">
        <v>147</v>
      </c>
      <c r="AE5" s="47" t="s">
        <v>148</v>
      </c>
      <c r="AF5" s="48" t="s">
        <v>80</v>
      </c>
      <c r="AG5" s="48" t="s">
        <v>82</v>
      </c>
      <c r="AH5" s="48" t="s">
        <v>82</v>
      </c>
      <c r="AI5" s="48" t="s">
        <v>82</v>
      </c>
      <c r="AJ5" s="48" t="s">
        <v>82</v>
      </c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139</v>
      </c>
      <c r="F6" s="8" t="s">
        <v>145</v>
      </c>
      <c r="G6" s="9">
        <v>-7700</v>
      </c>
      <c r="H6" s="9"/>
      <c r="I6" s="55">
        <v>0</v>
      </c>
      <c r="J6" s="21">
        <f t="shared" si="2"/>
        <v>22300</v>
      </c>
      <c r="K6" s="8" t="s">
        <v>146</v>
      </c>
      <c r="L6" s="9">
        <v>7700</v>
      </c>
      <c r="M6" s="9"/>
      <c r="N6" s="55">
        <v>0</v>
      </c>
      <c r="O6" s="21">
        <f t="shared" si="3"/>
        <v>42700</v>
      </c>
      <c r="P6" s="8"/>
      <c r="Q6" s="9"/>
      <c r="R6" s="9"/>
      <c r="S6" s="55"/>
      <c r="T6" s="21">
        <f t="shared" si="4"/>
        <v>40000</v>
      </c>
      <c r="U6" s="60">
        <f>IF($J6="","",ROUND(($J6-$J$3)/1000,1)+(_xlfn.RANK.AVG($J6,($J6,$O6,$T6),1)-2)*20)</f>
        <v>-32.700000000000003</v>
      </c>
      <c r="V6" s="61">
        <f>IF($O6="","",ROUND(($O6-$O$3)/1000,1)+(_xlfn.RANK.AVG($O6,($J6,$O6,$T6),1)-2)*20)</f>
        <v>27.7</v>
      </c>
      <c r="W6" s="62">
        <f>IF($T6="","",ROUND(($T6-$T$3)/1000,1)+(_xlfn.RANK.AVG($T6,($J6,$O6,$T6),1)-2)*20)</f>
        <v>5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>
        <v>1</v>
      </c>
      <c r="AW6" s="32"/>
      <c r="AX6" s="32">
        <v>4</v>
      </c>
      <c r="AY6" s="36">
        <v>30</v>
      </c>
      <c r="AZ6" s="47" t="s">
        <v>148</v>
      </c>
      <c r="BA6" s="48" t="s">
        <v>84</v>
      </c>
      <c r="BB6" s="48" t="s">
        <v>80</v>
      </c>
      <c r="BC6" s="48" t="s">
        <v>82</v>
      </c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5">
      <c r="A7" s="13" t="str">
        <f t="shared" ref="A7:A30" si="7">IF($E7="","",IF(AND(B6=3,B7=1),_xlfn.SWITCH(A6,"東","南","南","西","西","北","北","東"),A6))</f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143</v>
      </c>
      <c r="F7" s="8" t="s">
        <v>150</v>
      </c>
      <c r="G7" s="9">
        <v>-24000</v>
      </c>
      <c r="H7" s="9"/>
      <c r="I7" s="55">
        <v>0</v>
      </c>
      <c r="J7" s="21">
        <f t="shared" si="2"/>
        <v>-1700</v>
      </c>
      <c r="K7" s="8" t="s">
        <v>151</v>
      </c>
      <c r="L7" s="9">
        <v>48000</v>
      </c>
      <c r="M7" s="9"/>
      <c r="N7" s="55">
        <v>0</v>
      </c>
      <c r="O7" s="21">
        <f t="shared" si="3"/>
        <v>90700</v>
      </c>
      <c r="P7" s="8" t="s">
        <v>150</v>
      </c>
      <c r="Q7" s="9">
        <v>-24000</v>
      </c>
      <c r="R7" s="9"/>
      <c r="S7" s="55">
        <v>0</v>
      </c>
      <c r="T7" s="21">
        <f t="shared" si="4"/>
        <v>16000</v>
      </c>
      <c r="U7" s="60">
        <f>IF($J7="","",ROUND(($J7-$J$3)/1000,1)+(_xlfn.RANK.AVG($J7,($J7,$O7,$T7),1)-2)*20)</f>
        <v>-56.7</v>
      </c>
      <c r="V7" s="61">
        <f>IF($O7="","",ROUND(($O7-$O$3)/1000,1)+(_xlfn.RANK.AVG($O7,($J7,$O7,$T7),1)-2)*20)</f>
        <v>75.7</v>
      </c>
      <c r="W7" s="62">
        <f>IF($T7="","",ROUND(($T7-$T$3)/1000,1)+(_xlfn.RANK.AVG($T7,($J7,$O7,$T7),1)-2)*20)</f>
        <v>-19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>
        <v>1</v>
      </c>
      <c r="AW7" s="32"/>
      <c r="AX7" s="32">
        <v>13</v>
      </c>
      <c r="AY7" s="36" t="s">
        <v>147</v>
      </c>
      <c r="AZ7" s="47" t="s">
        <v>148</v>
      </c>
      <c r="BA7" s="48" t="s">
        <v>83</v>
      </c>
      <c r="BB7" s="48" t="s">
        <v>85</v>
      </c>
      <c r="BC7" s="48" t="s">
        <v>105</v>
      </c>
      <c r="BD7" s="48" t="s">
        <v>81</v>
      </c>
      <c r="BE7" s="48" t="s">
        <v>81</v>
      </c>
      <c r="BF7" s="48" t="s">
        <v>81</v>
      </c>
      <c r="BG7" s="48" t="s">
        <v>87</v>
      </c>
      <c r="BH7" s="48" t="s">
        <v>87</v>
      </c>
      <c r="BI7" s="48" t="s">
        <v>82</v>
      </c>
      <c r="BJ7" s="48" t="s">
        <v>82</v>
      </c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5">
      <c r="A8" s="13" t="str">
        <f t="shared" si="7"/>
        <v>東</v>
      </c>
      <c r="B8" s="18">
        <f t="shared" si="5"/>
        <v>3</v>
      </c>
      <c r="C8" s="18">
        <f t="shared" si="6"/>
        <v>1</v>
      </c>
      <c r="D8" s="18">
        <f t="shared" si="1"/>
        <v>0</v>
      </c>
      <c r="E8" s="4" t="s">
        <v>143</v>
      </c>
      <c r="F8" s="8"/>
      <c r="G8" s="9"/>
      <c r="H8" s="9"/>
      <c r="I8" s="55"/>
      <c r="J8" s="21" t="str">
        <f t="shared" si="2"/>
        <v/>
      </c>
      <c r="K8" s="8"/>
      <c r="L8" s="9"/>
      <c r="M8" s="9"/>
      <c r="N8" s="55"/>
      <c r="O8" s="21" t="str">
        <f t="shared" si="3"/>
        <v/>
      </c>
      <c r="P8" s="8"/>
      <c r="Q8" s="9"/>
      <c r="R8" s="9"/>
      <c r="S8" s="55"/>
      <c r="T8" s="21" t="str">
        <f t="shared" si="4"/>
        <v/>
      </c>
      <c r="U8" s="60" t="str">
        <f>IF($J8="","",ROUND(($J8-$J$3)/1000,1)+(_xlfn.RANK.AVG($J8,($J8,$O8,$T8),1)-2)*20)</f>
        <v/>
      </c>
      <c r="V8" s="61" t="str">
        <f>IF($O8="","",ROUND(($O8-$O$3)/1000,1)+(_xlfn.RANK.AVG($O8,($J8,$O8,$T8),1)-2)*20)</f>
        <v/>
      </c>
      <c r="W8" s="62" t="str">
        <f>IF($T8="","",ROUND(($T8-$T$3)/1000,1)+(_xlfn.RANK.AVG($T8,($J8,$O8,$T8),1)-2)*20)</f>
        <v/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5">
      <c r="A9" s="13" t="str">
        <f t="shared" si="7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55"/>
      <c r="J9" s="21" t="str">
        <f t="shared" si="2"/>
        <v/>
      </c>
      <c r="K9" s="8"/>
      <c r="L9" s="9"/>
      <c r="M9" s="9"/>
      <c r="N9" s="55"/>
      <c r="O9" s="21" t="str">
        <f t="shared" si="3"/>
        <v/>
      </c>
      <c r="P9" s="8"/>
      <c r="Q9" s="9"/>
      <c r="R9" s="9"/>
      <c r="S9" s="55"/>
      <c r="T9" s="21" t="str">
        <f t="shared" si="4"/>
        <v/>
      </c>
      <c r="U9" s="60" t="str">
        <f>IF($J9="","",ROUND(($J9-$J$3)/1000,1)+(_xlfn.RANK.AVG($J9,($J9,$O9,$T9),1)-2)*20)</f>
        <v/>
      </c>
      <c r="V9" s="61" t="str">
        <f>IF($O9="","",ROUND(($O9-$O$3)/1000,1)+(_xlfn.RANK.AVG($O9,($J9,$O9,$T9),1)-2)*20)</f>
        <v/>
      </c>
      <c r="W9" s="62" t="str">
        <f>IF($T9="","",ROUND(($T9-$T$3)/1000,1)+(_xlfn.RANK.AVG($T9,($J9,$O9,$T9),1)-2)*20)</f>
        <v/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5">
      <c r="A10" s="13" t="str">
        <f t="shared" si="7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55"/>
      <c r="J10" s="21" t="str">
        <f t="shared" si="2"/>
        <v/>
      </c>
      <c r="K10" s="8"/>
      <c r="L10" s="9"/>
      <c r="M10" s="9"/>
      <c r="N10" s="55"/>
      <c r="O10" s="21" t="str">
        <f t="shared" si="3"/>
        <v/>
      </c>
      <c r="P10" s="8"/>
      <c r="Q10" s="9"/>
      <c r="R10" s="9"/>
      <c r="S10" s="55"/>
      <c r="T10" s="21" t="str">
        <f t="shared" si="4"/>
        <v/>
      </c>
      <c r="U10" s="60" t="str">
        <f>IF($J10="","",ROUND(($J10-$J$3)/1000,1)+(_xlfn.RANK.AVG($J10,($J10,$O10,$T10),1)-2)*20)</f>
        <v/>
      </c>
      <c r="V10" s="61" t="str">
        <f>IF($O10="","",ROUND(($O10-$O$3)/1000,1)+(_xlfn.RANK.AVG($O10,($J10,$O10,$T10),1)-2)*20)</f>
        <v/>
      </c>
      <c r="W10" s="62" t="str">
        <f>IF($T10="","",ROUND(($T10-$T$3)/1000,1)+(_xlfn.RANK.AVG($T10,($J10,$O10,$T10),1)-2)*20)</f>
        <v/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5">
      <c r="A11" s="13" t="str">
        <f t="shared" si="7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55"/>
      <c r="J11" s="21" t="str">
        <f t="shared" si="2"/>
        <v/>
      </c>
      <c r="K11" s="8"/>
      <c r="L11" s="9"/>
      <c r="M11" s="9"/>
      <c r="N11" s="55"/>
      <c r="O11" s="21" t="str">
        <f t="shared" si="3"/>
        <v/>
      </c>
      <c r="P11" s="8"/>
      <c r="Q11" s="9"/>
      <c r="R11" s="9"/>
      <c r="S11" s="55"/>
      <c r="T11" s="21" t="str">
        <f t="shared" si="4"/>
        <v/>
      </c>
      <c r="U11" s="60" t="str">
        <f>IF($J11="","",ROUND(($J11-$J$3)/1000,1)+(_xlfn.RANK.AVG($J11,($J11,$O11,$T11),1)-2)*20)</f>
        <v/>
      </c>
      <c r="V11" s="61" t="str">
        <f>IF($O11="","",ROUND(($O11-$O$3)/1000,1)+(_xlfn.RANK.AVG($O11,($J11,$O11,$T11),1)-2)*20)</f>
        <v/>
      </c>
      <c r="W11" s="62" t="str">
        <f>IF($T11="","",ROUND(($T11-$T$3)/1000,1)+(_xlfn.RANK.AVG($T11,($J11,$O11,$T11),1)-2)*20)</f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5">
      <c r="A12" s="13" t="str">
        <f t="shared" si="7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55"/>
      <c r="J12" s="21" t="str">
        <f t="shared" si="2"/>
        <v/>
      </c>
      <c r="K12" s="8"/>
      <c r="L12" s="9"/>
      <c r="M12" s="9"/>
      <c r="N12" s="55"/>
      <c r="O12" s="21" t="str">
        <f t="shared" si="3"/>
        <v/>
      </c>
      <c r="P12" s="8"/>
      <c r="Q12" s="9"/>
      <c r="R12" s="9"/>
      <c r="S12" s="55"/>
      <c r="T12" s="21" t="str">
        <f t="shared" si="4"/>
        <v/>
      </c>
      <c r="U12" s="60" t="str">
        <f>IF($J12="","",ROUND(($J12-$J$3)/1000,1)+(_xlfn.RANK.AVG($J12,($J12,$O12,$T12),1)-2)*20)</f>
        <v/>
      </c>
      <c r="V12" s="61" t="str">
        <f>IF($O12="","",ROUND(($O12-$O$3)/1000,1)+(_xlfn.RANK.AVG($O12,($J12,$O12,$T12),1)-2)*20)</f>
        <v/>
      </c>
      <c r="W12" s="62" t="str">
        <f>IF($T12="","",ROUND(($T12-$T$3)/1000,1)+(_xlfn.RANK.AVG($T12,($J12,$O12,$T12),1)-2)*20)</f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5">
      <c r="A13" s="13" t="str">
        <f t="shared" si="7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55"/>
      <c r="J13" s="21" t="str">
        <f t="shared" si="2"/>
        <v/>
      </c>
      <c r="K13" s="8"/>
      <c r="L13" s="9"/>
      <c r="M13" s="9"/>
      <c r="N13" s="55"/>
      <c r="O13" s="21" t="str">
        <f t="shared" si="3"/>
        <v/>
      </c>
      <c r="P13" s="8"/>
      <c r="Q13" s="9"/>
      <c r="R13" s="9"/>
      <c r="S13" s="55"/>
      <c r="T13" s="21" t="str">
        <f t="shared" si="4"/>
        <v/>
      </c>
      <c r="U13" s="60" t="str">
        <f>IF($J13="","",ROUND(($J13-$J$3)/1000,1)+(_xlfn.RANK.AVG($J13,($J13,$O13,$T13),1)-2)*20)</f>
        <v/>
      </c>
      <c r="V13" s="61" t="str">
        <f>IF($O13="","",ROUND(($O13-$O$3)/1000,1)+(_xlfn.RANK.AVG($O13,($J13,$O13,$T13),1)-2)*20)</f>
        <v/>
      </c>
      <c r="W13" s="62" t="str">
        <f>IF($T13="","",ROUND(($T13-$T$3)/1000,1)+(_xlfn.RANK.AVG($T13,($J13,$O13,$T13),1)-2)*20)</f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5">
      <c r="A14" s="13" t="str">
        <f t="shared" si="7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55"/>
      <c r="J14" s="21" t="str">
        <f t="shared" si="2"/>
        <v/>
      </c>
      <c r="K14" s="8"/>
      <c r="L14" s="9"/>
      <c r="M14" s="9"/>
      <c r="N14" s="55"/>
      <c r="O14" s="21" t="str">
        <f t="shared" si="3"/>
        <v/>
      </c>
      <c r="P14" s="8"/>
      <c r="Q14" s="9"/>
      <c r="R14" s="9"/>
      <c r="S14" s="55"/>
      <c r="T14" s="21" t="str">
        <f t="shared" si="4"/>
        <v/>
      </c>
      <c r="U14" s="60" t="str">
        <f>IF($J14="","",ROUND(($J14-$J$3)/1000,1)+(_xlfn.RANK.AVG($J14,($J14,$O14,$T14),1)-2)*20)</f>
        <v/>
      </c>
      <c r="V14" s="61" t="str">
        <f>IF($O14="","",ROUND(($O14-$O$3)/1000,1)+(_xlfn.RANK.AVG($O14,($J14,$O14,$T14),1)-2)*20)</f>
        <v/>
      </c>
      <c r="W14" s="62" t="str">
        <f>IF($T14="","",ROUND(($T14-$T$3)/1000,1)+(_xlfn.RANK.AVG($T14,($J14,$O14,$T14),1)-2)*20)</f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5">
      <c r="A15" s="13" t="str">
        <f t="shared" si="7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5">
      <c r="A16" s="13" t="str">
        <f t="shared" si="7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5">
      <c r="A17" s="13" t="str">
        <f t="shared" si="7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5">
      <c r="A18" s="13" t="str">
        <f t="shared" si="7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5">
      <c r="A19" s="13" t="str">
        <f t="shared" si="7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5">
      <c r="A20" s="13" t="str">
        <f t="shared" si="7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5">
      <c r="A21" s="13" t="str">
        <f t="shared" si="7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5">
      <c r="A22" s="13" t="str">
        <f t="shared" si="7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5">
      <c r="A23" s="13" t="str">
        <f t="shared" si="7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5">
      <c r="A24" s="13" t="str">
        <f t="shared" si="7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5">
      <c r="A25" s="13" t="str">
        <f t="shared" si="7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5">
      <c r="A26" s="13" t="str">
        <f t="shared" si="7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5">
      <c r="A27" s="13" t="str">
        <f t="shared" si="7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5">
      <c r="A28" s="13" t="str">
        <f t="shared" si="7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5">
      <c r="A29" s="13" t="str">
        <f t="shared" si="7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5">
      <c r="A30" s="14" t="str">
        <f t="shared" si="7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F86163-469C-4BAE-A4FA-6C59C0E430B7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5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140</v>
      </c>
      <c r="G1" s="74"/>
      <c r="H1" s="74"/>
      <c r="I1" s="83"/>
      <c r="J1" s="75"/>
      <c r="K1" s="72" t="s">
        <v>144</v>
      </c>
      <c r="L1" s="74"/>
      <c r="M1" s="74"/>
      <c r="N1" s="83"/>
      <c r="O1" s="75"/>
      <c r="P1" s="72" t="s">
        <v>142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りょうすけ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だいち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てんちゃん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5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りょうすけ</v>
      </c>
      <c r="V2" s="71" t="str">
        <f>$K$1</f>
        <v>だいち</v>
      </c>
      <c r="W2" s="16" t="str">
        <f>$P$1</f>
        <v>てんちゃん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5">
      <c r="A4" s="13" t="s">
        <v>134</v>
      </c>
      <c r="B4" s="18">
        <v>1</v>
      </c>
      <c r="C4" s="18">
        <v>0</v>
      </c>
      <c r="D4" s="18">
        <v>0</v>
      </c>
      <c r="E4" s="4" t="s">
        <v>143</v>
      </c>
      <c r="F4" s="8" t="s">
        <v>150</v>
      </c>
      <c r="G4" s="9">
        <v>-9000</v>
      </c>
      <c r="H4" s="9"/>
      <c r="I4" s="55">
        <v>0</v>
      </c>
      <c r="J4" s="21">
        <f>IF(COUNTA($F4,$K4,$P4)&gt;0,J3+SUM(G4:I4),"")</f>
        <v>26000</v>
      </c>
      <c r="K4" s="8" t="s">
        <v>151</v>
      </c>
      <c r="L4" s="9">
        <v>18000</v>
      </c>
      <c r="M4" s="9"/>
      <c r="N4" s="55">
        <v>0</v>
      </c>
      <c r="O4" s="21">
        <f>IF(COUNTA($F4,$K4,$P4)&gt;0,O3+SUM(L4:N4),"")</f>
        <v>53000</v>
      </c>
      <c r="P4" s="8" t="s">
        <v>150</v>
      </c>
      <c r="Q4" s="9">
        <v>-9000</v>
      </c>
      <c r="R4" s="9"/>
      <c r="S4" s="55">
        <v>0</v>
      </c>
      <c r="T4" s="21">
        <f>IF(COUNTA($F4,$K4,$P4)&gt;0,T3+SUM(Q4:S4),"")</f>
        <v>26000</v>
      </c>
      <c r="U4" s="60">
        <f>IF($J4="","",ROUND(($J4-$J$3)/1000,1)+(_xlfn.RANK.AVG($J4,($J4,$O4,$T4),1)-2)*20)</f>
        <v>-19</v>
      </c>
      <c r="V4" s="61">
        <f>IF($O4="","",ROUND(($O4-$O$3)/1000,1)+(_xlfn.RANK.AVG($O4,($J4,$O4,$T4),1)-2)*20)</f>
        <v>38</v>
      </c>
      <c r="W4" s="62">
        <f>IF($T4="","",ROUND(($T4-$T$3)/1000,1)+(_xlfn.RANK.AVG($T4,($J4,$O4,$T4),1)-2)*20)</f>
        <v>-19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>
        <v>1</v>
      </c>
      <c r="AW4" s="32"/>
      <c r="AX4" s="32">
        <v>6</v>
      </c>
      <c r="AY4" s="36" t="s">
        <v>147</v>
      </c>
      <c r="AZ4" s="47" t="s">
        <v>148</v>
      </c>
      <c r="BA4" s="48" t="s">
        <v>83</v>
      </c>
      <c r="BB4" s="48" t="s">
        <v>149</v>
      </c>
      <c r="BC4" s="48" t="s">
        <v>84</v>
      </c>
      <c r="BD4" s="48" t="s">
        <v>80</v>
      </c>
      <c r="BE4" s="48" t="s">
        <v>82</v>
      </c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143</v>
      </c>
      <c r="F5" s="8" t="s">
        <v>154</v>
      </c>
      <c r="G5" s="9">
        <v>-1500</v>
      </c>
      <c r="H5" s="9"/>
      <c r="I5" s="55"/>
      <c r="J5" s="21">
        <f t="shared" ref="J5:J30" si="2">IF(COUNTA($F5,$K5,$P5)&gt;0,J4+SUM(G5:I5),"")</f>
        <v>24500</v>
      </c>
      <c r="K5" s="8" t="s">
        <v>154</v>
      </c>
      <c r="L5" s="9">
        <v>3000</v>
      </c>
      <c r="M5" s="9">
        <v>-1000</v>
      </c>
      <c r="N5" s="55"/>
      <c r="O5" s="21">
        <f t="shared" ref="O5:O30" si="3">IF(COUNTA($F5,$K5,$P5)&gt;0,O4+SUM(L5:N5),"")</f>
        <v>55000</v>
      </c>
      <c r="P5" s="8" t="s">
        <v>154</v>
      </c>
      <c r="Q5" s="9">
        <v>-1500</v>
      </c>
      <c r="R5" s="9"/>
      <c r="S5" s="55"/>
      <c r="T5" s="21">
        <f t="shared" ref="T5:T30" si="4">IF(COUNTA($F5,$K5,$P5)&gt;0,T4+SUM(Q5:S5),"")</f>
        <v>24500</v>
      </c>
      <c r="U5" s="60">
        <f>IF($J5="","",ROUND(($J5-$J$3)/1000,1)+(_xlfn.RANK.AVG($J5,($J5,$O5,$T5),1)-2)*20)</f>
        <v>-20.5</v>
      </c>
      <c r="V5" s="61">
        <f>IF($O5="","",ROUND(($O5-$O$3)/1000,1)+(_xlfn.RANK.AVG($O5,($J5,$O5,$T5),1)-2)*20)</f>
        <v>40</v>
      </c>
      <c r="W5" s="62">
        <f>IF($T5="","",ROUND(($T5-$T$3)/1000,1)+(_xlfn.RANK.AVG($T5,($J5,$O5,$T5),1)-2)*20)</f>
        <v>-20.5</v>
      </c>
      <c r="Y5" s="8" t="s">
        <v>152</v>
      </c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 t="s">
        <v>153</v>
      </c>
      <c r="AU5" s="41"/>
      <c r="AV5" s="32">
        <v>1</v>
      </c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 t="s">
        <v>152</v>
      </c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1</v>
      </c>
      <c r="E6" s="4" t="s">
        <v>143</v>
      </c>
      <c r="F6" s="8" t="s">
        <v>154</v>
      </c>
      <c r="G6" s="9">
        <v>-1500</v>
      </c>
      <c r="H6" s="9"/>
      <c r="I6" s="55"/>
      <c r="J6" s="21">
        <f t="shared" si="2"/>
        <v>23000</v>
      </c>
      <c r="K6" s="8" t="s">
        <v>154</v>
      </c>
      <c r="L6" s="9">
        <v>3000</v>
      </c>
      <c r="M6" s="9">
        <v>-1000</v>
      </c>
      <c r="N6" s="55"/>
      <c r="O6" s="21">
        <f t="shared" si="3"/>
        <v>57000</v>
      </c>
      <c r="P6" s="8" t="s">
        <v>154</v>
      </c>
      <c r="Q6" s="9">
        <v>-1500</v>
      </c>
      <c r="R6" s="9"/>
      <c r="S6" s="55"/>
      <c r="T6" s="21">
        <f t="shared" si="4"/>
        <v>23000</v>
      </c>
      <c r="U6" s="60">
        <f>IF($J6="","",ROUND(($J6-$J$3)/1000,1)+(_xlfn.RANK.AVG($J6,($J6,$O6,$T6),1)-2)*20)</f>
        <v>-22</v>
      </c>
      <c r="V6" s="61">
        <f>IF($O6="","",ROUND(($O6-$O$3)/1000,1)+(_xlfn.RANK.AVG($O6,($J6,$O6,$T6),1)-2)*20)</f>
        <v>42</v>
      </c>
      <c r="W6" s="62">
        <f>IF($T6="","",ROUND(($T6-$T$3)/1000,1)+(_xlfn.RANK.AVG($T6,($J6,$O6,$T6),1)-2)*20)</f>
        <v>-22</v>
      </c>
      <c r="Y6" s="8" t="s">
        <v>152</v>
      </c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 t="s">
        <v>153</v>
      </c>
      <c r="AU6" s="41"/>
      <c r="AV6" s="32">
        <v>1</v>
      </c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 t="s">
        <v>152</v>
      </c>
      <c r="BP6" s="41"/>
      <c r="BQ6" s="32"/>
      <c r="BR6" s="32">
        <v>1</v>
      </c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5">
      <c r="A7" s="13" t="str">
        <f t="shared" si="0"/>
        <v>東</v>
      </c>
      <c r="B7" s="18">
        <f t="shared" si="5"/>
        <v>1</v>
      </c>
      <c r="C7" s="18">
        <f t="shared" si="6"/>
        <v>3</v>
      </c>
      <c r="D7" s="18">
        <f t="shared" si="1"/>
        <v>2</v>
      </c>
      <c r="E7" s="4" t="s">
        <v>143</v>
      </c>
      <c r="F7" s="8"/>
      <c r="G7" s="9"/>
      <c r="H7" s="9"/>
      <c r="I7" s="55"/>
      <c r="J7" s="21">
        <f t="shared" si="2"/>
        <v>23000</v>
      </c>
      <c r="K7" s="8" t="s">
        <v>145</v>
      </c>
      <c r="L7" s="9">
        <v>-12000</v>
      </c>
      <c r="M7" s="9"/>
      <c r="N7" s="55">
        <v>-3000</v>
      </c>
      <c r="O7" s="21">
        <f t="shared" si="3"/>
        <v>42000</v>
      </c>
      <c r="P7" s="8" t="s">
        <v>146</v>
      </c>
      <c r="Q7" s="9">
        <v>12000</v>
      </c>
      <c r="R7" s="9">
        <v>2000</v>
      </c>
      <c r="S7" s="55">
        <v>3000</v>
      </c>
      <c r="T7" s="21">
        <f t="shared" si="4"/>
        <v>40000</v>
      </c>
      <c r="U7" s="60">
        <f>IF($J7="","",ROUND(($J7-$J$3)/1000,1)+(_xlfn.RANK.AVG($J7,($J7,$O7,$T7),1)-2)*20)</f>
        <v>-32</v>
      </c>
      <c r="V7" s="61">
        <f>IF($O7="","",ROUND(($O7-$O$3)/1000,1)+(_xlfn.RANK.AVG($O7,($J7,$O7,$T7),1)-2)*20)</f>
        <v>27</v>
      </c>
      <c r="W7" s="62">
        <f>IF($T7="","",ROUND(($T7-$T$3)/1000,1)+(_xlfn.RANK.AVG($T7,($J7,$O7,$T7),1)-2)*20)</f>
        <v>5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>
        <v>1</v>
      </c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>
        <v>1</v>
      </c>
      <c r="BR7" s="32"/>
      <c r="BS7" s="32">
        <v>7</v>
      </c>
      <c r="BT7" s="36" t="s">
        <v>147</v>
      </c>
      <c r="BU7" s="47" t="s">
        <v>148</v>
      </c>
      <c r="BV7" s="48" t="s">
        <v>84</v>
      </c>
      <c r="BW7" s="48" t="s">
        <v>80</v>
      </c>
      <c r="BX7" s="48" t="s">
        <v>82</v>
      </c>
      <c r="BY7" s="48" t="s">
        <v>81</v>
      </c>
      <c r="BZ7" s="48" t="s">
        <v>81</v>
      </c>
      <c r="CA7" s="48" t="s">
        <v>81</v>
      </c>
      <c r="CB7" s="48"/>
      <c r="CC7" s="48"/>
      <c r="CD7" s="48"/>
      <c r="CE7" s="48"/>
      <c r="CF7" s="48"/>
      <c r="CG7" s="48"/>
      <c r="CH7" s="48"/>
      <c r="CI7" s="49"/>
    </row>
    <row r="8" spans="1:87" x14ac:dyDescent="0.45">
      <c r="A8" s="13" t="str">
        <f t="shared" si="0"/>
        <v>東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141</v>
      </c>
      <c r="F8" s="8" t="s">
        <v>145</v>
      </c>
      <c r="G8" s="9">
        <v>-8000</v>
      </c>
      <c r="H8" s="9"/>
      <c r="I8" s="55">
        <v>0</v>
      </c>
      <c r="J8" s="21">
        <f t="shared" si="2"/>
        <v>15000</v>
      </c>
      <c r="K8" s="8" t="s">
        <v>146</v>
      </c>
      <c r="L8" s="9">
        <v>8000</v>
      </c>
      <c r="M8" s="9">
        <v>1000</v>
      </c>
      <c r="N8" s="55">
        <v>0</v>
      </c>
      <c r="O8" s="21">
        <f t="shared" si="3"/>
        <v>51000</v>
      </c>
      <c r="P8" s="8"/>
      <c r="Q8" s="9"/>
      <c r="R8" s="9">
        <v>-1000</v>
      </c>
      <c r="S8" s="55"/>
      <c r="T8" s="21">
        <f t="shared" si="4"/>
        <v>39000</v>
      </c>
      <c r="U8" s="60">
        <f>IF($J8="","",ROUND(($J8-$J$3)/1000,1)+(_xlfn.RANK.AVG($J8,($J8,$O8,$T8),1)-2)*20)</f>
        <v>-40</v>
      </c>
      <c r="V8" s="61">
        <f>IF($O8="","",ROUND(($O8-$O$3)/1000,1)+(_xlfn.RANK.AVG($O8,($J8,$O8,$T8),1)-2)*20)</f>
        <v>36</v>
      </c>
      <c r="W8" s="62">
        <f>IF($T8="","",ROUND(($T8-$T$3)/1000,1)+(_xlfn.RANK.AVG($T8,($J8,$O8,$T8),1)-2)*20)</f>
        <v>4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>
        <v>1</v>
      </c>
      <c r="AX8" s="32">
        <v>4</v>
      </c>
      <c r="AY8" s="36">
        <v>40</v>
      </c>
      <c r="AZ8" s="47" t="s">
        <v>105</v>
      </c>
      <c r="BA8" s="48" t="s">
        <v>87</v>
      </c>
      <c r="BB8" s="48" t="s">
        <v>80</v>
      </c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>
        <v>1</v>
      </c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5">
      <c r="A9" s="13" t="str">
        <f t="shared" si="0"/>
        <v>東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139</v>
      </c>
      <c r="F9" s="8" t="s">
        <v>150</v>
      </c>
      <c r="G9" s="9">
        <v>-7500</v>
      </c>
      <c r="H9" s="9"/>
      <c r="I9" s="55">
        <v>0</v>
      </c>
      <c r="J9" s="21">
        <f t="shared" si="2"/>
        <v>7500</v>
      </c>
      <c r="K9" s="8" t="s">
        <v>150</v>
      </c>
      <c r="L9" s="9">
        <v>-4500</v>
      </c>
      <c r="M9" s="9"/>
      <c r="N9" s="55">
        <v>0</v>
      </c>
      <c r="O9" s="21">
        <f t="shared" si="3"/>
        <v>46500</v>
      </c>
      <c r="P9" s="8" t="s">
        <v>151</v>
      </c>
      <c r="Q9" s="9">
        <v>12000</v>
      </c>
      <c r="R9" s="9"/>
      <c r="S9" s="55">
        <v>0</v>
      </c>
      <c r="T9" s="21">
        <f t="shared" si="4"/>
        <v>51000</v>
      </c>
      <c r="U9" s="60">
        <f>IF($J9="","",ROUND(($J9-$J$3)/1000,1)+(_xlfn.RANK.AVG($J9,($J9,$O9,$T9),1)-2)*20)</f>
        <v>-47.5</v>
      </c>
      <c r="V9" s="61">
        <f>IF($O9="","",ROUND(($O9-$O$3)/1000,1)+(_xlfn.RANK.AVG($O9,($J9,$O9,$T9),1)-2)*20)</f>
        <v>11.5</v>
      </c>
      <c r="W9" s="62">
        <f>IF($T9="","",ROUND(($T9-$T$3)/1000,1)+(_xlfn.RANK.AVG($T9,($J9,$O9,$T9),1)-2)*20)</f>
        <v>36</v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>
        <v>1</v>
      </c>
      <c r="BR9" s="32"/>
      <c r="BS9" s="32">
        <v>6</v>
      </c>
      <c r="BT9" s="36" t="s">
        <v>147</v>
      </c>
      <c r="BU9" s="47" t="s">
        <v>148</v>
      </c>
      <c r="BV9" s="48" t="s">
        <v>83</v>
      </c>
      <c r="BW9" s="48" t="s">
        <v>80</v>
      </c>
      <c r="BX9" s="48" t="s">
        <v>80</v>
      </c>
      <c r="BY9" s="48" t="s">
        <v>80</v>
      </c>
      <c r="BZ9" s="48" t="s">
        <v>82</v>
      </c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5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">
        <v>143</v>
      </c>
      <c r="F10" s="8" t="s">
        <v>154</v>
      </c>
      <c r="G10" s="9">
        <v>1500</v>
      </c>
      <c r="H10" s="9"/>
      <c r="I10" s="55"/>
      <c r="J10" s="21">
        <f t="shared" si="2"/>
        <v>9000</v>
      </c>
      <c r="K10" s="8" t="s">
        <v>154</v>
      </c>
      <c r="L10" s="9">
        <v>1500</v>
      </c>
      <c r="M10" s="9">
        <v>-1000</v>
      </c>
      <c r="N10" s="55"/>
      <c r="O10" s="21">
        <f t="shared" si="3"/>
        <v>47000</v>
      </c>
      <c r="P10" s="8" t="s">
        <v>154</v>
      </c>
      <c r="Q10" s="9">
        <v>-3000</v>
      </c>
      <c r="R10" s="9"/>
      <c r="S10" s="55"/>
      <c r="T10" s="21">
        <f t="shared" si="4"/>
        <v>48000</v>
      </c>
      <c r="U10" s="60">
        <f>IF($J10="","",ROUND(($J10-$J$3)/1000,1)+(_xlfn.RANK.AVG($J10,($J10,$O10,$T10),1)-2)*20)</f>
        <v>-46</v>
      </c>
      <c r="V10" s="61">
        <f>IF($O10="","",ROUND(($O10-$O$3)/1000,1)+(_xlfn.RANK.AVG($O10,($J10,$O10,$T10),1)-2)*20)</f>
        <v>12</v>
      </c>
      <c r="W10" s="62">
        <f>IF($T10="","",ROUND(($T10-$T$3)/1000,1)+(_xlfn.RANK.AVG($T10,($J10,$O10,$T10),1)-2)*20)</f>
        <v>33</v>
      </c>
      <c r="Y10" s="8" t="s">
        <v>153</v>
      </c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 t="s">
        <v>153</v>
      </c>
      <c r="AU10" s="41"/>
      <c r="AV10" s="32">
        <v>1</v>
      </c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 t="s">
        <v>152</v>
      </c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5">
      <c r="A11" s="13" t="str">
        <f t="shared" si="0"/>
        <v>南</v>
      </c>
      <c r="B11" s="18">
        <f t="shared" si="5"/>
        <v>1</v>
      </c>
      <c r="C11" s="18">
        <f t="shared" si="6"/>
        <v>1</v>
      </c>
      <c r="D11" s="18">
        <f t="shared" si="1"/>
        <v>1</v>
      </c>
      <c r="E11" s="4" t="s">
        <v>143</v>
      </c>
      <c r="F11" s="8" t="s">
        <v>150</v>
      </c>
      <c r="G11" s="9">
        <v>-5800</v>
      </c>
      <c r="H11" s="9"/>
      <c r="I11" s="55">
        <v>-500</v>
      </c>
      <c r="J11" s="21">
        <f t="shared" si="2"/>
        <v>2700</v>
      </c>
      <c r="K11" s="8" t="s">
        <v>151</v>
      </c>
      <c r="L11" s="9">
        <v>11600</v>
      </c>
      <c r="M11" s="9">
        <v>1000</v>
      </c>
      <c r="N11" s="55">
        <v>1000</v>
      </c>
      <c r="O11" s="21">
        <f t="shared" si="3"/>
        <v>60600</v>
      </c>
      <c r="P11" s="8" t="s">
        <v>150</v>
      </c>
      <c r="Q11" s="9">
        <v>-5800</v>
      </c>
      <c r="R11" s="9"/>
      <c r="S11" s="55">
        <v>-500</v>
      </c>
      <c r="T11" s="21">
        <f t="shared" si="4"/>
        <v>41700</v>
      </c>
      <c r="U11" s="60">
        <f>IF($J11="","",ROUND(($J11-$J$3)/1000,1)+(_xlfn.RANK.AVG($J11,($J11,$O11,$T11),1)-2)*20)</f>
        <v>-52.3</v>
      </c>
      <c r="V11" s="61">
        <f>IF($O11="","",ROUND(($O11-$O$3)/1000,1)+(_xlfn.RANK.AVG($O11,($J11,$O11,$T11),1)-2)*20)</f>
        <v>45.6</v>
      </c>
      <c r="W11" s="62">
        <f>IF($T11="","",ROUND(($T11-$T$3)/1000,1)+(_xlfn.RANK.AVG($T11,($J11,$O11,$T11),1)-2)*20)</f>
        <v>6.7</v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>
        <v>1</v>
      </c>
      <c r="AW11" s="32"/>
      <c r="AX11" s="32">
        <v>4</v>
      </c>
      <c r="AY11" s="36">
        <v>30</v>
      </c>
      <c r="AZ11" s="47" t="s">
        <v>148</v>
      </c>
      <c r="BA11" s="48" t="s">
        <v>83</v>
      </c>
      <c r="BB11" s="48" t="s">
        <v>80</v>
      </c>
      <c r="BC11" s="48" t="s">
        <v>149</v>
      </c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5">
      <c r="A12" s="13" t="str">
        <f t="shared" si="0"/>
        <v>南</v>
      </c>
      <c r="B12" s="18">
        <f t="shared" si="5"/>
        <v>1</v>
      </c>
      <c r="C12" s="18">
        <f t="shared" si="6"/>
        <v>2</v>
      </c>
      <c r="D12" s="18">
        <f t="shared" si="1"/>
        <v>0</v>
      </c>
      <c r="E12" s="4" t="s">
        <v>143</v>
      </c>
      <c r="F12" s="8" t="s">
        <v>145</v>
      </c>
      <c r="G12" s="9">
        <v>-12000</v>
      </c>
      <c r="H12" s="9"/>
      <c r="I12" s="55">
        <v>-2000</v>
      </c>
      <c r="J12" s="21">
        <f t="shared" si="2"/>
        <v>-11300</v>
      </c>
      <c r="K12" s="8"/>
      <c r="L12" s="9"/>
      <c r="M12" s="9"/>
      <c r="N12" s="55"/>
      <c r="O12" s="21">
        <f t="shared" si="3"/>
        <v>60600</v>
      </c>
      <c r="P12" s="8" t="s">
        <v>146</v>
      </c>
      <c r="Q12" s="9">
        <v>12000</v>
      </c>
      <c r="R12" s="9"/>
      <c r="S12" s="55">
        <v>2000</v>
      </c>
      <c r="T12" s="21">
        <f t="shared" si="4"/>
        <v>55700</v>
      </c>
      <c r="U12" s="60">
        <f>IF($J12="","",ROUND(($J12-$J$3)/1000,1)+(_xlfn.RANK.AVG($J12,($J12,$O12,$T12),1)-2)*20)</f>
        <v>-66.3</v>
      </c>
      <c r="V12" s="61">
        <f>IF($O12="","",ROUND(($O12-$O$3)/1000,1)+(_xlfn.RANK.AVG($O12,($J12,$O12,$T12),1)-2)*20)</f>
        <v>45.6</v>
      </c>
      <c r="W12" s="62">
        <f>IF($T12="","",ROUND(($T12-$T$3)/1000,1)+(_xlfn.RANK.AVG($T12,($J12,$O12,$T12),1)-2)*20)</f>
        <v>20.7</v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>
        <v>1</v>
      </c>
      <c r="BR12" s="32"/>
      <c r="BS12" s="32">
        <v>6</v>
      </c>
      <c r="BT12" s="36" t="s">
        <v>147</v>
      </c>
      <c r="BU12" s="47" t="s">
        <v>148</v>
      </c>
      <c r="BV12" s="48" t="s">
        <v>105</v>
      </c>
      <c r="BW12" s="48" t="s">
        <v>87</v>
      </c>
      <c r="BX12" s="48" t="s">
        <v>87</v>
      </c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5">
      <c r="A13" s="13" t="str">
        <f t="shared" si="0"/>
        <v>南</v>
      </c>
      <c r="B13" s="18">
        <f t="shared" si="5"/>
        <v>2</v>
      </c>
      <c r="C13" s="18">
        <f t="shared" si="6"/>
        <v>0</v>
      </c>
      <c r="D13" s="18">
        <f t="shared" si="1"/>
        <v>0</v>
      </c>
      <c r="E13" s="4" t="s">
        <v>141</v>
      </c>
      <c r="F13" s="8"/>
      <c r="G13" s="9"/>
      <c r="H13" s="9"/>
      <c r="I13" s="55"/>
      <c r="J13" s="21" t="str">
        <f t="shared" si="2"/>
        <v/>
      </c>
      <c r="K13" s="8"/>
      <c r="L13" s="9"/>
      <c r="M13" s="9"/>
      <c r="N13" s="55"/>
      <c r="O13" s="21" t="str">
        <f t="shared" si="3"/>
        <v/>
      </c>
      <c r="P13" s="8"/>
      <c r="Q13" s="9"/>
      <c r="R13" s="9"/>
      <c r="S13" s="55"/>
      <c r="T13" s="21" t="str">
        <f t="shared" si="4"/>
        <v/>
      </c>
      <c r="U13" s="60" t="str">
        <f>IF($J13="","",ROUND(($J13-$J$3)/1000,1)+(_xlfn.RANK.AVG($J13,($J13,$O13,$T13),1)-2)*20)</f>
        <v/>
      </c>
      <c r="V13" s="61" t="str">
        <f>IF($O13="","",ROUND(($O13-$O$3)/1000,1)+(_xlfn.RANK.AVG($O13,($J13,$O13,$T13),1)-2)*20)</f>
        <v/>
      </c>
      <c r="W13" s="62" t="str">
        <f>IF($T13="","",ROUND(($T13-$T$3)/1000,1)+(_xlfn.RANK.AVG($T13,($J13,$O13,$T13),1)-2)*20)</f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55"/>
      <c r="J14" s="21" t="str">
        <f t="shared" si="2"/>
        <v/>
      </c>
      <c r="K14" s="8"/>
      <c r="L14" s="9"/>
      <c r="M14" s="9"/>
      <c r="N14" s="55"/>
      <c r="O14" s="21" t="str">
        <f t="shared" si="3"/>
        <v/>
      </c>
      <c r="P14" s="8"/>
      <c r="Q14" s="9"/>
      <c r="R14" s="9"/>
      <c r="S14" s="55"/>
      <c r="T14" s="21" t="str">
        <f t="shared" si="4"/>
        <v/>
      </c>
      <c r="U14" s="60" t="str">
        <f>IF($J14="","",ROUND(($J14-$J$3)/1000,1)+(_xlfn.RANK.AVG($J14,($J14,$O14,$T14),1)-2)*20)</f>
        <v/>
      </c>
      <c r="V14" s="61" t="str">
        <f>IF($O14="","",ROUND(($O14-$O$3)/1000,1)+(_xlfn.RANK.AVG($O14,($J14,$O14,$T14),1)-2)*20)</f>
        <v/>
      </c>
      <c r="W14" s="62" t="str">
        <f>IF($T14="","",ROUND(($T14-$T$3)/1000,1)+(_xlfn.RANK.AVG($T14,($J14,$O14,$T14),1)-2)*20)</f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2">
    <dataValidation type="list" allowBlank="1" showInputMessage="1" showErrorMessage="1" sqref="E4:E30" xr:uid="{92295810-8E9E-42E6-9F46-4DEDDDC5A0B8}">
      <formula1>$U$2:$W$2</formula1>
    </dataValidation>
    <dataValidation type="list" showInputMessage="1" showErrorMessage="1" sqref="K4:K30 P4:P30 F4:F30" xr:uid="{14E9B7AA-080B-464B-9814-7EB3520A4D7B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33B21F-2314-495B-9354-5A0A51E7D153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5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140</v>
      </c>
      <c r="G1" s="74"/>
      <c r="H1" s="74"/>
      <c r="I1" s="83"/>
      <c r="J1" s="75"/>
      <c r="K1" s="72" t="s">
        <v>144</v>
      </c>
      <c r="L1" s="74"/>
      <c r="M1" s="74"/>
      <c r="N1" s="83"/>
      <c r="O1" s="75"/>
      <c r="P1" s="72" t="s">
        <v>142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りょうすけ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だいち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てんちゃん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5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りょうすけ</v>
      </c>
      <c r="V2" s="71" t="str">
        <f>$K$1</f>
        <v>だいち</v>
      </c>
      <c r="W2" s="16" t="str">
        <f>$P$1</f>
        <v>てんちゃん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5">
      <c r="A4" s="13" t="s">
        <v>134</v>
      </c>
      <c r="B4" s="18">
        <v>1</v>
      </c>
      <c r="C4" s="18">
        <v>0</v>
      </c>
      <c r="D4" s="18">
        <v>0</v>
      </c>
      <c r="E4" s="4" t="s">
        <v>143</v>
      </c>
      <c r="F4" s="8"/>
      <c r="G4" s="9"/>
      <c r="H4" s="9"/>
      <c r="I4" s="55"/>
      <c r="J4" s="21">
        <f>IF(COUNTA($F4,$K4,$P4)&gt;0,J3+SUM(G4:I4),"")</f>
        <v>35000</v>
      </c>
      <c r="K4" s="8" t="s">
        <v>145</v>
      </c>
      <c r="L4" s="9">
        <v>-3900</v>
      </c>
      <c r="M4" s="9"/>
      <c r="N4" s="55">
        <v>0</v>
      </c>
      <c r="O4" s="21">
        <f>IF(COUNTA($F4,$K4,$P4)&gt;0,O3+SUM(L4:N4),"")</f>
        <v>31100</v>
      </c>
      <c r="P4" s="8" t="s">
        <v>146</v>
      </c>
      <c r="Q4" s="9">
        <v>3900</v>
      </c>
      <c r="R4" s="9"/>
      <c r="S4" s="55">
        <v>0</v>
      </c>
      <c r="T4" s="21">
        <f>IF(COUNTA($F4,$K4,$P4)&gt;0,T3+SUM(Q4:S4),"")</f>
        <v>38900</v>
      </c>
      <c r="U4" s="60">
        <f>IF($J4="","",ROUND(($J4-$J$3)/1000,1)+(_xlfn.RANK.AVG($J4,($J4,$O4,$T4),1)-2)*20)</f>
        <v>0</v>
      </c>
      <c r="V4" s="61">
        <f>IF($O4="","",ROUND(($O4-$O$3)/1000,1)+(_xlfn.RANK.AVG($O4,($J4,$O4,$T4),1)-2)*20)</f>
        <v>-23.9</v>
      </c>
      <c r="W4" s="62">
        <f>IF($T4="","",ROUND(($T4-$T$3)/1000,1)+(_xlfn.RANK.AVG($T4,($J4,$O4,$T4),1)-2)*20)</f>
        <v>23.9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>
        <v>1</v>
      </c>
      <c r="BS4" s="32">
        <v>3</v>
      </c>
      <c r="BT4" s="36">
        <v>30</v>
      </c>
      <c r="BU4" s="47" t="s">
        <v>87</v>
      </c>
      <c r="BV4" s="48" t="s">
        <v>80</v>
      </c>
      <c r="BW4" s="48" t="s">
        <v>82</v>
      </c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141</v>
      </c>
      <c r="F5" s="8" t="s">
        <v>145</v>
      </c>
      <c r="G5" s="9">
        <v>-12000</v>
      </c>
      <c r="H5" s="9">
        <v>-1000</v>
      </c>
      <c r="I5" s="55">
        <v>0</v>
      </c>
      <c r="J5" s="21">
        <f t="shared" ref="J5:J30" si="2">IF(COUNTA($F5,$K5,$P5)&gt;0,J4+SUM(G5:I5),"")</f>
        <v>22000</v>
      </c>
      <c r="K5" s="8"/>
      <c r="L5" s="9"/>
      <c r="M5" s="9"/>
      <c r="N5" s="55"/>
      <c r="O5" s="21">
        <f t="shared" ref="O5:O30" si="3">IF(COUNTA($F5,$K5,$P5)&gt;0,O4+SUM(L5:N5),"")</f>
        <v>31100</v>
      </c>
      <c r="P5" s="8" t="s">
        <v>146</v>
      </c>
      <c r="Q5" s="9">
        <v>12000</v>
      </c>
      <c r="R5" s="9">
        <v>1000</v>
      </c>
      <c r="S5" s="55">
        <v>0</v>
      </c>
      <c r="T5" s="21">
        <f t="shared" ref="T5:T30" si="4">IF(COUNTA($F5,$K5,$P5)&gt;0,T4+SUM(Q5:S5),"")</f>
        <v>51900</v>
      </c>
      <c r="U5" s="60">
        <f>IF($J5="","",ROUND(($J5-$J$3)/1000,1)+(_xlfn.RANK.AVG($J5,($J5,$O5,$T5),1)-2)*20)</f>
        <v>-33</v>
      </c>
      <c r="V5" s="61">
        <f>IF($O5="","",ROUND(($O5-$O$3)/1000,1)+(_xlfn.RANK.AVG($O5,($J5,$O5,$T5),1)-2)*20)</f>
        <v>-3.9</v>
      </c>
      <c r="W5" s="62">
        <f>IF($T5="","",ROUND(($T5-$T$3)/1000,1)+(_xlfn.RANK.AVG($T5,($J5,$O5,$T5),1)-2)*20)</f>
        <v>36.9</v>
      </c>
      <c r="Y5" s="8"/>
      <c r="Z5" s="41"/>
      <c r="AA5" s="32">
        <v>1</v>
      </c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>
        <v>1</v>
      </c>
      <c r="BR5" s="32"/>
      <c r="BS5" s="32">
        <v>4</v>
      </c>
      <c r="BT5" s="36">
        <v>40</v>
      </c>
      <c r="BU5" s="47" t="s">
        <v>148</v>
      </c>
      <c r="BV5" s="48" t="s">
        <v>87</v>
      </c>
      <c r="BW5" s="48" t="s">
        <v>82</v>
      </c>
      <c r="BX5" s="48" t="s">
        <v>82</v>
      </c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141</v>
      </c>
      <c r="F6" s="8" t="s">
        <v>150</v>
      </c>
      <c r="G6" s="9">
        <v>-3000</v>
      </c>
      <c r="H6" s="9"/>
      <c r="I6" s="55">
        <v>-500</v>
      </c>
      <c r="J6" s="21">
        <f t="shared" si="2"/>
        <v>18500</v>
      </c>
      <c r="K6" s="8" t="s">
        <v>150</v>
      </c>
      <c r="L6" s="9">
        <v>-3000</v>
      </c>
      <c r="M6" s="9">
        <v>-1000</v>
      </c>
      <c r="N6" s="55">
        <v>-500</v>
      </c>
      <c r="O6" s="21">
        <f t="shared" si="3"/>
        <v>26600</v>
      </c>
      <c r="P6" s="8" t="s">
        <v>151</v>
      </c>
      <c r="Q6" s="9">
        <v>6000</v>
      </c>
      <c r="R6" s="9">
        <v>1000</v>
      </c>
      <c r="S6" s="55">
        <v>1000</v>
      </c>
      <c r="T6" s="21">
        <f t="shared" si="4"/>
        <v>59900</v>
      </c>
      <c r="U6" s="60">
        <f>IF($J6="","",ROUND(($J6-$J$3)/1000,1)+(_xlfn.RANK.AVG($J6,($J6,$O6,$T6),1)-2)*20)</f>
        <v>-36.5</v>
      </c>
      <c r="V6" s="61">
        <f>IF($O6="","",ROUND(($O6-$O$3)/1000,1)+(_xlfn.RANK.AVG($O6,($J6,$O6,$T6),1)-2)*20)</f>
        <v>-8.4</v>
      </c>
      <c r="W6" s="62">
        <f>IF($T6="","",ROUND(($T6-$T$3)/1000,1)+(_xlfn.RANK.AVG($T6,($J6,$O6,$T6),1)-2)*20)</f>
        <v>44.9</v>
      </c>
      <c r="Y6" s="8"/>
      <c r="Z6" s="41"/>
      <c r="AA6" s="32"/>
      <c r="AB6" s="32">
        <v>1</v>
      </c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>
        <v>1</v>
      </c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>
        <v>1</v>
      </c>
      <c r="BS6" s="32">
        <v>3</v>
      </c>
      <c r="BT6" s="36">
        <v>30</v>
      </c>
      <c r="BU6" s="47" t="s">
        <v>87</v>
      </c>
      <c r="BV6" s="48" t="s">
        <v>80</v>
      </c>
      <c r="BW6" s="48" t="s">
        <v>82</v>
      </c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5">
      <c r="A7" s="13" t="str">
        <f t="shared" si="0"/>
        <v>東</v>
      </c>
      <c r="B7" s="18">
        <f t="shared" si="5"/>
        <v>2</v>
      </c>
      <c r="C7" s="18">
        <f t="shared" si="6"/>
        <v>2</v>
      </c>
      <c r="D7" s="18">
        <f t="shared" si="1"/>
        <v>0</v>
      </c>
      <c r="E7" s="4" t="s">
        <v>141</v>
      </c>
      <c r="F7" s="8" t="s">
        <v>150</v>
      </c>
      <c r="G7" s="9">
        <v>-6000</v>
      </c>
      <c r="H7" s="9"/>
      <c r="I7" s="55">
        <v>-1000</v>
      </c>
      <c r="J7" s="21">
        <f t="shared" si="2"/>
        <v>11500</v>
      </c>
      <c r="K7" s="8" t="s">
        <v>151</v>
      </c>
      <c r="L7" s="9">
        <v>16000</v>
      </c>
      <c r="M7" s="9"/>
      <c r="N7" s="55">
        <v>2000</v>
      </c>
      <c r="O7" s="21">
        <f t="shared" si="3"/>
        <v>44600</v>
      </c>
      <c r="P7" s="8" t="s">
        <v>150</v>
      </c>
      <c r="Q7" s="9">
        <v>-10000</v>
      </c>
      <c r="R7" s="9"/>
      <c r="S7" s="55">
        <v>-1000</v>
      </c>
      <c r="T7" s="21">
        <f t="shared" si="4"/>
        <v>48900</v>
      </c>
      <c r="U7" s="60">
        <f>IF($J7="","",ROUND(($J7-$J$3)/1000,1)+(_xlfn.RANK.AVG($J7,($J7,$O7,$T7),1)-2)*20)</f>
        <v>-43.5</v>
      </c>
      <c r="V7" s="61">
        <f>IF($O7="","",ROUND(($O7-$O$3)/1000,1)+(_xlfn.RANK.AVG($O7,($J7,$O7,$T7),1)-2)*20)</f>
        <v>9.6</v>
      </c>
      <c r="W7" s="62">
        <f>IF($T7="","",ROUND(($T7-$T$3)/1000,1)+(_xlfn.RANK.AVG($T7,($J7,$O7,$T7),1)-2)*20)</f>
        <v>33.9</v>
      </c>
      <c r="Y7" s="8"/>
      <c r="Z7" s="41"/>
      <c r="AA7" s="32"/>
      <c r="AB7" s="32">
        <v>1</v>
      </c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>
        <v>1</v>
      </c>
      <c r="AW7" s="32"/>
      <c r="AX7" s="32">
        <v>9</v>
      </c>
      <c r="AY7" s="36" t="s">
        <v>147</v>
      </c>
      <c r="AZ7" s="47" t="s">
        <v>148</v>
      </c>
      <c r="BA7" s="48" t="s">
        <v>83</v>
      </c>
      <c r="BB7" s="48" t="s">
        <v>93</v>
      </c>
      <c r="BC7" s="48" t="s">
        <v>80</v>
      </c>
      <c r="BD7" s="48" t="s">
        <v>82</v>
      </c>
      <c r="BE7" s="48" t="s">
        <v>82</v>
      </c>
      <c r="BF7" s="48" t="s">
        <v>82</v>
      </c>
      <c r="BG7" s="48" t="s">
        <v>82</v>
      </c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>
        <v>1</v>
      </c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5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">
        <v>139</v>
      </c>
      <c r="F8" s="8" t="s">
        <v>150</v>
      </c>
      <c r="G8" s="9">
        <v>-1300</v>
      </c>
      <c r="H8" s="9"/>
      <c r="I8" s="55">
        <v>0</v>
      </c>
      <c r="J8" s="21">
        <f t="shared" si="2"/>
        <v>10200</v>
      </c>
      <c r="K8" s="8" t="s">
        <v>150</v>
      </c>
      <c r="L8" s="9">
        <v>-800</v>
      </c>
      <c r="M8" s="9"/>
      <c r="N8" s="55">
        <v>0</v>
      </c>
      <c r="O8" s="21">
        <f t="shared" si="3"/>
        <v>43800</v>
      </c>
      <c r="P8" s="8" t="s">
        <v>151</v>
      </c>
      <c r="Q8" s="9">
        <v>2100</v>
      </c>
      <c r="R8" s="9"/>
      <c r="S8" s="55">
        <v>0</v>
      </c>
      <c r="T8" s="21">
        <f t="shared" si="4"/>
        <v>51000</v>
      </c>
      <c r="U8" s="60">
        <f>IF($J8="","",ROUND(($J8-$J$3)/1000,1)+(_xlfn.RANK.AVG($J8,($J8,$O8,$T8),1)-2)*20)</f>
        <v>-44.8</v>
      </c>
      <c r="V8" s="61">
        <f>IF($O8="","",ROUND(($O8-$O$3)/1000,1)+(_xlfn.RANK.AVG($O8,($J8,$O8,$T8),1)-2)*20)</f>
        <v>8.8000000000000007</v>
      </c>
      <c r="W8" s="62">
        <f>IF($T8="","",ROUND(($T8-$T$3)/1000,1)+(_xlfn.RANK.AVG($T8,($J8,$O8,$T8),1)-2)*20)</f>
        <v>36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>
        <v>1</v>
      </c>
      <c r="BS8" s="32">
        <v>2</v>
      </c>
      <c r="BT8" s="36">
        <v>30</v>
      </c>
      <c r="BU8" s="47" t="s">
        <v>87</v>
      </c>
      <c r="BV8" s="48" t="s">
        <v>80</v>
      </c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5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143</v>
      </c>
      <c r="F9" s="8" t="s">
        <v>146</v>
      </c>
      <c r="G9" s="9">
        <v>2600</v>
      </c>
      <c r="H9" s="9">
        <v>1000</v>
      </c>
      <c r="I9" s="55">
        <v>0</v>
      </c>
      <c r="J9" s="21">
        <f t="shared" si="2"/>
        <v>13800</v>
      </c>
      <c r="K9" s="8" t="s">
        <v>145</v>
      </c>
      <c r="L9" s="9">
        <v>-2600</v>
      </c>
      <c r="M9" s="9">
        <v>-1000</v>
      </c>
      <c r="N9" s="55">
        <v>0</v>
      </c>
      <c r="O9" s="21">
        <f t="shared" si="3"/>
        <v>40200</v>
      </c>
      <c r="P9" s="8"/>
      <c r="Q9" s="9"/>
      <c r="R9" s="9"/>
      <c r="S9" s="55"/>
      <c r="T9" s="21">
        <f t="shared" si="4"/>
        <v>51000</v>
      </c>
      <c r="U9" s="60">
        <f>IF($J9="","",ROUND(($J9-$J$3)/1000,1)+(_xlfn.RANK.AVG($J9,($J9,$O9,$T9),1)-2)*20)</f>
        <v>-41.2</v>
      </c>
      <c r="V9" s="61">
        <f>IF($O9="","",ROUND(($O9-$O$3)/1000,1)+(_xlfn.RANK.AVG($O9,($J9,$O9,$T9),1)-2)*20)</f>
        <v>5.2</v>
      </c>
      <c r="W9" s="62">
        <f>IF($T9="","",ROUND(($T9-$T$3)/1000,1)+(_xlfn.RANK.AVG($T9,($J9,$O9,$T9),1)-2)*20)</f>
        <v>36</v>
      </c>
      <c r="Y9" s="8"/>
      <c r="Z9" s="41"/>
      <c r="AA9" s="32">
        <v>1</v>
      </c>
      <c r="AB9" s="32"/>
      <c r="AC9" s="32">
        <v>2</v>
      </c>
      <c r="AD9" s="36">
        <v>40</v>
      </c>
      <c r="AE9" s="47" t="s">
        <v>148</v>
      </c>
      <c r="AF9" s="48" t="s">
        <v>82</v>
      </c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>
        <v>1</v>
      </c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>
        <v>1</v>
      </c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5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141</v>
      </c>
      <c r="F10" s="8" t="s">
        <v>151</v>
      </c>
      <c r="G10" s="9">
        <v>8000</v>
      </c>
      <c r="H10" s="9">
        <v>2000</v>
      </c>
      <c r="I10" s="55">
        <v>0</v>
      </c>
      <c r="J10" s="21">
        <f t="shared" si="2"/>
        <v>23800</v>
      </c>
      <c r="K10" s="8" t="s">
        <v>150</v>
      </c>
      <c r="L10" s="9">
        <v>-3000</v>
      </c>
      <c r="M10" s="9">
        <v>-1000</v>
      </c>
      <c r="N10" s="55">
        <v>0</v>
      </c>
      <c r="O10" s="21">
        <f t="shared" si="3"/>
        <v>36200</v>
      </c>
      <c r="P10" s="8" t="s">
        <v>150</v>
      </c>
      <c r="Q10" s="9">
        <v>-5000</v>
      </c>
      <c r="R10" s="9">
        <v>-1000</v>
      </c>
      <c r="S10" s="55">
        <v>0</v>
      </c>
      <c r="T10" s="21">
        <f t="shared" si="4"/>
        <v>45000</v>
      </c>
      <c r="U10" s="60">
        <f>IF($J10="","",ROUND(($J10-$J$3)/1000,1)+(_xlfn.RANK.AVG($J10,($J10,$O10,$T10),1)-2)*20)</f>
        <v>-31.2</v>
      </c>
      <c r="V10" s="61">
        <f>IF($O10="","",ROUND(($O10-$O$3)/1000,1)+(_xlfn.RANK.AVG($O10,($J10,$O10,$T10),1)-2)*20)</f>
        <v>1.2</v>
      </c>
      <c r="W10" s="62">
        <f>IF($T10="","",ROUND(($T10-$T$3)/1000,1)+(_xlfn.RANK.AVG($T10,($J10,$O10,$T10),1)-2)*20)</f>
        <v>30</v>
      </c>
      <c r="Y10" s="8"/>
      <c r="Z10" s="41"/>
      <c r="AA10" s="32">
        <v>1</v>
      </c>
      <c r="AB10" s="32"/>
      <c r="AC10" s="32">
        <v>5</v>
      </c>
      <c r="AD10" s="36" t="s">
        <v>147</v>
      </c>
      <c r="AE10" s="47" t="s">
        <v>148</v>
      </c>
      <c r="AF10" s="48" t="s">
        <v>83</v>
      </c>
      <c r="AG10" s="48" t="s">
        <v>149</v>
      </c>
      <c r="AH10" s="48" t="s">
        <v>82</v>
      </c>
      <c r="AI10" s="48" t="s">
        <v>82</v>
      </c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>
        <v>1</v>
      </c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>
        <v>1</v>
      </c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5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139</v>
      </c>
      <c r="F11" s="8" t="s">
        <v>154</v>
      </c>
      <c r="G11" s="9">
        <v>0</v>
      </c>
      <c r="H11" s="9"/>
      <c r="I11" s="55"/>
      <c r="J11" s="21">
        <f t="shared" si="2"/>
        <v>23800</v>
      </c>
      <c r="K11" s="8" t="s">
        <v>154</v>
      </c>
      <c r="L11" s="9">
        <v>0</v>
      </c>
      <c r="M11" s="9">
        <v>-1000</v>
      </c>
      <c r="N11" s="55"/>
      <c r="O11" s="21">
        <f t="shared" si="3"/>
        <v>35200</v>
      </c>
      <c r="P11" s="8" t="s">
        <v>154</v>
      </c>
      <c r="Q11" s="9">
        <v>0</v>
      </c>
      <c r="R11" s="9"/>
      <c r="S11" s="55"/>
      <c r="T11" s="21">
        <f t="shared" si="4"/>
        <v>45000</v>
      </c>
      <c r="U11" s="60">
        <f>IF($J11="","",ROUND(($J11-$J$3)/1000,1)+(_xlfn.RANK.AVG($J11,($J11,$O11,$T11),1)-2)*20)</f>
        <v>-31.2</v>
      </c>
      <c r="V11" s="61">
        <f>IF($O11="","",ROUND(($O11-$O$3)/1000,1)+(_xlfn.RANK.AVG($O11,($J11,$O11,$T11),1)-2)*20)</f>
        <v>0.2</v>
      </c>
      <c r="W11" s="62">
        <f>IF($T11="","",ROUND(($T11-$T$3)/1000,1)+(_xlfn.RANK.AVG($T11,($J11,$O11,$T11),1)-2)*20)</f>
        <v>30</v>
      </c>
      <c r="Y11" s="8" t="s">
        <v>153</v>
      </c>
      <c r="Z11" s="41"/>
      <c r="AA11" s="32"/>
      <c r="AB11" s="32">
        <v>1</v>
      </c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 t="s">
        <v>153</v>
      </c>
      <c r="AU11" s="41"/>
      <c r="AV11" s="32">
        <v>1</v>
      </c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 t="s">
        <v>153</v>
      </c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5">
      <c r="A12" s="13" t="str">
        <f t="shared" si="0"/>
        <v>南</v>
      </c>
      <c r="B12" s="18">
        <f t="shared" si="5"/>
        <v>3</v>
      </c>
      <c r="C12" s="18">
        <f t="shared" si="6"/>
        <v>1</v>
      </c>
      <c r="D12" s="18">
        <f t="shared" si="1"/>
        <v>1</v>
      </c>
      <c r="E12" s="4" t="s">
        <v>139</v>
      </c>
      <c r="F12" s="8" t="s">
        <v>145</v>
      </c>
      <c r="G12" s="9">
        <v>-8000</v>
      </c>
      <c r="H12" s="9"/>
      <c r="I12" s="55">
        <v>-1000</v>
      </c>
      <c r="J12" s="21">
        <f t="shared" si="2"/>
        <v>14800</v>
      </c>
      <c r="K12" s="8" t="s">
        <v>146</v>
      </c>
      <c r="L12" s="9">
        <v>8000</v>
      </c>
      <c r="M12" s="9">
        <v>2000</v>
      </c>
      <c r="N12" s="55">
        <v>1000</v>
      </c>
      <c r="O12" s="21">
        <f t="shared" si="3"/>
        <v>46200</v>
      </c>
      <c r="P12" s="8"/>
      <c r="Q12" s="9"/>
      <c r="R12" s="9">
        <v>-1000</v>
      </c>
      <c r="S12" s="55"/>
      <c r="T12" s="21">
        <f t="shared" si="4"/>
        <v>44000</v>
      </c>
      <c r="U12" s="60">
        <f>IF($J12="","",ROUND(($J12-$J$3)/1000,1)+(_xlfn.RANK.AVG($J12,($J12,$O12,$T12),1)-2)*20)</f>
        <v>-40.200000000000003</v>
      </c>
      <c r="V12" s="61">
        <f>IF($O12="","",ROUND(($O12-$O$3)/1000,1)+(_xlfn.RANK.AVG($O12,($J12,$O12,$T12),1)-2)*20)</f>
        <v>31.2</v>
      </c>
      <c r="W12" s="62">
        <f>IF($T12="","",ROUND(($T12-$T$3)/1000,1)+(_xlfn.RANK.AVG($T12,($J12,$O12,$T12),1)-2)*20)</f>
        <v>9</v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>
        <v>1</v>
      </c>
      <c r="AW12" s="32"/>
      <c r="AX12" s="32">
        <v>5</v>
      </c>
      <c r="AY12" s="36" t="s">
        <v>147</v>
      </c>
      <c r="AZ12" s="47" t="s">
        <v>148</v>
      </c>
      <c r="BA12" s="48" t="s">
        <v>81</v>
      </c>
      <c r="BB12" s="48" t="s">
        <v>82</v>
      </c>
      <c r="BC12" s="48" t="s">
        <v>82</v>
      </c>
      <c r="BD12" s="48" t="s">
        <v>82</v>
      </c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>
        <v>1</v>
      </c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5">
      <c r="A13" s="13" t="str">
        <f t="shared" si="0"/>
        <v>西</v>
      </c>
      <c r="B13" s="18">
        <f t="shared" si="5"/>
        <v>1</v>
      </c>
      <c r="C13" s="18">
        <f t="shared" si="6"/>
        <v>0</v>
      </c>
      <c r="D13" s="18">
        <f t="shared" si="1"/>
        <v>0</v>
      </c>
      <c r="E13" s="4" t="s">
        <v>143</v>
      </c>
      <c r="F13" s="8"/>
      <c r="G13" s="9"/>
      <c r="H13" s="9"/>
      <c r="I13" s="55"/>
      <c r="J13" s="21" t="str">
        <f t="shared" si="2"/>
        <v/>
      </c>
      <c r="K13" s="8"/>
      <c r="L13" s="9"/>
      <c r="M13" s="9"/>
      <c r="N13" s="55"/>
      <c r="O13" s="21" t="str">
        <f t="shared" si="3"/>
        <v/>
      </c>
      <c r="P13" s="8"/>
      <c r="Q13" s="9"/>
      <c r="R13" s="9"/>
      <c r="S13" s="55"/>
      <c r="T13" s="21" t="str">
        <f t="shared" si="4"/>
        <v/>
      </c>
      <c r="U13" s="60" t="str">
        <f>IF($J13="","",ROUND(($J13-$J$3)/1000,1)+(_xlfn.RANK.AVG($J13,($J13,$O13,$T13),1)-2)*20)</f>
        <v/>
      </c>
      <c r="V13" s="61" t="str">
        <f>IF($O13="","",ROUND(($O13-$O$3)/1000,1)+(_xlfn.RANK.AVG($O13,($J13,$O13,$T13),1)-2)*20)</f>
        <v/>
      </c>
      <c r="W13" s="62" t="str">
        <f>IF($T13="","",ROUND(($T13-$T$3)/1000,1)+(_xlfn.RANK.AVG($T13,($J13,$O13,$T13),1)-2)*20)</f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55"/>
      <c r="J14" s="21" t="str">
        <f t="shared" si="2"/>
        <v/>
      </c>
      <c r="K14" s="8"/>
      <c r="L14" s="9"/>
      <c r="M14" s="9"/>
      <c r="N14" s="55"/>
      <c r="O14" s="21" t="str">
        <f t="shared" si="3"/>
        <v/>
      </c>
      <c r="P14" s="8"/>
      <c r="Q14" s="9"/>
      <c r="R14" s="9"/>
      <c r="S14" s="55"/>
      <c r="T14" s="21" t="str">
        <f t="shared" si="4"/>
        <v/>
      </c>
      <c r="U14" s="60" t="str">
        <f>IF($J14="","",ROUND(($J14-$J$3)/1000,1)+(_xlfn.RANK.AVG($J14,($J14,$O14,$T14),1)-2)*20)</f>
        <v/>
      </c>
      <c r="V14" s="61" t="str">
        <f>IF($O14="","",ROUND(($O14-$O$3)/1000,1)+(_xlfn.RANK.AVG($O14,($J14,$O14,$T14),1)-2)*20)</f>
        <v/>
      </c>
      <c r="W14" s="62" t="str">
        <f>IF($T14="","",ROUND(($T14-$T$3)/1000,1)+(_xlfn.RANK.AVG($T14,($J14,$O14,$T14),1)-2)*20)</f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showInputMessage="1" showErrorMessage="1" sqref="K4:K30 P4:P30 F4:F30" xr:uid="{C74E6070-0A7B-407E-A911-9C87E581D8A9}">
      <formula1>"ロン,ツモ,放銃,ツモ支払,流局,チョンボ"</formula1>
    </dataValidation>
    <dataValidation type="list" allowBlank="1" showInputMessage="1" showErrorMessage="1" sqref="E4:E30" xr:uid="{A1CAEBAC-538A-4CBB-8561-BFB39E95D1FD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E26015-C252-4A5F-B1AF-9884B679A70B}">
  <sheetPr codeName="Sheet12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5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140</v>
      </c>
      <c r="G1" s="74"/>
      <c r="H1" s="74"/>
      <c r="I1" s="83"/>
      <c r="J1" s="75"/>
      <c r="K1" s="72" t="s">
        <v>144</v>
      </c>
      <c r="L1" s="74"/>
      <c r="M1" s="74"/>
      <c r="N1" s="83"/>
      <c r="O1" s="75"/>
      <c r="P1" s="72" t="s">
        <v>142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りょうすけ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だいち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てんちゃん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5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りょうすけ</v>
      </c>
      <c r="V2" s="71" t="str">
        <f>$K$1</f>
        <v>だいち</v>
      </c>
      <c r="W2" s="16" t="str">
        <f>$P$1</f>
        <v>てんちゃん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5">
      <c r="A4" s="13" t="s">
        <v>134</v>
      </c>
      <c r="B4" s="18">
        <v>1</v>
      </c>
      <c r="C4" s="18">
        <v>0</v>
      </c>
      <c r="D4" s="18">
        <v>0</v>
      </c>
      <c r="E4" s="4" t="s">
        <v>139</v>
      </c>
      <c r="F4" s="8"/>
      <c r="G4" s="9"/>
      <c r="H4" s="9"/>
      <c r="I4" s="55"/>
      <c r="J4" s="21">
        <f>IF(COUNTA($F4,$K4,$P4)&gt;0,J3+SUM(G4:I4),"")</f>
        <v>35000</v>
      </c>
      <c r="K4" s="8" t="s">
        <v>145</v>
      </c>
      <c r="L4" s="9">
        <v>-2000</v>
      </c>
      <c r="M4" s="9"/>
      <c r="N4" s="55">
        <v>0</v>
      </c>
      <c r="O4" s="21">
        <f>IF(COUNTA($F4,$K4,$P4)&gt;0,O3+SUM(L4:N4),"")</f>
        <v>33000</v>
      </c>
      <c r="P4" s="8" t="s">
        <v>146</v>
      </c>
      <c r="Q4" s="9">
        <v>2000</v>
      </c>
      <c r="R4" s="9"/>
      <c r="S4" s="55">
        <v>0</v>
      </c>
      <c r="T4" s="21">
        <f>IF(COUNTA($F4,$K4,$P4)&gt;0,T3+SUM(Q4:S4),"")</f>
        <v>37000</v>
      </c>
      <c r="U4" s="60">
        <f>IF($J4="","",ROUND(($J4-$J$3)/1000,1)+(_xlfn.RANK.AVG($J4,($J4,$O4,$T4),1)-2)*20)</f>
        <v>0</v>
      </c>
      <c r="V4" s="61">
        <f>IF($O4="","",ROUND(($O4-$O$3)/1000,1)+(_xlfn.RANK.AVG($O4,($J4,$O4,$T4),1)-2)*20)</f>
        <v>-22</v>
      </c>
      <c r="W4" s="62">
        <f>IF($T4="","",ROUND(($T4-$T$3)/1000,1)+(_xlfn.RANK.AVG($T4,($J4,$O4,$T4),1)-2)*20)</f>
        <v>22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>
        <v>1</v>
      </c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>
        <v>1</v>
      </c>
      <c r="BS4" s="32">
        <v>2</v>
      </c>
      <c r="BT4" s="36">
        <v>30</v>
      </c>
      <c r="BU4" s="47" t="s">
        <v>87</v>
      </c>
      <c r="BV4" s="48" t="s">
        <v>82</v>
      </c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143</v>
      </c>
      <c r="F5" s="8" t="s">
        <v>145</v>
      </c>
      <c r="G5" s="9">
        <v>-12000</v>
      </c>
      <c r="H5" s="9"/>
      <c r="I5" s="55">
        <v>0</v>
      </c>
      <c r="J5" s="21">
        <f t="shared" ref="J5:J30" si="2">IF(COUNTA($F5,$K5,$P5)&gt;0,J4+SUM(G5:I5),"")</f>
        <v>23000</v>
      </c>
      <c r="K5" s="8" t="s">
        <v>146</v>
      </c>
      <c r="L5" s="9">
        <v>12000</v>
      </c>
      <c r="M5" s="9"/>
      <c r="N5" s="55">
        <v>0</v>
      </c>
      <c r="O5" s="21">
        <f t="shared" ref="O5:O30" si="3">IF(COUNTA($F5,$K5,$P5)&gt;0,O4+SUM(L5:N5),"")</f>
        <v>45000</v>
      </c>
      <c r="P5" s="8"/>
      <c r="Q5" s="9"/>
      <c r="R5" s="9"/>
      <c r="S5" s="55"/>
      <c r="T5" s="21">
        <f t="shared" ref="T5:T30" si="4">IF(COUNTA($F5,$K5,$P5)&gt;0,T4+SUM(Q5:S5),"")</f>
        <v>37000</v>
      </c>
      <c r="U5" s="60">
        <f>IF($J5="","",ROUND(($J5-$J$3)/1000,1)+(_xlfn.RANK.AVG($J5,($J5,$O5,$T5),1)-2)*20)</f>
        <v>-32</v>
      </c>
      <c r="V5" s="61">
        <f>IF($O5="","",ROUND(($O5-$O$3)/1000,1)+(_xlfn.RANK.AVG($O5,($J5,$O5,$T5),1)-2)*20)</f>
        <v>30</v>
      </c>
      <c r="W5" s="62">
        <f>IF($T5="","",ROUND(($T5-$T$3)/1000,1)+(_xlfn.RANK.AVG($T5,($J5,$O5,$T5),1)-2)*20)</f>
        <v>2</v>
      </c>
      <c r="Y5" s="8"/>
      <c r="Z5" s="41"/>
      <c r="AA5" s="32"/>
      <c r="AB5" s="32">
        <v>1</v>
      </c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>
        <v>1</v>
      </c>
      <c r="AW5" s="32"/>
      <c r="AX5" s="32">
        <v>5</v>
      </c>
      <c r="AY5" s="36" t="s">
        <v>147</v>
      </c>
      <c r="AZ5" s="47" t="s">
        <v>148</v>
      </c>
      <c r="BA5" s="48" t="s">
        <v>80</v>
      </c>
      <c r="BB5" s="48" t="s">
        <v>80</v>
      </c>
      <c r="BC5" s="48" t="s">
        <v>82</v>
      </c>
      <c r="BD5" s="48" t="s">
        <v>82</v>
      </c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143</v>
      </c>
      <c r="F6" s="8" t="s">
        <v>146</v>
      </c>
      <c r="G6" s="9">
        <v>6400</v>
      </c>
      <c r="H6" s="9">
        <v>1000</v>
      </c>
      <c r="I6" s="55">
        <v>1000</v>
      </c>
      <c r="J6" s="21">
        <f t="shared" si="2"/>
        <v>31400</v>
      </c>
      <c r="K6" s="8"/>
      <c r="L6" s="9"/>
      <c r="M6" s="9">
        <v>-1000</v>
      </c>
      <c r="N6" s="55"/>
      <c r="O6" s="21">
        <f t="shared" si="3"/>
        <v>44000</v>
      </c>
      <c r="P6" s="8" t="s">
        <v>145</v>
      </c>
      <c r="Q6" s="9">
        <v>-6400</v>
      </c>
      <c r="R6" s="9"/>
      <c r="S6" s="55">
        <v>-1000</v>
      </c>
      <c r="T6" s="21">
        <f t="shared" si="4"/>
        <v>29600</v>
      </c>
      <c r="U6" s="60">
        <f>IF($J6="","",ROUND(($J6-$J$3)/1000,1)+(_xlfn.RANK.AVG($J6,($J6,$O6,$T6),1)-2)*20)</f>
        <v>-3.6</v>
      </c>
      <c r="V6" s="61">
        <f>IF($O6="","",ROUND(($O6-$O$3)/1000,1)+(_xlfn.RANK.AVG($O6,($J6,$O6,$T6),1)-2)*20)</f>
        <v>29</v>
      </c>
      <c r="W6" s="62">
        <f>IF($T6="","",ROUND(($T6-$T$3)/1000,1)+(_xlfn.RANK.AVG($T6,($J6,$O6,$T6),1)-2)*20)</f>
        <v>-25.4</v>
      </c>
      <c r="Y6" s="8"/>
      <c r="Z6" s="41"/>
      <c r="AA6" s="32">
        <v>1</v>
      </c>
      <c r="AB6" s="32"/>
      <c r="AC6" s="32">
        <v>4</v>
      </c>
      <c r="AD6" s="36">
        <v>25</v>
      </c>
      <c r="AE6" s="47" t="s">
        <v>148</v>
      </c>
      <c r="AF6" s="48" t="s">
        <v>149</v>
      </c>
      <c r="AG6" s="48" t="s">
        <v>102</v>
      </c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>
        <v>1</v>
      </c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141</v>
      </c>
      <c r="F7" s="8" t="s">
        <v>150</v>
      </c>
      <c r="G7" s="9">
        <v>-9000</v>
      </c>
      <c r="H7" s="9"/>
      <c r="I7" s="55">
        <v>0</v>
      </c>
      <c r="J7" s="21">
        <f t="shared" si="2"/>
        <v>22400</v>
      </c>
      <c r="K7" s="8" t="s">
        <v>150</v>
      </c>
      <c r="L7" s="9">
        <v>-9000</v>
      </c>
      <c r="M7" s="9">
        <v>-1000</v>
      </c>
      <c r="N7" s="55">
        <v>0</v>
      </c>
      <c r="O7" s="21">
        <f t="shared" si="3"/>
        <v>34000</v>
      </c>
      <c r="P7" s="8" t="s">
        <v>151</v>
      </c>
      <c r="Q7" s="9">
        <v>18000</v>
      </c>
      <c r="R7" s="9">
        <v>1000</v>
      </c>
      <c r="S7" s="55">
        <v>0</v>
      </c>
      <c r="T7" s="21">
        <f t="shared" si="4"/>
        <v>48600</v>
      </c>
      <c r="U7" s="60">
        <f>IF($J7="","",ROUND(($J7-$J$3)/1000,1)+(_xlfn.RANK.AVG($J7,($J7,$O7,$T7),1)-2)*20)</f>
        <v>-32.6</v>
      </c>
      <c r="V7" s="61">
        <f>IF($O7="","",ROUND(($O7-$O$3)/1000,1)+(_xlfn.RANK.AVG($O7,($J7,$O7,$T7),1)-2)*20)</f>
        <v>-1</v>
      </c>
      <c r="W7" s="62">
        <f>IF($T7="","",ROUND(($T7-$T$3)/1000,1)+(_xlfn.RANK.AVG($T7,($J7,$O7,$T7),1)-2)*20)</f>
        <v>33.6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>
        <v>1</v>
      </c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>
        <v>6</v>
      </c>
      <c r="BT7" s="36" t="s">
        <v>147</v>
      </c>
      <c r="BU7" s="47" t="s">
        <v>86</v>
      </c>
      <c r="BV7" s="48" t="s">
        <v>84</v>
      </c>
      <c r="BW7" s="48" t="s">
        <v>83</v>
      </c>
      <c r="BX7" s="48" t="s">
        <v>80</v>
      </c>
      <c r="BY7" s="48" t="s">
        <v>80</v>
      </c>
      <c r="BZ7" s="48" t="s">
        <v>82</v>
      </c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5">
      <c r="A8" s="13" t="str">
        <f t="shared" si="0"/>
        <v>東</v>
      </c>
      <c r="B8" s="18">
        <f t="shared" si="5"/>
        <v>3</v>
      </c>
      <c r="C8" s="18">
        <f t="shared" si="6"/>
        <v>1</v>
      </c>
      <c r="D8" s="18">
        <f t="shared" si="1"/>
        <v>0</v>
      </c>
      <c r="E8" s="4" t="s">
        <v>141</v>
      </c>
      <c r="F8" s="8" t="s">
        <v>145</v>
      </c>
      <c r="G8" s="9">
        <v>-12000</v>
      </c>
      <c r="H8" s="9"/>
      <c r="I8" s="55">
        <v>-1000</v>
      </c>
      <c r="J8" s="21">
        <f t="shared" si="2"/>
        <v>9400</v>
      </c>
      <c r="K8" s="8"/>
      <c r="L8" s="9"/>
      <c r="M8" s="9"/>
      <c r="N8" s="55"/>
      <c r="O8" s="21">
        <f t="shared" si="3"/>
        <v>34000</v>
      </c>
      <c r="P8" s="8" t="s">
        <v>146</v>
      </c>
      <c r="Q8" s="9">
        <v>12000</v>
      </c>
      <c r="R8" s="9"/>
      <c r="S8" s="55">
        <v>1000</v>
      </c>
      <c r="T8" s="21">
        <f t="shared" si="4"/>
        <v>61600</v>
      </c>
      <c r="U8" s="60">
        <f>IF($J8="","",ROUND(($J8-$J$3)/1000,1)+(_xlfn.RANK.AVG($J8,($J8,$O8,$T8),1)-2)*20)</f>
        <v>-45.6</v>
      </c>
      <c r="V8" s="61">
        <f>IF($O8="","",ROUND(($O8-$O$3)/1000,1)+(_xlfn.RANK.AVG($O8,($J8,$O8,$T8),1)-2)*20)</f>
        <v>-1</v>
      </c>
      <c r="W8" s="62">
        <f>IF($T8="","",ROUND(($T8-$T$3)/1000,1)+(_xlfn.RANK.AVG($T8,($J8,$O8,$T8),1)-2)*20)</f>
        <v>46.6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>
        <v>1</v>
      </c>
      <c r="BR8" s="32"/>
      <c r="BS8" s="32">
        <v>4</v>
      </c>
      <c r="BT8" s="36">
        <v>40</v>
      </c>
      <c r="BU8" s="47" t="s">
        <v>148</v>
      </c>
      <c r="BV8" s="48" t="s">
        <v>80</v>
      </c>
      <c r="BW8" s="48" t="s">
        <v>82</v>
      </c>
      <c r="BX8" s="48" t="s">
        <v>82</v>
      </c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5">
      <c r="A9" s="13" t="str">
        <f t="shared" si="0"/>
        <v>東</v>
      </c>
      <c r="B9" s="18">
        <f t="shared" si="5"/>
        <v>3</v>
      </c>
      <c r="C9" s="18">
        <f t="shared" si="6"/>
        <v>2</v>
      </c>
      <c r="D9" s="18">
        <f t="shared" si="1"/>
        <v>0</v>
      </c>
      <c r="E9" s="4" t="s">
        <v>141</v>
      </c>
      <c r="F9" s="8"/>
      <c r="G9" s="9"/>
      <c r="H9" s="9"/>
      <c r="I9" s="55"/>
      <c r="J9" s="21">
        <f t="shared" si="2"/>
        <v>9400</v>
      </c>
      <c r="K9" s="8" t="s">
        <v>146</v>
      </c>
      <c r="L9" s="9">
        <v>3900</v>
      </c>
      <c r="M9" s="9"/>
      <c r="N9" s="55">
        <v>2000</v>
      </c>
      <c r="O9" s="21">
        <f t="shared" si="3"/>
        <v>39900</v>
      </c>
      <c r="P9" s="8" t="s">
        <v>145</v>
      </c>
      <c r="Q9" s="9">
        <v>-3900</v>
      </c>
      <c r="R9" s="9"/>
      <c r="S9" s="55">
        <v>-2000</v>
      </c>
      <c r="T9" s="21">
        <f t="shared" si="4"/>
        <v>55700</v>
      </c>
      <c r="U9" s="60">
        <f>IF($J9="","",ROUND(($J9-$J$3)/1000,1)+(_xlfn.RANK.AVG($J9,($J9,$O9,$T9),1)-2)*20)</f>
        <v>-45.6</v>
      </c>
      <c r="V9" s="61">
        <f>IF($O9="","",ROUND(($O9-$O$3)/1000,1)+(_xlfn.RANK.AVG($O9,($J9,$O9,$T9),1)-2)*20)</f>
        <v>4.9000000000000004</v>
      </c>
      <c r="W9" s="62">
        <f>IF($T9="","",ROUND(($T9-$T$3)/1000,1)+(_xlfn.RANK.AVG($T9,($J9,$O9,$T9),1)-2)*20)</f>
        <v>40.700000000000003</v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>
        <v>1</v>
      </c>
      <c r="AX9" s="32">
        <v>3</v>
      </c>
      <c r="AY9" s="36">
        <v>30</v>
      </c>
      <c r="AZ9" s="47" t="s">
        <v>87</v>
      </c>
      <c r="BA9" s="48" t="s">
        <v>82</v>
      </c>
      <c r="BB9" s="48" t="s">
        <v>82</v>
      </c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5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">
        <v>139</v>
      </c>
      <c r="F10" s="8" t="s">
        <v>146</v>
      </c>
      <c r="G10" s="9">
        <v>12000</v>
      </c>
      <c r="H10" s="9">
        <v>1000</v>
      </c>
      <c r="I10" s="55">
        <v>0</v>
      </c>
      <c r="J10" s="21">
        <f t="shared" si="2"/>
        <v>22400</v>
      </c>
      <c r="K10" s="8"/>
      <c r="L10" s="9"/>
      <c r="M10" s="9">
        <v>-1000</v>
      </c>
      <c r="N10" s="55"/>
      <c r="O10" s="21">
        <f t="shared" si="3"/>
        <v>38900</v>
      </c>
      <c r="P10" s="8" t="s">
        <v>145</v>
      </c>
      <c r="Q10" s="9">
        <v>-12000</v>
      </c>
      <c r="R10" s="9"/>
      <c r="S10" s="55">
        <v>0</v>
      </c>
      <c r="T10" s="21">
        <f t="shared" si="4"/>
        <v>43700</v>
      </c>
      <c r="U10" s="60">
        <f>IF($J10="","",ROUND(($J10-$J$3)/1000,1)+(_xlfn.RANK.AVG($J10,($J10,$O10,$T10),1)-2)*20)</f>
        <v>-32.6</v>
      </c>
      <c r="V10" s="61">
        <f>IF($O10="","",ROUND(($O10-$O$3)/1000,1)+(_xlfn.RANK.AVG($O10,($J10,$O10,$T10),1)-2)*20)</f>
        <v>3.9</v>
      </c>
      <c r="W10" s="62">
        <f>IF($T10="","",ROUND(($T10-$T$3)/1000,1)+(_xlfn.RANK.AVG($T10,($J10,$O10,$T10),1)-2)*20)</f>
        <v>28.7</v>
      </c>
      <c r="Y10" s="8"/>
      <c r="Z10" s="41"/>
      <c r="AA10" s="32"/>
      <c r="AB10" s="32">
        <v>1</v>
      </c>
      <c r="AC10" s="32">
        <v>5</v>
      </c>
      <c r="AD10" s="36" t="s">
        <v>147</v>
      </c>
      <c r="AE10" s="47" t="s">
        <v>89</v>
      </c>
      <c r="AF10" s="48" t="s">
        <v>99</v>
      </c>
      <c r="AG10" s="48" t="s">
        <v>87</v>
      </c>
      <c r="AH10" s="48" t="s">
        <v>82</v>
      </c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>
        <v>1</v>
      </c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5">
      <c r="A11" s="13" t="str">
        <f t="shared" si="0"/>
        <v>南</v>
      </c>
      <c r="B11" s="18">
        <f t="shared" si="5"/>
        <v>1</v>
      </c>
      <c r="C11" s="18">
        <f t="shared" si="6"/>
        <v>1</v>
      </c>
      <c r="D11" s="18">
        <f t="shared" si="1"/>
        <v>0</v>
      </c>
      <c r="E11" s="4" t="s">
        <v>139</v>
      </c>
      <c r="F11" s="8"/>
      <c r="G11" s="9"/>
      <c r="H11" s="9"/>
      <c r="I11" s="55"/>
      <c r="J11" s="21">
        <f t="shared" si="2"/>
        <v>22400</v>
      </c>
      <c r="K11" s="8" t="s">
        <v>146</v>
      </c>
      <c r="L11" s="9">
        <v>2600</v>
      </c>
      <c r="M11" s="9"/>
      <c r="N11" s="55">
        <v>1000</v>
      </c>
      <c r="O11" s="21">
        <f t="shared" si="3"/>
        <v>42500</v>
      </c>
      <c r="P11" s="8" t="s">
        <v>145</v>
      </c>
      <c r="Q11" s="9">
        <v>-2600</v>
      </c>
      <c r="R11" s="9"/>
      <c r="S11" s="55">
        <v>-1000</v>
      </c>
      <c r="T11" s="21">
        <f t="shared" si="4"/>
        <v>40100</v>
      </c>
      <c r="U11" s="60">
        <f>IF($J11="","",ROUND(($J11-$J$3)/1000,1)+(_xlfn.RANK.AVG($J11,($J11,$O11,$T11),1)-2)*20)</f>
        <v>-32.6</v>
      </c>
      <c r="V11" s="61">
        <f>IF($O11="","",ROUND(($O11-$O$3)/1000,1)+(_xlfn.RANK.AVG($O11,($J11,$O11,$T11),1)-2)*20)</f>
        <v>27.5</v>
      </c>
      <c r="W11" s="62">
        <f>IF($T11="","",ROUND(($T11-$T$3)/1000,1)+(_xlfn.RANK.AVG($T11,($J11,$O11,$T11),1)-2)*20)</f>
        <v>5.0999999999999996</v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>
        <v>1</v>
      </c>
      <c r="AW11" s="32"/>
      <c r="AX11" s="32">
        <v>2</v>
      </c>
      <c r="AY11" s="36">
        <v>40</v>
      </c>
      <c r="AZ11" s="47" t="s">
        <v>148</v>
      </c>
      <c r="BA11" s="48" t="s">
        <v>80</v>
      </c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5">
      <c r="A12" s="13" t="str">
        <f t="shared" si="0"/>
        <v>南</v>
      </c>
      <c r="B12" s="18">
        <f t="shared" si="5"/>
        <v>2</v>
      </c>
      <c r="C12" s="18">
        <f t="shared" si="6"/>
        <v>0</v>
      </c>
      <c r="D12" s="18">
        <f t="shared" si="1"/>
        <v>0</v>
      </c>
      <c r="E12" s="4" t="s">
        <v>143</v>
      </c>
      <c r="F12" s="8"/>
      <c r="G12" s="9"/>
      <c r="H12" s="9"/>
      <c r="I12" s="55"/>
      <c r="J12" s="21">
        <f t="shared" si="2"/>
        <v>22400</v>
      </c>
      <c r="K12" s="8" t="s">
        <v>145</v>
      </c>
      <c r="L12" s="9">
        <v>-8000</v>
      </c>
      <c r="M12" s="9"/>
      <c r="N12" s="55">
        <v>0</v>
      </c>
      <c r="O12" s="21">
        <f t="shared" si="3"/>
        <v>34500</v>
      </c>
      <c r="P12" s="8" t="s">
        <v>146</v>
      </c>
      <c r="Q12" s="9">
        <v>8000</v>
      </c>
      <c r="R12" s="9"/>
      <c r="S12" s="55">
        <v>0</v>
      </c>
      <c r="T12" s="21">
        <f t="shared" si="4"/>
        <v>48100</v>
      </c>
      <c r="U12" s="60">
        <f>IF($J12="","",ROUND(($J12-$J$3)/1000,1)+(_xlfn.RANK.AVG($J12,($J12,$O12,$T12),1)-2)*20)</f>
        <v>-32.6</v>
      </c>
      <c r="V12" s="61">
        <f>IF($O12="","",ROUND(($O12-$O$3)/1000,1)+(_xlfn.RANK.AVG($O12,($J12,$O12,$T12),1)-2)*20)</f>
        <v>-0.5</v>
      </c>
      <c r="W12" s="62">
        <f>IF($T12="","",ROUND(($T12-$T$3)/1000,1)+(_xlfn.RANK.AVG($T12,($J12,$O12,$T12),1)-2)*20)</f>
        <v>33.1</v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>
        <v>1</v>
      </c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>
        <v>1</v>
      </c>
      <c r="BR12" s="32"/>
      <c r="BS12" s="32">
        <v>4</v>
      </c>
      <c r="BT12" s="36">
        <v>40</v>
      </c>
      <c r="BU12" s="47" t="s">
        <v>148</v>
      </c>
      <c r="BV12" s="48" t="s">
        <v>149</v>
      </c>
      <c r="BW12" s="48" t="s">
        <v>87</v>
      </c>
      <c r="BX12" s="48" t="s">
        <v>82</v>
      </c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5">
      <c r="A13" s="13" t="str">
        <f t="shared" si="0"/>
        <v>南</v>
      </c>
      <c r="B13" s="18">
        <f t="shared" si="5"/>
        <v>3</v>
      </c>
      <c r="C13" s="18">
        <f t="shared" si="6"/>
        <v>0</v>
      </c>
      <c r="D13" s="18">
        <f t="shared" si="1"/>
        <v>0</v>
      </c>
      <c r="E13" s="4" t="s">
        <v>141</v>
      </c>
      <c r="F13" s="8"/>
      <c r="G13" s="9"/>
      <c r="H13" s="9"/>
      <c r="I13" s="55"/>
      <c r="J13" s="21">
        <f t="shared" si="2"/>
        <v>22400</v>
      </c>
      <c r="K13" s="8" t="s">
        <v>145</v>
      </c>
      <c r="L13" s="9">
        <v>-5800</v>
      </c>
      <c r="M13" s="9"/>
      <c r="N13" s="55">
        <v>0</v>
      </c>
      <c r="O13" s="21">
        <f t="shared" si="3"/>
        <v>28700</v>
      </c>
      <c r="P13" s="8" t="s">
        <v>146</v>
      </c>
      <c r="Q13" s="9">
        <v>5800</v>
      </c>
      <c r="R13" s="9"/>
      <c r="S13" s="55">
        <v>0</v>
      </c>
      <c r="T13" s="21">
        <f t="shared" si="4"/>
        <v>53900</v>
      </c>
      <c r="U13" s="60">
        <f>IF($J13="","",ROUND(($J13-$J$3)/1000,1)+(_xlfn.RANK.AVG($J13,($J13,$O13,$T13),1)-2)*20)</f>
        <v>-32.6</v>
      </c>
      <c r="V13" s="61">
        <f>IF($O13="","",ROUND(($O13-$O$3)/1000,1)+(_xlfn.RANK.AVG($O13,($J13,$O13,$T13),1)-2)*20)</f>
        <v>-6.3</v>
      </c>
      <c r="W13" s="62">
        <f>IF($T13="","",ROUND(($T13-$T$3)/1000,1)+(_xlfn.RANK.AVG($T13,($J13,$O13,$T13),1)-2)*20)</f>
        <v>38.9</v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>
        <v>1</v>
      </c>
      <c r="BR13" s="32"/>
      <c r="BS13" s="32">
        <v>3</v>
      </c>
      <c r="BT13" s="36">
        <v>30</v>
      </c>
      <c r="BU13" s="47" t="s">
        <v>148</v>
      </c>
      <c r="BV13" s="48" t="s">
        <v>84</v>
      </c>
      <c r="BW13" s="48" t="s">
        <v>82</v>
      </c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5">
      <c r="A14" s="13" t="str">
        <f t="shared" si="0"/>
        <v>南</v>
      </c>
      <c r="B14" s="18">
        <f t="shared" si="5"/>
        <v>3</v>
      </c>
      <c r="C14" s="18">
        <f t="shared" si="6"/>
        <v>1</v>
      </c>
      <c r="D14" s="18">
        <f t="shared" si="1"/>
        <v>0</v>
      </c>
      <c r="E14" s="4" t="s">
        <v>141</v>
      </c>
      <c r="F14" s="8"/>
      <c r="G14" s="9"/>
      <c r="H14" s="9"/>
      <c r="I14" s="55"/>
      <c r="J14" s="21" t="str">
        <f t="shared" si="2"/>
        <v/>
      </c>
      <c r="K14" s="8"/>
      <c r="L14" s="9"/>
      <c r="M14" s="9"/>
      <c r="N14" s="55"/>
      <c r="O14" s="21" t="str">
        <f t="shared" si="3"/>
        <v/>
      </c>
      <c r="P14" s="8"/>
      <c r="Q14" s="9"/>
      <c r="R14" s="9"/>
      <c r="S14" s="55"/>
      <c r="T14" s="21" t="str">
        <f t="shared" si="4"/>
        <v/>
      </c>
      <c r="U14" s="60" t="str">
        <f>IF($J14="","",ROUND(($J14-$J$3)/1000,1)+(_xlfn.RANK.AVG($J14,($J14,$O14,$T14),1)-2)*20)</f>
        <v/>
      </c>
      <c r="V14" s="61" t="str">
        <f>IF($O14="","",ROUND(($O14-$O$3)/1000,1)+(_xlfn.RANK.AVG($O14,($J14,$O14,$T14),1)-2)*20)</f>
        <v/>
      </c>
      <c r="W14" s="62" t="str">
        <f>IF($T14="","",ROUND(($T14-$T$3)/1000,1)+(_xlfn.RANK.AVG($T14,($J14,$O14,$T14),1)-2)*20)</f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0CB22366-0C0E-4B5A-80E3-E53268C71E60}">
      <formula1>$U$2:$W$2</formula1>
    </dataValidation>
    <dataValidation type="list" showInputMessage="1" showErrorMessage="1" sqref="K4:K30 P4:P30 F4:F30" xr:uid="{67279D05-A9FB-4115-8FF0-E3136BAC06EC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3"/>
  <sheetViews>
    <sheetView workbookViewId="0"/>
  </sheetViews>
  <sheetFormatPr defaultRowHeight="18" x14ac:dyDescent="0.45"/>
  <cols>
    <col min="1" max="1" width="9" style="43" customWidth="1"/>
    <col min="2" max="2" width="19.19921875" style="15" bestFit="1" customWidth="1"/>
    <col min="3" max="4" width="6.5" style="15" customWidth="1"/>
  </cols>
  <sheetData>
    <row r="1" spans="1:4" x14ac:dyDescent="0.45">
      <c r="A1" s="43" t="s">
        <v>28</v>
      </c>
      <c r="B1" s="15" t="s">
        <v>29</v>
      </c>
      <c r="C1" s="15" t="s">
        <v>30</v>
      </c>
      <c r="D1" s="15" t="s">
        <v>31</v>
      </c>
    </row>
    <row r="2" spans="1:4" x14ac:dyDescent="0.45">
      <c r="A2" s="43" t="s">
        <v>78</v>
      </c>
      <c r="B2" s="15" t="s">
        <v>133</v>
      </c>
      <c r="C2" s="15">
        <v>1</v>
      </c>
    </row>
    <row r="3" spans="1:4" x14ac:dyDescent="0.45">
      <c r="A3" s="43" t="s">
        <v>79</v>
      </c>
      <c r="B3" s="15" t="s">
        <v>32</v>
      </c>
      <c r="C3" s="15">
        <v>1</v>
      </c>
    </row>
    <row r="4" spans="1:4" x14ac:dyDescent="0.45">
      <c r="A4" s="43" t="s">
        <v>80</v>
      </c>
      <c r="B4" s="15" t="s">
        <v>33</v>
      </c>
      <c r="C4" s="15">
        <v>1</v>
      </c>
      <c r="D4" s="15">
        <v>1</v>
      </c>
    </row>
    <row r="5" spans="1:4" x14ac:dyDescent="0.45">
      <c r="A5" s="43" t="s">
        <v>81</v>
      </c>
      <c r="B5" s="15" t="s">
        <v>34</v>
      </c>
      <c r="C5" s="15">
        <v>1</v>
      </c>
    </row>
    <row r="6" spans="1:4" x14ac:dyDescent="0.45">
      <c r="A6" s="43" t="s">
        <v>82</v>
      </c>
      <c r="B6" s="15" t="s">
        <v>35</v>
      </c>
      <c r="C6" s="15">
        <v>1</v>
      </c>
      <c r="D6" s="15">
        <v>1</v>
      </c>
    </row>
    <row r="7" spans="1:4" x14ac:dyDescent="0.45">
      <c r="A7" s="43" t="s">
        <v>83</v>
      </c>
      <c r="B7" s="15" t="s">
        <v>36</v>
      </c>
      <c r="C7" s="15">
        <v>1</v>
      </c>
    </row>
    <row r="8" spans="1:4" x14ac:dyDescent="0.45">
      <c r="A8" s="43" t="s">
        <v>84</v>
      </c>
      <c r="B8" s="15" t="s">
        <v>37</v>
      </c>
      <c r="C8" s="15">
        <v>1</v>
      </c>
    </row>
    <row r="9" spans="1:4" x14ac:dyDescent="0.45">
      <c r="A9" s="43" t="s">
        <v>85</v>
      </c>
      <c r="B9" s="15" t="s">
        <v>38</v>
      </c>
      <c r="C9" s="15">
        <v>1</v>
      </c>
    </row>
    <row r="10" spans="1:4" x14ac:dyDescent="0.45">
      <c r="A10" s="43" t="s">
        <v>86</v>
      </c>
      <c r="B10" s="15" t="s">
        <v>130</v>
      </c>
      <c r="C10" s="15">
        <v>1</v>
      </c>
      <c r="D10" s="15">
        <v>1</v>
      </c>
    </row>
    <row r="11" spans="1:4" x14ac:dyDescent="0.45">
      <c r="A11" s="43" t="s">
        <v>87</v>
      </c>
      <c r="B11" s="15" t="s">
        <v>39</v>
      </c>
      <c r="C11" s="15">
        <v>1</v>
      </c>
      <c r="D11" s="15">
        <v>1</v>
      </c>
    </row>
    <row r="12" spans="1:4" x14ac:dyDescent="0.45">
      <c r="A12" s="43" t="s">
        <v>88</v>
      </c>
      <c r="B12" s="15" t="s">
        <v>40</v>
      </c>
      <c r="C12" s="15">
        <v>1</v>
      </c>
      <c r="D12" s="15">
        <v>1</v>
      </c>
    </row>
    <row r="13" spans="1:4" x14ac:dyDescent="0.45">
      <c r="A13" s="43" t="s">
        <v>89</v>
      </c>
      <c r="B13" s="15" t="s">
        <v>41</v>
      </c>
      <c r="C13" s="15">
        <v>1</v>
      </c>
      <c r="D13" s="15">
        <v>1</v>
      </c>
    </row>
    <row r="14" spans="1:4" x14ac:dyDescent="0.45">
      <c r="A14" s="43" t="s">
        <v>90</v>
      </c>
      <c r="B14" s="15" t="s">
        <v>42</v>
      </c>
      <c r="C14" s="15">
        <v>1</v>
      </c>
      <c r="D14" s="15">
        <v>1</v>
      </c>
    </row>
    <row r="15" spans="1:4" x14ac:dyDescent="0.45">
      <c r="A15" s="43" t="s">
        <v>91</v>
      </c>
      <c r="B15" s="15" t="s">
        <v>43</v>
      </c>
      <c r="C15" s="15">
        <v>1</v>
      </c>
      <c r="D15" s="15">
        <v>1</v>
      </c>
    </row>
    <row r="16" spans="1:4" x14ac:dyDescent="0.45">
      <c r="A16" s="43" t="s">
        <v>92</v>
      </c>
      <c r="B16" s="15" t="s">
        <v>44</v>
      </c>
      <c r="C16" s="15">
        <v>2</v>
      </c>
    </row>
    <row r="17" spans="1:4" x14ac:dyDescent="0.45">
      <c r="A17" s="43" t="s">
        <v>93</v>
      </c>
      <c r="B17" s="15" t="s">
        <v>45</v>
      </c>
      <c r="C17" s="15">
        <v>2</v>
      </c>
      <c r="D17" s="15">
        <v>1</v>
      </c>
    </row>
    <row r="18" spans="1:4" x14ac:dyDescent="0.45">
      <c r="A18" s="43" t="s">
        <v>94</v>
      </c>
      <c r="B18" s="15" t="s">
        <v>132</v>
      </c>
      <c r="C18" s="15">
        <v>2</v>
      </c>
      <c r="D18" s="15">
        <v>1</v>
      </c>
    </row>
    <row r="19" spans="1:4" x14ac:dyDescent="0.45">
      <c r="A19" s="43" t="s">
        <v>95</v>
      </c>
      <c r="B19" s="15" t="s">
        <v>46</v>
      </c>
      <c r="C19" s="15">
        <v>2</v>
      </c>
      <c r="D19" s="15">
        <v>1</v>
      </c>
    </row>
    <row r="20" spans="1:4" x14ac:dyDescent="0.45">
      <c r="A20" s="43" t="s">
        <v>96</v>
      </c>
      <c r="B20" s="15" t="s">
        <v>47</v>
      </c>
      <c r="C20" s="15">
        <v>2</v>
      </c>
      <c r="D20" s="15">
        <v>2</v>
      </c>
    </row>
    <row r="21" spans="1:4" x14ac:dyDescent="0.45">
      <c r="A21" s="43" t="s">
        <v>97</v>
      </c>
      <c r="B21" s="15" t="s">
        <v>48</v>
      </c>
      <c r="C21" s="15">
        <v>2</v>
      </c>
      <c r="D21" s="15">
        <v>2</v>
      </c>
    </row>
    <row r="22" spans="1:4" x14ac:dyDescent="0.45">
      <c r="A22" s="43" t="s">
        <v>98</v>
      </c>
      <c r="B22" s="15" t="s">
        <v>49</v>
      </c>
      <c r="C22" s="15">
        <v>2</v>
      </c>
      <c r="D22" s="15">
        <v>2</v>
      </c>
    </row>
    <row r="23" spans="1:4" x14ac:dyDescent="0.45">
      <c r="A23" s="43" t="s">
        <v>99</v>
      </c>
      <c r="B23" s="15" t="s">
        <v>50</v>
      </c>
      <c r="C23" s="15">
        <v>2</v>
      </c>
      <c r="D23" s="15">
        <v>2</v>
      </c>
    </row>
    <row r="24" spans="1:4" x14ac:dyDescent="0.45">
      <c r="A24" s="43" t="s">
        <v>100</v>
      </c>
      <c r="B24" s="15" t="s">
        <v>51</v>
      </c>
      <c r="C24" s="15">
        <v>2</v>
      </c>
      <c r="D24" s="15">
        <v>2</v>
      </c>
    </row>
    <row r="25" spans="1:4" x14ac:dyDescent="0.45">
      <c r="A25" s="43" t="s">
        <v>101</v>
      </c>
      <c r="B25" s="15" t="s">
        <v>52</v>
      </c>
      <c r="C25" s="15">
        <v>2</v>
      </c>
      <c r="D25" s="15">
        <v>2</v>
      </c>
    </row>
    <row r="26" spans="1:4" x14ac:dyDescent="0.45">
      <c r="A26" s="43" t="s">
        <v>102</v>
      </c>
      <c r="B26" s="15" t="s">
        <v>53</v>
      </c>
      <c r="C26" s="15">
        <v>2</v>
      </c>
    </row>
    <row r="27" spans="1:4" x14ac:dyDescent="0.45">
      <c r="A27" s="43" t="s">
        <v>103</v>
      </c>
      <c r="B27" s="15" t="s">
        <v>54</v>
      </c>
      <c r="C27" s="15">
        <v>3</v>
      </c>
    </row>
    <row r="28" spans="1:4" x14ac:dyDescent="0.45">
      <c r="A28" s="43" t="s">
        <v>104</v>
      </c>
      <c r="B28" s="15" t="s">
        <v>131</v>
      </c>
      <c r="C28" s="15">
        <v>3</v>
      </c>
      <c r="D28" s="15">
        <v>2</v>
      </c>
    </row>
    <row r="29" spans="1:4" x14ac:dyDescent="0.45">
      <c r="A29" s="43" t="s">
        <v>105</v>
      </c>
      <c r="B29" s="15" t="s">
        <v>55</v>
      </c>
      <c r="C29" s="15">
        <v>3</v>
      </c>
      <c r="D29" s="15">
        <v>2</v>
      </c>
    </row>
    <row r="30" spans="1:4" x14ac:dyDescent="0.45">
      <c r="A30" s="43" t="s">
        <v>106</v>
      </c>
      <c r="B30" s="15" t="s">
        <v>56</v>
      </c>
      <c r="C30" s="15">
        <v>5</v>
      </c>
    </row>
    <row r="31" spans="1:4" x14ac:dyDescent="0.45">
      <c r="A31" s="43" t="s">
        <v>107</v>
      </c>
      <c r="B31" s="15" t="s">
        <v>57</v>
      </c>
      <c r="C31" s="15">
        <v>6</v>
      </c>
      <c r="D31" s="15">
        <v>5</v>
      </c>
    </row>
    <row r="32" spans="1:4" x14ac:dyDescent="0.45">
      <c r="A32" s="43" t="s">
        <v>108</v>
      </c>
      <c r="B32" s="15" t="s">
        <v>58</v>
      </c>
      <c r="C32" s="15">
        <v>13</v>
      </c>
    </row>
    <row r="33" spans="1:4" x14ac:dyDescent="0.45">
      <c r="A33" s="43" t="s">
        <v>109</v>
      </c>
      <c r="B33" s="15" t="s">
        <v>59</v>
      </c>
      <c r="C33" s="15">
        <v>13</v>
      </c>
    </row>
    <row r="34" spans="1:4" x14ac:dyDescent="0.45">
      <c r="A34" s="43" t="s">
        <v>110</v>
      </c>
      <c r="B34" s="15" t="s">
        <v>60</v>
      </c>
      <c r="C34" s="15">
        <v>13</v>
      </c>
      <c r="D34" s="15">
        <v>13</v>
      </c>
    </row>
    <row r="35" spans="1:4" x14ac:dyDescent="0.45">
      <c r="A35" s="43" t="s">
        <v>111</v>
      </c>
      <c r="B35" s="15" t="s">
        <v>61</v>
      </c>
      <c r="C35" s="15">
        <v>13</v>
      </c>
      <c r="D35" s="15">
        <v>13</v>
      </c>
    </row>
    <row r="36" spans="1:4" x14ac:dyDescent="0.45">
      <c r="A36" s="43" t="s">
        <v>112</v>
      </c>
      <c r="B36" s="15" t="s">
        <v>62</v>
      </c>
      <c r="C36" s="15">
        <v>26</v>
      </c>
      <c r="D36" s="15">
        <v>26</v>
      </c>
    </row>
    <row r="37" spans="1:4" x14ac:dyDescent="0.45">
      <c r="A37" s="43" t="s">
        <v>113</v>
      </c>
      <c r="B37" s="15" t="s">
        <v>63</v>
      </c>
      <c r="C37" s="15">
        <v>13</v>
      </c>
      <c r="D37" s="15">
        <v>13</v>
      </c>
    </row>
    <row r="38" spans="1:4" x14ac:dyDescent="0.45">
      <c r="A38" s="43" t="s">
        <v>114</v>
      </c>
      <c r="B38" s="15" t="s">
        <v>64</v>
      </c>
      <c r="C38" s="15">
        <v>13</v>
      </c>
      <c r="D38" s="15">
        <v>13</v>
      </c>
    </row>
    <row r="39" spans="1:4" x14ac:dyDescent="0.45">
      <c r="A39" s="43" t="s">
        <v>115</v>
      </c>
      <c r="B39" s="15" t="s">
        <v>65</v>
      </c>
      <c r="C39" s="15">
        <v>13</v>
      </c>
      <c r="D39" s="15">
        <v>13</v>
      </c>
    </row>
    <row r="40" spans="1:4" x14ac:dyDescent="0.45">
      <c r="A40" s="43" t="s">
        <v>116</v>
      </c>
      <c r="B40" s="15" t="s">
        <v>66</v>
      </c>
      <c r="C40" s="15">
        <v>13</v>
      </c>
      <c r="D40" s="15">
        <v>13</v>
      </c>
    </row>
    <row r="41" spans="1:4" x14ac:dyDescent="0.45">
      <c r="A41" s="43" t="s">
        <v>117</v>
      </c>
      <c r="B41" s="15" t="s">
        <v>67</v>
      </c>
      <c r="C41" s="15">
        <v>13</v>
      </c>
    </row>
    <row r="42" spans="1:4" x14ac:dyDescent="0.45">
      <c r="A42" s="43" t="s">
        <v>118</v>
      </c>
      <c r="B42" s="15" t="s">
        <v>68</v>
      </c>
      <c r="C42" s="15">
        <v>13</v>
      </c>
    </row>
    <row r="43" spans="1:4" x14ac:dyDescent="0.45">
      <c r="A43" s="43" t="s">
        <v>119</v>
      </c>
      <c r="B43" s="15" t="s">
        <v>69</v>
      </c>
      <c r="C43" s="15">
        <v>13</v>
      </c>
    </row>
    <row r="44" spans="1:4" x14ac:dyDescent="0.45">
      <c r="A44" s="43" t="s">
        <v>120</v>
      </c>
      <c r="B44" s="15" t="s">
        <v>70</v>
      </c>
      <c r="C44" s="15">
        <v>13</v>
      </c>
    </row>
    <row r="45" spans="1:4" x14ac:dyDescent="0.45">
      <c r="A45" s="43" t="s">
        <v>121</v>
      </c>
      <c r="B45" s="15" t="s">
        <v>71</v>
      </c>
      <c r="C45" s="15">
        <v>26</v>
      </c>
    </row>
    <row r="46" spans="1:4" x14ac:dyDescent="0.45">
      <c r="A46" s="43" t="s">
        <v>122</v>
      </c>
      <c r="B46" s="15" t="s">
        <v>72</v>
      </c>
      <c r="C46" s="15">
        <v>26</v>
      </c>
    </row>
    <row r="47" spans="1:4" x14ac:dyDescent="0.45">
      <c r="A47" s="43" t="s">
        <v>123</v>
      </c>
      <c r="B47" s="15" t="s">
        <v>73</v>
      </c>
      <c r="C47" s="15">
        <v>26</v>
      </c>
    </row>
    <row r="48" spans="1:4" x14ac:dyDescent="0.45">
      <c r="A48" s="43" t="s">
        <v>124</v>
      </c>
      <c r="B48" s="15" t="s">
        <v>74</v>
      </c>
      <c r="C48" s="15">
        <v>13</v>
      </c>
    </row>
    <row r="49" spans="1:4" x14ac:dyDescent="0.45">
      <c r="A49" s="43" t="s">
        <v>125</v>
      </c>
      <c r="B49" s="15" t="s">
        <v>75</v>
      </c>
      <c r="C49" s="15">
        <v>13</v>
      </c>
    </row>
    <row r="50" spans="1:4" x14ac:dyDescent="0.45">
      <c r="A50" s="43" t="s">
        <v>126</v>
      </c>
      <c r="B50" s="15" t="s">
        <v>76</v>
      </c>
      <c r="C50" s="15">
        <v>13</v>
      </c>
    </row>
    <row r="51" spans="1:4" x14ac:dyDescent="0.45">
      <c r="A51" s="43" t="s">
        <v>127</v>
      </c>
      <c r="B51" s="15" t="s">
        <v>77</v>
      </c>
      <c r="C51" s="15">
        <v>13</v>
      </c>
    </row>
    <row r="52" spans="1:4" x14ac:dyDescent="0.45">
      <c r="A52" s="43" t="s">
        <v>135</v>
      </c>
      <c r="B52" s="15" t="s">
        <v>136</v>
      </c>
      <c r="C52" s="15">
        <v>2</v>
      </c>
    </row>
    <row r="53" spans="1:4" x14ac:dyDescent="0.45">
      <c r="A53" s="43" t="s">
        <v>137</v>
      </c>
      <c r="B53" s="15" t="s">
        <v>138</v>
      </c>
      <c r="C53" s="15">
        <v>1</v>
      </c>
      <c r="D53" s="15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45"/>
  <cols>
    <col min="1" max="12" width="9" style="38"/>
    <col min="13" max="13" width="9" style="38" customWidth="1"/>
    <col min="14" max="16384" width="9" style="38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5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5">
      <c r="A3" s="15">
        <v>20</v>
      </c>
      <c r="E3" s="38">
        <v>3900</v>
      </c>
      <c r="F3" s="38">
        <v>7700</v>
      </c>
    </row>
    <row r="4" spans="1:13" x14ac:dyDescent="0.45">
      <c r="A4" s="15">
        <v>25</v>
      </c>
      <c r="D4" s="38">
        <v>2400</v>
      </c>
      <c r="E4" s="38">
        <v>4800</v>
      </c>
      <c r="F4" s="38">
        <v>9600</v>
      </c>
    </row>
    <row r="5" spans="1:13" x14ac:dyDescent="0.45">
      <c r="A5" s="15">
        <v>30</v>
      </c>
      <c r="C5" s="38">
        <v>1500</v>
      </c>
      <c r="D5" s="38">
        <v>2900</v>
      </c>
      <c r="E5" s="38">
        <v>5800</v>
      </c>
      <c r="F5" s="38">
        <v>11600</v>
      </c>
    </row>
    <row r="6" spans="1:13" x14ac:dyDescent="0.45">
      <c r="A6" s="15">
        <v>40</v>
      </c>
      <c r="C6" s="38">
        <v>2000</v>
      </c>
      <c r="D6" s="38">
        <v>3900</v>
      </c>
      <c r="E6" s="38">
        <v>7700</v>
      </c>
      <c r="F6" s="38">
        <v>12000</v>
      </c>
    </row>
    <row r="7" spans="1:13" x14ac:dyDescent="0.45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5">
      <c r="A8" s="15">
        <v>60</v>
      </c>
      <c r="C8" s="38">
        <v>2900</v>
      </c>
      <c r="D8" s="38">
        <v>5800</v>
      </c>
      <c r="E8" s="38">
        <v>11600</v>
      </c>
      <c r="F8" s="38">
        <v>12000</v>
      </c>
    </row>
    <row r="9" spans="1:13" x14ac:dyDescent="0.45">
      <c r="A9" s="15">
        <v>70</v>
      </c>
      <c r="C9" s="38">
        <v>3400</v>
      </c>
      <c r="D9" s="38">
        <v>6800</v>
      </c>
      <c r="E9" s="38">
        <v>12000</v>
      </c>
      <c r="F9" s="38">
        <v>12000</v>
      </c>
    </row>
    <row r="10" spans="1:13" x14ac:dyDescent="0.45">
      <c r="A10" s="15">
        <v>80</v>
      </c>
      <c r="C10" s="38">
        <v>3900</v>
      </c>
      <c r="D10" s="38">
        <v>7700</v>
      </c>
      <c r="E10" s="38">
        <v>12000</v>
      </c>
      <c r="F10" s="38">
        <v>12000</v>
      </c>
    </row>
    <row r="11" spans="1:13" x14ac:dyDescent="0.45">
      <c r="A11" s="15">
        <v>90</v>
      </c>
      <c r="C11" s="38">
        <v>4400</v>
      </c>
      <c r="D11" s="38">
        <v>8700</v>
      </c>
      <c r="E11" s="38">
        <v>12000</v>
      </c>
      <c r="F11" s="38">
        <v>12000</v>
      </c>
    </row>
    <row r="12" spans="1:13" x14ac:dyDescent="0.45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5">
      <c r="A13" s="15">
        <v>110</v>
      </c>
      <c r="D13" s="38">
        <v>10600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8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5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5">
      <c r="A3" s="15">
        <v>20</v>
      </c>
      <c r="C3" s="38" t="s">
        <v>11</v>
      </c>
      <c r="D3" s="38">
        <v>2200</v>
      </c>
      <c r="E3" s="38">
        <v>4000</v>
      </c>
      <c r="F3" s="38">
        <v>7800</v>
      </c>
    </row>
    <row r="4" spans="1:13" x14ac:dyDescent="0.45">
      <c r="A4" s="15">
        <v>25</v>
      </c>
      <c r="C4" s="38" t="s">
        <v>11</v>
      </c>
      <c r="D4" s="38" t="s">
        <v>11</v>
      </c>
      <c r="E4" s="38">
        <v>4800</v>
      </c>
      <c r="F4" s="38">
        <v>9600</v>
      </c>
    </row>
    <row r="5" spans="1:13" x14ac:dyDescent="0.45">
      <c r="A5" s="15">
        <v>30</v>
      </c>
      <c r="C5" s="38">
        <v>1600</v>
      </c>
      <c r="D5" s="38">
        <v>3000</v>
      </c>
      <c r="E5" s="38">
        <v>6000</v>
      </c>
      <c r="F5" s="38">
        <v>11600</v>
      </c>
    </row>
    <row r="6" spans="1:13" x14ac:dyDescent="0.45">
      <c r="A6" s="15">
        <v>40</v>
      </c>
      <c r="C6" s="38">
        <v>2200</v>
      </c>
      <c r="D6" s="38">
        <v>4000</v>
      </c>
      <c r="E6" s="38">
        <v>7800</v>
      </c>
      <c r="F6" s="38">
        <v>12000</v>
      </c>
    </row>
    <row r="7" spans="1:13" x14ac:dyDescent="0.45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5">
      <c r="A8" s="15">
        <v>60</v>
      </c>
      <c r="C8" s="38">
        <v>3000</v>
      </c>
      <c r="D8" s="38">
        <v>6000</v>
      </c>
      <c r="E8" s="38">
        <v>11600</v>
      </c>
      <c r="F8" s="38">
        <v>12000</v>
      </c>
    </row>
    <row r="9" spans="1:13" x14ac:dyDescent="0.45">
      <c r="A9" s="15">
        <v>70</v>
      </c>
      <c r="C9" s="38">
        <v>3600</v>
      </c>
      <c r="D9" s="38">
        <v>7000</v>
      </c>
      <c r="E9" s="38">
        <v>12000</v>
      </c>
      <c r="F9" s="38">
        <v>12000</v>
      </c>
    </row>
    <row r="10" spans="1:13" x14ac:dyDescent="0.45">
      <c r="A10" s="15">
        <v>80</v>
      </c>
      <c r="C10" s="38">
        <v>4000</v>
      </c>
      <c r="D10" s="38">
        <v>7800</v>
      </c>
      <c r="E10" s="38">
        <v>12000</v>
      </c>
      <c r="F10" s="38">
        <v>12000</v>
      </c>
    </row>
    <row r="11" spans="1:13" x14ac:dyDescent="0.45">
      <c r="A11" s="15">
        <v>90</v>
      </c>
      <c r="C11" s="38">
        <v>4600</v>
      </c>
      <c r="D11" s="38">
        <v>8800</v>
      </c>
      <c r="E11" s="38">
        <v>12000</v>
      </c>
      <c r="F11" s="38">
        <v>12000</v>
      </c>
    </row>
    <row r="12" spans="1:13" x14ac:dyDescent="0.45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5">
      <c r="A13" s="15">
        <v>110</v>
      </c>
      <c r="C13" s="38" t="s">
        <v>11</v>
      </c>
      <c r="D13" s="38">
        <v>10800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8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5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-6000</v>
      </c>
      <c r="H2" s="38">
        <v>-9000</v>
      </c>
      <c r="I2" s="38">
        <v>-12000</v>
      </c>
      <c r="J2" s="38">
        <v>-18000</v>
      </c>
      <c r="K2" s="38">
        <v>-24000</v>
      </c>
      <c r="L2" s="38">
        <v>-48000</v>
      </c>
      <c r="M2" s="38">
        <v>-72000</v>
      </c>
    </row>
    <row r="3" spans="1:13" x14ac:dyDescent="0.45">
      <c r="A3" s="15">
        <v>20</v>
      </c>
      <c r="C3" s="38" t="s">
        <v>11</v>
      </c>
      <c r="D3" s="38">
        <v>-1100</v>
      </c>
      <c r="E3" s="38">
        <v>-2000</v>
      </c>
      <c r="F3" s="38">
        <v>-3900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5">
      <c r="A4" s="15">
        <v>25</v>
      </c>
      <c r="C4" s="38" t="s">
        <v>11</v>
      </c>
      <c r="D4" s="38" t="s">
        <v>11</v>
      </c>
      <c r="E4" s="38">
        <v>-2400</v>
      </c>
      <c r="F4" s="38">
        <v>-4800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5">
      <c r="A5" s="15">
        <v>30</v>
      </c>
      <c r="C5" s="38">
        <v>-800</v>
      </c>
      <c r="D5" s="38">
        <v>-1500</v>
      </c>
      <c r="E5" s="38">
        <v>-3000</v>
      </c>
      <c r="F5" s="38">
        <v>-5800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5">
      <c r="A6" s="15">
        <v>40</v>
      </c>
      <c r="C6" s="38">
        <v>-1100</v>
      </c>
      <c r="D6" s="38">
        <v>-2000</v>
      </c>
      <c r="E6" s="38">
        <v>-3900</v>
      </c>
      <c r="F6" s="38">
        <v>-6000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5">
      <c r="A7" s="15">
        <v>50</v>
      </c>
      <c r="C7" s="38">
        <v>-1200</v>
      </c>
      <c r="D7" s="38">
        <v>-2400</v>
      </c>
      <c r="E7" s="38">
        <v>-4800</v>
      </c>
      <c r="F7" s="38">
        <v>-6000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5">
      <c r="A8" s="15">
        <v>60</v>
      </c>
      <c r="C8" s="38">
        <v>-1500</v>
      </c>
      <c r="D8" s="38">
        <v>-3000</v>
      </c>
      <c r="E8" s="38">
        <v>-5800</v>
      </c>
      <c r="F8" s="38">
        <v>-6000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5">
      <c r="A9" s="15">
        <v>70</v>
      </c>
      <c r="C9" s="38">
        <v>-1800</v>
      </c>
      <c r="D9" s="38">
        <v>-3500</v>
      </c>
      <c r="E9" s="38">
        <v>-6000</v>
      </c>
      <c r="F9" s="38">
        <v>-6000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5">
      <c r="A10" s="15">
        <v>80</v>
      </c>
      <c r="C10" s="38">
        <v>-2000</v>
      </c>
      <c r="D10" s="38">
        <v>-3900</v>
      </c>
      <c r="E10" s="38">
        <v>-6000</v>
      </c>
      <c r="F10" s="38">
        <v>-6000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5">
      <c r="A11" s="15">
        <v>90</v>
      </c>
      <c r="C11" s="38">
        <v>-2300</v>
      </c>
      <c r="D11" s="38">
        <v>-4400</v>
      </c>
      <c r="E11" s="38">
        <v>-6000</v>
      </c>
      <c r="F11" s="38">
        <v>-6000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5">
      <c r="A12" s="15">
        <v>100</v>
      </c>
      <c r="C12" s="38">
        <v>-2400</v>
      </c>
      <c r="D12" s="38">
        <v>-4800</v>
      </c>
      <c r="E12" s="38">
        <v>-6000</v>
      </c>
      <c r="F12" s="38">
        <v>-6000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5">
      <c r="A13" s="15">
        <v>110</v>
      </c>
      <c r="C13" s="38" t="s">
        <v>11</v>
      </c>
      <c r="D13" s="38">
        <v>-5400</v>
      </c>
      <c r="E13" s="38">
        <v>-6000</v>
      </c>
      <c r="F13" s="38">
        <v>-6000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8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5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5">
      <c r="A3" s="15">
        <v>20</v>
      </c>
      <c r="C3" s="38" t="s">
        <v>11</v>
      </c>
      <c r="D3" s="38" t="s">
        <v>11</v>
      </c>
      <c r="E3" s="38">
        <v>2600</v>
      </c>
      <c r="F3" s="38">
        <v>5200</v>
      </c>
    </row>
    <row r="4" spans="1:13" x14ac:dyDescent="0.45">
      <c r="A4" s="15">
        <v>25</v>
      </c>
      <c r="C4" s="38" t="s">
        <v>11</v>
      </c>
      <c r="D4" s="38">
        <v>1600</v>
      </c>
      <c r="E4" s="38">
        <v>3200</v>
      </c>
      <c r="F4" s="38">
        <v>6400</v>
      </c>
    </row>
    <row r="5" spans="1:13" x14ac:dyDescent="0.45">
      <c r="A5" s="15">
        <v>30</v>
      </c>
      <c r="C5" s="38">
        <v>1000</v>
      </c>
      <c r="D5" s="38">
        <v>2000</v>
      </c>
      <c r="E5" s="38">
        <v>3900</v>
      </c>
      <c r="F5" s="38">
        <v>7700</v>
      </c>
    </row>
    <row r="6" spans="1:13" x14ac:dyDescent="0.45">
      <c r="A6" s="15">
        <v>40</v>
      </c>
      <c r="C6" s="38">
        <v>1300</v>
      </c>
      <c r="D6" s="38">
        <v>2600</v>
      </c>
      <c r="E6" s="38">
        <v>5200</v>
      </c>
      <c r="F6" s="38">
        <v>8000</v>
      </c>
    </row>
    <row r="7" spans="1:13" x14ac:dyDescent="0.45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5">
      <c r="A8" s="15">
        <v>60</v>
      </c>
      <c r="C8" s="38">
        <v>2000</v>
      </c>
      <c r="D8" s="38">
        <v>3900</v>
      </c>
      <c r="E8" s="38">
        <v>7700</v>
      </c>
      <c r="F8" s="38">
        <v>8000</v>
      </c>
    </row>
    <row r="9" spans="1:13" x14ac:dyDescent="0.45">
      <c r="A9" s="15">
        <v>70</v>
      </c>
      <c r="C9" s="38">
        <v>2300</v>
      </c>
      <c r="D9" s="38">
        <v>4500</v>
      </c>
      <c r="E9" s="38">
        <v>8000</v>
      </c>
      <c r="F9" s="38">
        <v>8000</v>
      </c>
    </row>
    <row r="10" spans="1:13" x14ac:dyDescent="0.45">
      <c r="A10" s="15">
        <v>80</v>
      </c>
      <c r="C10" s="38">
        <v>2600</v>
      </c>
      <c r="D10" s="38">
        <v>5200</v>
      </c>
      <c r="E10" s="38">
        <v>8000</v>
      </c>
      <c r="F10" s="38">
        <v>8000</v>
      </c>
    </row>
    <row r="11" spans="1:13" x14ac:dyDescent="0.45">
      <c r="A11" s="15">
        <v>90</v>
      </c>
      <c r="C11" s="38">
        <v>2900</v>
      </c>
      <c r="D11" s="38">
        <v>5800</v>
      </c>
      <c r="E11" s="38">
        <v>8000</v>
      </c>
      <c r="F11" s="38">
        <v>8000</v>
      </c>
    </row>
    <row r="12" spans="1:13" x14ac:dyDescent="0.45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5">
      <c r="A13" s="15">
        <v>110</v>
      </c>
      <c r="C13" s="38" t="s">
        <v>11</v>
      </c>
      <c r="D13" s="38">
        <v>7100</v>
      </c>
      <c r="E13" s="38">
        <v>8000</v>
      </c>
      <c r="F13" s="38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8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5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5">
      <c r="A3" s="15">
        <v>20</v>
      </c>
      <c r="C3" s="38" t="s">
        <v>11</v>
      </c>
      <c r="D3" s="38">
        <v>1500</v>
      </c>
      <c r="E3" s="38">
        <v>2800</v>
      </c>
      <c r="F3" s="38">
        <v>5300</v>
      </c>
    </row>
    <row r="4" spans="1:13" x14ac:dyDescent="0.45">
      <c r="A4" s="15">
        <v>25</v>
      </c>
      <c r="C4" s="38" t="s">
        <v>11</v>
      </c>
      <c r="D4" s="38" t="s">
        <v>11</v>
      </c>
      <c r="E4" s="38">
        <v>3200</v>
      </c>
      <c r="F4" s="38">
        <v>6400</v>
      </c>
    </row>
    <row r="5" spans="1:13" x14ac:dyDescent="0.45">
      <c r="A5" s="15">
        <v>30</v>
      </c>
      <c r="C5" s="38">
        <v>1200</v>
      </c>
      <c r="D5" s="38">
        <v>2100</v>
      </c>
      <c r="E5" s="38">
        <v>4000</v>
      </c>
      <c r="F5" s="38">
        <v>7700</v>
      </c>
    </row>
    <row r="6" spans="1:13" x14ac:dyDescent="0.45">
      <c r="A6" s="15">
        <v>40</v>
      </c>
      <c r="C6" s="38">
        <v>1500</v>
      </c>
      <c r="D6" s="38">
        <v>2800</v>
      </c>
      <c r="E6" s="38">
        <v>5300</v>
      </c>
      <c r="F6" s="38">
        <v>8000</v>
      </c>
    </row>
    <row r="7" spans="1:13" x14ac:dyDescent="0.45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5">
      <c r="A8" s="15">
        <v>60</v>
      </c>
      <c r="C8" s="38">
        <v>2100</v>
      </c>
      <c r="D8" s="38">
        <v>4000</v>
      </c>
      <c r="E8" s="38">
        <v>7700</v>
      </c>
      <c r="F8" s="38">
        <v>8000</v>
      </c>
    </row>
    <row r="9" spans="1:13" x14ac:dyDescent="0.45">
      <c r="A9" s="15">
        <v>70</v>
      </c>
      <c r="C9" s="38">
        <v>2400</v>
      </c>
      <c r="D9" s="38">
        <v>4700</v>
      </c>
      <c r="E9" s="38">
        <v>8000</v>
      </c>
      <c r="F9" s="38">
        <v>8000</v>
      </c>
    </row>
    <row r="10" spans="1:13" x14ac:dyDescent="0.45">
      <c r="A10" s="15">
        <v>80</v>
      </c>
      <c r="C10" s="38">
        <v>2800</v>
      </c>
      <c r="D10" s="38">
        <v>5300</v>
      </c>
      <c r="E10" s="38">
        <v>8000</v>
      </c>
      <c r="F10" s="38">
        <v>8000</v>
      </c>
    </row>
    <row r="11" spans="1:13" x14ac:dyDescent="0.45">
      <c r="A11" s="15">
        <v>90</v>
      </c>
      <c r="C11" s="38">
        <v>3100</v>
      </c>
      <c r="D11" s="38">
        <v>6000</v>
      </c>
      <c r="E11" s="38">
        <v>8000</v>
      </c>
      <c r="F11" s="38">
        <v>8000</v>
      </c>
    </row>
    <row r="12" spans="1:13" x14ac:dyDescent="0.45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5">
      <c r="A13" s="15">
        <v>110</v>
      </c>
      <c r="C13" s="38" t="s">
        <v>11</v>
      </c>
      <c r="D13" s="38">
        <v>7200</v>
      </c>
      <c r="E13" s="38">
        <v>8000</v>
      </c>
      <c r="F13" s="38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8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5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-3000</v>
      </c>
      <c r="H2" s="38">
        <v>-4500</v>
      </c>
      <c r="I2" s="38">
        <v>-6000</v>
      </c>
      <c r="J2" s="38">
        <v>-9000</v>
      </c>
      <c r="K2" s="38">
        <v>-12000</v>
      </c>
      <c r="L2" s="38">
        <v>-24000</v>
      </c>
      <c r="M2" s="38">
        <v>-36000</v>
      </c>
    </row>
    <row r="3" spans="1:13" x14ac:dyDescent="0.45">
      <c r="A3" s="15">
        <v>20</v>
      </c>
      <c r="C3" s="38" t="s">
        <v>11</v>
      </c>
      <c r="D3" s="38">
        <v>-600</v>
      </c>
      <c r="E3" s="38">
        <v>-1100</v>
      </c>
      <c r="F3" s="38">
        <v>-2000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5">
      <c r="A4" s="15">
        <v>25</v>
      </c>
      <c r="C4" s="38" t="s">
        <v>11</v>
      </c>
      <c r="D4" s="38" t="s">
        <v>11</v>
      </c>
      <c r="E4" s="38">
        <v>-1200</v>
      </c>
      <c r="F4" s="38">
        <v>-2400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5">
      <c r="A5" s="15">
        <v>30</v>
      </c>
      <c r="C5" s="38">
        <v>-500</v>
      </c>
      <c r="D5" s="38">
        <v>-800</v>
      </c>
      <c r="E5" s="38">
        <v>-1500</v>
      </c>
      <c r="F5" s="38">
        <v>-2900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5">
      <c r="A6" s="15">
        <v>40</v>
      </c>
      <c r="C6" s="38">
        <v>-600</v>
      </c>
      <c r="D6" s="38">
        <v>-1100</v>
      </c>
      <c r="E6" s="38">
        <v>-2000</v>
      </c>
      <c r="F6" s="38">
        <v>-3000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5">
      <c r="A7" s="15">
        <v>50</v>
      </c>
      <c r="C7" s="38">
        <v>-600</v>
      </c>
      <c r="D7" s="38">
        <v>-1200</v>
      </c>
      <c r="E7" s="38">
        <v>-2400</v>
      </c>
      <c r="F7" s="38">
        <v>-3000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5">
      <c r="A8" s="15">
        <v>60</v>
      </c>
      <c r="C8" s="38">
        <v>-800</v>
      </c>
      <c r="D8" s="38">
        <v>-1500</v>
      </c>
      <c r="E8" s="38">
        <v>-2900</v>
      </c>
      <c r="F8" s="38">
        <v>-3000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5">
      <c r="A9" s="15">
        <v>70</v>
      </c>
      <c r="C9" s="38">
        <v>-900</v>
      </c>
      <c r="D9" s="38">
        <v>-1800</v>
      </c>
      <c r="E9" s="38">
        <v>-3000</v>
      </c>
      <c r="F9" s="38">
        <v>-3000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5">
      <c r="A10" s="15">
        <v>80</v>
      </c>
      <c r="C10" s="38">
        <v>-1100</v>
      </c>
      <c r="D10" s="38">
        <v>-2000</v>
      </c>
      <c r="E10" s="38">
        <v>-3000</v>
      </c>
      <c r="F10" s="38">
        <v>-3000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5">
      <c r="A11" s="15">
        <v>90</v>
      </c>
      <c r="C11" s="38">
        <v>-1200</v>
      </c>
      <c r="D11" s="38">
        <v>-2300</v>
      </c>
      <c r="E11" s="38">
        <v>-3000</v>
      </c>
      <c r="F11" s="38">
        <v>-3000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5">
      <c r="A12" s="15">
        <v>100</v>
      </c>
      <c r="C12" s="38">
        <v>-1200</v>
      </c>
      <c r="D12" s="38">
        <v>-2400</v>
      </c>
      <c r="E12" s="38">
        <v>-3000</v>
      </c>
      <c r="F12" s="38">
        <v>-3000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5">
      <c r="A13" s="15">
        <v>110</v>
      </c>
      <c r="C13" s="38" t="s">
        <v>11</v>
      </c>
      <c r="D13" s="38">
        <v>-2700</v>
      </c>
      <c r="E13" s="38">
        <v>-3000</v>
      </c>
      <c r="F13" s="38">
        <v>-3000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8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5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-5000</v>
      </c>
      <c r="H2" s="38">
        <v>-7500</v>
      </c>
      <c r="I2" s="38">
        <v>-10000</v>
      </c>
      <c r="J2" s="38">
        <v>-15000</v>
      </c>
      <c r="K2" s="38">
        <v>-20000</v>
      </c>
      <c r="L2" s="38">
        <v>-40000</v>
      </c>
      <c r="M2" s="38">
        <v>-60000</v>
      </c>
    </row>
    <row r="3" spans="1:13" x14ac:dyDescent="0.45">
      <c r="A3" s="15">
        <v>20</v>
      </c>
      <c r="C3" s="38" t="s">
        <v>11</v>
      </c>
      <c r="D3" s="38">
        <v>-900</v>
      </c>
      <c r="E3" s="38">
        <v>-1700</v>
      </c>
      <c r="F3" s="38">
        <v>-3300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5">
      <c r="A4" s="15">
        <v>25</v>
      </c>
      <c r="C4" s="38" t="s">
        <v>11</v>
      </c>
      <c r="D4" s="38" t="s">
        <v>11</v>
      </c>
      <c r="E4" s="38">
        <v>-2000</v>
      </c>
      <c r="F4" s="38">
        <v>-4000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5">
      <c r="A5" s="15">
        <v>30</v>
      </c>
      <c r="C5" s="38">
        <v>-700</v>
      </c>
      <c r="D5" s="38">
        <v>-1300</v>
      </c>
      <c r="E5" s="38">
        <v>-2500</v>
      </c>
      <c r="F5" s="38">
        <v>-4800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5">
      <c r="A6" s="15">
        <v>40</v>
      </c>
      <c r="C6" s="38">
        <v>-900</v>
      </c>
      <c r="D6" s="38">
        <v>-1700</v>
      </c>
      <c r="E6" s="38">
        <v>-3300</v>
      </c>
      <c r="F6" s="38">
        <v>-5000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5">
      <c r="A7" s="15">
        <v>50</v>
      </c>
      <c r="C7" s="38">
        <v>-1000</v>
      </c>
      <c r="D7" s="38">
        <v>-2000</v>
      </c>
      <c r="E7" s="38">
        <v>-4000</v>
      </c>
      <c r="F7" s="38">
        <v>-5000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5">
      <c r="A8" s="15">
        <v>60</v>
      </c>
      <c r="C8" s="38">
        <v>-1300</v>
      </c>
      <c r="D8" s="38">
        <v>-2500</v>
      </c>
      <c r="E8" s="38">
        <v>-4800</v>
      </c>
      <c r="F8" s="38">
        <v>-5000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5">
      <c r="A9" s="15">
        <v>70</v>
      </c>
      <c r="C9" s="38">
        <v>-1500</v>
      </c>
      <c r="D9" s="38">
        <v>-2900</v>
      </c>
      <c r="E9" s="38">
        <v>-5000</v>
      </c>
      <c r="F9" s="38">
        <v>-5000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5">
      <c r="A10" s="15">
        <v>80</v>
      </c>
      <c r="C10" s="38">
        <v>-1700</v>
      </c>
      <c r="D10" s="38">
        <v>-3300</v>
      </c>
      <c r="E10" s="38">
        <v>-5000</v>
      </c>
      <c r="F10" s="38">
        <v>-5000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5">
      <c r="A11" s="15">
        <v>90</v>
      </c>
      <c r="C11" s="38">
        <v>-1900</v>
      </c>
      <c r="D11" s="38">
        <v>-3700</v>
      </c>
      <c r="E11" s="38">
        <v>-5000</v>
      </c>
      <c r="F11" s="38">
        <v>-5000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5">
      <c r="A12" s="15">
        <v>100</v>
      </c>
      <c r="C12" s="38">
        <v>-2000</v>
      </c>
      <c r="D12" s="38">
        <v>-4000</v>
      </c>
      <c r="E12" s="38">
        <v>-5000</v>
      </c>
      <c r="F12" s="38">
        <v>-5000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5">
      <c r="A13" s="15">
        <v>110</v>
      </c>
      <c r="C13" s="38" t="s">
        <v>11</v>
      </c>
      <c r="D13" s="38">
        <v>-4500</v>
      </c>
      <c r="E13" s="38">
        <v>-5000</v>
      </c>
      <c r="F13" s="38">
        <v>-5000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Sheet1</vt:lpstr>
      <vt:lpstr>Sheet2</vt:lpstr>
      <vt:lpstr>Sheet3</vt:lpstr>
      <vt:lpstr>Sheet4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2020-03-15T08:20:18Z</dcterms:modified>
</cp:coreProperties>
</file>