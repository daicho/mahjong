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バレー部\対局\"/>
    </mc:Choice>
  </mc:AlternateContent>
  <xr:revisionPtr revIDLastSave="0" documentId="13_ncr:1_{303DA610-18F1-444D-96E5-CB85A91204B3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Sheet2" sheetId="16" r:id="rId2"/>
    <sheet name="Sheet3" sheetId="17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17" l="1"/>
  <c r="W30" i="17" s="1"/>
  <c r="O30" i="17"/>
  <c r="V30" i="17" s="1"/>
  <c r="J30" i="17"/>
  <c r="U30" i="17" s="1"/>
  <c r="D30" i="17"/>
  <c r="C30" i="17"/>
  <c r="B30" i="17"/>
  <c r="A30" i="17"/>
  <c r="T29" i="17"/>
  <c r="W29" i="17" s="1"/>
  <c r="O29" i="17"/>
  <c r="V29" i="17" s="1"/>
  <c r="J29" i="17"/>
  <c r="U29" i="17" s="1"/>
  <c r="D29" i="17"/>
  <c r="C29" i="17"/>
  <c r="B29" i="17"/>
  <c r="A29" i="17"/>
  <c r="T28" i="17"/>
  <c r="W28" i="17" s="1"/>
  <c r="O28" i="17"/>
  <c r="V28" i="17" s="1"/>
  <c r="J28" i="17"/>
  <c r="U28" i="17" s="1"/>
  <c r="D28" i="17"/>
  <c r="C28" i="17"/>
  <c r="B28" i="17"/>
  <c r="A28" i="17"/>
  <c r="T27" i="17"/>
  <c r="W27" i="17" s="1"/>
  <c r="O27" i="17"/>
  <c r="V27" i="17" s="1"/>
  <c r="J27" i="17"/>
  <c r="U27" i="17" s="1"/>
  <c r="D27" i="17"/>
  <c r="C27" i="17"/>
  <c r="B27" i="17"/>
  <c r="A27" i="17"/>
  <c r="T26" i="17"/>
  <c r="W26" i="17" s="1"/>
  <c r="O26" i="17"/>
  <c r="V26" i="17" s="1"/>
  <c r="J26" i="17"/>
  <c r="U26" i="17" s="1"/>
  <c r="D26" i="17"/>
  <c r="C26" i="17"/>
  <c r="B26" i="17"/>
  <c r="A26" i="17"/>
  <c r="T25" i="17"/>
  <c r="W25" i="17" s="1"/>
  <c r="O25" i="17"/>
  <c r="V25" i="17" s="1"/>
  <c r="J25" i="17"/>
  <c r="U25" i="17" s="1"/>
  <c r="D25" i="17"/>
  <c r="C25" i="17"/>
  <c r="B25" i="17"/>
  <c r="A25" i="17"/>
  <c r="T24" i="17"/>
  <c r="W24" i="17" s="1"/>
  <c r="O24" i="17"/>
  <c r="V24" i="17" s="1"/>
  <c r="J24" i="17"/>
  <c r="U24" i="17" s="1"/>
  <c r="D24" i="17"/>
  <c r="C24" i="17"/>
  <c r="B24" i="17"/>
  <c r="A24" i="17"/>
  <c r="T23" i="17"/>
  <c r="W23" i="17" s="1"/>
  <c r="O23" i="17"/>
  <c r="V23" i="17" s="1"/>
  <c r="J23" i="17"/>
  <c r="U23" i="17" s="1"/>
  <c r="D23" i="17"/>
  <c r="C23" i="17"/>
  <c r="B23" i="17"/>
  <c r="A23" i="17"/>
  <c r="T22" i="17"/>
  <c r="W22" i="17" s="1"/>
  <c r="O22" i="17"/>
  <c r="V22" i="17" s="1"/>
  <c r="J22" i="17"/>
  <c r="U22" i="17" s="1"/>
  <c r="D22" i="17"/>
  <c r="C22" i="17"/>
  <c r="B22" i="17"/>
  <c r="A22" i="17"/>
  <c r="T21" i="17"/>
  <c r="W21" i="17" s="1"/>
  <c r="O21" i="17"/>
  <c r="V21" i="17" s="1"/>
  <c r="J21" i="17"/>
  <c r="U21" i="17" s="1"/>
  <c r="D21" i="17"/>
  <c r="C21" i="17"/>
  <c r="B21" i="17"/>
  <c r="A21" i="17"/>
  <c r="T20" i="17"/>
  <c r="W20" i="17" s="1"/>
  <c r="O20" i="17"/>
  <c r="V20" i="17" s="1"/>
  <c r="J20" i="17"/>
  <c r="U20" i="17" s="1"/>
  <c r="D20" i="17"/>
  <c r="C20" i="17"/>
  <c r="B20" i="17"/>
  <c r="A20" i="17"/>
  <c r="T19" i="17"/>
  <c r="W19" i="17" s="1"/>
  <c r="O19" i="17"/>
  <c r="V19" i="17" s="1"/>
  <c r="J19" i="17"/>
  <c r="U19" i="17" s="1"/>
  <c r="D19" i="17"/>
  <c r="C19" i="17"/>
  <c r="B19" i="17"/>
  <c r="A19" i="17"/>
  <c r="T18" i="17"/>
  <c r="W18" i="17" s="1"/>
  <c r="O18" i="17"/>
  <c r="V18" i="17" s="1"/>
  <c r="J18" i="17"/>
  <c r="U18" i="17" s="1"/>
  <c r="D18" i="17"/>
  <c r="C18" i="17"/>
  <c r="B18" i="17"/>
  <c r="A18" i="17"/>
  <c r="T17" i="17"/>
  <c r="W17" i="17" s="1"/>
  <c r="O17" i="17"/>
  <c r="V17" i="17" s="1"/>
  <c r="J17" i="17"/>
  <c r="U17" i="17" s="1"/>
  <c r="D17" i="17"/>
  <c r="C17" i="17"/>
  <c r="B17" i="17"/>
  <c r="A17" i="17"/>
  <c r="T16" i="17"/>
  <c r="W16" i="17" s="1"/>
  <c r="O16" i="17"/>
  <c r="V16" i="17" s="1"/>
  <c r="J16" i="17"/>
  <c r="U16" i="17" s="1"/>
  <c r="D16" i="17"/>
  <c r="C16" i="17"/>
  <c r="B16" i="17"/>
  <c r="A16" i="17"/>
  <c r="T15" i="17"/>
  <c r="W15" i="17" s="1"/>
  <c r="O15" i="17"/>
  <c r="V15" i="17" s="1"/>
  <c r="J15" i="17"/>
  <c r="U15" i="17" s="1"/>
  <c r="D15" i="17"/>
  <c r="C15" i="17"/>
  <c r="B15" i="17"/>
  <c r="A15" i="17"/>
  <c r="T14" i="17"/>
  <c r="W14" i="17" s="1"/>
  <c r="O14" i="17"/>
  <c r="V14" i="17" s="1"/>
  <c r="J14" i="17"/>
  <c r="U14" i="17" s="1"/>
  <c r="D14" i="17"/>
  <c r="C14" i="17"/>
  <c r="B14" i="17"/>
  <c r="A14" i="17"/>
  <c r="T13" i="17"/>
  <c r="W13" i="17" s="1"/>
  <c r="O13" i="17"/>
  <c r="V13" i="17" s="1"/>
  <c r="J13" i="17"/>
  <c r="U13" i="17" s="1"/>
  <c r="D13" i="17"/>
  <c r="C13" i="17"/>
  <c r="B13" i="17"/>
  <c r="A13" i="17"/>
  <c r="T12" i="17"/>
  <c r="W12" i="17" s="1"/>
  <c r="O12" i="17"/>
  <c r="V12" i="17" s="1"/>
  <c r="J12" i="17"/>
  <c r="U12" i="17" s="1"/>
  <c r="D12" i="17"/>
  <c r="C12" i="17"/>
  <c r="B12" i="17"/>
  <c r="A12" i="17" s="1"/>
  <c r="T11" i="17"/>
  <c r="W11" i="17" s="1"/>
  <c r="O11" i="17"/>
  <c r="V11" i="17" s="1"/>
  <c r="J11" i="17"/>
  <c r="U11" i="17" s="1"/>
  <c r="D11" i="17"/>
  <c r="C11" i="17"/>
  <c r="B11" i="17"/>
  <c r="A11" i="17"/>
  <c r="D10" i="17"/>
  <c r="C10" i="17"/>
  <c r="D9" i="17"/>
  <c r="C8" i="17"/>
  <c r="C9" i="17" s="1"/>
  <c r="D7" i="17"/>
  <c r="D8" i="17" s="1"/>
  <c r="C7" i="17"/>
  <c r="D6" i="17"/>
  <c r="C6" i="17"/>
  <c r="B6" i="17"/>
  <c r="J5" i="17"/>
  <c r="U5" i="17" s="1"/>
  <c r="D5" i="17"/>
  <c r="C5" i="17"/>
  <c r="B5" i="17"/>
  <c r="T4" i="17"/>
  <c r="W4" i="17" s="1"/>
  <c r="O4" i="17"/>
  <c r="V4" i="17" s="1"/>
  <c r="J4" i="17"/>
  <c r="U4" i="17" s="1"/>
  <c r="W3" i="17"/>
  <c r="V3" i="17"/>
  <c r="U3" i="17"/>
  <c r="W2" i="17"/>
  <c r="V2" i="17"/>
  <c r="U2" i="17"/>
  <c r="BO1" i="17"/>
  <c r="AT1" i="17"/>
  <c r="Y1" i="17"/>
  <c r="A6" i="17" l="1"/>
  <c r="A5" i="17"/>
  <c r="B7" i="17"/>
  <c r="O5" i="17"/>
  <c r="T5" i="17"/>
  <c r="J6" i="17"/>
  <c r="U6" i="17" l="1"/>
  <c r="J7" i="17"/>
  <c r="W5" i="17"/>
  <c r="T6" i="17"/>
  <c r="O6" i="17"/>
  <c r="V5" i="17"/>
  <c r="B8" i="17"/>
  <c r="A8" i="17" s="1"/>
  <c r="A7" i="17"/>
  <c r="T7" i="17" l="1"/>
  <c r="W6" i="17"/>
  <c r="B9" i="17"/>
  <c r="A9" i="17" s="1"/>
  <c r="V6" i="17"/>
  <c r="O7" i="17"/>
  <c r="U7" i="17"/>
  <c r="J8" i="17"/>
  <c r="V7" i="17" l="1"/>
  <c r="O8" i="17"/>
  <c r="B10" i="17"/>
  <c r="A10" i="17" s="1"/>
  <c r="J9" i="17"/>
  <c r="U8" i="17"/>
  <c r="T8" i="17"/>
  <c r="W7" i="17"/>
  <c r="V8" i="17" l="1"/>
  <c r="O9" i="17"/>
  <c r="W8" i="17"/>
  <c r="T9" i="17"/>
  <c r="U9" i="17"/>
  <c r="J10" i="17"/>
  <c r="U10" i="17" s="1"/>
  <c r="W9" i="17" l="1"/>
  <c r="T10" i="17"/>
  <c r="W10" i="17" s="1"/>
  <c r="O10" i="17"/>
  <c r="V10" i="17" s="1"/>
  <c r="V9" i="17"/>
  <c r="T30" i="16" l="1"/>
  <c r="W30" i="16" s="1"/>
  <c r="O30" i="16"/>
  <c r="V30" i="16" s="1"/>
  <c r="J30" i="16"/>
  <c r="U30" i="16" s="1"/>
  <c r="D30" i="16"/>
  <c r="C30" i="16"/>
  <c r="B30" i="16"/>
  <c r="A30" i="16"/>
  <c r="T29" i="16"/>
  <c r="W29" i="16" s="1"/>
  <c r="O29" i="16"/>
  <c r="V29" i="16" s="1"/>
  <c r="J29" i="16"/>
  <c r="U29" i="16" s="1"/>
  <c r="D29" i="16"/>
  <c r="C29" i="16"/>
  <c r="B29" i="16"/>
  <c r="A29" i="16"/>
  <c r="T28" i="16"/>
  <c r="W28" i="16" s="1"/>
  <c r="O28" i="16"/>
  <c r="V28" i="16" s="1"/>
  <c r="J28" i="16"/>
  <c r="U28" i="16" s="1"/>
  <c r="D28" i="16"/>
  <c r="C28" i="16"/>
  <c r="B28" i="16"/>
  <c r="A28" i="16"/>
  <c r="T27" i="16"/>
  <c r="W27" i="16" s="1"/>
  <c r="O27" i="16"/>
  <c r="V27" i="16" s="1"/>
  <c r="J27" i="16"/>
  <c r="U27" i="16" s="1"/>
  <c r="D27" i="16"/>
  <c r="C27" i="16"/>
  <c r="B27" i="16"/>
  <c r="A27" i="16"/>
  <c r="T26" i="16"/>
  <c r="W26" i="16" s="1"/>
  <c r="O26" i="16"/>
  <c r="V26" i="16" s="1"/>
  <c r="J26" i="16"/>
  <c r="U26" i="16" s="1"/>
  <c r="D26" i="16"/>
  <c r="C26" i="16"/>
  <c r="B26" i="16"/>
  <c r="A26" i="16"/>
  <c r="T25" i="16"/>
  <c r="W25" i="16" s="1"/>
  <c r="O25" i="16"/>
  <c r="V25" i="16" s="1"/>
  <c r="J25" i="16"/>
  <c r="U25" i="16" s="1"/>
  <c r="D25" i="16"/>
  <c r="C25" i="16"/>
  <c r="B25" i="16"/>
  <c r="A25" i="16"/>
  <c r="T24" i="16"/>
  <c r="W24" i="16" s="1"/>
  <c r="O24" i="16"/>
  <c r="V24" i="16" s="1"/>
  <c r="J24" i="16"/>
  <c r="U24" i="16" s="1"/>
  <c r="D24" i="16"/>
  <c r="C24" i="16"/>
  <c r="B24" i="16"/>
  <c r="A24" i="16"/>
  <c r="T23" i="16"/>
  <c r="W23" i="16" s="1"/>
  <c r="O23" i="16"/>
  <c r="V23" i="16" s="1"/>
  <c r="J23" i="16"/>
  <c r="U23" i="16" s="1"/>
  <c r="D23" i="16"/>
  <c r="C23" i="16"/>
  <c r="B23" i="16"/>
  <c r="A23" i="16"/>
  <c r="T22" i="16"/>
  <c r="W22" i="16" s="1"/>
  <c r="O22" i="16"/>
  <c r="V22" i="16" s="1"/>
  <c r="J22" i="16"/>
  <c r="U22" i="16" s="1"/>
  <c r="D22" i="16"/>
  <c r="C22" i="16"/>
  <c r="B22" i="16"/>
  <c r="A22" i="16"/>
  <c r="T21" i="16"/>
  <c r="W21" i="16" s="1"/>
  <c r="O21" i="16"/>
  <c r="V21" i="16" s="1"/>
  <c r="J21" i="16"/>
  <c r="U21" i="16" s="1"/>
  <c r="D21" i="16"/>
  <c r="C21" i="16"/>
  <c r="B21" i="16"/>
  <c r="A21" i="16"/>
  <c r="T20" i="16"/>
  <c r="W20" i="16" s="1"/>
  <c r="O20" i="16"/>
  <c r="V20" i="16" s="1"/>
  <c r="J20" i="16"/>
  <c r="U20" i="16" s="1"/>
  <c r="D20" i="16"/>
  <c r="C20" i="16"/>
  <c r="B20" i="16"/>
  <c r="A20" i="16"/>
  <c r="T19" i="16"/>
  <c r="W19" i="16" s="1"/>
  <c r="O19" i="16"/>
  <c r="V19" i="16" s="1"/>
  <c r="J19" i="16"/>
  <c r="U19" i="16" s="1"/>
  <c r="D19" i="16"/>
  <c r="C19" i="16"/>
  <c r="B19" i="16"/>
  <c r="A19" i="16"/>
  <c r="T18" i="16"/>
  <c r="W18" i="16" s="1"/>
  <c r="O18" i="16"/>
  <c r="V18" i="16" s="1"/>
  <c r="J18" i="16"/>
  <c r="U18" i="16" s="1"/>
  <c r="D18" i="16"/>
  <c r="C18" i="16"/>
  <c r="B18" i="16"/>
  <c r="A18" i="16"/>
  <c r="T17" i="16"/>
  <c r="W17" i="16" s="1"/>
  <c r="O17" i="16"/>
  <c r="V17" i="16" s="1"/>
  <c r="J17" i="16"/>
  <c r="U17" i="16" s="1"/>
  <c r="D17" i="16"/>
  <c r="C17" i="16"/>
  <c r="B17" i="16"/>
  <c r="A17" i="16"/>
  <c r="T16" i="16"/>
  <c r="W16" i="16" s="1"/>
  <c r="O16" i="16"/>
  <c r="V16" i="16" s="1"/>
  <c r="J16" i="16"/>
  <c r="U16" i="16" s="1"/>
  <c r="D16" i="16"/>
  <c r="C16" i="16"/>
  <c r="B16" i="16"/>
  <c r="A16" i="16"/>
  <c r="T15" i="16"/>
  <c r="W15" i="16" s="1"/>
  <c r="O15" i="16"/>
  <c r="V15" i="16" s="1"/>
  <c r="J15" i="16"/>
  <c r="U15" i="16" s="1"/>
  <c r="D15" i="16"/>
  <c r="C15" i="16"/>
  <c r="B15" i="16"/>
  <c r="A15" i="16"/>
  <c r="T14" i="16"/>
  <c r="W14" i="16" s="1"/>
  <c r="O14" i="16"/>
  <c r="V14" i="16" s="1"/>
  <c r="J14" i="16"/>
  <c r="U14" i="16" s="1"/>
  <c r="D14" i="16"/>
  <c r="C14" i="16"/>
  <c r="B14" i="16"/>
  <c r="A14" i="16"/>
  <c r="T13" i="16"/>
  <c r="W13" i="16" s="1"/>
  <c r="O13" i="16"/>
  <c r="V13" i="16" s="1"/>
  <c r="J13" i="16"/>
  <c r="U13" i="16" s="1"/>
  <c r="D13" i="16"/>
  <c r="C13" i="16"/>
  <c r="B13" i="16"/>
  <c r="A13" i="16"/>
  <c r="T12" i="16"/>
  <c r="W12" i="16" s="1"/>
  <c r="O12" i="16"/>
  <c r="V12" i="16" s="1"/>
  <c r="J12" i="16"/>
  <c r="U12" i="16" s="1"/>
  <c r="D12" i="16"/>
  <c r="C12" i="16"/>
  <c r="B12" i="16"/>
  <c r="A12" i="16"/>
  <c r="T11" i="16"/>
  <c r="W11" i="16" s="1"/>
  <c r="O11" i="16"/>
  <c r="V11" i="16" s="1"/>
  <c r="J11" i="16"/>
  <c r="U11" i="16" s="1"/>
  <c r="D11" i="16"/>
  <c r="C11" i="16"/>
  <c r="B11" i="16"/>
  <c r="A11" i="16"/>
  <c r="T10" i="16"/>
  <c r="W10" i="16" s="1"/>
  <c r="O10" i="16"/>
  <c r="V10" i="16" s="1"/>
  <c r="J10" i="16"/>
  <c r="U10" i="16" s="1"/>
  <c r="D10" i="16"/>
  <c r="C10" i="16"/>
  <c r="B10" i="16"/>
  <c r="A10" i="16"/>
  <c r="D9" i="16"/>
  <c r="C9" i="16"/>
  <c r="C8" i="16"/>
  <c r="D7" i="16"/>
  <c r="D8" i="16" s="1"/>
  <c r="C7" i="16"/>
  <c r="D6" i="16"/>
  <c r="C6" i="16"/>
  <c r="B6" i="16"/>
  <c r="J5" i="16"/>
  <c r="U5" i="16" s="1"/>
  <c r="D5" i="16"/>
  <c r="C5" i="16"/>
  <c r="B5" i="16"/>
  <c r="A6" i="16" s="1"/>
  <c r="T4" i="16"/>
  <c r="W4" i="16" s="1"/>
  <c r="O4" i="16"/>
  <c r="V4" i="16" s="1"/>
  <c r="J4" i="16"/>
  <c r="U4" i="16" s="1"/>
  <c r="W3" i="16"/>
  <c r="V3" i="16"/>
  <c r="U3" i="16"/>
  <c r="W2" i="16"/>
  <c r="V2" i="16"/>
  <c r="U2" i="16"/>
  <c r="BO1" i="16"/>
  <c r="AT1" i="16"/>
  <c r="Y1" i="16"/>
  <c r="A5" i="16" l="1"/>
  <c r="O5" i="16"/>
  <c r="B7" i="16"/>
  <c r="T5" i="16"/>
  <c r="J6" i="16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B8" i="16" l="1"/>
  <c r="A8" i="16" s="1"/>
  <c r="U6" i="16"/>
  <c r="J7" i="16"/>
  <c r="V5" i="16"/>
  <c r="O6" i="16"/>
  <c r="T6" i="16"/>
  <c r="W5" i="16"/>
  <c r="A7" i="16"/>
  <c r="W3" i="1"/>
  <c r="V3" i="1"/>
  <c r="U3" i="1"/>
  <c r="J8" i="16" l="1"/>
  <c r="U7" i="16"/>
  <c r="T7" i="16"/>
  <c r="W6" i="16"/>
  <c r="V6" i="16"/>
  <c r="O7" i="16"/>
  <c r="B9" i="16"/>
  <c r="A9" i="16" s="1"/>
  <c r="B5" i="1"/>
  <c r="A5" i="1" s="1"/>
  <c r="D6" i="1"/>
  <c r="B6" i="1"/>
  <c r="A6" i="1" s="1"/>
  <c r="D5" i="1"/>
  <c r="O8" i="16" l="1"/>
  <c r="V7" i="16"/>
  <c r="W7" i="16"/>
  <c r="T8" i="16"/>
  <c r="J9" i="16"/>
  <c r="U9" i="16" s="1"/>
  <c r="U8" i="16"/>
  <c r="Y1" i="1"/>
  <c r="W8" i="16" l="1"/>
  <c r="T9" i="16"/>
  <c r="W9" i="16" s="1"/>
  <c r="V8" i="16"/>
  <c r="O9" i="16"/>
  <c r="V9" i="16" s="1"/>
  <c r="BO1" i="1"/>
  <c r="AT1" i="1"/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2" i="1" l="1"/>
  <c r="V2" i="1"/>
  <c r="U2" i="1"/>
  <c r="J4" i="1" l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U4" i="1" l="1"/>
  <c r="B8" i="1"/>
  <c r="A8" i="1" s="1"/>
  <c r="A7" i="1"/>
  <c r="J5" i="1"/>
  <c r="B9" i="1"/>
  <c r="A9" i="1" s="1"/>
  <c r="O4" i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V5" i="1" s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U5" i="1" l="1"/>
  <c r="W4" i="1"/>
  <c r="V4" i="1"/>
  <c r="J6" i="1"/>
  <c r="T5" i="1"/>
  <c r="O6" i="1"/>
  <c r="B10" i="1"/>
  <c r="W5" i="1" l="1"/>
  <c r="O7" i="1"/>
  <c r="V6" i="1"/>
  <c r="J7" i="1"/>
  <c r="U6" i="1"/>
  <c r="J8" i="1"/>
  <c r="U8" i="1" s="1"/>
  <c r="B11" i="1"/>
  <c r="A11" i="1" s="1"/>
  <c r="A10" i="1"/>
  <c r="O8" i="1"/>
  <c r="V8" i="1" s="1"/>
  <c r="T6" i="1"/>
  <c r="B12" i="1"/>
  <c r="A12" i="1" s="1"/>
  <c r="U7" i="1" l="1"/>
  <c r="V7" i="1"/>
  <c r="T7" i="1"/>
  <c r="W6" i="1"/>
  <c r="J9" i="1"/>
  <c r="T8" i="1"/>
  <c r="W8" i="1" s="1"/>
  <c r="O9" i="1"/>
  <c r="B13" i="1"/>
  <c r="A13" i="1" s="1"/>
  <c r="V9" i="1" l="1"/>
  <c r="U9" i="1"/>
  <c r="W7" i="1"/>
  <c r="J10" i="1"/>
  <c r="J11" i="1"/>
  <c r="U11" i="1" s="1"/>
  <c r="O10" i="1"/>
  <c r="T9" i="1"/>
  <c r="B14" i="1"/>
  <c r="A14" i="1" s="1"/>
  <c r="V10" i="1" l="1"/>
  <c r="U10" i="1"/>
  <c r="W9" i="1"/>
  <c r="O11" i="1"/>
  <c r="V11" i="1" s="1"/>
  <c r="J12" i="1"/>
  <c r="U12" i="1" s="1"/>
  <c r="T10" i="1"/>
  <c r="W10" i="1" l="1"/>
  <c r="J13" i="1"/>
  <c r="U13" i="1" s="1"/>
  <c r="O12" i="1"/>
  <c r="V12" i="1" s="1"/>
  <c r="T11" i="1"/>
  <c r="W11" i="1" s="1"/>
  <c r="J14" i="1" l="1"/>
  <c r="U14" i="1" s="1"/>
  <c r="O13" i="1"/>
  <c r="V13" i="1" s="1"/>
  <c r="T12" i="1"/>
  <c r="W12" i="1" s="1"/>
  <c r="O14" i="1" l="1"/>
  <c r="V14" i="1" s="1"/>
  <c r="J15" i="1"/>
  <c r="U15" i="1" s="1"/>
  <c r="T13" i="1"/>
  <c r="W13" i="1" s="1"/>
  <c r="T14" i="1" l="1"/>
  <c r="W14" i="1" s="1"/>
  <c r="O15" i="1"/>
  <c r="V15" i="1" s="1"/>
  <c r="T15" i="1" l="1"/>
  <c r="W15" i="1" s="1"/>
</calcChain>
</file>

<file path=xl/sharedStrings.xml><?xml version="1.0" encoding="utf-8"?>
<sst xmlns="http://schemas.openxmlformats.org/spreadsheetml/2006/main" count="760" uniqueCount="157">
  <si>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</si>
  <si>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</si>
  <si>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</si>
  <si>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</si>
  <si>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</si>
  <si>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</si>
  <si>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</si>
  <si>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</si>
  <si>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</si>
  <si>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</si>
  <si>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</si>
  <si>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</si>
  <si>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</si>
  <si>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</si>
  <si>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</si>
  <si>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</si>
  <si>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</si>
  <si>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</si>
  <si>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</si>
  <si>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</si>
  <si>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</si>
  <si>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</si>
  <si>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</si>
  <si>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</si>
  <si>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</si>
  <si>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</si>
  <si>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</si>
  <si>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</si>
  <si>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</si>
  <si>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</si>
  <si>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</si>
  <si>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</si>
  <si>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</si>
  <si>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</si>
  <si>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</si>
  <si>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</si>
  <si>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</si>
  <si>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</si>
  <si>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</si>
  <si>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</si>
  <si>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</si>
  <si>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</si>
  <si>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</si>
  <si>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</si>
  <si>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</si>
  <si>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</si>
  <si>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</si>
  <si>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</si>
  <si>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</si>
  <si>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</si>
  <si>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</si>
  <si>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</si>
  <si>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</si>
  <si>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</si>
  <si>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</si>
  <si>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</si>
  <si>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</si>
  <si>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</si>
  <si>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</si>
  <si>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</si>
  <si>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</si>
  <si>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</si>
  <si>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</si>
  <si>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</si>
  <si>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</si>
  <si>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</si>
  <si>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</si>
  <si>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</si>
  <si>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</si>
  <si>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</si>
  <si>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</si>
  <si>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</si>
  <si>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</si>
  <si>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</si>
  <si>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</si>
  <si>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</si>
  <si>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</si>
  <si>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</si>
  <si>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</si>
  <si>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</si>
  <si>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</si>
  <si>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</si>
  <si>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</si>
  <si>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</si>
  <si>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</si>
  <si>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</si>
  <si>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</si>
  <si>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</si>
  <si>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</si>
  <si>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</si>
  <si>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</si>
  <si>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</si>
  <si>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</si>
  <si>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</si>
  <si>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</si>
  <si>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</si>
  <si>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</si>
  <si>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</si>
  <si>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</si>
  <si>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</si>
  <si>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</si>
  <si>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</si>
  <si>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</si>
  <si>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</si>
  <si>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</si>
  <si>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</si>
  <si>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</si>
  <si>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</si>
  <si>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</si>
  <si>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</si>
  <si>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</si>
  <si>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</si>
  <si>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</si>
  <si>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</si>
  <si>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</si>
  <si>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</si>
  <si>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</si>
  <si>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</si>
  <si>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</si>
  <si>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</si>
  <si>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</si>
  <si>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</si>
  <si>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</si>
  <si>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</si>
  <si>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</si>
  <si>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</si>
  <si>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</si>
  <si>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</si>
  <si>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</si>
  <si>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</si>
  <si>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</si>
  <si>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</si>
  <si>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</si>
  <si>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</si>
  <si>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</si>
  <si>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</si>
  <si>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</si>
  <si>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</si>
  <si>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</si>
  <si>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だいち</t>
  </si>
  <si>
    <t>だいち</t>
    <phoneticPr fontId="1"/>
  </si>
  <si>
    <t>りょうすけ</t>
  </si>
  <si>
    <t>りょうすけ</t>
    <phoneticPr fontId="1"/>
  </si>
  <si>
    <t>てんちゃん</t>
  </si>
  <si>
    <t>てんちゃん</t>
    <phoneticPr fontId="1"/>
  </si>
  <si>
    <t>ロン</t>
  </si>
  <si>
    <t>放銃</t>
  </si>
  <si>
    <t>01</t>
  </si>
  <si>
    <t>ツモ支払</t>
  </si>
  <si>
    <t>ツモ</t>
  </si>
  <si>
    <t>*</t>
  </si>
  <si>
    <t>52</t>
  </si>
  <si>
    <t>T</t>
  </si>
  <si>
    <t>N</t>
  </si>
  <si>
    <t>流局</t>
    <phoneticPr fontId="1"/>
  </si>
  <si>
    <t>02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</si>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</sst>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140</v>
      </c>
      <c r="G1" s="74"/>
      <c r="H1" s="74"/>
      <c r="I1" s="83"/>
      <c r="J1" s="75"/>
      <c r="K1" s="72" t="s">
        <v>142</v>
      </c>
      <c r="L1" s="74"/>
      <c r="M1" s="74"/>
      <c r="N1" s="83"/>
      <c r="O1" s="75"/>
      <c r="P1" s="72" t="s">
        <v>144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りょうすけ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てんちゃん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だいち</v>
      </c>
      <c r="V2" s="27" t="str">
        <f>$K$1</f>
        <v>りょうすけ</v>
      </c>
      <c r="W2" s="16" t="str">
        <f>$P$1</f>
        <v>てんちゃん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141</v>
      </c>
      <c r="F4" s="8"/>
      <c r="G4" s="9"/>
      <c r="H4" s="9"/>
      <c r="I4" s="55"/>
      <c r="J4" s="21">
        <f>IF(COUNTA($F4,$K4,$P4)&gt;0,J3+SUM(G4:I4),"")</f>
        <v>35000</v>
      </c>
      <c r="K4" s="8" t="s">
        <v>145</v>
      </c>
      <c r="L4" s="9">
        <v>11600</v>
      </c>
      <c r="M4" s="9">
        <v>1000</v>
      </c>
      <c r="N4" s="55">
        <v>0</v>
      </c>
      <c r="O4" s="21">
        <f>IF(COUNTA($F4,$K4,$P4)&gt;0,O3+SUM(L4:N4),"")</f>
        <v>47600</v>
      </c>
      <c r="P4" s="8" t="s">
        <v>146</v>
      </c>
      <c r="Q4" s="9">
        <v>-11600</v>
      </c>
      <c r="R4" s="9">
        <v>-1000</v>
      </c>
      <c r="S4" s="55">
        <v>0</v>
      </c>
      <c r="T4" s="21">
        <f>IF(COUNTA($F4,$K4,$P4)&gt;0,T3+SUM(Q4:S4),"")</f>
        <v>22400</v>
      </c>
      <c r="U4" s="60">
        <f t="shared" ref="U4:U30" si="0">IF($J4="","",ROUND(($J4-$J$3)/1000,1))</f>
        <v>0</v>
      </c>
      <c r="V4" s="61">
        <f t="shared" ref="V4:V30" si="1">IF($O4="","",ROUND(($O4-$O$3)/1000,1))</f>
        <v>12.6</v>
      </c>
      <c r="W4" s="62">
        <f t="shared" ref="W4:W30" si="2">IF($T4="","",ROUND(($T4-$T$3)/1000,1))</f>
        <v>-12.6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>
        <v>4</v>
      </c>
      <c r="AY4" s="36">
        <v>30</v>
      </c>
      <c r="AZ4" s="47" t="s">
        <v>147</v>
      </c>
      <c r="BA4" s="48" t="s">
        <v>80</v>
      </c>
      <c r="BB4" s="48" t="s">
        <v>81</v>
      </c>
      <c r="BC4" s="48" t="s">
        <v>84</v>
      </c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>
        <v>1</v>
      </c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4">IF($E5="","",IF(OR($F4="流局",$F4="チョンボ"),D4+($H4+$M4+$R4)/-1000,0))</f>
        <v>0</v>
      </c>
      <c r="E5" s="4" t="s">
        <v>141</v>
      </c>
      <c r="F5" s="8" t="s">
        <v>148</v>
      </c>
      <c r="G5" s="9">
        <v>-9000</v>
      </c>
      <c r="H5" s="9">
        <v>-1000</v>
      </c>
      <c r="I5" s="55">
        <v>-500</v>
      </c>
      <c r="J5" s="21">
        <f t="shared" ref="J5:J30" si="5">IF(COUNTA($F5,$K5,$P5)&gt;0,J4+SUM(G5:I5),"")</f>
        <v>24500</v>
      </c>
      <c r="K5" s="8" t="s">
        <v>149</v>
      </c>
      <c r="L5" s="9">
        <v>18000</v>
      </c>
      <c r="M5" s="9">
        <v>1000</v>
      </c>
      <c r="N5" s="55">
        <v>1000</v>
      </c>
      <c r="O5" s="21">
        <f t="shared" ref="O5:O30" si="6">IF(COUNTA($F5,$K5,$P5)&gt;0,O4+SUM(L5:N5),"")</f>
        <v>67600</v>
      </c>
      <c r="P5" s="8" t="s">
        <v>148</v>
      </c>
      <c r="Q5" s="9">
        <v>-9000</v>
      </c>
      <c r="R5" s="9"/>
      <c r="S5" s="55">
        <v>-500</v>
      </c>
      <c r="T5" s="21">
        <f t="shared" ref="T5:T30" si="7">IF(COUNTA($F5,$K5,$P5)&gt;0,T4+SUM(Q5:S5),"")</f>
        <v>12900</v>
      </c>
      <c r="U5" s="60">
        <f t="shared" si="0"/>
        <v>-10.5</v>
      </c>
      <c r="V5" s="61">
        <f t="shared" si="1"/>
        <v>32.6</v>
      </c>
      <c r="W5" s="62">
        <f t="shared" si="2"/>
        <v>-22.1</v>
      </c>
      <c r="Y5" s="8"/>
      <c r="Z5" s="41"/>
      <c r="AA5" s="32">
        <v>1</v>
      </c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>
        <v>7</v>
      </c>
      <c r="AY5" s="36" t="s">
        <v>150</v>
      </c>
      <c r="AZ5" s="47" t="s">
        <v>147</v>
      </c>
      <c r="BA5" s="48" t="s">
        <v>83</v>
      </c>
      <c r="BB5" s="48" t="s">
        <v>84</v>
      </c>
      <c r="BC5" s="48" t="s">
        <v>82</v>
      </c>
      <c r="BD5" s="48" t="s">
        <v>82</v>
      </c>
      <c r="BE5" s="48" t="s">
        <v>82</v>
      </c>
      <c r="BF5" s="48" t="s">
        <v>82</v>
      </c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1</v>
      </c>
      <c r="C6" s="18">
        <f t="shared" ref="C6:C30" si="9">IF($E6="","",IF($F5="チョンボ",C5,IF(OR($E5=$E6,$F5="流局"),C5+1,0)))</f>
        <v>2</v>
      </c>
      <c r="D6" s="18">
        <f t="shared" si="4"/>
        <v>0</v>
      </c>
      <c r="E6" s="4" t="s">
        <v>141</v>
      </c>
      <c r="F6" s="8" t="s">
        <v>145</v>
      </c>
      <c r="G6" s="9">
        <v>32000</v>
      </c>
      <c r="H6" s="9">
        <v>2000</v>
      </c>
      <c r="I6" s="55">
        <v>2000</v>
      </c>
      <c r="J6" s="21">
        <f t="shared" si="5"/>
        <v>60500</v>
      </c>
      <c r="K6" s="8" t="s">
        <v>146</v>
      </c>
      <c r="L6" s="9">
        <v>-32000</v>
      </c>
      <c r="M6" s="9">
        <v>-1000</v>
      </c>
      <c r="N6" s="55">
        <v>-2000</v>
      </c>
      <c r="O6" s="21">
        <f t="shared" si="6"/>
        <v>32600</v>
      </c>
      <c r="P6" s="8"/>
      <c r="Q6" s="9"/>
      <c r="R6" s="9">
        <v>-1000</v>
      </c>
      <c r="S6" s="55"/>
      <c r="T6" s="21">
        <f t="shared" si="7"/>
        <v>11900</v>
      </c>
      <c r="U6" s="60">
        <f t="shared" si="0"/>
        <v>25.5</v>
      </c>
      <c r="V6" s="61">
        <f t="shared" si="1"/>
        <v>-2.4</v>
      </c>
      <c r="W6" s="62">
        <f t="shared" si="2"/>
        <v>-23.1</v>
      </c>
      <c r="Y6" s="8"/>
      <c r="Z6" s="41"/>
      <c r="AA6" s="32">
        <v>1</v>
      </c>
      <c r="AB6" s="32"/>
      <c r="AC6" s="32">
        <v>13</v>
      </c>
      <c r="AD6" s="36" t="s">
        <v>150</v>
      </c>
      <c r="AE6" s="47" t="s">
        <v>147</v>
      </c>
      <c r="AF6" s="48" t="s">
        <v>105</v>
      </c>
      <c r="AG6" s="48" t="s">
        <v>87</v>
      </c>
      <c r="AH6" s="48" t="s">
        <v>82</v>
      </c>
      <c r="AI6" s="48" t="s">
        <v>151</v>
      </c>
      <c r="AJ6" s="48" t="s">
        <v>81</v>
      </c>
      <c r="AK6" s="48" t="s">
        <v>80</v>
      </c>
      <c r="AL6" s="48" t="s">
        <v>80</v>
      </c>
      <c r="AM6" s="48" t="s">
        <v>80</v>
      </c>
      <c r="AN6" s="48" t="s">
        <v>97</v>
      </c>
      <c r="AO6" s="48"/>
      <c r="AP6" s="48"/>
      <c r="AQ6" s="48"/>
      <c r="AR6" s="48"/>
      <c r="AS6" s="49"/>
      <c r="AT6" s="8"/>
      <c r="AU6" s="41"/>
      <c r="AV6" s="32">
        <v>1</v>
      </c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>
        <v>1</v>
      </c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10">IF($E7="","",IF(AND(B6=3,B7=1),_xlfn.SWITCH(A6,"東","南","南","西","西","北","北","東"),A6))</f>
        <v>東</v>
      </c>
      <c r="B7" s="18">
        <f t="shared" si="8"/>
        <v>2</v>
      </c>
      <c r="C7" s="18">
        <f t="shared" si="9"/>
        <v>0</v>
      </c>
      <c r="D7" s="18">
        <f t="shared" si="4"/>
        <v>0</v>
      </c>
      <c r="E7" s="4" t="s">
        <v>143</v>
      </c>
      <c r="F7" s="8" t="s">
        <v>154</v>
      </c>
      <c r="G7" s="9">
        <v>3000</v>
      </c>
      <c r="H7" s="9">
        <v>-1000</v>
      </c>
      <c r="I7" s="55"/>
      <c r="J7" s="21">
        <f t="shared" si="5"/>
        <v>62500</v>
      </c>
      <c r="K7" s="8" t="s">
        <v>154</v>
      </c>
      <c r="L7" s="9">
        <v>-1500</v>
      </c>
      <c r="M7" s="9"/>
      <c r="N7" s="55"/>
      <c r="O7" s="21">
        <f t="shared" si="6"/>
        <v>31100</v>
      </c>
      <c r="P7" s="8" t="s">
        <v>154</v>
      </c>
      <c r="Q7" s="9">
        <v>-1500</v>
      </c>
      <c r="R7" s="9"/>
      <c r="S7" s="55"/>
      <c r="T7" s="21">
        <f t="shared" si="7"/>
        <v>10400</v>
      </c>
      <c r="U7" s="60">
        <f t="shared" si="0"/>
        <v>27.5</v>
      </c>
      <c r="V7" s="61">
        <f t="shared" si="1"/>
        <v>-3.9</v>
      </c>
      <c r="W7" s="62">
        <f t="shared" si="2"/>
        <v>-24.6</v>
      </c>
      <c r="Y7" s="8" t="s">
        <v>152</v>
      </c>
      <c r="Z7" s="41"/>
      <c r="AA7" s="32">
        <v>1</v>
      </c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 t="s">
        <v>153</v>
      </c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 t="s">
        <v>153</v>
      </c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10"/>
        <v>東</v>
      </c>
      <c r="B8" s="18">
        <f t="shared" si="8"/>
        <v>3</v>
      </c>
      <c r="C8" s="18">
        <f t="shared" si="9"/>
        <v>1</v>
      </c>
      <c r="D8" s="18">
        <f t="shared" si="4"/>
        <v>1</v>
      </c>
      <c r="E8" s="4" t="s">
        <v>139</v>
      </c>
      <c r="F8" s="8" t="s">
        <v>148</v>
      </c>
      <c r="G8" s="9">
        <v>-7500</v>
      </c>
      <c r="H8" s="9"/>
      <c r="I8" s="55">
        <v>-500</v>
      </c>
      <c r="J8" s="21">
        <f t="shared" si="5"/>
        <v>54500</v>
      </c>
      <c r="K8" s="8" t="s">
        <v>149</v>
      </c>
      <c r="L8" s="9">
        <v>12000</v>
      </c>
      <c r="M8" s="9">
        <v>1000</v>
      </c>
      <c r="N8" s="55">
        <v>1000</v>
      </c>
      <c r="O8" s="21">
        <f t="shared" si="6"/>
        <v>45100</v>
      </c>
      <c r="P8" s="8" t="s">
        <v>148</v>
      </c>
      <c r="Q8" s="9">
        <v>-4500</v>
      </c>
      <c r="R8" s="9"/>
      <c r="S8" s="55">
        <v>-500</v>
      </c>
      <c r="T8" s="21">
        <f t="shared" si="7"/>
        <v>5400</v>
      </c>
      <c r="U8" s="60">
        <f t="shared" si="0"/>
        <v>19.5</v>
      </c>
      <c r="V8" s="61">
        <f t="shared" si="1"/>
        <v>10.1</v>
      </c>
      <c r="W8" s="62">
        <f t="shared" si="2"/>
        <v>-29.6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>
        <v>1</v>
      </c>
      <c r="AX8" s="32">
        <v>6</v>
      </c>
      <c r="AY8" s="36" t="s">
        <v>150</v>
      </c>
      <c r="AZ8" s="47" t="s">
        <v>87</v>
      </c>
      <c r="BA8" s="48" t="s">
        <v>80</v>
      </c>
      <c r="BB8" s="48" t="s">
        <v>80</v>
      </c>
      <c r="BC8" s="48" t="s">
        <v>80</v>
      </c>
      <c r="BD8" s="48" t="s">
        <v>82</v>
      </c>
      <c r="BE8" s="48" t="s">
        <v>82</v>
      </c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10"/>
        <v>南</v>
      </c>
      <c r="B9" s="18">
        <f t="shared" si="8"/>
        <v>1</v>
      </c>
      <c r="C9" s="18">
        <f t="shared" si="9"/>
        <v>0</v>
      </c>
      <c r="D9" s="18">
        <f t="shared" si="4"/>
        <v>0</v>
      </c>
      <c r="E9" s="4" t="s">
        <v>141</v>
      </c>
      <c r="F9" s="8" t="s">
        <v>145</v>
      </c>
      <c r="G9" s="9">
        <v>8000</v>
      </c>
      <c r="H9" s="9">
        <v>1000</v>
      </c>
      <c r="I9" s="55">
        <v>0</v>
      </c>
      <c r="J9" s="21">
        <f t="shared" si="5"/>
        <v>63500</v>
      </c>
      <c r="K9" s="8"/>
      <c r="L9" s="9"/>
      <c r="M9" s="9"/>
      <c r="N9" s="55"/>
      <c r="O9" s="21">
        <f t="shared" si="6"/>
        <v>45100</v>
      </c>
      <c r="P9" s="8" t="s">
        <v>146</v>
      </c>
      <c r="Q9" s="9">
        <v>-8000</v>
      </c>
      <c r="R9" s="9">
        <v>-1000</v>
      </c>
      <c r="S9" s="55">
        <v>0</v>
      </c>
      <c r="T9" s="21">
        <f t="shared" si="7"/>
        <v>-3600</v>
      </c>
      <c r="U9" s="60">
        <f t="shared" si="0"/>
        <v>28.5</v>
      </c>
      <c r="V9" s="61">
        <f t="shared" si="1"/>
        <v>10.1</v>
      </c>
      <c r="W9" s="62">
        <f t="shared" si="2"/>
        <v>-38.6</v>
      </c>
      <c r="Y9" s="8"/>
      <c r="Z9" s="41"/>
      <c r="AA9" s="32">
        <v>1</v>
      </c>
      <c r="AB9" s="32"/>
      <c r="AC9" s="32">
        <v>5</v>
      </c>
      <c r="AD9" s="36" t="s">
        <v>150</v>
      </c>
      <c r="AE9" s="47" t="s">
        <v>147</v>
      </c>
      <c r="AF9" s="48" t="s">
        <v>155</v>
      </c>
      <c r="AG9" s="48" t="s">
        <v>151</v>
      </c>
      <c r="AH9" s="48" t="s">
        <v>80</v>
      </c>
      <c r="AI9" s="48" t="s">
        <v>86</v>
      </c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>
        <v>1</v>
      </c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>
        <v>1</v>
      </c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10"/>
        <v/>
      </c>
      <c r="B10" s="18" t="str">
        <f t="shared" si="8"/>
        <v/>
      </c>
      <c r="C10" s="18" t="str">
        <f t="shared" si="9"/>
        <v/>
      </c>
      <c r="D10" s="18" t="str">
        <f t="shared" si="4"/>
        <v/>
      </c>
      <c r="E10" s="4"/>
      <c r="F10" s="8"/>
      <c r="G10" s="9"/>
      <c r="H10" s="9"/>
      <c r="I10" s="55"/>
      <c r="J10" s="21" t="str">
        <f t="shared" si="5"/>
        <v/>
      </c>
      <c r="K10" s="8"/>
      <c r="L10" s="9"/>
      <c r="M10" s="9"/>
      <c r="N10" s="55"/>
      <c r="O10" s="21" t="str">
        <f t="shared" si="6"/>
        <v/>
      </c>
      <c r="P10" s="8"/>
      <c r="Q10" s="9"/>
      <c r="R10" s="9"/>
      <c r="S10" s="55"/>
      <c r="T10" s="21" t="str">
        <f t="shared" si="7"/>
        <v/>
      </c>
      <c r="U10" s="60" t="str">
        <f t="shared" si="0"/>
        <v/>
      </c>
      <c r="V10" s="61" t="str">
        <f t="shared" si="1"/>
        <v/>
      </c>
      <c r="W10" s="62" t="str">
        <f t="shared" si="2"/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10"/>
        <v/>
      </c>
      <c r="B11" s="18" t="str">
        <f t="shared" si="8"/>
        <v/>
      </c>
      <c r="C11" s="18" t="str">
        <f t="shared" si="9"/>
        <v/>
      </c>
      <c r="D11" s="18" t="str">
        <f t="shared" si="4"/>
        <v/>
      </c>
      <c r="E11" s="4"/>
      <c r="F11" s="8"/>
      <c r="G11" s="9"/>
      <c r="H11" s="9"/>
      <c r="I11" s="55"/>
      <c r="J11" s="21" t="str">
        <f t="shared" si="5"/>
        <v/>
      </c>
      <c r="K11" s="8"/>
      <c r="L11" s="9"/>
      <c r="M11" s="9"/>
      <c r="N11" s="55"/>
      <c r="O11" s="21" t="str">
        <f t="shared" si="6"/>
        <v/>
      </c>
      <c r="P11" s="8"/>
      <c r="Q11" s="9"/>
      <c r="R11" s="9"/>
      <c r="S11" s="55"/>
      <c r="T11" s="21" t="str">
        <f t="shared" si="7"/>
        <v/>
      </c>
      <c r="U11" s="60" t="str">
        <f t="shared" si="0"/>
        <v/>
      </c>
      <c r="V11" s="61" t="str">
        <f t="shared" si="1"/>
        <v/>
      </c>
      <c r="W11" s="62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10"/>
        <v/>
      </c>
      <c r="B12" s="18" t="str">
        <f t="shared" si="8"/>
        <v/>
      </c>
      <c r="C12" s="18" t="str">
        <f t="shared" si="9"/>
        <v/>
      </c>
      <c r="D12" s="18" t="str">
        <f t="shared" si="4"/>
        <v/>
      </c>
      <c r="E12" s="4"/>
      <c r="F12" s="8"/>
      <c r="G12" s="9"/>
      <c r="H12" s="9"/>
      <c r="I12" s="55"/>
      <c r="J12" s="21" t="str">
        <f t="shared" si="5"/>
        <v/>
      </c>
      <c r="K12" s="8"/>
      <c r="L12" s="9"/>
      <c r="M12" s="9"/>
      <c r="N12" s="55"/>
      <c r="O12" s="21" t="str">
        <f t="shared" si="6"/>
        <v/>
      </c>
      <c r="P12" s="8"/>
      <c r="Q12" s="9"/>
      <c r="R12" s="9"/>
      <c r="S12" s="55"/>
      <c r="T12" s="21" t="str">
        <f t="shared" si="7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10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55"/>
      <c r="J13" s="21" t="str">
        <f t="shared" si="5"/>
        <v/>
      </c>
      <c r="K13" s="8"/>
      <c r="L13" s="9"/>
      <c r="M13" s="9"/>
      <c r="N13" s="55"/>
      <c r="O13" s="21" t="str">
        <f t="shared" si="6"/>
        <v/>
      </c>
      <c r="P13" s="8"/>
      <c r="Q13" s="9"/>
      <c r="R13" s="9"/>
      <c r="S13" s="55"/>
      <c r="T13" s="21" t="str">
        <f t="shared" si="7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10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10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10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10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10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10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10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10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10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10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10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10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10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10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10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10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10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EA922-4995-43B6-90C7-B22E9E17A984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140</v>
      </c>
      <c r="G1" s="74"/>
      <c r="H1" s="74"/>
      <c r="I1" s="83"/>
      <c r="J1" s="75"/>
      <c r="K1" s="72" t="s">
        <v>142</v>
      </c>
      <c r="L1" s="74"/>
      <c r="M1" s="74"/>
      <c r="N1" s="83"/>
      <c r="O1" s="75"/>
      <c r="P1" s="72" t="s">
        <v>144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りょうすけ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てんちゃん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りょうすけ</v>
      </c>
      <c r="W2" s="16" t="str">
        <f>$P$1</f>
        <v>てんちゃん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143</v>
      </c>
      <c r="F4" s="8" t="s">
        <v>149</v>
      </c>
      <c r="G4" s="9">
        <v>4000</v>
      </c>
      <c r="H4" s="9"/>
      <c r="I4" s="55">
        <v>0</v>
      </c>
      <c r="J4" s="21">
        <f>IF(COUNTA($F4,$K4,$P4)&gt;0,J3+SUM(G4:I4),"")</f>
        <v>39000</v>
      </c>
      <c r="K4" s="8" t="s">
        <v>148</v>
      </c>
      <c r="L4" s="9">
        <v>-1500</v>
      </c>
      <c r="M4" s="9"/>
      <c r="N4" s="55">
        <v>0</v>
      </c>
      <c r="O4" s="21">
        <f>IF(COUNTA($F4,$K4,$P4)&gt;0,O3+SUM(L4:N4),"")</f>
        <v>33500</v>
      </c>
      <c r="P4" s="8" t="s">
        <v>148</v>
      </c>
      <c r="Q4" s="9">
        <v>-2500</v>
      </c>
      <c r="R4" s="9"/>
      <c r="S4" s="55">
        <v>0</v>
      </c>
      <c r="T4" s="21">
        <f>IF(COUNTA($F4,$K4,$P4)&gt;0,T3+SUM(Q4:S4),"")</f>
        <v>32500</v>
      </c>
      <c r="U4" s="60">
        <f t="shared" ref="U4:U30" si="0">IF($J4="","",ROUND(($J4-$J$3)/1000,1))</f>
        <v>4</v>
      </c>
      <c r="V4" s="61">
        <f t="shared" ref="V4:V30" si="1">IF($O4="","",ROUND(($O4-$O$3)/1000,1))</f>
        <v>-1.5</v>
      </c>
      <c r="W4" s="62">
        <f t="shared" ref="W4:W30" si="2">IF($T4="","",ROUND(($T4-$T$3)/1000,1))</f>
        <v>-2.5</v>
      </c>
      <c r="Y4" s="8"/>
      <c r="Z4" s="41"/>
      <c r="AA4" s="32"/>
      <c r="AB4" s="32">
        <v>1</v>
      </c>
      <c r="AC4" s="32">
        <v>3</v>
      </c>
      <c r="AD4" s="36">
        <v>30</v>
      </c>
      <c r="AE4" s="47" t="s">
        <v>88</v>
      </c>
      <c r="AF4" s="48" t="s">
        <v>80</v>
      </c>
      <c r="AG4" s="48" t="s">
        <v>151</v>
      </c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>
        <v>1</v>
      </c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4">IF($E5="","",IF(OR($F4="流局",$F4="チョンボ"),D4+($H4+$M4+$R4)/-1000,0))</f>
        <v>0</v>
      </c>
      <c r="E5" s="4" t="s">
        <v>139</v>
      </c>
      <c r="F5" s="8" t="s">
        <v>149</v>
      </c>
      <c r="G5" s="9">
        <v>11600</v>
      </c>
      <c r="H5" s="9">
        <v>1000</v>
      </c>
      <c r="I5" s="55">
        <v>0</v>
      </c>
      <c r="J5" s="21">
        <f t="shared" ref="J5:J30" si="5">IF(COUNTA($F5,$K5,$P5)&gt;0,J4+SUM(G5:I5),"")</f>
        <v>51600</v>
      </c>
      <c r="K5" s="8" t="s">
        <v>148</v>
      </c>
      <c r="L5" s="9">
        <v>-5800</v>
      </c>
      <c r="M5" s="9"/>
      <c r="N5" s="55">
        <v>0</v>
      </c>
      <c r="O5" s="21">
        <f t="shared" ref="O5:O30" si="6">IF(COUNTA($F5,$K5,$P5)&gt;0,O4+SUM(L5:N5),"")</f>
        <v>27700</v>
      </c>
      <c r="P5" s="8" t="s">
        <v>148</v>
      </c>
      <c r="Q5" s="9">
        <v>-5800</v>
      </c>
      <c r="R5" s="9">
        <v>-1000</v>
      </c>
      <c r="S5" s="55">
        <v>0</v>
      </c>
      <c r="T5" s="21">
        <f t="shared" ref="T5:T30" si="7">IF(COUNTA($F5,$K5,$P5)&gt;0,T4+SUM(Q5:S5),"")</f>
        <v>25700</v>
      </c>
      <c r="U5" s="60">
        <f t="shared" si="0"/>
        <v>16.600000000000001</v>
      </c>
      <c r="V5" s="61">
        <f t="shared" si="1"/>
        <v>-7.3</v>
      </c>
      <c r="W5" s="62">
        <f t="shared" si="2"/>
        <v>-9.3000000000000007</v>
      </c>
      <c r="Y5" s="8"/>
      <c r="Z5" s="41"/>
      <c r="AA5" s="32">
        <v>1</v>
      </c>
      <c r="AB5" s="32"/>
      <c r="AC5" s="32">
        <v>4</v>
      </c>
      <c r="AD5" s="36">
        <v>30</v>
      </c>
      <c r="AE5" s="47" t="s">
        <v>147</v>
      </c>
      <c r="AF5" s="48" t="s">
        <v>83</v>
      </c>
      <c r="AG5" s="48" t="s">
        <v>81</v>
      </c>
      <c r="AH5" s="48" t="s">
        <v>151</v>
      </c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>
        <v>1</v>
      </c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2</v>
      </c>
      <c r="C6" s="18">
        <f t="shared" ref="C6:C30" si="9">IF($E6="","",IF($F5="チョンボ",C5,IF(OR($E5=$E6,$F5="流局"),C5+1,0)))</f>
        <v>1</v>
      </c>
      <c r="D6" s="18">
        <f t="shared" si="4"/>
        <v>0</v>
      </c>
      <c r="E6" s="4" t="s">
        <v>139</v>
      </c>
      <c r="F6" s="8"/>
      <c r="G6" s="9"/>
      <c r="H6" s="9">
        <v>-1000</v>
      </c>
      <c r="I6" s="55"/>
      <c r="J6" s="21">
        <f t="shared" si="5"/>
        <v>50600</v>
      </c>
      <c r="K6" s="8" t="s">
        <v>146</v>
      </c>
      <c r="L6" s="9">
        <v>-24000</v>
      </c>
      <c r="M6" s="9"/>
      <c r="N6" s="55">
        <v>-1000</v>
      </c>
      <c r="O6" s="21">
        <f t="shared" si="6"/>
        <v>2700</v>
      </c>
      <c r="P6" s="8" t="s">
        <v>145</v>
      </c>
      <c r="Q6" s="9">
        <v>24000</v>
      </c>
      <c r="R6" s="9">
        <v>1000</v>
      </c>
      <c r="S6" s="55">
        <v>1000</v>
      </c>
      <c r="T6" s="21">
        <f t="shared" si="7"/>
        <v>51700</v>
      </c>
      <c r="U6" s="60">
        <f t="shared" si="0"/>
        <v>15.6</v>
      </c>
      <c r="V6" s="61">
        <f t="shared" si="1"/>
        <v>-32.299999999999997</v>
      </c>
      <c r="W6" s="62">
        <f t="shared" si="2"/>
        <v>16.7</v>
      </c>
      <c r="Y6" s="8"/>
      <c r="Z6" s="41"/>
      <c r="AA6" s="32">
        <v>1</v>
      </c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>
        <v>1</v>
      </c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>
        <v>1</v>
      </c>
      <c r="BR6" s="32"/>
      <c r="BS6" s="32">
        <v>11</v>
      </c>
      <c r="BT6" s="36" t="s">
        <v>150</v>
      </c>
      <c r="BU6" s="47" t="s">
        <v>147</v>
      </c>
      <c r="BV6" s="48" t="s">
        <v>155</v>
      </c>
      <c r="BW6" s="48" t="s">
        <v>105</v>
      </c>
      <c r="BX6" s="48" t="s">
        <v>97</v>
      </c>
      <c r="BY6" s="48" t="s">
        <v>82</v>
      </c>
      <c r="BZ6" s="48" t="s">
        <v>82</v>
      </c>
      <c r="CA6" s="48" t="s">
        <v>82</v>
      </c>
      <c r="CB6" s="48" t="s">
        <v>87</v>
      </c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8"/>
        <v>3</v>
      </c>
      <c r="C7" s="18">
        <f t="shared" si="9"/>
        <v>0</v>
      </c>
      <c r="D7" s="18">
        <f t="shared" si="4"/>
        <v>0</v>
      </c>
      <c r="E7" s="4" t="s">
        <v>141</v>
      </c>
      <c r="F7" s="8" t="s">
        <v>156</v>
      </c>
      <c r="G7" s="9">
        <v>1500</v>
      </c>
      <c r="H7" s="9"/>
      <c r="I7" s="55"/>
      <c r="J7" s="21">
        <f t="shared" si="5"/>
        <v>52100</v>
      </c>
      <c r="K7" s="8" t="s">
        <v>156</v>
      </c>
      <c r="L7" s="9">
        <v>1500</v>
      </c>
      <c r="M7" s="9"/>
      <c r="N7" s="55"/>
      <c r="O7" s="21">
        <f t="shared" si="6"/>
        <v>4200</v>
      </c>
      <c r="P7" s="8" t="s">
        <v>156</v>
      </c>
      <c r="Q7" s="9">
        <v>-3000</v>
      </c>
      <c r="R7" s="9"/>
      <c r="S7" s="55"/>
      <c r="T7" s="21">
        <f t="shared" si="7"/>
        <v>48700</v>
      </c>
      <c r="U7" s="60">
        <f t="shared" si="0"/>
        <v>17.100000000000001</v>
      </c>
      <c r="V7" s="61">
        <f t="shared" si="1"/>
        <v>-30.8</v>
      </c>
      <c r="W7" s="62">
        <f t="shared" si="2"/>
        <v>13.7</v>
      </c>
      <c r="Y7" s="8" t="s">
        <v>152</v>
      </c>
      <c r="Z7" s="41"/>
      <c r="AA7" s="32"/>
      <c r="AB7" s="32">
        <v>1</v>
      </c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 t="s">
        <v>152</v>
      </c>
      <c r="AU7" s="41"/>
      <c r="AV7" s="32"/>
      <c r="AW7" s="32">
        <v>1</v>
      </c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 t="s">
        <v>153</v>
      </c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東</v>
      </c>
      <c r="B8" s="18">
        <f t="shared" si="8"/>
        <v>3</v>
      </c>
      <c r="C8" s="18">
        <f t="shared" si="9"/>
        <v>1</v>
      </c>
      <c r="D8" s="18">
        <f t="shared" si="4"/>
        <v>0</v>
      </c>
      <c r="E8" s="4" t="s">
        <v>141</v>
      </c>
      <c r="F8" s="8" t="s">
        <v>146</v>
      </c>
      <c r="G8" s="9">
        <v>-12000</v>
      </c>
      <c r="H8" s="9"/>
      <c r="I8" s="55">
        <v>-1000</v>
      </c>
      <c r="J8" s="21">
        <f t="shared" si="5"/>
        <v>39100</v>
      </c>
      <c r="K8" s="8" t="s">
        <v>145</v>
      </c>
      <c r="L8" s="9">
        <v>12000</v>
      </c>
      <c r="M8" s="9"/>
      <c r="N8" s="55">
        <v>1000</v>
      </c>
      <c r="O8" s="21">
        <f t="shared" si="6"/>
        <v>17200</v>
      </c>
      <c r="P8" s="8"/>
      <c r="Q8" s="9"/>
      <c r="R8" s="9"/>
      <c r="S8" s="55"/>
      <c r="T8" s="21">
        <f t="shared" si="7"/>
        <v>48700</v>
      </c>
      <c r="U8" s="60">
        <f t="shared" si="0"/>
        <v>4.0999999999999996</v>
      </c>
      <c r="V8" s="61">
        <f t="shared" si="1"/>
        <v>-17.8</v>
      </c>
      <c r="W8" s="62">
        <f t="shared" si="2"/>
        <v>13.7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>
        <v>1</v>
      </c>
      <c r="AX8" s="32">
        <v>4</v>
      </c>
      <c r="AY8" s="36">
        <v>40</v>
      </c>
      <c r="AZ8" s="47" t="s">
        <v>87</v>
      </c>
      <c r="BA8" s="48" t="s">
        <v>82</v>
      </c>
      <c r="BB8" s="48" t="s">
        <v>80</v>
      </c>
      <c r="BC8" s="48" t="s">
        <v>80</v>
      </c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東</v>
      </c>
      <c r="B9" s="18">
        <f t="shared" si="8"/>
        <v>3</v>
      </c>
      <c r="C9" s="18">
        <f t="shared" si="9"/>
        <v>2</v>
      </c>
      <c r="D9" s="18">
        <f t="shared" si="4"/>
        <v>0</v>
      </c>
      <c r="E9" s="4" t="s">
        <v>141</v>
      </c>
      <c r="F9" s="8" t="s">
        <v>145</v>
      </c>
      <c r="G9" s="9">
        <v>12000</v>
      </c>
      <c r="H9" s="9"/>
      <c r="I9" s="55">
        <v>2000</v>
      </c>
      <c r="J9" s="21">
        <f t="shared" si="5"/>
        <v>53100</v>
      </c>
      <c r="K9" s="8" t="s">
        <v>146</v>
      </c>
      <c r="L9" s="9">
        <v>-12000</v>
      </c>
      <c r="M9" s="9"/>
      <c r="N9" s="55">
        <v>-2000</v>
      </c>
      <c r="O9" s="21">
        <f t="shared" si="6"/>
        <v>3200</v>
      </c>
      <c r="P9" s="8"/>
      <c r="Q9" s="9"/>
      <c r="R9" s="9"/>
      <c r="S9" s="55"/>
      <c r="T9" s="21">
        <f t="shared" si="7"/>
        <v>48700</v>
      </c>
      <c r="U9" s="60">
        <f t="shared" si="0"/>
        <v>18.100000000000001</v>
      </c>
      <c r="V9" s="61">
        <f t="shared" si="1"/>
        <v>-31.8</v>
      </c>
      <c r="W9" s="62">
        <f t="shared" si="2"/>
        <v>13.7</v>
      </c>
      <c r="Y9" s="8"/>
      <c r="Z9" s="41"/>
      <c r="AA9" s="32">
        <v>1</v>
      </c>
      <c r="AB9" s="32"/>
      <c r="AC9" s="32">
        <v>6</v>
      </c>
      <c r="AD9" s="36" t="s">
        <v>150</v>
      </c>
      <c r="AE9" s="47" t="s">
        <v>147</v>
      </c>
      <c r="AF9" s="48" t="s">
        <v>155</v>
      </c>
      <c r="AG9" s="48" t="s">
        <v>97</v>
      </c>
      <c r="AH9" s="48" t="s">
        <v>151</v>
      </c>
      <c r="AI9" s="48" t="s">
        <v>81</v>
      </c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>
        <v>1</v>
      </c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8"/>
        <v>1</v>
      </c>
      <c r="C10" s="18">
        <f t="shared" si="9"/>
        <v>0</v>
      </c>
      <c r="D10" s="18">
        <f t="shared" si="4"/>
        <v>0</v>
      </c>
      <c r="E10" s="4" t="s">
        <v>143</v>
      </c>
      <c r="F10" s="8"/>
      <c r="G10" s="9"/>
      <c r="H10" s="9"/>
      <c r="I10" s="55"/>
      <c r="J10" s="21">
        <f t="shared" si="5"/>
        <v>53100</v>
      </c>
      <c r="K10" s="8" t="s">
        <v>146</v>
      </c>
      <c r="L10" s="9">
        <v>-18000</v>
      </c>
      <c r="M10" s="9"/>
      <c r="N10" s="55">
        <v>0</v>
      </c>
      <c r="O10" s="21">
        <f t="shared" si="6"/>
        <v>-14800</v>
      </c>
      <c r="P10" s="8" t="s">
        <v>145</v>
      </c>
      <c r="Q10" s="9">
        <v>18000</v>
      </c>
      <c r="R10" s="9"/>
      <c r="S10" s="55">
        <v>0</v>
      </c>
      <c r="T10" s="21">
        <f t="shared" si="7"/>
        <v>66700</v>
      </c>
      <c r="U10" s="60">
        <f t="shared" si="0"/>
        <v>18.100000000000001</v>
      </c>
      <c r="V10" s="61">
        <f t="shared" si="1"/>
        <v>-49.8</v>
      </c>
      <c r="W10" s="62">
        <f t="shared" si="2"/>
        <v>31.7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>
        <v>1</v>
      </c>
      <c r="BR10" s="32"/>
      <c r="BS10" s="32">
        <v>7</v>
      </c>
      <c r="BT10" s="36" t="s">
        <v>150</v>
      </c>
      <c r="BU10" s="47" t="s">
        <v>147</v>
      </c>
      <c r="BV10" s="48" t="s">
        <v>155</v>
      </c>
      <c r="BW10" s="48" t="s">
        <v>82</v>
      </c>
      <c r="BX10" s="48" t="s">
        <v>80</v>
      </c>
      <c r="BY10" s="48" t="s">
        <v>81</v>
      </c>
      <c r="BZ10" s="48" t="s">
        <v>81</v>
      </c>
      <c r="CA10" s="48" t="s">
        <v>81</v>
      </c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/>
      </c>
      <c r="B11" s="18" t="str">
        <f t="shared" si="8"/>
        <v/>
      </c>
      <c r="C11" s="18" t="str">
        <f t="shared" si="9"/>
        <v/>
      </c>
      <c r="D11" s="18" t="str">
        <f t="shared" si="4"/>
        <v/>
      </c>
      <c r="E11" s="4"/>
      <c r="F11" s="8"/>
      <c r="G11" s="9"/>
      <c r="H11" s="9"/>
      <c r="I11" s="55"/>
      <c r="J11" s="21" t="str">
        <f t="shared" si="5"/>
        <v/>
      </c>
      <c r="K11" s="8"/>
      <c r="L11" s="9"/>
      <c r="M11" s="9"/>
      <c r="N11" s="55"/>
      <c r="O11" s="21" t="str">
        <f t="shared" si="6"/>
        <v/>
      </c>
      <c r="P11" s="8"/>
      <c r="Q11" s="9"/>
      <c r="R11" s="9"/>
      <c r="S11" s="55"/>
      <c r="T11" s="21" t="str">
        <f t="shared" si="7"/>
        <v/>
      </c>
      <c r="U11" s="60" t="str">
        <f t="shared" si="0"/>
        <v/>
      </c>
      <c r="V11" s="61" t="str">
        <f t="shared" si="1"/>
        <v/>
      </c>
      <c r="W11" s="62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8"/>
        <v/>
      </c>
      <c r="C12" s="18" t="str">
        <f t="shared" si="9"/>
        <v/>
      </c>
      <c r="D12" s="18" t="str">
        <f t="shared" si="4"/>
        <v/>
      </c>
      <c r="E12" s="4"/>
      <c r="F12" s="8"/>
      <c r="G12" s="9"/>
      <c r="H12" s="9"/>
      <c r="I12" s="55"/>
      <c r="J12" s="21" t="str">
        <f t="shared" si="5"/>
        <v/>
      </c>
      <c r="K12" s="8"/>
      <c r="L12" s="9"/>
      <c r="M12" s="9"/>
      <c r="N12" s="55"/>
      <c r="O12" s="21" t="str">
        <f t="shared" si="6"/>
        <v/>
      </c>
      <c r="P12" s="8"/>
      <c r="Q12" s="9"/>
      <c r="R12" s="9"/>
      <c r="S12" s="55"/>
      <c r="T12" s="21" t="str">
        <f t="shared" si="7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55"/>
      <c r="J13" s="21" t="str">
        <f t="shared" si="5"/>
        <v/>
      </c>
      <c r="K13" s="8"/>
      <c r="L13" s="9"/>
      <c r="M13" s="9"/>
      <c r="N13" s="55"/>
      <c r="O13" s="21" t="str">
        <f t="shared" si="6"/>
        <v/>
      </c>
      <c r="P13" s="8"/>
      <c r="Q13" s="9"/>
      <c r="R13" s="9"/>
      <c r="S13" s="55"/>
      <c r="T13" s="21" t="str">
        <f t="shared" si="7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allowBlank="1" showInputMessage="1" showErrorMessage="1" sqref="E4:E30" xr:uid="{27BFC6FE-F86B-449F-A79D-ECE98960BE1D}">
      <formula1>$U$2:$W$2</formula1>
    </dataValidation>
    <dataValidation type="list" showInputMessage="1" showErrorMessage="1" sqref="K4:K30 P4:P30 F4:F30" xr:uid="{3FD6CB51-FCA8-41AC-8EAA-528A39F8C776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8A5B4-D020-47C6-B200-645E117142BF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140</v>
      </c>
      <c r="G1" s="74"/>
      <c r="H1" s="74"/>
      <c r="I1" s="83"/>
      <c r="J1" s="75"/>
      <c r="K1" s="72" t="s">
        <v>142</v>
      </c>
      <c r="L1" s="74"/>
      <c r="M1" s="74"/>
      <c r="N1" s="83"/>
      <c r="O1" s="75"/>
      <c r="P1" s="72" t="s">
        <v>144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りょうすけ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てんちゃん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りょうすけ</v>
      </c>
      <c r="W2" s="16" t="str">
        <f>$P$1</f>
        <v>てんちゃん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143</v>
      </c>
      <c r="F4" s="8" t="s">
        <v>149</v>
      </c>
      <c r="G4" s="9">
        <v>12000</v>
      </c>
      <c r="H4" s="9"/>
      <c r="I4" s="55">
        <v>0</v>
      </c>
      <c r="J4" s="21">
        <f>IF(COUNTA($F4,$K4,$P4)&gt;0,J3+SUM(G4:I4),"")</f>
        <v>47000</v>
      </c>
      <c r="K4" s="8" t="s">
        <v>148</v>
      </c>
      <c r="L4" s="9">
        <v>-4500</v>
      </c>
      <c r="M4" s="9"/>
      <c r="N4" s="55">
        <v>0</v>
      </c>
      <c r="O4" s="21">
        <f>IF(COUNTA($F4,$K4,$P4)&gt;0,O3+SUM(L4:N4),"")</f>
        <v>30500</v>
      </c>
      <c r="P4" s="8" t="s">
        <v>148</v>
      </c>
      <c r="Q4" s="9">
        <v>-7500</v>
      </c>
      <c r="R4" s="9"/>
      <c r="S4" s="55">
        <v>0</v>
      </c>
      <c r="T4" s="21">
        <f>IF(COUNTA($F4,$K4,$P4)&gt;0,T3+SUM(Q4:S4),"")</f>
        <v>27500</v>
      </c>
      <c r="U4" s="60">
        <f t="shared" ref="U4:U30" si="0">IF($J4="","",ROUND(($J4-$J$3)/1000,1))</f>
        <v>12</v>
      </c>
      <c r="V4" s="61">
        <f t="shared" ref="V4:V30" si="1">IF($O4="","",ROUND(($O4-$O$3)/1000,1))</f>
        <v>-4.5</v>
      </c>
      <c r="W4" s="62">
        <f t="shared" ref="W4:W30" si="2">IF($T4="","",ROUND(($T4-$T$3)/1000,1))</f>
        <v>-7.5</v>
      </c>
      <c r="Y4" s="8"/>
      <c r="Z4" s="41"/>
      <c r="AA4" s="32"/>
      <c r="AB4" s="32"/>
      <c r="AC4" s="32">
        <v>7</v>
      </c>
      <c r="AD4" s="36" t="s">
        <v>150</v>
      </c>
      <c r="AE4" s="47" t="s">
        <v>83</v>
      </c>
      <c r="AF4" s="48" t="s">
        <v>84</v>
      </c>
      <c r="AG4" s="48" t="s">
        <v>85</v>
      </c>
      <c r="AH4" s="48" t="s">
        <v>86</v>
      </c>
      <c r="AI4" s="48" t="s">
        <v>151</v>
      </c>
      <c r="AJ4" s="48" t="s">
        <v>82</v>
      </c>
      <c r="AK4" s="48" t="s">
        <v>82</v>
      </c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4">IF($E5="","",IF(OR($F4="流局",$F4="チョンボ"),D4+($H4+$M4+$R4)/-1000,0))</f>
        <v>0</v>
      </c>
      <c r="E5" s="4" t="s">
        <v>139</v>
      </c>
      <c r="F5" s="8" t="s">
        <v>148</v>
      </c>
      <c r="G5" s="9">
        <v>-1300</v>
      </c>
      <c r="H5" s="9">
        <v>-1000</v>
      </c>
      <c r="I5" s="55">
        <v>0</v>
      </c>
      <c r="J5" s="21">
        <f t="shared" ref="J5:J30" si="5">IF(COUNTA($F5,$K5,$P5)&gt;0,J4+SUM(G5:I5),"")</f>
        <v>44700</v>
      </c>
      <c r="K5" s="8" t="s">
        <v>149</v>
      </c>
      <c r="L5" s="9">
        <v>2100</v>
      </c>
      <c r="M5" s="9">
        <v>1000</v>
      </c>
      <c r="N5" s="55">
        <v>0</v>
      </c>
      <c r="O5" s="21">
        <f t="shared" ref="O5:O30" si="6">IF(COUNTA($F5,$K5,$P5)&gt;0,O4+SUM(L5:N5),"")</f>
        <v>33600</v>
      </c>
      <c r="P5" s="8" t="s">
        <v>148</v>
      </c>
      <c r="Q5" s="9">
        <v>-800</v>
      </c>
      <c r="R5" s="9"/>
      <c r="S5" s="55">
        <v>0</v>
      </c>
      <c r="T5" s="21">
        <f t="shared" ref="T5:T30" si="7">IF(COUNTA($F5,$K5,$P5)&gt;0,T4+SUM(Q5:S5),"")</f>
        <v>26700</v>
      </c>
      <c r="U5" s="60">
        <f t="shared" si="0"/>
        <v>9.6999999999999993</v>
      </c>
      <c r="V5" s="61">
        <f t="shared" si="1"/>
        <v>-1.4</v>
      </c>
      <c r="W5" s="62">
        <f t="shared" si="2"/>
        <v>-8.3000000000000007</v>
      </c>
      <c r="Y5" s="8"/>
      <c r="Z5" s="41"/>
      <c r="AA5" s="32">
        <v>1</v>
      </c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>
        <v>1</v>
      </c>
      <c r="AX5" s="32">
        <v>2</v>
      </c>
      <c r="AY5" s="36">
        <v>30</v>
      </c>
      <c r="AZ5" s="47" t="s">
        <v>87</v>
      </c>
      <c r="BA5" s="48" t="s">
        <v>151</v>
      </c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>
        <v>1</v>
      </c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3</v>
      </c>
      <c r="C6" s="18">
        <f t="shared" ref="C6:C30" si="9">IF($E6="","",IF($F5="チョンボ",C5,IF(OR($E5=$E6,$F5="流局"),C5+1,0)))</f>
        <v>0</v>
      </c>
      <c r="D6" s="18">
        <f t="shared" si="4"/>
        <v>0</v>
      </c>
      <c r="E6" s="4" t="s">
        <v>141</v>
      </c>
      <c r="F6" s="8" t="s">
        <v>148</v>
      </c>
      <c r="G6" s="9">
        <v>-6000</v>
      </c>
      <c r="H6" s="9"/>
      <c r="I6" s="55">
        <v>0</v>
      </c>
      <c r="J6" s="21">
        <f t="shared" si="5"/>
        <v>38700</v>
      </c>
      <c r="K6" s="8" t="s">
        <v>148</v>
      </c>
      <c r="L6" s="9">
        <v>-10000</v>
      </c>
      <c r="M6" s="9"/>
      <c r="N6" s="55">
        <v>0</v>
      </c>
      <c r="O6" s="21">
        <f t="shared" si="6"/>
        <v>23600</v>
      </c>
      <c r="P6" s="8" t="s">
        <v>149</v>
      </c>
      <c r="Q6" s="9">
        <v>16000</v>
      </c>
      <c r="R6" s="9"/>
      <c r="S6" s="55">
        <v>0</v>
      </c>
      <c r="T6" s="21">
        <f t="shared" si="7"/>
        <v>42700</v>
      </c>
      <c r="U6" s="60">
        <f t="shared" si="0"/>
        <v>3.7</v>
      </c>
      <c r="V6" s="61">
        <f t="shared" si="1"/>
        <v>-11.4</v>
      </c>
      <c r="W6" s="62">
        <f t="shared" si="2"/>
        <v>7.7</v>
      </c>
      <c r="Y6" s="8"/>
      <c r="Z6" s="41"/>
      <c r="AA6" s="32"/>
      <c r="AB6" s="32">
        <v>1</v>
      </c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>
        <v>1</v>
      </c>
      <c r="BR6" s="32"/>
      <c r="BS6" s="32">
        <v>8</v>
      </c>
      <c r="BT6" s="36" t="s">
        <v>150</v>
      </c>
      <c r="BU6" s="47" t="s">
        <v>147</v>
      </c>
      <c r="BV6" s="48" t="s">
        <v>83</v>
      </c>
      <c r="BW6" s="48" t="s">
        <v>155</v>
      </c>
      <c r="BX6" s="48" t="s">
        <v>90</v>
      </c>
      <c r="BY6" s="48" t="s">
        <v>80</v>
      </c>
      <c r="BZ6" s="48" t="s">
        <v>80</v>
      </c>
      <c r="CA6" s="48" t="s">
        <v>80</v>
      </c>
      <c r="CB6" s="48" t="s">
        <v>81</v>
      </c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南</v>
      </c>
      <c r="B7" s="18">
        <f t="shared" si="8"/>
        <v>1</v>
      </c>
      <c r="C7" s="18">
        <f t="shared" si="9"/>
        <v>0</v>
      </c>
      <c r="D7" s="18">
        <f t="shared" si="4"/>
        <v>0</v>
      </c>
      <c r="E7" s="4" t="s">
        <v>143</v>
      </c>
      <c r="F7" s="8" t="s">
        <v>149</v>
      </c>
      <c r="G7" s="9">
        <v>8000</v>
      </c>
      <c r="H7" s="9">
        <v>1000</v>
      </c>
      <c r="I7" s="55">
        <v>0</v>
      </c>
      <c r="J7" s="21">
        <f t="shared" si="5"/>
        <v>47700</v>
      </c>
      <c r="K7" s="8" t="s">
        <v>148</v>
      </c>
      <c r="L7" s="9">
        <v>-3000</v>
      </c>
      <c r="M7" s="9"/>
      <c r="N7" s="55">
        <v>0</v>
      </c>
      <c r="O7" s="21">
        <f t="shared" si="6"/>
        <v>20600</v>
      </c>
      <c r="P7" s="8" t="s">
        <v>148</v>
      </c>
      <c r="Q7" s="9">
        <v>-5000</v>
      </c>
      <c r="R7" s="9">
        <v>-1000</v>
      </c>
      <c r="S7" s="55">
        <v>0</v>
      </c>
      <c r="T7" s="21">
        <f t="shared" si="7"/>
        <v>36700</v>
      </c>
      <c r="U7" s="60">
        <f t="shared" si="0"/>
        <v>12.7</v>
      </c>
      <c r="V7" s="61">
        <f t="shared" si="1"/>
        <v>-14.4</v>
      </c>
      <c r="W7" s="62">
        <f t="shared" si="2"/>
        <v>1.7</v>
      </c>
      <c r="Y7" s="8"/>
      <c r="Z7" s="41"/>
      <c r="AA7" s="32">
        <v>1</v>
      </c>
      <c r="AB7" s="32"/>
      <c r="AC7" s="32">
        <v>5</v>
      </c>
      <c r="AD7" s="36" t="s">
        <v>150</v>
      </c>
      <c r="AE7" s="47" t="s">
        <v>147</v>
      </c>
      <c r="AF7" s="48" t="s">
        <v>83</v>
      </c>
      <c r="AG7" s="48" t="s">
        <v>155</v>
      </c>
      <c r="AH7" s="48" t="s">
        <v>84</v>
      </c>
      <c r="AI7" s="48" t="s">
        <v>81</v>
      </c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南</v>
      </c>
      <c r="B8" s="18">
        <f t="shared" si="8"/>
        <v>2</v>
      </c>
      <c r="C8" s="18">
        <f t="shared" si="9"/>
        <v>0</v>
      </c>
      <c r="D8" s="18">
        <f t="shared" si="4"/>
        <v>0</v>
      </c>
      <c r="E8" s="4" t="s">
        <v>139</v>
      </c>
      <c r="F8" s="8" t="s">
        <v>148</v>
      </c>
      <c r="G8" s="9">
        <v>-5000</v>
      </c>
      <c r="H8" s="9"/>
      <c r="I8" s="55">
        <v>0</v>
      </c>
      <c r="J8" s="21">
        <f t="shared" si="5"/>
        <v>42700</v>
      </c>
      <c r="K8" s="8" t="s">
        <v>148</v>
      </c>
      <c r="L8" s="9">
        <v>-3000</v>
      </c>
      <c r="M8" s="9"/>
      <c r="N8" s="55">
        <v>0</v>
      </c>
      <c r="O8" s="21">
        <f t="shared" si="6"/>
        <v>17600</v>
      </c>
      <c r="P8" s="8" t="s">
        <v>149</v>
      </c>
      <c r="Q8" s="9">
        <v>8000</v>
      </c>
      <c r="R8" s="9"/>
      <c r="S8" s="55">
        <v>0</v>
      </c>
      <c r="T8" s="21">
        <f t="shared" si="7"/>
        <v>44700</v>
      </c>
      <c r="U8" s="60">
        <f t="shared" si="0"/>
        <v>7.7</v>
      </c>
      <c r="V8" s="61">
        <f t="shared" si="1"/>
        <v>-17.399999999999999</v>
      </c>
      <c r="W8" s="62">
        <f t="shared" si="2"/>
        <v>9.6999999999999993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>
        <v>1</v>
      </c>
      <c r="BR8" s="32"/>
      <c r="BS8" s="32">
        <v>5</v>
      </c>
      <c r="BT8" s="36" t="s">
        <v>150</v>
      </c>
      <c r="BU8" s="47" t="s">
        <v>147</v>
      </c>
      <c r="BV8" s="48" t="s">
        <v>83</v>
      </c>
      <c r="BW8" s="48" t="s">
        <v>155</v>
      </c>
      <c r="BX8" s="48" t="s">
        <v>84</v>
      </c>
      <c r="BY8" s="48" t="s">
        <v>151</v>
      </c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8"/>
        <v>3</v>
      </c>
      <c r="C9" s="18">
        <f t="shared" si="9"/>
        <v>0</v>
      </c>
      <c r="D9" s="18">
        <f t="shared" si="4"/>
        <v>0</v>
      </c>
      <c r="E9" s="4" t="s">
        <v>141</v>
      </c>
      <c r="F9" s="8" t="s">
        <v>148</v>
      </c>
      <c r="G9" s="9">
        <v>-5800</v>
      </c>
      <c r="H9" s="9"/>
      <c r="I9" s="55">
        <v>0</v>
      </c>
      <c r="J9" s="21">
        <f t="shared" si="5"/>
        <v>36900</v>
      </c>
      <c r="K9" s="8" t="s">
        <v>149</v>
      </c>
      <c r="L9" s="9">
        <v>11600</v>
      </c>
      <c r="M9" s="9"/>
      <c r="N9" s="55">
        <v>0</v>
      </c>
      <c r="O9" s="21">
        <f t="shared" si="6"/>
        <v>29200</v>
      </c>
      <c r="P9" s="8" t="s">
        <v>148</v>
      </c>
      <c r="Q9" s="9">
        <v>-5800</v>
      </c>
      <c r="R9" s="9"/>
      <c r="S9" s="55">
        <v>0</v>
      </c>
      <c r="T9" s="21">
        <f t="shared" si="7"/>
        <v>38900</v>
      </c>
      <c r="U9" s="60">
        <f t="shared" si="0"/>
        <v>1.9</v>
      </c>
      <c r="V9" s="61">
        <f t="shared" si="1"/>
        <v>-5.8</v>
      </c>
      <c r="W9" s="62">
        <f t="shared" si="2"/>
        <v>3.9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>
        <v>4</v>
      </c>
      <c r="AY9" s="36">
        <v>30</v>
      </c>
      <c r="AZ9" s="47" t="s">
        <v>83</v>
      </c>
      <c r="BA9" s="48" t="s">
        <v>82</v>
      </c>
      <c r="BB9" s="48" t="s">
        <v>80</v>
      </c>
      <c r="BC9" s="48" t="s">
        <v>82</v>
      </c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8"/>
        <v>3</v>
      </c>
      <c r="C10" s="18">
        <f t="shared" si="9"/>
        <v>1</v>
      </c>
      <c r="D10" s="18">
        <f t="shared" si="4"/>
        <v>0</v>
      </c>
      <c r="E10" s="4" t="s">
        <v>141</v>
      </c>
      <c r="F10" s="8" t="s">
        <v>148</v>
      </c>
      <c r="G10" s="9">
        <v>-1500</v>
      </c>
      <c r="H10" s="9"/>
      <c r="I10" s="55">
        <v>-500</v>
      </c>
      <c r="J10" s="21">
        <f t="shared" si="5"/>
        <v>34900</v>
      </c>
      <c r="K10" s="8" t="s">
        <v>149</v>
      </c>
      <c r="L10" s="9">
        <v>3000</v>
      </c>
      <c r="M10" s="9"/>
      <c r="N10" s="55">
        <v>1000</v>
      </c>
      <c r="O10" s="21">
        <f t="shared" si="6"/>
        <v>33200</v>
      </c>
      <c r="P10" s="8" t="s">
        <v>148</v>
      </c>
      <c r="Q10" s="9">
        <v>-1500</v>
      </c>
      <c r="R10" s="9"/>
      <c r="S10" s="55">
        <v>-500</v>
      </c>
      <c r="T10" s="21">
        <f t="shared" si="7"/>
        <v>36900</v>
      </c>
      <c r="U10" s="60">
        <f t="shared" si="0"/>
        <v>-0.1</v>
      </c>
      <c r="V10" s="61">
        <f t="shared" si="1"/>
        <v>-1.8</v>
      </c>
      <c r="W10" s="62">
        <f t="shared" si="2"/>
        <v>1.9</v>
      </c>
      <c r="Y10" s="8"/>
      <c r="Z10" s="41"/>
      <c r="AA10" s="32"/>
      <c r="AB10" s="32">
        <v>1</v>
      </c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>
        <v>1</v>
      </c>
      <c r="AX10" s="32">
        <v>2</v>
      </c>
      <c r="AY10" s="36">
        <v>30</v>
      </c>
      <c r="AZ10" s="47" t="s">
        <v>93</v>
      </c>
      <c r="BA10" s="48" t="s">
        <v>80</v>
      </c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>
        <v>1</v>
      </c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8"/>
        <v>3</v>
      </c>
      <c r="C11" s="18">
        <f t="shared" si="9"/>
        <v>2</v>
      </c>
      <c r="D11" s="18">
        <f t="shared" si="4"/>
        <v>0</v>
      </c>
      <c r="E11" s="4" t="s">
        <v>141</v>
      </c>
      <c r="F11" s="8" t="s">
        <v>145</v>
      </c>
      <c r="G11" s="9">
        <v>3900</v>
      </c>
      <c r="H11" s="9">
        <v>1000</v>
      </c>
      <c r="I11" s="55">
        <v>2000</v>
      </c>
      <c r="J11" s="21">
        <f t="shared" si="5"/>
        <v>41800</v>
      </c>
      <c r="K11" s="8" t="s">
        <v>146</v>
      </c>
      <c r="L11" s="9">
        <v>-3900</v>
      </c>
      <c r="M11" s="9"/>
      <c r="N11" s="55">
        <v>-2000</v>
      </c>
      <c r="O11" s="21">
        <f t="shared" si="6"/>
        <v>27300</v>
      </c>
      <c r="P11" s="8"/>
      <c r="Q11" s="9"/>
      <c r="R11" s="9">
        <v>-1000</v>
      </c>
      <c r="S11" s="55"/>
      <c r="T11" s="21">
        <f t="shared" si="7"/>
        <v>35900</v>
      </c>
      <c r="U11" s="60">
        <f t="shared" si="0"/>
        <v>6.8</v>
      </c>
      <c r="V11" s="61">
        <f t="shared" si="1"/>
        <v>-7.7</v>
      </c>
      <c r="W11" s="62">
        <f t="shared" si="2"/>
        <v>0.9</v>
      </c>
      <c r="Y11" s="8"/>
      <c r="Z11" s="41"/>
      <c r="AA11" s="32"/>
      <c r="AB11" s="32">
        <v>1</v>
      </c>
      <c r="AC11" s="32">
        <v>3</v>
      </c>
      <c r="AD11" s="36">
        <v>30</v>
      </c>
      <c r="AE11" s="47" t="s">
        <v>99</v>
      </c>
      <c r="AF11" s="48" t="s">
        <v>86</v>
      </c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>
        <v>1</v>
      </c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8"/>
        <v/>
      </c>
      <c r="C12" s="18" t="str">
        <f t="shared" si="9"/>
        <v/>
      </c>
      <c r="D12" s="18" t="str">
        <f t="shared" si="4"/>
        <v/>
      </c>
      <c r="E12" s="4"/>
      <c r="F12" s="8"/>
      <c r="G12" s="9"/>
      <c r="H12" s="9"/>
      <c r="I12" s="55"/>
      <c r="J12" s="21" t="str">
        <f t="shared" si="5"/>
        <v/>
      </c>
      <c r="K12" s="8"/>
      <c r="L12" s="9"/>
      <c r="M12" s="9"/>
      <c r="N12" s="55"/>
      <c r="O12" s="21" t="str">
        <f t="shared" si="6"/>
        <v/>
      </c>
      <c r="P12" s="8"/>
      <c r="Q12" s="9"/>
      <c r="R12" s="9"/>
      <c r="S12" s="55"/>
      <c r="T12" s="21" t="str">
        <f t="shared" si="7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55"/>
      <c r="J13" s="21" t="str">
        <f t="shared" si="5"/>
        <v/>
      </c>
      <c r="K13" s="8"/>
      <c r="L13" s="9"/>
      <c r="M13" s="9"/>
      <c r="N13" s="55"/>
      <c r="O13" s="21" t="str">
        <f t="shared" si="6"/>
        <v/>
      </c>
      <c r="P13" s="8"/>
      <c r="Q13" s="9"/>
      <c r="R13" s="9"/>
      <c r="S13" s="55"/>
      <c r="T13" s="21" t="str">
        <f t="shared" si="7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815B203B-60D1-4CA1-8559-871FF318365B}">
      <formula1>"ロン,ツモ,放銃,ツモ支払,流局,チョンボ"</formula1>
    </dataValidation>
    <dataValidation type="list" allowBlank="1" showInputMessage="1" showErrorMessage="1" sqref="E4:E30" xr:uid="{37E6F81C-5FAA-439B-928D-EFC7FA0D084E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3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4" x14ac:dyDescent="0.4">
      <c r="A49" s="43" t="s">
        <v>125</v>
      </c>
      <c r="B49" s="15" t="s">
        <v>75</v>
      </c>
      <c r="C49" s="15">
        <v>13</v>
      </c>
    </row>
    <row r="50" spans="1:4" x14ac:dyDescent="0.4">
      <c r="A50" s="43" t="s">
        <v>126</v>
      </c>
      <c r="B50" s="15" t="s">
        <v>76</v>
      </c>
      <c r="C50" s="15">
        <v>13</v>
      </c>
    </row>
    <row r="51" spans="1:4" x14ac:dyDescent="0.4">
      <c r="A51" s="43" t="s">
        <v>127</v>
      </c>
      <c r="B51" s="15" t="s">
        <v>77</v>
      </c>
      <c r="C51" s="15">
        <v>13</v>
      </c>
    </row>
    <row r="52" spans="1:4" x14ac:dyDescent="0.4">
      <c r="A52" s="43" t="s">
        <v>135</v>
      </c>
      <c r="B52" s="15" t="s">
        <v>136</v>
      </c>
      <c r="C52" s="15">
        <v>2</v>
      </c>
    </row>
    <row r="53" spans="1:4" x14ac:dyDescent="0.4">
      <c r="A53" s="43" t="s">
        <v>137</v>
      </c>
      <c r="B53" s="15" t="s">
        <v>138</v>
      </c>
      <c r="C53" s="15">
        <v>1</v>
      </c>
      <c r="D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>
      <selection sqref="A1:A2"/>
    </sheetView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11600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11600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11600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11600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-5800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-6000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7700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7700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7700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7700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-2900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-2900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-4800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-4800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2019-03-21T08:43:22Z</dcterms:modified>
</cp:coreProperties>
</file>