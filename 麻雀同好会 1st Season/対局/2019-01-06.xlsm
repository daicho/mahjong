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対局\"/>
    </mc:Choice>
  </mc:AlternateContent>
  <xr:revisionPtr revIDLastSave="0" documentId="10_ncr:100000_{31DCC518-D16D-45BF-89F0-DC244F4B3A24}" xr6:coauthVersionLast="31" xr6:coauthVersionMax="31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Sheet2" sheetId="16" r:id="rId2"/>
    <sheet name="Sheet3" sheetId="17" r:id="rId3"/>
    <sheet name="Sheet4" sheetId="18" r:id="rId4"/>
    <sheet name="役一覧" sheetId="15" state="hidden" r:id="rId5"/>
    <sheet name="点数表(親ロン)" sheetId="4" state="hidden" r:id="rId6"/>
    <sheet name="点数表(親ツモ)" sheetId="9" state="hidden" r:id="rId7"/>
    <sheet name="点数表(子→親)" sheetId="7" state="hidden" r:id="rId8"/>
    <sheet name="点数表(子ロン)" sheetId="3" state="hidden" r:id="rId9"/>
    <sheet name="点数表(子ツモ)" sheetId="10" state="hidden" r:id="rId10"/>
    <sheet name="点数表(子→子)" sheetId="5" state="hidden" r:id="rId11"/>
    <sheet name="点数表(親→子)" sheetId="6" state="hidden" r:id="rId12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30" i="18" l="1"/>
  <c r="W30" i="18" s="1"/>
  <c r="O30" i="18"/>
  <c r="V30" i="18" s="1"/>
  <c r="J30" i="18"/>
  <c r="U30" i="18" s="1"/>
  <c r="D30" i="18"/>
  <c r="C30" i="18"/>
  <c r="B30" i="18"/>
  <c r="A30" i="18"/>
  <c r="T29" i="18"/>
  <c r="W29" i="18" s="1"/>
  <c r="O29" i="18"/>
  <c r="V29" i="18" s="1"/>
  <c r="J29" i="18"/>
  <c r="U29" i="18" s="1"/>
  <c r="D29" i="18"/>
  <c r="C29" i="18"/>
  <c r="B29" i="18"/>
  <c r="A29" i="18"/>
  <c r="T28" i="18"/>
  <c r="W28" i="18" s="1"/>
  <c r="O28" i="18"/>
  <c r="V28" i="18" s="1"/>
  <c r="J28" i="18"/>
  <c r="U28" i="18" s="1"/>
  <c r="D28" i="18"/>
  <c r="C28" i="18"/>
  <c r="B28" i="18"/>
  <c r="A28" i="18"/>
  <c r="T27" i="18"/>
  <c r="W27" i="18" s="1"/>
  <c r="O27" i="18"/>
  <c r="V27" i="18" s="1"/>
  <c r="J27" i="18"/>
  <c r="U27" i="18" s="1"/>
  <c r="D27" i="18"/>
  <c r="C27" i="18"/>
  <c r="B27" i="18"/>
  <c r="A27" i="18"/>
  <c r="T26" i="18"/>
  <c r="W26" i="18" s="1"/>
  <c r="O26" i="18"/>
  <c r="V26" i="18" s="1"/>
  <c r="J26" i="18"/>
  <c r="U26" i="18" s="1"/>
  <c r="D26" i="18"/>
  <c r="C26" i="18"/>
  <c r="B26" i="18"/>
  <c r="A26" i="18"/>
  <c r="T25" i="18"/>
  <c r="W25" i="18" s="1"/>
  <c r="O25" i="18"/>
  <c r="V25" i="18" s="1"/>
  <c r="J25" i="18"/>
  <c r="U25" i="18" s="1"/>
  <c r="D25" i="18"/>
  <c r="C25" i="18"/>
  <c r="B25" i="18"/>
  <c r="A25" i="18"/>
  <c r="T24" i="18"/>
  <c r="W24" i="18" s="1"/>
  <c r="O24" i="18"/>
  <c r="V24" i="18" s="1"/>
  <c r="J24" i="18"/>
  <c r="U24" i="18" s="1"/>
  <c r="D24" i="18"/>
  <c r="C24" i="18"/>
  <c r="B24" i="18"/>
  <c r="A24" i="18"/>
  <c r="T23" i="18"/>
  <c r="W23" i="18" s="1"/>
  <c r="O23" i="18"/>
  <c r="V23" i="18" s="1"/>
  <c r="J23" i="18"/>
  <c r="U23" i="18" s="1"/>
  <c r="D23" i="18"/>
  <c r="C23" i="18"/>
  <c r="B23" i="18"/>
  <c r="A23" i="18"/>
  <c r="T22" i="18"/>
  <c r="W22" i="18" s="1"/>
  <c r="O22" i="18"/>
  <c r="V22" i="18" s="1"/>
  <c r="J22" i="18"/>
  <c r="U22" i="18" s="1"/>
  <c r="D22" i="18"/>
  <c r="C22" i="18"/>
  <c r="B22" i="18"/>
  <c r="A22" i="18"/>
  <c r="T21" i="18"/>
  <c r="W21" i="18" s="1"/>
  <c r="O21" i="18"/>
  <c r="V21" i="18" s="1"/>
  <c r="J21" i="18"/>
  <c r="U21" i="18" s="1"/>
  <c r="D21" i="18"/>
  <c r="C21" i="18"/>
  <c r="B21" i="18"/>
  <c r="A21" i="18"/>
  <c r="T20" i="18"/>
  <c r="W20" i="18" s="1"/>
  <c r="O20" i="18"/>
  <c r="V20" i="18" s="1"/>
  <c r="J20" i="18"/>
  <c r="U20" i="18" s="1"/>
  <c r="D20" i="18"/>
  <c r="C20" i="18"/>
  <c r="B20" i="18"/>
  <c r="A20" i="18"/>
  <c r="T19" i="18"/>
  <c r="W19" i="18" s="1"/>
  <c r="O19" i="18"/>
  <c r="V19" i="18" s="1"/>
  <c r="J19" i="18"/>
  <c r="U19" i="18" s="1"/>
  <c r="D19" i="18"/>
  <c r="C19" i="18"/>
  <c r="B19" i="18"/>
  <c r="A19" i="18"/>
  <c r="T18" i="18"/>
  <c r="W18" i="18" s="1"/>
  <c r="O18" i="18"/>
  <c r="V18" i="18" s="1"/>
  <c r="J18" i="18"/>
  <c r="U18" i="18" s="1"/>
  <c r="D18" i="18"/>
  <c r="C18" i="18"/>
  <c r="B18" i="18"/>
  <c r="A18" i="18"/>
  <c r="T17" i="18"/>
  <c r="W17" i="18" s="1"/>
  <c r="O17" i="18"/>
  <c r="V17" i="18" s="1"/>
  <c r="J17" i="18"/>
  <c r="U17" i="18" s="1"/>
  <c r="D17" i="18"/>
  <c r="C17" i="18"/>
  <c r="B17" i="18"/>
  <c r="A17" i="18"/>
  <c r="T16" i="18"/>
  <c r="W16" i="18" s="1"/>
  <c r="O16" i="18"/>
  <c r="V16" i="18" s="1"/>
  <c r="J16" i="18"/>
  <c r="U16" i="18" s="1"/>
  <c r="D16" i="18"/>
  <c r="C16" i="18"/>
  <c r="B16" i="18"/>
  <c r="A16" i="18"/>
  <c r="T15" i="18"/>
  <c r="W15" i="18" s="1"/>
  <c r="O15" i="18"/>
  <c r="V15" i="18" s="1"/>
  <c r="J15" i="18"/>
  <c r="U15" i="18" s="1"/>
  <c r="D15" i="18"/>
  <c r="C15" i="18"/>
  <c r="B15" i="18"/>
  <c r="A15" i="18"/>
  <c r="T14" i="18"/>
  <c r="W14" i="18" s="1"/>
  <c r="O14" i="18"/>
  <c r="V14" i="18" s="1"/>
  <c r="J14" i="18"/>
  <c r="U14" i="18" s="1"/>
  <c r="D14" i="18"/>
  <c r="C14" i="18"/>
  <c r="B14" i="18"/>
  <c r="A14" i="18"/>
  <c r="T13" i="18"/>
  <c r="W13" i="18" s="1"/>
  <c r="O13" i="18"/>
  <c r="V13" i="18" s="1"/>
  <c r="J13" i="18"/>
  <c r="U13" i="18" s="1"/>
  <c r="D13" i="18"/>
  <c r="C13" i="18"/>
  <c r="B13" i="18"/>
  <c r="A13" i="18"/>
  <c r="T12" i="18"/>
  <c r="W12" i="18" s="1"/>
  <c r="O12" i="18"/>
  <c r="V12" i="18" s="1"/>
  <c r="J12" i="18"/>
  <c r="U12" i="18" s="1"/>
  <c r="D12" i="18"/>
  <c r="C12" i="18"/>
  <c r="B12" i="18"/>
  <c r="A12" i="18"/>
  <c r="D11" i="18"/>
  <c r="D10" i="18"/>
  <c r="C10" i="18"/>
  <c r="C11" i="18" s="1"/>
  <c r="D9" i="18"/>
  <c r="C9" i="18"/>
  <c r="D8" i="18"/>
  <c r="C8" i="18"/>
  <c r="D7" i="18"/>
  <c r="C7" i="18"/>
  <c r="D6" i="18"/>
  <c r="C6" i="18"/>
  <c r="O5" i="18"/>
  <c r="O6" i="18" s="1"/>
  <c r="J5" i="18"/>
  <c r="U5" i="18" s="1"/>
  <c r="D5" i="18"/>
  <c r="C5" i="18"/>
  <c r="B5" i="18"/>
  <c r="B6" i="18" s="1"/>
  <c r="T4" i="18"/>
  <c r="W4" i="18" s="1"/>
  <c r="O4" i="18"/>
  <c r="V4" i="18" s="1"/>
  <c r="J4" i="18"/>
  <c r="U4" i="18" s="1"/>
  <c r="W3" i="18"/>
  <c r="V3" i="18"/>
  <c r="U3" i="18"/>
  <c r="W2" i="18"/>
  <c r="V2" i="18"/>
  <c r="U2" i="18"/>
  <c r="BO1" i="18"/>
  <c r="AT1" i="18"/>
  <c r="Y1" i="18"/>
  <c r="T30" i="17"/>
  <c r="W30" i="17" s="1"/>
  <c r="O30" i="17"/>
  <c r="V30" i="17" s="1"/>
  <c r="J30" i="17"/>
  <c r="U30" i="17" s="1"/>
  <c r="D30" i="17"/>
  <c r="C30" i="17"/>
  <c r="B30" i="17"/>
  <c r="A30" i="17"/>
  <c r="T29" i="17"/>
  <c r="W29" i="17" s="1"/>
  <c r="O29" i="17"/>
  <c r="V29" i="17" s="1"/>
  <c r="J29" i="17"/>
  <c r="U29" i="17" s="1"/>
  <c r="D29" i="17"/>
  <c r="C29" i="17"/>
  <c r="B29" i="17"/>
  <c r="A29" i="17"/>
  <c r="T28" i="17"/>
  <c r="W28" i="17" s="1"/>
  <c r="O28" i="17"/>
  <c r="V28" i="17" s="1"/>
  <c r="J28" i="17"/>
  <c r="U28" i="17" s="1"/>
  <c r="D28" i="17"/>
  <c r="C28" i="17"/>
  <c r="B28" i="17"/>
  <c r="A28" i="17"/>
  <c r="T27" i="17"/>
  <c r="W27" i="17" s="1"/>
  <c r="O27" i="17"/>
  <c r="V27" i="17" s="1"/>
  <c r="J27" i="17"/>
  <c r="U27" i="17" s="1"/>
  <c r="D27" i="17"/>
  <c r="C27" i="17"/>
  <c r="B27" i="17"/>
  <c r="A27" i="17"/>
  <c r="T26" i="17"/>
  <c r="W26" i="17" s="1"/>
  <c r="O26" i="17"/>
  <c r="V26" i="17" s="1"/>
  <c r="J26" i="17"/>
  <c r="U26" i="17" s="1"/>
  <c r="D26" i="17"/>
  <c r="C26" i="17"/>
  <c r="B26" i="17"/>
  <c r="A26" i="17"/>
  <c r="T25" i="17"/>
  <c r="W25" i="17" s="1"/>
  <c r="O25" i="17"/>
  <c r="V25" i="17" s="1"/>
  <c r="J25" i="17"/>
  <c r="U25" i="17" s="1"/>
  <c r="D25" i="17"/>
  <c r="C25" i="17"/>
  <c r="B25" i="17"/>
  <c r="A25" i="17"/>
  <c r="T24" i="17"/>
  <c r="W24" i="17" s="1"/>
  <c r="O24" i="17"/>
  <c r="V24" i="17" s="1"/>
  <c r="J24" i="17"/>
  <c r="U24" i="17" s="1"/>
  <c r="D24" i="17"/>
  <c r="C24" i="17"/>
  <c r="B24" i="17"/>
  <c r="A24" i="17"/>
  <c r="T23" i="17"/>
  <c r="W23" i="17" s="1"/>
  <c r="O23" i="17"/>
  <c r="V23" i="17" s="1"/>
  <c r="J23" i="17"/>
  <c r="U23" i="17" s="1"/>
  <c r="D23" i="17"/>
  <c r="C23" i="17"/>
  <c r="B23" i="17"/>
  <c r="A23" i="17"/>
  <c r="T22" i="17"/>
  <c r="W22" i="17" s="1"/>
  <c r="O22" i="17"/>
  <c r="V22" i="17" s="1"/>
  <c r="J22" i="17"/>
  <c r="U22" i="17" s="1"/>
  <c r="D22" i="17"/>
  <c r="C22" i="17"/>
  <c r="B22" i="17"/>
  <c r="A22" i="17"/>
  <c r="T21" i="17"/>
  <c r="W21" i="17" s="1"/>
  <c r="O21" i="17"/>
  <c r="V21" i="17" s="1"/>
  <c r="J21" i="17"/>
  <c r="U21" i="17" s="1"/>
  <c r="D21" i="17"/>
  <c r="C21" i="17"/>
  <c r="B21" i="17"/>
  <c r="A21" i="17"/>
  <c r="T20" i="17"/>
  <c r="W20" i="17" s="1"/>
  <c r="O20" i="17"/>
  <c r="V20" i="17" s="1"/>
  <c r="J20" i="17"/>
  <c r="U20" i="17" s="1"/>
  <c r="D20" i="17"/>
  <c r="C20" i="17"/>
  <c r="B20" i="17"/>
  <c r="A20" i="17"/>
  <c r="T19" i="17"/>
  <c r="W19" i="17" s="1"/>
  <c r="O19" i="17"/>
  <c r="V19" i="17" s="1"/>
  <c r="J19" i="17"/>
  <c r="U19" i="17" s="1"/>
  <c r="D19" i="17"/>
  <c r="C19" i="17"/>
  <c r="B19" i="17"/>
  <c r="A19" i="17"/>
  <c r="T18" i="17"/>
  <c r="W18" i="17" s="1"/>
  <c r="O18" i="17"/>
  <c r="V18" i="17" s="1"/>
  <c r="J18" i="17"/>
  <c r="U18" i="17" s="1"/>
  <c r="D18" i="17"/>
  <c r="C18" i="17"/>
  <c r="B18" i="17"/>
  <c r="A18" i="17"/>
  <c r="T17" i="17"/>
  <c r="W17" i="17" s="1"/>
  <c r="O17" i="17"/>
  <c r="V17" i="17" s="1"/>
  <c r="J17" i="17"/>
  <c r="U17" i="17" s="1"/>
  <c r="D17" i="17"/>
  <c r="C17" i="17"/>
  <c r="B17" i="17"/>
  <c r="A17" i="17"/>
  <c r="T16" i="17"/>
  <c r="W16" i="17" s="1"/>
  <c r="O16" i="17"/>
  <c r="V16" i="17" s="1"/>
  <c r="J16" i="17"/>
  <c r="U16" i="17" s="1"/>
  <c r="D16" i="17"/>
  <c r="C16" i="17"/>
  <c r="B16" i="17"/>
  <c r="A16" i="17"/>
  <c r="T15" i="17"/>
  <c r="W15" i="17" s="1"/>
  <c r="O15" i="17"/>
  <c r="V15" i="17" s="1"/>
  <c r="J15" i="17"/>
  <c r="U15" i="17" s="1"/>
  <c r="D15" i="17"/>
  <c r="C15" i="17"/>
  <c r="B15" i="17"/>
  <c r="A15" i="17"/>
  <c r="T14" i="17"/>
  <c r="W14" i="17" s="1"/>
  <c r="O14" i="17"/>
  <c r="V14" i="17" s="1"/>
  <c r="J14" i="17"/>
  <c r="U14" i="17" s="1"/>
  <c r="D14" i="17"/>
  <c r="C14" i="17"/>
  <c r="B14" i="17"/>
  <c r="A14" i="17"/>
  <c r="T13" i="17"/>
  <c r="W13" i="17" s="1"/>
  <c r="O13" i="17"/>
  <c r="V13" i="17" s="1"/>
  <c r="J13" i="17"/>
  <c r="U13" i="17" s="1"/>
  <c r="D13" i="17"/>
  <c r="C13" i="17"/>
  <c r="B13" i="17"/>
  <c r="A13" i="17"/>
  <c r="T12" i="17"/>
  <c r="W12" i="17" s="1"/>
  <c r="O12" i="17"/>
  <c r="V12" i="17" s="1"/>
  <c r="J12" i="17"/>
  <c r="U12" i="17" s="1"/>
  <c r="D12" i="17"/>
  <c r="C12" i="17"/>
  <c r="B12" i="17"/>
  <c r="A12" i="17" s="1"/>
  <c r="T11" i="17"/>
  <c r="W11" i="17" s="1"/>
  <c r="O11" i="17"/>
  <c r="V11" i="17" s="1"/>
  <c r="J11" i="17"/>
  <c r="U11" i="17" s="1"/>
  <c r="D11" i="17"/>
  <c r="C11" i="17"/>
  <c r="B11" i="17"/>
  <c r="A11" i="17"/>
  <c r="T10" i="17"/>
  <c r="W10" i="17" s="1"/>
  <c r="O10" i="17"/>
  <c r="V10" i="17" s="1"/>
  <c r="J10" i="17"/>
  <c r="U10" i="17" s="1"/>
  <c r="D10" i="17"/>
  <c r="C10" i="17"/>
  <c r="B10" i="17"/>
  <c r="A10" i="17"/>
  <c r="T9" i="17"/>
  <c r="W9" i="17" s="1"/>
  <c r="O9" i="17"/>
  <c r="V9" i="17" s="1"/>
  <c r="J9" i="17"/>
  <c r="U9" i="17" s="1"/>
  <c r="D9" i="17"/>
  <c r="C9" i="17"/>
  <c r="B9" i="17"/>
  <c r="A9" i="17" s="1"/>
  <c r="T8" i="17"/>
  <c r="W8" i="17" s="1"/>
  <c r="O8" i="17"/>
  <c r="V8" i="17" s="1"/>
  <c r="J8" i="17"/>
  <c r="U8" i="17" s="1"/>
  <c r="D8" i="17"/>
  <c r="C8" i="17"/>
  <c r="B8" i="17"/>
  <c r="A8" i="17" s="1"/>
  <c r="T7" i="17"/>
  <c r="W7" i="17" s="1"/>
  <c r="O7" i="17"/>
  <c r="V7" i="17" s="1"/>
  <c r="J7" i="17"/>
  <c r="U7" i="17" s="1"/>
  <c r="D7" i="17"/>
  <c r="C7" i="17"/>
  <c r="B7" i="17"/>
  <c r="A7" i="17"/>
  <c r="O6" i="17"/>
  <c r="V6" i="17" s="1"/>
  <c r="J6" i="17"/>
  <c r="U6" i="17" s="1"/>
  <c r="D6" i="17"/>
  <c r="C6" i="17"/>
  <c r="B6" i="17"/>
  <c r="A6" i="17" s="1"/>
  <c r="T5" i="17"/>
  <c r="W5" i="17" s="1"/>
  <c r="O5" i="17"/>
  <c r="V5" i="17" s="1"/>
  <c r="J5" i="17"/>
  <c r="U5" i="17" s="1"/>
  <c r="D5" i="17"/>
  <c r="C5" i="17"/>
  <c r="B5" i="17"/>
  <c r="A5" i="17" s="1"/>
  <c r="T4" i="17"/>
  <c r="W4" i="17" s="1"/>
  <c r="O4" i="17"/>
  <c r="V4" i="17" s="1"/>
  <c r="J4" i="17"/>
  <c r="U4" i="17" s="1"/>
  <c r="W3" i="17"/>
  <c r="V3" i="17"/>
  <c r="U3" i="17"/>
  <c r="W2" i="17"/>
  <c r="V2" i="17"/>
  <c r="U2" i="17"/>
  <c r="BO1" i="17"/>
  <c r="AT1" i="17"/>
  <c r="Y1" i="17"/>
  <c r="T30" i="16"/>
  <c r="W30" i="16" s="1"/>
  <c r="O30" i="16"/>
  <c r="V30" i="16" s="1"/>
  <c r="J30" i="16"/>
  <c r="U30" i="16" s="1"/>
  <c r="D30" i="16"/>
  <c r="C30" i="16"/>
  <c r="B30" i="16"/>
  <c r="A30" i="16"/>
  <c r="T29" i="16"/>
  <c r="W29" i="16" s="1"/>
  <c r="O29" i="16"/>
  <c r="V29" i="16" s="1"/>
  <c r="J29" i="16"/>
  <c r="U29" i="16" s="1"/>
  <c r="D29" i="16"/>
  <c r="C29" i="16"/>
  <c r="B29" i="16"/>
  <c r="A29" i="16"/>
  <c r="T28" i="16"/>
  <c r="W28" i="16" s="1"/>
  <c r="O28" i="16"/>
  <c r="V28" i="16" s="1"/>
  <c r="J28" i="16"/>
  <c r="U28" i="16" s="1"/>
  <c r="D28" i="16"/>
  <c r="C28" i="16"/>
  <c r="B28" i="16"/>
  <c r="A28" i="16"/>
  <c r="T27" i="16"/>
  <c r="W27" i="16" s="1"/>
  <c r="O27" i="16"/>
  <c r="V27" i="16" s="1"/>
  <c r="J27" i="16"/>
  <c r="U27" i="16" s="1"/>
  <c r="D27" i="16"/>
  <c r="C27" i="16"/>
  <c r="B27" i="16"/>
  <c r="A27" i="16"/>
  <c r="T26" i="16"/>
  <c r="W26" i="16" s="1"/>
  <c r="O26" i="16"/>
  <c r="V26" i="16" s="1"/>
  <c r="J26" i="16"/>
  <c r="U26" i="16" s="1"/>
  <c r="D26" i="16"/>
  <c r="C26" i="16"/>
  <c r="B26" i="16"/>
  <c r="A26" i="16"/>
  <c r="T25" i="16"/>
  <c r="W25" i="16" s="1"/>
  <c r="O25" i="16"/>
  <c r="V25" i="16" s="1"/>
  <c r="J25" i="16"/>
  <c r="U25" i="16" s="1"/>
  <c r="D25" i="16"/>
  <c r="C25" i="16"/>
  <c r="B25" i="16"/>
  <c r="A25" i="16"/>
  <c r="T24" i="16"/>
  <c r="W24" i="16" s="1"/>
  <c r="O24" i="16"/>
  <c r="V24" i="16" s="1"/>
  <c r="J24" i="16"/>
  <c r="U24" i="16" s="1"/>
  <c r="D24" i="16"/>
  <c r="C24" i="16"/>
  <c r="B24" i="16"/>
  <c r="A24" i="16"/>
  <c r="T23" i="16"/>
  <c r="W23" i="16" s="1"/>
  <c r="O23" i="16"/>
  <c r="V23" i="16" s="1"/>
  <c r="J23" i="16"/>
  <c r="U23" i="16" s="1"/>
  <c r="D23" i="16"/>
  <c r="C23" i="16"/>
  <c r="B23" i="16"/>
  <c r="A23" i="16"/>
  <c r="T22" i="16"/>
  <c r="W22" i="16" s="1"/>
  <c r="O22" i="16"/>
  <c r="V22" i="16" s="1"/>
  <c r="J22" i="16"/>
  <c r="U22" i="16" s="1"/>
  <c r="D22" i="16"/>
  <c r="C22" i="16"/>
  <c r="B22" i="16"/>
  <c r="A22" i="16"/>
  <c r="T21" i="16"/>
  <c r="W21" i="16" s="1"/>
  <c r="O21" i="16"/>
  <c r="V21" i="16" s="1"/>
  <c r="J21" i="16"/>
  <c r="U21" i="16" s="1"/>
  <c r="D21" i="16"/>
  <c r="C21" i="16"/>
  <c r="B21" i="16"/>
  <c r="A21" i="16"/>
  <c r="T20" i="16"/>
  <c r="W20" i="16" s="1"/>
  <c r="O20" i="16"/>
  <c r="V20" i="16" s="1"/>
  <c r="J20" i="16"/>
  <c r="U20" i="16" s="1"/>
  <c r="D20" i="16"/>
  <c r="C20" i="16"/>
  <c r="B20" i="16"/>
  <c r="A20" i="16"/>
  <c r="T19" i="16"/>
  <c r="W19" i="16" s="1"/>
  <c r="O19" i="16"/>
  <c r="V19" i="16" s="1"/>
  <c r="J19" i="16"/>
  <c r="U19" i="16" s="1"/>
  <c r="D19" i="16"/>
  <c r="C19" i="16"/>
  <c r="B19" i="16"/>
  <c r="A19" i="16"/>
  <c r="T18" i="16"/>
  <c r="W18" i="16" s="1"/>
  <c r="O18" i="16"/>
  <c r="V18" i="16" s="1"/>
  <c r="J18" i="16"/>
  <c r="U18" i="16" s="1"/>
  <c r="D18" i="16"/>
  <c r="C18" i="16"/>
  <c r="B18" i="16"/>
  <c r="A18" i="16"/>
  <c r="T17" i="16"/>
  <c r="W17" i="16" s="1"/>
  <c r="O17" i="16"/>
  <c r="V17" i="16" s="1"/>
  <c r="J17" i="16"/>
  <c r="U17" i="16" s="1"/>
  <c r="D17" i="16"/>
  <c r="C17" i="16"/>
  <c r="B17" i="16"/>
  <c r="A17" i="16"/>
  <c r="T16" i="16"/>
  <c r="W16" i="16" s="1"/>
  <c r="O16" i="16"/>
  <c r="V16" i="16" s="1"/>
  <c r="J16" i="16"/>
  <c r="U16" i="16" s="1"/>
  <c r="D16" i="16"/>
  <c r="C16" i="16"/>
  <c r="B16" i="16"/>
  <c r="A16" i="16"/>
  <c r="T15" i="16"/>
  <c r="W15" i="16" s="1"/>
  <c r="O15" i="16"/>
  <c r="V15" i="16" s="1"/>
  <c r="J15" i="16"/>
  <c r="U15" i="16" s="1"/>
  <c r="D15" i="16"/>
  <c r="C15" i="16"/>
  <c r="B15" i="16"/>
  <c r="A15" i="16"/>
  <c r="T14" i="16"/>
  <c r="W14" i="16" s="1"/>
  <c r="O14" i="16"/>
  <c r="V14" i="16" s="1"/>
  <c r="J14" i="16"/>
  <c r="U14" i="16" s="1"/>
  <c r="D14" i="16"/>
  <c r="C14" i="16"/>
  <c r="B14" i="16"/>
  <c r="A14" i="16"/>
  <c r="T13" i="16"/>
  <c r="W13" i="16" s="1"/>
  <c r="O13" i="16"/>
  <c r="V13" i="16" s="1"/>
  <c r="J13" i="16"/>
  <c r="U13" i="16" s="1"/>
  <c r="D13" i="16"/>
  <c r="C13" i="16"/>
  <c r="B13" i="16"/>
  <c r="A13" i="16"/>
  <c r="T12" i="16"/>
  <c r="W12" i="16" s="1"/>
  <c r="O12" i="16"/>
  <c r="V12" i="16" s="1"/>
  <c r="J12" i="16"/>
  <c r="U12" i="16" s="1"/>
  <c r="D12" i="16"/>
  <c r="C12" i="16"/>
  <c r="B12" i="16"/>
  <c r="A12" i="16"/>
  <c r="D11" i="16"/>
  <c r="C11" i="16"/>
  <c r="D10" i="16"/>
  <c r="D9" i="16"/>
  <c r="D8" i="16"/>
  <c r="C8" i="16"/>
  <c r="C9" i="16" s="1"/>
  <c r="C10" i="16" s="1"/>
  <c r="D7" i="16"/>
  <c r="D6" i="16"/>
  <c r="C6" i="16"/>
  <c r="C7" i="16" s="1"/>
  <c r="O5" i="16"/>
  <c r="O6" i="16" s="1"/>
  <c r="J5" i="16"/>
  <c r="U5" i="16" s="1"/>
  <c r="D5" i="16"/>
  <c r="C5" i="16"/>
  <c r="B5" i="16"/>
  <c r="B6" i="16" s="1"/>
  <c r="A5" i="16"/>
  <c r="T4" i="16"/>
  <c r="W4" i="16" s="1"/>
  <c r="O4" i="16"/>
  <c r="V4" i="16" s="1"/>
  <c r="J4" i="16"/>
  <c r="U4" i="16" s="1"/>
  <c r="W3" i="16"/>
  <c r="V3" i="16"/>
  <c r="U3" i="16"/>
  <c r="W2" i="16"/>
  <c r="V2" i="16"/>
  <c r="U2" i="16"/>
  <c r="BO1" i="16"/>
  <c r="AT1" i="16"/>
  <c r="Y1" i="16"/>
  <c r="A5" i="18" l="1"/>
  <c r="V5" i="18"/>
  <c r="O7" i="18"/>
  <c r="V6" i="18"/>
  <c r="B7" i="18"/>
  <c r="J6" i="18"/>
  <c r="T5" i="18"/>
  <c r="A6" i="18"/>
  <c r="A7" i="18" s="1"/>
  <c r="T6" i="17"/>
  <c r="W6" i="17" s="1"/>
  <c r="V5" i="16"/>
  <c r="B7" i="16"/>
  <c r="A7" i="16" s="1"/>
  <c r="V6" i="16"/>
  <c r="O7" i="16"/>
  <c r="T5" i="16"/>
  <c r="A6" i="16"/>
  <c r="J6" i="16"/>
  <c r="B8" i="18" l="1"/>
  <c r="A8" i="18" s="1"/>
  <c r="T6" i="18"/>
  <c r="W5" i="18"/>
  <c r="U6" i="18"/>
  <c r="J7" i="18"/>
  <c r="O8" i="18"/>
  <c r="V7" i="18"/>
  <c r="O8" i="16"/>
  <c r="V7" i="16"/>
  <c r="U6" i="16"/>
  <c r="J7" i="16"/>
  <c r="W5" i="16"/>
  <c r="T6" i="16"/>
  <c r="B8" i="16"/>
  <c r="A8" i="16" s="1"/>
  <c r="U7" i="18" l="1"/>
  <c r="J8" i="18"/>
  <c r="V8" i="18"/>
  <c r="O9" i="18"/>
  <c r="W6" i="18"/>
  <c r="T7" i="18"/>
  <c r="B9" i="18"/>
  <c r="A9" i="18"/>
  <c r="U7" i="16"/>
  <c r="J8" i="16"/>
  <c r="W6" i="16"/>
  <c r="T7" i="16"/>
  <c r="B9" i="16"/>
  <c r="V8" i="16"/>
  <c r="O9" i="16"/>
  <c r="O10" i="18" l="1"/>
  <c r="V9" i="18"/>
  <c r="B10" i="18"/>
  <c r="A10" i="18"/>
  <c r="W7" i="18"/>
  <c r="T8" i="18"/>
  <c r="U8" i="18"/>
  <c r="J9" i="18"/>
  <c r="B10" i="16"/>
  <c r="A10" i="16" s="1"/>
  <c r="U8" i="16"/>
  <c r="J9" i="16"/>
  <c r="O10" i="16"/>
  <c r="V9" i="16"/>
  <c r="W7" i="16"/>
  <c r="T8" i="16"/>
  <c r="A9" i="16"/>
  <c r="U9" i="18" l="1"/>
  <c r="J10" i="18"/>
  <c r="B11" i="18"/>
  <c r="A11" i="18"/>
  <c r="W8" i="18"/>
  <c r="T9" i="18"/>
  <c r="V10" i="18"/>
  <c r="O11" i="18"/>
  <c r="V11" i="18" s="1"/>
  <c r="W8" i="16"/>
  <c r="T9" i="16"/>
  <c r="U9" i="16"/>
  <c r="J10" i="16"/>
  <c r="V10" i="16"/>
  <c r="O11" i="16"/>
  <c r="V11" i="16" s="1"/>
  <c r="B11" i="16"/>
  <c r="A11" i="16" s="1"/>
  <c r="T10" i="18" l="1"/>
  <c r="W9" i="18"/>
  <c r="U10" i="18"/>
  <c r="J11" i="18"/>
  <c r="U11" i="18" s="1"/>
  <c r="U10" i="16"/>
  <c r="J11" i="16"/>
  <c r="U11" i="16" s="1"/>
  <c r="T10" i="16"/>
  <c r="W9" i="16"/>
  <c r="W10" i="18" l="1"/>
  <c r="T11" i="18"/>
  <c r="W11" i="18" s="1"/>
  <c r="W10" i="16"/>
  <c r="T11" i="16"/>
  <c r="W11" i="16" s="1"/>
  <c r="W3" i="1" l="1"/>
  <c r="V3" i="1"/>
  <c r="U3" i="1"/>
  <c r="B5" i="1" l="1"/>
  <c r="A5" i="1" s="1"/>
  <c r="D6" i="1"/>
  <c r="C6" i="1"/>
  <c r="B6" i="1"/>
  <c r="A6" i="1" s="1"/>
  <c r="D5" i="1"/>
  <c r="C5" i="1"/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Y1" i="1" l="1"/>
  <c r="BO1" i="1" l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U4" i="1" l="1"/>
  <c r="B8" i="1"/>
  <c r="A8" i="1" s="1"/>
  <c r="A7" i="1"/>
  <c r="J5" i="1"/>
  <c r="B9" i="1"/>
  <c r="A9" i="1" s="1"/>
  <c r="O4" i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V5" i="1" s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U5" i="1" l="1"/>
  <c r="W4" i="1"/>
  <c r="V4" i="1"/>
  <c r="J6" i="1"/>
  <c r="T5" i="1"/>
  <c r="O6" i="1"/>
  <c r="B10" i="1"/>
  <c r="W5" i="1" l="1"/>
  <c r="J7" i="1"/>
  <c r="U6" i="1"/>
  <c r="O7" i="1"/>
  <c r="V6" i="1"/>
  <c r="J8" i="1"/>
  <c r="U8" i="1" s="1"/>
  <c r="B11" i="1"/>
  <c r="A11" i="1" s="1"/>
  <c r="A10" i="1"/>
  <c r="O8" i="1"/>
  <c r="V8" i="1" s="1"/>
  <c r="T6" i="1"/>
  <c r="B12" i="1"/>
  <c r="A12" i="1" s="1"/>
  <c r="U7" i="1" l="1"/>
  <c r="V7" i="1"/>
  <c r="T7" i="1"/>
  <c r="W6" i="1"/>
  <c r="J9" i="1"/>
  <c r="T8" i="1"/>
  <c r="W8" i="1" s="1"/>
  <c r="O9" i="1"/>
  <c r="B13" i="1"/>
  <c r="A13" i="1" s="1"/>
  <c r="U9" i="1" l="1"/>
  <c r="V9" i="1"/>
  <c r="W7" i="1"/>
  <c r="J10" i="1"/>
  <c r="J11" i="1"/>
  <c r="U11" i="1" s="1"/>
  <c r="O10" i="1"/>
  <c r="T9" i="1"/>
  <c r="B14" i="1"/>
  <c r="A14" i="1" s="1"/>
  <c r="V10" i="1" l="1"/>
  <c r="U10" i="1"/>
  <c r="W9" i="1"/>
  <c r="O11" i="1"/>
  <c r="J12" i="1"/>
  <c r="T10" i="1"/>
  <c r="U12" i="1" l="1"/>
  <c r="V11" i="1"/>
  <c r="W10" i="1"/>
  <c r="J13" i="1"/>
  <c r="U13" i="1" s="1"/>
  <c r="O12" i="1"/>
  <c r="T11" i="1"/>
  <c r="V12" i="1" l="1"/>
  <c r="W11" i="1"/>
  <c r="J14" i="1"/>
  <c r="U14" i="1" s="1"/>
  <c r="O13" i="1"/>
  <c r="V13" i="1" s="1"/>
  <c r="T12" i="1"/>
  <c r="W12" i="1" l="1"/>
  <c r="O14" i="1"/>
  <c r="V14" i="1" s="1"/>
  <c r="J15" i="1"/>
  <c r="U15" i="1" s="1"/>
  <c r="T13" i="1"/>
  <c r="W13" i="1" s="1"/>
  <c r="T14" i="1" l="1"/>
  <c r="W14" i="1" s="1"/>
  <c r="O15" i="1"/>
  <c r="V15" i="1" s="1"/>
  <c r="T15" i="1" l="1"/>
  <c r="W15" i="1" s="1"/>
</calcChain>
</file>

<file path=xl/sharedStrings.xml><?xml version="1.0" encoding="utf-8"?>
<sst xmlns="http://schemas.openxmlformats.org/spreadsheetml/2006/main" count="850" uniqueCount="149">
  <si>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</si>
  <si>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</si>
  <si>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</si>
  <si>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</si>
  <si>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</si>
  <si>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</si>
  <si>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</si>
  <si>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</si>
  <si>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</si>
  <si>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</si>
  <si>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</si>
  <si>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</si>
  <si>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</si>
  <si>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</si>
  <si>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</si>
  <si>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</si>
  <si>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</si>
  <si>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</si>
  <si>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</si>
  <si>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</si>
  <si>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</si>
  <si>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</si>
  <si>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</si>
  <si>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</si>
  <si>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</si>
  <si>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</si>
  <si>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</si>
  <si>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</si>
  <si>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</si>
  <si>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</si>
  <si>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</si>
  <si>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</si>
  <si>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</si>
  <si>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</si>
  <si>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</si>
  <si>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</si>
  <si>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</si>
  <si>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</si>
  <si>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</si>
  <si>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</si>
  <si>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</si>
  <si>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</si>
  <si>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</si>
  <si>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</si>
  <si>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</si>
  <si>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</si>
  <si>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</si>
  <si>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</si>
  <si>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</si>
  <si>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</si>
  <si>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</si>
  <si>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</si>
  <si>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</si>
  <si>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</si>
  <si>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</si>
  <si>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</si>
  <si>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</si>
  <si>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</si>
  <si>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</si>
  <si>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</si>
  <si>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</si>
  <si>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</si>
  <si>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</si>
  <si>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</si>
  <si>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</si>
  <si>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</si>
  <si>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</si>
  <si>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</si>
  <si>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</si>
  <si>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</si>
  <si>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</si>
  <si>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</si>
  <si>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</si>
  <si>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</si>
  <si>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</si>
  <si>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</si>
  <si>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</si>
  <si>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</si>
  <si>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</si>
  <si>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</si>
  <si>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</si>
  <si>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</si>
  <si>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</si>
  <si>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</si>
  <si>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</si>
  <si>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</si>
  <si>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</si>
  <si>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</si>
  <si>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</si>
  <si>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</si>
  <si>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</si>
  <si>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</si>
  <si>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</si>
  <si>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</si>
  <si>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</si>
  <si>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</si>
  <si>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</si>
  <si>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</si>
  <si>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</si>
  <si>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</si>
  <si>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</si>
  <si>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</si>
  <si>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</si>
  <si>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</si>
  <si>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</si>
  <si>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</si>
  <si>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</si>
  <si>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</si>
  <si>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</si>
  <si>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</si>
  <si>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</si>
  <si>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</si>
  <si>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</si>
  <si>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</si>
  <si>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</si>
  <si>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</si>
  <si>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</si>
  <si>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</si>
  <si>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</si>
  <si>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</si>
  <si>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</si>
  <si>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</si>
  <si>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</si>
  <si>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</si>
  <si>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</si>
  <si>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</si>
  <si>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</si>
  <si>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</si>
  <si>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</si>
  <si>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</si>
  <si>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</si>
  <si>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</si>
  <si>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</si>
  <si>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</si>
  <si>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</si>
  <si>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だいち</t>
  </si>
  <si>
    <t>だいち</t>
    <phoneticPr fontId="1"/>
  </si>
  <si>
    <t>りくと</t>
  </si>
  <si>
    <t>りくと</t>
    <phoneticPr fontId="1"/>
  </si>
  <si>
    <t>れんたろう</t>
  </si>
  <si>
    <t>れんたろう</t>
    <phoneticPr fontId="1"/>
  </si>
  <si>
    <t>チョンボ</t>
  </si>
  <si>
    <t>ロン</t>
  </si>
  <si>
    <t>放銃</t>
  </si>
  <si>
    <t>*</t>
  </si>
  <si>
    <t>01</t>
  </si>
  <si>
    <t>ツモ</t>
  </si>
  <si>
    <t>ツモ支払</t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</si>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</sst>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2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136</v>
      </c>
      <c r="G1" s="74"/>
      <c r="H1" s="74"/>
      <c r="I1" s="83"/>
      <c r="J1" s="75"/>
      <c r="K1" s="72" t="s">
        <v>138</v>
      </c>
      <c r="L1" s="74"/>
      <c r="M1" s="74"/>
      <c r="N1" s="83"/>
      <c r="O1" s="75"/>
      <c r="P1" s="72" t="s">
        <v>140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りくと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れんたろう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だいち</v>
      </c>
      <c r="V2" s="27" t="str">
        <f>$K$1</f>
        <v>りくと</v>
      </c>
      <c r="W2" s="16" t="str">
        <f>$P$1</f>
        <v>れんたろう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63">
        <f>IF($J3="","",ROUND(($J3-$J$3)/1000,1))</f>
        <v>0</v>
      </c>
      <c r="V3" s="64">
        <f>IF($O3="","",ROUND(($O3-$O$3)/1000,1))</f>
        <v>0</v>
      </c>
      <c r="W3" s="65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 t="s">
        <v>11</v>
      </c>
      <c r="CE3" s="45" t="s">
        <v>11</v>
      </c>
      <c r="CF3" s="45" t="s">
        <v>11</v>
      </c>
      <c r="CG3" s="45" t="s">
        <v>11</v>
      </c>
      <c r="CH3" s="45" t="s">
        <v>11</v>
      </c>
      <c r="CI3" s="46" t="s">
        <v>11</v>
      </c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137</v>
      </c>
      <c r="F4" s="8" t="s">
        <v>141</v>
      </c>
      <c r="G4" s="9">
        <v>6000</v>
      </c>
      <c r="H4" s="9">
        <v>-1000</v>
      </c>
      <c r="I4" s="55"/>
      <c r="J4" s="21">
        <f>IF(COUNTA($F4,$K4,$P4)&gt;0,J3+SUM(G4:I4),"")</f>
        <v>40000</v>
      </c>
      <c r="K4" s="8" t="s">
        <v>141</v>
      </c>
      <c r="L4" s="9">
        <v>-12000</v>
      </c>
      <c r="M4" s="9"/>
      <c r="N4" s="55"/>
      <c r="O4" s="21">
        <f>IF(COUNTA($F4,$K4,$P4)&gt;0,O3+SUM(L4:N4),"")</f>
        <v>23000</v>
      </c>
      <c r="P4" s="8" t="s">
        <v>141</v>
      </c>
      <c r="Q4" s="9">
        <v>6000</v>
      </c>
      <c r="R4" s="9"/>
      <c r="S4" s="55"/>
      <c r="T4" s="21">
        <f>IF(COUNTA($F4,$K4,$P4)&gt;0,T3+SUM(Q4:S4),"")</f>
        <v>41000</v>
      </c>
      <c r="U4" s="66">
        <f t="shared" ref="U4:U30" si="0">IF($J4="","",ROUND(($J4-$J$3)/1000,1))</f>
        <v>5</v>
      </c>
      <c r="V4" s="67">
        <f t="shared" ref="V4:V30" si="1">IF($O4="","",ROUND(($O4-$O$3)/1000,1))</f>
        <v>-12</v>
      </c>
      <c r="W4" s="68">
        <f t="shared" ref="W4:W30" si="2">IF($T4="","",ROUND(($T4-$T$3)/1000,1))</f>
        <v>6</v>
      </c>
      <c r="Y4" s="8"/>
      <c r="Z4" s="41"/>
      <c r="AA4" s="32">
        <v>1</v>
      </c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>
        <v>1</v>
      </c>
      <c r="AV4" s="32"/>
      <c r="AW4" s="32">
        <v>1</v>
      </c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 t="shared" ref="C5:C6" si="4">IF($E5="","",IF(F4="チョンボ",C4,IF($E4=$E5,C4+1,0)))</f>
        <v>0</v>
      </c>
      <c r="D5" s="18">
        <f t="shared" ref="D5:D30" si="5">IF($E5="","",IF(OR($F4="流局",$F4="チョンボ"),D4+($H4+$M4+$R4)/-1000,0))</f>
        <v>1</v>
      </c>
      <c r="E5" s="4" t="s">
        <v>139</v>
      </c>
      <c r="F5" s="8"/>
      <c r="G5" s="9"/>
      <c r="H5" s="9"/>
      <c r="I5" s="55"/>
      <c r="J5" s="21">
        <f t="shared" ref="J5:J30" si="6">IF(COUNTA($F5,$K5,$P5)&gt;0,J4+SUM(G5:I5),"")</f>
        <v>40000</v>
      </c>
      <c r="K5" s="8" t="s">
        <v>142</v>
      </c>
      <c r="L5" s="9">
        <v>16000</v>
      </c>
      <c r="M5" s="9">
        <v>1000</v>
      </c>
      <c r="N5" s="55">
        <v>0</v>
      </c>
      <c r="O5" s="21">
        <f t="shared" ref="O5:O30" si="7">IF(COUNTA($F5,$K5,$P5)&gt;0,O4+SUM(L5:N5),"")</f>
        <v>40000</v>
      </c>
      <c r="P5" s="8" t="s">
        <v>143</v>
      </c>
      <c r="Q5" s="9">
        <v>-16000</v>
      </c>
      <c r="R5" s="9"/>
      <c r="S5" s="55">
        <v>0</v>
      </c>
      <c r="T5" s="21">
        <f t="shared" ref="T5:T30" si="8">IF(COUNTA($F5,$K5,$P5)&gt;0,T4+SUM(Q5:S5),"")</f>
        <v>25000</v>
      </c>
      <c r="U5" s="66">
        <f t="shared" si="0"/>
        <v>5</v>
      </c>
      <c r="V5" s="67">
        <f t="shared" si="1"/>
        <v>5</v>
      </c>
      <c r="W5" s="68">
        <f t="shared" si="2"/>
        <v>-10</v>
      </c>
      <c r="Y5" s="8"/>
      <c r="Z5" s="41"/>
      <c r="AA5" s="32"/>
      <c r="AB5" s="32">
        <v>1</v>
      </c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>
        <v>9</v>
      </c>
      <c r="AY5" s="36" t="s">
        <v>144</v>
      </c>
      <c r="AZ5" s="47" t="s">
        <v>145</v>
      </c>
      <c r="BA5" s="48" t="s">
        <v>107</v>
      </c>
      <c r="BB5" s="48" t="s">
        <v>80</v>
      </c>
      <c r="BC5" s="48" t="s">
        <v>82</v>
      </c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3</v>
      </c>
      <c r="C6" s="18">
        <f t="shared" si="4"/>
        <v>0</v>
      </c>
      <c r="D6" s="18">
        <f t="shared" si="5"/>
        <v>0</v>
      </c>
      <c r="E6" s="4" t="s">
        <v>135</v>
      </c>
      <c r="F6" s="8" t="s">
        <v>146</v>
      </c>
      <c r="G6" s="9">
        <v>18000</v>
      </c>
      <c r="H6" s="9"/>
      <c r="I6" s="55">
        <v>0</v>
      </c>
      <c r="J6" s="21">
        <f t="shared" si="6"/>
        <v>58000</v>
      </c>
      <c r="K6" s="8" t="s">
        <v>147</v>
      </c>
      <c r="L6" s="9">
        <v>-9000</v>
      </c>
      <c r="M6" s="9"/>
      <c r="N6" s="55">
        <v>0</v>
      </c>
      <c r="O6" s="21">
        <f t="shared" si="7"/>
        <v>31000</v>
      </c>
      <c r="P6" s="8" t="s">
        <v>147</v>
      </c>
      <c r="Q6" s="9">
        <v>-9000</v>
      </c>
      <c r="R6" s="9"/>
      <c r="S6" s="55">
        <v>0</v>
      </c>
      <c r="T6" s="21">
        <f t="shared" si="8"/>
        <v>16000</v>
      </c>
      <c r="U6" s="66">
        <f t="shared" si="0"/>
        <v>23</v>
      </c>
      <c r="V6" s="67">
        <f t="shared" si="1"/>
        <v>-4</v>
      </c>
      <c r="W6" s="68">
        <f t="shared" si="2"/>
        <v>-19</v>
      </c>
      <c r="Y6" s="8"/>
      <c r="Z6" s="41"/>
      <c r="AA6" s="32">
        <v>1</v>
      </c>
      <c r="AB6" s="32"/>
      <c r="AC6" s="32">
        <v>7</v>
      </c>
      <c r="AD6" s="36" t="s">
        <v>144</v>
      </c>
      <c r="AE6" s="47" t="s">
        <v>145</v>
      </c>
      <c r="AF6" s="48" t="s">
        <v>83</v>
      </c>
      <c r="AG6" s="48" t="s">
        <v>84</v>
      </c>
      <c r="AH6" s="48" t="s">
        <v>85</v>
      </c>
      <c r="AI6" s="48" t="s">
        <v>82</v>
      </c>
      <c r="AJ6" s="48" t="s">
        <v>82</v>
      </c>
      <c r="AK6" s="48" t="s">
        <v>82</v>
      </c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10">IF($E7="","",IF(AND(B6=3,B7=1),_xlfn.SWITCH(A6,"東","南","南","西","西","北","北","東"),A6))</f>
        <v>東</v>
      </c>
      <c r="B7" s="18">
        <f t="shared" si="9"/>
        <v>3</v>
      </c>
      <c r="C7" s="18">
        <f t="shared" ref="C7:C30" si="11">IF($E7="","",IF(F6="チョンボ",C6,IF($E6=$E7,C6+1,0)))</f>
        <v>1</v>
      </c>
      <c r="D7" s="18">
        <f t="shared" si="5"/>
        <v>0</v>
      </c>
      <c r="E7" s="4" t="s">
        <v>135</v>
      </c>
      <c r="F7" s="8"/>
      <c r="G7" s="9"/>
      <c r="H7" s="9"/>
      <c r="I7" s="55"/>
      <c r="J7" s="21">
        <f t="shared" si="6"/>
        <v>58000</v>
      </c>
      <c r="K7" s="8" t="s">
        <v>143</v>
      </c>
      <c r="L7" s="9">
        <v>-16000</v>
      </c>
      <c r="M7" s="9"/>
      <c r="N7" s="55">
        <v>-1000</v>
      </c>
      <c r="O7" s="21">
        <f t="shared" si="7"/>
        <v>14000</v>
      </c>
      <c r="P7" s="8" t="s">
        <v>142</v>
      </c>
      <c r="Q7" s="9">
        <v>16000</v>
      </c>
      <c r="R7" s="9"/>
      <c r="S7" s="55">
        <v>1000</v>
      </c>
      <c r="T7" s="21">
        <f t="shared" si="8"/>
        <v>33000</v>
      </c>
      <c r="U7" s="66">
        <f t="shared" si="0"/>
        <v>23</v>
      </c>
      <c r="V7" s="67">
        <f t="shared" si="1"/>
        <v>-21</v>
      </c>
      <c r="W7" s="68">
        <f t="shared" si="2"/>
        <v>-2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>
        <v>8</v>
      </c>
      <c r="BT7" s="36" t="s">
        <v>144</v>
      </c>
      <c r="BU7" s="47" t="s">
        <v>145</v>
      </c>
      <c r="BV7" s="48" t="s">
        <v>105</v>
      </c>
      <c r="BW7" s="48" t="s">
        <v>93</v>
      </c>
      <c r="BX7" s="48" t="s">
        <v>82</v>
      </c>
      <c r="BY7" s="48" t="s">
        <v>87</v>
      </c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10"/>
        <v>南</v>
      </c>
      <c r="B8" s="18">
        <f t="shared" si="9"/>
        <v>1</v>
      </c>
      <c r="C8" s="18">
        <f t="shared" si="11"/>
        <v>0</v>
      </c>
      <c r="D8" s="18">
        <f t="shared" si="5"/>
        <v>0</v>
      </c>
      <c r="E8" s="4" t="s">
        <v>137</v>
      </c>
      <c r="F8" s="8"/>
      <c r="G8" s="9"/>
      <c r="H8" s="9"/>
      <c r="I8" s="55"/>
      <c r="J8" s="21">
        <f t="shared" si="6"/>
        <v>58000</v>
      </c>
      <c r="K8" s="8" t="s">
        <v>142</v>
      </c>
      <c r="L8" s="9">
        <v>18000</v>
      </c>
      <c r="M8" s="9"/>
      <c r="N8" s="55">
        <v>0</v>
      </c>
      <c r="O8" s="21">
        <f t="shared" si="7"/>
        <v>32000</v>
      </c>
      <c r="P8" s="8" t="s">
        <v>143</v>
      </c>
      <c r="Q8" s="9">
        <v>-18000</v>
      </c>
      <c r="R8" s="9"/>
      <c r="S8" s="55">
        <v>0</v>
      </c>
      <c r="T8" s="21">
        <f t="shared" si="8"/>
        <v>15000</v>
      </c>
      <c r="U8" s="66">
        <f t="shared" si="0"/>
        <v>23</v>
      </c>
      <c r="V8" s="67">
        <f t="shared" si="1"/>
        <v>-3</v>
      </c>
      <c r="W8" s="68">
        <f t="shared" si="2"/>
        <v>-20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>
        <v>1</v>
      </c>
      <c r="AW8" s="32"/>
      <c r="AX8" s="32">
        <v>7</v>
      </c>
      <c r="AY8" s="36" t="s">
        <v>144</v>
      </c>
      <c r="AZ8" s="47" t="s">
        <v>145</v>
      </c>
      <c r="BA8" s="48" t="s">
        <v>148</v>
      </c>
      <c r="BB8" s="48" t="s">
        <v>84</v>
      </c>
      <c r="BC8" s="48" t="s">
        <v>85</v>
      </c>
      <c r="BD8" s="48" t="s">
        <v>80</v>
      </c>
      <c r="BE8" s="48" t="s">
        <v>80</v>
      </c>
      <c r="BF8" s="48" t="s">
        <v>82</v>
      </c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>
        <v>1</v>
      </c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10"/>
        <v>南</v>
      </c>
      <c r="B9" s="18">
        <f t="shared" si="9"/>
        <v>1</v>
      </c>
      <c r="C9" s="18">
        <f t="shared" si="11"/>
        <v>1</v>
      </c>
      <c r="D9" s="18">
        <f t="shared" si="5"/>
        <v>0</v>
      </c>
      <c r="E9" s="4" t="s">
        <v>137</v>
      </c>
      <c r="F9" s="8" t="s">
        <v>147</v>
      </c>
      <c r="G9" s="9">
        <v>-3900</v>
      </c>
      <c r="H9" s="9"/>
      <c r="I9" s="55">
        <v>-500</v>
      </c>
      <c r="J9" s="21">
        <f t="shared" si="6"/>
        <v>53600</v>
      </c>
      <c r="K9" s="8" t="s">
        <v>146</v>
      </c>
      <c r="L9" s="9">
        <v>7800</v>
      </c>
      <c r="M9" s="9"/>
      <c r="N9" s="55">
        <v>1000</v>
      </c>
      <c r="O9" s="21">
        <f t="shared" si="7"/>
        <v>40800</v>
      </c>
      <c r="P9" s="8" t="s">
        <v>147</v>
      </c>
      <c r="Q9" s="9">
        <v>-3900</v>
      </c>
      <c r="R9" s="9"/>
      <c r="S9" s="55">
        <v>-500</v>
      </c>
      <c r="T9" s="21">
        <f t="shared" si="8"/>
        <v>10600</v>
      </c>
      <c r="U9" s="66">
        <f t="shared" si="0"/>
        <v>18.600000000000001</v>
      </c>
      <c r="V9" s="67">
        <f t="shared" si="1"/>
        <v>5.8</v>
      </c>
      <c r="W9" s="68">
        <f t="shared" si="2"/>
        <v>-24.4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>
        <v>1</v>
      </c>
      <c r="AW9" s="32"/>
      <c r="AX9" s="32">
        <v>4</v>
      </c>
      <c r="AY9" s="36">
        <v>20</v>
      </c>
      <c r="AZ9" s="47" t="s">
        <v>145</v>
      </c>
      <c r="BA9" s="48" t="s">
        <v>84</v>
      </c>
      <c r="BB9" s="48" t="s">
        <v>83</v>
      </c>
      <c r="BC9" s="48" t="s">
        <v>82</v>
      </c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10"/>
        <v>南</v>
      </c>
      <c r="B10" s="18">
        <f t="shared" si="9"/>
        <v>1</v>
      </c>
      <c r="C10" s="18">
        <f t="shared" si="11"/>
        <v>2</v>
      </c>
      <c r="D10" s="18">
        <f t="shared" si="5"/>
        <v>0</v>
      </c>
      <c r="E10" s="4" t="s">
        <v>137</v>
      </c>
      <c r="F10" s="8" t="s">
        <v>146</v>
      </c>
      <c r="G10" s="9">
        <v>16000</v>
      </c>
      <c r="H10" s="9"/>
      <c r="I10" s="55">
        <v>2000</v>
      </c>
      <c r="J10" s="21">
        <f t="shared" si="6"/>
        <v>71600</v>
      </c>
      <c r="K10" s="8" t="s">
        <v>147</v>
      </c>
      <c r="L10" s="9">
        <v>-10000</v>
      </c>
      <c r="M10" s="9"/>
      <c r="N10" s="55">
        <v>-1000</v>
      </c>
      <c r="O10" s="21">
        <f t="shared" si="7"/>
        <v>29800</v>
      </c>
      <c r="P10" s="8" t="s">
        <v>147</v>
      </c>
      <c r="Q10" s="9">
        <v>-6000</v>
      </c>
      <c r="R10" s="9"/>
      <c r="S10" s="55">
        <v>-1000</v>
      </c>
      <c r="T10" s="21">
        <f t="shared" si="8"/>
        <v>3600</v>
      </c>
      <c r="U10" s="66">
        <f t="shared" si="0"/>
        <v>36.6</v>
      </c>
      <c r="V10" s="67">
        <f t="shared" si="1"/>
        <v>-5.2</v>
      </c>
      <c r="W10" s="68">
        <f t="shared" si="2"/>
        <v>-31.4</v>
      </c>
      <c r="Y10" s="8"/>
      <c r="Z10" s="41"/>
      <c r="AA10" s="32"/>
      <c r="AB10" s="32">
        <v>1</v>
      </c>
      <c r="AC10" s="32">
        <v>8</v>
      </c>
      <c r="AD10" s="36" t="s">
        <v>144</v>
      </c>
      <c r="AE10" s="47" t="s">
        <v>87</v>
      </c>
      <c r="AF10" s="48" t="s">
        <v>87</v>
      </c>
      <c r="AG10" s="48" t="s">
        <v>82</v>
      </c>
      <c r="AH10" s="48" t="s">
        <v>82</v>
      </c>
      <c r="AI10" s="48" t="s">
        <v>80</v>
      </c>
      <c r="AJ10" s="48" t="s">
        <v>80</v>
      </c>
      <c r="AK10" s="48" t="s">
        <v>80</v>
      </c>
      <c r="AL10" s="48" t="s">
        <v>80</v>
      </c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>
        <v>1</v>
      </c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10"/>
        <v>南</v>
      </c>
      <c r="B11" s="18">
        <f t="shared" si="9"/>
        <v>2</v>
      </c>
      <c r="C11" s="18">
        <f t="shared" si="11"/>
        <v>0</v>
      </c>
      <c r="D11" s="18">
        <f t="shared" si="5"/>
        <v>0</v>
      </c>
      <c r="E11" s="4" t="s">
        <v>139</v>
      </c>
      <c r="F11" s="8" t="s">
        <v>142</v>
      </c>
      <c r="G11" s="9">
        <v>8000</v>
      </c>
      <c r="H11" s="9"/>
      <c r="I11" s="55">
        <v>0</v>
      </c>
      <c r="J11" s="21">
        <f t="shared" si="6"/>
        <v>79600</v>
      </c>
      <c r="K11" s="8"/>
      <c r="L11" s="9"/>
      <c r="M11" s="9"/>
      <c r="N11" s="55"/>
      <c r="O11" s="21">
        <f t="shared" si="7"/>
        <v>29800</v>
      </c>
      <c r="P11" s="8" t="s">
        <v>143</v>
      </c>
      <c r="Q11" s="9">
        <v>-8000</v>
      </c>
      <c r="R11" s="9"/>
      <c r="S11" s="55">
        <v>0</v>
      </c>
      <c r="T11" s="21">
        <f t="shared" si="8"/>
        <v>-4400</v>
      </c>
      <c r="U11" s="66">
        <f t="shared" si="0"/>
        <v>44.6</v>
      </c>
      <c r="V11" s="67">
        <f t="shared" si="1"/>
        <v>-5.2</v>
      </c>
      <c r="W11" s="68">
        <f t="shared" si="2"/>
        <v>-39.4</v>
      </c>
      <c r="Y11" s="8"/>
      <c r="Z11" s="41"/>
      <c r="AA11" s="32">
        <v>1</v>
      </c>
      <c r="AB11" s="32"/>
      <c r="AC11" s="32">
        <v>4</v>
      </c>
      <c r="AD11" s="36">
        <v>30</v>
      </c>
      <c r="AE11" s="47" t="s">
        <v>145</v>
      </c>
      <c r="AF11" s="48" t="s">
        <v>148</v>
      </c>
      <c r="AG11" s="48" t="s">
        <v>84</v>
      </c>
      <c r="AH11" s="48" t="s">
        <v>82</v>
      </c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>
        <v>1</v>
      </c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10"/>
        <v/>
      </c>
      <c r="B12" s="18" t="str">
        <f t="shared" si="9"/>
        <v/>
      </c>
      <c r="C12" s="18" t="str">
        <f t="shared" si="11"/>
        <v/>
      </c>
      <c r="D12" s="18" t="str">
        <f t="shared" si="5"/>
        <v/>
      </c>
      <c r="E12" s="4"/>
      <c r="F12" s="8"/>
      <c r="G12" s="9"/>
      <c r="H12" s="9"/>
      <c r="I12" s="55"/>
      <c r="J12" s="21" t="str">
        <f t="shared" si="6"/>
        <v/>
      </c>
      <c r="K12" s="8"/>
      <c r="L12" s="9"/>
      <c r="M12" s="9"/>
      <c r="N12" s="55"/>
      <c r="O12" s="21" t="str">
        <f t="shared" si="7"/>
        <v/>
      </c>
      <c r="P12" s="8"/>
      <c r="Q12" s="9"/>
      <c r="R12" s="9"/>
      <c r="S12" s="55"/>
      <c r="T12" s="21" t="str">
        <f t="shared" si="8"/>
        <v/>
      </c>
      <c r="U12" s="66" t="str">
        <f t="shared" si="0"/>
        <v/>
      </c>
      <c r="V12" s="67" t="str">
        <f t="shared" si="1"/>
        <v/>
      </c>
      <c r="W12" s="68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10"/>
        <v/>
      </c>
      <c r="B13" s="18" t="str">
        <f t="shared" si="9"/>
        <v/>
      </c>
      <c r="C13" s="18" t="str">
        <f t="shared" si="11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6" t="str">
        <f t="shared" si="0"/>
        <v/>
      </c>
      <c r="V13" s="67" t="str">
        <f t="shared" si="1"/>
        <v/>
      </c>
      <c r="W13" s="68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10"/>
        <v/>
      </c>
      <c r="B14" s="18" t="str">
        <f t="shared" si="9"/>
        <v/>
      </c>
      <c r="C14" s="18" t="str">
        <f t="shared" si="11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6" t="str">
        <f t="shared" si="0"/>
        <v/>
      </c>
      <c r="V14" s="67" t="str">
        <f t="shared" si="1"/>
        <v/>
      </c>
      <c r="W14" s="68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10"/>
        <v/>
      </c>
      <c r="B15" s="18" t="str">
        <f t="shared" si="9"/>
        <v/>
      </c>
      <c r="C15" s="18" t="str">
        <f t="shared" si="11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6" t="str">
        <f t="shared" si="0"/>
        <v/>
      </c>
      <c r="V15" s="67" t="str">
        <f t="shared" si="1"/>
        <v/>
      </c>
      <c r="W15" s="68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10"/>
        <v/>
      </c>
      <c r="B16" s="18" t="str">
        <f t="shared" si="9"/>
        <v/>
      </c>
      <c r="C16" s="18" t="str">
        <f t="shared" si="11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6" t="str">
        <f t="shared" si="0"/>
        <v/>
      </c>
      <c r="V16" s="67" t="str">
        <f t="shared" si="1"/>
        <v/>
      </c>
      <c r="W16" s="68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10"/>
        <v/>
      </c>
      <c r="B17" s="18" t="str">
        <f t="shared" si="9"/>
        <v/>
      </c>
      <c r="C17" s="18" t="str">
        <f t="shared" si="11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6" t="str">
        <f t="shared" si="0"/>
        <v/>
      </c>
      <c r="V17" s="67" t="str">
        <f t="shared" si="1"/>
        <v/>
      </c>
      <c r="W17" s="68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10"/>
        <v/>
      </c>
      <c r="B18" s="18" t="str">
        <f t="shared" si="9"/>
        <v/>
      </c>
      <c r="C18" s="18" t="str">
        <f t="shared" si="11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6" t="str">
        <f t="shared" si="0"/>
        <v/>
      </c>
      <c r="V18" s="67" t="str">
        <f t="shared" si="1"/>
        <v/>
      </c>
      <c r="W18" s="68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10"/>
        <v/>
      </c>
      <c r="B19" s="18" t="str">
        <f t="shared" si="9"/>
        <v/>
      </c>
      <c r="C19" s="18" t="str">
        <f t="shared" si="11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6" t="str">
        <f t="shared" si="0"/>
        <v/>
      </c>
      <c r="V19" s="67" t="str">
        <f t="shared" si="1"/>
        <v/>
      </c>
      <c r="W19" s="68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10"/>
        <v/>
      </c>
      <c r="B20" s="18" t="str">
        <f t="shared" si="9"/>
        <v/>
      </c>
      <c r="C20" s="18" t="str">
        <f t="shared" si="11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6" t="str">
        <f t="shared" si="0"/>
        <v/>
      </c>
      <c r="V20" s="67" t="str">
        <f t="shared" si="1"/>
        <v/>
      </c>
      <c r="W20" s="68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10"/>
        <v/>
      </c>
      <c r="B21" s="18" t="str">
        <f t="shared" si="9"/>
        <v/>
      </c>
      <c r="C21" s="18" t="str">
        <f t="shared" si="11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6" t="str">
        <f t="shared" si="0"/>
        <v/>
      </c>
      <c r="V21" s="67" t="str">
        <f t="shared" si="1"/>
        <v/>
      </c>
      <c r="W21" s="68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10"/>
        <v/>
      </c>
      <c r="B22" s="18" t="str">
        <f t="shared" si="9"/>
        <v/>
      </c>
      <c r="C22" s="18" t="str">
        <f t="shared" si="11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6" t="str">
        <f t="shared" si="0"/>
        <v/>
      </c>
      <c r="V22" s="67" t="str">
        <f t="shared" si="1"/>
        <v/>
      </c>
      <c r="W22" s="68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10"/>
        <v/>
      </c>
      <c r="B23" s="18" t="str">
        <f t="shared" si="9"/>
        <v/>
      </c>
      <c r="C23" s="18" t="str">
        <f t="shared" si="11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6" t="str">
        <f t="shared" si="0"/>
        <v/>
      </c>
      <c r="V23" s="67" t="str">
        <f t="shared" si="1"/>
        <v/>
      </c>
      <c r="W23" s="68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10"/>
        <v/>
      </c>
      <c r="B24" s="18" t="str">
        <f t="shared" si="9"/>
        <v/>
      </c>
      <c r="C24" s="18" t="str">
        <f t="shared" si="11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6" t="str">
        <f t="shared" si="0"/>
        <v/>
      </c>
      <c r="V24" s="67" t="str">
        <f t="shared" si="1"/>
        <v/>
      </c>
      <c r="W24" s="68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10"/>
        <v/>
      </c>
      <c r="B25" s="18" t="str">
        <f t="shared" si="9"/>
        <v/>
      </c>
      <c r="C25" s="18" t="str">
        <f t="shared" si="11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6" t="str">
        <f t="shared" si="0"/>
        <v/>
      </c>
      <c r="V25" s="67" t="str">
        <f t="shared" si="1"/>
        <v/>
      </c>
      <c r="W25" s="68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10"/>
        <v/>
      </c>
      <c r="B26" s="18" t="str">
        <f t="shared" si="9"/>
        <v/>
      </c>
      <c r="C26" s="18" t="str">
        <f t="shared" si="11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6" t="str">
        <f t="shared" si="0"/>
        <v/>
      </c>
      <c r="V26" s="67" t="str">
        <f t="shared" si="1"/>
        <v/>
      </c>
      <c r="W26" s="68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10"/>
        <v/>
      </c>
      <c r="B27" s="18" t="str">
        <f t="shared" si="9"/>
        <v/>
      </c>
      <c r="C27" s="18" t="str">
        <f t="shared" si="11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6" t="str">
        <f t="shared" si="0"/>
        <v/>
      </c>
      <c r="V27" s="67" t="str">
        <f t="shared" si="1"/>
        <v/>
      </c>
      <c r="W27" s="68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10"/>
        <v/>
      </c>
      <c r="B28" s="18" t="str">
        <f t="shared" si="9"/>
        <v/>
      </c>
      <c r="C28" s="18" t="str">
        <f t="shared" si="11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6" t="str">
        <f t="shared" si="0"/>
        <v/>
      </c>
      <c r="V28" s="67" t="str">
        <f t="shared" si="1"/>
        <v/>
      </c>
      <c r="W28" s="68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10"/>
        <v/>
      </c>
      <c r="B29" s="18" t="str">
        <f t="shared" si="9"/>
        <v/>
      </c>
      <c r="C29" s="18" t="str">
        <f t="shared" si="11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6" t="str">
        <f t="shared" si="0"/>
        <v/>
      </c>
      <c r="V29" s="67" t="str">
        <f t="shared" si="1"/>
        <v/>
      </c>
      <c r="W29" s="68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10"/>
        <v/>
      </c>
      <c r="B30" s="19" t="str">
        <f t="shared" si="9"/>
        <v/>
      </c>
      <c r="C30" s="19" t="str">
        <f t="shared" si="11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9" t="str">
        <f t="shared" si="0"/>
        <v/>
      </c>
      <c r="V30" s="70" t="str">
        <f t="shared" si="1"/>
        <v/>
      </c>
      <c r="W30" s="71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D67F80-7540-46F7-ABD1-305AD8DE6CF9}">
  <sheetPr codeName="Sheet10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136</v>
      </c>
      <c r="G1" s="74"/>
      <c r="H1" s="74"/>
      <c r="I1" s="83"/>
      <c r="J1" s="75"/>
      <c r="K1" s="72" t="s">
        <v>138</v>
      </c>
      <c r="L1" s="74"/>
      <c r="M1" s="74"/>
      <c r="N1" s="83"/>
      <c r="O1" s="75"/>
      <c r="P1" s="72" t="s">
        <v>140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りくと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れんたろう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61" t="str">
        <f>$F$1</f>
        <v>だいち</v>
      </c>
      <c r="V2" s="62" t="str">
        <f>$K$1</f>
        <v>りくと</v>
      </c>
      <c r="W2" s="16" t="str">
        <f>$P$1</f>
        <v>れんたろう</v>
      </c>
      <c r="Y2" s="57" t="s">
        <v>24</v>
      </c>
      <c r="Z2" s="58" t="s">
        <v>27</v>
      </c>
      <c r="AA2" s="59" t="s">
        <v>25</v>
      </c>
      <c r="AB2" s="59" t="s">
        <v>128</v>
      </c>
      <c r="AC2" s="59" t="s">
        <v>19</v>
      </c>
      <c r="AD2" s="60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57" t="s">
        <v>24</v>
      </c>
      <c r="AU2" s="58" t="s">
        <v>27</v>
      </c>
      <c r="AV2" s="59" t="s">
        <v>25</v>
      </c>
      <c r="AW2" s="59" t="s">
        <v>129</v>
      </c>
      <c r="AX2" s="59" t="s">
        <v>19</v>
      </c>
      <c r="AY2" s="60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57" t="s">
        <v>24</v>
      </c>
      <c r="BP2" s="58" t="s">
        <v>27</v>
      </c>
      <c r="BQ2" s="59" t="s">
        <v>25</v>
      </c>
      <c r="BR2" s="59" t="s">
        <v>129</v>
      </c>
      <c r="BS2" s="59" t="s">
        <v>19</v>
      </c>
      <c r="BT2" s="60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63">
        <f>IF($J3="","",ROUND(($J3-$J$3)/1000,1))</f>
        <v>0</v>
      </c>
      <c r="V3" s="64">
        <f>IF($O3="","",ROUND(($O3-$O$3)/1000,1))</f>
        <v>0</v>
      </c>
      <c r="W3" s="65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 t="s">
        <v>11</v>
      </c>
      <c r="CE3" s="45" t="s">
        <v>11</v>
      </c>
      <c r="CF3" s="45" t="s">
        <v>11</v>
      </c>
      <c r="CG3" s="45" t="s">
        <v>11</v>
      </c>
      <c r="CH3" s="45" t="s">
        <v>11</v>
      </c>
      <c r="CI3" s="46" t="s">
        <v>11</v>
      </c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142</v>
      </c>
      <c r="G4" s="9">
        <v>12000</v>
      </c>
      <c r="H4" s="9"/>
      <c r="I4" s="55">
        <v>0</v>
      </c>
      <c r="J4" s="21">
        <f>IF(COUNTA($F4,$K4,$P4)&gt;0,J3+SUM(G4:I4),"")</f>
        <v>47000</v>
      </c>
      <c r="K4" s="8"/>
      <c r="L4" s="9"/>
      <c r="M4" s="9"/>
      <c r="N4" s="55"/>
      <c r="O4" s="21">
        <f>IF(COUNTA($F4,$K4,$P4)&gt;0,O3+SUM(L4:N4),"")</f>
        <v>35000</v>
      </c>
      <c r="P4" s="8" t="s">
        <v>143</v>
      </c>
      <c r="Q4" s="9">
        <v>-12000</v>
      </c>
      <c r="R4" s="9"/>
      <c r="S4" s="55">
        <v>0</v>
      </c>
      <c r="T4" s="21">
        <f>IF(COUNTA($F4,$K4,$P4)&gt;0,T3+SUM(Q4:S4),"")</f>
        <v>23000</v>
      </c>
      <c r="U4" s="66">
        <f t="shared" ref="U4:U30" si="0">IF($J4="","",ROUND(($J4-$J$3)/1000,1))</f>
        <v>12</v>
      </c>
      <c r="V4" s="67">
        <f t="shared" ref="V4:V30" si="1">IF($O4="","",ROUND(($O4-$O$3)/1000,1))</f>
        <v>0</v>
      </c>
      <c r="W4" s="68">
        <f t="shared" ref="W4:W30" si="2">IF($T4="","",ROUND(($T4-$T$3)/1000,1))</f>
        <v>-12</v>
      </c>
      <c r="Y4" s="8"/>
      <c r="Z4" s="41"/>
      <c r="AA4" s="32"/>
      <c r="AB4" s="32"/>
      <c r="AC4" s="32">
        <v>7</v>
      </c>
      <c r="AD4" s="36" t="s">
        <v>144</v>
      </c>
      <c r="AE4" s="47" t="s">
        <v>105</v>
      </c>
      <c r="AF4" s="48" t="s">
        <v>102</v>
      </c>
      <c r="AG4" s="48" t="s">
        <v>82</v>
      </c>
      <c r="AH4" s="48" t="s">
        <v>82</v>
      </c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 t="shared" ref="C5:C30" si="4">IF($E5="","",IF(F4="チョンボ",C4,IF($E4=$E5,C4+1,0)))</f>
        <v>0</v>
      </c>
      <c r="D5" s="18">
        <f t="shared" ref="D5:D30" si="5">IF($E5="","",IF(OR($F4="流局",$F4="チョンボ"),D4+($H4+$M4+$R4)/-1000,0))</f>
        <v>0</v>
      </c>
      <c r="E5" s="4" t="s">
        <v>135</v>
      </c>
      <c r="F5" s="8" t="s">
        <v>147</v>
      </c>
      <c r="G5" s="9">
        <v>-5000</v>
      </c>
      <c r="H5" s="9"/>
      <c r="I5" s="55">
        <v>0</v>
      </c>
      <c r="J5" s="21">
        <f t="shared" ref="J5:J30" si="6">IF(COUNTA($F5,$K5,$P5)&gt;0,J4+SUM(G5:I5),"")</f>
        <v>42000</v>
      </c>
      <c r="K5" s="8" t="s">
        <v>146</v>
      </c>
      <c r="L5" s="9">
        <v>8000</v>
      </c>
      <c r="M5" s="9"/>
      <c r="N5" s="55">
        <v>0</v>
      </c>
      <c r="O5" s="21">
        <f t="shared" ref="O5:O30" si="7">IF(COUNTA($F5,$K5,$P5)&gt;0,O4+SUM(L5:N5),"")</f>
        <v>43000</v>
      </c>
      <c r="P5" s="8" t="s">
        <v>147</v>
      </c>
      <c r="Q5" s="9">
        <v>-3000</v>
      </c>
      <c r="R5" s="9"/>
      <c r="S5" s="55">
        <v>0</v>
      </c>
      <c r="T5" s="21">
        <f t="shared" ref="T5:T30" si="8">IF(COUNTA($F5,$K5,$P5)&gt;0,T4+SUM(Q5:S5),"")</f>
        <v>20000</v>
      </c>
      <c r="U5" s="66">
        <f t="shared" si="0"/>
        <v>7</v>
      </c>
      <c r="V5" s="67">
        <f t="shared" si="1"/>
        <v>8</v>
      </c>
      <c r="W5" s="68">
        <f t="shared" si="2"/>
        <v>-15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>
        <v>4</v>
      </c>
      <c r="AY5" s="36">
        <v>30</v>
      </c>
      <c r="AZ5" s="47" t="s">
        <v>145</v>
      </c>
      <c r="BA5" s="48" t="s">
        <v>83</v>
      </c>
      <c r="BB5" s="48" t="s">
        <v>93</v>
      </c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3</v>
      </c>
      <c r="C6" s="18">
        <f t="shared" si="4"/>
        <v>0</v>
      </c>
      <c r="D6" s="18">
        <f t="shared" si="5"/>
        <v>0</v>
      </c>
      <c r="E6" s="4" t="s">
        <v>137</v>
      </c>
      <c r="F6" s="8"/>
      <c r="G6" s="9"/>
      <c r="H6" s="9"/>
      <c r="I6" s="55"/>
      <c r="J6" s="21">
        <f t="shared" si="6"/>
        <v>42000</v>
      </c>
      <c r="K6" s="8" t="s">
        <v>142</v>
      </c>
      <c r="L6" s="9">
        <v>24000</v>
      </c>
      <c r="M6" s="9">
        <v>1000</v>
      </c>
      <c r="N6" s="55">
        <v>0</v>
      </c>
      <c r="O6" s="21">
        <f t="shared" si="7"/>
        <v>68000</v>
      </c>
      <c r="P6" s="8" t="s">
        <v>143</v>
      </c>
      <c r="Q6" s="9">
        <v>-24000</v>
      </c>
      <c r="R6" s="9">
        <v>-1000</v>
      </c>
      <c r="S6" s="55">
        <v>0</v>
      </c>
      <c r="T6" s="21">
        <f t="shared" si="8"/>
        <v>-5000</v>
      </c>
      <c r="U6" s="66">
        <f t="shared" si="0"/>
        <v>7</v>
      </c>
      <c r="V6" s="67">
        <f t="shared" si="1"/>
        <v>33</v>
      </c>
      <c r="W6" s="68">
        <f t="shared" si="2"/>
        <v>-40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>
        <v>1</v>
      </c>
      <c r="AW6" s="32"/>
      <c r="AX6" s="32">
        <v>9</v>
      </c>
      <c r="AY6" s="36" t="s">
        <v>144</v>
      </c>
      <c r="AZ6" s="47" t="s">
        <v>145</v>
      </c>
      <c r="BA6" s="48" t="s">
        <v>105</v>
      </c>
      <c r="BB6" s="48" t="s">
        <v>87</v>
      </c>
      <c r="BC6" s="48" t="s">
        <v>87</v>
      </c>
      <c r="BD6" s="48" t="s">
        <v>87</v>
      </c>
      <c r="BE6" s="48" t="s">
        <v>81</v>
      </c>
      <c r="BF6" s="48" t="s">
        <v>82</v>
      </c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/>
      </c>
      <c r="B7" s="18" t="str">
        <f t="shared" si="9"/>
        <v/>
      </c>
      <c r="C7" s="18" t="str">
        <f t="shared" si="4"/>
        <v/>
      </c>
      <c r="D7" s="18" t="str">
        <f t="shared" si="5"/>
        <v/>
      </c>
      <c r="E7" s="4"/>
      <c r="F7" s="8"/>
      <c r="G7" s="9"/>
      <c r="H7" s="9"/>
      <c r="I7" s="55"/>
      <c r="J7" s="21" t="str">
        <f t="shared" si="6"/>
        <v/>
      </c>
      <c r="K7" s="8"/>
      <c r="L7" s="9"/>
      <c r="M7" s="9"/>
      <c r="N7" s="55"/>
      <c r="O7" s="21" t="str">
        <f t="shared" si="7"/>
        <v/>
      </c>
      <c r="P7" s="8"/>
      <c r="Q7" s="9"/>
      <c r="R7" s="9"/>
      <c r="S7" s="55"/>
      <c r="T7" s="21" t="str">
        <f t="shared" si="8"/>
        <v/>
      </c>
      <c r="U7" s="66" t="str">
        <f t="shared" si="0"/>
        <v/>
      </c>
      <c r="V7" s="67" t="str">
        <f t="shared" si="1"/>
        <v/>
      </c>
      <c r="W7" s="68" t="str">
        <f t="shared" si="2"/>
        <v/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/>
      </c>
      <c r="B8" s="18" t="str">
        <f t="shared" si="9"/>
        <v/>
      </c>
      <c r="C8" s="18" t="str">
        <f t="shared" si="4"/>
        <v/>
      </c>
      <c r="D8" s="18" t="str">
        <f t="shared" si="5"/>
        <v/>
      </c>
      <c r="E8" s="4"/>
      <c r="F8" s="8"/>
      <c r="G8" s="9"/>
      <c r="H8" s="9"/>
      <c r="I8" s="55"/>
      <c r="J8" s="21" t="str">
        <f t="shared" si="6"/>
        <v/>
      </c>
      <c r="K8" s="8"/>
      <c r="L8" s="9"/>
      <c r="M8" s="9"/>
      <c r="N8" s="55"/>
      <c r="O8" s="21" t="str">
        <f t="shared" si="7"/>
        <v/>
      </c>
      <c r="P8" s="8"/>
      <c r="Q8" s="9"/>
      <c r="R8" s="9"/>
      <c r="S8" s="55"/>
      <c r="T8" s="21" t="str">
        <f t="shared" si="8"/>
        <v/>
      </c>
      <c r="U8" s="66" t="str">
        <f t="shared" si="0"/>
        <v/>
      </c>
      <c r="V8" s="67" t="str">
        <f t="shared" si="1"/>
        <v/>
      </c>
      <c r="W8" s="68" t="str">
        <f t="shared" si="2"/>
        <v/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/>
      </c>
      <c r="B9" s="18" t="str">
        <f t="shared" si="9"/>
        <v/>
      </c>
      <c r="C9" s="18" t="str">
        <f t="shared" si="4"/>
        <v/>
      </c>
      <c r="D9" s="18" t="str">
        <f t="shared" si="5"/>
        <v/>
      </c>
      <c r="E9" s="4"/>
      <c r="F9" s="8"/>
      <c r="G9" s="9"/>
      <c r="H9" s="9"/>
      <c r="I9" s="55"/>
      <c r="J9" s="21" t="str">
        <f t="shared" si="6"/>
        <v/>
      </c>
      <c r="K9" s="8"/>
      <c r="L9" s="9"/>
      <c r="M9" s="9"/>
      <c r="N9" s="55"/>
      <c r="O9" s="21" t="str">
        <f t="shared" si="7"/>
        <v/>
      </c>
      <c r="P9" s="8"/>
      <c r="Q9" s="9"/>
      <c r="R9" s="9"/>
      <c r="S9" s="55"/>
      <c r="T9" s="21" t="str">
        <f t="shared" si="8"/>
        <v/>
      </c>
      <c r="U9" s="66" t="str">
        <f t="shared" si="0"/>
        <v/>
      </c>
      <c r="V9" s="67" t="str">
        <f t="shared" si="1"/>
        <v/>
      </c>
      <c r="W9" s="68" t="str">
        <f t="shared" si="2"/>
        <v/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/>
      </c>
      <c r="B10" s="18" t="str">
        <f t="shared" si="9"/>
        <v/>
      </c>
      <c r="C10" s="18" t="str">
        <f t="shared" si="4"/>
        <v/>
      </c>
      <c r="D10" s="18" t="str">
        <f t="shared" si="5"/>
        <v/>
      </c>
      <c r="E10" s="4"/>
      <c r="F10" s="8"/>
      <c r="G10" s="9"/>
      <c r="H10" s="9"/>
      <c r="I10" s="55"/>
      <c r="J10" s="21" t="str">
        <f t="shared" si="6"/>
        <v/>
      </c>
      <c r="K10" s="8"/>
      <c r="L10" s="9"/>
      <c r="M10" s="9"/>
      <c r="N10" s="55"/>
      <c r="O10" s="21" t="str">
        <f t="shared" si="7"/>
        <v/>
      </c>
      <c r="P10" s="8"/>
      <c r="Q10" s="9"/>
      <c r="R10" s="9"/>
      <c r="S10" s="55"/>
      <c r="T10" s="21" t="str">
        <f t="shared" si="8"/>
        <v/>
      </c>
      <c r="U10" s="66" t="str">
        <f t="shared" si="0"/>
        <v/>
      </c>
      <c r="V10" s="67" t="str">
        <f t="shared" si="1"/>
        <v/>
      </c>
      <c r="W10" s="68" t="str">
        <f t="shared" si="2"/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/>
      </c>
      <c r="B11" s="18" t="str">
        <f t="shared" si="9"/>
        <v/>
      </c>
      <c r="C11" s="18" t="str">
        <f t="shared" si="4"/>
        <v/>
      </c>
      <c r="D11" s="18" t="str">
        <f t="shared" si="5"/>
        <v/>
      </c>
      <c r="E11" s="4"/>
      <c r="F11" s="8"/>
      <c r="G11" s="9"/>
      <c r="H11" s="9"/>
      <c r="I11" s="55"/>
      <c r="J11" s="21" t="str">
        <f t="shared" si="6"/>
        <v/>
      </c>
      <c r="K11" s="8"/>
      <c r="L11" s="9"/>
      <c r="M11" s="9"/>
      <c r="N11" s="55"/>
      <c r="O11" s="21" t="str">
        <f t="shared" si="7"/>
        <v/>
      </c>
      <c r="P11" s="8"/>
      <c r="Q11" s="9"/>
      <c r="R11" s="9"/>
      <c r="S11" s="55"/>
      <c r="T11" s="21" t="str">
        <f t="shared" si="8"/>
        <v/>
      </c>
      <c r="U11" s="66" t="str">
        <f t="shared" si="0"/>
        <v/>
      </c>
      <c r="V11" s="67" t="str">
        <f t="shared" si="1"/>
        <v/>
      </c>
      <c r="W11" s="68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9"/>
        <v/>
      </c>
      <c r="C12" s="18" t="str">
        <f t="shared" si="4"/>
        <v/>
      </c>
      <c r="D12" s="18" t="str">
        <f t="shared" si="5"/>
        <v/>
      </c>
      <c r="E12" s="4"/>
      <c r="F12" s="8"/>
      <c r="G12" s="9"/>
      <c r="H12" s="9"/>
      <c r="I12" s="55"/>
      <c r="J12" s="21" t="str">
        <f t="shared" si="6"/>
        <v/>
      </c>
      <c r="K12" s="8"/>
      <c r="L12" s="9"/>
      <c r="M12" s="9"/>
      <c r="N12" s="55"/>
      <c r="O12" s="21" t="str">
        <f t="shared" si="7"/>
        <v/>
      </c>
      <c r="P12" s="8"/>
      <c r="Q12" s="9"/>
      <c r="R12" s="9"/>
      <c r="S12" s="55"/>
      <c r="T12" s="21" t="str">
        <f t="shared" si="8"/>
        <v/>
      </c>
      <c r="U12" s="66" t="str">
        <f t="shared" si="0"/>
        <v/>
      </c>
      <c r="V12" s="67" t="str">
        <f t="shared" si="1"/>
        <v/>
      </c>
      <c r="W12" s="68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9"/>
        <v/>
      </c>
      <c r="C13" s="18" t="str">
        <f t="shared" si="4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6" t="str">
        <f t="shared" si="0"/>
        <v/>
      </c>
      <c r="V13" s="67" t="str">
        <f t="shared" si="1"/>
        <v/>
      </c>
      <c r="W13" s="68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9"/>
        <v/>
      </c>
      <c r="C14" s="18" t="str">
        <f t="shared" si="4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6" t="str">
        <f t="shared" si="0"/>
        <v/>
      </c>
      <c r="V14" s="67" t="str">
        <f t="shared" si="1"/>
        <v/>
      </c>
      <c r="W14" s="68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6" t="str">
        <f t="shared" si="0"/>
        <v/>
      </c>
      <c r="V15" s="67" t="str">
        <f t="shared" si="1"/>
        <v/>
      </c>
      <c r="W15" s="68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6" t="str">
        <f t="shared" si="0"/>
        <v/>
      </c>
      <c r="V16" s="67" t="str">
        <f t="shared" si="1"/>
        <v/>
      </c>
      <c r="W16" s="68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6" t="str">
        <f t="shared" si="0"/>
        <v/>
      </c>
      <c r="V17" s="67" t="str">
        <f t="shared" si="1"/>
        <v/>
      </c>
      <c r="W17" s="68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6" t="str">
        <f t="shared" si="0"/>
        <v/>
      </c>
      <c r="V18" s="67" t="str">
        <f t="shared" si="1"/>
        <v/>
      </c>
      <c r="W18" s="68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6" t="str">
        <f t="shared" si="0"/>
        <v/>
      </c>
      <c r="V19" s="67" t="str">
        <f t="shared" si="1"/>
        <v/>
      </c>
      <c r="W19" s="68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6" t="str">
        <f t="shared" si="0"/>
        <v/>
      </c>
      <c r="V20" s="67" t="str">
        <f t="shared" si="1"/>
        <v/>
      </c>
      <c r="W20" s="68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6" t="str">
        <f t="shared" si="0"/>
        <v/>
      </c>
      <c r="V21" s="67" t="str">
        <f t="shared" si="1"/>
        <v/>
      </c>
      <c r="W21" s="68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6" t="str">
        <f t="shared" si="0"/>
        <v/>
      </c>
      <c r="V22" s="67" t="str">
        <f t="shared" si="1"/>
        <v/>
      </c>
      <c r="W22" s="68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6" t="str">
        <f t="shared" si="0"/>
        <v/>
      </c>
      <c r="V23" s="67" t="str">
        <f t="shared" si="1"/>
        <v/>
      </c>
      <c r="W23" s="68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6" t="str">
        <f t="shared" si="0"/>
        <v/>
      </c>
      <c r="V24" s="67" t="str">
        <f t="shared" si="1"/>
        <v/>
      </c>
      <c r="W24" s="68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6" t="str">
        <f t="shared" si="0"/>
        <v/>
      </c>
      <c r="V25" s="67" t="str">
        <f t="shared" si="1"/>
        <v/>
      </c>
      <c r="W25" s="68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6" t="str">
        <f t="shared" si="0"/>
        <v/>
      </c>
      <c r="V26" s="67" t="str">
        <f t="shared" si="1"/>
        <v/>
      </c>
      <c r="W26" s="68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6" t="str">
        <f t="shared" si="0"/>
        <v/>
      </c>
      <c r="V27" s="67" t="str">
        <f t="shared" si="1"/>
        <v/>
      </c>
      <c r="W27" s="68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6" t="str">
        <f t="shared" si="0"/>
        <v/>
      </c>
      <c r="V28" s="67" t="str">
        <f t="shared" si="1"/>
        <v/>
      </c>
      <c r="W28" s="68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6" t="str">
        <f t="shared" si="0"/>
        <v/>
      </c>
      <c r="V29" s="67" t="str">
        <f t="shared" si="1"/>
        <v/>
      </c>
      <c r="W29" s="68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9" t="str">
        <f t="shared" si="0"/>
        <v/>
      </c>
      <c r="V30" s="70" t="str">
        <f t="shared" si="1"/>
        <v/>
      </c>
      <c r="W30" s="71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allowBlank="1" showInputMessage="1" showErrorMessage="1" sqref="E4:E30" xr:uid="{C3A35F39-486E-4286-9583-6E3227129BA5}">
      <formula1>$U$2:$W$2</formula1>
    </dataValidation>
    <dataValidation type="list" showInputMessage="1" showErrorMessage="1" sqref="K4:K30 P4:P30 F4:F30" xr:uid="{C8CF099E-5F86-42EB-8750-2310B3CC6056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D1654-A4CF-4631-B051-A0C1DDDED4BE}">
  <sheetPr codeName="Sheet11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136</v>
      </c>
      <c r="G1" s="74"/>
      <c r="H1" s="74"/>
      <c r="I1" s="83"/>
      <c r="J1" s="75"/>
      <c r="K1" s="72" t="s">
        <v>138</v>
      </c>
      <c r="L1" s="74"/>
      <c r="M1" s="74"/>
      <c r="N1" s="83"/>
      <c r="O1" s="75"/>
      <c r="P1" s="72" t="s">
        <v>140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りくと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れんたろう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61" t="str">
        <f>$F$1</f>
        <v>だいち</v>
      </c>
      <c r="V2" s="62" t="str">
        <f>$K$1</f>
        <v>りくと</v>
      </c>
      <c r="W2" s="16" t="str">
        <f>$P$1</f>
        <v>れんたろう</v>
      </c>
      <c r="Y2" s="57" t="s">
        <v>24</v>
      </c>
      <c r="Z2" s="58" t="s">
        <v>27</v>
      </c>
      <c r="AA2" s="59" t="s">
        <v>25</v>
      </c>
      <c r="AB2" s="59" t="s">
        <v>128</v>
      </c>
      <c r="AC2" s="59" t="s">
        <v>19</v>
      </c>
      <c r="AD2" s="60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57" t="s">
        <v>24</v>
      </c>
      <c r="AU2" s="58" t="s">
        <v>27</v>
      </c>
      <c r="AV2" s="59" t="s">
        <v>25</v>
      </c>
      <c r="AW2" s="59" t="s">
        <v>129</v>
      </c>
      <c r="AX2" s="59" t="s">
        <v>19</v>
      </c>
      <c r="AY2" s="60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57" t="s">
        <v>24</v>
      </c>
      <c r="BP2" s="58" t="s">
        <v>27</v>
      </c>
      <c r="BQ2" s="59" t="s">
        <v>25</v>
      </c>
      <c r="BR2" s="59" t="s">
        <v>129</v>
      </c>
      <c r="BS2" s="59" t="s">
        <v>19</v>
      </c>
      <c r="BT2" s="60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63">
        <f>IF($J3="","",ROUND(($J3-$J$3)/1000,1))</f>
        <v>0</v>
      </c>
      <c r="V3" s="64">
        <f>IF($O3="","",ROUND(($O3-$O$3)/1000,1))</f>
        <v>0</v>
      </c>
      <c r="W3" s="65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 t="s">
        <v>11</v>
      </c>
      <c r="CE3" s="45" t="s">
        <v>11</v>
      </c>
      <c r="CF3" s="45" t="s">
        <v>11</v>
      </c>
      <c r="CG3" s="45" t="s">
        <v>11</v>
      </c>
      <c r="CH3" s="45" t="s">
        <v>11</v>
      </c>
      <c r="CI3" s="46" t="s">
        <v>11</v>
      </c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137</v>
      </c>
      <c r="F4" s="8" t="s">
        <v>142</v>
      </c>
      <c r="G4" s="9">
        <v>8000</v>
      </c>
      <c r="H4" s="9">
        <v>1000</v>
      </c>
      <c r="I4" s="55">
        <v>0</v>
      </c>
      <c r="J4" s="21">
        <f>IF(COUNTA($F4,$K4,$P4)&gt;0,J3+SUM(G4:I4),"")</f>
        <v>44000</v>
      </c>
      <c r="K4" s="8"/>
      <c r="L4" s="9"/>
      <c r="M4" s="9">
        <v>-1000</v>
      </c>
      <c r="N4" s="55"/>
      <c r="O4" s="21">
        <f>IF(COUNTA($F4,$K4,$P4)&gt;0,O3+SUM(L4:N4),"")</f>
        <v>34000</v>
      </c>
      <c r="P4" s="8" t="s">
        <v>143</v>
      </c>
      <c r="Q4" s="9">
        <v>-8000</v>
      </c>
      <c r="R4" s="9"/>
      <c r="S4" s="55">
        <v>0</v>
      </c>
      <c r="T4" s="21">
        <f>IF(COUNTA($F4,$K4,$P4)&gt;0,T3+SUM(Q4:S4),"")</f>
        <v>27000</v>
      </c>
      <c r="U4" s="66">
        <f t="shared" ref="U4:U30" si="0">IF($J4="","",ROUND(($J4-$J$3)/1000,1))</f>
        <v>9</v>
      </c>
      <c r="V4" s="67">
        <f t="shared" ref="V4:V30" si="1">IF($O4="","",ROUND(($O4-$O$3)/1000,1))</f>
        <v>-1</v>
      </c>
      <c r="W4" s="68">
        <f t="shared" ref="W4:W30" si="2">IF($T4="","",ROUND(($T4-$T$3)/1000,1))</f>
        <v>-8</v>
      </c>
      <c r="Y4" s="8"/>
      <c r="Z4" s="41"/>
      <c r="AA4" s="32"/>
      <c r="AB4" s="32">
        <v>1</v>
      </c>
      <c r="AC4" s="32">
        <v>4</v>
      </c>
      <c r="AD4" s="36">
        <v>30</v>
      </c>
      <c r="AE4" s="47" t="s">
        <v>87</v>
      </c>
      <c r="AF4" s="48" t="s">
        <v>87</v>
      </c>
      <c r="AG4" s="48" t="s">
        <v>105</v>
      </c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>
        <v>1</v>
      </c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 t="shared" ref="C5:C30" si="4">IF($E5="","",IF(F4="チョンボ",C4,IF($E4=$E5,C4+1,0)))</f>
        <v>0</v>
      </c>
      <c r="D5" s="18">
        <f t="shared" ref="D5:D30" si="5">IF($E5="","",IF(OR($F4="流局",$F4="チョンボ"),D4+($H4+$M4+$R4)/-1000,0))</f>
        <v>0</v>
      </c>
      <c r="E5" s="4" t="s">
        <v>139</v>
      </c>
      <c r="F5" s="8"/>
      <c r="G5" s="9"/>
      <c r="H5" s="9"/>
      <c r="I5" s="55"/>
      <c r="J5" s="21">
        <f t="shared" ref="J5:J30" si="6">IF(COUNTA($F5,$K5,$P5)&gt;0,J4+SUM(G5:I5),"")</f>
        <v>44000</v>
      </c>
      <c r="K5" s="8" t="s">
        <v>143</v>
      </c>
      <c r="L5" s="9">
        <v>-12000</v>
      </c>
      <c r="M5" s="9"/>
      <c r="N5" s="55">
        <v>0</v>
      </c>
      <c r="O5" s="21">
        <f t="shared" ref="O5:O30" si="7">IF(COUNTA($F5,$K5,$P5)&gt;0,O4+SUM(L5:N5),"")</f>
        <v>22000</v>
      </c>
      <c r="P5" s="8" t="s">
        <v>142</v>
      </c>
      <c r="Q5" s="9">
        <v>12000</v>
      </c>
      <c r="R5" s="9"/>
      <c r="S5" s="55">
        <v>0</v>
      </c>
      <c r="T5" s="21">
        <f t="shared" ref="T5:T30" si="8">IF(COUNTA($F5,$K5,$P5)&gt;0,T4+SUM(Q5:S5),"")</f>
        <v>39000</v>
      </c>
      <c r="U5" s="66">
        <f t="shared" si="0"/>
        <v>9</v>
      </c>
      <c r="V5" s="67">
        <f t="shared" si="1"/>
        <v>-13</v>
      </c>
      <c r="W5" s="68">
        <f t="shared" si="2"/>
        <v>4</v>
      </c>
      <c r="Y5" s="8"/>
      <c r="Z5" s="41"/>
      <c r="AA5" s="32"/>
      <c r="AB5" s="32">
        <v>1</v>
      </c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>
        <v>1</v>
      </c>
      <c r="BR5" s="32"/>
      <c r="BS5" s="32">
        <v>4</v>
      </c>
      <c r="BT5" s="36">
        <v>40</v>
      </c>
      <c r="BU5" s="47" t="s">
        <v>145</v>
      </c>
      <c r="BV5" s="48" t="s">
        <v>81</v>
      </c>
      <c r="BW5" s="48" t="s">
        <v>81</v>
      </c>
      <c r="BX5" s="48" t="s">
        <v>81</v>
      </c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2</v>
      </c>
      <c r="C6" s="18">
        <f t="shared" si="4"/>
        <v>1</v>
      </c>
      <c r="D6" s="18">
        <f t="shared" si="5"/>
        <v>0</v>
      </c>
      <c r="E6" s="4" t="s">
        <v>139</v>
      </c>
      <c r="F6" s="8" t="s">
        <v>147</v>
      </c>
      <c r="G6" s="9">
        <v>-6000</v>
      </c>
      <c r="H6" s="9"/>
      <c r="I6" s="55">
        <v>-500</v>
      </c>
      <c r="J6" s="21">
        <f t="shared" si="6"/>
        <v>37500</v>
      </c>
      <c r="K6" s="8" t="s">
        <v>146</v>
      </c>
      <c r="L6" s="9">
        <v>16000</v>
      </c>
      <c r="M6" s="9"/>
      <c r="N6" s="55">
        <v>1000</v>
      </c>
      <c r="O6" s="21">
        <f t="shared" si="7"/>
        <v>39000</v>
      </c>
      <c r="P6" s="8" t="s">
        <v>147</v>
      </c>
      <c r="Q6" s="9">
        <v>-10000</v>
      </c>
      <c r="R6" s="9"/>
      <c r="S6" s="55">
        <v>-500</v>
      </c>
      <c r="T6" s="21">
        <f t="shared" si="8"/>
        <v>28500</v>
      </c>
      <c r="U6" s="66">
        <f t="shared" si="0"/>
        <v>2.5</v>
      </c>
      <c r="V6" s="67">
        <f t="shared" si="1"/>
        <v>4</v>
      </c>
      <c r="W6" s="68">
        <f t="shared" si="2"/>
        <v>-6.5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>
        <v>1</v>
      </c>
      <c r="AW6" s="32"/>
      <c r="AX6" s="32">
        <v>8</v>
      </c>
      <c r="AY6" s="36" t="s">
        <v>144</v>
      </c>
      <c r="AZ6" s="47" t="s">
        <v>145</v>
      </c>
      <c r="BA6" s="48" t="s">
        <v>83</v>
      </c>
      <c r="BB6" s="48" t="s">
        <v>148</v>
      </c>
      <c r="BC6" s="48" t="s">
        <v>87</v>
      </c>
      <c r="BD6" s="48" t="s">
        <v>97</v>
      </c>
      <c r="BE6" s="48" t="s">
        <v>82</v>
      </c>
      <c r="BF6" s="48" t="s">
        <v>82</v>
      </c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>
        <v>1</v>
      </c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9"/>
        <v>3</v>
      </c>
      <c r="C7" s="18">
        <f t="shared" si="4"/>
        <v>0</v>
      </c>
      <c r="D7" s="18">
        <f t="shared" si="5"/>
        <v>0</v>
      </c>
      <c r="E7" s="4" t="s">
        <v>135</v>
      </c>
      <c r="F7" s="8"/>
      <c r="G7" s="9"/>
      <c r="H7" s="9"/>
      <c r="I7" s="55"/>
      <c r="J7" s="21">
        <f t="shared" si="6"/>
        <v>37500</v>
      </c>
      <c r="K7" s="8" t="s">
        <v>142</v>
      </c>
      <c r="L7" s="9">
        <v>2600</v>
      </c>
      <c r="M7" s="9">
        <v>1000</v>
      </c>
      <c r="N7" s="55">
        <v>0</v>
      </c>
      <c r="O7" s="21">
        <f t="shared" si="7"/>
        <v>42600</v>
      </c>
      <c r="P7" s="8" t="s">
        <v>143</v>
      </c>
      <c r="Q7" s="9">
        <v>-2600</v>
      </c>
      <c r="R7" s="9">
        <v>-1000</v>
      </c>
      <c r="S7" s="55">
        <v>0</v>
      </c>
      <c r="T7" s="21">
        <f t="shared" si="8"/>
        <v>24900</v>
      </c>
      <c r="U7" s="66">
        <f t="shared" si="0"/>
        <v>2.5</v>
      </c>
      <c r="V7" s="67">
        <f t="shared" si="1"/>
        <v>7.6</v>
      </c>
      <c r="W7" s="68">
        <f t="shared" si="2"/>
        <v>-10.1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>
        <v>2</v>
      </c>
      <c r="AY7" s="36">
        <v>40</v>
      </c>
      <c r="AZ7" s="47" t="s">
        <v>87</v>
      </c>
      <c r="BA7" s="48" t="s">
        <v>82</v>
      </c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南</v>
      </c>
      <c r="B8" s="18">
        <f t="shared" si="9"/>
        <v>1</v>
      </c>
      <c r="C8" s="18">
        <f t="shared" si="4"/>
        <v>0</v>
      </c>
      <c r="D8" s="18">
        <f t="shared" si="5"/>
        <v>0</v>
      </c>
      <c r="E8" s="4" t="s">
        <v>137</v>
      </c>
      <c r="F8" s="8" t="s">
        <v>147</v>
      </c>
      <c r="G8" s="9">
        <v>-3000</v>
      </c>
      <c r="H8" s="9"/>
      <c r="I8" s="55">
        <v>0</v>
      </c>
      <c r="J8" s="21">
        <f t="shared" si="6"/>
        <v>34500</v>
      </c>
      <c r="K8" s="8" t="s">
        <v>147</v>
      </c>
      <c r="L8" s="9">
        <v>-5000</v>
      </c>
      <c r="M8" s="9"/>
      <c r="N8" s="55">
        <v>0</v>
      </c>
      <c r="O8" s="21">
        <f t="shared" si="7"/>
        <v>37600</v>
      </c>
      <c r="P8" s="8" t="s">
        <v>146</v>
      </c>
      <c r="Q8" s="9">
        <v>8000</v>
      </c>
      <c r="R8" s="9"/>
      <c r="S8" s="55">
        <v>0</v>
      </c>
      <c r="T8" s="21">
        <f t="shared" si="8"/>
        <v>32900</v>
      </c>
      <c r="U8" s="66">
        <f t="shared" si="0"/>
        <v>-0.5</v>
      </c>
      <c r="V8" s="67">
        <f t="shared" si="1"/>
        <v>2.6</v>
      </c>
      <c r="W8" s="68">
        <f t="shared" si="2"/>
        <v>-2.1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>
        <v>1</v>
      </c>
      <c r="BS8" s="32">
        <v>4</v>
      </c>
      <c r="BT8" s="36">
        <v>30</v>
      </c>
      <c r="BU8" s="47" t="s">
        <v>87</v>
      </c>
      <c r="BV8" s="48" t="s">
        <v>80</v>
      </c>
      <c r="BW8" s="48" t="s">
        <v>80</v>
      </c>
      <c r="BX8" s="48" t="s">
        <v>80</v>
      </c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9"/>
        <v>2</v>
      </c>
      <c r="C9" s="18">
        <f t="shared" si="4"/>
        <v>0</v>
      </c>
      <c r="D9" s="18">
        <f t="shared" si="5"/>
        <v>0</v>
      </c>
      <c r="E9" s="4" t="s">
        <v>139</v>
      </c>
      <c r="F9" s="8" t="s">
        <v>143</v>
      </c>
      <c r="G9" s="9">
        <v>-2600</v>
      </c>
      <c r="H9" s="9"/>
      <c r="I9" s="55">
        <v>0</v>
      </c>
      <c r="J9" s="21">
        <f t="shared" si="6"/>
        <v>31900</v>
      </c>
      <c r="K9" s="8" t="s">
        <v>142</v>
      </c>
      <c r="L9" s="9">
        <v>2600</v>
      </c>
      <c r="M9" s="9">
        <v>1000</v>
      </c>
      <c r="N9" s="55">
        <v>0</v>
      </c>
      <c r="O9" s="21">
        <f t="shared" si="7"/>
        <v>41200</v>
      </c>
      <c r="P9" s="8"/>
      <c r="Q9" s="9"/>
      <c r="R9" s="9">
        <v>-1000</v>
      </c>
      <c r="S9" s="55"/>
      <c r="T9" s="21">
        <f t="shared" si="8"/>
        <v>31900</v>
      </c>
      <c r="U9" s="66">
        <f t="shared" si="0"/>
        <v>-3.1</v>
      </c>
      <c r="V9" s="67">
        <f t="shared" si="1"/>
        <v>6.2</v>
      </c>
      <c r="W9" s="68">
        <f t="shared" si="2"/>
        <v>-3.1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>
        <v>2</v>
      </c>
      <c r="AY9" s="36">
        <v>40</v>
      </c>
      <c r="AZ9" s="47" t="s">
        <v>93</v>
      </c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9"/>
        <v>3</v>
      </c>
      <c r="C10" s="18">
        <f t="shared" si="4"/>
        <v>0</v>
      </c>
      <c r="D10" s="18">
        <f t="shared" si="5"/>
        <v>0</v>
      </c>
      <c r="E10" s="4" t="s">
        <v>135</v>
      </c>
      <c r="F10" s="8" t="s">
        <v>142</v>
      </c>
      <c r="G10" s="9">
        <v>5800</v>
      </c>
      <c r="H10" s="9"/>
      <c r="I10" s="55">
        <v>0</v>
      </c>
      <c r="J10" s="21">
        <f t="shared" si="6"/>
        <v>37700</v>
      </c>
      <c r="K10" s="8"/>
      <c r="L10" s="9"/>
      <c r="M10" s="9"/>
      <c r="N10" s="55"/>
      <c r="O10" s="21">
        <f t="shared" si="7"/>
        <v>41200</v>
      </c>
      <c r="P10" s="8" t="s">
        <v>143</v>
      </c>
      <c r="Q10" s="9">
        <v>-5800</v>
      </c>
      <c r="R10" s="9"/>
      <c r="S10" s="55">
        <v>0</v>
      </c>
      <c r="T10" s="21">
        <f t="shared" si="8"/>
        <v>26100</v>
      </c>
      <c r="U10" s="66">
        <f t="shared" si="0"/>
        <v>2.7</v>
      </c>
      <c r="V10" s="67">
        <f t="shared" si="1"/>
        <v>6.2</v>
      </c>
      <c r="W10" s="68">
        <f t="shared" si="2"/>
        <v>-8.9</v>
      </c>
      <c r="Y10" s="8"/>
      <c r="Z10" s="41"/>
      <c r="AA10" s="32">
        <v>1</v>
      </c>
      <c r="AB10" s="32"/>
      <c r="AC10" s="32">
        <v>3</v>
      </c>
      <c r="AD10" s="36">
        <v>30</v>
      </c>
      <c r="AE10" s="47" t="s">
        <v>145</v>
      </c>
      <c r="AF10" s="48" t="s">
        <v>84</v>
      </c>
      <c r="AG10" s="48" t="s">
        <v>81</v>
      </c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>
        <v>1</v>
      </c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9"/>
        <v>3</v>
      </c>
      <c r="C11" s="18">
        <f t="shared" si="4"/>
        <v>1</v>
      </c>
      <c r="D11" s="18">
        <f t="shared" si="5"/>
        <v>0</v>
      </c>
      <c r="E11" s="4" t="s">
        <v>135</v>
      </c>
      <c r="F11" s="8" t="s">
        <v>143</v>
      </c>
      <c r="G11" s="9">
        <v>-12000</v>
      </c>
      <c r="H11" s="9">
        <v>-1000</v>
      </c>
      <c r="I11" s="55">
        <v>-1000</v>
      </c>
      <c r="J11" s="21">
        <f t="shared" si="6"/>
        <v>23700</v>
      </c>
      <c r="K11" s="8"/>
      <c r="L11" s="9"/>
      <c r="M11" s="9">
        <v>-1000</v>
      </c>
      <c r="N11" s="55"/>
      <c r="O11" s="21">
        <f t="shared" si="7"/>
        <v>40200</v>
      </c>
      <c r="P11" s="8" t="s">
        <v>142</v>
      </c>
      <c r="Q11" s="9">
        <v>12000</v>
      </c>
      <c r="R11" s="9">
        <v>2000</v>
      </c>
      <c r="S11" s="55">
        <v>1000</v>
      </c>
      <c r="T11" s="21">
        <f t="shared" si="8"/>
        <v>41100</v>
      </c>
      <c r="U11" s="66">
        <f t="shared" si="0"/>
        <v>-11.3</v>
      </c>
      <c r="V11" s="67">
        <f t="shared" si="1"/>
        <v>5.2</v>
      </c>
      <c r="W11" s="68">
        <f t="shared" si="2"/>
        <v>6.1</v>
      </c>
      <c r="Y11" s="8"/>
      <c r="Z11" s="41"/>
      <c r="AA11" s="32">
        <v>1</v>
      </c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>
        <v>1</v>
      </c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>
        <v>1</v>
      </c>
      <c r="BR11" s="32"/>
      <c r="BS11" s="32">
        <v>7</v>
      </c>
      <c r="BT11" s="36" t="s">
        <v>144</v>
      </c>
      <c r="BU11" s="47" t="s">
        <v>145</v>
      </c>
      <c r="BV11" s="48" t="s">
        <v>105</v>
      </c>
      <c r="BW11" s="48" t="s">
        <v>82</v>
      </c>
      <c r="BX11" s="48" t="s">
        <v>82</v>
      </c>
      <c r="BY11" s="48" t="s">
        <v>87</v>
      </c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9"/>
        <v/>
      </c>
      <c r="C12" s="18" t="str">
        <f t="shared" si="4"/>
        <v/>
      </c>
      <c r="D12" s="18" t="str">
        <f t="shared" si="5"/>
        <v/>
      </c>
      <c r="E12" s="4"/>
      <c r="F12" s="8"/>
      <c r="G12" s="9"/>
      <c r="H12" s="9"/>
      <c r="I12" s="55"/>
      <c r="J12" s="21" t="str">
        <f t="shared" si="6"/>
        <v/>
      </c>
      <c r="K12" s="8"/>
      <c r="L12" s="9"/>
      <c r="M12" s="9"/>
      <c r="N12" s="55"/>
      <c r="O12" s="21" t="str">
        <f t="shared" si="7"/>
        <v/>
      </c>
      <c r="P12" s="8"/>
      <c r="Q12" s="9"/>
      <c r="R12" s="9"/>
      <c r="S12" s="55"/>
      <c r="T12" s="21" t="str">
        <f t="shared" si="8"/>
        <v/>
      </c>
      <c r="U12" s="66" t="str">
        <f t="shared" si="0"/>
        <v/>
      </c>
      <c r="V12" s="67" t="str">
        <f t="shared" si="1"/>
        <v/>
      </c>
      <c r="W12" s="68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9"/>
        <v/>
      </c>
      <c r="C13" s="18" t="str">
        <f t="shared" si="4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6" t="str">
        <f t="shared" si="0"/>
        <v/>
      </c>
      <c r="V13" s="67" t="str">
        <f t="shared" si="1"/>
        <v/>
      </c>
      <c r="W13" s="68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9"/>
        <v/>
      </c>
      <c r="C14" s="18" t="str">
        <f t="shared" si="4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6" t="str">
        <f t="shared" si="0"/>
        <v/>
      </c>
      <c r="V14" s="67" t="str">
        <f t="shared" si="1"/>
        <v/>
      </c>
      <c r="W14" s="68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6" t="str">
        <f t="shared" si="0"/>
        <v/>
      </c>
      <c r="V15" s="67" t="str">
        <f t="shared" si="1"/>
        <v/>
      </c>
      <c r="W15" s="68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6" t="str">
        <f t="shared" si="0"/>
        <v/>
      </c>
      <c r="V16" s="67" t="str">
        <f t="shared" si="1"/>
        <v/>
      </c>
      <c r="W16" s="68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6" t="str">
        <f t="shared" si="0"/>
        <v/>
      </c>
      <c r="V17" s="67" t="str">
        <f t="shared" si="1"/>
        <v/>
      </c>
      <c r="W17" s="68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6" t="str">
        <f t="shared" si="0"/>
        <v/>
      </c>
      <c r="V18" s="67" t="str">
        <f t="shared" si="1"/>
        <v/>
      </c>
      <c r="W18" s="68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6" t="str">
        <f t="shared" si="0"/>
        <v/>
      </c>
      <c r="V19" s="67" t="str">
        <f t="shared" si="1"/>
        <v/>
      </c>
      <c r="W19" s="68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6" t="str">
        <f t="shared" si="0"/>
        <v/>
      </c>
      <c r="V20" s="67" t="str">
        <f t="shared" si="1"/>
        <v/>
      </c>
      <c r="W20" s="68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6" t="str">
        <f t="shared" si="0"/>
        <v/>
      </c>
      <c r="V21" s="67" t="str">
        <f t="shared" si="1"/>
        <v/>
      </c>
      <c r="W21" s="68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6" t="str">
        <f t="shared" si="0"/>
        <v/>
      </c>
      <c r="V22" s="67" t="str">
        <f t="shared" si="1"/>
        <v/>
      </c>
      <c r="W22" s="68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6" t="str">
        <f t="shared" si="0"/>
        <v/>
      </c>
      <c r="V23" s="67" t="str">
        <f t="shared" si="1"/>
        <v/>
      </c>
      <c r="W23" s="68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6" t="str">
        <f t="shared" si="0"/>
        <v/>
      </c>
      <c r="V24" s="67" t="str">
        <f t="shared" si="1"/>
        <v/>
      </c>
      <c r="W24" s="68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6" t="str">
        <f t="shared" si="0"/>
        <v/>
      </c>
      <c r="V25" s="67" t="str">
        <f t="shared" si="1"/>
        <v/>
      </c>
      <c r="W25" s="68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6" t="str">
        <f t="shared" si="0"/>
        <v/>
      </c>
      <c r="V26" s="67" t="str">
        <f t="shared" si="1"/>
        <v/>
      </c>
      <c r="W26" s="68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6" t="str">
        <f t="shared" si="0"/>
        <v/>
      </c>
      <c r="V27" s="67" t="str">
        <f t="shared" si="1"/>
        <v/>
      </c>
      <c r="W27" s="68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6" t="str">
        <f t="shared" si="0"/>
        <v/>
      </c>
      <c r="V28" s="67" t="str">
        <f t="shared" si="1"/>
        <v/>
      </c>
      <c r="W28" s="68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6" t="str">
        <f t="shared" si="0"/>
        <v/>
      </c>
      <c r="V29" s="67" t="str">
        <f t="shared" si="1"/>
        <v/>
      </c>
      <c r="W29" s="68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9" t="str">
        <f t="shared" si="0"/>
        <v/>
      </c>
      <c r="V30" s="70" t="str">
        <f t="shared" si="1"/>
        <v/>
      </c>
      <c r="W30" s="71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showInputMessage="1" showErrorMessage="1" sqref="K4:K30 P4:P30 F4:F30" xr:uid="{1FAC6DFB-47CA-4C87-AED0-BAA9081F88C2}">
      <formula1>"ロン,ツモ,放銃,ツモ支払,流局,チョンボ"</formula1>
    </dataValidation>
    <dataValidation type="list" allowBlank="1" showInputMessage="1" showErrorMessage="1" sqref="E4:E30" xr:uid="{72D4FFB4-4F57-407E-AD7A-EB8F3608DB91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D2EB29-EC1B-41A8-958A-6D53C6CD7492}">
  <sheetPr codeName="Sheet12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136</v>
      </c>
      <c r="G1" s="74"/>
      <c r="H1" s="74"/>
      <c r="I1" s="83"/>
      <c r="J1" s="75"/>
      <c r="K1" s="72" t="s">
        <v>138</v>
      </c>
      <c r="L1" s="74"/>
      <c r="M1" s="74"/>
      <c r="N1" s="83"/>
      <c r="O1" s="75"/>
      <c r="P1" s="72" t="s">
        <v>140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りくと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れんたろう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61" t="str">
        <f>$F$1</f>
        <v>だいち</v>
      </c>
      <c r="V2" s="62" t="str">
        <f>$K$1</f>
        <v>りくと</v>
      </c>
      <c r="W2" s="16" t="str">
        <f>$P$1</f>
        <v>れんたろう</v>
      </c>
      <c r="Y2" s="57" t="s">
        <v>24</v>
      </c>
      <c r="Z2" s="58" t="s">
        <v>27</v>
      </c>
      <c r="AA2" s="59" t="s">
        <v>25</v>
      </c>
      <c r="AB2" s="59" t="s">
        <v>128</v>
      </c>
      <c r="AC2" s="59" t="s">
        <v>19</v>
      </c>
      <c r="AD2" s="60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57" t="s">
        <v>24</v>
      </c>
      <c r="AU2" s="58" t="s">
        <v>27</v>
      </c>
      <c r="AV2" s="59" t="s">
        <v>25</v>
      </c>
      <c r="AW2" s="59" t="s">
        <v>129</v>
      </c>
      <c r="AX2" s="59" t="s">
        <v>19</v>
      </c>
      <c r="AY2" s="60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57" t="s">
        <v>24</v>
      </c>
      <c r="BP2" s="58" t="s">
        <v>27</v>
      </c>
      <c r="BQ2" s="59" t="s">
        <v>25</v>
      </c>
      <c r="BR2" s="59" t="s">
        <v>129</v>
      </c>
      <c r="BS2" s="59" t="s">
        <v>19</v>
      </c>
      <c r="BT2" s="60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63">
        <f>IF($J3="","",ROUND(($J3-$J$3)/1000,1))</f>
        <v>0</v>
      </c>
      <c r="V3" s="64">
        <f>IF($O3="","",ROUND(($O3-$O$3)/1000,1))</f>
        <v>0</v>
      </c>
      <c r="W3" s="65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 t="s">
        <v>11</v>
      </c>
      <c r="CE3" s="45" t="s">
        <v>11</v>
      </c>
      <c r="CF3" s="45" t="s">
        <v>11</v>
      </c>
      <c r="CG3" s="45" t="s">
        <v>11</v>
      </c>
      <c r="CH3" s="45" t="s">
        <v>11</v>
      </c>
      <c r="CI3" s="46" t="s">
        <v>11</v>
      </c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147</v>
      </c>
      <c r="G4" s="9">
        <v>-6000</v>
      </c>
      <c r="H4" s="9"/>
      <c r="I4" s="55">
        <v>0</v>
      </c>
      <c r="J4" s="21">
        <f>IF(COUNTA($F4,$K4,$P4)&gt;0,J3+SUM(G4:I4),"")</f>
        <v>29000</v>
      </c>
      <c r="K4" s="8" t="s">
        <v>147</v>
      </c>
      <c r="L4" s="9">
        <v>-6000</v>
      </c>
      <c r="M4" s="9"/>
      <c r="N4" s="55">
        <v>0</v>
      </c>
      <c r="O4" s="21">
        <f>IF(COUNTA($F4,$K4,$P4)&gt;0,O3+SUM(L4:N4),"")</f>
        <v>29000</v>
      </c>
      <c r="P4" s="8" t="s">
        <v>146</v>
      </c>
      <c r="Q4" s="9">
        <v>12000</v>
      </c>
      <c r="R4" s="9"/>
      <c r="S4" s="55">
        <v>0</v>
      </c>
      <c r="T4" s="21">
        <f>IF(COUNTA($F4,$K4,$P4)&gt;0,T3+SUM(Q4:S4),"")</f>
        <v>47000</v>
      </c>
      <c r="U4" s="66">
        <f t="shared" ref="U4:U30" si="0">IF($J4="","",ROUND(($J4-$J$3)/1000,1))</f>
        <v>-6</v>
      </c>
      <c r="V4" s="67">
        <f t="shared" ref="V4:V30" si="1">IF($O4="","",ROUND(($O4-$O$3)/1000,1))</f>
        <v>-6</v>
      </c>
      <c r="W4" s="68">
        <f t="shared" ref="W4:W30" si="2">IF($T4="","",ROUND(($T4-$T$3)/1000,1))</f>
        <v>12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>
        <v>1</v>
      </c>
      <c r="BR4" s="32"/>
      <c r="BS4" s="32">
        <v>5</v>
      </c>
      <c r="BT4" s="36" t="s">
        <v>144</v>
      </c>
      <c r="BU4" s="47" t="s">
        <v>145</v>
      </c>
      <c r="BV4" s="48" t="s">
        <v>83</v>
      </c>
      <c r="BW4" s="48" t="s">
        <v>84</v>
      </c>
      <c r="BX4" s="48" t="s">
        <v>82</v>
      </c>
      <c r="BY4" s="48" t="s">
        <v>81</v>
      </c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 t="shared" ref="C5:C30" si="4">IF($E5="","",IF(F4="チョンボ",C4,IF($E4=$E5,C4+1,0)))</f>
        <v>1</v>
      </c>
      <c r="D5" s="18">
        <f t="shared" ref="D5:D30" si="5">IF($E5="","",IF(OR($F4="流局",$F4="チョンボ"),D4+($H4+$M4+$R4)/-1000,0))</f>
        <v>0</v>
      </c>
      <c r="E5" s="4" t="s">
        <v>139</v>
      </c>
      <c r="F5" s="8" t="s">
        <v>146</v>
      </c>
      <c r="G5" s="9">
        <v>12000</v>
      </c>
      <c r="H5" s="9"/>
      <c r="I5" s="55">
        <v>1000</v>
      </c>
      <c r="J5" s="21">
        <f t="shared" ref="J5:J30" si="6">IF(COUNTA($F5,$K5,$P5)&gt;0,J4+SUM(G5:I5),"")</f>
        <v>42000</v>
      </c>
      <c r="K5" s="8" t="s">
        <v>147</v>
      </c>
      <c r="L5" s="9">
        <v>-4500</v>
      </c>
      <c r="M5" s="9"/>
      <c r="N5" s="55">
        <v>-500</v>
      </c>
      <c r="O5" s="21">
        <f t="shared" ref="O5:O30" si="7">IF(COUNTA($F5,$K5,$P5)&gt;0,O4+SUM(L5:N5),"")</f>
        <v>24000</v>
      </c>
      <c r="P5" s="8" t="s">
        <v>147</v>
      </c>
      <c r="Q5" s="9">
        <v>-7500</v>
      </c>
      <c r="R5" s="9"/>
      <c r="S5" s="55">
        <v>-500</v>
      </c>
      <c r="T5" s="21">
        <f t="shared" ref="T5:T30" si="8">IF(COUNTA($F5,$K5,$P5)&gt;0,T4+SUM(Q5:S5),"")</f>
        <v>39000</v>
      </c>
      <c r="U5" s="66">
        <f t="shared" si="0"/>
        <v>7</v>
      </c>
      <c r="V5" s="67">
        <f t="shared" si="1"/>
        <v>-11</v>
      </c>
      <c r="W5" s="68">
        <f t="shared" si="2"/>
        <v>4</v>
      </c>
      <c r="Y5" s="8"/>
      <c r="Z5" s="41"/>
      <c r="AA5" s="32">
        <v>1</v>
      </c>
      <c r="AB5" s="32"/>
      <c r="AC5" s="32">
        <v>6</v>
      </c>
      <c r="AD5" s="36" t="s">
        <v>144</v>
      </c>
      <c r="AE5" s="47" t="s">
        <v>145</v>
      </c>
      <c r="AF5" s="48" t="s">
        <v>83</v>
      </c>
      <c r="AG5" s="48" t="s">
        <v>148</v>
      </c>
      <c r="AH5" s="48" t="s">
        <v>87</v>
      </c>
      <c r="AI5" s="48" t="s">
        <v>82</v>
      </c>
      <c r="AJ5" s="48" t="s">
        <v>82</v>
      </c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2</v>
      </c>
      <c r="C6" s="18">
        <f t="shared" si="4"/>
        <v>0</v>
      </c>
      <c r="D6" s="18">
        <f t="shared" si="5"/>
        <v>0</v>
      </c>
      <c r="E6" s="4" t="s">
        <v>135</v>
      </c>
      <c r="F6" s="8" t="s">
        <v>143</v>
      </c>
      <c r="G6" s="9">
        <v>-12000</v>
      </c>
      <c r="H6" s="9"/>
      <c r="I6" s="55">
        <v>0</v>
      </c>
      <c r="J6" s="21">
        <f t="shared" si="6"/>
        <v>30000</v>
      </c>
      <c r="K6" s="8"/>
      <c r="L6" s="9"/>
      <c r="M6" s="9"/>
      <c r="N6" s="55"/>
      <c r="O6" s="21">
        <f t="shared" si="7"/>
        <v>24000</v>
      </c>
      <c r="P6" s="8" t="s">
        <v>142</v>
      </c>
      <c r="Q6" s="9">
        <v>12000</v>
      </c>
      <c r="R6" s="9"/>
      <c r="S6" s="55">
        <v>0</v>
      </c>
      <c r="T6" s="21">
        <f t="shared" si="8"/>
        <v>51000</v>
      </c>
      <c r="U6" s="66">
        <f t="shared" si="0"/>
        <v>-5</v>
      </c>
      <c r="V6" s="67">
        <f t="shared" si="1"/>
        <v>-11</v>
      </c>
      <c r="W6" s="68">
        <f t="shared" si="2"/>
        <v>16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>
        <v>7</v>
      </c>
      <c r="BT6" s="36" t="s">
        <v>144</v>
      </c>
      <c r="BU6" s="47" t="s">
        <v>145</v>
      </c>
      <c r="BV6" s="48" t="s">
        <v>99</v>
      </c>
      <c r="BW6" s="48" t="s">
        <v>97</v>
      </c>
      <c r="BX6" s="48" t="s">
        <v>87</v>
      </c>
      <c r="BY6" s="48" t="s">
        <v>82</v>
      </c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9"/>
        <v>3</v>
      </c>
      <c r="C7" s="18">
        <f t="shared" si="4"/>
        <v>0</v>
      </c>
      <c r="D7" s="18">
        <f t="shared" si="5"/>
        <v>0</v>
      </c>
      <c r="E7" s="4" t="s">
        <v>137</v>
      </c>
      <c r="F7" s="8" t="s">
        <v>146</v>
      </c>
      <c r="G7" s="9">
        <v>8000</v>
      </c>
      <c r="H7" s="9"/>
      <c r="I7" s="55">
        <v>0</v>
      </c>
      <c r="J7" s="21">
        <f t="shared" si="6"/>
        <v>38000</v>
      </c>
      <c r="K7" s="8" t="s">
        <v>147</v>
      </c>
      <c r="L7" s="9">
        <v>-5000</v>
      </c>
      <c r="M7" s="9"/>
      <c r="N7" s="55">
        <v>0</v>
      </c>
      <c r="O7" s="21">
        <f t="shared" si="7"/>
        <v>19000</v>
      </c>
      <c r="P7" s="8" t="s">
        <v>147</v>
      </c>
      <c r="Q7" s="9">
        <v>-3000</v>
      </c>
      <c r="R7" s="9"/>
      <c r="S7" s="55">
        <v>0</v>
      </c>
      <c r="T7" s="21">
        <f t="shared" si="8"/>
        <v>48000</v>
      </c>
      <c r="U7" s="66">
        <f t="shared" si="0"/>
        <v>3</v>
      </c>
      <c r="V7" s="67">
        <f t="shared" si="1"/>
        <v>-16</v>
      </c>
      <c r="W7" s="68">
        <f t="shared" si="2"/>
        <v>13</v>
      </c>
      <c r="Y7" s="8"/>
      <c r="Z7" s="41"/>
      <c r="AA7" s="32"/>
      <c r="AB7" s="32">
        <v>1</v>
      </c>
      <c r="AC7" s="32">
        <v>4</v>
      </c>
      <c r="AD7" s="36">
        <v>30</v>
      </c>
      <c r="AE7" s="47" t="s">
        <v>87</v>
      </c>
      <c r="AF7" s="48" t="s">
        <v>87</v>
      </c>
      <c r="AG7" s="48" t="s">
        <v>105</v>
      </c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南</v>
      </c>
      <c r="B8" s="18">
        <f t="shared" si="9"/>
        <v>1</v>
      </c>
      <c r="C8" s="18">
        <f t="shared" si="4"/>
        <v>0</v>
      </c>
      <c r="D8" s="18">
        <f t="shared" si="5"/>
        <v>0</v>
      </c>
      <c r="E8" s="4" t="s">
        <v>139</v>
      </c>
      <c r="F8" s="8" t="s">
        <v>147</v>
      </c>
      <c r="G8" s="9">
        <v>-9000</v>
      </c>
      <c r="H8" s="9"/>
      <c r="I8" s="55">
        <v>0</v>
      </c>
      <c r="J8" s="21">
        <f t="shared" si="6"/>
        <v>29000</v>
      </c>
      <c r="K8" s="8" t="s">
        <v>147</v>
      </c>
      <c r="L8" s="9">
        <v>-9000</v>
      </c>
      <c r="M8" s="9"/>
      <c r="N8" s="55">
        <v>0</v>
      </c>
      <c r="O8" s="21">
        <f t="shared" si="7"/>
        <v>10000</v>
      </c>
      <c r="P8" s="8" t="s">
        <v>146</v>
      </c>
      <c r="Q8" s="9">
        <v>18000</v>
      </c>
      <c r="R8" s="9"/>
      <c r="S8" s="55">
        <v>0</v>
      </c>
      <c r="T8" s="21">
        <f t="shared" si="8"/>
        <v>66000</v>
      </c>
      <c r="U8" s="66">
        <f t="shared" si="0"/>
        <v>-6</v>
      </c>
      <c r="V8" s="67">
        <f t="shared" si="1"/>
        <v>-25</v>
      </c>
      <c r="W8" s="68">
        <f t="shared" si="2"/>
        <v>31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>
        <v>7</v>
      </c>
      <c r="BT8" s="36" t="s">
        <v>144</v>
      </c>
      <c r="BU8" s="47" t="s">
        <v>145</v>
      </c>
      <c r="BV8" s="48" t="s">
        <v>83</v>
      </c>
      <c r="BW8" s="48" t="s">
        <v>87</v>
      </c>
      <c r="BX8" s="48" t="s">
        <v>85</v>
      </c>
      <c r="BY8" s="48" t="s">
        <v>82</v>
      </c>
      <c r="BZ8" s="48" t="s">
        <v>80</v>
      </c>
      <c r="CA8" s="48" t="s">
        <v>80</v>
      </c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9"/>
        <v>1</v>
      </c>
      <c r="C9" s="18">
        <f t="shared" si="4"/>
        <v>1</v>
      </c>
      <c r="D9" s="18">
        <f t="shared" si="5"/>
        <v>0</v>
      </c>
      <c r="E9" s="4" t="s">
        <v>139</v>
      </c>
      <c r="F9" s="8" t="s">
        <v>147</v>
      </c>
      <c r="G9" s="9">
        <v>-9000</v>
      </c>
      <c r="H9" s="9"/>
      <c r="I9" s="55">
        <v>-500</v>
      </c>
      <c r="J9" s="21">
        <f t="shared" si="6"/>
        <v>19500</v>
      </c>
      <c r="K9" s="8" t="s">
        <v>147</v>
      </c>
      <c r="L9" s="9">
        <v>-9000</v>
      </c>
      <c r="M9" s="9">
        <v>-1000</v>
      </c>
      <c r="N9" s="55">
        <v>-500</v>
      </c>
      <c r="O9" s="21">
        <f t="shared" si="7"/>
        <v>-500</v>
      </c>
      <c r="P9" s="8" t="s">
        <v>146</v>
      </c>
      <c r="Q9" s="9">
        <v>18000</v>
      </c>
      <c r="R9" s="9">
        <v>1000</v>
      </c>
      <c r="S9" s="55">
        <v>1000</v>
      </c>
      <c r="T9" s="21">
        <f t="shared" si="8"/>
        <v>86000</v>
      </c>
      <c r="U9" s="66">
        <f t="shared" si="0"/>
        <v>-15.5</v>
      </c>
      <c r="V9" s="67">
        <f t="shared" si="1"/>
        <v>-35.5</v>
      </c>
      <c r="W9" s="68">
        <f t="shared" si="2"/>
        <v>51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>
        <v>1</v>
      </c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>
        <v>7</v>
      </c>
      <c r="BT9" s="36" t="s">
        <v>144</v>
      </c>
      <c r="BU9" s="47" t="s">
        <v>145</v>
      </c>
      <c r="BV9" s="48" t="s">
        <v>83</v>
      </c>
      <c r="BW9" s="48" t="s">
        <v>81</v>
      </c>
      <c r="BX9" s="48" t="s">
        <v>81</v>
      </c>
      <c r="BY9" s="48" t="s">
        <v>82</v>
      </c>
      <c r="BZ9" s="48" t="s">
        <v>102</v>
      </c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/>
      </c>
      <c r="B10" s="18" t="str">
        <f t="shared" si="9"/>
        <v/>
      </c>
      <c r="C10" s="18" t="str">
        <f t="shared" si="4"/>
        <v/>
      </c>
      <c r="D10" s="18" t="str">
        <f t="shared" si="5"/>
        <v/>
      </c>
      <c r="E10" s="4"/>
      <c r="F10" s="8"/>
      <c r="G10" s="9"/>
      <c r="H10" s="9"/>
      <c r="I10" s="55"/>
      <c r="J10" s="21" t="str">
        <f t="shared" si="6"/>
        <v/>
      </c>
      <c r="K10" s="8"/>
      <c r="L10" s="9"/>
      <c r="M10" s="9"/>
      <c r="N10" s="55"/>
      <c r="O10" s="21" t="str">
        <f t="shared" si="7"/>
        <v/>
      </c>
      <c r="P10" s="8"/>
      <c r="Q10" s="9"/>
      <c r="R10" s="9"/>
      <c r="S10" s="55"/>
      <c r="T10" s="21" t="str">
        <f t="shared" si="8"/>
        <v/>
      </c>
      <c r="U10" s="66" t="str">
        <f t="shared" si="0"/>
        <v/>
      </c>
      <c r="V10" s="67" t="str">
        <f t="shared" si="1"/>
        <v/>
      </c>
      <c r="W10" s="68" t="str">
        <f t="shared" si="2"/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/>
      </c>
      <c r="B11" s="18" t="str">
        <f t="shared" si="9"/>
        <v/>
      </c>
      <c r="C11" s="18" t="str">
        <f t="shared" si="4"/>
        <v/>
      </c>
      <c r="D11" s="18" t="str">
        <f t="shared" si="5"/>
        <v/>
      </c>
      <c r="E11" s="4"/>
      <c r="F11" s="8"/>
      <c r="G11" s="9"/>
      <c r="H11" s="9"/>
      <c r="I11" s="55"/>
      <c r="J11" s="21" t="str">
        <f t="shared" si="6"/>
        <v/>
      </c>
      <c r="K11" s="8"/>
      <c r="L11" s="9"/>
      <c r="M11" s="9"/>
      <c r="N11" s="55"/>
      <c r="O11" s="21" t="str">
        <f t="shared" si="7"/>
        <v/>
      </c>
      <c r="P11" s="8"/>
      <c r="Q11" s="9"/>
      <c r="R11" s="9"/>
      <c r="S11" s="55"/>
      <c r="T11" s="21" t="str">
        <f t="shared" si="8"/>
        <v/>
      </c>
      <c r="U11" s="66" t="str">
        <f t="shared" si="0"/>
        <v/>
      </c>
      <c r="V11" s="67" t="str">
        <f t="shared" si="1"/>
        <v/>
      </c>
      <c r="W11" s="68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9"/>
        <v/>
      </c>
      <c r="C12" s="18" t="str">
        <f t="shared" si="4"/>
        <v/>
      </c>
      <c r="D12" s="18" t="str">
        <f t="shared" si="5"/>
        <v/>
      </c>
      <c r="E12" s="4"/>
      <c r="F12" s="8"/>
      <c r="G12" s="9"/>
      <c r="H12" s="9"/>
      <c r="I12" s="55"/>
      <c r="J12" s="21" t="str">
        <f t="shared" si="6"/>
        <v/>
      </c>
      <c r="K12" s="8"/>
      <c r="L12" s="9"/>
      <c r="M12" s="9"/>
      <c r="N12" s="55"/>
      <c r="O12" s="21" t="str">
        <f t="shared" si="7"/>
        <v/>
      </c>
      <c r="P12" s="8"/>
      <c r="Q12" s="9"/>
      <c r="R12" s="9"/>
      <c r="S12" s="55"/>
      <c r="T12" s="21" t="str">
        <f t="shared" si="8"/>
        <v/>
      </c>
      <c r="U12" s="66" t="str">
        <f t="shared" si="0"/>
        <v/>
      </c>
      <c r="V12" s="67" t="str">
        <f t="shared" si="1"/>
        <v/>
      </c>
      <c r="W12" s="68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9"/>
        <v/>
      </c>
      <c r="C13" s="18" t="str">
        <f t="shared" si="4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6" t="str">
        <f t="shared" si="0"/>
        <v/>
      </c>
      <c r="V13" s="67" t="str">
        <f t="shared" si="1"/>
        <v/>
      </c>
      <c r="W13" s="68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9"/>
        <v/>
      </c>
      <c r="C14" s="18" t="str">
        <f t="shared" si="4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6" t="str">
        <f t="shared" si="0"/>
        <v/>
      </c>
      <c r="V14" s="67" t="str">
        <f t="shared" si="1"/>
        <v/>
      </c>
      <c r="W14" s="68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6" t="str">
        <f t="shared" si="0"/>
        <v/>
      </c>
      <c r="V15" s="67" t="str">
        <f t="shared" si="1"/>
        <v/>
      </c>
      <c r="W15" s="68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6" t="str">
        <f t="shared" si="0"/>
        <v/>
      </c>
      <c r="V16" s="67" t="str">
        <f t="shared" si="1"/>
        <v/>
      </c>
      <c r="W16" s="68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6" t="str">
        <f t="shared" si="0"/>
        <v/>
      </c>
      <c r="V17" s="67" t="str">
        <f t="shared" si="1"/>
        <v/>
      </c>
      <c r="W17" s="68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6" t="str">
        <f t="shared" si="0"/>
        <v/>
      </c>
      <c r="V18" s="67" t="str">
        <f t="shared" si="1"/>
        <v/>
      </c>
      <c r="W18" s="68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6" t="str">
        <f t="shared" si="0"/>
        <v/>
      </c>
      <c r="V19" s="67" t="str">
        <f t="shared" si="1"/>
        <v/>
      </c>
      <c r="W19" s="68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6" t="str">
        <f t="shared" si="0"/>
        <v/>
      </c>
      <c r="V20" s="67" t="str">
        <f t="shared" si="1"/>
        <v/>
      </c>
      <c r="W20" s="68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6" t="str">
        <f t="shared" si="0"/>
        <v/>
      </c>
      <c r="V21" s="67" t="str">
        <f t="shared" si="1"/>
        <v/>
      </c>
      <c r="W21" s="68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6" t="str">
        <f t="shared" si="0"/>
        <v/>
      </c>
      <c r="V22" s="67" t="str">
        <f t="shared" si="1"/>
        <v/>
      </c>
      <c r="W22" s="68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6" t="str">
        <f t="shared" si="0"/>
        <v/>
      </c>
      <c r="V23" s="67" t="str">
        <f t="shared" si="1"/>
        <v/>
      </c>
      <c r="W23" s="68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6" t="str">
        <f t="shared" si="0"/>
        <v/>
      </c>
      <c r="V24" s="67" t="str">
        <f t="shared" si="1"/>
        <v/>
      </c>
      <c r="W24" s="68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6" t="str">
        <f t="shared" si="0"/>
        <v/>
      </c>
      <c r="V25" s="67" t="str">
        <f t="shared" si="1"/>
        <v/>
      </c>
      <c r="W25" s="68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6" t="str">
        <f t="shared" si="0"/>
        <v/>
      </c>
      <c r="V26" s="67" t="str">
        <f t="shared" si="1"/>
        <v/>
      </c>
      <c r="W26" s="68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6" t="str">
        <f t="shared" si="0"/>
        <v/>
      </c>
      <c r="V27" s="67" t="str">
        <f t="shared" si="1"/>
        <v/>
      </c>
      <c r="W27" s="68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6" t="str">
        <f t="shared" si="0"/>
        <v/>
      </c>
      <c r="V28" s="67" t="str">
        <f t="shared" si="1"/>
        <v/>
      </c>
      <c r="W28" s="68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6" t="str">
        <f t="shared" si="0"/>
        <v/>
      </c>
      <c r="V29" s="67" t="str">
        <f t="shared" si="1"/>
        <v/>
      </c>
      <c r="W29" s="68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9" t="str">
        <f t="shared" si="0"/>
        <v/>
      </c>
      <c r="V30" s="70" t="str">
        <f t="shared" si="1"/>
        <v/>
      </c>
      <c r="W30" s="71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1B2AB40B-332D-4191-8447-4901A44A3208}">
      <formula1>$U$2:$W$2</formula1>
    </dataValidation>
    <dataValidation type="list" showInputMessage="1" showErrorMessage="1" sqref="K4:K30 P4:P30 F4:F30" xr:uid="{53A488C5-0BB7-461B-85B4-8098E573265B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1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3" x14ac:dyDescent="0.4">
      <c r="A49" s="43" t="s">
        <v>125</v>
      </c>
      <c r="B49" s="15" t="s">
        <v>75</v>
      </c>
      <c r="C49" s="15">
        <v>13</v>
      </c>
    </row>
    <row r="50" spans="1:3" x14ac:dyDescent="0.4">
      <c r="A50" s="43" t="s">
        <v>126</v>
      </c>
      <c r="B50" s="15" t="s">
        <v>76</v>
      </c>
      <c r="C50" s="15">
        <v>13</v>
      </c>
    </row>
    <row r="51" spans="1:3" x14ac:dyDescent="0.4">
      <c r="A51" s="43" t="s">
        <v>127</v>
      </c>
      <c r="B51" s="15" t="s">
        <v>77</v>
      </c>
      <c r="C51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>
      <selection sqref="A1:A2"/>
    </sheetView>
  </sheetViews>
  <sheetFormatPr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12000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12000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-6000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-6000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8000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8000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8000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8000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-3000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-3000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-5000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-5000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Sheet1</vt:lpstr>
      <vt:lpstr>Sheet2</vt:lpstr>
      <vt:lpstr>Sheet3</vt:lpstr>
      <vt:lpstr>Sheet4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2019-01-06T12:22:57Z</dcterms:modified>
</cp:coreProperties>
</file>