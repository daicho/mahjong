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5AE34146-BAA2-4786-8CA9-705C7A1664E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D14" i="18"/>
  <c r="D15" i="18" s="1"/>
  <c r="C14" i="18"/>
  <c r="C15" i="18" s="1"/>
  <c r="D13" i="18"/>
  <c r="C13" i="18"/>
  <c r="D12" i="18"/>
  <c r="D10" i="18"/>
  <c r="D11" i="18" s="1"/>
  <c r="C10" i="18"/>
  <c r="C11" i="18" s="1"/>
  <c r="C12" i="18" s="1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W15" i="17" s="1"/>
  <c r="O15" i="17"/>
  <c r="V15" i="17" s="1"/>
  <c r="J15" i="17"/>
  <c r="U15" i="17" s="1"/>
  <c r="D15" i="17"/>
  <c r="C15" i="17"/>
  <c r="B15" i="17"/>
  <c r="A15" i="17" s="1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D12" i="17"/>
  <c r="C12" i="17"/>
  <c r="D11" i="17"/>
  <c r="D10" i="17"/>
  <c r="C10" i="17"/>
  <c r="C11" i="17" s="1"/>
  <c r="D9" i="17"/>
  <c r="D8" i="17"/>
  <c r="C8" i="17"/>
  <c r="C9" i="17" s="1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8" l="1"/>
  <c r="B7" i="18"/>
  <c r="V6" i="18"/>
  <c r="O7" i="18"/>
  <c r="T5" i="18"/>
  <c r="A6" i="18"/>
  <c r="J6" i="18"/>
  <c r="A5" i="17"/>
  <c r="V5" i="17"/>
  <c r="B7" i="17"/>
  <c r="A7" i="17" s="1"/>
  <c r="V6" i="17"/>
  <c r="O7" i="17"/>
  <c r="T5" i="17"/>
  <c r="A6" i="17"/>
  <c r="J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1" i="16"/>
  <c r="C11" i="16"/>
  <c r="D10" i="16"/>
  <c r="C10" i="16"/>
  <c r="D9" i="16"/>
  <c r="D8" i="16"/>
  <c r="C8" i="16"/>
  <c r="C9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W5" i="18" l="1"/>
  <c r="T6" i="18"/>
  <c r="B8" i="18"/>
  <c r="A8" i="18" s="1"/>
  <c r="O8" i="18"/>
  <c r="V7" i="18"/>
  <c r="U6" i="18"/>
  <c r="J7" i="18"/>
  <c r="A7" i="18"/>
  <c r="W5" i="17"/>
  <c r="T6" i="17"/>
  <c r="O8" i="17"/>
  <c r="V7" i="17"/>
  <c r="U6" i="17"/>
  <c r="J7" i="17"/>
  <c r="B8" i="17"/>
  <c r="A8" i="17" s="1"/>
  <c r="A5" i="16"/>
  <c r="V5" i="16"/>
  <c r="B7" i="16"/>
  <c r="A7" i="16" s="1"/>
  <c r="O7" i="16"/>
  <c r="V6" i="16"/>
  <c r="T5" i="16"/>
  <c r="A6" i="16"/>
  <c r="J6" i="16"/>
  <c r="U7" i="18" l="1"/>
  <c r="J8" i="18"/>
  <c r="B9" i="18"/>
  <c r="A9" i="18" s="1"/>
  <c r="W6" i="18"/>
  <c r="T7" i="18"/>
  <c r="O9" i="18"/>
  <c r="V8" i="18"/>
  <c r="W6" i="17"/>
  <c r="T7" i="17"/>
  <c r="U7" i="17"/>
  <c r="J8" i="17"/>
  <c r="B9" i="17"/>
  <c r="A9" i="17" s="1"/>
  <c r="V8" i="17"/>
  <c r="O9" i="17"/>
  <c r="U6" i="16"/>
  <c r="J7" i="16"/>
  <c r="O8" i="16"/>
  <c r="V7" i="16"/>
  <c r="W5" i="16"/>
  <c r="T6" i="16"/>
  <c r="B8" i="16"/>
  <c r="B10" i="18" l="1"/>
  <c r="A10" i="18" s="1"/>
  <c r="O10" i="18"/>
  <c r="V9" i="18"/>
  <c r="T8" i="18"/>
  <c r="W7" i="18"/>
  <c r="U8" i="18"/>
  <c r="J9" i="18"/>
  <c r="U8" i="17"/>
  <c r="J9" i="17"/>
  <c r="O10" i="17"/>
  <c r="V9" i="17"/>
  <c r="B10" i="17"/>
  <c r="A10" i="17" s="1"/>
  <c r="T8" i="17"/>
  <c r="W7" i="17"/>
  <c r="B9" i="16"/>
  <c r="A9" i="16" s="1"/>
  <c r="O9" i="16"/>
  <c r="V8" i="16"/>
  <c r="U7" i="16"/>
  <c r="J8" i="16"/>
  <c r="A8" i="16"/>
  <c r="W6" i="16"/>
  <c r="T7" i="16"/>
  <c r="U9" i="18" l="1"/>
  <c r="J10" i="18"/>
  <c r="V10" i="18"/>
  <c r="O11" i="18"/>
  <c r="W8" i="18"/>
  <c r="T9" i="18"/>
  <c r="B11" i="18"/>
  <c r="W8" i="17"/>
  <c r="T9" i="17"/>
  <c r="V10" i="17"/>
  <c r="O11" i="17"/>
  <c r="U9" i="17"/>
  <c r="J10" i="17"/>
  <c r="B11" i="17"/>
  <c r="O10" i="16"/>
  <c r="V9" i="16"/>
  <c r="J9" i="16"/>
  <c r="U8" i="16"/>
  <c r="W7" i="16"/>
  <c r="T8" i="16"/>
  <c r="B10" i="16"/>
  <c r="A10" i="16" s="1"/>
  <c r="O12" i="18" l="1"/>
  <c r="V11" i="18"/>
  <c r="B12" i="18"/>
  <c r="A12" i="18" s="1"/>
  <c r="J11" i="18"/>
  <c r="U10" i="18"/>
  <c r="A11" i="18"/>
  <c r="T10" i="18"/>
  <c r="W9" i="18"/>
  <c r="B12" i="17"/>
  <c r="A11" i="17"/>
  <c r="O12" i="17"/>
  <c r="V12" i="17" s="1"/>
  <c r="V11" i="17"/>
  <c r="U10" i="17"/>
  <c r="J11" i="17"/>
  <c r="T10" i="17"/>
  <c r="W9" i="17"/>
  <c r="B11" i="16"/>
  <c r="U9" i="16"/>
  <c r="J10" i="16"/>
  <c r="W8" i="16"/>
  <c r="T9" i="16"/>
  <c r="V10" i="16"/>
  <c r="O11" i="16"/>
  <c r="W10" i="18" l="1"/>
  <c r="T11" i="18"/>
  <c r="B13" i="18"/>
  <c r="A13" i="18" s="1"/>
  <c r="U11" i="18"/>
  <c r="J12" i="18"/>
  <c r="V12" i="18"/>
  <c r="O13" i="18"/>
  <c r="A12" i="17"/>
  <c r="U11" i="17"/>
  <c r="J12" i="17"/>
  <c r="U12" i="17" s="1"/>
  <c r="W10" i="17"/>
  <c r="T11" i="17"/>
  <c r="B13" i="17"/>
  <c r="A13" i="17" s="1"/>
  <c r="O12" i="16"/>
  <c r="V11" i="16"/>
  <c r="U10" i="16"/>
  <c r="J11" i="16"/>
  <c r="W9" i="16"/>
  <c r="T10" i="16"/>
  <c r="B12" i="16"/>
  <c r="A11" i="16"/>
  <c r="B14" i="18" l="1"/>
  <c r="A14" i="18"/>
  <c r="O14" i="18"/>
  <c r="V13" i="18"/>
  <c r="T12" i="18"/>
  <c r="W11" i="18"/>
  <c r="U12" i="18"/>
  <c r="J13" i="18"/>
  <c r="W11" i="17"/>
  <c r="T12" i="17"/>
  <c r="W12" i="17" s="1"/>
  <c r="V12" i="16"/>
  <c r="A12" i="16"/>
  <c r="U11" i="16"/>
  <c r="J12" i="16"/>
  <c r="W10" i="16"/>
  <c r="T11" i="16"/>
  <c r="U13" i="18" l="1"/>
  <c r="J14" i="18"/>
  <c r="O15" i="18"/>
  <c r="V15" i="18" s="1"/>
  <c r="V14" i="18"/>
  <c r="W12" i="18"/>
  <c r="T13" i="18"/>
  <c r="B15" i="18"/>
  <c r="A15" i="18" s="1"/>
  <c r="U12" i="16"/>
  <c r="W11" i="16"/>
  <c r="T12" i="16"/>
  <c r="T14" i="18" l="1"/>
  <c r="W13" i="18"/>
  <c r="U14" i="18"/>
  <c r="J15" i="18"/>
  <c r="U15" i="18" s="1"/>
  <c r="W12" i="16"/>
  <c r="W14" i="18" l="1"/>
  <c r="T15" i="18"/>
  <c r="W15" i="18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<sst xmlns="http://schemas.openxmlformats.org/spreadsheetml/2006/main" count="909" uniqueCount="151">
  <si>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</si>
  <si>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</si>
  <si>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</si>
  <si>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</si>
  <si>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</si>
  <si>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</si>
  <si>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</si>
  <si>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</si>
  <si>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</si>
  <si>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</si>
  <si>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</si>
  <si>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</si>
  <si>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</si>
  <si>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</si>
  <si>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</si>
  <si>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</si>
  <si>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</si>
  <si>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</si>
  <si>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</si>
  <si>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</si>
  <si>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</si>
  <si>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</si>
  <si>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</si>
  <si>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</si>
  <si>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</si>
  <si>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</si>
  <si>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</si>
  <si>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</si>
  <si>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</si>
  <si>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</si>
  <si>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</si>
  <si>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</si>
  <si>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</si>
  <si>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</si>
  <si>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</si>
  <si>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</si>
  <si>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</si>
  <si>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</si>
  <si>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</si>
  <si>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</si>
  <si>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</si>
  <si>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</si>
  <si>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</si>
  <si>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</si>
  <si>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</si>
  <si>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</si>
  <si>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</si>
  <si>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</si>
  <si>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</si>
  <si>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</si>
  <si>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</si>
  <si>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</si>
  <si>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</si>
  <si>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</si>
  <si>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</si>
  <si>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</si>
  <si>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</si>
  <si>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</si>
  <si>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</si>
  <si>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</si>
  <si>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</si>
  <si>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</si>
  <si>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</si>
  <si>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</si>
  <si>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</si>
  <si>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</si>
  <si>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</si>
  <si>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</si>
  <si>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</si>
  <si>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</si>
  <si>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</si>
  <si>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</si>
  <si>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</si>
  <si>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</si>
  <si>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</si>
  <si>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</si>
  <si>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</si>
  <si>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</si>
  <si>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</si>
  <si>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</si>
  <si>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</si>
  <si>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</si>
  <si>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</si>
  <si>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</si>
  <si>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</si>
  <si>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</si>
  <si>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</si>
  <si>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</si>
  <si>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</si>
  <si>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</si>
  <si>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</si>
  <si>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</si>
  <si>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</si>
  <si>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</si>
  <si>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</si>
  <si>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</si>
  <si>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</si>
  <si>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</si>
  <si>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</si>
  <si>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</si>
  <si>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</si>
  <si>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</si>
  <si>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</si>
  <si>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</si>
  <si>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</si>
  <si>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</si>
  <si>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</si>
  <si>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</si>
  <si>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</si>
  <si>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</si>
  <si>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</si>
  <si>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</si>
  <si>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</si>
  <si>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</si>
  <si>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</si>
  <si>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</si>
  <si>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</si>
  <si>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</si>
  <si>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</si>
  <si>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</si>
  <si>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</si>
  <si>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</si>
  <si>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</si>
  <si>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</si>
  <si>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</si>
  <si>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</si>
  <si>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</si>
  <si>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</si>
  <si>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</si>
  <si>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</si>
  <si>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</si>
  <si>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</si>
  <si>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</si>
  <si>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</si>
  <si>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</si>
  <si>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</si>
  <si>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</si>
  <si>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</si>
  <si>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</si>
  <si>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</si>
  <si>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</si>
  <si>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</si>
  <si>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</si>
  <si>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</si>
  <si>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</si>
  <si>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放銃</t>
  </si>
  <si>
    <t>ロン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</si>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</sst>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141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142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9</v>
      </c>
      <c r="BT4" s="36" t="s">
        <v>143</v>
      </c>
      <c r="BU4" s="47" t="s">
        <v>144</v>
      </c>
      <c r="BV4" s="48" t="s">
        <v>83</v>
      </c>
      <c r="BW4" s="48" t="s">
        <v>93</v>
      </c>
      <c r="BX4" s="48" t="s">
        <v>82</v>
      </c>
      <c r="BY4" s="48" t="s">
        <v>82</v>
      </c>
      <c r="BZ4" s="48" t="s">
        <v>80</v>
      </c>
      <c r="CA4" s="48" t="s">
        <v>80</v>
      </c>
      <c r="CB4" s="48" t="s">
        <v>81</v>
      </c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-6000</v>
      </c>
      <c r="H5" s="9"/>
      <c r="I5" s="55">
        <v>0</v>
      </c>
      <c r="J5" s="21">
        <f t="shared" ref="J5:J30" si="6">IF(COUNTA($F5,$K5,$P5)&gt;0,J4+SUM(G5:I5),"")</f>
        <v>23000</v>
      </c>
      <c r="K5" s="8" t="s">
        <v>141</v>
      </c>
      <c r="L5" s="9">
        <v>-6000</v>
      </c>
      <c r="M5" s="9">
        <v>-1000</v>
      </c>
      <c r="N5" s="55">
        <v>0</v>
      </c>
      <c r="O5" s="21">
        <f t="shared" ref="O5:O30" si="7">IF(COUNTA($F5,$K5,$P5)&gt;0,O4+SUM(L5:N5),"")</f>
        <v>18000</v>
      </c>
      <c r="P5" s="8" t="s">
        <v>142</v>
      </c>
      <c r="Q5" s="9">
        <v>12000</v>
      </c>
      <c r="R5" s="9">
        <v>1000</v>
      </c>
      <c r="S5" s="55">
        <v>0</v>
      </c>
      <c r="T5" s="21">
        <f t="shared" ref="T5:T30" si="8">IF(COUNTA($F5,$K5,$P5)&gt;0,T4+SUM(Q5:S5),"")</f>
        <v>64000</v>
      </c>
      <c r="U5" s="60">
        <f t="shared" si="0"/>
        <v>-12</v>
      </c>
      <c r="V5" s="61">
        <f t="shared" si="1"/>
        <v>-17</v>
      </c>
      <c r="W5" s="62">
        <f t="shared" si="2"/>
        <v>29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143</v>
      </c>
      <c r="BU5" s="47" t="s">
        <v>144</v>
      </c>
      <c r="BV5" s="48" t="s">
        <v>83</v>
      </c>
      <c r="BW5" s="48" t="s">
        <v>102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/>
      <c r="G6" s="9"/>
      <c r="H6" s="9">
        <v>-1000</v>
      </c>
      <c r="I6" s="55"/>
      <c r="J6" s="21">
        <f t="shared" si="6"/>
        <v>22000</v>
      </c>
      <c r="K6" s="8" t="s">
        <v>145</v>
      </c>
      <c r="L6" s="9">
        <v>-12000</v>
      </c>
      <c r="M6" s="9"/>
      <c r="N6" s="55">
        <v>-1000</v>
      </c>
      <c r="O6" s="21">
        <f t="shared" si="7"/>
        <v>5000</v>
      </c>
      <c r="P6" s="8" t="s">
        <v>146</v>
      </c>
      <c r="Q6" s="9">
        <v>12000</v>
      </c>
      <c r="R6" s="9">
        <v>1000</v>
      </c>
      <c r="S6" s="55">
        <v>1000</v>
      </c>
      <c r="T6" s="21">
        <f t="shared" si="8"/>
        <v>78000</v>
      </c>
      <c r="U6" s="60">
        <f t="shared" si="0"/>
        <v>-13</v>
      </c>
      <c r="V6" s="61">
        <f t="shared" si="1"/>
        <v>-30</v>
      </c>
      <c r="W6" s="62">
        <f t="shared" si="2"/>
        <v>43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5</v>
      </c>
      <c r="BT6" s="36" t="s">
        <v>143</v>
      </c>
      <c r="BU6" s="47" t="s">
        <v>87</v>
      </c>
      <c r="BV6" s="48" t="s">
        <v>87</v>
      </c>
      <c r="BW6" s="48" t="s">
        <v>82</v>
      </c>
      <c r="BX6" s="48" t="s">
        <v>82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0</v>
      </c>
      <c r="E7" s="4" t="s">
        <v>139</v>
      </c>
      <c r="F7" s="8" t="s">
        <v>146</v>
      </c>
      <c r="G7" s="9">
        <v>12000</v>
      </c>
      <c r="H7" s="9"/>
      <c r="I7" s="55">
        <v>2000</v>
      </c>
      <c r="J7" s="21">
        <f t="shared" si="6"/>
        <v>36000</v>
      </c>
      <c r="K7" s="8"/>
      <c r="L7" s="9"/>
      <c r="M7" s="9"/>
      <c r="N7" s="55"/>
      <c r="O7" s="21">
        <f t="shared" si="7"/>
        <v>5000</v>
      </c>
      <c r="P7" s="8" t="s">
        <v>145</v>
      </c>
      <c r="Q7" s="9">
        <v>-12000</v>
      </c>
      <c r="R7" s="9"/>
      <c r="S7" s="55">
        <v>-2000</v>
      </c>
      <c r="T7" s="21">
        <f t="shared" si="8"/>
        <v>64000</v>
      </c>
      <c r="U7" s="60">
        <f t="shared" si="0"/>
        <v>1</v>
      </c>
      <c r="V7" s="61">
        <f t="shared" si="1"/>
        <v>-30</v>
      </c>
      <c r="W7" s="62">
        <f t="shared" si="2"/>
        <v>29</v>
      </c>
      <c r="Y7" s="8"/>
      <c r="Z7" s="41"/>
      <c r="AA7" s="32"/>
      <c r="AB7" s="32"/>
      <c r="AC7" s="32">
        <v>6</v>
      </c>
      <c r="AD7" s="36" t="s">
        <v>143</v>
      </c>
      <c r="AE7" s="47" t="s">
        <v>105</v>
      </c>
      <c r="AF7" s="48" t="s">
        <v>103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135</v>
      </c>
      <c r="F8" s="8" t="s">
        <v>142</v>
      </c>
      <c r="G8" s="9">
        <v>3000</v>
      </c>
      <c r="H8" s="9"/>
      <c r="I8" s="55">
        <v>0</v>
      </c>
      <c r="J8" s="21">
        <f t="shared" si="6"/>
        <v>39000</v>
      </c>
      <c r="K8" s="8" t="s">
        <v>141</v>
      </c>
      <c r="L8" s="9">
        <v>-1500</v>
      </c>
      <c r="M8" s="9"/>
      <c r="N8" s="55">
        <v>0</v>
      </c>
      <c r="O8" s="21">
        <f t="shared" si="7"/>
        <v>3500</v>
      </c>
      <c r="P8" s="8" t="s">
        <v>141</v>
      </c>
      <c r="Q8" s="9">
        <v>-1500</v>
      </c>
      <c r="R8" s="9"/>
      <c r="S8" s="55">
        <v>0</v>
      </c>
      <c r="T8" s="21">
        <f t="shared" si="8"/>
        <v>62500</v>
      </c>
      <c r="U8" s="60">
        <f t="shared" si="0"/>
        <v>4</v>
      </c>
      <c r="V8" s="61">
        <f t="shared" si="1"/>
        <v>-31.5</v>
      </c>
      <c r="W8" s="62">
        <f t="shared" si="2"/>
        <v>27.5</v>
      </c>
      <c r="Y8" s="8"/>
      <c r="Z8" s="41"/>
      <c r="AA8" s="32">
        <v>1</v>
      </c>
      <c r="AB8" s="32"/>
      <c r="AC8" s="32">
        <v>2</v>
      </c>
      <c r="AD8" s="36">
        <v>30</v>
      </c>
      <c r="AE8" s="47" t="s">
        <v>144</v>
      </c>
      <c r="AF8" s="48" t="s">
        <v>83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39000</v>
      </c>
      <c r="K9" s="8" t="s">
        <v>146</v>
      </c>
      <c r="L9" s="9">
        <v>8000</v>
      </c>
      <c r="M9" s="9"/>
      <c r="N9" s="55">
        <v>1000</v>
      </c>
      <c r="O9" s="21">
        <f t="shared" si="7"/>
        <v>12500</v>
      </c>
      <c r="P9" s="8" t="s">
        <v>145</v>
      </c>
      <c r="Q9" s="9">
        <v>-8000</v>
      </c>
      <c r="R9" s="9"/>
      <c r="S9" s="55">
        <v>-1000</v>
      </c>
      <c r="T9" s="21">
        <f t="shared" si="8"/>
        <v>53500</v>
      </c>
      <c r="U9" s="60">
        <f t="shared" si="0"/>
        <v>4</v>
      </c>
      <c r="V9" s="61">
        <f t="shared" si="1"/>
        <v>-22.5</v>
      </c>
      <c r="W9" s="62">
        <f t="shared" si="2"/>
        <v>18.5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143</v>
      </c>
      <c r="AZ9" s="47" t="s">
        <v>102</v>
      </c>
      <c r="BA9" s="48" t="s">
        <v>80</v>
      </c>
      <c r="BB9" s="48" t="s">
        <v>80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146</v>
      </c>
      <c r="G10" s="9">
        <v>1300</v>
      </c>
      <c r="H10" s="9"/>
      <c r="I10" s="55">
        <v>0</v>
      </c>
      <c r="J10" s="21">
        <f t="shared" si="6"/>
        <v>40300</v>
      </c>
      <c r="K10" s="8" t="s">
        <v>145</v>
      </c>
      <c r="L10" s="9">
        <v>-1300</v>
      </c>
      <c r="M10" s="9"/>
      <c r="N10" s="55">
        <v>0</v>
      </c>
      <c r="O10" s="21">
        <f t="shared" si="7"/>
        <v>11200</v>
      </c>
      <c r="P10" s="8"/>
      <c r="Q10" s="9"/>
      <c r="R10" s="9"/>
      <c r="S10" s="55"/>
      <c r="T10" s="21">
        <f t="shared" si="8"/>
        <v>53500</v>
      </c>
      <c r="U10" s="60">
        <f t="shared" si="0"/>
        <v>5.3</v>
      </c>
      <c r="V10" s="61">
        <f t="shared" si="1"/>
        <v>-23.8</v>
      </c>
      <c r="W10" s="62">
        <f t="shared" si="2"/>
        <v>18.5</v>
      </c>
      <c r="Y10" s="8"/>
      <c r="Z10" s="41"/>
      <c r="AA10" s="32">
        <v>1</v>
      </c>
      <c r="AB10" s="32"/>
      <c r="AC10" s="32">
        <v>1</v>
      </c>
      <c r="AD10" s="36">
        <v>40</v>
      </c>
      <c r="AE10" s="47" t="s">
        <v>144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146</v>
      </c>
      <c r="G11" s="9">
        <v>3900</v>
      </c>
      <c r="H11" s="9">
        <v>1000</v>
      </c>
      <c r="I11" s="55">
        <v>0</v>
      </c>
      <c r="J11" s="21">
        <f t="shared" si="6"/>
        <v>45200</v>
      </c>
      <c r="K11" s="8" t="s">
        <v>145</v>
      </c>
      <c r="L11" s="9">
        <v>-3900</v>
      </c>
      <c r="M11" s="9">
        <v>-1000</v>
      </c>
      <c r="N11" s="55">
        <v>0</v>
      </c>
      <c r="O11" s="21">
        <f t="shared" si="7"/>
        <v>6300</v>
      </c>
      <c r="P11" s="8"/>
      <c r="Q11" s="9"/>
      <c r="R11" s="9"/>
      <c r="S11" s="55"/>
      <c r="T11" s="21">
        <f t="shared" si="8"/>
        <v>53500</v>
      </c>
      <c r="U11" s="60">
        <f t="shared" si="0"/>
        <v>10.199999999999999</v>
      </c>
      <c r="V11" s="61">
        <f t="shared" si="1"/>
        <v>-28.7</v>
      </c>
      <c r="W11" s="62">
        <f t="shared" si="2"/>
        <v>18.5</v>
      </c>
      <c r="Y11" s="8"/>
      <c r="Z11" s="41"/>
      <c r="AA11" s="32">
        <v>1</v>
      </c>
      <c r="AB11" s="32"/>
      <c r="AC11" s="32">
        <v>3</v>
      </c>
      <c r="AD11" s="36">
        <v>30</v>
      </c>
      <c r="AE11" s="47" t="s">
        <v>144</v>
      </c>
      <c r="AF11" s="48" t="s">
        <v>84</v>
      </c>
      <c r="AG11" s="48" t="s">
        <v>82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135</v>
      </c>
      <c r="F12" s="8" t="s">
        <v>141</v>
      </c>
      <c r="G12" s="9">
        <v>-5000</v>
      </c>
      <c r="H12" s="9"/>
      <c r="I12" s="55">
        <v>0</v>
      </c>
      <c r="J12" s="21">
        <f t="shared" si="6"/>
        <v>40200</v>
      </c>
      <c r="K12" s="8" t="s">
        <v>141</v>
      </c>
      <c r="L12" s="9">
        <v>-3000</v>
      </c>
      <c r="M12" s="9"/>
      <c r="N12" s="55">
        <v>0</v>
      </c>
      <c r="O12" s="21">
        <f t="shared" si="7"/>
        <v>3300</v>
      </c>
      <c r="P12" s="8" t="s">
        <v>142</v>
      </c>
      <c r="Q12" s="9">
        <v>8000</v>
      </c>
      <c r="R12" s="9"/>
      <c r="S12" s="55">
        <v>0</v>
      </c>
      <c r="T12" s="21">
        <f t="shared" si="8"/>
        <v>61500</v>
      </c>
      <c r="U12" s="60">
        <f t="shared" si="0"/>
        <v>5.2</v>
      </c>
      <c r="V12" s="61">
        <f t="shared" si="1"/>
        <v>-31.7</v>
      </c>
      <c r="W12" s="62">
        <f t="shared" si="2"/>
        <v>26.5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5</v>
      </c>
      <c r="BT12" s="36" t="s">
        <v>143</v>
      </c>
      <c r="BU12" s="47" t="s">
        <v>144</v>
      </c>
      <c r="BV12" s="48" t="s">
        <v>83</v>
      </c>
      <c r="BW12" s="48" t="s">
        <v>93</v>
      </c>
      <c r="BX12" s="48" t="s">
        <v>84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70D4C-1F4E-4B3B-93A5-8402D2801023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2000</v>
      </c>
      <c r="M4" s="9"/>
      <c r="N4" s="55">
        <v>0</v>
      </c>
      <c r="O4" s="21">
        <f>IF(COUNTA($F4,$K4,$P4)&gt;0,O3+SUM(L4:N4),"")</f>
        <v>37000</v>
      </c>
      <c r="P4" s="8" t="s">
        <v>145</v>
      </c>
      <c r="Q4" s="9">
        <v>-2000</v>
      </c>
      <c r="R4" s="9"/>
      <c r="S4" s="55">
        <v>0</v>
      </c>
      <c r="T4" s="21">
        <f>IF(COUNTA($F4,$K4,$P4)&gt;0,T3+SUM(Q4:S4),"")</f>
        <v>33000</v>
      </c>
      <c r="U4" s="60">
        <f t="shared" ref="U4:U30" si="0">IF($J4="","",ROUND(($J4-$J$3)/1000,1))</f>
        <v>0</v>
      </c>
      <c r="V4" s="61">
        <f t="shared" ref="V4:V30" si="1">IF($O4="","",ROUND(($O4-$O$3)/1000,1))</f>
        <v>2</v>
      </c>
      <c r="W4" s="62">
        <f t="shared" ref="W4:W30" si="2">IF($T4="","",ROUND(($T4-$T$3)/1000,1))</f>
        <v>-2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2</v>
      </c>
      <c r="AY4" s="36">
        <v>30</v>
      </c>
      <c r="AZ4" s="47" t="s">
        <v>82</v>
      </c>
      <c r="BA4" s="48" t="s">
        <v>87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-3000</v>
      </c>
      <c r="H5" s="9">
        <v>-1000</v>
      </c>
      <c r="I5" s="55">
        <v>0</v>
      </c>
      <c r="J5" s="21">
        <f t="shared" ref="J5:J30" si="6">IF(COUNTA($F5,$K5,$P5)&gt;0,J4+SUM(G5:I5),"")</f>
        <v>31000</v>
      </c>
      <c r="K5" s="8" t="s">
        <v>141</v>
      </c>
      <c r="L5" s="9">
        <v>-5000</v>
      </c>
      <c r="M5" s="9"/>
      <c r="N5" s="55">
        <v>0</v>
      </c>
      <c r="O5" s="21">
        <f t="shared" ref="O5:O30" si="7">IF(COUNTA($F5,$K5,$P5)&gt;0,O4+SUM(L5:N5),"")</f>
        <v>32000</v>
      </c>
      <c r="P5" s="8" t="s">
        <v>142</v>
      </c>
      <c r="Q5" s="9">
        <v>8000</v>
      </c>
      <c r="R5" s="9">
        <v>1000</v>
      </c>
      <c r="S5" s="55">
        <v>0</v>
      </c>
      <c r="T5" s="21">
        <f t="shared" ref="T5:T30" si="8">IF(COUNTA($F5,$K5,$P5)&gt;0,T4+SUM(Q5:S5),"")</f>
        <v>42000</v>
      </c>
      <c r="U5" s="60">
        <f t="shared" si="0"/>
        <v>-4</v>
      </c>
      <c r="V5" s="61">
        <f t="shared" si="1"/>
        <v>-3</v>
      </c>
      <c r="W5" s="62">
        <f t="shared" si="2"/>
        <v>7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143</v>
      </c>
      <c r="BU5" s="47" t="s">
        <v>144</v>
      </c>
      <c r="BV5" s="48" t="s">
        <v>83</v>
      </c>
      <c r="BW5" s="48" t="s">
        <v>87</v>
      </c>
      <c r="BX5" s="48" t="s">
        <v>82</v>
      </c>
      <c r="BY5" s="48" t="s">
        <v>82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/>
      <c r="G6" s="9"/>
      <c r="H6" s="9"/>
      <c r="I6" s="55"/>
      <c r="J6" s="21">
        <f t="shared" si="6"/>
        <v>31000</v>
      </c>
      <c r="K6" s="8" t="s">
        <v>146</v>
      </c>
      <c r="L6" s="9">
        <v>6400</v>
      </c>
      <c r="M6" s="9"/>
      <c r="N6" s="55">
        <v>0</v>
      </c>
      <c r="O6" s="21">
        <f t="shared" si="7"/>
        <v>38400</v>
      </c>
      <c r="P6" s="8" t="s">
        <v>145</v>
      </c>
      <c r="Q6" s="9">
        <v>-6400</v>
      </c>
      <c r="R6" s="9"/>
      <c r="S6" s="55">
        <v>0</v>
      </c>
      <c r="T6" s="21">
        <f t="shared" si="8"/>
        <v>35600</v>
      </c>
      <c r="U6" s="60">
        <f t="shared" si="0"/>
        <v>-4</v>
      </c>
      <c r="V6" s="61">
        <f t="shared" si="1"/>
        <v>3.4</v>
      </c>
      <c r="W6" s="62">
        <f t="shared" si="2"/>
        <v>0.6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25</v>
      </c>
      <c r="AZ6" s="47" t="s">
        <v>144</v>
      </c>
      <c r="BA6" s="48" t="s">
        <v>102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149</v>
      </c>
      <c r="G7" s="9">
        <v>1500</v>
      </c>
      <c r="H7" s="9">
        <v>-1000</v>
      </c>
      <c r="I7" s="55"/>
      <c r="J7" s="21">
        <f t="shared" si="6"/>
        <v>31500</v>
      </c>
      <c r="K7" s="8" t="s">
        <v>149</v>
      </c>
      <c r="L7" s="9">
        <v>-3000</v>
      </c>
      <c r="M7" s="9"/>
      <c r="N7" s="55"/>
      <c r="O7" s="21">
        <f t="shared" si="7"/>
        <v>35400</v>
      </c>
      <c r="P7" s="8" t="s">
        <v>149</v>
      </c>
      <c r="Q7" s="9">
        <v>1500</v>
      </c>
      <c r="R7" s="9"/>
      <c r="S7" s="55"/>
      <c r="T7" s="21">
        <f t="shared" si="8"/>
        <v>37100</v>
      </c>
      <c r="U7" s="60">
        <f t="shared" si="0"/>
        <v>-3.5</v>
      </c>
      <c r="V7" s="61">
        <f t="shared" si="1"/>
        <v>0.4</v>
      </c>
      <c r="W7" s="62">
        <f t="shared" si="2"/>
        <v>2.1</v>
      </c>
      <c r="Y7" s="8" t="s">
        <v>147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148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147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1</v>
      </c>
      <c r="E8" s="4" t="s">
        <v>135</v>
      </c>
      <c r="F8" s="8" t="s">
        <v>142</v>
      </c>
      <c r="G8" s="9">
        <v>18000</v>
      </c>
      <c r="H8" s="9">
        <v>1000</v>
      </c>
      <c r="I8" s="55">
        <v>1000</v>
      </c>
      <c r="J8" s="21">
        <f t="shared" si="6"/>
        <v>51500</v>
      </c>
      <c r="K8" s="8" t="s">
        <v>141</v>
      </c>
      <c r="L8" s="9">
        <v>-9000</v>
      </c>
      <c r="M8" s="9"/>
      <c r="N8" s="55">
        <v>-500</v>
      </c>
      <c r="O8" s="21">
        <f t="shared" si="7"/>
        <v>25900</v>
      </c>
      <c r="P8" s="8" t="s">
        <v>141</v>
      </c>
      <c r="Q8" s="9">
        <v>-9000</v>
      </c>
      <c r="R8" s="9"/>
      <c r="S8" s="55">
        <v>-500</v>
      </c>
      <c r="T8" s="21">
        <f t="shared" si="8"/>
        <v>27600</v>
      </c>
      <c r="U8" s="60">
        <f t="shared" si="0"/>
        <v>16.5</v>
      </c>
      <c r="V8" s="61">
        <f t="shared" si="1"/>
        <v>-9.1</v>
      </c>
      <c r="W8" s="62">
        <f t="shared" si="2"/>
        <v>-7.4</v>
      </c>
      <c r="Y8" s="8"/>
      <c r="Z8" s="41"/>
      <c r="AA8" s="32">
        <v>1</v>
      </c>
      <c r="AB8" s="32"/>
      <c r="AC8" s="32">
        <v>7</v>
      </c>
      <c r="AD8" s="36" t="s">
        <v>143</v>
      </c>
      <c r="AE8" s="47" t="s">
        <v>144</v>
      </c>
      <c r="AF8" s="48" t="s">
        <v>83</v>
      </c>
      <c r="AG8" s="48" t="s">
        <v>150</v>
      </c>
      <c r="AH8" s="48" t="s">
        <v>81</v>
      </c>
      <c r="AI8" s="48" t="s">
        <v>81</v>
      </c>
      <c r="AJ8" s="48" t="s">
        <v>81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2</v>
      </c>
      <c r="D9" s="18">
        <f t="shared" si="5"/>
        <v>0</v>
      </c>
      <c r="E9" s="4" t="s">
        <v>135</v>
      </c>
      <c r="F9" s="8" t="s">
        <v>145</v>
      </c>
      <c r="G9" s="9">
        <v>-1300</v>
      </c>
      <c r="H9" s="9"/>
      <c r="I9" s="55">
        <v>-2000</v>
      </c>
      <c r="J9" s="21">
        <f t="shared" si="6"/>
        <v>48200</v>
      </c>
      <c r="K9" s="8"/>
      <c r="L9" s="9"/>
      <c r="M9" s="9"/>
      <c r="N9" s="55"/>
      <c r="O9" s="21">
        <f t="shared" si="7"/>
        <v>25900</v>
      </c>
      <c r="P9" s="8" t="s">
        <v>146</v>
      </c>
      <c r="Q9" s="9">
        <v>1300</v>
      </c>
      <c r="R9" s="9"/>
      <c r="S9" s="55">
        <v>2000</v>
      </c>
      <c r="T9" s="21">
        <f t="shared" si="8"/>
        <v>30900</v>
      </c>
      <c r="U9" s="60">
        <f t="shared" si="0"/>
        <v>13.2</v>
      </c>
      <c r="V9" s="61">
        <f t="shared" si="1"/>
        <v>-9.1</v>
      </c>
      <c r="W9" s="62">
        <f t="shared" si="2"/>
        <v>-4.0999999999999996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1</v>
      </c>
      <c r="BT9" s="36">
        <v>40</v>
      </c>
      <c r="BU9" s="47" t="s">
        <v>144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145</v>
      </c>
      <c r="G10" s="9">
        <v>-5800</v>
      </c>
      <c r="H10" s="9">
        <v>-1000</v>
      </c>
      <c r="I10" s="55">
        <v>0</v>
      </c>
      <c r="J10" s="21">
        <f t="shared" si="6"/>
        <v>41400</v>
      </c>
      <c r="K10" s="8" t="s">
        <v>146</v>
      </c>
      <c r="L10" s="9">
        <v>5800</v>
      </c>
      <c r="M10" s="9">
        <v>2000</v>
      </c>
      <c r="N10" s="55">
        <v>0</v>
      </c>
      <c r="O10" s="21">
        <f t="shared" si="7"/>
        <v>33700</v>
      </c>
      <c r="P10" s="8"/>
      <c r="Q10" s="9"/>
      <c r="R10" s="9">
        <v>-1000</v>
      </c>
      <c r="S10" s="55"/>
      <c r="T10" s="21">
        <f t="shared" si="8"/>
        <v>29900</v>
      </c>
      <c r="U10" s="60">
        <f t="shared" si="0"/>
        <v>6.4</v>
      </c>
      <c r="V10" s="61">
        <f t="shared" si="1"/>
        <v>-1.3</v>
      </c>
      <c r="W10" s="62">
        <f t="shared" si="2"/>
        <v>-5.0999999999999996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94</v>
      </c>
      <c r="BA10" s="48" t="s">
        <v>82</v>
      </c>
      <c r="BB10" s="48" t="s">
        <v>87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2600</v>
      </c>
      <c r="H11" s="9">
        <v>1000</v>
      </c>
      <c r="I11" s="55">
        <v>1000</v>
      </c>
      <c r="J11" s="21">
        <f t="shared" si="6"/>
        <v>46000</v>
      </c>
      <c r="K11" s="8" t="s">
        <v>145</v>
      </c>
      <c r="L11" s="9">
        <v>-2600</v>
      </c>
      <c r="M11" s="9"/>
      <c r="N11" s="55">
        <v>-1000</v>
      </c>
      <c r="O11" s="21">
        <f t="shared" si="7"/>
        <v>30100</v>
      </c>
      <c r="P11" s="8"/>
      <c r="Q11" s="9"/>
      <c r="R11" s="9">
        <v>-1000</v>
      </c>
      <c r="S11" s="55"/>
      <c r="T11" s="21">
        <f t="shared" si="8"/>
        <v>28900</v>
      </c>
      <c r="U11" s="60">
        <f t="shared" si="0"/>
        <v>11</v>
      </c>
      <c r="V11" s="61">
        <f t="shared" si="1"/>
        <v>-4.9000000000000004</v>
      </c>
      <c r="W11" s="62">
        <f t="shared" si="2"/>
        <v>-6.1</v>
      </c>
      <c r="Y11" s="8"/>
      <c r="Z11" s="41"/>
      <c r="AA11" s="32"/>
      <c r="AB11" s="32"/>
      <c r="AC11" s="32">
        <v>2</v>
      </c>
      <c r="AD11" s="36">
        <v>40</v>
      </c>
      <c r="AE11" s="47" t="s">
        <v>87</v>
      </c>
      <c r="AF11" s="48" t="s">
        <v>82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146</v>
      </c>
      <c r="G12" s="9">
        <v>5200</v>
      </c>
      <c r="H12" s="9"/>
      <c r="I12" s="55">
        <v>0</v>
      </c>
      <c r="J12" s="21">
        <f t="shared" si="6"/>
        <v>51200</v>
      </c>
      <c r="K12" s="8"/>
      <c r="L12" s="9"/>
      <c r="M12" s="9"/>
      <c r="N12" s="55"/>
      <c r="O12" s="21">
        <f t="shared" si="7"/>
        <v>30100</v>
      </c>
      <c r="P12" s="8" t="s">
        <v>145</v>
      </c>
      <c r="Q12" s="9">
        <v>-5200</v>
      </c>
      <c r="R12" s="9"/>
      <c r="S12" s="55">
        <v>0</v>
      </c>
      <c r="T12" s="21">
        <f t="shared" si="8"/>
        <v>23700</v>
      </c>
      <c r="U12" s="60">
        <f t="shared" si="0"/>
        <v>16.2</v>
      </c>
      <c r="V12" s="61">
        <f t="shared" si="1"/>
        <v>-4.9000000000000004</v>
      </c>
      <c r="W12" s="62">
        <f t="shared" si="2"/>
        <v>-11.3</v>
      </c>
      <c r="Y12" s="8"/>
      <c r="Z12" s="41"/>
      <c r="AA12" s="32">
        <v>1</v>
      </c>
      <c r="AB12" s="32"/>
      <c r="AC12" s="32">
        <v>3</v>
      </c>
      <c r="AD12" s="36">
        <v>40</v>
      </c>
      <c r="AE12" s="47" t="s">
        <v>144</v>
      </c>
      <c r="AF12" s="48" t="s">
        <v>80</v>
      </c>
      <c r="AG12" s="48" t="s">
        <v>82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西</v>
      </c>
      <c r="B13" s="18">
        <f t="shared" si="9"/>
        <v>1</v>
      </c>
      <c r="C13" s="18">
        <f t="shared" si="4"/>
        <v>0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32640E16-FBA9-48A8-AB91-AF5C584EA922}">
      <formula1>$U$2:$W$2</formula1>
    </dataValidation>
    <dataValidation type="list" showInputMessage="1" showErrorMessage="1" sqref="K4:K30 P4:P30 F4:F30" xr:uid="{AA5DB16A-3E47-401A-AFB5-2786A930A22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A4A8-ED41-4BF7-907A-8FDA164F506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142</v>
      </c>
      <c r="Q4" s="9">
        <v>24000</v>
      </c>
      <c r="R4" s="9"/>
      <c r="S4" s="55">
        <v>0</v>
      </c>
      <c r="T4" s="21">
        <f>IF(COUNTA($F4,$K4,$P4)&gt;0,T3+SUM(Q4:S4),"")</f>
        <v>59000</v>
      </c>
      <c r="U4" s="60">
        <f t="shared" ref="U4:U30" si="0">IF($J4="","",ROUND(($J4-$J$3)/1000,1))</f>
        <v>-12</v>
      </c>
      <c r="V4" s="61">
        <f t="shared" ref="V4:V30" si="1">IF($O4="","",ROUND(($O4-$O$3)/1000,1))</f>
        <v>-12</v>
      </c>
      <c r="W4" s="62">
        <f t="shared" ref="W4:W30" si="2">IF($T4="","",ROUND(($T4-$T$3)/1000,1))</f>
        <v>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8</v>
      </c>
      <c r="BT4" s="36" t="s">
        <v>143</v>
      </c>
      <c r="BU4" s="47" t="s">
        <v>144</v>
      </c>
      <c r="BV4" s="48" t="s">
        <v>83</v>
      </c>
      <c r="BW4" s="48" t="s">
        <v>82</v>
      </c>
      <c r="BX4" s="48" t="s">
        <v>82</v>
      </c>
      <c r="BY4" s="48" t="s">
        <v>87</v>
      </c>
      <c r="BZ4" s="48" t="s">
        <v>97</v>
      </c>
      <c r="CA4" s="48" t="s">
        <v>80</v>
      </c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-3000</v>
      </c>
      <c r="H5" s="9"/>
      <c r="I5" s="55">
        <v>-500</v>
      </c>
      <c r="J5" s="21">
        <f t="shared" ref="J5:J30" si="6">IF(COUNTA($F5,$K5,$P5)&gt;0,J4+SUM(G5:I5),"")</f>
        <v>19500</v>
      </c>
      <c r="K5" s="8" t="s">
        <v>142</v>
      </c>
      <c r="L5" s="9">
        <v>8000</v>
      </c>
      <c r="M5" s="9"/>
      <c r="N5" s="55">
        <v>1000</v>
      </c>
      <c r="O5" s="21">
        <f t="shared" ref="O5:O30" si="7">IF(COUNTA($F5,$K5,$P5)&gt;0,O4+SUM(L5:N5),"")</f>
        <v>32000</v>
      </c>
      <c r="P5" s="8" t="s">
        <v>141</v>
      </c>
      <c r="Q5" s="9">
        <v>-5000</v>
      </c>
      <c r="R5" s="9"/>
      <c r="S5" s="55">
        <v>-500</v>
      </c>
      <c r="T5" s="21">
        <f t="shared" ref="T5:T30" si="8">IF(COUNTA($F5,$K5,$P5)&gt;0,T4+SUM(Q5:S5),"")</f>
        <v>53500</v>
      </c>
      <c r="U5" s="60">
        <f t="shared" si="0"/>
        <v>-15.5</v>
      </c>
      <c r="V5" s="61">
        <f t="shared" si="1"/>
        <v>-3</v>
      </c>
      <c r="W5" s="62">
        <f t="shared" si="2"/>
        <v>18.5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143</v>
      </c>
      <c r="AZ5" s="47" t="s">
        <v>144</v>
      </c>
      <c r="BA5" s="48" t="s">
        <v>83</v>
      </c>
      <c r="BB5" s="48" t="s">
        <v>84</v>
      </c>
      <c r="BC5" s="48" t="s">
        <v>85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19500</v>
      </c>
      <c r="K6" s="8" t="s">
        <v>146</v>
      </c>
      <c r="L6" s="9">
        <v>8000</v>
      </c>
      <c r="M6" s="9"/>
      <c r="N6" s="55">
        <v>0</v>
      </c>
      <c r="O6" s="21">
        <f t="shared" si="7"/>
        <v>40000</v>
      </c>
      <c r="P6" s="8" t="s">
        <v>145</v>
      </c>
      <c r="Q6" s="9">
        <v>-8000</v>
      </c>
      <c r="R6" s="9"/>
      <c r="S6" s="55">
        <v>0</v>
      </c>
      <c r="T6" s="21">
        <f t="shared" si="8"/>
        <v>45500</v>
      </c>
      <c r="U6" s="60">
        <f t="shared" si="0"/>
        <v>-15.5</v>
      </c>
      <c r="V6" s="61">
        <f t="shared" si="1"/>
        <v>5</v>
      </c>
      <c r="W6" s="62">
        <f t="shared" si="2"/>
        <v>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143</v>
      </c>
      <c r="AZ6" s="47" t="s">
        <v>92</v>
      </c>
      <c r="BA6" s="48" t="s">
        <v>87</v>
      </c>
      <c r="BB6" s="48" t="s">
        <v>81</v>
      </c>
      <c r="BC6" s="48" t="s">
        <v>81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146</v>
      </c>
      <c r="G7" s="9">
        <v>8000</v>
      </c>
      <c r="H7" s="9"/>
      <c r="I7" s="55">
        <v>0</v>
      </c>
      <c r="J7" s="21">
        <f t="shared" si="6"/>
        <v>27500</v>
      </c>
      <c r="K7" s="8" t="s">
        <v>145</v>
      </c>
      <c r="L7" s="9">
        <v>-8000</v>
      </c>
      <c r="M7" s="9"/>
      <c r="N7" s="55">
        <v>0</v>
      </c>
      <c r="O7" s="21">
        <f t="shared" si="7"/>
        <v>32000</v>
      </c>
      <c r="P7" s="8"/>
      <c r="Q7" s="9"/>
      <c r="R7" s="9"/>
      <c r="S7" s="55"/>
      <c r="T7" s="21">
        <f t="shared" si="8"/>
        <v>45500</v>
      </c>
      <c r="U7" s="60">
        <f t="shared" si="0"/>
        <v>-7.5</v>
      </c>
      <c r="V7" s="61">
        <f t="shared" si="1"/>
        <v>-3</v>
      </c>
      <c r="W7" s="62">
        <f t="shared" si="2"/>
        <v>10.5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84</v>
      </c>
      <c r="AG7" s="48" t="s">
        <v>86</v>
      </c>
      <c r="AH7" s="48" t="s">
        <v>80</v>
      </c>
      <c r="AI7" s="48" t="s">
        <v>82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142</v>
      </c>
      <c r="G8" s="9">
        <v>24000</v>
      </c>
      <c r="H8" s="9"/>
      <c r="I8" s="55">
        <v>0</v>
      </c>
      <c r="J8" s="21">
        <f t="shared" si="6"/>
        <v>51500</v>
      </c>
      <c r="K8" s="8" t="s">
        <v>141</v>
      </c>
      <c r="L8" s="9">
        <v>-9000</v>
      </c>
      <c r="M8" s="9"/>
      <c r="N8" s="55">
        <v>0</v>
      </c>
      <c r="O8" s="21">
        <f t="shared" si="7"/>
        <v>23000</v>
      </c>
      <c r="P8" s="8" t="s">
        <v>141</v>
      </c>
      <c r="Q8" s="9">
        <v>-15000</v>
      </c>
      <c r="R8" s="9"/>
      <c r="S8" s="55">
        <v>0</v>
      </c>
      <c r="T8" s="21">
        <f t="shared" si="8"/>
        <v>30500</v>
      </c>
      <c r="U8" s="60">
        <f t="shared" si="0"/>
        <v>16.5</v>
      </c>
      <c r="V8" s="61">
        <f t="shared" si="1"/>
        <v>-12</v>
      </c>
      <c r="W8" s="62">
        <f t="shared" si="2"/>
        <v>-4.5</v>
      </c>
      <c r="Y8" s="8"/>
      <c r="Z8" s="41"/>
      <c r="AA8" s="32">
        <v>1</v>
      </c>
      <c r="AB8" s="32"/>
      <c r="AC8" s="32">
        <v>12</v>
      </c>
      <c r="AD8" s="36" t="s">
        <v>143</v>
      </c>
      <c r="AE8" s="47" t="s">
        <v>144</v>
      </c>
      <c r="AF8" s="48" t="s">
        <v>83</v>
      </c>
      <c r="AG8" s="48" t="s">
        <v>150</v>
      </c>
      <c r="AH8" s="48" t="s">
        <v>87</v>
      </c>
      <c r="AI8" s="48" t="s">
        <v>82</v>
      </c>
      <c r="AJ8" s="48" t="s">
        <v>82</v>
      </c>
      <c r="AK8" s="48" t="s">
        <v>82</v>
      </c>
      <c r="AL8" s="48" t="s">
        <v>80</v>
      </c>
      <c r="AM8" s="48" t="s">
        <v>80</v>
      </c>
      <c r="AN8" s="48" t="s">
        <v>80</v>
      </c>
      <c r="AO8" s="48" t="s">
        <v>81</v>
      </c>
      <c r="AP8" s="48" t="s">
        <v>81</v>
      </c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146</v>
      </c>
      <c r="G9" s="9">
        <v>12000</v>
      </c>
      <c r="H9" s="9"/>
      <c r="I9" s="55">
        <v>0</v>
      </c>
      <c r="J9" s="21">
        <f t="shared" si="6"/>
        <v>63500</v>
      </c>
      <c r="K9" s="8"/>
      <c r="L9" s="9"/>
      <c r="M9" s="9"/>
      <c r="N9" s="55"/>
      <c r="O9" s="21">
        <f t="shared" si="7"/>
        <v>23000</v>
      </c>
      <c r="P9" s="8" t="s">
        <v>145</v>
      </c>
      <c r="Q9" s="9">
        <v>-12000</v>
      </c>
      <c r="R9" s="9"/>
      <c r="S9" s="55">
        <v>0</v>
      </c>
      <c r="T9" s="21">
        <f t="shared" si="8"/>
        <v>18500</v>
      </c>
      <c r="U9" s="60">
        <f t="shared" si="0"/>
        <v>28.5</v>
      </c>
      <c r="V9" s="61">
        <f t="shared" si="1"/>
        <v>-12</v>
      </c>
      <c r="W9" s="62">
        <f t="shared" si="2"/>
        <v>-16.5</v>
      </c>
      <c r="Y9" s="8"/>
      <c r="Z9" s="41"/>
      <c r="AA9" s="32"/>
      <c r="AB9" s="32"/>
      <c r="AC9" s="32">
        <v>5</v>
      </c>
      <c r="AD9" s="36" t="s">
        <v>143</v>
      </c>
      <c r="AE9" s="47" t="s">
        <v>105</v>
      </c>
      <c r="AF9" s="48" t="s">
        <v>82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149</v>
      </c>
      <c r="G10" s="9">
        <v>3000</v>
      </c>
      <c r="H10" s="9"/>
      <c r="I10" s="55"/>
      <c r="J10" s="21">
        <f t="shared" si="6"/>
        <v>66500</v>
      </c>
      <c r="K10" s="8" t="s">
        <v>149</v>
      </c>
      <c r="L10" s="9">
        <v>-1500</v>
      </c>
      <c r="M10" s="9"/>
      <c r="N10" s="55"/>
      <c r="O10" s="21">
        <f t="shared" si="7"/>
        <v>21500</v>
      </c>
      <c r="P10" s="8" t="s">
        <v>149</v>
      </c>
      <c r="Q10" s="9">
        <v>-1500</v>
      </c>
      <c r="R10" s="9"/>
      <c r="S10" s="55"/>
      <c r="T10" s="21">
        <f t="shared" si="8"/>
        <v>17000</v>
      </c>
      <c r="U10" s="60">
        <f t="shared" si="0"/>
        <v>31.5</v>
      </c>
      <c r="V10" s="61">
        <f t="shared" si="1"/>
        <v>-13.5</v>
      </c>
      <c r="W10" s="62">
        <f t="shared" si="2"/>
        <v>-18</v>
      </c>
      <c r="Y10" s="8" t="s">
        <v>147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148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148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0</v>
      </c>
      <c r="E11" s="4" t="s">
        <v>135</v>
      </c>
      <c r="F11" s="8" t="s">
        <v>146</v>
      </c>
      <c r="G11" s="9">
        <v>1500</v>
      </c>
      <c r="H11" s="9"/>
      <c r="I11" s="55">
        <v>2000</v>
      </c>
      <c r="J11" s="21">
        <f t="shared" si="6"/>
        <v>70000</v>
      </c>
      <c r="K11" s="8"/>
      <c r="L11" s="9"/>
      <c r="M11" s="9"/>
      <c r="N11" s="55"/>
      <c r="O11" s="21">
        <f t="shared" si="7"/>
        <v>21500</v>
      </c>
      <c r="P11" s="8" t="s">
        <v>145</v>
      </c>
      <c r="Q11" s="9">
        <v>-1500</v>
      </c>
      <c r="R11" s="9"/>
      <c r="S11" s="55">
        <v>-2000</v>
      </c>
      <c r="T11" s="21">
        <f t="shared" si="8"/>
        <v>13500</v>
      </c>
      <c r="U11" s="60">
        <f t="shared" si="0"/>
        <v>35</v>
      </c>
      <c r="V11" s="61">
        <f t="shared" si="1"/>
        <v>-13.5</v>
      </c>
      <c r="W11" s="62">
        <f t="shared" si="2"/>
        <v>-21.5</v>
      </c>
      <c r="Y11" s="8"/>
      <c r="Z11" s="41"/>
      <c r="AA11" s="32"/>
      <c r="AB11" s="32">
        <v>1</v>
      </c>
      <c r="AC11" s="32">
        <v>1</v>
      </c>
      <c r="AD11" s="36">
        <v>30</v>
      </c>
      <c r="AE11" s="47" t="s">
        <v>87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3</v>
      </c>
      <c r="D12" s="18">
        <f t="shared" si="5"/>
        <v>0</v>
      </c>
      <c r="E12" s="4" t="s">
        <v>135</v>
      </c>
      <c r="F12" s="8" t="s">
        <v>141</v>
      </c>
      <c r="G12" s="9">
        <v>-1300</v>
      </c>
      <c r="H12" s="9"/>
      <c r="I12" s="55">
        <v>-1500</v>
      </c>
      <c r="J12" s="21">
        <f t="shared" si="6"/>
        <v>67200</v>
      </c>
      <c r="K12" s="8" t="s">
        <v>142</v>
      </c>
      <c r="L12" s="9">
        <v>2100</v>
      </c>
      <c r="M12" s="9">
        <v>1000</v>
      </c>
      <c r="N12" s="55">
        <v>3000</v>
      </c>
      <c r="O12" s="21">
        <f t="shared" si="7"/>
        <v>27600</v>
      </c>
      <c r="P12" s="8" t="s">
        <v>141</v>
      </c>
      <c r="Q12" s="9">
        <v>-800</v>
      </c>
      <c r="R12" s="9">
        <v>-1000</v>
      </c>
      <c r="S12" s="55">
        <v>-1500</v>
      </c>
      <c r="T12" s="21">
        <f t="shared" si="8"/>
        <v>10200</v>
      </c>
      <c r="U12" s="60">
        <f t="shared" si="0"/>
        <v>32.200000000000003</v>
      </c>
      <c r="V12" s="61">
        <f t="shared" si="1"/>
        <v>-7.4</v>
      </c>
      <c r="W12" s="62">
        <f t="shared" si="2"/>
        <v>-24.8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2</v>
      </c>
      <c r="AY12" s="36">
        <v>30</v>
      </c>
      <c r="AZ12" s="47" t="s">
        <v>83</v>
      </c>
      <c r="BA12" s="48" t="s">
        <v>82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137</v>
      </c>
      <c r="F13" s="8" t="s">
        <v>149</v>
      </c>
      <c r="G13" s="9">
        <v>1500</v>
      </c>
      <c r="H13" s="9">
        <v>-1000</v>
      </c>
      <c r="I13" s="55"/>
      <c r="J13" s="21">
        <f t="shared" si="6"/>
        <v>67700</v>
      </c>
      <c r="K13" s="8" t="s">
        <v>149</v>
      </c>
      <c r="L13" s="9">
        <v>1500</v>
      </c>
      <c r="M13" s="9"/>
      <c r="N13" s="55"/>
      <c r="O13" s="21">
        <f t="shared" si="7"/>
        <v>29100</v>
      </c>
      <c r="P13" s="8" t="s">
        <v>149</v>
      </c>
      <c r="Q13" s="9">
        <v>-3000</v>
      </c>
      <c r="R13" s="9"/>
      <c r="S13" s="55"/>
      <c r="T13" s="21">
        <f t="shared" si="8"/>
        <v>7200</v>
      </c>
      <c r="U13" s="60">
        <f t="shared" si="0"/>
        <v>32.700000000000003</v>
      </c>
      <c r="V13" s="61">
        <f t="shared" si="1"/>
        <v>-5.9</v>
      </c>
      <c r="W13" s="62">
        <f t="shared" si="2"/>
        <v>-27.8</v>
      </c>
      <c r="Y13" s="8" t="s">
        <v>147</v>
      </c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147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148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1</v>
      </c>
      <c r="D14" s="18">
        <f t="shared" si="5"/>
        <v>1</v>
      </c>
      <c r="E14" s="4" t="s">
        <v>137</v>
      </c>
      <c r="F14" s="8" t="s">
        <v>149</v>
      </c>
      <c r="G14" s="9">
        <v>-1500</v>
      </c>
      <c r="H14" s="9"/>
      <c r="I14" s="55"/>
      <c r="J14" s="21">
        <f t="shared" si="6"/>
        <v>66200</v>
      </c>
      <c r="K14" s="8" t="s">
        <v>149</v>
      </c>
      <c r="L14" s="9">
        <v>3000</v>
      </c>
      <c r="M14" s="9">
        <v>-1000</v>
      </c>
      <c r="N14" s="55"/>
      <c r="O14" s="21">
        <f t="shared" si="7"/>
        <v>31100</v>
      </c>
      <c r="P14" s="8" t="s">
        <v>149</v>
      </c>
      <c r="Q14" s="9">
        <v>-1500</v>
      </c>
      <c r="R14" s="9"/>
      <c r="S14" s="55"/>
      <c r="T14" s="21">
        <f t="shared" si="8"/>
        <v>5700</v>
      </c>
      <c r="U14" s="60">
        <f t="shared" si="0"/>
        <v>31.2</v>
      </c>
      <c r="V14" s="61">
        <f t="shared" si="1"/>
        <v>-3.9</v>
      </c>
      <c r="W14" s="62">
        <f t="shared" si="2"/>
        <v>-29.3</v>
      </c>
      <c r="Y14" s="8" t="s">
        <v>148</v>
      </c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147</v>
      </c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148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3</v>
      </c>
      <c r="C15" s="18">
        <f t="shared" si="4"/>
        <v>2</v>
      </c>
      <c r="D15" s="18">
        <f t="shared" si="5"/>
        <v>2</v>
      </c>
      <c r="E15" s="4" t="s">
        <v>137</v>
      </c>
      <c r="F15" s="8" t="s">
        <v>141</v>
      </c>
      <c r="G15" s="9">
        <v>-6000</v>
      </c>
      <c r="H15" s="9"/>
      <c r="I15" s="55">
        <v>-1000</v>
      </c>
      <c r="J15" s="21">
        <f t="shared" si="6"/>
        <v>59200</v>
      </c>
      <c r="K15" s="8" t="s">
        <v>141</v>
      </c>
      <c r="L15" s="9">
        <v>-10000</v>
      </c>
      <c r="M15" s="9"/>
      <c r="N15" s="55">
        <v>-1000</v>
      </c>
      <c r="O15" s="21">
        <f t="shared" si="7"/>
        <v>20100</v>
      </c>
      <c r="P15" s="8" t="s">
        <v>142</v>
      </c>
      <c r="Q15" s="9">
        <v>16000</v>
      </c>
      <c r="R15" s="9">
        <v>2000</v>
      </c>
      <c r="S15" s="55">
        <v>2000</v>
      </c>
      <c r="T15" s="21">
        <f t="shared" si="8"/>
        <v>25700</v>
      </c>
      <c r="U15" s="60">
        <f t="shared" si="0"/>
        <v>24.2</v>
      </c>
      <c r="V15" s="61">
        <f t="shared" si="1"/>
        <v>-14.9</v>
      </c>
      <c r="W15" s="62">
        <f t="shared" si="2"/>
        <v>-9.3000000000000007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9</v>
      </c>
      <c r="BT15" s="36" t="s">
        <v>143</v>
      </c>
      <c r="BU15" s="47" t="s">
        <v>99</v>
      </c>
      <c r="BV15" s="48" t="s">
        <v>105</v>
      </c>
      <c r="BW15" s="48" t="s">
        <v>82</v>
      </c>
      <c r="BX15" s="48" t="s">
        <v>82</v>
      </c>
      <c r="BY15" s="48" t="s">
        <v>80</v>
      </c>
      <c r="BZ15" s="48" t="s">
        <v>80</v>
      </c>
      <c r="CA15" s="48" t="s">
        <v>80</v>
      </c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38E5DFB-E03A-4152-8793-137B5879760F}">
      <formula1>"ロン,ツモ,放銃,ツモ支払,流局,チョンボ"</formula1>
    </dataValidation>
    <dataValidation type="list" allowBlank="1" showInputMessage="1" showErrorMessage="1" sqref="E4:E30" xr:uid="{D1F507A8-2433-471A-8605-2004299E7E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AE5BC-E255-4F43-81C8-DB499B6A8F5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149</v>
      </c>
      <c r="G4" s="9">
        <v>1500</v>
      </c>
      <c r="H4" s="9"/>
      <c r="I4" s="55"/>
      <c r="J4" s="21">
        <f>IF(COUNTA($F4,$K4,$P4)&gt;0,J3+SUM(G4:I4),"")</f>
        <v>36500</v>
      </c>
      <c r="K4" s="8" t="s">
        <v>149</v>
      </c>
      <c r="L4" s="9">
        <v>1500</v>
      </c>
      <c r="M4" s="9"/>
      <c r="N4" s="55"/>
      <c r="O4" s="21">
        <f>IF(COUNTA($F4,$K4,$P4)&gt;0,O3+SUM(L4:N4),"")</f>
        <v>36500</v>
      </c>
      <c r="P4" s="8" t="s">
        <v>149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147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146</v>
      </c>
      <c r="G5" s="9">
        <v>7700</v>
      </c>
      <c r="H5" s="9"/>
      <c r="I5" s="55">
        <v>0</v>
      </c>
      <c r="J5" s="21">
        <f t="shared" ref="J5:J30" si="6">IF(COUNTA($F5,$K5,$P5)&gt;0,J4+SUM(G5:I5),"")</f>
        <v>44200</v>
      </c>
      <c r="K5" s="8" t="s">
        <v>145</v>
      </c>
      <c r="L5" s="9">
        <v>-7700</v>
      </c>
      <c r="M5" s="9"/>
      <c r="N5" s="55">
        <v>0</v>
      </c>
      <c r="O5" s="21">
        <f t="shared" ref="O5:O30" si="7">IF(COUNTA($F5,$K5,$P5)&gt;0,O4+SUM(L5:N5),"")</f>
        <v>28800</v>
      </c>
      <c r="P5" s="8"/>
      <c r="Q5" s="9"/>
      <c r="R5" s="9"/>
      <c r="S5" s="55"/>
      <c r="T5" s="21">
        <f t="shared" ref="T5:T30" si="8">IF(COUNTA($F5,$K5,$P5)&gt;0,T4+SUM(Q5:S5),"")</f>
        <v>32000</v>
      </c>
      <c r="U5" s="60">
        <f t="shared" si="0"/>
        <v>9.1999999999999993</v>
      </c>
      <c r="V5" s="61">
        <f t="shared" si="1"/>
        <v>-6.2</v>
      </c>
      <c r="W5" s="62">
        <f t="shared" si="2"/>
        <v>-3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144</v>
      </c>
      <c r="AF5" s="48" t="s">
        <v>85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44200</v>
      </c>
      <c r="K6" s="8" t="s">
        <v>145</v>
      </c>
      <c r="L6" s="9">
        <v>-8000</v>
      </c>
      <c r="M6" s="9"/>
      <c r="N6" s="55">
        <v>-1000</v>
      </c>
      <c r="O6" s="21">
        <f t="shared" si="7"/>
        <v>19800</v>
      </c>
      <c r="P6" s="8" t="s">
        <v>146</v>
      </c>
      <c r="Q6" s="9">
        <v>8000</v>
      </c>
      <c r="R6" s="9"/>
      <c r="S6" s="55">
        <v>1000</v>
      </c>
      <c r="T6" s="21">
        <f t="shared" si="8"/>
        <v>41000</v>
      </c>
      <c r="U6" s="60">
        <f t="shared" si="0"/>
        <v>9.1999999999999993</v>
      </c>
      <c r="V6" s="61">
        <f t="shared" si="1"/>
        <v>-15.2</v>
      </c>
      <c r="W6" s="62">
        <f t="shared" si="2"/>
        <v>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144</v>
      </c>
      <c r="BV6" s="48" t="s">
        <v>150</v>
      </c>
      <c r="BW6" s="48" t="s">
        <v>80</v>
      </c>
      <c r="BX6" s="48" t="s">
        <v>87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149</v>
      </c>
      <c r="G7" s="9">
        <v>1500</v>
      </c>
      <c r="H7" s="9">
        <v>-1000</v>
      </c>
      <c r="I7" s="55"/>
      <c r="J7" s="21">
        <f t="shared" si="6"/>
        <v>44700</v>
      </c>
      <c r="K7" s="8" t="s">
        <v>149</v>
      </c>
      <c r="L7" s="9">
        <v>1500</v>
      </c>
      <c r="M7" s="9"/>
      <c r="N7" s="55"/>
      <c r="O7" s="21">
        <f t="shared" si="7"/>
        <v>21300</v>
      </c>
      <c r="P7" s="8" t="s">
        <v>149</v>
      </c>
      <c r="Q7" s="9">
        <v>-3000</v>
      </c>
      <c r="R7" s="9"/>
      <c r="S7" s="55"/>
      <c r="T7" s="21">
        <f t="shared" si="8"/>
        <v>38000</v>
      </c>
      <c r="U7" s="60">
        <f t="shared" si="0"/>
        <v>9.6999999999999993</v>
      </c>
      <c r="V7" s="61">
        <f t="shared" si="1"/>
        <v>-13.7</v>
      </c>
      <c r="W7" s="62">
        <f t="shared" si="2"/>
        <v>3</v>
      </c>
      <c r="Y7" s="8" t="s">
        <v>147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1</v>
      </c>
      <c r="E8" s="4" t="s">
        <v>137</v>
      </c>
      <c r="F8" s="8" t="s">
        <v>141</v>
      </c>
      <c r="G8" s="9">
        <v>-4500</v>
      </c>
      <c r="H8" s="9"/>
      <c r="I8" s="55">
        <v>-500</v>
      </c>
      <c r="J8" s="21">
        <f t="shared" si="6"/>
        <v>39700</v>
      </c>
      <c r="K8" s="8" t="s">
        <v>141</v>
      </c>
      <c r="L8" s="9">
        <v>-7500</v>
      </c>
      <c r="M8" s="9"/>
      <c r="N8" s="55">
        <v>-500</v>
      </c>
      <c r="O8" s="21">
        <f t="shared" si="7"/>
        <v>13300</v>
      </c>
      <c r="P8" s="8" t="s">
        <v>142</v>
      </c>
      <c r="Q8" s="9">
        <v>12000</v>
      </c>
      <c r="R8" s="9">
        <v>1000</v>
      </c>
      <c r="S8" s="55">
        <v>1000</v>
      </c>
      <c r="T8" s="21">
        <f t="shared" si="8"/>
        <v>52000</v>
      </c>
      <c r="U8" s="60">
        <f t="shared" si="0"/>
        <v>4.7</v>
      </c>
      <c r="V8" s="61">
        <f t="shared" si="1"/>
        <v>-21.7</v>
      </c>
      <c r="W8" s="62">
        <f t="shared" si="2"/>
        <v>17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6</v>
      </c>
      <c r="BT8" s="36" t="s">
        <v>143</v>
      </c>
      <c r="BU8" s="47" t="s">
        <v>105</v>
      </c>
      <c r="BV8" s="48" t="s">
        <v>82</v>
      </c>
      <c r="BW8" s="48" t="s">
        <v>82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146</v>
      </c>
      <c r="G9" s="9">
        <v>3900</v>
      </c>
      <c r="H9" s="9"/>
      <c r="I9" s="55">
        <v>0</v>
      </c>
      <c r="J9" s="21">
        <f t="shared" si="6"/>
        <v>43600</v>
      </c>
      <c r="K9" s="8"/>
      <c r="L9" s="9"/>
      <c r="M9" s="9"/>
      <c r="N9" s="55"/>
      <c r="O9" s="21">
        <f t="shared" si="7"/>
        <v>13300</v>
      </c>
      <c r="P9" s="8" t="s">
        <v>145</v>
      </c>
      <c r="Q9" s="9">
        <v>-3900</v>
      </c>
      <c r="R9" s="9"/>
      <c r="S9" s="55">
        <v>0</v>
      </c>
      <c r="T9" s="21">
        <f t="shared" si="8"/>
        <v>48100</v>
      </c>
      <c r="U9" s="60">
        <f t="shared" si="0"/>
        <v>8.6</v>
      </c>
      <c r="V9" s="61">
        <f t="shared" si="1"/>
        <v>-21.7</v>
      </c>
      <c r="W9" s="62">
        <f t="shared" si="2"/>
        <v>13.1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82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146</v>
      </c>
      <c r="G10" s="9">
        <v>12000</v>
      </c>
      <c r="H10" s="9"/>
      <c r="I10" s="55"/>
      <c r="J10" s="21">
        <f t="shared" si="6"/>
        <v>55600</v>
      </c>
      <c r="K10" s="8" t="s">
        <v>145</v>
      </c>
      <c r="L10" s="9">
        <v>-24000</v>
      </c>
      <c r="M10" s="9"/>
      <c r="N10" s="55">
        <v>0</v>
      </c>
      <c r="O10" s="21">
        <f t="shared" si="7"/>
        <v>-10700</v>
      </c>
      <c r="P10" s="8" t="s">
        <v>146</v>
      </c>
      <c r="Q10" s="9">
        <v>12000</v>
      </c>
      <c r="R10" s="9"/>
      <c r="S10" s="55">
        <v>0</v>
      </c>
      <c r="T10" s="21">
        <f t="shared" si="8"/>
        <v>60100</v>
      </c>
      <c r="U10" s="60">
        <f t="shared" si="0"/>
        <v>20.6</v>
      </c>
      <c r="V10" s="61">
        <f t="shared" si="1"/>
        <v>-45.7</v>
      </c>
      <c r="W10" s="62">
        <f t="shared" si="2"/>
        <v>25.1</v>
      </c>
      <c r="Y10" s="8"/>
      <c r="Z10" s="41"/>
      <c r="AA10" s="32"/>
      <c r="AB10" s="32">
        <v>1</v>
      </c>
      <c r="AC10" s="32">
        <v>4</v>
      </c>
      <c r="AD10" s="36">
        <v>30</v>
      </c>
      <c r="AE10" s="47" t="s">
        <v>87</v>
      </c>
      <c r="AF10" s="48" t="s">
        <v>82</v>
      </c>
      <c r="AG10" s="48" t="s">
        <v>82</v>
      </c>
      <c r="AH10" s="48" t="s">
        <v>87</v>
      </c>
      <c r="AI10" s="48" t="s">
        <v>80</v>
      </c>
      <c r="AJ10" s="48" t="s">
        <v>80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6</v>
      </c>
      <c r="BT10" s="36" t="s">
        <v>143</v>
      </c>
      <c r="BU10" s="47" t="s">
        <v>87</v>
      </c>
      <c r="BV10" s="48" t="s">
        <v>82</v>
      </c>
      <c r="BW10" s="48" t="s">
        <v>82</v>
      </c>
      <c r="BX10" s="48" t="s">
        <v>87</v>
      </c>
      <c r="BY10" s="48" t="s">
        <v>80</v>
      </c>
      <c r="BZ10" s="48" t="s">
        <v>80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B9B29E5-DE6F-4B4A-8F3C-89AA6D57E20C}">
      <formula1>$U$2:$W$2</formula1>
    </dataValidation>
    <dataValidation type="list" showInputMessage="1" showErrorMessage="1" sqref="K4:K30 P4:P30 F4:F30" xr:uid="{F82A09CA-5793-4C5E-910F-26196F55431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2019-01-20T16:35:58Z</dcterms:modified>
</cp:coreProperties>
</file>