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3_ncr:1_{65A05B64-3E4E-4904-A8B3-D151C8C2A85D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Sheet3" sheetId="17" r:id="rId3"/>
    <sheet name="Sheet4" sheetId="18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8" l="1"/>
  <c r="W30" i="18" s="1"/>
  <c r="O30" i="18"/>
  <c r="V30" i="18" s="1"/>
  <c r="J30" i="18"/>
  <c r="U30" i="18" s="1"/>
  <c r="D30" i="18"/>
  <c r="C30" i="18"/>
  <c r="B30" i="18"/>
  <c r="A30" i="18"/>
  <c r="T29" i="18"/>
  <c r="W29" i="18" s="1"/>
  <c r="O29" i="18"/>
  <c r="V29" i="18" s="1"/>
  <c r="J29" i="18"/>
  <c r="U29" i="18" s="1"/>
  <c r="D29" i="18"/>
  <c r="C29" i="18"/>
  <c r="B29" i="18"/>
  <c r="A29" i="18"/>
  <c r="T28" i="18"/>
  <c r="W28" i="18" s="1"/>
  <c r="O28" i="18"/>
  <c r="V28" i="18" s="1"/>
  <c r="J28" i="18"/>
  <c r="U28" i="18" s="1"/>
  <c r="D28" i="18"/>
  <c r="C28" i="18"/>
  <c r="B28" i="18"/>
  <c r="A28" i="18"/>
  <c r="T27" i="18"/>
  <c r="W27" i="18" s="1"/>
  <c r="O27" i="18"/>
  <c r="V27" i="18" s="1"/>
  <c r="J27" i="18"/>
  <c r="U27" i="18" s="1"/>
  <c r="D27" i="18"/>
  <c r="C27" i="18"/>
  <c r="B27" i="18"/>
  <c r="A27" i="18"/>
  <c r="T26" i="18"/>
  <c r="W26" i="18" s="1"/>
  <c r="O26" i="18"/>
  <c r="V26" i="18" s="1"/>
  <c r="J26" i="18"/>
  <c r="U26" i="18" s="1"/>
  <c r="D26" i="18"/>
  <c r="C26" i="18"/>
  <c r="B26" i="18"/>
  <c r="A26" i="18"/>
  <c r="T25" i="18"/>
  <c r="W25" i="18" s="1"/>
  <c r="O25" i="18"/>
  <c r="V25" i="18" s="1"/>
  <c r="J25" i="18"/>
  <c r="U25" i="18" s="1"/>
  <c r="D25" i="18"/>
  <c r="C25" i="18"/>
  <c r="B25" i="18"/>
  <c r="A25" i="18"/>
  <c r="T24" i="18"/>
  <c r="W24" i="18" s="1"/>
  <c r="O24" i="18"/>
  <c r="V24" i="18" s="1"/>
  <c r="J24" i="18"/>
  <c r="U24" i="18" s="1"/>
  <c r="D24" i="18"/>
  <c r="C24" i="18"/>
  <c r="B24" i="18"/>
  <c r="A24" i="18"/>
  <c r="T23" i="18"/>
  <c r="W23" i="18" s="1"/>
  <c r="O23" i="18"/>
  <c r="V23" i="18" s="1"/>
  <c r="J23" i="18"/>
  <c r="U23" i="18" s="1"/>
  <c r="D23" i="18"/>
  <c r="C23" i="18"/>
  <c r="B23" i="18"/>
  <c r="A23" i="18"/>
  <c r="T22" i="18"/>
  <c r="W22" i="18" s="1"/>
  <c r="O22" i="18"/>
  <c r="V22" i="18" s="1"/>
  <c r="J22" i="18"/>
  <c r="U22" i="18" s="1"/>
  <c r="D22" i="18"/>
  <c r="C22" i="18"/>
  <c r="B22" i="18"/>
  <c r="A22" i="18"/>
  <c r="T21" i="18"/>
  <c r="W21" i="18" s="1"/>
  <c r="O21" i="18"/>
  <c r="V21" i="18" s="1"/>
  <c r="J21" i="18"/>
  <c r="U21" i="18" s="1"/>
  <c r="D21" i="18"/>
  <c r="C21" i="18"/>
  <c r="B21" i="18"/>
  <c r="A21" i="18"/>
  <c r="T20" i="18"/>
  <c r="W20" i="18" s="1"/>
  <c r="O20" i="18"/>
  <c r="V20" i="18" s="1"/>
  <c r="J20" i="18"/>
  <c r="U20" i="18" s="1"/>
  <c r="D20" i="18"/>
  <c r="C20" i="18"/>
  <c r="B20" i="18"/>
  <c r="A20" i="18"/>
  <c r="T19" i="18"/>
  <c r="W19" i="18" s="1"/>
  <c r="O19" i="18"/>
  <c r="V19" i="18" s="1"/>
  <c r="J19" i="18"/>
  <c r="U19" i="18" s="1"/>
  <c r="D19" i="18"/>
  <c r="C19" i="18"/>
  <c r="B19" i="18"/>
  <c r="A19" i="18"/>
  <c r="T18" i="18"/>
  <c r="W18" i="18" s="1"/>
  <c r="O18" i="18"/>
  <c r="V18" i="18" s="1"/>
  <c r="J18" i="18"/>
  <c r="U18" i="18" s="1"/>
  <c r="D18" i="18"/>
  <c r="C18" i="18"/>
  <c r="B18" i="18"/>
  <c r="A18" i="18"/>
  <c r="T17" i="18"/>
  <c r="W17" i="18" s="1"/>
  <c r="O17" i="18"/>
  <c r="V17" i="18" s="1"/>
  <c r="J17" i="18"/>
  <c r="U17" i="18" s="1"/>
  <c r="D17" i="18"/>
  <c r="C17" i="18"/>
  <c r="B17" i="18"/>
  <c r="A17" i="18"/>
  <c r="T16" i="18"/>
  <c r="W16" i="18" s="1"/>
  <c r="O16" i="18"/>
  <c r="V16" i="18" s="1"/>
  <c r="J16" i="18"/>
  <c r="U16" i="18" s="1"/>
  <c r="D16" i="18"/>
  <c r="C16" i="18"/>
  <c r="B16" i="18"/>
  <c r="A16" i="18"/>
  <c r="T15" i="18"/>
  <c r="W15" i="18" s="1"/>
  <c r="O15" i="18"/>
  <c r="V15" i="18" s="1"/>
  <c r="J15" i="18"/>
  <c r="U15" i="18" s="1"/>
  <c r="D15" i="18"/>
  <c r="C15" i="18"/>
  <c r="B15" i="18"/>
  <c r="A15" i="18"/>
  <c r="T14" i="18"/>
  <c r="W14" i="18" s="1"/>
  <c r="O14" i="18"/>
  <c r="V14" i="18" s="1"/>
  <c r="J14" i="18"/>
  <c r="U14" i="18" s="1"/>
  <c r="D14" i="18"/>
  <c r="C14" i="18"/>
  <c r="B14" i="18"/>
  <c r="A14" i="18"/>
  <c r="T13" i="18"/>
  <c r="W13" i="18" s="1"/>
  <c r="O13" i="18"/>
  <c r="V13" i="18" s="1"/>
  <c r="J13" i="18"/>
  <c r="U13" i="18" s="1"/>
  <c r="D13" i="18"/>
  <c r="C13" i="18"/>
  <c r="B13" i="18"/>
  <c r="A13" i="18" s="1"/>
  <c r="T12" i="18"/>
  <c r="W12" i="18" s="1"/>
  <c r="O12" i="18"/>
  <c r="V12" i="18" s="1"/>
  <c r="J12" i="18"/>
  <c r="U12" i="18" s="1"/>
  <c r="D12" i="18"/>
  <c r="C12" i="18"/>
  <c r="B12" i="18"/>
  <c r="A12" i="18" s="1"/>
  <c r="D11" i="18"/>
  <c r="C11" i="18"/>
  <c r="D10" i="18"/>
  <c r="C10" i="18"/>
  <c r="D9" i="18"/>
  <c r="C9" i="18"/>
  <c r="D8" i="18"/>
  <c r="D7" i="18"/>
  <c r="D6" i="18"/>
  <c r="C6" i="18"/>
  <c r="C7" i="18" s="1"/>
  <c r="C8" i="18" s="1"/>
  <c r="O5" i="18"/>
  <c r="O6" i="18" s="1"/>
  <c r="J5" i="18"/>
  <c r="U5" i="18" s="1"/>
  <c r="D5" i="18"/>
  <c r="C5" i="18"/>
  <c r="B5" i="18"/>
  <c r="B6" i="18" s="1"/>
  <c r="T4" i="18"/>
  <c r="W4" i="18" s="1"/>
  <c r="O4" i="18"/>
  <c r="V4" i="18" s="1"/>
  <c r="J4" i="18"/>
  <c r="U4" i="18" s="1"/>
  <c r="W3" i="18"/>
  <c r="V3" i="18"/>
  <c r="U3" i="18"/>
  <c r="W2" i="18"/>
  <c r="V2" i="18"/>
  <c r="U2" i="18"/>
  <c r="BO1" i="18"/>
  <c r="AT1" i="18"/>
  <c r="Y1" i="18"/>
  <c r="T30" i="17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/>
  <c r="T13" i="17"/>
  <c r="W13" i="17" s="1"/>
  <c r="O13" i="17"/>
  <c r="V13" i="17" s="1"/>
  <c r="J13" i="17"/>
  <c r="U13" i="17" s="1"/>
  <c r="D13" i="17"/>
  <c r="C13" i="17"/>
  <c r="B13" i="17"/>
  <c r="A13" i="17"/>
  <c r="T12" i="17"/>
  <c r="W12" i="17" s="1"/>
  <c r="O12" i="17"/>
  <c r="V12" i="17" s="1"/>
  <c r="J12" i="17"/>
  <c r="U12" i="17" s="1"/>
  <c r="D12" i="17"/>
  <c r="C12" i="17"/>
  <c r="B12" i="17"/>
  <c r="A12" i="17" s="1"/>
  <c r="T11" i="17"/>
  <c r="W11" i="17" s="1"/>
  <c r="O11" i="17"/>
  <c r="V11" i="17" s="1"/>
  <c r="J11" i="17"/>
  <c r="U11" i="17" s="1"/>
  <c r="D11" i="17"/>
  <c r="C11" i="17"/>
  <c r="B11" i="17"/>
  <c r="A11" i="17" s="1"/>
  <c r="T10" i="17"/>
  <c r="W10" i="17" s="1"/>
  <c r="O10" i="17"/>
  <c r="V10" i="17" s="1"/>
  <c r="J10" i="17"/>
  <c r="U10" i="17" s="1"/>
  <c r="D10" i="17"/>
  <c r="C10" i="17"/>
  <c r="B10" i="17"/>
  <c r="A10" i="17" s="1"/>
  <c r="T9" i="17"/>
  <c r="W9" i="17" s="1"/>
  <c r="O9" i="17"/>
  <c r="V9" i="17" s="1"/>
  <c r="J9" i="17"/>
  <c r="U9" i="17" s="1"/>
  <c r="D9" i="17"/>
  <c r="C9" i="17"/>
  <c r="B9" i="17"/>
  <c r="A9" i="17" s="1"/>
  <c r="D8" i="17"/>
  <c r="C8" i="17"/>
  <c r="D7" i="17"/>
  <c r="C7" i="17"/>
  <c r="D6" i="17"/>
  <c r="C6" i="17"/>
  <c r="O5" i="17"/>
  <c r="O6" i="17" s="1"/>
  <c r="J5" i="17"/>
  <c r="U5" i="17" s="1"/>
  <c r="D5" i="17"/>
  <c r="C5" i="17"/>
  <c r="B5" i="17"/>
  <c r="B6" i="17" s="1"/>
  <c r="T4" i="17"/>
  <c r="W4" i="17" s="1"/>
  <c r="O4" i="17"/>
  <c r="V4" i="17" s="1"/>
  <c r="J4" i="17"/>
  <c r="U4" i="17" s="1"/>
  <c r="W3" i="17"/>
  <c r="V3" i="17"/>
  <c r="U3" i="17"/>
  <c r="W2" i="17"/>
  <c r="V2" i="17"/>
  <c r="U2" i="17"/>
  <c r="BO1" i="17"/>
  <c r="AT1" i="17"/>
  <c r="Y1" i="17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D14" i="16"/>
  <c r="D13" i="16"/>
  <c r="D12" i="16"/>
  <c r="C12" i="16"/>
  <c r="C13" i="16" s="1"/>
  <c r="C14" i="16" s="1"/>
  <c r="D11" i="16"/>
  <c r="C11" i="16"/>
  <c r="D10" i="16"/>
  <c r="D8" i="16"/>
  <c r="D9" i="16" s="1"/>
  <c r="C8" i="16"/>
  <c r="C9" i="16" s="1"/>
  <c r="C10" i="16" s="1"/>
  <c r="D7" i="16"/>
  <c r="D6" i="16"/>
  <c r="C6" i="16"/>
  <c r="C7" i="16" s="1"/>
  <c r="O5" i="16"/>
  <c r="O6" i="16" s="1"/>
  <c r="J5" i="16"/>
  <c r="U5" i="16" s="1"/>
  <c r="D5" i="16"/>
  <c r="C5" i="16"/>
  <c r="B5" i="16"/>
  <c r="B6" i="16" s="1"/>
  <c r="T4" i="16"/>
  <c r="W4" i="16" s="1"/>
  <c r="O4" i="16"/>
  <c r="V4" i="16" s="1"/>
  <c r="J4" i="16"/>
  <c r="U4" i="16" s="1"/>
  <c r="W3" i="16"/>
  <c r="V3" i="16"/>
  <c r="U3" i="16"/>
  <c r="W2" i="16"/>
  <c r="V2" i="16"/>
  <c r="U2" i="16"/>
  <c r="BO1" i="16"/>
  <c r="AT1" i="16"/>
  <c r="Y1" i="16"/>
  <c r="A5" i="18" l="1"/>
  <c r="V5" i="18"/>
  <c r="B7" i="18"/>
  <c r="V6" i="18"/>
  <c r="O7" i="18"/>
  <c r="T5" i="18"/>
  <c r="A6" i="18"/>
  <c r="J6" i="18"/>
  <c r="A5" i="17"/>
  <c r="V5" i="17"/>
  <c r="B7" i="17"/>
  <c r="V6" i="17"/>
  <c r="O7" i="17"/>
  <c r="T5" i="17"/>
  <c r="A6" i="17"/>
  <c r="A7" i="17" s="1"/>
  <c r="J6" i="17"/>
  <c r="A5" i="16"/>
  <c r="V5" i="16"/>
  <c r="B7" i="16"/>
  <c r="A7" i="16" s="1"/>
  <c r="V6" i="16"/>
  <c r="O7" i="16"/>
  <c r="T5" i="16"/>
  <c r="A6" i="16"/>
  <c r="J6" i="16"/>
  <c r="W3" i="1"/>
  <c r="V3" i="1"/>
  <c r="U3" i="1"/>
  <c r="U6" i="18" l="1"/>
  <c r="J7" i="18"/>
  <c r="B8" i="18"/>
  <c r="T6" i="18"/>
  <c r="W5" i="18"/>
  <c r="O8" i="18"/>
  <c r="V7" i="18"/>
  <c r="A7" i="18"/>
  <c r="O8" i="17"/>
  <c r="V8" i="17" s="1"/>
  <c r="V7" i="17"/>
  <c r="J7" i="17"/>
  <c r="U6" i="17"/>
  <c r="T6" i="17"/>
  <c r="W5" i="17"/>
  <c r="B8" i="17"/>
  <c r="A8" i="17" s="1"/>
  <c r="O8" i="16"/>
  <c r="V7" i="16"/>
  <c r="U6" i="16"/>
  <c r="J7" i="16"/>
  <c r="T6" i="16"/>
  <c r="W5" i="16"/>
  <c r="B8" i="16"/>
  <c r="A8" i="16"/>
  <c r="B5" i="1"/>
  <c r="A5" i="1" s="1"/>
  <c r="D6" i="1"/>
  <c r="C6" i="1"/>
  <c r="B6" i="1"/>
  <c r="A6" i="1" s="1"/>
  <c r="D5" i="1"/>
  <c r="C5" i="1"/>
  <c r="V8" i="18" l="1"/>
  <c r="O9" i="18"/>
  <c r="B9" i="18"/>
  <c r="W6" i="18"/>
  <c r="T7" i="18"/>
  <c r="A8" i="18"/>
  <c r="U7" i="18"/>
  <c r="J8" i="18"/>
  <c r="U7" i="17"/>
  <c r="J8" i="17"/>
  <c r="U8" i="17" s="1"/>
  <c r="W6" i="17"/>
  <c r="T7" i="17"/>
  <c r="U7" i="16"/>
  <c r="J8" i="16"/>
  <c r="B9" i="16"/>
  <c r="W6" i="16"/>
  <c r="T7" i="16"/>
  <c r="O9" i="16"/>
  <c r="V8" i="16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A9" i="18" l="1"/>
  <c r="U8" i="18"/>
  <c r="J9" i="18"/>
  <c r="B10" i="18"/>
  <c r="A10" i="18" s="1"/>
  <c r="W7" i="18"/>
  <c r="T8" i="18"/>
  <c r="O10" i="18"/>
  <c r="V9" i="18"/>
  <c r="W7" i="17"/>
  <c r="T8" i="17"/>
  <c r="W8" i="17" s="1"/>
  <c r="B10" i="16"/>
  <c r="A10" i="16"/>
  <c r="A9" i="16"/>
  <c r="O10" i="16"/>
  <c r="V9" i="16"/>
  <c r="W7" i="16"/>
  <c r="T8" i="16"/>
  <c r="U8" i="16"/>
  <c r="J9" i="16"/>
  <c r="Y1" i="1"/>
  <c r="V10" i="18" l="1"/>
  <c r="O11" i="18"/>
  <c r="V11" i="18" s="1"/>
  <c r="B11" i="18"/>
  <c r="A11" i="18" s="1"/>
  <c r="W8" i="18"/>
  <c r="T9" i="18"/>
  <c r="U9" i="18"/>
  <c r="J10" i="18"/>
  <c r="V10" i="16"/>
  <c r="O11" i="16"/>
  <c r="W8" i="16"/>
  <c r="T9" i="16"/>
  <c r="U9" i="16"/>
  <c r="J10" i="16"/>
  <c r="B11" i="16"/>
  <c r="BO1" i="1"/>
  <c r="AT1" i="1"/>
  <c r="J11" i="18" l="1"/>
  <c r="U11" i="18" s="1"/>
  <c r="U10" i="18"/>
  <c r="T10" i="18"/>
  <c r="W9" i="18"/>
  <c r="B12" i="16"/>
  <c r="A12" i="16" s="1"/>
  <c r="U10" i="16"/>
  <c r="J11" i="16"/>
  <c r="O12" i="16"/>
  <c r="V11" i="16"/>
  <c r="A11" i="16"/>
  <c r="W9" i="16"/>
  <c r="T10" i="16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W10" i="18" l="1"/>
  <c r="T11" i="18"/>
  <c r="W11" i="18" s="1"/>
  <c r="W10" i="16"/>
  <c r="T11" i="16"/>
  <c r="O13" i="16"/>
  <c r="V12" i="16"/>
  <c r="U11" i="16"/>
  <c r="J12" i="16"/>
  <c r="B13" i="16"/>
  <c r="A13" i="16" s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B14" i="16" l="1"/>
  <c r="A14" i="16"/>
  <c r="O14" i="16"/>
  <c r="V14" i="16" s="1"/>
  <c r="V13" i="16"/>
  <c r="U12" i="16"/>
  <c r="J13" i="16"/>
  <c r="W11" i="16"/>
  <c r="T12" i="16"/>
  <c r="W2" i="1"/>
  <c r="V2" i="1"/>
  <c r="U2" i="1"/>
  <c r="U13" i="16" l="1"/>
  <c r="J14" i="16"/>
  <c r="U14" i="16" s="1"/>
  <c r="W12" i="16"/>
  <c r="T13" i="16"/>
  <c r="J4" i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W13" i="16" l="1"/>
  <c r="T14" i="16"/>
  <c r="W14" i="16" s="1"/>
  <c r="B8" i="1"/>
  <c r="A8" i="1" s="1"/>
  <c r="A7" i="1"/>
  <c r="J5" i="1"/>
  <c r="U5" i="1" s="1"/>
  <c r="B9" i="1"/>
  <c r="A9" i="1" s="1"/>
  <c r="O4" i="1"/>
  <c r="V4" i="1" s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W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6" i="1" l="1"/>
  <c r="T5" i="1"/>
  <c r="W5" i="1" s="1"/>
  <c r="O6" i="1"/>
  <c r="B10" i="1"/>
  <c r="O7" i="1" l="1"/>
  <c r="V7" i="1" s="1"/>
  <c r="V6" i="1"/>
  <c r="J7" i="1"/>
  <c r="U7" i="1" s="1"/>
  <c r="U6" i="1"/>
  <c r="J8" i="1"/>
  <c r="U8" i="1" s="1"/>
  <c r="B11" i="1"/>
  <c r="A11" i="1" s="1"/>
  <c r="A10" i="1"/>
  <c r="O8" i="1"/>
  <c r="V8" i="1" s="1"/>
  <c r="T6" i="1"/>
  <c r="B12" i="1"/>
  <c r="A12" i="1" s="1"/>
  <c r="T7" i="1" l="1"/>
  <c r="W7" i="1" s="1"/>
  <c r="W6" i="1"/>
  <c r="J9" i="1"/>
  <c r="U9" i="1" s="1"/>
  <c r="T8" i="1"/>
  <c r="W8" i="1" s="1"/>
  <c r="O9" i="1"/>
  <c r="V9" i="1" s="1"/>
  <c r="B13" i="1"/>
  <c r="A13" i="1" s="1"/>
  <c r="J10" i="1" l="1"/>
  <c r="U10" i="1" s="1"/>
  <c r="J11" i="1"/>
  <c r="U11" i="1" s="1"/>
  <c r="O10" i="1"/>
  <c r="V10" i="1" s="1"/>
  <c r="T9" i="1"/>
  <c r="W9" i="1" s="1"/>
  <c r="B14" i="1"/>
  <c r="A14" i="1" s="1"/>
  <c r="O11" i="1" l="1"/>
  <c r="V11" i="1" s="1"/>
  <c r="J12" i="1"/>
  <c r="U12" i="1" s="1"/>
  <c r="T10" i="1"/>
  <c r="W10" i="1" s="1"/>
  <c r="J13" i="1" l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<sst xmlns="http://schemas.openxmlformats.org/spreadsheetml/2006/main" count="867" uniqueCount="156">
  <si>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</si>
  <si>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</si>
  <si>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</si>
  <si>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</si>
  <si>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</si>
  <si>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</si>
  <si>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</si>
  <si>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</si>
  <si>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</si>
  <si>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</si>
  <si>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</si>
  <si>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</si>
  <si>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</si>
  <si>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</si>
  <si>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</si>
  <si>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</si>
  <si>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</si>
  <si>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</si>
  <si>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</si>
  <si>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</si>
  <si>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</si>
  <si>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</si>
  <si>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</si>
  <si>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</si>
  <si>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</si>
  <si>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</si>
  <si>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</si>
  <si>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</si>
  <si>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</si>
  <si>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</si>
  <si>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</si>
  <si>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</si>
  <si>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</si>
  <si>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</si>
  <si>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</si>
  <si>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</si>
  <si>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</si>
  <si>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</si>
  <si>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</si>
  <si>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</si>
  <si>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</si>
  <si>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</si>
  <si>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</si>
  <si>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</si>
  <si>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</si>
  <si>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</si>
  <si>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</si>
  <si>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</si>
  <si>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</si>
  <si>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</si>
  <si>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</si>
  <si>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</si>
  <si>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</si>
  <si>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</si>
  <si>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</si>
  <si>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</si>
  <si>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</si>
  <si>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</si>
  <si>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</si>
  <si>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</si>
  <si>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</si>
  <si>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</si>
  <si>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</si>
  <si>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</si>
  <si>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</si>
  <si>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</si>
  <si>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</si>
  <si>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</si>
  <si>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</si>
  <si>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</si>
  <si>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</si>
  <si>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</si>
  <si>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</si>
  <si>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</si>
  <si>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</si>
  <si>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</si>
  <si>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</si>
  <si>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</si>
  <si>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</si>
  <si>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</si>
  <si>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</si>
  <si>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</si>
  <si>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</si>
  <si>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</si>
  <si>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</si>
  <si>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</si>
  <si>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</si>
  <si>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</si>
  <si>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</si>
  <si>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</si>
  <si>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</si>
  <si>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</si>
  <si>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</si>
  <si>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</si>
  <si>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</si>
  <si>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</si>
  <si>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</si>
  <si>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</si>
  <si>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</si>
  <si>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</si>
  <si>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</si>
  <si>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</si>
  <si>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</si>
  <si>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</si>
  <si>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</si>
  <si>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</si>
  <si>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</si>
  <si>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</si>
  <si>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</si>
  <si>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</si>
  <si>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</si>
  <si>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</si>
  <si>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</si>
  <si>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</si>
  <si>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</si>
  <si>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</si>
  <si>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</si>
  <si>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</si>
  <si>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</si>
  <si>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</si>
  <si>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</si>
  <si>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</si>
  <si>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</si>
  <si>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</si>
  <si>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</si>
  <si>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</si>
  <si>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</si>
  <si>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</si>
  <si>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</si>
  <si>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</si>
  <si>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</si>
  <si>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</si>
  <si>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</si>
  <si>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</si>
  <si>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</si>
  <si>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</si>
  <si>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</si>
  <si>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たかの</t>
  </si>
  <si>
    <t>たかの</t>
    <phoneticPr fontId="1"/>
  </si>
  <si>
    <t>りくと</t>
  </si>
  <si>
    <t>りくと</t>
    <phoneticPr fontId="1"/>
  </si>
  <si>
    <t>ロン</t>
  </si>
  <si>
    <t>放銃</t>
  </si>
  <si>
    <t>ツモ</t>
  </si>
  <si>
    <t>ツモ支払</t>
  </si>
  <si>
    <t>01</t>
  </si>
  <si>
    <t>T</t>
  </si>
  <si>
    <t>N</t>
  </si>
  <si>
    <t>流局</t>
    <phoneticPr fontId="1"/>
  </si>
  <si>
    <t>02</t>
  </si>
  <si>
    <t>*</t>
  </si>
  <si>
    <t>流局</t>
    <phoneticPr fontId="1"/>
  </si>
  <si>
    <t>れんたろう</t>
  </si>
  <si>
    <t>れんたろう</t>
    <phoneticPr fontId="1"/>
  </si>
  <si>
    <t>ともき</t>
  </si>
  <si>
    <t>ともき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</si>
</sst>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たかの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りくと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たかの</v>
      </c>
      <c r="W2" s="16" t="str">
        <f>$P$1</f>
        <v>りくと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135</v>
      </c>
      <c r="F4" s="8" t="s">
        <v>141</v>
      </c>
      <c r="G4" s="9">
        <v>5800</v>
      </c>
      <c r="H4" s="9"/>
      <c r="I4" s="55">
        <v>0</v>
      </c>
      <c r="J4" s="21">
        <f>IF(COUNTA($F4,$K4,$P4)&gt;0,J3+SUM(G4:I4),"")</f>
        <v>40800</v>
      </c>
      <c r="K4" s="8"/>
      <c r="L4" s="9"/>
      <c r="M4" s="9"/>
      <c r="N4" s="55"/>
      <c r="O4" s="21">
        <f>IF(COUNTA($F4,$K4,$P4)&gt;0,O3+SUM(L4:N4),"")</f>
        <v>35000</v>
      </c>
      <c r="P4" s="8" t="s">
        <v>142</v>
      </c>
      <c r="Q4" s="9">
        <v>-5800</v>
      </c>
      <c r="R4" s="9"/>
      <c r="S4" s="55">
        <v>0</v>
      </c>
      <c r="T4" s="21">
        <f>IF(COUNTA($F4,$K4,$P4)&gt;0,T3+SUM(Q4:S4),"")</f>
        <v>29200</v>
      </c>
      <c r="U4" s="60">
        <f t="shared" ref="U4:U30" si="0">IF($J4="","",ROUND(($J4-$J$3)/1000,1))</f>
        <v>5.8</v>
      </c>
      <c r="V4" s="61">
        <f t="shared" ref="V4:V30" si="1">IF($O4="","",ROUND(($O4-$O$3)/1000,1))</f>
        <v>0</v>
      </c>
      <c r="W4" s="62">
        <f t="shared" ref="W4:W30" si="2">IF($T4="","",ROUND(($T4-$T$3)/1000,1))</f>
        <v>-5.8</v>
      </c>
      <c r="Y4" s="8"/>
      <c r="Z4" s="41"/>
      <c r="AA4" s="32"/>
      <c r="AB4" s="32">
        <v>1</v>
      </c>
      <c r="AC4" s="32">
        <v>3</v>
      </c>
      <c r="AD4" s="36">
        <v>30</v>
      </c>
      <c r="AE4" s="47" t="s">
        <v>87</v>
      </c>
      <c r="AF4" s="48" t="s">
        <v>105</v>
      </c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6" si="4">IF($E5="","",IF(F4="チョンボ",C4,IF($E4=$E5,C4+1,0)))</f>
        <v>1</v>
      </c>
      <c r="D5" s="18">
        <f t="shared" ref="D5:D30" si="5">IF($E5="","",IF(OR($F4="流局",$F4="チョンボ"),D4+($H4+$M4+$R4)/-1000,0))</f>
        <v>0</v>
      </c>
      <c r="E5" s="4" t="s">
        <v>135</v>
      </c>
      <c r="F5" s="8" t="s">
        <v>143</v>
      </c>
      <c r="G5" s="9">
        <v>1600</v>
      </c>
      <c r="H5" s="9">
        <v>1000</v>
      </c>
      <c r="I5" s="55">
        <v>1000</v>
      </c>
      <c r="J5" s="21">
        <f t="shared" ref="J5:J30" si="6">IF(COUNTA($F5,$K5,$P5)&gt;0,J4+SUM(G5:I5),"")</f>
        <v>44400</v>
      </c>
      <c r="K5" s="8" t="s">
        <v>144</v>
      </c>
      <c r="L5" s="9">
        <v>-800</v>
      </c>
      <c r="M5" s="9"/>
      <c r="N5" s="55">
        <v>-500</v>
      </c>
      <c r="O5" s="21">
        <f t="shared" ref="O5:O30" si="7">IF(COUNTA($F5,$K5,$P5)&gt;0,O4+SUM(L5:N5),"")</f>
        <v>33700</v>
      </c>
      <c r="P5" s="8" t="s">
        <v>144</v>
      </c>
      <c r="Q5" s="9">
        <v>-800</v>
      </c>
      <c r="R5" s="9">
        <v>-1000</v>
      </c>
      <c r="S5" s="55">
        <v>-500</v>
      </c>
      <c r="T5" s="21">
        <f t="shared" ref="T5:T30" si="8">IF(COUNTA($F5,$K5,$P5)&gt;0,T4+SUM(Q5:S5),"")</f>
        <v>26900</v>
      </c>
      <c r="U5" s="60">
        <f t="shared" si="0"/>
        <v>9.4</v>
      </c>
      <c r="V5" s="61">
        <f t="shared" si="1"/>
        <v>-1.3</v>
      </c>
      <c r="W5" s="62">
        <f t="shared" si="2"/>
        <v>-8.1</v>
      </c>
      <c r="Y5" s="8"/>
      <c r="Z5" s="41"/>
      <c r="AA5" s="32"/>
      <c r="AB5" s="32"/>
      <c r="AC5" s="32">
        <v>1</v>
      </c>
      <c r="AD5" s="36">
        <v>30</v>
      </c>
      <c r="AE5" s="47" t="s">
        <v>83</v>
      </c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1</v>
      </c>
      <c r="C6" s="18">
        <f t="shared" si="4"/>
        <v>2</v>
      </c>
      <c r="D6" s="18">
        <f t="shared" si="5"/>
        <v>0</v>
      </c>
      <c r="E6" s="4" t="s">
        <v>135</v>
      </c>
      <c r="F6" s="8" t="s">
        <v>141</v>
      </c>
      <c r="G6" s="9">
        <v>2000</v>
      </c>
      <c r="H6" s="9"/>
      <c r="I6" s="55">
        <v>2000</v>
      </c>
      <c r="J6" s="21">
        <f t="shared" si="6"/>
        <v>48400</v>
      </c>
      <c r="K6" s="8"/>
      <c r="L6" s="9"/>
      <c r="M6" s="9"/>
      <c r="N6" s="55"/>
      <c r="O6" s="21">
        <f t="shared" si="7"/>
        <v>33700</v>
      </c>
      <c r="P6" s="8" t="s">
        <v>142</v>
      </c>
      <c r="Q6" s="9">
        <v>-2000</v>
      </c>
      <c r="R6" s="9"/>
      <c r="S6" s="55">
        <v>-2000</v>
      </c>
      <c r="T6" s="21">
        <f t="shared" si="8"/>
        <v>22900</v>
      </c>
      <c r="U6" s="60">
        <f t="shared" si="0"/>
        <v>13.4</v>
      </c>
      <c r="V6" s="61">
        <f t="shared" si="1"/>
        <v>-1.3</v>
      </c>
      <c r="W6" s="62">
        <f t="shared" si="2"/>
        <v>-12.1</v>
      </c>
      <c r="Y6" s="8"/>
      <c r="Z6" s="41"/>
      <c r="AA6" s="32">
        <v>1</v>
      </c>
      <c r="AB6" s="32"/>
      <c r="AC6" s="32">
        <v>1</v>
      </c>
      <c r="AD6" s="36">
        <v>40</v>
      </c>
      <c r="AE6" s="47" t="s">
        <v>145</v>
      </c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東</v>
      </c>
      <c r="B7" s="18">
        <f t="shared" si="9"/>
        <v>1</v>
      </c>
      <c r="C7" s="18">
        <f t="shared" ref="C7:C30" si="11">IF($E7="","",IF(F6="チョンボ",C6,IF($E6=$E7,C6+1,0)))</f>
        <v>3</v>
      </c>
      <c r="D7" s="18">
        <f t="shared" si="5"/>
        <v>0</v>
      </c>
      <c r="E7" s="4" t="s">
        <v>135</v>
      </c>
      <c r="F7" s="8" t="s">
        <v>144</v>
      </c>
      <c r="G7" s="9">
        <v>-1300</v>
      </c>
      <c r="H7" s="9"/>
      <c r="I7" s="55">
        <v>-1500</v>
      </c>
      <c r="J7" s="21">
        <f t="shared" si="6"/>
        <v>45600</v>
      </c>
      <c r="K7" s="8" t="s">
        <v>143</v>
      </c>
      <c r="L7" s="9">
        <v>2100</v>
      </c>
      <c r="M7" s="9"/>
      <c r="N7" s="55">
        <v>3000</v>
      </c>
      <c r="O7" s="21">
        <f t="shared" si="7"/>
        <v>38800</v>
      </c>
      <c r="P7" s="8" t="s">
        <v>144</v>
      </c>
      <c r="Q7" s="9">
        <v>-800</v>
      </c>
      <c r="R7" s="9"/>
      <c r="S7" s="55">
        <v>-1500</v>
      </c>
      <c r="T7" s="21">
        <f t="shared" si="8"/>
        <v>20600</v>
      </c>
      <c r="U7" s="60">
        <f t="shared" si="0"/>
        <v>10.6</v>
      </c>
      <c r="V7" s="61">
        <f t="shared" si="1"/>
        <v>3.8</v>
      </c>
      <c r="W7" s="62">
        <f t="shared" si="2"/>
        <v>-14.4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>
        <v>2</v>
      </c>
      <c r="AY7" s="36">
        <v>30</v>
      </c>
      <c r="AZ7" s="47" t="s">
        <v>87</v>
      </c>
      <c r="BA7" s="48" t="s">
        <v>87</v>
      </c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>東</v>
      </c>
      <c r="B8" s="18">
        <f t="shared" si="9"/>
        <v>2</v>
      </c>
      <c r="C8" s="18">
        <f t="shared" si="11"/>
        <v>0</v>
      </c>
      <c r="D8" s="18">
        <f t="shared" si="5"/>
        <v>0</v>
      </c>
      <c r="E8" s="4" t="s">
        <v>137</v>
      </c>
      <c r="F8" s="8" t="s">
        <v>148</v>
      </c>
      <c r="G8" s="9">
        <v>1500</v>
      </c>
      <c r="H8" s="9">
        <v>-1000</v>
      </c>
      <c r="I8" s="55"/>
      <c r="J8" s="21">
        <f t="shared" si="6"/>
        <v>46100</v>
      </c>
      <c r="K8" s="8" t="s">
        <v>148</v>
      </c>
      <c r="L8" s="9">
        <v>1500</v>
      </c>
      <c r="M8" s="9">
        <v>-1000</v>
      </c>
      <c r="N8" s="55"/>
      <c r="O8" s="21">
        <f t="shared" si="7"/>
        <v>39300</v>
      </c>
      <c r="P8" s="8" t="s">
        <v>148</v>
      </c>
      <c r="Q8" s="9">
        <v>-3000</v>
      </c>
      <c r="R8" s="9"/>
      <c r="S8" s="55"/>
      <c r="T8" s="21">
        <f t="shared" si="8"/>
        <v>17600</v>
      </c>
      <c r="U8" s="60">
        <f t="shared" si="0"/>
        <v>11.1</v>
      </c>
      <c r="V8" s="61">
        <f t="shared" si="1"/>
        <v>4.3</v>
      </c>
      <c r="W8" s="62">
        <f t="shared" si="2"/>
        <v>-17.399999999999999</v>
      </c>
      <c r="Y8" s="8" t="s">
        <v>146</v>
      </c>
      <c r="Z8" s="41"/>
      <c r="AA8" s="32">
        <v>1</v>
      </c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 t="s">
        <v>146</v>
      </c>
      <c r="AU8" s="41"/>
      <c r="AV8" s="32">
        <v>1</v>
      </c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 t="s">
        <v>147</v>
      </c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>東</v>
      </c>
      <c r="B9" s="18">
        <f t="shared" si="9"/>
        <v>2</v>
      </c>
      <c r="C9" s="18">
        <f t="shared" si="11"/>
        <v>1</v>
      </c>
      <c r="D9" s="18">
        <f t="shared" si="5"/>
        <v>2</v>
      </c>
      <c r="E9" s="4" t="s">
        <v>137</v>
      </c>
      <c r="F9" s="8" t="s">
        <v>144</v>
      </c>
      <c r="G9" s="9">
        <v>-6000</v>
      </c>
      <c r="H9" s="9"/>
      <c r="I9" s="55">
        <v>-500</v>
      </c>
      <c r="J9" s="21">
        <f t="shared" si="6"/>
        <v>39600</v>
      </c>
      <c r="K9" s="8" t="s">
        <v>143</v>
      </c>
      <c r="L9" s="9">
        <v>12000</v>
      </c>
      <c r="M9" s="9">
        <v>2000</v>
      </c>
      <c r="N9" s="55">
        <v>1000</v>
      </c>
      <c r="O9" s="21">
        <f t="shared" si="7"/>
        <v>54300</v>
      </c>
      <c r="P9" s="8" t="s">
        <v>144</v>
      </c>
      <c r="Q9" s="9">
        <v>-6000</v>
      </c>
      <c r="R9" s="9"/>
      <c r="S9" s="55">
        <v>-500</v>
      </c>
      <c r="T9" s="21">
        <f t="shared" si="8"/>
        <v>11100</v>
      </c>
      <c r="U9" s="60">
        <f t="shared" si="0"/>
        <v>4.5999999999999996</v>
      </c>
      <c r="V9" s="61">
        <f t="shared" si="1"/>
        <v>19.3</v>
      </c>
      <c r="W9" s="62">
        <f t="shared" si="2"/>
        <v>-23.9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>
        <v>4</v>
      </c>
      <c r="AY9" s="36">
        <v>30</v>
      </c>
      <c r="AZ9" s="47" t="s">
        <v>145</v>
      </c>
      <c r="BA9" s="48" t="s">
        <v>83</v>
      </c>
      <c r="BB9" s="48" t="s">
        <v>149</v>
      </c>
      <c r="BC9" s="48" t="s">
        <v>80</v>
      </c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>東</v>
      </c>
      <c r="B10" s="18">
        <f t="shared" si="9"/>
        <v>2</v>
      </c>
      <c r="C10" s="18">
        <f t="shared" si="11"/>
        <v>2</v>
      </c>
      <c r="D10" s="18">
        <f t="shared" si="5"/>
        <v>0</v>
      </c>
      <c r="E10" s="4" t="s">
        <v>137</v>
      </c>
      <c r="F10" s="8" t="s">
        <v>143</v>
      </c>
      <c r="G10" s="9">
        <v>4000</v>
      </c>
      <c r="H10" s="9"/>
      <c r="I10" s="55">
        <v>2000</v>
      </c>
      <c r="J10" s="21">
        <f t="shared" si="6"/>
        <v>45600</v>
      </c>
      <c r="K10" s="8" t="s">
        <v>144</v>
      </c>
      <c r="L10" s="9">
        <v>-2500</v>
      </c>
      <c r="M10" s="9"/>
      <c r="N10" s="55">
        <v>-1000</v>
      </c>
      <c r="O10" s="21">
        <f t="shared" si="7"/>
        <v>50800</v>
      </c>
      <c r="P10" s="8" t="s">
        <v>144</v>
      </c>
      <c r="Q10" s="9">
        <v>-1500</v>
      </c>
      <c r="R10" s="9"/>
      <c r="S10" s="55">
        <v>-1000</v>
      </c>
      <c r="T10" s="21">
        <f t="shared" si="8"/>
        <v>8600</v>
      </c>
      <c r="U10" s="60">
        <f t="shared" si="0"/>
        <v>10.6</v>
      </c>
      <c r="V10" s="61">
        <f t="shared" si="1"/>
        <v>15.8</v>
      </c>
      <c r="W10" s="62">
        <f t="shared" si="2"/>
        <v>-26.4</v>
      </c>
      <c r="Y10" s="8"/>
      <c r="Z10" s="41"/>
      <c r="AA10" s="32"/>
      <c r="AB10" s="32"/>
      <c r="AC10" s="32">
        <v>3</v>
      </c>
      <c r="AD10" s="36">
        <v>30</v>
      </c>
      <c r="AE10" s="47" t="s">
        <v>83</v>
      </c>
      <c r="AF10" s="48" t="s">
        <v>82</v>
      </c>
      <c r="AG10" s="48" t="s">
        <v>82</v>
      </c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>東</v>
      </c>
      <c r="B11" s="18">
        <f t="shared" si="9"/>
        <v>3</v>
      </c>
      <c r="C11" s="18">
        <f t="shared" si="11"/>
        <v>0</v>
      </c>
      <c r="D11" s="18">
        <f t="shared" si="5"/>
        <v>0</v>
      </c>
      <c r="E11" s="4" t="s">
        <v>139</v>
      </c>
      <c r="F11" s="8" t="s">
        <v>141</v>
      </c>
      <c r="G11" s="9">
        <v>1300</v>
      </c>
      <c r="H11" s="9">
        <v>1000</v>
      </c>
      <c r="I11" s="55">
        <v>0</v>
      </c>
      <c r="J11" s="21">
        <f t="shared" si="6"/>
        <v>47900</v>
      </c>
      <c r="K11" s="8"/>
      <c r="L11" s="9"/>
      <c r="M11" s="9">
        <v>-1000</v>
      </c>
      <c r="N11" s="55"/>
      <c r="O11" s="21">
        <f t="shared" si="7"/>
        <v>49800</v>
      </c>
      <c r="P11" s="8" t="s">
        <v>142</v>
      </c>
      <c r="Q11" s="9">
        <v>-1300</v>
      </c>
      <c r="R11" s="9"/>
      <c r="S11" s="55">
        <v>0</v>
      </c>
      <c r="T11" s="21">
        <f t="shared" si="8"/>
        <v>7300</v>
      </c>
      <c r="U11" s="60">
        <f t="shared" si="0"/>
        <v>12.9</v>
      </c>
      <c r="V11" s="61">
        <f t="shared" si="1"/>
        <v>14.8</v>
      </c>
      <c r="W11" s="62">
        <f t="shared" si="2"/>
        <v>-27.7</v>
      </c>
      <c r="Y11" s="8"/>
      <c r="Z11" s="41"/>
      <c r="AA11" s="32"/>
      <c r="AB11" s="32"/>
      <c r="AC11" s="32">
        <v>1</v>
      </c>
      <c r="AD11" s="36">
        <v>40</v>
      </c>
      <c r="AE11" s="47" t="s">
        <v>85</v>
      </c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>南</v>
      </c>
      <c r="B12" s="18">
        <f t="shared" si="9"/>
        <v>1</v>
      </c>
      <c r="C12" s="18">
        <f t="shared" si="11"/>
        <v>0</v>
      </c>
      <c r="D12" s="18">
        <f t="shared" si="5"/>
        <v>0</v>
      </c>
      <c r="E12" s="4" t="s">
        <v>135</v>
      </c>
      <c r="F12" s="8" t="s">
        <v>141</v>
      </c>
      <c r="G12" s="9">
        <v>12000</v>
      </c>
      <c r="H12" s="9"/>
      <c r="I12" s="55">
        <v>0</v>
      </c>
      <c r="J12" s="21">
        <f t="shared" si="6"/>
        <v>59900</v>
      </c>
      <c r="K12" s="8" t="s">
        <v>142</v>
      </c>
      <c r="L12" s="9">
        <v>-12000</v>
      </c>
      <c r="M12" s="9"/>
      <c r="N12" s="55">
        <v>0</v>
      </c>
      <c r="O12" s="21">
        <f t="shared" si="7"/>
        <v>37800</v>
      </c>
      <c r="P12" s="8"/>
      <c r="Q12" s="9"/>
      <c r="R12" s="9"/>
      <c r="S12" s="55"/>
      <c r="T12" s="21">
        <f t="shared" si="8"/>
        <v>7300</v>
      </c>
      <c r="U12" s="60">
        <f t="shared" si="0"/>
        <v>24.9</v>
      </c>
      <c r="V12" s="61">
        <f t="shared" si="1"/>
        <v>2.8</v>
      </c>
      <c r="W12" s="62">
        <f t="shared" si="2"/>
        <v>-27.7</v>
      </c>
      <c r="Y12" s="8"/>
      <c r="Z12" s="41"/>
      <c r="AA12" s="32"/>
      <c r="AB12" s="32"/>
      <c r="AC12" s="32">
        <v>5</v>
      </c>
      <c r="AD12" s="36" t="s">
        <v>150</v>
      </c>
      <c r="AE12" s="47" t="s">
        <v>102</v>
      </c>
      <c r="AF12" s="48" t="s">
        <v>86</v>
      </c>
      <c r="AG12" s="48" t="s">
        <v>82</v>
      </c>
      <c r="AH12" s="48" t="s">
        <v>82</v>
      </c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>南</v>
      </c>
      <c r="B13" s="18">
        <f t="shared" si="9"/>
        <v>1</v>
      </c>
      <c r="C13" s="18">
        <f t="shared" si="11"/>
        <v>1</v>
      </c>
      <c r="D13" s="18">
        <f t="shared" si="5"/>
        <v>0</v>
      </c>
      <c r="E13" s="4" t="s">
        <v>135</v>
      </c>
      <c r="F13" s="8" t="s">
        <v>141</v>
      </c>
      <c r="G13" s="9">
        <v>2900</v>
      </c>
      <c r="H13" s="9">
        <v>1000</v>
      </c>
      <c r="I13" s="55">
        <v>1000</v>
      </c>
      <c r="J13" s="21">
        <f t="shared" si="6"/>
        <v>64800</v>
      </c>
      <c r="K13" s="8" t="s">
        <v>142</v>
      </c>
      <c r="L13" s="9">
        <v>-2900</v>
      </c>
      <c r="M13" s="9"/>
      <c r="N13" s="55">
        <v>-1000</v>
      </c>
      <c r="O13" s="21">
        <f t="shared" si="7"/>
        <v>33900</v>
      </c>
      <c r="P13" s="8"/>
      <c r="Q13" s="9"/>
      <c r="R13" s="9">
        <v>-1000</v>
      </c>
      <c r="S13" s="55"/>
      <c r="T13" s="21">
        <f t="shared" si="8"/>
        <v>6300</v>
      </c>
      <c r="U13" s="60">
        <f t="shared" si="0"/>
        <v>29.8</v>
      </c>
      <c r="V13" s="61">
        <f t="shared" si="1"/>
        <v>-1.1000000000000001</v>
      </c>
      <c r="W13" s="62">
        <f t="shared" si="2"/>
        <v>-28.7</v>
      </c>
      <c r="Y13" s="8"/>
      <c r="Z13" s="41"/>
      <c r="AA13" s="32"/>
      <c r="AB13" s="32">
        <v>1</v>
      </c>
      <c r="AC13" s="32">
        <v>2</v>
      </c>
      <c r="AD13" s="36">
        <v>30</v>
      </c>
      <c r="AE13" s="47" t="s">
        <v>87</v>
      </c>
      <c r="AF13" s="48" t="s">
        <v>82</v>
      </c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>
        <v>1</v>
      </c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>南</v>
      </c>
      <c r="B14" s="18">
        <f t="shared" si="9"/>
        <v>1</v>
      </c>
      <c r="C14" s="18">
        <f t="shared" si="11"/>
        <v>2</v>
      </c>
      <c r="D14" s="18">
        <f t="shared" si="5"/>
        <v>0</v>
      </c>
      <c r="E14" s="4" t="s">
        <v>135</v>
      </c>
      <c r="F14" s="8" t="s">
        <v>141</v>
      </c>
      <c r="G14" s="9">
        <v>5800</v>
      </c>
      <c r="H14" s="9"/>
      <c r="I14" s="55">
        <v>2000</v>
      </c>
      <c r="J14" s="21">
        <f t="shared" si="6"/>
        <v>72600</v>
      </c>
      <c r="K14" s="8"/>
      <c r="L14" s="9"/>
      <c r="M14" s="9"/>
      <c r="N14" s="55"/>
      <c r="O14" s="21">
        <f t="shared" si="7"/>
        <v>33900</v>
      </c>
      <c r="P14" s="8" t="s">
        <v>142</v>
      </c>
      <c r="Q14" s="9">
        <v>-5800</v>
      </c>
      <c r="R14" s="9"/>
      <c r="S14" s="55">
        <v>-2000</v>
      </c>
      <c r="T14" s="21">
        <f t="shared" si="8"/>
        <v>-1500</v>
      </c>
      <c r="U14" s="60">
        <f t="shared" si="0"/>
        <v>37.6</v>
      </c>
      <c r="V14" s="61">
        <f t="shared" si="1"/>
        <v>-1.1000000000000001</v>
      </c>
      <c r="W14" s="62">
        <f t="shared" si="2"/>
        <v>-36.5</v>
      </c>
      <c r="Y14" s="8"/>
      <c r="Z14" s="41"/>
      <c r="AA14" s="32"/>
      <c r="AB14" s="32">
        <v>1</v>
      </c>
      <c r="AC14" s="32">
        <v>3</v>
      </c>
      <c r="AD14" s="36">
        <v>30</v>
      </c>
      <c r="AE14" s="47" t="s">
        <v>87</v>
      </c>
      <c r="AF14" s="48" t="s">
        <v>87</v>
      </c>
      <c r="AG14" s="48" t="s">
        <v>82</v>
      </c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9"/>
        <v/>
      </c>
      <c r="C15" s="18" t="str">
        <f t="shared" si="11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9"/>
        <v/>
      </c>
      <c r="C16" s="18" t="str">
        <f t="shared" si="11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9"/>
        <v/>
      </c>
      <c r="C17" s="18" t="str">
        <f t="shared" si="11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9"/>
        <v/>
      </c>
      <c r="C18" s="18" t="str">
        <f t="shared" si="11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9"/>
        <v/>
      </c>
      <c r="C19" s="18" t="str">
        <f t="shared" si="11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9"/>
        <v/>
      </c>
      <c r="C20" s="18" t="str">
        <f t="shared" si="11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9"/>
        <v/>
      </c>
      <c r="C21" s="18" t="str">
        <f t="shared" si="11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9"/>
        <v/>
      </c>
      <c r="C22" s="18" t="str">
        <f t="shared" si="11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9"/>
        <v/>
      </c>
      <c r="C23" s="18" t="str">
        <f t="shared" si="11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9"/>
        <v/>
      </c>
      <c r="C24" s="18" t="str">
        <f t="shared" si="11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9"/>
        <v/>
      </c>
      <c r="C25" s="18" t="str">
        <f t="shared" si="11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9"/>
        <v/>
      </c>
      <c r="C26" s="18" t="str">
        <f t="shared" si="11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9"/>
        <v/>
      </c>
      <c r="C27" s="18" t="str">
        <f t="shared" si="11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9"/>
        <v/>
      </c>
      <c r="C28" s="18" t="str">
        <f t="shared" si="11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9"/>
        <v/>
      </c>
      <c r="C29" s="18" t="str">
        <f t="shared" si="11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9"/>
        <v/>
      </c>
      <c r="C30" s="19" t="str">
        <f t="shared" si="11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F087D-5F5E-434F-A031-BB33D0A02683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たかの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りくと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たかの</v>
      </c>
      <c r="W2" s="16" t="str">
        <f>$P$1</f>
        <v>りくと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 t="s">
        <v>144</v>
      </c>
      <c r="G4" s="9">
        <v>-1100</v>
      </c>
      <c r="H4" s="9">
        <v>-1000</v>
      </c>
      <c r="I4" s="55">
        <v>0</v>
      </c>
      <c r="J4" s="21">
        <f>IF(COUNTA($F4,$K4,$P4)&gt;0,J3+SUM(G4:I4),"")</f>
        <v>32900</v>
      </c>
      <c r="K4" s="8" t="s">
        <v>144</v>
      </c>
      <c r="L4" s="9">
        <v>-1700</v>
      </c>
      <c r="M4" s="9"/>
      <c r="N4" s="55">
        <v>0</v>
      </c>
      <c r="O4" s="21">
        <f>IF(COUNTA($F4,$K4,$P4)&gt;0,O3+SUM(L4:N4),"")</f>
        <v>33300</v>
      </c>
      <c r="P4" s="8" t="s">
        <v>143</v>
      </c>
      <c r="Q4" s="9">
        <v>2800</v>
      </c>
      <c r="R4" s="9">
        <v>1000</v>
      </c>
      <c r="S4" s="55">
        <v>0</v>
      </c>
      <c r="T4" s="21">
        <f>IF(COUNTA($F4,$K4,$P4)&gt;0,T3+SUM(Q4:S4),"")</f>
        <v>38800</v>
      </c>
      <c r="U4" s="60">
        <f t="shared" ref="U4:U30" si="0">IF($J4="","",ROUND(($J4-$J$3)/1000,1))</f>
        <v>-2.1</v>
      </c>
      <c r="V4" s="61">
        <f t="shared" ref="V4:V30" si="1">IF($O4="","",ROUND(($O4-$O$3)/1000,1))</f>
        <v>-1.7</v>
      </c>
      <c r="W4" s="62">
        <f t="shared" ref="W4:W30" si="2">IF($T4="","",ROUND(($T4-$T$3)/1000,1))</f>
        <v>3.8</v>
      </c>
      <c r="Y4" s="8"/>
      <c r="Z4" s="41"/>
      <c r="AA4" s="32">
        <v>1</v>
      </c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>
        <v>3</v>
      </c>
      <c r="BT4" s="36">
        <v>20</v>
      </c>
      <c r="BU4" s="47" t="s">
        <v>83</v>
      </c>
      <c r="BV4" s="48" t="s">
        <v>84</v>
      </c>
      <c r="BW4" s="48" t="s">
        <v>80</v>
      </c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139</v>
      </c>
      <c r="F5" s="8" t="s">
        <v>151</v>
      </c>
      <c r="G5" s="9">
        <v>1500</v>
      </c>
      <c r="H5" s="9"/>
      <c r="I5" s="55"/>
      <c r="J5" s="21">
        <f t="shared" ref="J5:J30" si="6">IF(COUNTA($F5,$K5,$P5)&gt;0,J4+SUM(G5:I5),"")</f>
        <v>34400</v>
      </c>
      <c r="K5" s="8" t="s">
        <v>151</v>
      </c>
      <c r="L5" s="9">
        <v>1500</v>
      </c>
      <c r="M5" s="9">
        <v>-1000</v>
      </c>
      <c r="N5" s="55"/>
      <c r="O5" s="21">
        <f t="shared" ref="O5:O30" si="7">IF(COUNTA($F5,$K5,$P5)&gt;0,O4+SUM(L5:N5),"")</f>
        <v>33800</v>
      </c>
      <c r="P5" s="8" t="s">
        <v>151</v>
      </c>
      <c r="Q5" s="9">
        <v>-3000</v>
      </c>
      <c r="R5" s="9"/>
      <c r="S5" s="55"/>
      <c r="T5" s="21">
        <f t="shared" ref="T5:T30" si="8">IF(COUNTA($F5,$K5,$P5)&gt;0,T4+SUM(Q5:S5),"")</f>
        <v>35800</v>
      </c>
      <c r="U5" s="60">
        <f t="shared" si="0"/>
        <v>-0.6</v>
      </c>
      <c r="V5" s="61">
        <f t="shared" si="1"/>
        <v>-1.2</v>
      </c>
      <c r="W5" s="62">
        <f t="shared" si="2"/>
        <v>0.8</v>
      </c>
      <c r="Y5" s="8" t="s">
        <v>146</v>
      </c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 t="s">
        <v>146</v>
      </c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 t="s">
        <v>147</v>
      </c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3</v>
      </c>
      <c r="C6" s="18">
        <f t="shared" si="4"/>
        <v>0</v>
      </c>
      <c r="D6" s="18">
        <f t="shared" si="5"/>
        <v>1</v>
      </c>
      <c r="E6" s="4" t="s">
        <v>135</v>
      </c>
      <c r="F6" s="8" t="s">
        <v>142</v>
      </c>
      <c r="G6" s="9">
        <v>-2600</v>
      </c>
      <c r="H6" s="9">
        <v>-1000</v>
      </c>
      <c r="I6" s="55">
        <v>0</v>
      </c>
      <c r="J6" s="21">
        <f t="shared" si="6"/>
        <v>30800</v>
      </c>
      <c r="K6" s="8"/>
      <c r="L6" s="9"/>
      <c r="M6" s="9"/>
      <c r="N6" s="55"/>
      <c r="O6" s="21">
        <f t="shared" si="7"/>
        <v>33800</v>
      </c>
      <c r="P6" s="8" t="s">
        <v>141</v>
      </c>
      <c r="Q6" s="9">
        <v>2600</v>
      </c>
      <c r="R6" s="9">
        <v>2000</v>
      </c>
      <c r="S6" s="55">
        <v>0</v>
      </c>
      <c r="T6" s="21">
        <f t="shared" si="8"/>
        <v>40400</v>
      </c>
      <c r="U6" s="60">
        <f t="shared" si="0"/>
        <v>-4.2</v>
      </c>
      <c r="V6" s="61">
        <f t="shared" si="1"/>
        <v>-1.2</v>
      </c>
      <c r="W6" s="62">
        <f t="shared" si="2"/>
        <v>5.4</v>
      </c>
      <c r="Y6" s="8"/>
      <c r="Z6" s="41"/>
      <c r="AA6" s="32">
        <v>1</v>
      </c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>
        <v>2</v>
      </c>
      <c r="BT6" s="36">
        <v>40</v>
      </c>
      <c r="BU6" s="47" t="s">
        <v>85</v>
      </c>
      <c r="BV6" s="48" t="s">
        <v>82</v>
      </c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南</v>
      </c>
      <c r="B7" s="18">
        <f t="shared" si="9"/>
        <v>1</v>
      </c>
      <c r="C7" s="18">
        <f t="shared" si="4"/>
        <v>0</v>
      </c>
      <c r="D7" s="18">
        <f t="shared" si="5"/>
        <v>0</v>
      </c>
      <c r="E7" s="4" t="s">
        <v>137</v>
      </c>
      <c r="F7" s="8" t="s">
        <v>141</v>
      </c>
      <c r="G7" s="9">
        <v>12000</v>
      </c>
      <c r="H7" s="9"/>
      <c r="I7" s="55">
        <v>0</v>
      </c>
      <c r="J7" s="21">
        <f t="shared" si="6"/>
        <v>42800</v>
      </c>
      <c r="K7" s="8" t="s">
        <v>142</v>
      </c>
      <c r="L7" s="9">
        <v>-12000</v>
      </c>
      <c r="M7" s="9"/>
      <c r="N7" s="55">
        <v>0</v>
      </c>
      <c r="O7" s="21">
        <f t="shared" si="7"/>
        <v>21800</v>
      </c>
      <c r="P7" s="8"/>
      <c r="Q7" s="9"/>
      <c r="R7" s="9"/>
      <c r="S7" s="55"/>
      <c r="T7" s="21">
        <f t="shared" si="8"/>
        <v>40400</v>
      </c>
      <c r="U7" s="60">
        <f t="shared" si="0"/>
        <v>7.8</v>
      </c>
      <c r="V7" s="61">
        <f t="shared" si="1"/>
        <v>-13.2</v>
      </c>
      <c r="W7" s="62">
        <f t="shared" si="2"/>
        <v>5.4</v>
      </c>
      <c r="Y7" s="8"/>
      <c r="Z7" s="41"/>
      <c r="AA7" s="32">
        <v>1</v>
      </c>
      <c r="AB7" s="32"/>
      <c r="AC7" s="32">
        <v>6</v>
      </c>
      <c r="AD7" s="36" t="s">
        <v>150</v>
      </c>
      <c r="AE7" s="47" t="s">
        <v>145</v>
      </c>
      <c r="AF7" s="48" t="s">
        <v>82</v>
      </c>
      <c r="AG7" s="48" t="s">
        <v>80</v>
      </c>
      <c r="AH7" s="48" t="s">
        <v>80</v>
      </c>
      <c r="AI7" s="48" t="s">
        <v>102</v>
      </c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9"/>
        <v>2</v>
      </c>
      <c r="C8" s="18">
        <f t="shared" si="4"/>
        <v>0</v>
      </c>
      <c r="D8" s="18">
        <f t="shared" si="5"/>
        <v>0</v>
      </c>
      <c r="E8" s="4" t="s">
        <v>139</v>
      </c>
      <c r="F8" s="8"/>
      <c r="G8" s="9"/>
      <c r="H8" s="9"/>
      <c r="I8" s="55"/>
      <c r="J8" s="21">
        <f t="shared" si="6"/>
        <v>42800</v>
      </c>
      <c r="K8" s="8" t="s">
        <v>142</v>
      </c>
      <c r="L8" s="9">
        <v>-24000</v>
      </c>
      <c r="M8" s="9"/>
      <c r="N8" s="55">
        <v>0</v>
      </c>
      <c r="O8" s="21">
        <f t="shared" si="7"/>
        <v>-2200</v>
      </c>
      <c r="P8" s="8" t="s">
        <v>141</v>
      </c>
      <c r="Q8" s="9">
        <v>24000</v>
      </c>
      <c r="R8" s="9"/>
      <c r="S8" s="55">
        <v>0</v>
      </c>
      <c r="T8" s="21">
        <f t="shared" si="8"/>
        <v>64400</v>
      </c>
      <c r="U8" s="60">
        <f t="shared" si="0"/>
        <v>7.8</v>
      </c>
      <c r="V8" s="61">
        <f t="shared" si="1"/>
        <v>-37.200000000000003</v>
      </c>
      <c r="W8" s="62">
        <f t="shared" si="2"/>
        <v>29.4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>
        <v>8</v>
      </c>
      <c r="BT8" s="36" t="s">
        <v>150</v>
      </c>
      <c r="BU8" s="47" t="s">
        <v>87</v>
      </c>
      <c r="BV8" s="48" t="s">
        <v>87</v>
      </c>
      <c r="BW8" s="48" t="s">
        <v>87</v>
      </c>
      <c r="BX8" s="48" t="s">
        <v>105</v>
      </c>
      <c r="BY8" s="48" t="s">
        <v>82</v>
      </c>
      <c r="BZ8" s="48" t="s">
        <v>82</v>
      </c>
      <c r="CA8" s="48" t="s">
        <v>80</v>
      </c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/>
      </c>
      <c r="B9" s="18" t="str">
        <f t="shared" si="9"/>
        <v/>
      </c>
      <c r="C9" s="18" t="str">
        <f t="shared" si="4"/>
        <v/>
      </c>
      <c r="D9" s="18" t="str">
        <f t="shared" si="5"/>
        <v/>
      </c>
      <c r="E9" s="4"/>
      <c r="F9" s="8"/>
      <c r="G9" s="9"/>
      <c r="H9" s="9"/>
      <c r="I9" s="55"/>
      <c r="J9" s="21" t="str">
        <f t="shared" si="6"/>
        <v/>
      </c>
      <c r="K9" s="8"/>
      <c r="L9" s="9"/>
      <c r="M9" s="9"/>
      <c r="N9" s="55"/>
      <c r="O9" s="21" t="str">
        <f t="shared" si="7"/>
        <v/>
      </c>
      <c r="P9" s="8"/>
      <c r="Q9" s="9"/>
      <c r="R9" s="9"/>
      <c r="S9" s="55"/>
      <c r="T9" s="21" t="str">
        <f t="shared" si="8"/>
        <v/>
      </c>
      <c r="U9" s="60" t="str">
        <f t="shared" si="0"/>
        <v/>
      </c>
      <c r="V9" s="61" t="str">
        <f t="shared" si="1"/>
        <v/>
      </c>
      <c r="W9" s="62" t="str">
        <f t="shared" si="2"/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/>
      </c>
      <c r="B10" s="18" t="str">
        <f t="shared" si="9"/>
        <v/>
      </c>
      <c r="C10" s="18" t="str">
        <f t="shared" si="4"/>
        <v/>
      </c>
      <c r="D10" s="18" t="str">
        <f t="shared" si="5"/>
        <v/>
      </c>
      <c r="E10" s="4"/>
      <c r="F10" s="8"/>
      <c r="G10" s="9"/>
      <c r="H10" s="9"/>
      <c r="I10" s="55"/>
      <c r="J10" s="21" t="str">
        <f t="shared" si="6"/>
        <v/>
      </c>
      <c r="K10" s="8"/>
      <c r="L10" s="9"/>
      <c r="M10" s="9"/>
      <c r="N10" s="55"/>
      <c r="O10" s="21" t="str">
        <f t="shared" si="7"/>
        <v/>
      </c>
      <c r="P10" s="8"/>
      <c r="Q10" s="9"/>
      <c r="R10" s="9"/>
      <c r="S10" s="55"/>
      <c r="T10" s="21" t="str">
        <f t="shared" si="8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9"/>
        <v/>
      </c>
      <c r="C11" s="18" t="str">
        <f t="shared" si="4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E729DACF-6E16-4A4F-A0A3-019DEAB371E0}">
      <formula1>$U$2:$W$2</formula1>
    </dataValidation>
    <dataValidation type="list" showInputMessage="1" showErrorMessage="1" sqref="K4:K30 P4:P30 F4:F30" xr:uid="{554DD880-214E-4E14-B62A-9C11E42089EA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894EA-A563-4F41-9CEB-C803F351E5E7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たかの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りくと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たかの</v>
      </c>
      <c r="W2" s="16" t="str">
        <f>$P$1</f>
        <v>りくと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135</v>
      </c>
      <c r="F4" s="8" t="s">
        <v>143</v>
      </c>
      <c r="G4" s="9">
        <v>24000</v>
      </c>
      <c r="H4" s="9"/>
      <c r="I4" s="55">
        <v>0</v>
      </c>
      <c r="J4" s="21">
        <f>IF(COUNTA($F4,$K4,$P4)&gt;0,J3+SUM(G4:I4),"")</f>
        <v>59000</v>
      </c>
      <c r="K4" s="8" t="s">
        <v>144</v>
      </c>
      <c r="L4" s="9">
        <v>-12000</v>
      </c>
      <c r="M4" s="9"/>
      <c r="N4" s="55">
        <v>0</v>
      </c>
      <c r="O4" s="21">
        <f>IF(COUNTA($F4,$K4,$P4)&gt;0,O3+SUM(L4:N4),"")</f>
        <v>23000</v>
      </c>
      <c r="P4" s="8" t="s">
        <v>144</v>
      </c>
      <c r="Q4" s="9">
        <v>-12000</v>
      </c>
      <c r="R4" s="9"/>
      <c r="S4" s="55">
        <v>0</v>
      </c>
      <c r="T4" s="21">
        <f>IF(COUNTA($F4,$K4,$P4)&gt;0,T3+SUM(Q4:S4),"")</f>
        <v>23000</v>
      </c>
      <c r="U4" s="60">
        <f t="shared" ref="U4:U30" si="0">IF($J4="","",ROUND(($J4-$J$3)/1000,1))</f>
        <v>24</v>
      </c>
      <c r="V4" s="61">
        <f t="shared" ref="V4:V30" si="1">IF($O4="","",ROUND(($O4-$O$3)/1000,1))</f>
        <v>-12</v>
      </c>
      <c r="W4" s="62">
        <f t="shared" ref="W4:W30" si="2">IF($T4="","",ROUND(($T4-$T$3)/1000,1))</f>
        <v>-12</v>
      </c>
      <c r="Y4" s="8"/>
      <c r="Z4" s="41"/>
      <c r="AA4" s="32">
        <v>1</v>
      </c>
      <c r="AB4" s="32"/>
      <c r="AC4" s="32">
        <v>9</v>
      </c>
      <c r="AD4" s="36" t="s">
        <v>150</v>
      </c>
      <c r="AE4" s="47" t="s">
        <v>145</v>
      </c>
      <c r="AF4" s="48" t="s">
        <v>83</v>
      </c>
      <c r="AG4" s="48" t="s">
        <v>97</v>
      </c>
      <c r="AH4" s="48" t="s">
        <v>80</v>
      </c>
      <c r="AI4" s="48" t="s">
        <v>80</v>
      </c>
      <c r="AJ4" s="48" t="s">
        <v>81</v>
      </c>
      <c r="AK4" s="48" t="s">
        <v>81</v>
      </c>
      <c r="AL4" s="48" t="s">
        <v>81</v>
      </c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30" si="4">IF($E5="","",IF(F4="チョンボ",C4,IF($E4=$E5,C4+1,0)))</f>
        <v>1</v>
      </c>
      <c r="D5" s="18">
        <f t="shared" ref="D5:D30" si="5">IF($E5="","",IF(OR($F4="流局",$F4="チョンボ"),D4+($H4+$M4+$R4)/-1000,0))</f>
        <v>0</v>
      </c>
      <c r="E5" s="4" t="s">
        <v>135</v>
      </c>
      <c r="F5" s="8" t="s">
        <v>151</v>
      </c>
      <c r="G5" s="9">
        <v>0</v>
      </c>
      <c r="H5" s="9"/>
      <c r="I5" s="55"/>
      <c r="J5" s="21">
        <f t="shared" ref="J5:J30" si="6">IF(COUNTA($F5,$K5,$P5)&gt;0,J4+SUM(G5:I5),"")</f>
        <v>59000</v>
      </c>
      <c r="K5" s="8" t="s">
        <v>151</v>
      </c>
      <c r="L5" s="9">
        <v>0</v>
      </c>
      <c r="M5" s="9"/>
      <c r="N5" s="55"/>
      <c r="O5" s="21">
        <f t="shared" ref="O5:O30" si="7">IF(COUNTA($F5,$K5,$P5)&gt;0,O4+SUM(L5:N5),"")</f>
        <v>23000</v>
      </c>
      <c r="P5" s="8" t="s">
        <v>151</v>
      </c>
      <c r="Q5" s="9">
        <v>0</v>
      </c>
      <c r="R5" s="9">
        <v>-1000</v>
      </c>
      <c r="S5" s="55"/>
      <c r="T5" s="21">
        <f t="shared" ref="T5:T30" si="8">IF(COUNTA($F5,$K5,$P5)&gt;0,T4+SUM(Q5:S5),"")</f>
        <v>22000</v>
      </c>
      <c r="U5" s="60">
        <f t="shared" si="0"/>
        <v>24</v>
      </c>
      <c r="V5" s="61">
        <f t="shared" si="1"/>
        <v>-12</v>
      </c>
      <c r="W5" s="62">
        <f t="shared" si="2"/>
        <v>-13</v>
      </c>
      <c r="Y5" s="8" t="s">
        <v>146</v>
      </c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 t="s">
        <v>146</v>
      </c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 t="s">
        <v>146</v>
      </c>
      <c r="BP5" s="41"/>
      <c r="BQ5" s="32">
        <v>1</v>
      </c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1</v>
      </c>
      <c r="C6" s="18">
        <f t="shared" si="4"/>
        <v>2</v>
      </c>
      <c r="D6" s="18">
        <f t="shared" si="5"/>
        <v>1</v>
      </c>
      <c r="E6" s="4" t="s">
        <v>135</v>
      </c>
      <c r="F6" s="8" t="s">
        <v>143</v>
      </c>
      <c r="G6" s="9">
        <v>6000</v>
      </c>
      <c r="H6" s="9">
        <v>1000</v>
      </c>
      <c r="I6" s="55">
        <v>2000</v>
      </c>
      <c r="J6" s="21">
        <f t="shared" si="6"/>
        <v>68000</v>
      </c>
      <c r="K6" s="8" t="s">
        <v>144</v>
      </c>
      <c r="L6" s="9">
        <v>-3000</v>
      </c>
      <c r="M6" s="9"/>
      <c r="N6" s="55">
        <v>-1000</v>
      </c>
      <c r="O6" s="21">
        <f t="shared" si="7"/>
        <v>19000</v>
      </c>
      <c r="P6" s="8" t="s">
        <v>144</v>
      </c>
      <c r="Q6" s="9">
        <v>-3000</v>
      </c>
      <c r="R6" s="9"/>
      <c r="S6" s="55">
        <v>-1000</v>
      </c>
      <c r="T6" s="21">
        <f t="shared" si="8"/>
        <v>18000</v>
      </c>
      <c r="U6" s="60">
        <f t="shared" si="0"/>
        <v>33</v>
      </c>
      <c r="V6" s="61">
        <f t="shared" si="1"/>
        <v>-16</v>
      </c>
      <c r="W6" s="62">
        <f t="shared" si="2"/>
        <v>-17</v>
      </c>
      <c r="Y6" s="8"/>
      <c r="Z6" s="41"/>
      <c r="AA6" s="32">
        <v>1</v>
      </c>
      <c r="AB6" s="32"/>
      <c r="AC6" s="32">
        <v>3</v>
      </c>
      <c r="AD6" s="36">
        <v>30</v>
      </c>
      <c r="AE6" s="47" t="s">
        <v>145</v>
      </c>
      <c r="AF6" s="48" t="s">
        <v>83</v>
      </c>
      <c r="AG6" s="48" t="s">
        <v>82</v>
      </c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1</v>
      </c>
      <c r="C7" s="18">
        <f t="shared" si="4"/>
        <v>3</v>
      </c>
      <c r="D7" s="18">
        <f t="shared" si="5"/>
        <v>0</v>
      </c>
      <c r="E7" s="4" t="s">
        <v>135</v>
      </c>
      <c r="F7" s="8" t="s">
        <v>141</v>
      </c>
      <c r="G7" s="9">
        <v>12000</v>
      </c>
      <c r="H7" s="9"/>
      <c r="I7" s="55">
        <v>3000</v>
      </c>
      <c r="J7" s="21">
        <f t="shared" si="6"/>
        <v>83000</v>
      </c>
      <c r="K7" s="8" t="s">
        <v>142</v>
      </c>
      <c r="L7" s="9">
        <v>-12000</v>
      </c>
      <c r="M7" s="9"/>
      <c r="N7" s="55">
        <v>-3000</v>
      </c>
      <c r="O7" s="21">
        <f t="shared" si="7"/>
        <v>4000</v>
      </c>
      <c r="P7" s="8"/>
      <c r="Q7" s="9"/>
      <c r="R7" s="9"/>
      <c r="S7" s="55"/>
      <c r="T7" s="21">
        <f t="shared" si="8"/>
        <v>18000</v>
      </c>
      <c r="U7" s="60">
        <f t="shared" si="0"/>
        <v>48</v>
      </c>
      <c r="V7" s="61">
        <f t="shared" si="1"/>
        <v>-31</v>
      </c>
      <c r="W7" s="62">
        <f t="shared" si="2"/>
        <v>-17</v>
      </c>
      <c r="Y7" s="8"/>
      <c r="Z7" s="41"/>
      <c r="AA7" s="32"/>
      <c r="AB7" s="32"/>
      <c r="AC7" s="32">
        <v>5</v>
      </c>
      <c r="AD7" s="36" t="s">
        <v>150</v>
      </c>
      <c r="AE7" s="47" t="s">
        <v>105</v>
      </c>
      <c r="AF7" s="48" t="s">
        <v>82</v>
      </c>
      <c r="AG7" s="48" t="s">
        <v>85</v>
      </c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9"/>
        <v>1</v>
      </c>
      <c r="C8" s="18">
        <f t="shared" si="4"/>
        <v>4</v>
      </c>
      <c r="D8" s="18">
        <f t="shared" si="5"/>
        <v>0</v>
      </c>
      <c r="E8" s="4" t="s">
        <v>135</v>
      </c>
      <c r="F8" s="8" t="s">
        <v>144</v>
      </c>
      <c r="G8" s="9">
        <v>-5000</v>
      </c>
      <c r="H8" s="9"/>
      <c r="I8" s="55">
        <v>-2000</v>
      </c>
      <c r="J8" s="21">
        <f t="shared" si="6"/>
        <v>76000</v>
      </c>
      <c r="K8" s="8" t="s">
        <v>143</v>
      </c>
      <c r="L8" s="9">
        <v>8000</v>
      </c>
      <c r="M8" s="9">
        <v>1000</v>
      </c>
      <c r="N8" s="55">
        <v>4000</v>
      </c>
      <c r="O8" s="21">
        <f t="shared" si="7"/>
        <v>17000</v>
      </c>
      <c r="P8" s="8" t="s">
        <v>144</v>
      </c>
      <c r="Q8" s="9">
        <v>-3000</v>
      </c>
      <c r="R8" s="9">
        <v>-1000</v>
      </c>
      <c r="S8" s="55">
        <v>-2000</v>
      </c>
      <c r="T8" s="21">
        <f t="shared" si="8"/>
        <v>12000</v>
      </c>
      <c r="U8" s="60">
        <f t="shared" si="0"/>
        <v>41</v>
      </c>
      <c r="V8" s="61">
        <f t="shared" si="1"/>
        <v>-18</v>
      </c>
      <c r="W8" s="62">
        <f t="shared" si="2"/>
        <v>-23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5</v>
      </c>
      <c r="AY8" s="36" t="s">
        <v>150</v>
      </c>
      <c r="AZ8" s="47" t="s">
        <v>145</v>
      </c>
      <c r="BA8" s="48" t="s">
        <v>83</v>
      </c>
      <c r="BB8" s="48" t="s">
        <v>82</v>
      </c>
      <c r="BC8" s="48" t="s">
        <v>82</v>
      </c>
      <c r="BD8" s="48" t="s">
        <v>80</v>
      </c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東</v>
      </c>
      <c r="B9" s="18">
        <f t="shared" si="9"/>
        <v>2</v>
      </c>
      <c r="C9" s="18">
        <f t="shared" si="4"/>
        <v>0</v>
      </c>
      <c r="D9" s="18">
        <f t="shared" si="5"/>
        <v>0</v>
      </c>
      <c r="E9" s="4" t="s">
        <v>137</v>
      </c>
      <c r="F9" s="8" t="s">
        <v>141</v>
      </c>
      <c r="G9" s="9">
        <v>3900</v>
      </c>
      <c r="H9" s="9"/>
      <c r="I9" s="55"/>
      <c r="J9" s="21">
        <f t="shared" si="6"/>
        <v>79900</v>
      </c>
      <c r="K9" s="8" t="s">
        <v>142</v>
      </c>
      <c r="L9" s="9">
        <v>-9100</v>
      </c>
      <c r="M9" s="9"/>
      <c r="N9" s="55">
        <v>0</v>
      </c>
      <c r="O9" s="21">
        <f t="shared" si="7"/>
        <v>7900</v>
      </c>
      <c r="P9" s="8" t="s">
        <v>141</v>
      </c>
      <c r="Q9" s="9">
        <v>5200</v>
      </c>
      <c r="R9" s="9"/>
      <c r="S9" s="55">
        <v>0</v>
      </c>
      <c r="T9" s="21">
        <f t="shared" si="8"/>
        <v>17200</v>
      </c>
      <c r="U9" s="60">
        <f t="shared" si="0"/>
        <v>44.9</v>
      </c>
      <c r="V9" s="61">
        <f t="shared" si="1"/>
        <v>-27.1</v>
      </c>
      <c r="W9" s="62">
        <f t="shared" si="2"/>
        <v>-17.8</v>
      </c>
      <c r="Y9" s="8"/>
      <c r="Z9" s="41"/>
      <c r="AA9" s="32"/>
      <c r="AB9" s="32">
        <v>1</v>
      </c>
      <c r="AC9" s="32">
        <v>3</v>
      </c>
      <c r="AD9" s="36">
        <v>30</v>
      </c>
      <c r="AE9" s="47" t="s">
        <v>145</v>
      </c>
      <c r="AF9" s="48" t="s">
        <v>82</v>
      </c>
      <c r="AG9" s="48" t="s">
        <v>82</v>
      </c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3</v>
      </c>
      <c r="BT9" s="36">
        <v>40</v>
      </c>
      <c r="BU9" s="47" t="s">
        <v>145</v>
      </c>
      <c r="BV9" s="48" t="s">
        <v>82</v>
      </c>
      <c r="BW9" s="48" t="s">
        <v>82</v>
      </c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東</v>
      </c>
      <c r="B10" s="18">
        <f t="shared" si="9"/>
        <v>3</v>
      </c>
      <c r="C10" s="18">
        <f t="shared" si="4"/>
        <v>0</v>
      </c>
      <c r="D10" s="18">
        <f t="shared" si="5"/>
        <v>0</v>
      </c>
      <c r="E10" s="4" t="s">
        <v>139</v>
      </c>
      <c r="F10" s="8" t="s">
        <v>141</v>
      </c>
      <c r="G10" s="9">
        <v>5200</v>
      </c>
      <c r="H10" s="9"/>
      <c r="I10" s="55">
        <v>0</v>
      </c>
      <c r="J10" s="21">
        <f t="shared" si="6"/>
        <v>85100</v>
      </c>
      <c r="K10" s="8" t="s">
        <v>142</v>
      </c>
      <c r="L10" s="9">
        <v>-5200</v>
      </c>
      <c r="M10" s="9"/>
      <c r="N10" s="55">
        <v>0</v>
      </c>
      <c r="O10" s="21">
        <f t="shared" si="7"/>
        <v>2700</v>
      </c>
      <c r="P10" s="8"/>
      <c r="Q10" s="9"/>
      <c r="R10" s="9"/>
      <c r="S10" s="55"/>
      <c r="T10" s="21">
        <f t="shared" si="8"/>
        <v>17200</v>
      </c>
      <c r="U10" s="60">
        <f t="shared" si="0"/>
        <v>50.1</v>
      </c>
      <c r="V10" s="61">
        <f t="shared" si="1"/>
        <v>-32.299999999999997</v>
      </c>
      <c r="W10" s="62">
        <f t="shared" si="2"/>
        <v>-17.8</v>
      </c>
      <c r="Y10" s="8"/>
      <c r="Z10" s="41"/>
      <c r="AA10" s="32">
        <v>1</v>
      </c>
      <c r="AB10" s="32"/>
      <c r="AC10" s="32">
        <v>3</v>
      </c>
      <c r="AD10" s="36">
        <v>40</v>
      </c>
      <c r="AE10" s="47" t="s">
        <v>145</v>
      </c>
      <c r="AF10" s="48" t="s">
        <v>82</v>
      </c>
      <c r="AG10" s="48" t="s">
        <v>81</v>
      </c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1</v>
      </c>
      <c r="C11" s="18">
        <f t="shared" si="4"/>
        <v>0</v>
      </c>
      <c r="D11" s="18">
        <f t="shared" si="5"/>
        <v>0</v>
      </c>
      <c r="E11" s="4" t="s">
        <v>135</v>
      </c>
      <c r="F11" s="8" t="s">
        <v>143</v>
      </c>
      <c r="G11" s="9">
        <v>18000</v>
      </c>
      <c r="H11" s="9"/>
      <c r="I11" s="55">
        <v>0</v>
      </c>
      <c r="J11" s="21">
        <f t="shared" si="6"/>
        <v>103100</v>
      </c>
      <c r="K11" s="8" t="s">
        <v>144</v>
      </c>
      <c r="L11" s="9">
        <v>-9000</v>
      </c>
      <c r="M11" s="9"/>
      <c r="N11" s="55">
        <v>0</v>
      </c>
      <c r="O11" s="21">
        <f t="shared" si="7"/>
        <v>-6300</v>
      </c>
      <c r="P11" s="8" t="s">
        <v>144</v>
      </c>
      <c r="Q11" s="9">
        <v>-9000</v>
      </c>
      <c r="R11" s="9"/>
      <c r="S11" s="55">
        <v>0</v>
      </c>
      <c r="T11" s="21">
        <f t="shared" si="8"/>
        <v>8200</v>
      </c>
      <c r="U11" s="60">
        <f t="shared" si="0"/>
        <v>68.099999999999994</v>
      </c>
      <c r="V11" s="61">
        <f t="shared" si="1"/>
        <v>-41.3</v>
      </c>
      <c r="W11" s="62">
        <f t="shared" si="2"/>
        <v>-26.8</v>
      </c>
      <c r="Y11" s="8"/>
      <c r="Z11" s="41"/>
      <c r="AA11" s="32">
        <v>1</v>
      </c>
      <c r="AB11" s="32"/>
      <c r="AC11" s="32">
        <v>6</v>
      </c>
      <c r="AD11" s="36" t="s">
        <v>150</v>
      </c>
      <c r="AE11" s="47" t="s">
        <v>145</v>
      </c>
      <c r="AF11" s="48" t="s">
        <v>83</v>
      </c>
      <c r="AG11" s="48" t="s">
        <v>84</v>
      </c>
      <c r="AH11" s="48" t="s">
        <v>82</v>
      </c>
      <c r="AI11" s="48" t="s">
        <v>82</v>
      </c>
      <c r="AJ11" s="48" t="s">
        <v>82</v>
      </c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>
        <v>1</v>
      </c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4D1D9FC6-05D7-4634-B4D7-9C0A9984F7AA}">
      <formula1>"ロン,ツモ,放銃,ツモ支払,流局,チョンボ"</formula1>
    </dataValidation>
    <dataValidation type="list" allowBlank="1" showInputMessage="1" showErrorMessage="1" sqref="E4:E30" xr:uid="{7CFBFEA5-4D42-484C-A306-AEDBB1488B6F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F76D1-099E-45E6-ABF9-256CBE0AE476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155</v>
      </c>
      <c r="G1" s="74"/>
      <c r="H1" s="74"/>
      <c r="I1" s="83"/>
      <c r="J1" s="75"/>
      <c r="K1" s="72" t="s">
        <v>153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ともき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れんたろう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りくと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ともき</v>
      </c>
      <c r="V2" s="71" t="str">
        <f>$K$1</f>
        <v>れんたろう</v>
      </c>
      <c r="W2" s="16" t="str">
        <f>$P$1</f>
        <v>りくと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152</v>
      </c>
      <c r="F4" s="8"/>
      <c r="G4" s="9"/>
      <c r="H4" s="9"/>
      <c r="I4" s="55"/>
      <c r="J4" s="21">
        <f>IF(COUNTA($F4,$K4,$P4)&gt;0,J3+SUM(G4:I4),"")</f>
        <v>35000</v>
      </c>
      <c r="K4" s="8" t="s">
        <v>141</v>
      </c>
      <c r="L4" s="9">
        <v>24000</v>
      </c>
      <c r="M4" s="9"/>
      <c r="N4" s="55">
        <v>0</v>
      </c>
      <c r="O4" s="21">
        <f>IF(COUNTA($F4,$K4,$P4)&gt;0,O3+SUM(L4:N4),"")</f>
        <v>59000</v>
      </c>
      <c r="P4" s="8" t="s">
        <v>142</v>
      </c>
      <c r="Q4" s="9">
        <v>-24000</v>
      </c>
      <c r="R4" s="9"/>
      <c r="S4" s="55">
        <v>0</v>
      </c>
      <c r="T4" s="21">
        <f>IF(COUNTA($F4,$K4,$P4)&gt;0,T3+SUM(Q4:S4),"")</f>
        <v>11000</v>
      </c>
      <c r="U4" s="60">
        <f t="shared" ref="U4:U30" si="0">IF($J4="","",ROUND(($J4-$J$3)/1000,1))</f>
        <v>0</v>
      </c>
      <c r="V4" s="61">
        <f t="shared" ref="V4:V30" si="1">IF($O4="","",ROUND(($O4-$O$3)/1000,1))</f>
        <v>24</v>
      </c>
      <c r="W4" s="62">
        <f t="shared" ref="W4:W30" si="2">IF($T4="","",ROUND(($T4-$T$3)/1000,1))</f>
        <v>-24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9</v>
      </c>
      <c r="AY4" s="36" t="s">
        <v>150</v>
      </c>
      <c r="AZ4" s="47" t="s">
        <v>92</v>
      </c>
      <c r="BA4" s="48" t="s">
        <v>87</v>
      </c>
      <c r="BB4" s="48" t="s">
        <v>82</v>
      </c>
      <c r="BC4" s="48" t="s">
        <v>82</v>
      </c>
      <c r="BD4" s="48" t="s">
        <v>85</v>
      </c>
      <c r="BE4" s="48" t="s">
        <v>80</v>
      </c>
      <c r="BF4" s="48" t="s">
        <v>80</v>
      </c>
      <c r="BG4" s="48" t="s">
        <v>80</v>
      </c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30" si="4">IF($E5="","",IF(F4="チョンボ",C4,IF($E4=$E5,C4+1,0)))</f>
        <v>1</v>
      </c>
      <c r="D5" s="18">
        <f t="shared" ref="D5:D30" si="5">IF($E5="","",IF(OR($F4="流局",$F4="チョンボ"),D4+($H4+$M4+$R4)/-1000,0))</f>
        <v>0</v>
      </c>
      <c r="E5" s="4" t="s">
        <v>152</v>
      </c>
      <c r="F5" s="8" t="s">
        <v>144</v>
      </c>
      <c r="G5" s="9">
        <v>-3000</v>
      </c>
      <c r="H5" s="9"/>
      <c r="I5" s="55">
        <v>-500</v>
      </c>
      <c r="J5" s="21">
        <f t="shared" ref="J5:J30" si="6">IF(COUNTA($F5,$K5,$P5)&gt;0,J4+SUM(G5:I5),"")</f>
        <v>31500</v>
      </c>
      <c r="K5" s="8" t="s">
        <v>144</v>
      </c>
      <c r="L5" s="9">
        <v>-5000</v>
      </c>
      <c r="M5" s="9">
        <v>-1000</v>
      </c>
      <c r="N5" s="55">
        <v>-500</v>
      </c>
      <c r="O5" s="21">
        <f t="shared" ref="O5:O30" si="7">IF(COUNTA($F5,$K5,$P5)&gt;0,O4+SUM(L5:N5),"")</f>
        <v>52500</v>
      </c>
      <c r="P5" s="8" t="s">
        <v>143</v>
      </c>
      <c r="Q5" s="9">
        <v>8000</v>
      </c>
      <c r="R5" s="9">
        <v>1000</v>
      </c>
      <c r="S5" s="55">
        <v>1000</v>
      </c>
      <c r="T5" s="21">
        <f t="shared" ref="T5:T30" si="8">IF(COUNTA($F5,$K5,$P5)&gt;0,T4+SUM(Q5:S5),"")</f>
        <v>21000</v>
      </c>
      <c r="U5" s="60">
        <f t="shared" si="0"/>
        <v>-3.5</v>
      </c>
      <c r="V5" s="61">
        <f t="shared" si="1"/>
        <v>17.5</v>
      </c>
      <c r="W5" s="62">
        <f t="shared" si="2"/>
        <v>-14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5</v>
      </c>
      <c r="BT5" s="36" t="s">
        <v>150</v>
      </c>
      <c r="BU5" s="47" t="s">
        <v>145</v>
      </c>
      <c r="BV5" s="48" t="s">
        <v>83</v>
      </c>
      <c r="BW5" s="48" t="s">
        <v>84</v>
      </c>
      <c r="BX5" s="48" t="s">
        <v>80</v>
      </c>
      <c r="BY5" s="48" t="s">
        <v>82</v>
      </c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0</v>
      </c>
      <c r="D6" s="18">
        <f t="shared" si="5"/>
        <v>0</v>
      </c>
      <c r="E6" s="4" t="s">
        <v>139</v>
      </c>
      <c r="F6" s="8"/>
      <c r="G6" s="9"/>
      <c r="H6" s="9">
        <v>-1000</v>
      </c>
      <c r="I6" s="55"/>
      <c r="J6" s="21">
        <f t="shared" si="6"/>
        <v>30500</v>
      </c>
      <c r="K6" s="8" t="s">
        <v>142</v>
      </c>
      <c r="L6" s="9">
        <v>-12000</v>
      </c>
      <c r="M6" s="9"/>
      <c r="N6" s="55">
        <v>0</v>
      </c>
      <c r="O6" s="21">
        <f t="shared" si="7"/>
        <v>40500</v>
      </c>
      <c r="P6" s="8" t="s">
        <v>141</v>
      </c>
      <c r="Q6" s="9">
        <v>12000</v>
      </c>
      <c r="R6" s="9">
        <v>1000</v>
      </c>
      <c r="S6" s="55">
        <v>0</v>
      </c>
      <c r="T6" s="21">
        <f t="shared" si="8"/>
        <v>34000</v>
      </c>
      <c r="U6" s="60">
        <f t="shared" si="0"/>
        <v>-4.5</v>
      </c>
      <c r="V6" s="61">
        <f t="shared" si="1"/>
        <v>5.5</v>
      </c>
      <c r="W6" s="62">
        <f t="shared" si="2"/>
        <v>-1</v>
      </c>
      <c r="Y6" s="8"/>
      <c r="Z6" s="41"/>
      <c r="AA6" s="32">
        <v>1</v>
      </c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4</v>
      </c>
      <c r="BT6" s="36">
        <v>40</v>
      </c>
      <c r="BU6" s="47" t="s">
        <v>145</v>
      </c>
      <c r="BV6" s="48" t="s">
        <v>87</v>
      </c>
      <c r="BW6" s="48" t="s">
        <v>82</v>
      </c>
      <c r="BX6" s="48" t="s">
        <v>81</v>
      </c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2</v>
      </c>
      <c r="C7" s="18">
        <f t="shared" si="4"/>
        <v>1</v>
      </c>
      <c r="D7" s="18">
        <f t="shared" si="5"/>
        <v>0</v>
      </c>
      <c r="E7" s="4" t="s">
        <v>139</v>
      </c>
      <c r="F7" s="8" t="s">
        <v>151</v>
      </c>
      <c r="G7" s="9">
        <v>1500</v>
      </c>
      <c r="H7" s="9"/>
      <c r="I7" s="55"/>
      <c r="J7" s="21">
        <f t="shared" si="6"/>
        <v>32000</v>
      </c>
      <c r="K7" s="8" t="s">
        <v>151</v>
      </c>
      <c r="L7" s="9">
        <v>-3000</v>
      </c>
      <c r="M7" s="9"/>
      <c r="N7" s="55"/>
      <c r="O7" s="21">
        <f t="shared" si="7"/>
        <v>37500</v>
      </c>
      <c r="P7" s="8" t="s">
        <v>151</v>
      </c>
      <c r="Q7" s="9">
        <v>1500</v>
      </c>
      <c r="R7" s="9">
        <v>-1000</v>
      </c>
      <c r="S7" s="55"/>
      <c r="T7" s="21">
        <f t="shared" si="8"/>
        <v>34500</v>
      </c>
      <c r="U7" s="60">
        <f t="shared" si="0"/>
        <v>-3</v>
      </c>
      <c r="V7" s="61">
        <f t="shared" si="1"/>
        <v>2.5</v>
      </c>
      <c r="W7" s="62">
        <f t="shared" si="2"/>
        <v>-0.5</v>
      </c>
      <c r="Y7" s="8" t="s">
        <v>146</v>
      </c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 t="s">
        <v>147</v>
      </c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 t="s">
        <v>146</v>
      </c>
      <c r="BP7" s="41"/>
      <c r="BQ7" s="32">
        <v>1</v>
      </c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9"/>
        <v>2</v>
      </c>
      <c r="C8" s="18">
        <f t="shared" si="4"/>
        <v>2</v>
      </c>
      <c r="D8" s="18">
        <f t="shared" si="5"/>
        <v>1</v>
      </c>
      <c r="E8" s="4" t="s">
        <v>139</v>
      </c>
      <c r="F8" s="8"/>
      <c r="G8" s="9"/>
      <c r="H8" s="9">
        <v>-1000</v>
      </c>
      <c r="I8" s="55"/>
      <c r="J8" s="21">
        <f t="shared" si="6"/>
        <v>31000</v>
      </c>
      <c r="K8" s="8" t="s">
        <v>141</v>
      </c>
      <c r="L8" s="9">
        <v>8000</v>
      </c>
      <c r="M8" s="9">
        <v>2000</v>
      </c>
      <c r="N8" s="55">
        <v>2000</v>
      </c>
      <c r="O8" s="21">
        <f t="shared" si="7"/>
        <v>49500</v>
      </c>
      <c r="P8" s="8" t="s">
        <v>142</v>
      </c>
      <c r="Q8" s="9">
        <v>-8000</v>
      </c>
      <c r="R8" s="9"/>
      <c r="S8" s="55">
        <v>-2000</v>
      </c>
      <c r="T8" s="21">
        <f t="shared" si="8"/>
        <v>24500</v>
      </c>
      <c r="U8" s="60">
        <f t="shared" si="0"/>
        <v>-4</v>
      </c>
      <c r="V8" s="61">
        <f t="shared" si="1"/>
        <v>14.5</v>
      </c>
      <c r="W8" s="62">
        <f t="shared" si="2"/>
        <v>-10.5</v>
      </c>
      <c r="Y8" s="8"/>
      <c r="Z8" s="41"/>
      <c r="AA8" s="32">
        <v>1</v>
      </c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5</v>
      </c>
      <c r="AY8" s="36" t="s">
        <v>150</v>
      </c>
      <c r="AZ8" s="47" t="s">
        <v>85</v>
      </c>
      <c r="BA8" s="48" t="s">
        <v>145</v>
      </c>
      <c r="BB8" s="48" t="s">
        <v>82</v>
      </c>
      <c r="BC8" s="48" t="s">
        <v>80</v>
      </c>
      <c r="BD8" s="48" t="s">
        <v>84</v>
      </c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東</v>
      </c>
      <c r="B9" s="18">
        <f t="shared" si="9"/>
        <v>3</v>
      </c>
      <c r="C9" s="18">
        <f t="shared" si="4"/>
        <v>0</v>
      </c>
      <c r="D9" s="18">
        <f t="shared" si="5"/>
        <v>0</v>
      </c>
      <c r="E9" s="4" t="s">
        <v>154</v>
      </c>
      <c r="F9" s="8" t="s">
        <v>144</v>
      </c>
      <c r="G9" s="9">
        <v>-5000</v>
      </c>
      <c r="H9" s="9"/>
      <c r="I9" s="55">
        <v>0</v>
      </c>
      <c r="J9" s="21">
        <f t="shared" si="6"/>
        <v>26000</v>
      </c>
      <c r="K9" s="8" t="s">
        <v>144</v>
      </c>
      <c r="L9" s="9">
        <v>-3000</v>
      </c>
      <c r="M9" s="9"/>
      <c r="N9" s="55">
        <v>0</v>
      </c>
      <c r="O9" s="21">
        <f t="shared" si="7"/>
        <v>46500</v>
      </c>
      <c r="P9" s="8" t="s">
        <v>143</v>
      </c>
      <c r="Q9" s="9">
        <v>8000</v>
      </c>
      <c r="R9" s="9"/>
      <c r="S9" s="55">
        <v>0</v>
      </c>
      <c r="T9" s="21">
        <f t="shared" si="8"/>
        <v>32500</v>
      </c>
      <c r="U9" s="60">
        <f t="shared" si="0"/>
        <v>-9</v>
      </c>
      <c r="V9" s="61">
        <f t="shared" si="1"/>
        <v>11.5</v>
      </c>
      <c r="W9" s="62">
        <f t="shared" si="2"/>
        <v>-2.5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>
        <v>5</v>
      </c>
      <c r="BT9" s="36" t="s">
        <v>150</v>
      </c>
      <c r="BU9" s="47" t="s">
        <v>83</v>
      </c>
      <c r="BV9" s="48" t="s">
        <v>82</v>
      </c>
      <c r="BW9" s="48" t="s">
        <v>80</v>
      </c>
      <c r="BX9" s="48" t="s">
        <v>80</v>
      </c>
      <c r="BY9" s="48" t="s">
        <v>80</v>
      </c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1</v>
      </c>
      <c r="C10" s="18">
        <f t="shared" si="4"/>
        <v>0</v>
      </c>
      <c r="D10" s="18">
        <f t="shared" si="5"/>
        <v>0</v>
      </c>
      <c r="E10" s="4" t="s">
        <v>152</v>
      </c>
      <c r="F10" s="8"/>
      <c r="G10" s="9"/>
      <c r="H10" s="9"/>
      <c r="I10" s="55"/>
      <c r="J10" s="21">
        <f t="shared" si="6"/>
        <v>26000</v>
      </c>
      <c r="K10" s="8" t="s">
        <v>142</v>
      </c>
      <c r="L10" s="9">
        <v>-3900</v>
      </c>
      <c r="M10" s="9"/>
      <c r="N10" s="55">
        <v>0</v>
      </c>
      <c r="O10" s="21">
        <f t="shared" si="7"/>
        <v>42600</v>
      </c>
      <c r="P10" s="8" t="s">
        <v>141</v>
      </c>
      <c r="Q10" s="9">
        <v>3900</v>
      </c>
      <c r="R10" s="9"/>
      <c r="S10" s="55">
        <v>0</v>
      </c>
      <c r="T10" s="21">
        <f t="shared" si="8"/>
        <v>36400</v>
      </c>
      <c r="U10" s="60">
        <f t="shared" si="0"/>
        <v>-9</v>
      </c>
      <c r="V10" s="61">
        <f t="shared" si="1"/>
        <v>7.6</v>
      </c>
      <c r="W10" s="62">
        <f t="shared" si="2"/>
        <v>1.4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>
        <v>3</v>
      </c>
      <c r="BT10" s="36">
        <v>30</v>
      </c>
      <c r="BU10" s="47" t="s">
        <v>87</v>
      </c>
      <c r="BV10" s="48" t="s">
        <v>82</v>
      </c>
      <c r="BW10" s="48" t="s">
        <v>82</v>
      </c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2</v>
      </c>
      <c r="C11" s="18">
        <f t="shared" si="4"/>
        <v>0</v>
      </c>
      <c r="D11" s="18">
        <f t="shared" si="5"/>
        <v>0</v>
      </c>
      <c r="E11" s="4" t="s">
        <v>139</v>
      </c>
      <c r="F11" s="8" t="s">
        <v>141</v>
      </c>
      <c r="G11" s="9">
        <v>8000</v>
      </c>
      <c r="H11" s="9"/>
      <c r="I11" s="55">
        <v>0</v>
      </c>
      <c r="J11" s="21">
        <f t="shared" si="6"/>
        <v>34000</v>
      </c>
      <c r="K11" s="8" t="s">
        <v>142</v>
      </c>
      <c r="L11" s="9">
        <v>-8000</v>
      </c>
      <c r="M11" s="9"/>
      <c r="N11" s="55">
        <v>0</v>
      </c>
      <c r="O11" s="21">
        <f t="shared" si="7"/>
        <v>34600</v>
      </c>
      <c r="P11" s="8"/>
      <c r="Q11" s="9"/>
      <c r="R11" s="9"/>
      <c r="S11" s="55"/>
      <c r="T11" s="21">
        <f t="shared" si="8"/>
        <v>36400</v>
      </c>
      <c r="U11" s="60">
        <f t="shared" si="0"/>
        <v>-1</v>
      </c>
      <c r="V11" s="61">
        <f t="shared" si="1"/>
        <v>-0.4</v>
      </c>
      <c r="W11" s="62">
        <f t="shared" si="2"/>
        <v>1.4</v>
      </c>
      <c r="Y11" s="8"/>
      <c r="Z11" s="41"/>
      <c r="AA11" s="32">
        <v>1</v>
      </c>
      <c r="AB11" s="32"/>
      <c r="AC11" s="32">
        <v>5</v>
      </c>
      <c r="AD11" s="36" t="s">
        <v>150</v>
      </c>
      <c r="AE11" s="47" t="s">
        <v>145</v>
      </c>
      <c r="AF11" s="48" t="s">
        <v>84</v>
      </c>
      <c r="AG11" s="48" t="s">
        <v>86</v>
      </c>
      <c r="AH11" s="48" t="s">
        <v>81</v>
      </c>
      <c r="AI11" s="48" t="s">
        <v>81</v>
      </c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9"/>
        <v>3</v>
      </c>
      <c r="C12" s="18">
        <f t="shared" si="4"/>
        <v>0</v>
      </c>
      <c r="D12" s="18">
        <f t="shared" si="5"/>
        <v>0</v>
      </c>
      <c r="E12" s="4" t="s">
        <v>154</v>
      </c>
      <c r="F12" s="8"/>
      <c r="G12" s="9"/>
      <c r="H12" s="9">
        <v>-1000</v>
      </c>
      <c r="I12" s="55"/>
      <c r="J12" s="21">
        <f t="shared" si="6"/>
        <v>33000</v>
      </c>
      <c r="K12" s="8" t="s">
        <v>142</v>
      </c>
      <c r="L12" s="9">
        <v>-16000</v>
      </c>
      <c r="M12" s="9"/>
      <c r="N12" s="55">
        <v>0</v>
      </c>
      <c r="O12" s="21">
        <f t="shared" si="7"/>
        <v>18600</v>
      </c>
      <c r="P12" s="8" t="s">
        <v>141</v>
      </c>
      <c r="Q12" s="9">
        <v>16000</v>
      </c>
      <c r="R12" s="9">
        <v>1000</v>
      </c>
      <c r="S12" s="55">
        <v>0</v>
      </c>
      <c r="T12" s="21">
        <f t="shared" si="8"/>
        <v>53400</v>
      </c>
      <c r="U12" s="60">
        <f t="shared" si="0"/>
        <v>-2</v>
      </c>
      <c r="V12" s="61">
        <f t="shared" si="1"/>
        <v>-16.399999999999999</v>
      </c>
      <c r="W12" s="62">
        <f t="shared" si="2"/>
        <v>18.399999999999999</v>
      </c>
      <c r="Y12" s="8"/>
      <c r="Z12" s="41"/>
      <c r="AA12" s="32">
        <v>1</v>
      </c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>
        <v>1</v>
      </c>
      <c r="BR12" s="32"/>
      <c r="BS12" s="32">
        <v>9</v>
      </c>
      <c r="BT12" s="36" t="s">
        <v>150</v>
      </c>
      <c r="BU12" s="47" t="s">
        <v>145</v>
      </c>
      <c r="BV12" s="48" t="s">
        <v>105</v>
      </c>
      <c r="BW12" s="48" t="s">
        <v>85</v>
      </c>
      <c r="BX12" s="48" t="s">
        <v>81</v>
      </c>
      <c r="BY12" s="48" t="s">
        <v>81</v>
      </c>
      <c r="BZ12" s="48" t="s">
        <v>81</v>
      </c>
      <c r="CA12" s="48" t="s">
        <v>87</v>
      </c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DB6375EF-6C5F-4EB9-88DF-32ECD0359436}">
      <formula1>$U$2:$W$2</formula1>
    </dataValidation>
    <dataValidation type="list" showInputMessage="1" showErrorMessage="1" sqref="K4:K30 P4:P30 F4:F30" xr:uid="{8A684E32-3EE5-47BB-A0FA-3B52E5A57234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2019-01-19T17:40:10Z</dcterms:modified>
</cp:coreProperties>
</file>