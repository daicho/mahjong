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51D6B54B-4BCB-4FAB-8067-502A44EF7168}" xr6:coauthVersionLast="36" xr6:coauthVersionMax="36" xr10:uidLastSave="{00000000-0000-0000-0000-000000000000}"/>
  <bookViews>
    <workbookView xWindow="0" yWindow="0" windowWidth="28800" windowHeight="12720" activeTab="8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Sheet5" sheetId="19" r:id="rId5"/>
    <sheet name="Sheet6" sheetId="21" r:id="rId6"/>
    <sheet name="Sheet7" sheetId="23" r:id="rId7"/>
    <sheet name="Sheet8" sheetId="24" r:id="rId8"/>
    <sheet name="Sheet9" sheetId="25" r:id="rId9"/>
    <sheet name="役一覧" sheetId="15" state="hidden" r:id="rId10"/>
    <sheet name="点数表(親ロン)" sheetId="4" state="hidden" r:id="rId11"/>
    <sheet name="点数表(親ツモ)" sheetId="9" state="hidden" r:id="rId12"/>
    <sheet name="点数表(子→親)" sheetId="7" state="hidden" r:id="rId13"/>
    <sheet name="点数表(子ロン)" sheetId="3" state="hidden" r:id="rId14"/>
    <sheet name="点数表(子ツモ)" sheetId="10" state="hidden" r:id="rId15"/>
    <sheet name="点数表(子→子)" sheetId="5" state="hidden" r:id="rId16"/>
    <sheet name="点数表(親→子)" sheetId="6" state="hidden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5" l="1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C14" i="25"/>
  <c r="B14" i="25"/>
  <c r="A14" i="25"/>
  <c r="T13" i="25"/>
  <c r="W13" i="25" s="1"/>
  <c r="O13" i="25"/>
  <c r="V13" i="25" s="1"/>
  <c r="J13" i="25"/>
  <c r="U13" i="25" s="1"/>
  <c r="D13" i="25"/>
  <c r="C13" i="25"/>
  <c r="B13" i="25"/>
  <c r="A13" i="25"/>
  <c r="T12" i="25"/>
  <c r="W12" i="25" s="1"/>
  <c r="O12" i="25"/>
  <c r="V12" i="25" s="1"/>
  <c r="J12" i="25"/>
  <c r="U12" i="25" s="1"/>
  <c r="D12" i="25"/>
  <c r="C12" i="25"/>
  <c r="B12" i="25"/>
  <c r="A12" i="25" s="1"/>
  <c r="D11" i="25"/>
  <c r="C11" i="25"/>
  <c r="D10" i="25"/>
  <c r="C10" i="25"/>
  <c r="D9" i="25"/>
  <c r="C9" i="25"/>
  <c r="D8" i="25"/>
  <c r="C8" i="25"/>
  <c r="D7" i="25"/>
  <c r="C7" i="25"/>
  <c r="D6" i="25"/>
  <c r="C6" i="25"/>
  <c r="O5" i="25"/>
  <c r="O6" i="25" s="1"/>
  <c r="J5" i="25"/>
  <c r="U5" i="25" s="1"/>
  <c r="D5" i="25"/>
  <c r="C5" i="25"/>
  <c r="B5" i="25"/>
  <c r="B6" i="25" s="1"/>
  <c r="T4" i="25"/>
  <c r="W4" i="25" s="1"/>
  <c r="O4" i="25"/>
  <c r="V4" i="25" s="1"/>
  <c r="J4" i="25"/>
  <c r="U4" i="25" s="1"/>
  <c r="W3" i="25"/>
  <c r="V3" i="25"/>
  <c r="U3" i="25"/>
  <c r="W2" i="25"/>
  <c r="V2" i="25"/>
  <c r="U2" i="25"/>
  <c r="BO1" i="25"/>
  <c r="AT1" i="25"/>
  <c r="Y1" i="25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D13" i="24"/>
  <c r="C13" i="24"/>
  <c r="B13" i="24"/>
  <c r="A13" i="24"/>
  <c r="T12" i="24"/>
  <c r="W12" i="24" s="1"/>
  <c r="O12" i="24"/>
  <c r="V12" i="24" s="1"/>
  <c r="J12" i="24"/>
  <c r="U12" i="24" s="1"/>
  <c r="D12" i="24"/>
  <c r="C12" i="24"/>
  <c r="B12" i="24"/>
  <c r="A12" i="24" s="1"/>
  <c r="T11" i="24"/>
  <c r="W11" i="24" s="1"/>
  <c r="O11" i="24"/>
  <c r="V11" i="24" s="1"/>
  <c r="J11" i="24"/>
  <c r="U11" i="24" s="1"/>
  <c r="D11" i="24"/>
  <c r="C11" i="24"/>
  <c r="B11" i="24"/>
  <c r="A11" i="24" s="1"/>
  <c r="D10" i="24"/>
  <c r="C10" i="24"/>
  <c r="D9" i="24"/>
  <c r="C9" i="24"/>
  <c r="D8" i="24"/>
  <c r="C8" i="24"/>
  <c r="D7" i="24"/>
  <c r="C7" i="24"/>
  <c r="D6" i="24"/>
  <c r="C6" i="24"/>
  <c r="O5" i="24"/>
  <c r="O6" i="24" s="1"/>
  <c r="J5" i="24"/>
  <c r="U5" i="24" s="1"/>
  <c r="D5" i="24"/>
  <c r="C5" i="24"/>
  <c r="B5" i="24"/>
  <c r="B6" i="24" s="1"/>
  <c r="T4" i="24"/>
  <c r="W4" i="24" s="1"/>
  <c r="O4" i="24"/>
  <c r="V4" i="24" s="1"/>
  <c r="J4" i="24"/>
  <c r="U4" i="24" s="1"/>
  <c r="W3" i="24"/>
  <c r="V3" i="24"/>
  <c r="U3" i="24"/>
  <c r="W2" i="24"/>
  <c r="V2" i="24"/>
  <c r="U2" i="24"/>
  <c r="BO1" i="24"/>
  <c r="AT1" i="24"/>
  <c r="Y1" i="24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D12" i="23"/>
  <c r="C12" i="23"/>
  <c r="D11" i="23"/>
  <c r="C11" i="23"/>
  <c r="D10" i="23"/>
  <c r="C10" i="23"/>
  <c r="D9" i="23"/>
  <c r="C9" i="23"/>
  <c r="D8" i="23"/>
  <c r="C8" i="23"/>
  <c r="D7" i="23"/>
  <c r="C7" i="23"/>
  <c r="D6" i="23"/>
  <c r="C6" i="23"/>
  <c r="O5" i="23"/>
  <c r="O6" i="23" s="1"/>
  <c r="J5" i="23"/>
  <c r="U5" i="23" s="1"/>
  <c r="D5" i="23"/>
  <c r="C5" i="23"/>
  <c r="B5" i="23"/>
  <c r="B6" i="23" s="1"/>
  <c r="A5" i="23"/>
  <c r="T4" i="23"/>
  <c r="W4" i="23" s="1"/>
  <c r="O4" i="23"/>
  <c r="V4" i="23" s="1"/>
  <c r="J4" i="23"/>
  <c r="U4" i="23" s="1"/>
  <c r="W3" i="23"/>
  <c r="V3" i="23"/>
  <c r="U3" i="23"/>
  <c r="W2" i="23"/>
  <c r="V2" i="23"/>
  <c r="U2" i="23"/>
  <c r="BO1" i="23"/>
  <c r="AT1" i="23"/>
  <c r="Y1" i="23"/>
  <c r="A5" i="25" l="1"/>
  <c r="V5" i="25"/>
  <c r="B7" i="25"/>
  <c r="A7" i="25" s="1"/>
  <c r="V6" i="25"/>
  <c r="O7" i="25"/>
  <c r="T5" i="25"/>
  <c r="A6" i="25"/>
  <c r="J6" i="25"/>
  <c r="A5" i="24"/>
  <c r="V5" i="24"/>
  <c r="V6" i="24"/>
  <c r="O7" i="24"/>
  <c r="B7" i="24"/>
  <c r="T5" i="24"/>
  <c r="A6" i="24"/>
  <c r="J6" i="24"/>
  <c r="V5" i="23"/>
  <c r="V6" i="23"/>
  <c r="O7" i="23"/>
  <c r="B7" i="23"/>
  <c r="T5" i="23"/>
  <c r="A6" i="23"/>
  <c r="J6" i="23"/>
  <c r="U6" i="25" l="1"/>
  <c r="J7" i="25"/>
  <c r="W5" i="25"/>
  <c r="T6" i="25"/>
  <c r="O8" i="25"/>
  <c r="V7" i="25"/>
  <c r="B8" i="25"/>
  <c r="A8" i="25" s="1"/>
  <c r="B8" i="24"/>
  <c r="A8" i="24" s="1"/>
  <c r="O8" i="24"/>
  <c r="V7" i="24"/>
  <c r="T6" i="24"/>
  <c r="W5" i="24"/>
  <c r="U6" i="24"/>
  <c r="J7" i="24"/>
  <c r="A7" i="24"/>
  <c r="B8" i="23"/>
  <c r="A8" i="23" s="1"/>
  <c r="J7" i="23"/>
  <c r="U6" i="23"/>
  <c r="A7" i="23"/>
  <c r="O8" i="23"/>
  <c r="V7" i="23"/>
  <c r="T6" i="23"/>
  <c r="W5" i="23"/>
  <c r="U7" i="25" l="1"/>
  <c r="J8" i="25"/>
  <c r="V8" i="25"/>
  <c r="O9" i="25"/>
  <c r="W6" i="25"/>
  <c r="T7" i="25"/>
  <c r="B9" i="25"/>
  <c r="A9" i="25" s="1"/>
  <c r="W6" i="24"/>
  <c r="T7" i="24"/>
  <c r="U7" i="24"/>
  <c r="J8" i="24"/>
  <c r="V8" i="24"/>
  <c r="O9" i="24"/>
  <c r="B9" i="24"/>
  <c r="A9" i="24" s="1"/>
  <c r="U7" i="23"/>
  <c r="J8" i="23"/>
  <c r="W6" i="23"/>
  <c r="T7" i="23"/>
  <c r="V8" i="23"/>
  <c r="O9" i="23"/>
  <c r="B9" i="23"/>
  <c r="A9" i="23" s="1"/>
  <c r="J9" i="25" l="1"/>
  <c r="U8" i="25"/>
  <c r="B10" i="25"/>
  <c r="O10" i="25"/>
  <c r="V9" i="25"/>
  <c r="W7" i="25"/>
  <c r="T8" i="25"/>
  <c r="U8" i="24"/>
  <c r="J9" i="24"/>
  <c r="B10" i="24"/>
  <c r="A10" i="24" s="1"/>
  <c r="O10" i="24"/>
  <c r="V10" i="24" s="1"/>
  <c r="V9" i="24"/>
  <c r="T8" i="24"/>
  <c r="W7" i="24"/>
  <c r="T8" i="23"/>
  <c r="W7" i="23"/>
  <c r="B10" i="23"/>
  <c r="A10" i="23" s="1"/>
  <c r="J9" i="23"/>
  <c r="U8" i="23"/>
  <c r="O10" i="23"/>
  <c r="V9" i="23"/>
  <c r="B11" i="25" l="1"/>
  <c r="A11" i="25" s="1"/>
  <c r="W8" i="25"/>
  <c r="T9" i="25"/>
  <c r="A10" i="25"/>
  <c r="V10" i="25"/>
  <c r="O11" i="25"/>
  <c r="V11" i="25" s="1"/>
  <c r="U9" i="25"/>
  <c r="J10" i="25"/>
  <c r="W8" i="24"/>
  <c r="T9" i="24"/>
  <c r="U9" i="24"/>
  <c r="J10" i="24"/>
  <c r="U10" i="24" s="1"/>
  <c r="V10" i="23"/>
  <c r="O11" i="23"/>
  <c r="B11" i="23"/>
  <c r="U9" i="23"/>
  <c r="J10" i="23"/>
  <c r="W8" i="23"/>
  <c r="T9" i="23"/>
  <c r="U10" i="25" l="1"/>
  <c r="J11" i="25"/>
  <c r="U11" i="25" s="1"/>
  <c r="T10" i="25"/>
  <c r="W9" i="25"/>
  <c r="W9" i="24"/>
  <c r="T10" i="24"/>
  <c r="W10" i="24" s="1"/>
  <c r="T10" i="23"/>
  <c r="W9" i="23"/>
  <c r="B12" i="23"/>
  <c r="A12" i="23"/>
  <c r="A11" i="23"/>
  <c r="J11" i="23"/>
  <c r="U10" i="23"/>
  <c r="O12" i="23"/>
  <c r="V12" i="23" s="1"/>
  <c r="V11" i="23"/>
  <c r="W10" i="25" l="1"/>
  <c r="T11" i="25"/>
  <c r="W11" i="25" s="1"/>
  <c r="U11" i="23"/>
  <c r="J12" i="23"/>
  <c r="U12" i="23" s="1"/>
  <c r="W10" i="23"/>
  <c r="T11" i="23"/>
  <c r="T12" i="23" l="1"/>
  <c r="W12" i="23" s="1"/>
  <c r="W11" i="23"/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 s="1"/>
  <c r="T12" i="21"/>
  <c r="W12" i="21" s="1"/>
  <c r="O12" i="21"/>
  <c r="V12" i="21" s="1"/>
  <c r="J12" i="21"/>
  <c r="U12" i="21" s="1"/>
  <c r="D12" i="21"/>
  <c r="C12" i="21"/>
  <c r="B12" i="21"/>
  <c r="A12" i="21" s="1"/>
  <c r="D11" i="21"/>
  <c r="C11" i="21"/>
  <c r="D10" i="21"/>
  <c r="D9" i="21"/>
  <c r="D8" i="21"/>
  <c r="C8" i="21"/>
  <c r="C9" i="21" s="1"/>
  <c r="C10" i="21" s="1"/>
  <c r="D7" i="21"/>
  <c r="C7" i="21"/>
  <c r="D6" i="21"/>
  <c r="C6" i="21"/>
  <c r="O5" i="21"/>
  <c r="O6" i="21" s="1"/>
  <c r="J5" i="21"/>
  <c r="U5" i="21" s="1"/>
  <c r="D5" i="21"/>
  <c r="C5" i="21"/>
  <c r="B5" i="21"/>
  <c r="B6" i="21" s="1"/>
  <c r="A5" i="21"/>
  <c r="T4" i="21"/>
  <c r="W4" i="21" s="1"/>
  <c r="O4" i="21"/>
  <c r="V4" i="21" s="1"/>
  <c r="J4" i="21"/>
  <c r="U4" i="21" s="1"/>
  <c r="W3" i="21"/>
  <c r="V3" i="21"/>
  <c r="U3" i="21"/>
  <c r="W2" i="21"/>
  <c r="V2" i="21"/>
  <c r="U2" i="21"/>
  <c r="BO1" i="21"/>
  <c r="AT1" i="21"/>
  <c r="Y1" i="2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W11" i="19" s="1"/>
  <c r="O11" i="19"/>
  <c r="V11" i="19" s="1"/>
  <c r="J11" i="19"/>
  <c r="U11" i="19" s="1"/>
  <c r="D11" i="19"/>
  <c r="C11" i="19"/>
  <c r="B11" i="19"/>
  <c r="A11" i="19"/>
  <c r="D10" i="19"/>
  <c r="C10" i="19"/>
  <c r="D9" i="19"/>
  <c r="C9" i="19"/>
  <c r="D8" i="19"/>
  <c r="C8" i="19"/>
  <c r="D7" i="19"/>
  <c r="C7" i="19"/>
  <c r="D6" i="19"/>
  <c r="C6" i="19"/>
  <c r="O5" i="19"/>
  <c r="O6" i="19" s="1"/>
  <c r="J5" i="19"/>
  <c r="U5" i="19" s="1"/>
  <c r="D5" i="19"/>
  <c r="C5" i="19"/>
  <c r="B5" i="19"/>
  <c r="B6" i="19" s="1"/>
  <c r="A5" i="19"/>
  <c r="T4" i="19"/>
  <c r="W4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B14" i="18"/>
  <c r="A14" i="18"/>
  <c r="D13" i="18"/>
  <c r="D12" i="18"/>
  <c r="C12" i="18"/>
  <c r="C13" i="18" s="1"/>
  <c r="D11" i="18"/>
  <c r="C11" i="18"/>
  <c r="D10" i="18"/>
  <c r="C10" i="18"/>
  <c r="D9" i="18"/>
  <c r="C9" i="18"/>
  <c r="D8" i="18"/>
  <c r="C8" i="18"/>
  <c r="D7" i="18"/>
  <c r="D6" i="18"/>
  <c r="C6" i="18"/>
  <c r="C7" i="18" s="1"/>
  <c r="O5" i="18"/>
  <c r="O6" i="18" s="1"/>
  <c r="J5" i="18"/>
  <c r="U5" i="18" s="1"/>
  <c r="D5" i="18"/>
  <c r="C5" i="18"/>
  <c r="B5" i="18"/>
  <c r="B6" i="18" s="1"/>
  <c r="A5" i="18"/>
  <c r="T4" i="18"/>
  <c r="W4" i="18" s="1"/>
  <c r="O4" i="18"/>
  <c r="V4" i="18" s="1"/>
  <c r="J4" i="18"/>
  <c r="U4" i="18" s="1"/>
  <c r="W3" i="18"/>
  <c r="V3" i="18"/>
  <c r="U3" i="18"/>
  <c r="W2" i="18"/>
  <c r="V2" i="18"/>
  <c r="U2" i="18"/>
  <c r="BO1" i="18"/>
  <c r="AT1" i="18"/>
  <c r="Y1" i="18"/>
  <c r="V5" i="21" l="1"/>
  <c r="B7" i="21"/>
  <c r="V6" i="21"/>
  <c r="O7" i="21"/>
  <c r="T5" i="21"/>
  <c r="A6" i="21"/>
  <c r="J6" i="21"/>
  <c r="V5" i="19"/>
  <c r="V6" i="19"/>
  <c r="O7" i="19"/>
  <c r="B7" i="19"/>
  <c r="T5" i="19"/>
  <c r="A6" i="19"/>
  <c r="J6" i="19"/>
  <c r="V5" i="18"/>
  <c r="B7" i="18"/>
  <c r="A7" i="18" s="1"/>
  <c r="V6" i="18"/>
  <c r="O7" i="18"/>
  <c r="T5" i="18"/>
  <c r="A6" i="18"/>
  <c r="J6" i="18"/>
  <c r="A7" i="21" l="1"/>
  <c r="U6" i="21"/>
  <c r="J7" i="21"/>
  <c r="W5" i="21"/>
  <c r="T6" i="21"/>
  <c r="B8" i="21"/>
  <c r="A8" i="21" s="1"/>
  <c r="O8" i="21"/>
  <c r="V7" i="21"/>
  <c r="A7" i="19"/>
  <c r="W5" i="19"/>
  <c r="T6" i="19"/>
  <c r="O8" i="19"/>
  <c r="V7" i="19"/>
  <c r="U6" i="19"/>
  <c r="J7" i="19"/>
  <c r="B8" i="19"/>
  <c r="U6" i="18"/>
  <c r="J7" i="18"/>
  <c r="O8" i="18"/>
  <c r="V7" i="18"/>
  <c r="T6" i="18"/>
  <c r="W5" i="18"/>
  <c r="B8" i="18"/>
  <c r="V8" i="21" l="1"/>
  <c r="O9" i="21"/>
  <c r="U7" i="21"/>
  <c r="J8" i="21"/>
  <c r="B9" i="21"/>
  <c r="A9" i="21" s="1"/>
  <c r="W6" i="21"/>
  <c r="T7" i="21"/>
  <c r="B9" i="19"/>
  <c r="O9" i="19"/>
  <c r="V8" i="19"/>
  <c r="A8" i="19"/>
  <c r="U7" i="19"/>
  <c r="J8" i="19"/>
  <c r="W6" i="19"/>
  <c r="T7" i="19"/>
  <c r="B9" i="18"/>
  <c r="A9" i="18" s="1"/>
  <c r="V8" i="18"/>
  <c r="O9" i="18"/>
  <c r="A8" i="18"/>
  <c r="U7" i="18"/>
  <c r="J8" i="18"/>
  <c r="W6" i="18"/>
  <c r="T7" i="18"/>
  <c r="O10" i="21" l="1"/>
  <c r="V9" i="21"/>
  <c r="B10" i="21"/>
  <c r="T8" i="21"/>
  <c r="W7" i="21"/>
  <c r="U8" i="21"/>
  <c r="J9" i="21"/>
  <c r="U8" i="19"/>
  <c r="J9" i="19"/>
  <c r="O10" i="19"/>
  <c r="V10" i="19" s="1"/>
  <c r="V9" i="19"/>
  <c r="B10" i="19"/>
  <c r="A10" i="19"/>
  <c r="W7" i="19"/>
  <c r="T8" i="19"/>
  <c r="A9" i="19"/>
  <c r="W7" i="18"/>
  <c r="T8" i="18"/>
  <c r="O10" i="18"/>
  <c r="V9" i="18"/>
  <c r="U8" i="18"/>
  <c r="J9" i="18"/>
  <c r="B10" i="18"/>
  <c r="A10" i="18" s="1"/>
  <c r="B11" i="21" l="1"/>
  <c r="A11" i="21" s="1"/>
  <c r="W8" i="21"/>
  <c r="T9" i="21"/>
  <c r="V10" i="21"/>
  <c r="O11" i="21"/>
  <c r="V11" i="21" s="1"/>
  <c r="U9" i="21"/>
  <c r="J10" i="21"/>
  <c r="A10" i="21"/>
  <c r="W8" i="19"/>
  <c r="T9" i="19"/>
  <c r="U9" i="19"/>
  <c r="J10" i="19"/>
  <c r="U10" i="19" s="1"/>
  <c r="B11" i="18"/>
  <c r="A11" i="18" s="1"/>
  <c r="O11" i="18"/>
  <c r="V10" i="18"/>
  <c r="U9" i="18"/>
  <c r="J10" i="18"/>
  <c r="W8" i="18"/>
  <c r="T9" i="18"/>
  <c r="U10" i="21" l="1"/>
  <c r="J11" i="21"/>
  <c r="U11" i="21" s="1"/>
  <c r="T10" i="21"/>
  <c r="W9" i="21"/>
  <c r="T10" i="19"/>
  <c r="W10" i="19" s="1"/>
  <c r="W9" i="19"/>
  <c r="O12" i="18"/>
  <c r="V11" i="18"/>
  <c r="W9" i="18"/>
  <c r="T10" i="18"/>
  <c r="U10" i="18"/>
  <c r="J11" i="18"/>
  <c r="B12" i="18"/>
  <c r="A12" i="18" s="1"/>
  <c r="W10" i="21" l="1"/>
  <c r="T11" i="21"/>
  <c r="W11" i="21" s="1"/>
  <c r="V12" i="18"/>
  <c r="O13" i="18"/>
  <c r="V13" i="18" s="1"/>
  <c r="W10" i="18"/>
  <c r="T11" i="18"/>
  <c r="B13" i="18"/>
  <c r="A13" i="18" s="1"/>
  <c r="U11" i="18"/>
  <c r="J12" i="18"/>
  <c r="J13" i="18" l="1"/>
  <c r="U13" i="18" s="1"/>
  <c r="U12" i="18"/>
  <c r="T12" i="18"/>
  <c r="W11" i="18"/>
  <c r="W12" i="18" l="1"/>
  <c r="T13" i="18"/>
  <c r="W13" i="18" s="1"/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D10" i="17"/>
  <c r="D11" i="17" s="1"/>
  <c r="D12" i="17" s="1"/>
  <c r="C10" i="17"/>
  <c r="C11" i="17" s="1"/>
  <c r="C12" i="17" s="1"/>
  <c r="D9" i="17"/>
  <c r="C9" i="17"/>
  <c r="D8" i="17"/>
  <c r="C8" i="17"/>
  <c r="D7" i="17"/>
  <c r="C7" i="17"/>
  <c r="D6" i="17"/>
  <c r="C6" i="17"/>
  <c r="O5" i="17"/>
  <c r="O6" i="17" s="1"/>
  <c r="J5" i="17"/>
  <c r="U5" i="17" s="1"/>
  <c r="D5" i="17"/>
  <c r="C5" i="17"/>
  <c r="B5" i="17"/>
  <c r="B6" i="17" s="1"/>
  <c r="A5" i="17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 s="1"/>
  <c r="T12" i="16"/>
  <c r="W12" i="16" s="1"/>
  <c r="O12" i="16"/>
  <c r="V12" i="16" s="1"/>
  <c r="J12" i="16"/>
  <c r="U12" i="16" s="1"/>
  <c r="D12" i="16"/>
  <c r="C12" i="16"/>
  <c r="B12" i="16"/>
  <c r="A12" i="16" s="1"/>
  <c r="T11" i="16"/>
  <c r="W11" i="16" s="1"/>
  <c r="O11" i="16"/>
  <c r="V11" i="16" s="1"/>
  <c r="J11" i="16"/>
  <c r="U11" i="16" s="1"/>
  <c r="D11" i="16"/>
  <c r="C11" i="16"/>
  <c r="B11" i="16"/>
  <c r="A11" i="16" s="1"/>
  <c r="D10" i="16"/>
  <c r="C10" i="16"/>
  <c r="D9" i="16"/>
  <c r="D8" i="16"/>
  <c r="C8" i="16"/>
  <c r="C9" i="16" s="1"/>
  <c r="D7" i="16"/>
  <c r="C7" i="16"/>
  <c r="D6" i="16"/>
  <c r="C6" i="16"/>
  <c r="O5" i="16"/>
  <c r="O6" i="16" s="1"/>
  <c r="J5" i="16"/>
  <c r="U5" i="16" s="1"/>
  <c r="D5" i="16"/>
  <c r="C5" i="16"/>
  <c r="B5" i="16"/>
  <c r="B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V5" i="17" l="1"/>
  <c r="B7" i="17"/>
  <c r="V6" i="17"/>
  <c r="O7" i="17"/>
  <c r="T5" i="17"/>
  <c r="A6" i="17"/>
  <c r="J6" i="17"/>
  <c r="A5" i="16"/>
  <c r="V5" i="16"/>
  <c r="B7" i="16"/>
  <c r="V6" i="16"/>
  <c r="O7" i="16"/>
  <c r="T5" i="16"/>
  <c r="A6" i="16"/>
  <c r="J6" i="16"/>
  <c r="B8" i="17" l="1"/>
  <c r="A8" i="17" s="1"/>
  <c r="O8" i="17"/>
  <c r="V7" i="17"/>
  <c r="A7" i="17"/>
  <c r="U6" i="17"/>
  <c r="J7" i="17"/>
  <c r="W5" i="17"/>
  <c r="T6" i="17"/>
  <c r="A7" i="16"/>
  <c r="O8" i="16"/>
  <c r="V7" i="16"/>
  <c r="U6" i="16"/>
  <c r="J7" i="16"/>
  <c r="W5" i="16"/>
  <c r="T6" i="16"/>
  <c r="B8" i="16"/>
  <c r="U7" i="17" l="1"/>
  <c r="J8" i="17"/>
  <c r="O9" i="17"/>
  <c r="V8" i="17"/>
  <c r="W6" i="17"/>
  <c r="T7" i="17"/>
  <c r="B9" i="17"/>
  <c r="B9" i="16"/>
  <c r="W6" i="16"/>
  <c r="T7" i="16"/>
  <c r="A8" i="16"/>
  <c r="U7" i="16"/>
  <c r="J8" i="16"/>
  <c r="V8" i="16"/>
  <c r="O9" i="16"/>
  <c r="B10" i="17" l="1"/>
  <c r="A10" i="17" s="1"/>
  <c r="O10" i="17"/>
  <c r="V9" i="17"/>
  <c r="W7" i="17"/>
  <c r="T8" i="17"/>
  <c r="U8" i="17"/>
  <c r="J9" i="17"/>
  <c r="A9" i="17"/>
  <c r="A9" i="16"/>
  <c r="U8" i="16"/>
  <c r="J9" i="16"/>
  <c r="W7" i="16"/>
  <c r="T8" i="16"/>
  <c r="O10" i="16"/>
  <c r="V10" i="16" s="1"/>
  <c r="V9" i="16"/>
  <c r="B10" i="16"/>
  <c r="A10" i="16" s="1"/>
  <c r="W8" i="17" l="1"/>
  <c r="T9" i="17"/>
  <c r="U9" i="17"/>
  <c r="J10" i="17"/>
  <c r="O11" i="17"/>
  <c r="V10" i="17"/>
  <c r="B11" i="17"/>
  <c r="A11" i="17" s="1"/>
  <c r="U9" i="16"/>
  <c r="J10" i="16"/>
  <c r="U10" i="16" s="1"/>
  <c r="W8" i="16"/>
  <c r="T9" i="16"/>
  <c r="U10" i="17" l="1"/>
  <c r="J11" i="17"/>
  <c r="W9" i="17"/>
  <c r="T10" i="17"/>
  <c r="B12" i="17"/>
  <c r="A12" i="17"/>
  <c r="O12" i="17"/>
  <c r="V11" i="17"/>
  <c r="W9" i="16"/>
  <c r="T10" i="16"/>
  <c r="W10" i="16" s="1"/>
  <c r="V12" i="17" l="1"/>
  <c r="W10" i="17"/>
  <c r="T11" i="17"/>
  <c r="U11" i="17"/>
  <c r="J12" i="17"/>
  <c r="U12" i="17" l="1"/>
  <c r="W11" i="17"/>
  <c r="T12" i="17"/>
  <c r="W12" i="17" l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W3" i="1" l="1"/>
  <c r="V3" i="1"/>
  <c r="U3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W4" i="1"/>
  <c r="V4" i="1"/>
  <c r="J6" i="1"/>
  <c r="T5" i="1"/>
  <c r="O6" i="1"/>
  <c r="B10" i="1"/>
  <c r="W5" i="1" l="1"/>
  <c r="O7" i="1"/>
  <c r="V6" i="1"/>
  <c r="J7" i="1"/>
  <c r="U6" i="1"/>
  <c r="J8" i="1"/>
  <c r="U8" i="1" s="1"/>
  <c r="B11" i="1"/>
  <c r="A11" i="1" s="1"/>
  <c r="A10" i="1"/>
  <c r="O8" i="1"/>
  <c r="V8" i="1" s="1"/>
  <c r="T6" i="1"/>
  <c r="B12" i="1"/>
  <c r="A12" i="1" s="1"/>
  <c r="U7" i="1" l="1"/>
  <c r="V7" i="1"/>
  <c r="T7" i="1"/>
  <c r="W6" i="1"/>
  <c r="J9" i="1"/>
  <c r="T8" i="1"/>
  <c r="W8" i="1" s="1"/>
  <c r="O9" i="1"/>
  <c r="B13" i="1"/>
  <c r="A13" i="1" s="1"/>
  <c r="V9" i="1" l="1"/>
  <c r="U9" i="1"/>
  <c r="W7" i="1"/>
  <c r="J10" i="1"/>
  <c r="J11" i="1"/>
  <c r="U11" i="1" s="1"/>
  <c r="O10" i="1"/>
  <c r="T9" i="1"/>
  <c r="B14" i="1"/>
  <c r="A14" i="1" s="1"/>
  <c r="U10" i="1" l="1"/>
  <c r="V10" i="1"/>
  <c r="W9" i="1"/>
  <c r="O11" i="1"/>
  <c r="J12" i="1"/>
  <c r="U12" i="1" s="1"/>
  <c r="T10" i="1"/>
  <c r="V11" i="1" l="1"/>
  <c r="W10" i="1"/>
  <c r="J13" i="1"/>
  <c r="U13" i="1" s="1"/>
  <c r="O12" i="1"/>
  <c r="V12" i="1" s="1"/>
  <c r="T11" i="1"/>
  <c r="W11" i="1" l="1"/>
  <c r="J14" i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<sst xmlns="http://schemas.openxmlformats.org/spreadsheetml/2006/main" count="1417" uniqueCount="165">
  <si>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</si>
  <si>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</si>
  <si>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</si>
  <si>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</si>
  <si>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</si>
  <si>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</si>
  <si>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</si>
  <si>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</si>
  <si>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</si>
  <si>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</si>
  <si>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</si>
  <si>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</si>
  <si>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</si>
  <si>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</si>
  <si>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</si>
  <si>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</si>
  <si>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</si>
  <si>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</si>
  <si>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</si>
  <si>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</si>
  <si>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</si>
  <si>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</si>
  <si>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</si>
  <si>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</si>
  <si>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</si>
  <si>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</si>
  <si>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</si>
  <si>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</si>
  <si>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</si>
  <si>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</si>
  <si>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</si>
  <si>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</si>
  <si>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</si>
  <si>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</si>
  <si>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</si>
  <si>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</si>
  <si>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</si>
  <si>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</si>
  <si>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</si>
  <si>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</si>
  <si>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</si>
  <si>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</si>
  <si>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</si>
  <si>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</si>
  <si>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</si>
  <si>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</si>
  <si>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</si>
  <si>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</si>
  <si>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</si>
  <si>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</si>
  <si>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</si>
  <si>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</si>
  <si>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</si>
  <si>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</si>
  <si>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</si>
  <si>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</si>
  <si>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</si>
  <si>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</si>
  <si>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</si>
  <si>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</si>
  <si>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</si>
  <si>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</si>
  <si>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</si>
  <si>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</si>
  <si>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</si>
  <si>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</si>
  <si>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</si>
  <si>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</si>
  <si>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</si>
  <si>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</si>
  <si>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</si>
  <si>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</si>
  <si>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</si>
  <si>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</si>
  <si>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</si>
  <si>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</si>
  <si>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</si>
  <si>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</si>
  <si>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</si>
  <si>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</si>
  <si>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</si>
  <si>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</si>
  <si>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</si>
  <si>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</si>
  <si>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</si>
  <si>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</si>
  <si>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</si>
  <si>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</si>
  <si>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</si>
  <si>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</si>
  <si>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</si>
  <si>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</si>
  <si>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</si>
  <si>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</si>
  <si>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</si>
  <si>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</si>
  <si>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</si>
  <si>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</si>
  <si>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</si>
  <si>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</si>
  <si>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</si>
  <si>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</si>
  <si>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</si>
  <si>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</si>
  <si>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</si>
  <si>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</si>
  <si>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</si>
  <si>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</si>
  <si>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</si>
  <si>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</si>
  <si>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</si>
  <si>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</si>
  <si>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</si>
  <si>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</si>
  <si>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</si>
  <si>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</si>
  <si>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</si>
  <si>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</si>
  <si>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</si>
  <si>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</si>
  <si>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</si>
  <si>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</si>
  <si>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</si>
  <si>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</si>
  <si>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</si>
  <si>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</si>
  <si>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</si>
  <si>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</si>
  <si>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</si>
  <si>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</si>
  <si>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</si>
  <si>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</si>
  <si>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</si>
  <si>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</si>
  <si>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</si>
  <si>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</si>
  <si>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</si>
  <si>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ただ</t>
  </si>
  <si>
    <t>ただ</t>
    <phoneticPr fontId="1"/>
  </si>
  <si>
    <t>やがさき</t>
  </si>
  <si>
    <t>やがさき</t>
    <phoneticPr fontId="1"/>
  </si>
  <si>
    <t>放銃</t>
  </si>
  <si>
    <t>ロン</t>
  </si>
  <si>
    <t>*</t>
  </si>
  <si>
    <t>01</t>
  </si>
  <si>
    <t>ツモ</t>
  </si>
  <si>
    <t>ツモ支払</t>
  </si>
  <si>
    <t>02</t>
  </si>
  <si>
    <t>T</t>
  </si>
  <si>
    <t>N</t>
  </si>
  <si>
    <t>流局</t>
    <phoneticPr fontId="1"/>
  </si>
  <si>
    <t>りくと</t>
  </si>
  <si>
    <t>りくと</t>
    <phoneticPr fontId="1"/>
  </si>
  <si>
    <t>たかの</t>
  </si>
  <si>
    <t>たかの</t>
    <phoneticPr fontId="1"/>
  </si>
  <si>
    <t>れんたろう</t>
  </si>
  <si>
    <t>れんたろう</t>
    <phoneticPr fontId="1"/>
  </si>
  <si>
    <t>ともき</t>
  </si>
  <si>
    <t>ともき</t>
    <phoneticPr fontId="1"/>
  </si>
  <si>
    <t>まっつん</t>
  </si>
  <si>
    <t>まっつん</t>
    <phoneticPr fontId="1"/>
  </si>
  <si>
    <t>ぱぱ</t>
  </si>
  <si>
    <t>ぱぱ</t>
    <phoneticPr fontId="1"/>
  </si>
  <si>
    <t>いっしー</t>
  </si>
  <si>
    <t>いっしー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</si>
</sst>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4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やがさき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ただ</v>
      </c>
      <c r="W2" s="16" t="str">
        <f>$P$1</f>
        <v>やがさき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/>
      <c r="G4" s="9"/>
      <c r="H4" s="9"/>
      <c r="I4" s="55"/>
      <c r="J4" s="21">
        <f>IF(COUNTA($F4,$K4,$P4)&gt;0,J3+SUM(G4:I4),"")</f>
        <v>35000</v>
      </c>
      <c r="K4" s="8" t="s">
        <v>141</v>
      </c>
      <c r="L4" s="9">
        <v>-16000</v>
      </c>
      <c r="M4" s="9"/>
      <c r="N4" s="55">
        <v>0</v>
      </c>
      <c r="O4" s="21">
        <f>IF(COUNTA($F4,$K4,$P4)&gt;0,O3+SUM(L4:N4),"")</f>
        <v>19000</v>
      </c>
      <c r="P4" s="8" t="s">
        <v>142</v>
      </c>
      <c r="Q4" s="9">
        <v>16000</v>
      </c>
      <c r="R4" s="9"/>
      <c r="S4" s="55">
        <v>0</v>
      </c>
      <c r="T4" s="21">
        <f>IF(COUNTA($F4,$K4,$P4)&gt;0,T3+SUM(Q4:S4),"")</f>
        <v>51000</v>
      </c>
      <c r="U4" s="60">
        <f t="shared" ref="U4:U30" si="0">IF($J4="","",ROUND(($J4-$J$3)/1000,1))</f>
        <v>0</v>
      </c>
      <c r="V4" s="61">
        <f t="shared" ref="V4:V30" si="1">IF($O4="","",ROUND(($O4-$O$3)/1000,1))</f>
        <v>-16</v>
      </c>
      <c r="W4" s="62">
        <f t="shared" ref="W4:W30" si="2">IF($T4="","",ROUND(($T4-$T$3)/1000,1))</f>
        <v>16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8</v>
      </c>
      <c r="BT4" s="36" t="s">
        <v>143</v>
      </c>
      <c r="BU4" s="47" t="s">
        <v>144</v>
      </c>
      <c r="BV4" s="48" t="s">
        <v>84</v>
      </c>
      <c r="BW4" s="48" t="s">
        <v>86</v>
      </c>
      <c r="BX4" s="48" t="s">
        <v>82</v>
      </c>
      <c r="BY4" s="48" t="s">
        <v>82</v>
      </c>
      <c r="BZ4" s="48" t="s">
        <v>81</v>
      </c>
      <c r="CA4" s="48" t="s">
        <v>81</v>
      </c>
      <c r="CB4" s="48" t="s">
        <v>85</v>
      </c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139</v>
      </c>
      <c r="F5" s="8" t="s">
        <v>145</v>
      </c>
      <c r="G5" s="9">
        <v>16000</v>
      </c>
      <c r="H5" s="9"/>
      <c r="I5" s="55">
        <v>0</v>
      </c>
      <c r="J5" s="21">
        <f t="shared" ref="J5:J30" si="5">IF(COUNTA($F5,$K5,$P5)&gt;0,J4+SUM(G5:I5),"")</f>
        <v>51000</v>
      </c>
      <c r="K5" s="8" t="s">
        <v>146</v>
      </c>
      <c r="L5" s="9">
        <v>-6000</v>
      </c>
      <c r="M5" s="9"/>
      <c r="N5" s="55">
        <v>0</v>
      </c>
      <c r="O5" s="21">
        <f t="shared" ref="O5:O30" si="6">IF(COUNTA($F5,$K5,$P5)&gt;0,O4+SUM(L5:N5),"")</f>
        <v>13000</v>
      </c>
      <c r="P5" s="8" t="s">
        <v>146</v>
      </c>
      <c r="Q5" s="9">
        <v>-10000</v>
      </c>
      <c r="R5" s="9"/>
      <c r="S5" s="55">
        <v>0</v>
      </c>
      <c r="T5" s="21">
        <f t="shared" ref="T5:T30" si="7">IF(COUNTA($F5,$K5,$P5)&gt;0,T4+SUM(Q5:S5),"")</f>
        <v>41000</v>
      </c>
      <c r="U5" s="60">
        <f t="shared" si="0"/>
        <v>16</v>
      </c>
      <c r="V5" s="61">
        <f t="shared" si="1"/>
        <v>-22</v>
      </c>
      <c r="W5" s="62">
        <f t="shared" si="2"/>
        <v>6</v>
      </c>
      <c r="Y5" s="8"/>
      <c r="Z5" s="41"/>
      <c r="AA5" s="32"/>
      <c r="AB5" s="32">
        <v>1</v>
      </c>
      <c r="AC5" s="32">
        <v>9</v>
      </c>
      <c r="AD5" s="36" t="s">
        <v>143</v>
      </c>
      <c r="AE5" s="47" t="s">
        <v>87</v>
      </c>
      <c r="AF5" s="48" t="s">
        <v>87</v>
      </c>
      <c r="AG5" s="48" t="s">
        <v>80</v>
      </c>
      <c r="AH5" s="48" t="s">
        <v>80</v>
      </c>
      <c r="AI5" s="48" t="s">
        <v>80</v>
      </c>
      <c r="AJ5" s="48" t="s">
        <v>80</v>
      </c>
      <c r="AK5" s="48" t="s">
        <v>80</v>
      </c>
      <c r="AL5" s="48" t="s">
        <v>80</v>
      </c>
      <c r="AM5" s="48" t="s">
        <v>80</v>
      </c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135</v>
      </c>
      <c r="F6" s="8"/>
      <c r="G6" s="9"/>
      <c r="H6" s="9"/>
      <c r="I6" s="55"/>
      <c r="J6" s="21">
        <f t="shared" si="5"/>
        <v>51000</v>
      </c>
      <c r="K6" s="8" t="s">
        <v>142</v>
      </c>
      <c r="L6" s="9">
        <v>2000</v>
      </c>
      <c r="M6" s="9"/>
      <c r="N6" s="55">
        <v>0</v>
      </c>
      <c r="O6" s="21">
        <f t="shared" si="6"/>
        <v>15000</v>
      </c>
      <c r="P6" s="8" t="s">
        <v>141</v>
      </c>
      <c r="Q6" s="9">
        <v>-2000</v>
      </c>
      <c r="R6" s="9"/>
      <c r="S6" s="55">
        <v>0</v>
      </c>
      <c r="T6" s="21">
        <f t="shared" si="7"/>
        <v>39000</v>
      </c>
      <c r="U6" s="60">
        <f t="shared" si="0"/>
        <v>16</v>
      </c>
      <c r="V6" s="61">
        <f t="shared" si="1"/>
        <v>-20</v>
      </c>
      <c r="W6" s="62">
        <f t="shared" si="2"/>
        <v>4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2</v>
      </c>
      <c r="AY6" s="36">
        <v>30</v>
      </c>
      <c r="AZ6" s="47" t="s">
        <v>87</v>
      </c>
      <c r="BA6" s="48" t="s">
        <v>87</v>
      </c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">
        <v>137</v>
      </c>
      <c r="F7" s="8"/>
      <c r="G7" s="9"/>
      <c r="H7" s="9"/>
      <c r="I7" s="55"/>
      <c r="J7" s="21">
        <f t="shared" si="5"/>
        <v>51000</v>
      </c>
      <c r="K7" s="8" t="s">
        <v>141</v>
      </c>
      <c r="L7" s="9">
        <v>-2600</v>
      </c>
      <c r="M7" s="9"/>
      <c r="N7" s="55">
        <v>0</v>
      </c>
      <c r="O7" s="21">
        <f t="shared" si="6"/>
        <v>12400</v>
      </c>
      <c r="P7" s="8" t="s">
        <v>142</v>
      </c>
      <c r="Q7" s="9">
        <v>2600</v>
      </c>
      <c r="R7" s="9"/>
      <c r="S7" s="55">
        <v>0</v>
      </c>
      <c r="T7" s="21">
        <f t="shared" si="7"/>
        <v>41600</v>
      </c>
      <c r="U7" s="60">
        <f t="shared" si="0"/>
        <v>16</v>
      </c>
      <c r="V7" s="61">
        <f t="shared" si="1"/>
        <v>-22.6</v>
      </c>
      <c r="W7" s="62">
        <f t="shared" si="2"/>
        <v>6.6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2</v>
      </c>
      <c r="BT7" s="36">
        <v>40</v>
      </c>
      <c r="BU7" s="47" t="s">
        <v>144</v>
      </c>
      <c r="BV7" s="48" t="s">
        <v>80</v>
      </c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南</v>
      </c>
      <c r="B8" s="18">
        <f t="shared" si="8"/>
        <v>2</v>
      </c>
      <c r="C8" s="18">
        <f t="shared" si="9"/>
        <v>0</v>
      </c>
      <c r="D8" s="18">
        <f t="shared" si="4"/>
        <v>0</v>
      </c>
      <c r="E8" s="4" t="s">
        <v>139</v>
      </c>
      <c r="F8" s="8" t="s">
        <v>146</v>
      </c>
      <c r="G8" s="9">
        <v>-800</v>
      </c>
      <c r="H8" s="9">
        <v>-1000</v>
      </c>
      <c r="I8" s="55">
        <v>0</v>
      </c>
      <c r="J8" s="21">
        <f t="shared" si="5"/>
        <v>49200</v>
      </c>
      <c r="K8" s="8" t="s">
        <v>146</v>
      </c>
      <c r="L8" s="9">
        <v>-800</v>
      </c>
      <c r="M8" s="9"/>
      <c r="N8" s="55">
        <v>0</v>
      </c>
      <c r="O8" s="21">
        <f t="shared" si="6"/>
        <v>11600</v>
      </c>
      <c r="P8" s="8" t="s">
        <v>145</v>
      </c>
      <c r="Q8" s="9">
        <v>1600</v>
      </c>
      <c r="R8" s="9">
        <v>1000</v>
      </c>
      <c r="S8" s="55">
        <v>0</v>
      </c>
      <c r="T8" s="21">
        <f t="shared" si="7"/>
        <v>44200</v>
      </c>
      <c r="U8" s="60">
        <f t="shared" si="0"/>
        <v>14.2</v>
      </c>
      <c r="V8" s="61">
        <f t="shared" si="1"/>
        <v>-23.4</v>
      </c>
      <c r="W8" s="62">
        <f t="shared" si="2"/>
        <v>9.1999999999999993</v>
      </c>
      <c r="Y8" s="8"/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>
        <v>1</v>
      </c>
      <c r="BT8" s="36">
        <v>30</v>
      </c>
      <c r="BU8" s="47" t="s">
        <v>87</v>
      </c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8"/>
        <v>2</v>
      </c>
      <c r="C9" s="18">
        <f t="shared" si="9"/>
        <v>1</v>
      </c>
      <c r="D9" s="18">
        <f t="shared" si="4"/>
        <v>0</v>
      </c>
      <c r="E9" s="4" t="s">
        <v>139</v>
      </c>
      <c r="F9" s="8"/>
      <c r="G9" s="9"/>
      <c r="H9" s="9"/>
      <c r="I9" s="55"/>
      <c r="J9" s="21">
        <f t="shared" si="5"/>
        <v>49200</v>
      </c>
      <c r="K9" s="8" t="s">
        <v>142</v>
      </c>
      <c r="L9" s="9">
        <v>2600</v>
      </c>
      <c r="M9" s="9">
        <v>1000</v>
      </c>
      <c r="N9" s="55">
        <v>1000</v>
      </c>
      <c r="O9" s="21">
        <f t="shared" si="6"/>
        <v>16200</v>
      </c>
      <c r="P9" s="8" t="s">
        <v>141</v>
      </c>
      <c r="Q9" s="9">
        <v>-2600</v>
      </c>
      <c r="R9" s="9">
        <v>-1000</v>
      </c>
      <c r="S9" s="55">
        <v>-1000</v>
      </c>
      <c r="T9" s="21">
        <f t="shared" si="7"/>
        <v>39600</v>
      </c>
      <c r="U9" s="60">
        <f t="shared" si="0"/>
        <v>14.2</v>
      </c>
      <c r="V9" s="61">
        <f t="shared" si="1"/>
        <v>-18.8</v>
      </c>
      <c r="W9" s="62">
        <f t="shared" si="2"/>
        <v>4.5999999999999996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>
        <v>2</v>
      </c>
      <c r="AY9" s="36">
        <v>40</v>
      </c>
      <c r="AZ9" s="47" t="s">
        <v>85</v>
      </c>
      <c r="BA9" s="48" t="s">
        <v>82</v>
      </c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8"/>
        <v>3</v>
      </c>
      <c r="C10" s="18">
        <f t="shared" si="9"/>
        <v>0</v>
      </c>
      <c r="D10" s="18">
        <f t="shared" si="4"/>
        <v>0</v>
      </c>
      <c r="E10" s="4" t="s">
        <v>135</v>
      </c>
      <c r="F10" s="8" t="s">
        <v>146</v>
      </c>
      <c r="G10" s="9">
        <v>-5000</v>
      </c>
      <c r="H10" s="9">
        <v>-1000</v>
      </c>
      <c r="I10" s="55">
        <v>0</v>
      </c>
      <c r="J10" s="21">
        <f t="shared" si="5"/>
        <v>43200</v>
      </c>
      <c r="K10" s="8" t="s">
        <v>146</v>
      </c>
      <c r="L10" s="9">
        <v>-3000</v>
      </c>
      <c r="M10" s="9"/>
      <c r="N10" s="55">
        <v>0</v>
      </c>
      <c r="O10" s="21">
        <f t="shared" si="6"/>
        <v>13200</v>
      </c>
      <c r="P10" s="8" t="s">
        <v>145</v>
      </c>
      <c r="Q10" s="9">
        <v>8000</v>
      </c>
      <c r="R10" s="9">
        <v>1000</v>
      </c>
      <c r="S10" s="55">
        <v>0</v>
      </c>
      <c r="T10" s="21">
        <f t="shared" si="7"/>
        <v>48600</v>
      </c>
      <c r="U10" s="60">
        <f t="shared" si="0"/>
        <v>8.1999999999999993</v>
      </c>
      <c r="V10" s="61">
        <f t="shared" si="1"/>
        <v>-21.8</v>
      </c>
      <c r="W10" s="62">
        <f t="shared" si="2"/>
        <v>13.6</v>
      </c>
      <c r="Y10" s="8"/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4</v>
      </c>
      <c r="BT10" s="36">
        <v>30</v>
      </c>
      <c r="BU10" s="47" t="s">
        <v>144</v>
      </c>
      <c r="BV10" s="48" t="s">
        <v>83</v>
      </c>
      <c r="BW10" s="48" t="s">
        <v>82</v>
      </c>
      <c r="BX10" s="48" t="s">
        <v>81</v>
      </c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4" priority="5">
      <formula>IF(G4&lt;&gt;"",SUM($G4:$I4,$L4:$N4,$Q4:$S4)-$D4*1000+$D5*1000)</formula>
    </cfRule>
  </conditionalFormatting>
  <conditionalFormatting sqref="F1:G1 I1:L1 S1:T1 N1:Q1">
    <cfRule type="duplicateValues" dxfId="43" priority="4"/>
  </conditionalFormatting>
  <conditionalFormatting sqref="H1">
    <cfRule type="duplicateValues" dxfId="42" priority="3"/>
  </conditionalFormatting>
  <conditionalFormatting sqref="R1">
    <cfRule type="duplicateValues" dxfId="41" priority="2"/>
  </conditionalFormatting>
  <conditionalFormatting sqref="M1">
    <cfRule type="duplicateValues" dxfId="4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4B7EB-DD69-44E2-B0DC-501E720A97B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やがさき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ただ</v>
      </c>
      <c r="W2" s="16" t="str">
        <f>$P$1</f>
        <v>やがさき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145</v>
      </c>
      <c r="G4" s="9">
        <v>16000</v>
      </c>
      <c r="H4" s="9">
        <v>1000</v>
      </c>
      <c r="I4" s="55">
        <v>0</v>
      </c>
      <c r="J4" s="21">
        <f>IF(COUNTA($F4,$K4,$P4)&gt;0,J3+SUM(G4:I4),"")</f>
        <v>52000</v>
      </c>
      <c r="K4" s="8" t="s">
        <v>146</v>
      </c>
      <c r="L4" s="9">
        <v>-6000</v>
      </c>
      <c r="M4" s="9">
        <v>-1000</v>
      </c>
      <c r="N4" s="55">
        <v>0</v>
      </c>
      <c r="O4" s="21">
        <f>IF(COUNTA($F4,$K4,$P4)&gt;0,O3+SUM(L4:N4),"")</f>
        <v>28000</v>
      </c>
      <c r="P4" s="8" t="s">
        <v>146</v>
      </c>
      <c r="Q4" s="9">
        <v>-10000</v>
      </c>
      <c r="R4" s="9"/>
      <c r="S4" s="55">
        <v>0</v>
      </c>
      <c r="T4" s="21">
        <f>IF(COUNTA($F4,$K4,$P4)&gt;0,T3+SUM(Q4:S4),"")</f>
        <v>25000</v>
      </c>
      <c r="U4" s="60">
        <f t="shared" ref="U4:U30" si="0">IF($J4="","",ROUND(($J4-$J$3)/1000,1))</f>
        <v>17</v>
      </c>
      <c r="V4" s="61">
        <f t="shared" ref="V4:V30" si="1">IF($O4="","",ROUND(($O4-$O$3)/1000,1))</f>
        <v>-7</v>
      </c>
      <c r="W4" s="62">
        <f t="shared" ref="W4:W30" si="2">IF($T4="","",ROUND(($T4-$T$3)/1000,1))</f>
        <v>-10</v>
      </c>
      <c r="Y4" s="8"/>
      <c r="Z4" s="41"/>
      <c r="AA4" s="32">
        <v>1</v>
      </c>
      <c r="AB4" s="32"/>
      <c r="AC4" s="32">
        <v>9</v>
      </c>
      <c r="AD4" s="36" t="s">
        <v>143</v>
      </c>
      <c r="AE4" s="47" t="s">
        <v>144</v>
      </c>
      <c r="AF4" s="48" t="s">
        <v>83</v>
      </c>
      <c r="AG4" s="48" t="s">
        <v>147</v>
      </c>
      <c r="AH4" s="48" t="s">
        <v>80</v>
      </c>
      <c r="AI4" s="48" t="s">
        <v>80</v>
      </c>
      <c r="AJ4" s="48" t="s">
        <v>81</v>
      </c>
      <c r="AK4" s="48" t="s">
        <v>81</v>
      </c>
      <c r="AL4" s="48" t="s">
        <v>82</v>
      </c>
      <c r="AM4" s="48" t="s">
        <v>82</v>
      </c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135</v>
      </c>
      <c r="F5" s="8" t="s">
        <v>142</v>
      </c>
      <c r="G5" s="9">
        <v>12000</v>
      </c>
      <c r="H5" s="9">
        <v>1000</v>
      </c>
      <c r="I5" s="55">
        <v>0</v>
      </c>
      <c r="J5" s="21">
        <f t="shared" ref="J5:J30" si="5">IF(COUNTA($F5,$K5,$P5)&gt;0,J4+SUM(G5:I5),"")</f>
        <v>65000</v>
      </c>
      <c r="K5" s="8" t="s">
        <v>141</v>
      </c>
      <c r="L5" s="9">
        <v>-12000</v>
      </c>
      <c r="M5" s="9">
        <v>-1000</v>
      </c>
      <c r="N5" s="55">
        <v>0</v>
      </c>
      <c r="O5" s="21">
        <f t="shared" ref="O5:O30" si="6">IF(COUNTA($F5,$K5,$P5)&gt;0,O4+SUM(L5:N5),"")</f>
        <v>15000</v>
      </c>
      <c r="P5" s="8"/>
      <c r="Q5" s="9"/>
      <c r="R5" s="9"/>
      <c r="S5" s="55"/>
      <c r="T5" s="21">
        <f t="shared" ref="T5:T30" si="7">IF(COUNTA($F5,$K5,$P5)&gt;0,T4+SUM(Q5:S5),"")</f>
        <v>25000</v>
      </c>
      <c r="U5" s="60">
        <f t="shared" si="0"/>
        <v>30</v>
      </c>
      <c r="V5" s="61">
        <f t="shared" si="1"/>
        <v>-20</v>
      </c>
      <c r="W5" s="62">
        <f t="shared" si="2"/>
        <v>-10</v>
      </c>
      <c r="Y5" s="8"/>
      <c r="Z5" s="41"/>
      <c r="AA5" s="32"/>
      <c r="AB5" s="32"/>
      <c r="AC5" s="32">
        <v>4</v>
      </c>
      <c r="AD5" s="36">
        <v>40</v>
      </c>
      <c r="AE5" s="47" t="s">
        <v>80</v>
      </c>
      <c r="AF5" s="48" t="s">
        <v>82</v>
      </c>
      <c r="AG5" s="48" t="s">
        <v>82</v>
      </c>
      <c r="AH5" s="48" t="s">
        <v>86</v>
      </c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0</v>
      </c>
      <c r="E6" s="4" t="s">
        <v>135</v>
      </c>
      <c r="F6" s="8"/>
      <c r="G6" s="9"/>
      <c r="H6" s="9"/>
      <c r="I6" s="55"/>
      <c r="J6" s="21">
        <f t="shared" si="5"/>
        <v>65000</v>
      </c>
      <c r="K6" s="8" t="s">
        <v>141</v>
      </c>
      <c r="L6" s="9">
        <v>-3900</v>
      </c>
      <c r="M6" s="9"/>
      <c r="N6" s="55">
        <v>-1000</v>
      </c>
      <c r="O6" s="21">
        <f t="shared" si="6"/>
        <v>10100</v>
      </c>
      <c r="P6" s="8" t="s">
        <v>142</v>
      </c>
      <c r="Q6" s="9">
        <v>3900</v>
      </c>
      <c r="R6" s="9"/>
      <c r="S6" s="55">
        <v>1000</v>
      </c>
      <c r="T6" s="21">
        <f t="shared" si="7"/>
        <v>29900</v>
      </c>
      <c r="U6" s="60">
        <f t="shared" si="0"/>
        <v>30</v>
      </c>
      <c r="V6" s="61">
        <f t="shared" si="1"/>
        <v>-24.9</v>
      </c>
      <c r="W6" s="62">
        <f t="shared" si="2"/>
        <v>-5.0999999999999996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3</v>
      </c>
      <c r="BT6" s="36">
        <v>30</v>
      </c>
      <c r="BU6" s="47" t="s">
        <v>144</v>
      </c>
      <c r="BV6" s="48" t="s">
        <v>84</v>
      </c>
      <c r="BW6" s="48" t="s">
        <v>82</v>
      </c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">
        <v>137</v>
      </c>
      <c r="F7" s="8" t="s">
        <v>150</v>
      </c>
      <c r="G7" s="9">
        <v>3000</v>
      </c>
      <c r="H7" s="9"/>
      <c r="I7" s="55"/>
      <c r="J7" s="21">
        <f t="shared" si="5"/>
        <v>68000</v>
      </c>
      <c r="K7" s="8" t="s">
        <v>150</v>
      </c>
      <c r="L7" s="9">
        <v>-1500</v>
      </c>
      <c r="M7" s="9"/>
      <c r="N7" s="55"/>
      <c r="O7" s="21">
        <f t="shared" si="6"/>
        <v>8600</v>
      </c>
      <c r="P7" s="8" t="s">
        <v>150</v>
      </c>
      <c r="Q7" s="9">
        <v>-1500</v>
      </c>
      <c r="R7" s="9"/>
      <c r="S7" s="55"/>
      <c r="T7" s="21">
        <f t="shared" si="7"/>
        <v>28400</v>
      </c>
      <c r="U7" s="60">
        <f t="shared" si="0"/>
        <v>33</v>
      </c>
      <c r="V7" s="61">
        <f t="shared" si="1"/>
        <v>-26.4</v>
      </c>
      <c r="W7" s="62">
        <f t="shared" si="2"/>
        <v>-6.6</v>
      </c>
      <c r="Y7" s="8" t="s">
        <v>148</v>
      </c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149</v>
      </c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149</v>
      </c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1</v>
      </c>
      <c r="D8" s="18">
        <f t="shared" si="4"/>
        <v>0</v>
      </c>
      <c r="E8" s="4" t="s">
        <v>139</v>
      </c>
      <c r="F8" s="8" t="s">
        <v>141</v>
      </c>
      <c r="G8" s="9">
        <v>-12000</v>
      </c>
      <c r="H8" s="9"/>
      <c r="I8" s="55">
        <v>-1000</v>
      </c>
      <c r="J8" s="21">
        <f t="shared" si="5"/>
        <v>55000</v>
      </c>
      <c r="K8" s="8" t="s">
        <v>142</v>
      </c>
      <c r="L8" s="9">
        <v>12000</v>
      </c>
      <c r="M8" s="9"/>
      <c r="N8" s="55">
        <v>1000</v>
      </c>
      <c r="O8" s="21">
        <f t="shared" si="6"/>
        <v>21600</v>
      </c>
      <c r="P8" s="8"/>
      <c r="Q8" s="9"/>
      <c r="R8" s="9"/>
      <c r="S8" s="55"/>
      <c r="T8" s="21">
        <f t="shared" si="7"/>
        <v>28400</v>
      </c>
      <c r="U8" s="60">
        <f t="shared" si="0"/>
        <v>20</v>
      </c>
      <c r="V8" s="61">
        <f t="shared" si="1"/>
        <v>-13.4</v>
      </c>
      <c r="W8" s="62">
        <f t="shared" si="2"/>
        <v>-6.6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>
        <v>6</v>
      </c>
      <c r="AY8" s="36" t="s">
        <v>143</v>
      </c>
      <c r="AZ8" s="47" t="s">
        <v>105</v>
      </c>
      <c r="BA8" s="48" t="s">
        <v>102</v>
      </c>
      <c r="BB8" s="48" t="s">
        <v>82</v>
      </c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2</v>
      </c>
      <c r="C9" s="18">
        <f t="shared" si="9"/>
        <v>0</v>
      </c>
      <c r="D9" s="18">
        <f t="shared" si="4"/>
        <v>0</v>
      </c>
      <c r="E9" s="4" t="s">
        <v>135</v>
      </c>
      <c r="F9" s="8" t="s">
        <v>146</v>
      </c>
      <c r="G9" s="9">
        <v>-7500</v>
      </c>
      <c r="H9" s="9"/>
      <c r="I9" s="55">
        <v>0</v>
      </c>
      <c r="J9" s="21">
        <f t="shared" si="5"/>
        <v>47500</v>
      </c>
      <c r="K9" s="8" t="s">
        <v>145</v>
      </c>
      <c r="L9" s="9">
        <v>12000</v>
      </c>
      <c r="M9" s="9"/>
      <c r="N9" s="55">
        <v>0</v>
      </c>
      <c r="O9" s="21">
        <f t="shared" si="6"/>
        <v>33600</v>
      </c>
      <c r="P9" s="8" t="s">
        <v>146</v>
      </c>
      <c r="Q9" s="9">
        <v>-4500</v>
      </c>
      <c r="R9" s="9"/>
      <c r="S9" s="55">
        <v>0</v>
      </c>
      <c r="T9" s="21">
        <f t="shared" si="7"/>
        <v>23900</v>
      </c>
      <c r="U9" s="60">
        <f t="shared" si="0"/>
        <v>12.5</v>
      </c>
      <c r="V9" s="61">
        <f t="shared" si="1"/>
        <v>-1.4</v>
      </c>
      <c r="W9" s="62">
        <f t="shared" si="2"/>
        <v>-11.1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7</v>
      </c>
      <c r="AY9" s="36" t="s">
        <v>143</v>
      </c>
      <c r="AZ9" s="47" t="s">
        <v>144</v>
      </c>
      <c r="BA9" s="48" t="s">
        <v>83</v>
      </c>
      <c r="BB9" s="48" t="s">
        <v>85</v>
      </c>
      <c r="BC9" s="48" t="s">
        <v>82</v>
      </c>
      <c r="BD9" s="48" t="s">
        <v>82</v>
      </c>
      <c r="BE9" s="48" t="s">
        <v>82</v>
      </c>
      <c r="BF9" s="48" t="s">
        <v>80</v>
      </c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3</v>
      </c>
      <c r="C10" s="18">
        <f t="shared" si="9"/>
        <v>0</v>
      </c>
      <c r="D10" s="18">
        <f t="shared" si="4"/>
        <v>0</v>
      </c>
      <c r="E10" s="4" t="s">
        <v>137</v>
      </c>
      <c r="F10" s="8" t="s">
        <v>150</v>
      </c>
      <c r="G10" s="9">
        <v>-3000</v>
      </c>
      <c r="H10" s="9"/>
      <c r="I10" s="55"/>
      <c r="J10" s="21">
        <f t="shared" si="5"/>
        <v>44500</v>
      </c>
      <c r="K10" s="8" t="s">
        <v>150</v>
      </c>
      <c r="L10" s="9">
        <v>1500</v>
      </c>
      <c r="M10" s="9">
        <v>-1000</v>
      </c>
      <c r="N10" s="55"/>
      <c r="O10" s="21">
        <f t="shared" si="6"/>
        <v>34100</v>
      </c>
      <c r="P10" s="8" t="s">
        <v>150</v>
      </c>
      <c r="Q10" s="9">
        <v>1500</v>
      </c>
      <c r="R10" s="9">
        <v>-1000</v>
      </c>
      <c r="S10" s="55"/>
      <c r="T10" s="21">
        <f t="shared" si="7"/>
        <v>24400</v>
      </c>
      <c r="U10" s="60">
        <f t="shared" si="0"/>
        <v>9.5</v>
      </c>
      <c r="V10" s="61">
        <f t="shared" si="1"/>
        <v>-0.9</v>
      </c>
      <c r="W10" s="62">
        <f t="shared" si="2"/>
        <v>-10.6</v>
      </c>
      <c r="Y10" s="8" t="s">
        <v>149</v>
      </c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148</v>
      </c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148</v>
      </c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1</v>
      </c>
      <c r="D11" s="18">
        <f t="shared" si="4"/>
        <v>2</v>
      </c>
      <c r="E11" s="4" t="s">
        <v>137</v>
      </c>
      <c r="F11" s="8" t="s">
        <v>150</v>
      </c>
      <c r="G11" s="9">
        <v>-1500</v>
      </c>
      <c r="H11" s="9"/>
      <c r="I11" s="55"/>
      <c r="J11" s="21">
        <f t="shared" si="5"/>
        <v>43000</v>
      </c>
      <c r="K11" s="8" t="s">
        <v>150</v>
      </c>
      <c r="L11" s="9">
        <v>3000</v>
      </c>
      <c r="M11" s="9"/>
      <c r="N11" s="55"/>
      <c r="O11" s="21">
        <f t="shared" si="6"/>
        <v>37100</v>
      </c>
      <c r="P11" s="8" t="s">
        <v>150</v>
      </c>
      <c r="Q11" s="9">
        <v>-1500</v>
      </c>
      <c r="R11" s="9"/>
      <c r="S11" s="55"/>
      <c r="T11" s="21">
        <f t="shared" si="7"/>
        <v>22900</v>
      </c>
      <c r="U11" s="60">
        <f t="shared" si="0"/>
        <v>8</v>
      </c>
      <c r="V11" s="61">
        <f t="shared" si="1"/>
        <v>2.1</v>
      </c>
      <c r="W11" s="62">
        <f t="shared" si="2"/>
        <v>-12.1</v>
      </c>
      <c r="Y11" s="8" t="s">
        <v>149</v>
      </c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 t="s">
        <v>148</v>
      </c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 t="s">
        <v>149</v>
      </c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8"/>
        <v>3</v>
      </c>
      <c r="C12" s="18">
        <f t="shared" si="9"/>
        <v>2</v>
      </c>
      <c r="D12" s="18">
        <f t="shared" si="4"/>
        <v>2</v>
      </c>
      <c r="E12" s="4" t="s">
        <v>137</v>
      </c>
      <c r="F12" s="8" t="s">
        <v>142</v>
      </c>
      <c r="G12" s="9">
        <v>1000</v>
      </c>
      <c r="H12" s="9">
        <v>2000</v>
      </c>
      <c r="I12" s="55">
        <v>2000</v>
      </c>
      <c r="J12" s="21">
        <f t="shared" si="5"/>
        <v>48000</v>
      </c>
      <c r="K12" s="8"/>
      <c r="L12" s="9"/>
      <c r="M12" s="9"/>
      <c r="N12" s="55"/>
      <c r="O12" s="21">
        <f t="shared" si="6"/>
        <v>37100</v>
      </c>
      <c r="P12" s="8" t="s">
        <v>141</v>
      </c>
      <c r="Q12" s="9">
        <v>-1000</v>
      </c>
      <c r="R12" s="9"/>
      <c r="S12" s="55">
        <v>-2000</v>
      </c>
      <c r="T12" s="21">
        <f t="shared" si="7"/>
        <v>19900</v>
      </c>
      <c r="U12" s="60">
        <f t="shared" si="0"/>
        <v>13</v>
      </c>
      <c r="V12" s="61">
        <f t="shared" si="1"/>
        <v>2.1</v>
      </c>
      <c r="W12" s="62">
        <f t="shared" si="2"/>
        <v>-15.1</v>
      </c>
      <c r="Y12" s="8"/>
      <c r="Z12" s="41"/>
      <c r="AA12" s="32"/>
      <c r="AB12" s="32">
        <v>1</v>
      </c>
      <c r="AC12" s="32">
        <v>1</v>
      </c>
      <c r="AD12" s="36">
        <v>30</v>
      </c>
      <c r="AE12" s="47" t="s">
        <v>94</v>
      </c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2">
    <dataValidation type="list" allowBlank="1" showInputMessage="1" showErrorMessage="1" sqref="E4:E30" xr:uid="{713DAC45-E61B-4508-B0D4-5B450FB55D18}">
      <formula1>$U$2:$W$2</formula1>
    </dataValidation>
    <dataValidation type="list" showInputMessage="1" showErrorMessage="1" sqref="K4:K30 P4:P30 F4:F30" xr:uid="{98D906A5-6031-4D51-AA63-0654678706D9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FAE4D-9ABC-4871-860F-9985FBE642B0}">
  <sheetPr codeName="Sheet11">
    <pageSetUpPr fitToPage="1"/>
  </sheetPr>
  <dimension ref="A1:CI30"/>
  <sheetViews>
    <sheetView zoomScaleNormal="100" workbookViewId="0">
      <selection activeCell="G15" sqref="G15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152</v>
      </c>
      <c r="G1" s="80"/>
      <c r="H1" s="80"/>
      <c r="I1" s="89"/>
      <c r="J1" s="81"/>
      <c r="K1" s="78" t="s">
        <v>154</v>
      </c>
      <c r="L1" s="80"/>
      <c r="M1" s="80"/>
      <c r="N1" s="89"/>
      <c r="O1" s="81"/>
      <c r="P1" s="78" t="s">
        <v>156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りくと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たかの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たかの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153</v>
      </c>
      <c r="F4" s="8" t="s">
        <v>141</v>
      </c>
      <c r="G4" s="9">
        <v>-12000</v>
      </c>
      <c r="H4" s="9"/>
      <c r="I4" s="55">
        <v>0</v>
      </c>
      <c r="J4" s="21">
        <f>IF(COUNTA($F4,$K4,$P4)&gt;0,J3+SUM(G4:I4),"")</f>
        <v>23000</v>
      </c>
      <c r="K4" s="8" t="s">
        <v>142</v>
      </c>
      <c r="L4" s="9">
        <v>12000</v>
      </c>
      <c r="M4" s="9"/>
      <c r="N4" s="55">
        <v>0</v>
      </c>
      <c r="O4" s="21">
        <f>IF(COUNTA($F4,$K4,$P4)&gt;0,O3+SUM(L4:N4),"")</f>
        <v>47000</v>
      </c>
      <c r="P4" s="8"/>
      <c r="Q4" s="9"/>
      <c r="R4" s="9"/>
      <c r="S4" s="55"/>
      <c r="T4" s="21">
        <f>IF(COUNTA($F4,$K4,$P4)&gt;0,T3+SUM(Q4:S4),"")</f>
        <v>35000</v>
      </c>
      <c r="U4" s="60">
        <f t="shared" ref="U4:U30" si="0">IF($J4="","",ROUND(($J4-$J$3)/1000,1))</f>
        <v>-12</v>
      </c>
      <c r="V4" s="61">
        <f t="shared" ref="V4:V30" si="1">IF($O4="","",ROUND(($O4-$O$3)/1000,1))</f>
        <v>12</v>
      </c>
      <c r="W4" s="62">
        <f t="shared" ref="W4:W30" si="2">IF($T4="","",ROUND(($T4-$T$3)/1000,1))</f>
        <v>0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4</v>
      </c>
      <c r="AY4" s="36">
        <v>40</v>
      </c>
      <c r="AZ4" s="47" t="s">
        <v>144</v>
      </c>
      <c r="BA4" s="48" t="s">
        <v>87</v>
      </c>
      <c r="BB4" s="48" t="s">
        <v>80</v>
      </c>
      <c r="BC4" s="48" t="s">
        <v>80</v>
      </c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">
        <v>153</v>
      </c>
      <c r="F5" s="8"/>
      <c r="G5" s="9"/>
      <c r="H5" s="9"/>
      <c r="I5" s="55"/>
      <c r="J5" s="21">
        <f t="shared" ref="J5:J30" si="5">IF(COUNTA($F5,$K5,$P5)&gt;0,J4+SUM(G5:I5),"")</f>
        <v>23000</v>
      </c>
      <c r="K5" s="8" t="s">
        <v>141</v>
      </c>
      <c r="L5" s="9">
        <v>-12000</v>
      </c>
      <c r="M5" s="9"/>
      <c r="N5" s="55">
        <v>-1000</v>
      </c>
      <c r="O5" s="21">
        <f t="shared" ref="O5:O30" si="6">IF(COUNTA($F5,$K5,$P5)&gt;0,O4+SUM(L5:N5),"")</f>
        <v>34000</v>
      </c>
      <c r="P5" s="8" t="s">
        <v>142</v>
      </c>
      <c r="Q5" s="9">
        <v>12000</v>
      </c>
      <c r="R5" s="9"/>
      <c r="S5" s="55">
        <v>1000</v>
      </c>
      <c r="T5" s="21">
        <f t="shared" ref="T5:T30" si="7">IF(COUNTA($F5,$K5,$P5)&gt;0,T4+SUM(Q5:S5),"")</f>
        <v>48000</v>
      </c>
      <c r="U5" s="60">
        <f t="shared" si="0"/>
        <v>-12</v>
      </c>
      <c r="V5" s="61">
        <f t="shared" si="1"/>
        <v>-1</v>
      </c>
      <c r="W5" s="62">
        <f t="shared" si="2"/>
        <v>13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>
        <v>6</v>
      </c>
      <c r="BT5" s="36" t="s">
        <v>143</v>
      </c>
      <c r="BU5" s="47" t="s">
        <v>87</v>
      </c>
      <c r="BV5" s="48" t="s">
        <v>87</v>
      </c>
      <c r="BW5" s="48" t="s">
        <v>82</v>
      </c>
      <c r="BX5" s="48" t="s">
        <v>105</v>
      </c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155</v>
      </c>
      <c r="F6" s="8" t="s">
        <v>141</v>
      </c>
      <c r="G6" s="9">
        <v>-1500</v>
      </c>
      <c r="H6" s="9"/>
      <c r="I6" s="55">
        <v>0</v>
      </c>
      <c r="J6" s="21">
        <f t="shared" si="5"/>
        <v>21500</v>
      </c>
      <c r="K6" s="8"/>
      <c r="L6" s="9"/>
      <c r="M6" s="9"/>
      <c r="N6" s="55"/>
      <c r="O6" s="21">
        <f t="shared" si="6"/>
        <v>34000</v>
      </c>
      <c r="P6" s="8" t="s">
        <v>142</v>
      </c>
      <c r="Q6" s="9">
        <v>1500</v>
      </c>
      <c r="R6" s="9"/>
      <c r="S6" s="55">
        <v>0</v>
      </c>
      <c r="T6" s="21">
        <f t="shared" si="7"/>
        <v>49500</v>
      </c>
      <c r="U6" s="60">
        <f t="shared" si="0"/>
        <v>-13.5</v>
      </c>
      <c r="V6" s="61">
        <f t="shared" si="1"/>
        <v>-1</v>
      </c>
      <c r="W6" s="62">
        <f t="shared" si="2"/>
        <v>14.5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1</v>
      </c>
      <c r="BT6" s="36">
        <v>30</v>
      </c>
      <c r="BU6" s="47" t="s">
        <v>87</v>
      </c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2</v>
      </c>
      <c r="C7" s="18">
        <f t="shared" si="9"/>
        <v>1</v>
      </c>
      <c r="D7" s="18">
        <f t="shared" si="4"/>
        <v>0</v>
      </c>
      <c r="E7" s="4" t="s">
        <v>155</v>
      </c>
      <c r="F7" s="8" t="s">
        <v>142</v>
      </c>
      <c r="G7" s="9">
        <v>1300</v>
      </c>
      <c r="H7" s="9"/>
      <c r="I7" s="55">
        <v>1000</v>
      </c>
      <c r="J7" s="21">
        <f t="shared" si="5"/>
        <v>23800</v>
      </c>
      <c r="K7" s="8"/>
      <c r="L7" s="9"/>
      <c r="M7" s="9"/>
      <c r="N7" s="55"/>
      <c r="O7" s="21">
        <f t="shared" si="6"/>
        <v>34000</v>
      </c>
      <c r="P7" s="8" t="s">
        <v>141</v>
      </c>
      <c r="Q7" s="9">
        <v>-1300</v>
      </c>
      <c r="R7" s="9"/>
      <c r="S7" s="55">
        <v>-1000</v>
      </c>
      <c r="T7" s="21">
        <f t="shared" si="7"/>
        <v>47200</v>
      </c>
      <c r="U7" s="60">
        <f t="shared" si="0"/>
        <v>-11.2</v>
      </c>
      <c r="V7" s="61">
        <f t="shared" si="1"/>
        <v>-1</v>
      </c>
      <c r="W7" s="62">
        <f t="shared" si="2"/>
        <v>12.2</v>
      </c>
      <c r="Y7" s="8"/>
      <c r="Z7" s="41"/>
      <c r="AA7" s="32">
        <v>1</v>
      </c>
      <c r="AB7" s="32"/>
      <c r="AC7" s="32">
        <v>1</v>
      </c>
      <c r="AD7" s="36">
        <v>40</v>
      </c>
      <c r="AE7" s="47" t="s">
        <v>144</v>
      </c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0</v>
      </c>
      <c r="D8" s="18">
        <f t="shared" si="4"/>
        <v>0</v>
      </c>
      <c r="E8" s="4" t="s">
        <v>151</v>
      </c>
      <c r="F8" s="8" t="s">
        <v>141</v>
      </c>
      <c r="G8" s="9">
        <v>-2000</v>
      </c>
      <c r="H8" s="9"/>
      <c r="I8" s="55">
        <v>0</v>
      </c>
      <c r="J8" s="21">
        <f t="shared" si="5"/>
        <v>21800</v>
      </c>
      <c r="K8" s="8"/>
      <c r="L8" s="9"/>
      <c r="M8" s="9"/>
      <c r="N8" s="55"/>
      <c r="O8" s="21">
        <f t="shared" si="6"/>
        <v>34000</v>
      </c>
      <c r="P8" s="8" t="s">
        <v>142</v>
      </c>
      <c r="Q8" s="9">
        <v>2000</v>
      </c>
      <c r="R8" s="9"/>
      <c r="S8" s="55">
        <v>0</v>
      </c>
      <c r="T8" s="21">
        <f t="shared" si="7"/>
        <v>49200</v>
      </c>
      <c r="U8" s="60">
        <f t="shared" si="0"/>
        <v>-13.2</v>
      </c>
      <c r="V8" s="61">
        <f t="shared" si="1"/>
        <v>-1</v>
      </c>
      <c r="W8" s="62">
        <f t="shared" si="2"/>
        <v>14.2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>
        <v>2</v>
      </c>
      <c r="BT8" s="36">
        <v>30</v>
      </c>
      <c r="BU8" s="47" t="s">
        <v>87</v>
      </c>
      <c r="BV8" s="48" t="s">
        <v>82</v>
      </c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0</v>
      </c>
      <c r="D9" s="18">
        <f t="shared" si="4"/>
        <v>0</v>
      </c>
      <c r="E9" s="4" t="s">
        <v>153</v>
      </c>
      <c r="F9" s="8" t="s">
        <v>146</v>
      </c>
      <c r="G9" s="9">
        <v>-6000</v>
      </c>
      <c r="H9" s="9"/>
      <c r="I9" s="55">
        <v>0</v>
      </c>
      <c r="J9" s="21">
        <f t="shared" si="5"/>
        <v>15800</v>
      </c>
      <c r="K9" s="8" t="s">
        <v>145</v>
      </c>
      <c r="L9" s="9">
        <v>12000</v>
      </c>
      <c r="M9" s="9"/>
      <c r="N9" s="55">
        <v>0</v>
      </c>
      <c r="O9" s="21">
        <f t="shared" si="6"/>
        <v>46000</v>
      </c>
      <c r="P9" s="8" t="s">
        <v>146</v>
      </c>
      <c r="Q9" s="9">
        <v>-6000</v>
      </c>
      <c r="R9" s="9"/>
      <c r="S9" s="55">
        <v>0</v>
      </c>
      <c r="T9" s="21">
        <f t="shared" si="7"/>
        <v>43200</v>
      </c>
      <c r="U9" s="60">
        <f t="shared" si="0"/>
        <v>-19.2</v>
      </c>
      <c r="V9" s="61">
        <f t="shared" si="1"/>
        <v>11</v>
      </c>
      <c r="W9" s="62">
        <f t="shared" si="2"/>
        <v>8.1999999999999993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4</v>
      </c>
      <c r="AY9" s="36">
        <v>30</v>
      </c>
      <c r="AZ9" s="47" t="s">
        <v>144</v>
      </c>
      <c r="BA9" s="48" t="s">
        <v>83</v>
      </c>
      <c r="BB9" s="48" t="s">
        <v>147</v>
      </c>
      <c r="BC9" s="48" t="s">
        <v>85</v>
      </c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1</v>
      </c>
      <c r="C10" s="18">
        <f t="shared" si="9"/>
        <v>1</v>
      </c>
      <c r="D10" s="18">
        <f t="shared" si="4"/>
        <v>0</v>
      </c>
      <c r="E10" s="4" t="s">
        <v>153</v>
      </c>
      <c r="F10" s="8"/>
      <c r="G10" s="9"/>
      <c r="H10" s="9"/>
      <c r="I10" s="55"/>
      <c r="J10" s="21">
        <f t="shared" si="5"/>
        <v>15800</v>
      </c>
      <c r="K10" s="8" t="s">
        <v>141</v>
      </c>
      <c r="L10" s="9">
        <v>-5200</v>
      </c>
      <c r="M10" s="9">
        <v>-1000</v>
      </c>
      <c r="N10" s="55">
        <v>-1000</v>
      </c>
      <c r="O10" s="21">
        <f t="shared" si="6"/>
        <v>38800</v>
      </c>
      <c r="P10" s="8" t="s">
        <v>142</v>
      </c>
      <c r="Q10" s="9">
        <v>5200</v>
      </c>
      <c r="R10" s="9">
        <v>1000</v>
      </c>
      <c r="S10" s="55">
        <v>1000</v>
      </c>
      <c r="T10" s="21">
        <f t="shared" si="7"/>
        <v>50400</v>
      </c>
      <c r="U10" s="60">
        <f t="shared" si="0"/>
        <v>-19.2</v>
      </c>
      <c r="V10" s="61">
        <f t="shared" si="1"/>
        <v>3.8</v>
      </c>
      <c r="W10" s="62">
        <f t="shared" si="2"/>
        <v>15.4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3</v>
      </c>
      <c r="BT10" s="36">
        <v>40</v>
      </c>
      <c r="BU10" s="47" t="s">
        <v>144</v>
      </c>
      <c r="BV10" s="48" t="s">
        <v>80</v>
      </c>
      <c r="BW10" s="48" t="s">
        <v>80</v>
      </c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2</v>
      </c>
      <c r="C11" s="18">
        <f t="shared" si="9"/>
        <v>0</v>
      </c>
      <c r="D11" s="18">
        <f t="shared" si="4"/>
        <v>0</v>
      </c>
      <c r="E11" s="4" t="s">
        <v>155</v>
      </c>
      <c r="F11" s="8" t="s">
        <v>146</v>
      </c>
      <c r="G11" s="9">
        <v>-9000</v>
      </c>
      <c r="H11" s="9"/>
      <c r="I11" s="55">
        <v>0</v>
      </c>
      <c r="J11" s="21">
        <f t="shared" si="5"/>
        <v>6800</v>
      </c>
      <c r="K11" s="8" t="s">
        <v>146</v>
      </c>
      <c r="L11" s="9">
        <v>-9000</v>
      </c>
      <c r="M11" s="9"/>
      <c r="N11" s="55">
        <v>0</v>
      </c>
      <c r="O11" s="21">
        <f t="shared" si="6"/>
        <v>29800</v>
      </c>
      <c r="P11" s="8" t="s">
        <v>145</v>
      </c>
      <c r="Q11" s="9">
        <v>18000</v>
      </c>
      <c r="R11" s="9"/>
      <c r="S11" s="55">
        <v>0</v>
      </c>
      <c r="T11" s="21">
        <f t="shared" si="7"/>
        <v>68400</v>
      </c>
      <c r="U11" s="60">
        <f t="shared" si="0"/>
        <v>-28.2</v>
      </c>
      <c r="V11" s="61">
        <f t="shared" si="1"/>
        <v>-5.2</v>
      </c>
      <c r="W11" s="62">
        <f t="shared" si="2"/>
        <v>33.4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6</v>
      </c>
      <c r="BT11" s="36" t="s">
        <v>143</v>
      </c>
      <c r="BU11" s="47" t="s">
        <v>144</v>
      </c>
      <c r="BV11" s="48" t="s">
        <v>86</v>
      </c>
      <c r="BW11" s="48" t="s">
        <v>84</v>
      </c>
      <c r="BX11" s="48" t="s">
        <v>83</v>
      </c>
      <c r="BY11" s="48" t="s">
        <v>81</v>
      </c>
      <c r="BZ11" s="48" t="s">
        <v>82</v>
      </c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8"/>
        <v>2</v>
      </c>
      <c r="C12" s="18">
        <f t="shared" si="9"/>
        <v>1</v>
      </c>
      <c r="D12" s="18">
        <f t="shared" si="4"/>
        <v>0</v>
      </c>
      <c r="E12" s="4" t="s">
        <v>155</v>
      </c>
      <c r="F12" s="8" t="s">
        <v>141</v>
      </c>
      <c r="G12" s="9">
        <v>-2900</v>
      </c>
      <c r="H12" s="9"/>
      <c r="I12" s="55">
        <v>-1000</v>
      </c>
      <c r="J12" s="21">
        <f t="shared" si="5"/>
        <v>2900</v>
      </c>
      <c r="K12" s="8"/>
      <c r="L12" s="9"/>
      <c r="M12" s="9"/>
      <c r="N12" s="55"/>
      <c r="O12" s="21">
        <f t="shared" si="6"/>
        <v>29800</v>
      </c>
      <c r="P12" s="8" t="s">
        <v>142</v>
      </c>
      <c r="Q12" s="9">
        <v>2900</v>
      </c>
      <c r="R12" s="9"/>
      <c r="S12" s="55">
        <v>1000</v>
      </c>
      <c r="T12" s="21">
        <f t="shared" si="7"/>
        <v>72300</v>
      </c>
      <c r="U12" s="60">
        <f t="shared" si="0"/>
        <v>-32.1</v>
      </c>
      <c r="V12" s="61">
        <f t="shared" si="1"/>
        <v>-5.2</v>
      </c>
      <c r="W12" s="62">
        <f t="shared" si="2"/>
        <v>37.299999999999997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>
        <v>1</v>
      </c>
      <c r="BS12" s="32">
        <v>2</v>
      </c>
      <c r="BT12" s="36">
        <v>30</v>
      </c>
      <c r="BU12" s="47" t="s">
        <v>87</v>
      </c>
      <c r="BV12" s="48" t="s">
        <v>82</v>
      </c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8"/>
        <v>2</v>
      </c>
      <c r="C13" s="18">
        <f t="shared" si="9"/>
        <v>2</v>
      </c>
      <c r="D13" s="18">
        <f t="shared" si="4"/>
        <v>0</v>
      </c>
      <c r="E13" s="4" t="s">
        <v>155</v>
      </c>
      <c r="F13" s="8" t="s">
        <v>146</v>
      </c>
      <c r="G13" s="9">
        <v>-6000</v>
      </c>
      <c r="H13" s="9"/>
      <c r="I13" s="55">
        <v>-1000</v>
      </c>
      <c r="J13" s="21">
        <f t="shared" si="5"/>
        <v>-4100</v>
      </c>
      <c r="K13" s="8" t="s">
        <v>146</v>
      </c>
      <c r="L13" s="9">
        <v>-6000</v>
      </c>
      <c r="M13" s="9"/>
      <c r="N13" s="55">
        <v>-1000</v>
      </c>
      <c r="O13" s="21">
        <f t="shared" si="6"/>
        <v>22800</v>
      </c>
      <c r="P13" s="8" t="s">
        <v>145</v>
      </c>
      <c r="Q13" s="9">
        <v>12000</v>
      </c>
      <c r="R13" s="9"/>
      <c r="S13" s="55">
        <v>2000</v>
      </c>
      <c r="T13" s="21">
        <f t="shared" si="7"/>
        <v>86300</v>
      </c>
      <c r="U13" s="60">
        <f t="shared" si="0"/>
        <v>-39.1</v>
      </c>
      <c r="V13" s="61">
        <f t="shared" si="1"/>
        <v>-12.2</v>
      </c>
      <c r="W13" s="62">
        <f t="shared" si="2"/>
        <v>51.3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>
        <v>4</v>
      </c>
      <c r="BT13" s="36">
        <v>30</v>
      </c>
      <c r="BU13" s="47" t="s">
        <v>144</v>
      </c>
      <c r="BV13" s="48" t="s">
        <v>83</v>
      </c>
      <c r="BW13" s="48" t="s">
        <v>85</v>
      </c>
      <c r="BX13" s="48" t="s">
        <v>82</v>
      </c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2">
    <dataValidation type="list" showInputMessage="1" showErrorMessage="1" sqref="K4:K30 P4:P30 F4:F30" xr:uid="{FF493961-B085-45E8-BC1F-BF25CED5DFE2}">
      <formula1>"ロン,ツモ,放銃,ツモ支払,流局,チョンボ"</formula1>
    </dataValidation>
    <dataValidation type="list" allowBlank="1" showInputMessage="1" showErrorMessage="1" sqref="E4:E30" xr:uid="{39A42569-236F-4B5E-8FDE-E2B4C518690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5B37F-3A93-4ACE-9F04-F2873F98EE7E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152</v>
      </c>
      <c r="G1" s="80"/>
      <c r="H1" s="80"/>
      <c r="I1" s="89"/>
      <c r="J1" s="81"/>
      <c r="K1" s="78" t="s">
        <v>154</v>
      </c>
      <c r="L1" s="80"/>
      <c r="M1" s="80"/>
      <c r="N1" s="89"/>
      <c r="O1" s="81"/>
      <c r="P1" s="78" t="s">
        <v>156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りくと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たかの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りくと</v>
      </c>
      <c r="V2" s="77" t="str">
        <f>$K$1</f>
        <v>たかの</v>
      </c>
      <c r="W2" s="16" t="str">
        <f>$P$1</f>
        <v>れんたろう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153</v>
      </c>
      <c r="F4" s="8" t="s">
        <v>145</v>
      </c>
      <c r="G4" s="9">
        <v>2100</v>
      </c>
      <c r="H4" s="9"/>
      <c r="I4" s="55">
        <v>0</v>
      </c>
      <c r="J4" s="21">
        <f>IF(COUNTA($F4,$K4,$P4)&gt;0,J3+SUM(G4:I4),"")</f>
        <v>37100</v>
      </c>
      <c r="K4" s="8" t="s">
        <v>146</v>
      </c>
      <c r="L4" s="9">
        <v>-1300</v>
      </c>
      <c r="M4" s="9"/>
      <c r="N4" s="55">
        <v>0</v>
      </c>
      <c r="O4" s="21">
        <f>IF(COUNTA($F4,$K4,$P4)&gt;0,O3+SUM(L4:N4),"")</f>
        <v>33700</v>
      </c>
      <c r="P4" s="8" t="s">
        <v>146</v>
      </c>
      <c r="Q4" s="9">
        <v>-800</v>
      </c>
      <c r="R4" s="9"/>
      <c r="S4" s="55">
        <v>0</v>
      </c>
      <c r="T4" s="21">
        <f>IF(COUNTA($F4,$K4,$P4)&gt;0,T3+SUM(Q4:S4),"")</f>
        <v>34200</v>
      </c>
      <c r="U4" s="60">
        <f t="shared" ref="U4:U30" si="0">IF($J4="","",ROUND(($J4-$J$3)/1000,1))</f>
        <v>2.1</v>
      </c>
      <c r="V4" s="61">
        <f t="shared" ref="V4:V30" si="1">IF($O4="","",ROUND(($O4-$O$3)/1000,1))</f>
        <v>-1.3</v>
      </c>
      <c r="W4" s="62">
        <f t="shared" ref="W4:W30" si="2">IF($T4="","",ROUND(($T4-$T$3)/1000,1))</f>
        <v>-0.8</v>
      </c>
      <c r="Y4" s="8"/>
      <c r="Z4" s="41"/>
      <c r="AA4" s="32"/>
      <c r="AB4" s="32">
        <v>1</v>
      </c>
      <c r="AC4" s="32">
        <v>2</v>
      </c>
      <c r="AD4" s="36">
        <v>30</v>
      </c>
      <c r="AE4" s="47" t="s">
        <v>87</v>
      </c>
      <c r="AF4" s="48" t="s">
        <v>82</v>
      </c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155</v>
      </c>
      <c r="F5" s="8" t="s">
        <v>142</v>
      </c>
      <c r="G5" s="9">
        <v>12000</v>
      </c>
      <c r="H5" s="9"/>
      <c r="I5" s="55">
        <v>0</v>
      </c>
      <c r="J5" s="21">
        <f t="shared" ref="J5:J30" si="5">IF(COUNTA($F5,$K5,$P5)&gt;0,J4+SUM(G5:I5),"")</f>
        <v>49100</v>
      </c>
      <c r="K5" s="8"/>
      <c r="L5" s="9"/>
      <c r="M5" s="9"/>
      <c r="N5" s="55"/>
      <c r="O5" s="21">
        <f t="shared" ref="O5:O30" si="6">IF(COUNTA($F5,$K5,$P5)&gt;0,O4+SUM(L5:N5),"")</f>
        <v>33700</v>
      </c>
      <c r="P5" s="8" t="s">
        <v>141</v>
      </c>
      <c r="Q5" s="9">
        <v>-12000</v>
      </c>
      <c r="R5" s="9"/>
      <c r="S5" s="55">
        <v>0</v>
      </c>
      <c r="T5" s="21">
        <f t="shared" ref="T5:T30" si="7">IF(COUNTA($F5,$K5,$P5)&gt;0,T4+SUM(Q5:S5),"")</f>
        <v>22200</v>
      </c>
      <c r="U5" s="60">
        <f t="shared" si="0"/>
        <v>14.1</v>
      </c>
      <c r="V5" s="61">
        <f t="shared" si="1"/>
        <v>-1.3</v>
      </c>
      <c r="W5" s="62">
        <f t="shared" si="2"/>
        <v>-12.8</v>
      </c>
      <c r="Y5" s="8"/>
      <c r="Z5" s="41"/>
      <c r="AA5" s="32">
        <v>1</v>
      </c>
      <c r="AB5" s="32"/>
      <c r="AC5" s="32">
        <v>6</v>
      </c>
      <c r="AD5" s="36" t="s">
        <v>143</v>
      </c>
      <c r="AE5" s="47" t="s">
        <v>144</v>
      </c>
      <c r="AF5" s="48" t="s">
        <v>102</v>
      </c>
      <c r="AG5" s="48" t="s">
        <v>82</v>
      </c>
      <c r="AH5" s="48" t="s">
        <v>80</v>
      </c>
      <c r="AI5" s="48" t="s">
        <v>80</v>
      </c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151</v>
      </c>
      <c r="F6" s="8"/>
      <c r="G6" s="9"/>
      <c r="H6" s="9"/>
      <c r="I6" s="55"/>
      <c r="J6" s="21">
        <f t="shared" si="5"/>
        <v>49100</v>
      </c>
      <c r="K6" s="8" t="s">
        <v>142</v>
      </c>
      <c r="L6" s="9">
        <v>8000</v>
      </c>
      <c r="M6" s="9"/>
      <c r="N6" s="55">
        <v>0</v>
      </c>
      <c r="O6" s="21">
        <f t="shared" si="6"/>
        <v>41700</v>
      </c>
      <c r="P6" s="8" t="s">
        <v>141</v>
      </c>
      <c r="Q6" s="9">
        <v>-8000</v>
      </c>
      <c r="R6" s="9"/>
      <c r="S6" s="55">
        <v>0</v>
      </c>
      <c r="T6" s="21">
        <f t="shared" si="7"/>
        <v>14200</v>
      </c>
      <c r="U6" s="60">
        <f t="shared" si="0"/>
        <v>14.1</v>
      </c>
      <c r="V6" s="61">
        <f t="shared" si="1"/>
        <v>6.7</v>
      </c>
      <c r="W6" s="62">
        <f t="shared" si="2"/>
        <v>-20.8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4</v>
      </c>
      <c r="AY6" s="36">
        <v>30</v>
      </c>
      <c r="AZ6" s="47" t="s">
        <v>87</v>
      </c>
      <c r="BA6" s="48" t="s">
        <v>87</v>
      </c>
      <c r="BB6" s="48" t="s">
        <v>82</v>
      </c>
      <c r="BC6" s="48" t="s">
        <v>82</v>
      </c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">
        <v>153</v>
      </c>
      <c r="F7" s="8" t="s">
        <v>146</v>
      </c>
      <c r="G7" s="9">
        <v>-3000</v>
      </c>
      <c r="H7" s="9"/>
      <c r="I7" s="55">
        <v>0</v>
      </c>
      <c r="J7" s="21">
        <f t="shared" si="5"/>
        <v>46100</v>
      </c>
      <c r="K7" s="8" t="s">
        <v>146</v>
      </c>
      <c r="L7" s="9">
        <v>-5000</v>
      </c>
      <c r="M7" s="9"/>
      <c r="N7" s="55">
        <v>0</v>
      </c>
      <c r="O7" s="21">
        <f t="shared" si="6"/>
        <v>36700</v>
      </c>
      <c r="P7" s="8" t="s">
        <v>145</v>
      </c>
      <c r="Q7" s="9">
        <v>8000</v>
      </c>
      <c r="R7" s="9"/>
      <c r="S7" s="55">
        <v>0</v>
      </c>
      <c r="T7" s="21">
        <f t="shared" si="7"/>
        <v>22200</v>
      </c>
      <c r="U7" s="60">
        <f t="shared" si="0"/>
        <v>11.1</v>
      </c>
      <c r="V7" s="61">
        <f t="shared" si="1"/>
        <v>1.7</v>
      </c>
      <c r="W7" s="62">
        <f t="shared" si="2"/>
        <v>-12.8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5</v>
      </c>
      <c r="BT7" s="36" t="s">
        <v>143</v>
      </c>
      <c r="BU7" s="47" t="s">
        <v>144</v>
      </c>
      <c r="BV7" s="48" t="s">
        <v>83</v>
      </c>
      <c r="BW7" s="48" t="s">
        <v>84</v>
      </c>
      <c r="BX7" s="48" t="s">
        <v>82</v>
      </c>
      <c r="BY7" s="48" t="s">
        <v>81</v>
      </c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8"/>
        <v>2</v>
      </c>
      <c r="C8" s="18">
        <f t="shared" si="9"/>
        <v>0</v>
      </c>
      <c r="D8" s="18">
        <f t="shared" si="4"/>
        <v>0</v>
      </c>
      <c r="E8" s="4" t="s">
        <v>155</v>
      </c>
      <c r="F8" s="8" t="s">
        <v>145</v>
      </c>
      <c r="G8" s="9">
        <v>12000</v>
      </c>
      <c r="H8" s="9"/>
      <c r="I8" s="55">
        <v>0</v>
      </c>
      <c r="J8" s="21">
        <f t="shared" si="5"/>
        <v>58100</v>
      </c>
      <c r="K8" s="8" t="s">
        <v>146</v>
      </c>
      <c r="L8" s="9">
        <v>-4500</v>
      </c>
      <c r="M8" s="9"/>
      <c r="N8" s="55">
        <v>0</v>
      </c>
      <c r="O8" s="21">
        <f t="shared" si="6"/>
        <v>32200</v>
      </c>
      <c r="P8" s="8" t="s">
        <v>146</v>
      </c>
      <c r="Q8" s="9">
        <v>-7500</v>
      </c>
      <c r="R8" s="9"/>
      <c r="S8" s="55">
        <v>0</v>
      </c>
      <c r="T8" s="21">
        <f t="shared" si="7"/>
        <v>14700</v>
      </c>
      <c r="U8" s="60">
        <f t="shared" si="0"/>
        <v>23.1</v>
      </c>
      <c r="V8" s="61">
        <f t="shared" si="1"/>
        <v>-2.8</v>
      </c>
      <c r="W8" s="62">
        <f t="shared" si="2"/>
        <v>-20.3</v>
      </c>
      <c r="Y8" s="8"/>
      <c r="Z8" s="41"/>
      <c r="AA8" s="32">
        <v>1</v>
      </c>
      <c r="AB8" s="32"/>
      <c r="AC8" s="32">
        <v>7</v>
      </c>
      <c r="AD8" s="36" t="s">
        <v>143</v>
      </c>
      <c r="AE8" s="47" t="s">
        <v>144</v>
      </c>
      <c r="AF8" s="48" t="s">
        <v>83</v>
      </c>
      <c r="AG8" s="48" t="s">
        <v>82</v>
      </c>
      <c r="AH8" s="48" t="s">
        <v>82</v>
      </c>
      <c r="AI8" s="48" t="s">
        <v>82</v>
      </c>
      <c r="AJ8" s="48" t="s">
        <v>80</v>
      </c>
      <c r="AK8" s="48" t="s">
        <v>81</v>
      </c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3</v>
      </c>
      <c r="C9" s="18">
        <f t="shared" si="9"/>
        <v>0</v>
      </c>
      <c r="D9" s="18">
        <f t="shared" si="4"/>
        <v>0</v>
      </c>
      <c r="E9" s="4" t="s">
        <v>151</v>
      </c>
      <c r="F9" s="8" t="s">
        <v>145</v>
      </c>
      <c r="G9" s="9">
        <v>18000</v>
      </c>
      <c r="H9" s="9"/>
      <c r="I9" s="55">
        <v>0</v>
      </c>
      <c r="J9" s="21">
        <f t="shared" si="5"/>
        <v>76100</v>
      </c>
      <c r="K9" s="8" t="s">
        <v>146</v>
      </c>
      <c r="L9" s="9">
        <v>-9000</v>
      </c>
      <c r="M9" s="9"/>
      <c r="N9" s="55">
        <v>0</v>
      </c>
      <c r="O9" s="21">
        <f t="shared" si="6"/>
        <v>23200</v>
      </c>
      <c r="P9" s="8" t="s">
        <v>146</v>
      </c>
      <c r="Q9" s="9">
        <v>-9000</v>
      </c>
      <c r="R9" s="9"/>
      <c r="S9" s="55">
        <v>0</v>
      </c>
      <c r="T9" s="21">
        <f t="shared" si="7"/>
        <v>5700</v>
      </c>
      <c r="U9" s="60">
        <f t="shared" si="0"/>
        <v>41.1</v>
      </c>
      <c r="V9" s="61">
        <f t="shared" si="1"/>
        <v>-11.8</v>
      </c>
      <c r="W9" s="62">
        <f t="shared" si="2"/>
        <v>-29.3</v>
      </c>
      <c r="Y9" s="8"/>
      <c r="Z9" s="41"/>
      <c r="AA9" s="32"/>
      <c r="AB9" s="32">
        <v>1</v>
      </c>
      <c r="AC9" s="32">
        <v>7</v>
      </c>
      <c r="AD9" s="36" t="s">
        <v>143</v>
      </c>
      <c r="AE9" s="47" t="s">
        <v>105</v>
      </c>
      <c r="AF9" s="48" t="s">
        <v>80</v>
      </c>
      <c r="AG9" s="48" t="s">
        <v>80</v>
      </c>
      <c r="AH9" s="48" t="s">
        <v>80</v>
      </c>
      <c r="AI9" s="48" t="s">
        <v>80</v>
      </c>
      <c r="AJ9" s="48" t="s">
        <v>82</v>
      </c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3</v>
      </c>
      <c r="C10" s="18">
        <f t="shared" si="9"/>
        <v>1</v>
      </c>
      <c r="D10" s="18">
        <f t="shared" si="4"/>
        <v>0</v>
      </c>
      <c r="E10" s="4" t="s">
        <v>151</v>
      </c>
      <c r="F10" s="8" t="s">
        <v>141</v>
      </c>
      <c r="G10" s="9">
        <v>-3200</v>
      </c>
      <c r="H10" s="9"/>
      <c r="I10" s="55">
        <v>-1000</v>
      </c>
      <c r="J10" s="21">
        <f t="shared" si="5"/>
        <v>71900</v>
      </c>
      <c r="K10" s="8"/>
      <c r="L10" s="9"/>
      <c r="M10" s="9"/>
      <c r="N10" s="55"/>
      <c r="O10" s="21">
        <f t="shared" si="6"/>
        <v>23200</v>
      </c>
      <c r="P10" s="8" t="s">
        <v>142</v>
      </c>
      <c r="Q10" s="9">
        <v>3200</v>
      </c>
      <c r="R10" s="9"/>
      <c r="S10" s="55">
        <v>1000</v>
      </c>
      <c r="T10" s="21">
        <f t="shared" si="7"/>
        <v>9900</v>
      </c>
      <c r="U10" s="60">
        <f t="shared" si="0"/>
        <v>36.9</v>
      </c>
      <c r="V10" s="61">
        <f t="shared" si="1"/>
        <v>-11.8</v>
      </c>
      <c r="W10" s="62">
        <f t="shared" si="2"/>
        <v>-25.1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>
        <v>3</v>
      </c>
      <c r="BT10" s="36">
        <v>25</v>
      </c>
      <c r="BU10" s="47" t="s">
        <v>102</v>
      </c>
      <c r="BV10" s="48" t="s">
        <v>82</v>
      </c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2">
    <dataValidation type="list" allowBlank="1" showInputMessage="1" showErrorMessage="1" sqref="E4:E30" xr:uid="{57EA478A-29CF-41DC-9646-68B3F4B5BA98}">
      <formula1>$U$2:$W$2</formula1>
    </dataValidation>
    <dataValidation type="list" showInputMessage="1" showErrorMessage="1" sqref="K4:K30 P4:P30 F4:F30" xr:uid="{3C2BCC8D-AA80-4331-881C-CA7991C96194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3BB4E-A3AB-48D6-B7D8-FFCB297C6B40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158</v>
      </c>
      <c r="G1" s="80"/>
      <c r="H1" s="80"/>
      <c r="I1" s="89"/>
      <c r="J1" s="81"/>
      <c r="K1" s="78" t="s">
        <v>152</v>
      </c>
      <c r="L1" s="80"/>
      <c r="M1" s="80"/>
      <c r="N1" s="89"/>
      <c r="O1" s="81"/>
      <c r="P1" s="78" t="s">
        <v>156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ともき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りくと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ともき</v>
      </c>
      <c r="V2" s="77" t="str">
        <f>$K$1</f>
        <v>りくと</v>
      </c>
      <c r="W2" s="16" t="str">
        <f>$P$1</f>
        <v>れんたろう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155</v>
      </c>
      <c r="F4" s="8" t="s">
        <v>146</v>
      </c>
      <c r="G4" s="9">
        <v>-3000</v>
      </c>
      <c r="H4" s="9"/>
      <c r="I4" s="55">
        <v>0</v>
      </c>
      <c r="J4" s="21">
        <f>IF(COUNTA($F4,$K4,$P4)&gt;0,J3+SUM(G4:I4),"")</f>
        <v>32000</v>
      </c>
      <c r="K4" s="8" t="s">
        <v>145</v>
      </c>
      <c r="L4" s="9">
        <v>8000</v>
      </c>
      <c r="M4" s="9"/>
      <c r="N4" s="55">
        <v>0</v>
      </c>
      <c r="O4" s="21">
        <f>IF(COUNTA($F4,$K4,$P4)&gt;0,O3+SUM(L4:N4),"")</f>
        <v>43000</v>
      </c>
      <c r="P4" s="8" t="s">
        <v>146</v>
      </c>
      <c r="Q4" s="9">
        <v>-5000</v>
      </c>
      <c r="R4" s="9"/>
      <c r="S4" s="55">
        <v>0</v>
      </c>
      <c r="T4" s="21">
        <f>IF(COUNTA($F4,$K4,$P4)&gt;0,T3+SUM(Q4:S4),"")</f>
        <v>30000</v>
      </c>
      <c r="U4" s="60">
        <f t="shared" ref="U4:U30" si="0">IF($J4="","",ROUND(($J4-$J$3)/1000,1))</f>
        <v>-3</v>
      </c>
      <c r="V4" s="61">
        <f t="shared" ref="V4:V30" si="1">IF($O4="","",ROUND(($O4-$O$3)/1000,1))</f>
        <v>8</v>
      </c>
      <c r="W4" s="62">
        <f t="shared" ref="W4:W30" si="2">IF($T4="","",ROUND(($T4-$T$3)/1000,1))</f>
        <v>-5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5</v>
      </c>
      <c r="AY4" s="36" t="s">
        <v>143</v>
      </c>
      <c r="AZ4" s="47" t="s">
        <v>144</v>
      </c>
      <c r="BA4" s="48" t="s">
        <v>83</v>
      </c>
      <c r="BB4" s="48" t="s">
        <v>86</v>
      </c>
      <c r="BC4" s="48" t="s">
        <v>85</v>
      </c>
      <c r="BD4" s="48" t="s">
        <v>84</v>
      </c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157</v>
      </c>
      <c r="F5" s="8" t="s">
        <v>141</v>
      </c>
      <c r="G5" s="9">
        <v>-8000</v>
      </c>
      <c r="H5" s="9">
        <v>-1000</v>
      </c>
      <c r="I5" s="55">
        <v>0</v>
      </c>
      <c r="J5" s="21">
        <f t="shared" ref="J5:J30" si="5">IF(COUNTA($F5,$K5,$P5)&gt;0,J4+SUM(G5:I5),"")</f>
        <v>23000</v>
      </c>
      <c r="K5" s="8" t="s">
        <v>142</v>
      </c>
      <c r="L5" s="9">
        <v>8000</v>
      </c>
      <c r="M5" s="9">
        <v>1000</v>
      </c>
      <c r="N5" s="55">
        <v>0</v>
      </c>
      <c r="O5" s="21">
        <f t="shared" ref="O5:O30" si="6">IF(COUNTA($F5,$K5,$P5)&gt;0,O4+SUM(L5:N5),"")</f>
        <v>52000</v>
      </c>
      <c r="P5" s="8"/>
      <c r="Q5" s="9"/>
      <c r="R5" s="9"/>
      <c r="S5" s="55"/>
      <c r="T5" s="21">
        <f t="shared" ref="T5:T30" si="7">IF(COUNTA($F5,$K5,$P5)&gt;0,T4+SUM(Q5:S5),"")</f>
        <v>30000</v>
      </c>
      <c r="U5" s="60">
        <f t="shared" si="0"/>
        <v>-12</v>
      </c>
      <c r="V5" s="61">
        <f t="shared" si="1"/>
        <v>17</v>
      </c>
      <c r="W5" s="62">
        <f t="shared" si="2"/>
        <v>-5</v>
      </c>
      <c r="Y5" s="8"/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>
        <v>5</v>
      </c>
      <c r="AY5" s="36" t="s">
        <v>143</v>
      </c>
      <c r="AZ5" s="47" t="s">
        <v>87</v>
      </c>
      <c r="BA5" s="48" t="s">
        <v>87</v>
      </c>
      <c r="BB5" s="48" t="s">
        <v>100</v>
      </c>
      <c r="BC5" s="48" t="s">
        <v>94</v>
      </c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151</v>
      </c>
      <c r="F6" s="8" t="s">
        <v>146</v>
      </c>
      <c r="G6" s="9">
        <v>-3000</v>
      </c>
      <c r="H6" s="9">
        <v>-1000</v>
      </c>
      <c r="I6" s="55">
        <v>0</v>
      </c>
      <c r="J6" s="21">
        <f t="shared" si="5"/>
        <v>19000</v>
      </c>
      <c r="K6" s="8" t="s">
        <v>146</v>
      </c>
      <c r="L6" s="9">
        <v>-5000</v>
      </c>
      <c r="M6" s="9"/>
      <c r="N6" s="55">
        <v>0</v>
      </c>
      <c r="O6" s="21">
        <f t="shared" si="6"/>
        <v>47000</v>
      </c>
      <c r="P6" s="8" t="s">
        <v>145</v>
      </c>
      <c r="Q6" s="9">
        <v>8000</v>
      </c>
      <c r="R6" s="9">
        <v>1000</v>
      </c>
      <c r="S6" s="55">
        <v>0</v>
      </c>
      <c r="T6" s="21">
        <f t="shared" si="7"/>
        <v>39000</v>
      </c>
      <c r="U6" s="60">
        <f t="shared" si="0"/>
        <v>-16</v>
      </c>
      <c r="V6" s="61">
        <f t="shared" si="1"/>
        <v>12</v>
      </c>
      <c r="W6" s="62">
        <f t="shared" si="2"/>
        <v>4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4</v>
      </c>
      <c r="BT6" s="36">
        <v>30</v>
      </c>
      <c r="BU6" s="47" t="s">
        <v>144</v>
      </c>
      <c r="BV6" s="48" t="s">
        <v>83</v>
      </c>
      <c r="BW6" s="48" t="s">
        <v>85</v>
      </c>
      <c r="BX6" s="48" t="s">
        <v>80</v>
      </c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">
        <v>155</v>
      </c>
      <c r="F7" s="8" t="s">
        <v>145</v>
      </c>
      <c r="G7" s="9">
        <v>8000</v>
      </c>
      <c r="H7" s="9"/>
      <c r="I7" s="55">
        <v>0</v>
      </c>
      <c r="J7" s="21">
        <f t="shared" si="5"/>
        <v>27000</v>
      </c>
      <c r="K7" s="8" t="s">
        <v>146</v>
      </c>
      <c r="L7" s="9">
        <v>-3000</v>
      </c>
      <c r="M7" s="9"/>
      <c r="N7" s="55">
        <v>0</v>
      </c>
      <c r="O7" s="21">
        <f t="shared" si="6"/>
        <v>44000</v>
      </c>
      <c r="P7" s="8" t="s">
        <v>146</v>
      </c>
      <c r="Q7" s="9">
        <v>-5000</v>
      </c>
      <c r="R7" s="9"/>
      <c r="S7" s="55">
        <v>0</v>
      </c>
      <c r="T7" s="21">
        <f t="shared" si="7"/>
        <v>34000</v>
      </c>
      <c r="U7" s="60">
        <f t="shared" si="0"/>
        <v>-8</v>
      </c>
      <c r="V7" s="61">
        <f t="shared" si="1"/>
        <v>9</v>
      </c>
      <c r="W7" s="62">
        <f t="shared" si="2"/>
        <v>-1</v>
      </c>
      <c r="Y7" s="8"/>
      <c r="Z7" s="41"/>
      <c r="AA7" s="32"/>
      <c r="AB7" s="32">
        <v>1</v>
      </c>
      <c r="AC7" s="32">
        <v>5</v>
      </c>
      <c r="AD7" s="36" t="s">
        <v>143</v>
      </c>
      <c r="AE7" s="47" t="s">
        <v>87</v>
      </c>
      <c r="AF7" s="48" t="s">
        <v>105</v>
      </c>
      <c r="AG7" s="48" t="s">
        <v>82</v>
      </c>
      <c r="AH7" s="48" t="s">
        <v>80</v>
      </c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8"/>
        <v>2</v>
      </c>
      <c r="C8" s="18">
        <f t="shared" si="9"/>
        <v>0</v>
      </c>
      <c r="D8" s="18">
        <f t="shared" si="4"/>
        <v>0</v>
      </c>
      <c r="E8" s="4" t="s">
        <v>157</v>
      </c>
      <c r="F8" s="8" t="s">
        <v>142</v>
      </c>
      <c r="G8" s="9">
        <v>18000</v>
      </c>
      <c r="H8" s="9">
        <v>1000</v>
      </c>
      <c r="I8" s="55">
        <v>0</v>
      </c>
      <c r="J8" s="21">
        <f t="shared" si="5"/>
        <v>46000</v>
      </c>
      <c r="K8" s="8"/>
      <c r="L8" s="9"/>
      <c r="M8" s="9"/>
      <c r="N8" s="55"/>
      <c r="O8" s="21">
        <f t="shared" si="6"/>
        <v>44000</v>
      </c>
      <c r="P8" s="8" t="s">
        <v>141</v>
      </c>
      <c r="Q8" s="9">
        <v>-18000</v>
      </c>
      <c r="R8" s="9">
        <v>-1000</v>
      </c>
      <c r="S8" s="55">
        <v>0</v>
      </c>
      <c r="T8" s="21">
        <f t="shared" si="7"/>
        <v>15000</v>
      </c>
      <c r="U8" s="60">
        <f t="shared" si="0"/>
        <v>11</v>
      </c>
      <c r="V8" s="61">
        <f t="shared" si="1"/>
        <v>9</v>
      </c>
      <c r="W8" s="62">
        <f t="shared" si="2"/>
        <v>-20</v>
      </c>
      <c r="Y8" s="8"/>
      <c r="Z8" s="41"/>
      <c r="AA8" s="32"/>
      <c r="AB8" s="32">
        <v>1</v>
      </c>
      <c r="AC8" s="32">
        <v>6</v>
      </c>
      <c r="AD8" s="36" t="s">
        <v>143</v>
      </c>
      <c r="AE8" s="47" t="s">
        <v>80</v>
      </c>
      <c r="AF8" s="48" t="s">
        <v>80</v>
      </c>
      <c r="AG8" s="48" t="s">
        <v>87</v>
      </c>
      <c r="AH8" s="48" t="s">
        <v>87</v>
      </c>
      <c r="AI8" s="48" t="s">
        <v>99</v>
      </c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2</v>
      </c>
      <c r="C9" s="18">
        <f t="shared" si="9"/>
        <v>1</v>
      </c>
      <c r="D9" s="18">
        <f t="shared" si="4"/>
        <v>0</v>
      </c>
      <c r="E9" s="4" t="s">
        <v>157</v>
      </c>
      <c r="F9" s="8" t="s">
        <v>145</v>
      </c>
      <c r="G9" s="9">
        <v>24000</v>
      </c>
      <c r="H9" s="9">
        <v>2000</v>
      </c>
      <c r="I9" s="55">
        <v>1000</v>
      </c>
      <c r="J9" s="21">
        <f t="shared" si="5"/>
        <v>73000</v>
      </c>
      <c r="K9" s="8" t="s">
        <v>146</v>
      </c>
      <c r="L9" s="9">
        <v>-12000</v>
      </c>
      <c r="M9" s="9">
        <v>-1000</v>
      </c>
      <c r="N9" s="55">
        <v>-500</v>
      </c>
      <c r="O9" s="21">
        <f t="shared" si="6"/>
        <v>30500</v>
      </c>
      <c r="P9" s="8" t="s">
        <v>146</v>
      </c>
      <c r="Q9" s="9">
        <v>-12000</v>
      </c>
      <c r="R9" s="9">
        <v>-1000</v>
      </c>
      <c r="S9" s="55">
        <v>-500</v>
      </c>
      <c r="T9" s="21">
        <f t="shared" si="7"/>
        <v>1500</v>
      </c>
      <c r="U9" s="60">
        <f t="shared" si="0"/>
        <v>38</v>
      </c>
      <c r="V9" s="61">
        <f t="shared" si="1"/>
        <v>-4.5</v>
      </c>
      <c r="W9" s="62">
        <f t="shared" si="2"/>
        <v>-33.5</v>
      </c>
      <c r="Y9" s="8"/>
      <c r="Z9" s="41"/>
      <c r="AA9" s="32">
        <v>1</v>
      </c>
      <c r="AB9" s="32"/>
      <c r="AC9" s="32">
        <v>10</v>
      </c>
      <c r="AD9" s="36" t="s">
        <v>143</v>
      </c>
      <c r="AE9" s="47" t="s">
        <v>144</v>
      </c>
      <c r="AF9" s="48" t="s">
        <v>83</v>
      </c>
      <c r="AG9" s="48" t="s">
        <v>105</v>
      </c>
      <c r="AH9" s="48" t="s">
        <v>102</v>
      </c>
      <c r="AI9" s="48" t="s">
        <v>80</v>
      </c>
      <c r="AJ9" s="48" t="s">
        <v>80</v>
      </c>
      <c r="AK9" s="48" t="s">
        <v>82</v>
      </c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2</v>
      </c>
      <c r="D10" s="18">
        <f t="shared" si="4"/>
        <v>0</v>
      </c>
      <c r="E10" s="4" t="s">
        <v>157</v>
      </c>
      <c r="F10" s="8" t="s">
        <v>146</v>
      </c>
      <c r="G10" s="9">
        <v>-10000</v>
      </c>
      <c r="H10" s="9"/>
      <c r="I10" s="55">
        <v>-1000</v>
      </c>
      <c r="J10" s="21">
        <f t="shared" si="5"/>
        <v>62000</v>
      </c>
      <c r="K10" s="8" t="s">
        <v>146</v>
      </c>
      <c r="L10" s="9">
        <v>-6000</v>
      </c>
      <c r="M10" s="9"/>
      <c r="N10" s="55">
        <v>-1000</v>
      </c>
      <c r="O10" s="21">
        <f t="shared" si="6"/>
        <v>23500</v>
      </c>
      <c r="P10" s="8" t="s">
        <v>145</v>
      </c>
      <c r="Q10" s="9">
        <v>16000</v>
      </c>
      <c r="R10" s="9"/>
      <c r="S10" s="55">
        <v>2000</v>
      </c>
      <c r="T10" s="21">
        <f t="shared" si="7"/>
        <v>19500</v>
      </c>
      <c r="U10" s="60">
        <f t="shared" si="0"/>
        <v>27</v>
      </c>
      <c r="V10" s="61">
        <f t="shared" si="1"/>
        <v>-11.5</v>
      </c>
      <c r="W10" s="62">
        <f t="shared" si="2"/>
        <v>-15.5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10</v>
      </c>
      <c r="BT10" s="36" t="s">
        <v>143</v>
      </c>
      <c r="BU10" s="47" t="s">
        <v>144</v>
      </c>
      <c r="BV10" s="48" t="s">
        <v>83</v>
      </c>
      <c r="BW10" s="48" t="s">
        <v>107</v>
      </c>
      <c r="BX10" s="48" t="s">
        <v>80</v>
      </c>
      <c r="BY10" s="48" t="s">
        <v>80</v>
      </c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">
        <v>151</v>
      </c>
      <c r="F11" s="8" t="s">
        <v>141</v>
      </c>
      <c r="G11" s="9">
        <v>-16000</v>
      </c>
      <c r="H11" s="9"/>
      <c r="I11" s="55">
        <v>0</v>
      </c>
      <c r="J11" s="21">
        <f t="shared" si="5"/>
        <v>46000</v>
      </c>
      <c r="K11" s="8"/>
      <c r="L11" s="9"/>
      <c r="M11" s="9"/>
      <c r="N11" s="55"/>
      <c r="O11" s="21">
        <f t="shared" si="6"/>
        <v>23500</v>
      </c>
      <c r="P11" s="8" t="s">
        <v>142</v>
      </c>
      <c r="Q11" s="9">
        <v>16000</v>
      </c>
      <c r="R11" s="9"/>
      <c r="S11" s="55">
        <v>0</v>
      </c>
      <c r="T11" s="21">
        <f t="shared" si="7"/>
        <v>35500</v>
      </c>
      <c r="U11" s="60">
        <f t="shared" si="0"/>
        <v>11</v>
      </c>
      <c r="V11" s="61">
        <f t="shared" si="1"/>
        <v>-11.5</v>
      </c>
      <c r="W11" s="62">
        <f t="shared" si="2"/>
        <v>0.5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10</v>
      </c>
      <c r="BT11" s="36" t="s">
        <v>143</v>
      </c>
      <c r="BU11" s="47" t="s">
        <v>144</v>
      </c>
      <c r="BV11" s="48" t="s">
        <v>147</v>
      </c>
      <c r="BW11" s="48" t="s">
        <v>102</v>
      </c>
      <c r="BX11" s="48" t="s">
        <v>105</v>
      </c>
      <c r="BY11" s="48" t="s">
        <v>80</v>
      </c>
      <c r="BZ11" s="48" t="s">
        <v>80</v>
      </c>
      <c r="CA11" s="48" t="s">
        <v>82</v>
      </c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showInputMessage="1" showErrorMessage="1" sqref="K4:K30 P4:P30 F4:F30" xr:uid="{DC54FB15-2E8A-415C-AD4B-C1C5736803F2}">
      <formula1>"ロン,ツモ,放銃,ツモ支払,流局,チョンボ"</formula1>
    </dataValidation>
    <dataValidation type="list" allowBlank="1" showInputMessage="1" showErrorMessage="1" sqref="E4:E30" xr:uid="{A6CA821C-E64D-4D29-8C24-BA820C6E841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4150B-A9DB-4A88-80E3-1CE34254CB2A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160</v>
      </c>
      <c r="G1" s="80"/>
      <c r="H1" s="80"/>
      <c r="I1" s="89"/>
      <c r="J1" s="81"/>
      <c r="K1" s="78" t="s">
        <v>162</v>
      </c>
      <c r="L1" s="80"/>
      <c r="M1" s="80"/>
      <c r="N1" s="89"/>
      <c r="O1" s="81"/>
      <c r="P1" s="78" t="s">
        <v>164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まっつん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ぱぱ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いっしー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まっつん</v>
      </c>
      <c r="V2" s="77" t="str">
        <f>$K$1</f>
        <v>ぱぱ</v>
      </c>
      <c r="W2" s="16" t="str">
        <f>$P$1</f>
        <v>いっしー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161</v>
      </c>
      <c r="F4" s="8" t="s">
        <v>150</v>
      </c>
      <c r="G4" s="9">
        <v>1500</v>
      </c>
      <c r="H4" s="9"/>
      <c r="I4" s="55"/>
      <c r="J4" s="21">
        <f>IF(COUNTA($F4,$K4,$P4)&gt;0,J3+SUM(G4:I4),"")</f>
        <v>36500</v>
      </c>
      <c r="K4" s="8" t="s">
        <v>150</v>
      </c>
      <c r="L4" s="9">
        <v>1500</v>
      </c>
      <c r="M4" s="9"/>
      <c r="N4" s="55"/>
      <c r="O4" s="21">
        <f>IF(COUNTA($F4,$K4,$P4)&gt;0,O3+SUM(L4:N4),"")</f>
        <v>36500</v>
      </c>
      <c r="P4" s="8" t="s">
        <v>150</v>
      </c>
      <c r="Q4" s="9">
        <v>-3000</v>
      </c>
      <c r="R4" s="9"/>
      <c r="S4" s="55"/>
      <c r="T4" s="21">
        <f>IF(COUNTA($F4,$K4,$P4)&gt;0,T3+SUM(Q4:S4),"")</f>
        <v>32000</v>
      </c>
      <c r="U4" s="60">
        <f t="shared" ref="U4:U30" si="0">IF($J4="","",ROUND(($J4-$J$3)/1000,1))</f>
        <v>1.5</v>
      </c>
      <c r="V4" s="61">
        <f t="shared" ref="V4:V30" si="1">IF($O4="","",ROUND(($O4-$O$3)/1000,1))</f>
        <v>1.5</v>
      </c>
      <c r="W4" s="62">
        <f t="shared" ref="W4:W30" si="2">IF($T4="","",ROUND(($T4-$T$3)/1000,1))</f>
        <v>-3</v>
      </c>
      <c r="Y4" s="8" t="s">
        <v>148</v>
      </c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148</v>
      </c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149</v>
      </c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">
        <v>161</v>
      </c>
      <c r="F5" s="8" t="s">
        <v>150</v>
      </c>
      <c r="G5" s="9">
        <v>1500</v>
      </c>
      <c r="H5" s="9"/>
      <c r="I5" s="55"/>
      <c r="J5" s="21">
        <f t="shared" ref="J5:J30" si="5">IF(COUNTA($F5,$K5,$P5)&gt;0,J4+SUM(G5:I5),"")</f>
        <v>38000</v>
      </c>
      <c r="K5" s="8" t="s">
        <v>150</v>
      </c>
      <c r="L5" s="9">
        <v>1500</v>
      </c>
      <c r="M5" s="9"/>
      <c r="N5" s="55"/>
      <c r="O5" s="21">
        <f t="shared" ref="O5:O30" si="6">IF(COUNTA($F5,$K5,$P5)&gt;0,O4+SUM(L5:N5),"")</f>
        <v>38000</v>
      </c>
      <c r="P5" s="8" t="s">
        <v>150</v>
      </c>
      <c r="Q5" s="9">
        <v>-3000</v>
      </c>
      <c r="R5" s="9"/>
      <c r="S5" s="55"/>
      <c r="T5" s="21">
        <f t="shared" ref="T5:T30" si="7">IF(COUNTA($F5,$K5,$P5)&gt;0,T4+SUM(Q5:S5),"")</f>
        <v>29000</v>
      </c>
      <c r="U5" s="60">
        <f t="shared" si="0"/>
        <v>3</v>
      </c>
      <c r="V5" s="61">
        <f t="shared" si="1"/>
        <v>3</v>
      </c>
      <c r="W5" s="62">
        <f t="shared" si="2"/>
        <v>-6</v>
      </c>
      <c r="Y5" s="8" t="s">
        <v>148</v>
      </c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148</v>
      </c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149</v>
      </c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1</v>
      </c>
      <c r="C6" s="18">
        <f t="shared" ref="C6:C30" si="9">IF($E6="","",IF($F5="チョンボ",C5,IF(OR($E5=$E6,$F5="流局"),C5+1,0)))</f>
        <v>2</v>
      </c>
      <c r="D6" s="18">
        <f t="shared" si="4"/>
        <v>0</v>
      </c>
      <c r="E6" s="4" t="s">
        <v>161</v>
      </c>
      <c r="F6" s="8" t="s">
        <v>141</v>
      </c>
      <c r="G6" s="9">
        <v>-16000</v>
      </c>
      <c r="H6" s="9">
        <v>-1000</v>
      </c>
      <c r="I6" s="55">
        <v>-2000</v>
      </c>
      <c r="J6" s="21">
        <f t="shared" si="5"/>
        <v>19000</v>
      </c>
      <c r="K6" s="8"/>
      <c r="L6" s="9"/>
      <c r="M6" s="9"/>
      <c r="N6" s="55"/>
      <c r="O6" s="21">
        <f t="shared" si="6"/>
        <v>38000</v>
      </c>
      <c r="P6" s="8" t="s">
        <v>142</v>
      </c>
      <c r="Q6" s="9">
        <v>16000</v>
      </c>
      <c r="R6" s="9">
        <v>1000</v>
      </c>
      <c r="S6" s="55">
        <v>2000</v>
      </c>
      <c r="T6" s="21">
        <f t="shared" si="7"/>
        <v>48000</v>
      </c>
      <c r="U6" s="60">
        <f t="shared" si="0"/>
        <v>-16</v>
      </c>
      <c r="V6" s="61">
        <f t="shared" si="1"/>
        <v>3</v>
      </c>
      <c r="W6" s="62">
        <f t="shared" si="2"/>
        <v>13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9</v>
      </c>
      <c r="BT6" s="36" t="s">
        <v>143</v>
      </c>
      <c r="BU6" s="47" t="s">
        <v>144</v>
      </c>
      <c r="BV6" s="48" t="s">
        <v>107</v>
      </c>
      <c r="BW6" s="48" t="s">
        <v>82</v>
      </c>
      <c r="BX6" s="48" t="s">
        <v>82</v>
      </c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2</v>
      </c>
      <c r="C7" s="18">
        <f t="shared" si="9"/>
        <v>0</v>
      </c>
      <c r="D7" s="18">
        <f t="shared" si="4"/>
        <v>0</v>
      </c>
      <c r="E7" s="4" t="s">
        <v>163</v>
      </c>
      <c r="F7" s="8"/>
      <c r="G7" s="9"/>
      <c r="H7" s="9"/>
      <c r="I7" s="55"/>
      <c r="J7" s="21">
        <f t="shared" si="5"/>
        <v>19000</v>
      </c>
      <c r="K7" s="8" t="s">
        <v>142</v>
      </c>
      <c r="L7" s="9">
        <v>12000</v>
      </c>
      <c r="M7" s="9"/>
      <c r="N7" s="55">
        <v>0</v>
      </c>
      <c r="O7" s="21">
        <f t="shared" si="6"/>
        <v>50000</v>
      </c>
      <c r="P7" s="8" t="s">
        <v>141</v>
      </c>
      <c r="Q7" s="9">
        <v>-12000</v>
      </c>
      <c r="R7" s="9"/>
      <c r="S7" s="55">
        <v>0</v>
      </c>
      <c r="T7" s="21">
        <f t="shared" si="7"/>
        <v>36000</v>
      </c>
      <c r="U7" s="60">
        <f t="shared" si="0"/>
        <v>-16</v>
      </c>
      <c r="V7" s="61">
        <f t="shared" si="1"/>
        <v>15</v>
      </c>
      <c r="W7" s="62">
        <f t="shared" si="2"/>
        <v>1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>
        <v>6</v>
      </c>
      <c r="AY7" s="36" t="s">
        <v>143</v>
      </c>
      <c r="AZ7" s="47" t="s">
        <v>87</v>
      </c>
      <c r="BA7" s="48" t="s">
        <v>82</v>
      </c>
      <c r="BB7" s="48" t="s">
        <v>82</v>
      </c>
      <c r="BC7" s="48" t="s">
        <v>80</v>
      </c>
      <c r="BD7" s="48" t="s">
        <v>80</v>
      </c>
      <c r="BE7" s="48" t="s">
        <v>80</v>
      </c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0</v>
      </c>
      <c r="D8" s="18">
        <f t="shared" si="4"/>
        <v>0</v>
      </c>
      <c r="E8" s="4" t="s">
        <v>159</v>
      </c>
      <c r="F8" s="8" t="s">
        <v>146</v>
      </c>
      <c r="G8" s="9">
        <v>-5000</v>
      </c>
      <c r="H8" s="9"/>
      <c r="I8" s="55">
        <v>0</v>
      </c>
      <c r="J8" s="21">
        <f t="shared" si="5"/>
        <v>14000</v>
      </c>
      <c r="K8" s="8" t="s">
        <v>146</v>
      </c>
      <c r="L8" s="9">
        <v>-3000</v>
      </c>
      <c r="M8" s="9"/>
      <c r="N8" s="55">
        <v>0</v>
      </c>
      <c r="O8" s="21">
        <f t="shared" si="6"/>
        <v>47000</v>
      </c>
      <c r="P8" s="8" t="s">
        <v>145</v>
      </c>
      <c r="Q8" s="9">
        <v>8000</v>
      </c>
      <c r="R8" s="9"/>
      <c r="S8" s="55">
        <v>0</v>
      </c>
      <c r="T8" s="21">
        <f t="shared" si="7"/>
        <v>44000</v>
      </c>
      <c r="U8" s="60">
        <f t="shared" si="0"/>
        <v>-21</v>
      </c>
      <c r="V8" s="61">
        <f t="shared" si="1"/>
        <v>12</v>
      </c>
      <c r="W8" s="62">
        <f t="shared" si="2"/>
        <v>9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5</v>
      </c>
      <c r="BT8" s="36" t="s">
        <v>143</v>
      </c>
      <c r="BU8" s="47" t="s">
        <v>144</v>
      </c>
      <c r="BV8" s="48" t="s">
        <v>83</v>
      </c>
      <c r="BW8" s="48" t="s">
        <v>147</v>
      </c>
      <c r="BX8" s="48" t="s">
        <v>82</v>
      </c>
      <c r="BY8" s="48" t="s">
        <v>82</v>
      </c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0</v>
      </c>
      <c r="D9" s="18">
        <f t="shared" si="4"/>
        <v>0</v>
      </c>
      <c r="E9" s="4" t="s">
        <v>161</v>
      </c>
      <c r="F9" s="8" t="s">
        <v>146</v>
      </c>
      <c r="G9" s="9">
        <v>-3000</v>
      </c>
      <c r="H9" s="9"/>
      <c r="I9" s="55">
        <v>0</v>
      </c>
      <c r="J9" s="21">
        <f t="shared" si="5"/>
        <v>11000</v>
      </c>
      <c r="K9" s="8" t="s">
        <v>145</v>
      </c>
      <c r="L9" s="9">
        <v>6000</v>
      </c>
      <c r="M9" s="9"/>
      <c r="N9" s="55">
        <v>0</v>
      </c>
      <c r="O9" s="21">
        <f t="shared" si="6"/>
        <v>53000</v>
      </c>
      <c r="P9" s="8" t="s">
        <v>146</v>
      </c>
      <c r="Q9" s="9">
        <v>-3000</v>
      </c>
      <c r="R9" s="9"/>
      <c r="S9" s="55">
        <v>0</v>
      </c>
      <c r="T9" s="21">
        <f t="shared" si="7"/>
        <v>41000</v>
      </c>
      <c r="U9" s="60">
        <f t="shared" si="0"/>
        <v>-24</v>
      </c>
      <c r="V9" s="61">
        <f t="shared" si="1"/>
        <v>18</v>
      </c>
      <c r="W9" s="62">
        <f t="shared" si="2"/>
        <v>6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>
        <v>3</v>
      </c>
      <c r="AY9" s="36">
        <v>30</v>
      </c>
      <c r="AZ9" s="47" t="s">
        <v>105</v>
      </c>
      <c r="BA9" s="48" t="s">
        <v>87</v>
      </c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1</v>
      </c>
      <c r="C10" s="18">
        <f t="shared" si="9"/>
        <v>1</v>
      </c>
      <c r="D10" s="18">
        <f t="shared" si="4"/>
        <v>0</v>
      </c>
      <c r="E10" s="4" t="s">
        <v>161</v>
      </c>
      <c r="F10" s="8"/>
      <c r="G10" s="9"/>
      <c r="H10" s="9"/>
      <c r="I10" s="55"/>
      <c r="J10" s="21">
        <f t="shared" si="5"/>
        <v>11000</v>
      </c>
      <c r="K10" s="8" t="s">
        <v>141</v>
      </c>
      <c r="L10" s="9">
        <v>-12000</v>
      </c>
      <c r="M10" s="9"/>
      <c r="N10" s="55">
        <v>-1000</v>
      </c>
      <c r="O10" s="21">
        <f t="shared" si="6"/>
        <v>40000</v>
      </c>
      <c r="P10" s="8" t="s">
        <v>142</v>
      </c>
      <c r="Q10" s="9">
        <v>12000</v>
      </c>
      <c r="R10" s="9"/>
      <c r="S10" s="55">
        <v>1000</v>
      </c>
      <c r="T10" s="21">
        <f t="shared" si="7"/>
        <v>54000</v>
      </c>
      <c r="U10" s="60">
        <f t="shared" si="0"/>
        <v>-24</v>
      </c>
      <c r="V10" s="61">
        <f t="shared" si="1"/>
        <v>5</v>
      </c>
      <c r="W10" s="62">
        <f t="shared" si="2"/>
        <v>19</v>
      </c>
      <c r="Y10" s="8"/>
      <c r="Z10" s="41"/>
      <c r="AA10" s="32"/>
      <c r="AB10" s="32">
        <v>1</v>
      </c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>
        <v>7</v>
      </c>
      <c r="BT10" s="36" t="s">
        <v>143</v>
      </c>
      <c r="BU10" s="47" t="s">
        <v>105</v>
      </c>
      <c r="BV10" s="48" t="s">
        <v>87</v>
      </c>
      <c r="BW10" s="48" t="s">
        <v>82</v>
      </c>
      <c r="BX10" s="48" t="s">
        <v>80</v>
      </c>
      <c r="BY10" s="48" t="s">
        <v>80</v>
      </c>
      <c r="BZ10" s="48" t="s">
        <v>80</v>
      </c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2</v>
      </c>
      <c r="C11" s="18">
        <f t="shared" si="9"/>
        <v>0</v>
      </c>
      <c r="D11" s="18">
        <f t="shared" si="4"/>
        <v>0</v>
      </c>
      <c r="E11" s="4" t="s">
        <v>163</v>
      </c>
      <c r="F11" s="8" t="s">
        <v>150</v>
      </c>
      <c r="G11" s="9">
        <v>0</v>
      </c>
      <c r="H11" s="9"/>
      <c r="I11" s="55"/>
      <c r="J11" s="21">
        <f t="shared" si="5"/>
        <v>11000</v>
      </c>
      <c r="K11" s="8" t="s">
        <v>150</v>
      </c>
      <c r="L11" s="9">
        <v>0</v>
      </c>
      <c r="M11" s="9">
        <v>-1000</v>
      </c>
      <c r="N11" s="55"/>
      <c r="O11" s="21">
        <f t="shared" si="6"/>
        <v>39000</v>
      </c>
      <c r="P11" s="8" t="s">
        <v>150</v>
      </c>
      <c r="Q11" s="9">
        <v>0</v>
      </c>
      <c r="R11" s="9"/>
      <c r="S11" s="55"/>
      <c r="T11" s="21">
        <f t="shared" si="7"/>
        <v>54000</v>
      </c>
      <c r="U11" s="60">
        <f t="shared" si="0"/>
        <v>-24</v>
      </c>
      <c r="V11" s="61">
        <f t="shared" si="1"/>
        <v>4</v>
      </c>
      <c r="W11" s="62">
        <f t="shared" si="2"/>
        <v>19</v>
      </c>
      <c r="Y11" s="8" t="s">
        <v>148</v>
      </c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 t="s">
        <v>148</v>
      </c>
      <c r="AU11" s="41"/>
      <c r="AV11" s="32">
        <v>1</v>
      </c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 t="s">
        <v>148</v>
      </c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8"/>
        <v>2</v>
      </c>
      <c r="C12" s="18">
        <f t="shared" si="9"/>
        <v>1</v>
      </c>
      <c r="D12" s="18">
        <f t="shared" si="4"/>
        <v>1</v>
      </c>
      <c r="E12" s="4" t="s">
        <v>163</v>
      </c>
      <c r="F12" s="8" t="s">
        <v>141</v>
      </c>
      <c r="G12" s="9">
        <v>-12000</v>
      </c>
      <c r="H12" s="9"/>
      <c r="I12" s="55">
        <v>-1000</v>
      </c>
      <c r="J12" s="21">
        <f t="shared" si="5"/>
        <v>-2000</v>
      </c>
      <c r="K12" s="8"/>
      <c r="L12" s="9"/>
      <c r="M12" s="9"/>
      <c r="N12" s="55"/>
      <c r="O12" s="21">
        <f t="shared" si="6"/>
        <v>39000</v>
      </c>
      <c r="P12" s="8" t="s">
        <v>142</v>
      </c>
      <c r="Q12" s="9">
        <v>12000</v>
      </c>
      <c r="R12" s="9">
        <v>1000</v>
      </c>
      <c r="S12" s="55">
        <v>1000</v>
      </c>
      <c r="T12" s="21">
        <f t="shared" si="7"/>
        <v>68000</v>
      </c>
      <c r="U12" s="60">
        <f t="shared" si="0"/>
        <v>-37</v>
      </c>
      <c r="V12" s="61">
        <f t="shared" si="1"/>
        <v>4</v>
      </c>
      <c r="W12" s="62">
        <f t="shared" si="2"/>
        <v>33</v>
      </c>
      <c r="Y12" s="8"/>
      <c r="Z12" s="41"/>
      <c r="AA12" s="32"/>
      <c r="AB12" s="32">
        <v>1</v>
      </c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>
        <v>1</v>
      </c>
      <c r="BS12" s="32">
        <v>4</v>
      </c>
      <c r="BT12" s="36">
        <v>30</v>
      </c>
      <c r="BU12" s="47" t="s">
        <v>99</v>
      </c>
      <c r="BV12" s="48" t="s">
        <v>87</v>
      </c>
      <c r="BW12" s="48" t="s">
        <v>82</v>
      </c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A320C49D-EFCE-4AA8-BBBB-504341F23FD5}">
      <formula1>$U$2:$W$2</formula1>
    </dataValidation>
    <dataValidation type="list" showInputMessage="1" showErrorMessage="1" sqref="K4:K30 P4:P30 F4:F30" xr:uid="{0E0B0E78-0E44-45FB-BD18-951A0156637C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0370E-D026-45C1-81F7-CBDF380B342D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160</v>
      </c>
      <c r="G1" s="80"/>
      <c r="H1" s="80"/>
      <c r="I1" s="89"/>
      <c r="J1" s="81"/>
      <c r="K1" s="78" t="s">
        <v>162</v>
      </c>
      <c r="L1" s="80"/>
      <c r="M1" s="80"/>
      <c r="N1" s="89"/>
      <c r="O1" s="81"/>
      <c r="P1" s="78" t="s">
        <v>164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まっつん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ぱぱ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いっしー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まっつん</v>
      </c>
      <c r="V2" s="77" t="str">
        <f>$K$1</f>
        <v>ぱぱ</v>
      </c>
      <c r="W2" s="16" t="str">
        <f>$P$1</f>
        <v>いっしー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161</v>
      </c>
      <c r="F4" s="8" t="s">
        <v>146</v>
      </c>
      <c r="G4" s="9">
        <v>-6000</v>
      </c>
      <c r="H4" s="9"/>
      <c r="I4" s="55">
        <v>0</v>
      </c>
      <c r="J4" s="21">
        <f>IF(COUNTA($F4,$K4,$P4)&gt;0,J3+SUM(G4:I4),"")</f>
        <v>29000</v>
      </c>
      <c r="K4" s="8" t="s">
        <v>145</v>
      </c>
      <c r="L4" s="9">
        <v>12000</v>
      </c>
      <c r="M4" s="9"/>
      <c r="N4" s="55">
        <v>0</v>
      </c>
      <c r="O4" s="21">
        <f>IF(COUNTA($F4,$K4,$P4)&gt;0,O3+SUM(L4:N4),"")</f>
        <v>47000</v>
      </c>
      <c r="P4" s="8" t="s">
        <v>146</v>
      </c>
      <c r="Q4" s="9">
        <v>-6000</v>
      </c>
      <c r="R4" s="9"/>
      <c r="S4" s="55">
        <v>0</v>
      </c>
      <c r="T4" s="21">
        <f>IF(COUNTA($F4,$K4,$P4)&gt;0,T3+SUM(Q4:S4),"")</f>
        <v>29000</v>
      </c>
      <c r="U4" s="60">
        <f t="shared" ref="U4:U30" si="0">IF($J4="","",ROUND(($J4-$J$3)/1000,1))</f>
        <v>-6</v>
      </c>
      <c r="V4" s="61">
        <f t="shared" ref="V4:V30" si="1">IF($O4="","",ROUND(($O4-$O$3)/1000,1))</f>
        <v>12</v>
      </c>
      <c r="W4" s="62">
        <f t="shared" ref="W4:W30" si="2">IF($T4="","",ROUND(($T4-$T$3)/1000,1))</f>
        <v>-6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4</v>
      </c>
      <c r="AY4" s="36">
        <v>30</v>
      </c>
      <c r="AZ4" s="47" t="s">
        <v>144</v>
      </c>
      <c r="BA4" s="48" t="s">
        <v>83</v>
      </c>
      <c r="BB4" s="48" t="s">
        <v>82</v>
      </c>
      <c r="BC4" s="48" t="s">
        <v>80</v>
      </c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">
        <v>161</v>
      </c>
      <c r="F5" s="8" t="s">
        <v>150</v>
      </c>
      <c r="G5" s="9">
        <v>-1500</v>
      </c>
      <c r="H5" s="9"/>
      <c r="I5" s="55"/>
      <c r="J5" s="21">
        <f t="shared" ref="J5:J30" si="5">IF(COUNTA($F5,$K5,$P5)&gt;0,J4+SUM(G5:I5),"")</f>
        <v>27500</v>
      </c>
      <c r="K5" s="8" t="s">
        <v>150</v>
      </c>
      <c r="L5" s="9">
        <v>-1500</v>
      </c>
      <c r="M5" s="9"/>
      <c r="N5" s="55"/>
      <c r="O5" s="21">
        <f t="shared" ref="O5:O30" si="6">IF(COUNTA($F5,$K5,$P5)&gt;0,O4+SUM(L5:N5),"")</f>
        <v>45500</v>
      </c>
      <c r="P5" s="8" t="s">
        <v>150</v>
      </c>
      <c r="Q5" s="9">
        <v>3000</v>
      </c>
      <c r="R5" s="9">
        <v>-1000</v>
      </c>
      <c r="S5" s="55"/>
      <c r="T5" s="21">
        <f t="shared" ref="T5:T30" si="7">IF(COUNTA($F5,$K5,$P5)&gt;0,T4+SUM(Q5:S5),"")</f>
        <v>31000</v>
      </c>
      <c r="U5" s="60">
        <f t="shared" si="0"/>
        <v>-7.5</v>
      </c>
      <c r="V5" s="61">
        <f t="shared" si="1"/>
        <v>10.5</v>
      </c>
      <c r="W5" s="62">
        <f t="shared" si="2"/>
        <v>-4</v>
      </c>
      <c r="Y5" s="8" t="s">
        <v>149</v>
      </c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149</v>
      </c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148</v>
      </c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2</v>
      </c>
      <c r="D6" s="18">
        <f t="shared" si="4"/>
        <v>1</v>
      </c>
      <c r="E6" s="4" t="s">
        <v>163</v>
      </c>
      <c r="F6" s="8" t="s">
        <v>145</v>
      </c>
      <c r="G6" s="9">
        <v>8000</v>
      </c>
      <c r="H6" s="9">
        <v>1000</v>
      </c>
      <c r="I6" s="55">
        <v>2000</v>
      </c>
      <c r="J6" s="21">
        <f t="shared" si="5"/>
        <v>38500</v>
      </c>
      <c r="K6" s="8" t="s">
        <v>146</v>
      </c>
      <c r="L6" s="9">
        <v>-3000</v>
      </c>
      <c r="M6" s="9"/>
      <c r="N6" s="55">
        <v>-1000</v>
      </c>
      <c r="O6" s="21">
        <f t="shared" si="6"/>
        <v>41500</v>
      </c>
      <c r="P6" s="8" t="s">
        <v>146</v>
      </c>
      <c r="Q6" s="9">
        <v>-5000</v>
      </c>
      <c r="R6" s="9"/>
      <c r="S6" s="55">
        <v>-1000</v>
      </c>
      <c r="T6" s="21">
        <f t="shared" si="7"/>
        <v>25000</v>
      </c>
      <c r="U6" s="60">
        <f t="shared" si="0"/>
        <v>3.5</v>
      </c>
      <c r="V6" s="61">
        <f t="shared" si="1"/>
        <v>6.5</v>
      </c>
      <c r="W6" s="62">
        <f t="shared" si="2"/>
        <v>-10</v>
      </c>
      <c r="Y6" s="8"/>
      <c r="Z6" s="41"/>
      <c r="AA6" s="32">
        <v>1</v>
      </c>
      <c r="AB6" s="32"/>
      <c r="AC6" s="32">
        <v>5</v>
      </c>
      <c r="AD6" s="36" t="s">
        <v>143</v>
      </c>
      <c r="AE6" s="47" t="s">
        <v>83</v>
      </c>
      <c r="AF6" s="48" t="s">
        <v>144</v>
      </c>
      <c r="AG6" s="48" t="s">
        <v>93</v>
      </c>
      <c r="AH6" s="48" t="s">
        <v>81</v>
      </c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">
        <v>159</v>
      </c>
      <c r="F7" s="8" t="s">
        <v>141</v>
      </c>
      <c r="G7" s="9">
        <v>-5200</v>
      </c>
      <c r="H7" s="9"/>
      <c r="I7" s="55">
        <v>0</v>
      </c>
      <c r="J7" s="21">
        <f t="shared" si="5"/>
        <v>33300</v>
      </c>
      <c r="K7" s="8" t="s">
        <v>142</v>
      </c>
      <c r="L7" s="9">
        <v>5200</v>
      </c>
      <c r="M7" s="9"/>
      <c r="N7" s="55">
        <v>0</v>
      </c>
      <c r="O7" s="21">
        <f t="shared" si="6"/>
        <v>46700</v>
      </c>
      <c r="P7" s="8"/>
      <c r="Q7" s="9"/>
      <c r="R7" s="9"/>
      <c r="S7" s="55"/>
      <c r="T7" s="21">
        <f t="shared" si="7"/>
        <v>25000</v>
      </c>
      <c r="U7" s="60">
        <f t="shared" si="0"/>
        <v>-1.7</v>
      </c>
      <c r="V7" s="61">
        <f t="shared" si="1"/>
        <v>11.7</v>
      </c>
      <c r="W7" s="62">
        <f t="shared" si="2"/>
        <v>-10</v>
      </c>
      <c r="Y7" s="8"/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>
        <v>3</v>
      </c>
      <c r="AY7" s="36">
        <v>40</v>
      </c>
      <c r="AZ7" s="47" t="s">
        <v>87</v>
      </c>
      <c r="BA7" s="48" t="s">
        <v>82</v>
      </c>
      <c r="BB7" s="48" t="s">
        <v>82</v>
      </c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">
        <v>161</v>
      </c>
      <c r="F8" s="8" t="s">
        <v>142</v>
      </c>
      <c r="G8" s="9">
        <v>12000</v>
      </c>
      <c r="H8" s="9"/>
      <c r="I8" s="55">
        <v>0</v>
      </c>
      <c r="J8" s="21">
        <f t="shared" si="5"/>
        <v>45300</v>
      </c>
      <c r="K8" s="8" t="s">
        <v>141</v>
      </c>
      <c r="L8" s="9">
        <v>-12000</v>
      </c>
      <c r="M8" s="9"/>
      <c r="N8" s="55">
        <v>0</v>
      </c>
      <c r="O8" s="21">
        <f t="shared" si="6"/>
        <v>34700</v>
      </c>
      <c r="P8" s="8"/>
      <c r="Q8" s="9"/>
      <c r="R8" s="9"/>
      <c r="S8" s="55"/>
      <c r="T8" s="21">
        <f t="shared" si="7"/>
        <v>25000</v>
      </c>
      <c r="U8" s="60">
        <f t="shared" si="0"/>
        <v>10.3</v>
      </c>
      <c r="V8" s="61">
        <f t="shared" si="1"/>
        <v>-0.3</v>
      </c>
      <c r="W8" s="62">
        <f t="shared" si="2"/>
        <v>-10</v>
      </c>
      <c r="Y8" s="8"/>
      <c r="Z8" s="41"/>
      <c r="AA8" s="32"/>
      <c r="AB8" s="32">
        <v>1</v>
      </c>
      <c r="AC8" s="32">
        <v>7</v>
      </c>
      <c r="AD8" s="36" t="s">
        <v>143</v>
      </c>
      <c r="AE8" s="47" t="s">
        <v>105</v>
      </c>
      <c r="AF8" s="48" t="s">
        <v>87</v>
      </c>
      <c r="AG8" s="48" t="s">
        <v>82</v>
      </c>
      <c r="AH8" s="48" t="s">
        <v>82</v>
      </c>
      <c r="AI8" s="48" t="s">
        <v>82</v>
      </c>
      <c r="AJ8" s="48" t="s">
        <v>82</v>
      </c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2</v>
      </c>
      <c r="C9" s="18">
        <f t="shared" si="9"/>
        <v>0</v>
      </c>
      <c r="D9" s="18">
        <f t="shared" si="4"/>
        <v>0</v>
      </c>
      <c r="E9" s="4" t="s">
        <v>163</v>
      </c>
      <c r="F9" s="8" t="s">
        <v>142</v>
      </c>
      <c r="G9" s="9">
        <v>8000</v>
      </c>
      <c r="H9" s="9"/>
      <c r="I9" s="55">
        <v>0</v>
      </c>
      <c r="J9" s="21">
        <f t="shared" si="5"/>
        <v>53300</v>
      </c>
      <c r="K9" s="8"/>
      <c r="L9" s="9"/>
      <c r="M9" s="9"/>
      <c r="N9" s="55"/>
      <c r="O9" s="21">
        <f t="shared" si="6"/>
        <v>34700</v>
      </c>
      <c r="P9" s="8" t="s">
        <v>141</v>
      </c>
      <c r="Q9" s="9">
        <v>-8000</v>
      </c>
      <c r="R9" s="9"/>
      <c r="S9" s="55">
        <v>0</v>
      </c>
      <c r="T9" s="21">
        <f t="shared" si="7"/>
        <v>17000</v>
      </c>
      <c r="U9" s="60">
        <f t="shared" si="0"/>
        <v>18.3</v>
      </c>
      <c r="V9" s="61">
        <f t="shared" si="1"/>
        <v>-0.3</v>
      </c>
      <c r="W9" s="62">
        <f t="shared" si="2"/>
        <v>-18</v>
      </c>
      <c r="Y9" s="8"/>
      <c r="Z9" s="41"/>
      <c r="AA9" s="32"/>
      <c r="AB9" s="32">
        <v>1</v>
      </c>
      <c r="AC9" s="32">
        <v>4</v>
      </c>
      <c r="AD9" s="36">
        <v>30</v>
      </c>
      <c r="AE9" s="47" t="s">
        <v>87</v>
      </c>
      <c r="AF9" s="48" t="s">
        <v>87</v>
      </c>
      <c r="AG9" s="48" t="s">
        <v>80</v>
      </c>
      <c r="AH9" s="48" t="s">
        <v>80</v>
      </c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3</v>
      </c>
      <c r="C10" s="18">
        <f t="shared" si="9"/>
        <v>0</v>
      </c>
      <c r="D10" s="18">
        <f t="shared" si="4"/>
        <v>0</v>
      </c>
      <c r="E10" s="4" t="s">
        <v>159</v>
      </c>
      <c r="F10" s="8" t="s">
        <v>141</v>
      </c>
      <c r="G10" s="9">
        <v>-8000</v>
      </c>
      <c r="H10" s="9"/>
      <c r="I10" s="55">
        <v>0</v>
      </c>
      <c r="J10" s="21">
        <f t="shared" si="5"/>
        <v>45300</v>
      </c>
      <c r="K10" s="8"/>
      <c r="L10" s="9"/>
      <c r="M10" s="9"/>
      <c r="N10" s="55"/>
      <c r="O10" s="21">
        <f t="shared" si="6"/>
        <v>34700</v>
      </c>
      <c r="P10" s="8" t="s">
        <v>142</v>
      </c>
      <c r="Q10" s="9">
        <v>8000</v>
      </c>
      <c r="R10" s="9"/>
      <c r="S10" s="55">
        <v>0</v>
      </c>
      <c r="T10" s="21">
        <f t="shared" si="7"/>
        <v>25000</v>
      </c>
      <c r="U10" s="60">
        <f t="shared" si="0"/>
        <v>10.3</v>
      </c>
      <c r="V10" s="61">
        <f t="shared" si="1"/>
        <v>-0.3</v>
      </c>
      <c r="W10" s="62">
        <f t="shared" si="2"/>
        <v>-10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4</v>
      </c>
      <c r="BT10" s="36">
        <v>40</v>
      </c>
      <c r="BU10" s="47" t="s">
        <v>144</v>
      </c>
      <c r="BV10" s="48" t="s">
        <v>87</v>
      </c>
      <c r="BW10" s="48" t="s">
        <v>82</v>
      </c>
      <c r="BX10" s="48" t="s">
        <v>82</v>
      </c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080C399A-FECB-4A33-ABB3-789A65ABE1AE}">
      <formula1>"ロン,ツモ,放銃,ツモ支払,流局,チョンボ"</formula1>
    </dataValidation>
    <dataValidation type="list" allowBlank="1" showInputMessage="1" showErrorMessage="1" sqref="E4:E30" xr:uid="{ADC0D72E-4ACC-4C00-99BB-79CDDFDB5CC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8A55C-0011-4CD6-A9A3-8834ADC345CB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162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ぱぱ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やがさき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ぱぱ</v>
      </c>
      <c r="W2" s="16" t="str">
        <f>$P$1</f>
        <v>やがさき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/>
      <c r="G4" s="9"/>
      <c r="H4" s="9"/>
      <c r="I4" s="55"/>
      <c r="J4" s="21">
        <f>IF(COUNTA($F4,$K4,$P4)&gt;0,J3+SUM(G4:I4),"")</f>
        <v>35000</v>
      </c>
      <c r="K4" s="8" t="s">
        <v>142</v>
      </c>
      <c r="L4" s="9">
        <v>8000</v>
      </c>
      <c r="M4" s="9"/>
      <c r="N4" s="55">
        <v>0</v>
      </c>
      <c r="O4" s="21">
        <f>IF(COUNTA($F4,$K4,$P4)&gt;0,O3+SUM(L4:N4),"")</f>
        <v>43000</v>
      </c>
      <c r="P4" s="8" t="s">
        <v>141</v>
      </c>
      <c r="Q4" s="9">
        <v>-8000</v>
      </c>
      <c r="R4" s="9"/>
      <c r="S4" s="55">
        <v>0</v>
      </c>
      <c r="T4" s="21">
        <f>IF(COUNTA($F4,$K4,$P4)&gt;0,T3+SUM(Q4:S4),"")</f>
        <v>27000</v>
      </c>
      <c r="U4" s="60">
        <f t="shared" ref="U4:U30" si="0">IF($J4="","",ROUND(($J4-$J$3)/1000,1))</f>
        <v>0</v>
      </c>
      <c r="V4" s="61">
        <f t="shared" ref="V4:V30" si="1">IF($O4="","",ROUND(($O4-$O$3)/1000,1))</f>
        <v>8</v>
      </c>
      <c r="W4" s="62">
        <f t="shared" ref="W4:W30" si="2">IF($T4="","",ROUND(($T4-$T$3)/1000,1))</f>
        <v>-8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>
        <v>5</v>
      </c>
      <c r="AY4" s="36" t="s">
        <v>143</v>
      </c>
      <c r="AZ4" s="47" t="s">
        <v>105</v>
      </c>
      <c r="BA4" s="48" t="s">
        <v>87</v>
      </c>
      <c r="BB4" s="48" t="s">
        <v>87</v>
      </c>
      <c r="BC4" s="48" t="s">
        <v>82</v>
      </c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161</v>
      </c>
      <c r="F5" s="8" t="s">
        <v>150</v>
      </c>
      <c r="G5" s="9">
        <v>3000</v>
      </c>
      <c r="H5" s="9">
        <v>-1000</v>
      </c>
      <c r="I5" s="55"/>
      <c r="J5" s="21">
        <f t="shared" ref="J5:J30" si="5">IF(COUNTA($F5,$K5,$P5)&gt;0,J4+SUM(G5:I5),"")</f>
        <v>37000</v>
      </c>
      <c r="K5" s="8" t="s">
        <v>150</v>
      </c>
      <c r="L5" s="9">
        <v>-1500</v>
      </c>
      <c r="M5" s="9"/>
      <c r="N5" s="55"/>
      <c r="O5" s="21">
        <f t="shared" ref="O5:O30" si="6">IF(COUNTA($F5,$K5,$P5)&gt;0,O4+SUM(L5:N5),"")</f>
        <v>41500</v>
      </c>
      <c r="P5" s="8" t="s">
        <v>150</v>
      </c>
      <c r="Q5" s="9">
        <v>-1500</v>
      </c>
      <c r="R5" s="9"/>
      <c r="S5" s="55"/>
      <c r="T5" s="21">
        <f t="shared" ref="T5:T30" si="7">IF(COUNTA($F5,$K5,$P5)&gt;0,T4+SUM(Q5:S5),"")</f>
        <v>25500</v>
      </c>
      <c r="U5" s="60">
        <f t="shared" si="0"/>
        <v>2</v>
      </c>
      <c r="V5" s="61">
        <f t="shared" si="1"/>
        <v>6.5</v>
      </c>
      <c r="W5" s="62">
        <f t="shared" si="2"/>
        <v>-9.5</v>
      </c>
      <c r="Y5" s="8" t="s">
        <v>148</v>
      </c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149</v>
      </c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149</v>
      </c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1</v>
      </c>
      <c r="D6" s="18">
        <f t="shared" si="4"/>
        <v>1</v>
      </c>
      <c r="E6" s="4" t="s">
        <v>139</v>
      </c>
      <c r="F6" s="8" t="s">
        <v>146</v>
      </c>
      <c r="G6" s="9">
        <v>-500</v>
      </c>
      <c r="H6" s="9"/>
      <c r="I6" s="55">
        <v>-500</v>
      </c>
      <c r="J6" s="21">
        <f t="shared" si="5"/>
        <v>36000</v>
      </c>
      <c r="K6" s="8" t="s">
        <v>145</v>
      </c>
      <c r="L6" s="9">
        <v>1200</v>
      </c>
      <c r="M6" s="9">
        <v>1000</v>
      </c>
      <c r="N6" s="55">
        <v>1000</v>
      </c>
      <c r="O6" s="21">
        <f t="shared" si="6"/>
        <v>44700</v>
      </c>
      <c r="P6" s="8" t="s">
        <v>146</v>
      </c>
      <c r="Q6" s="9">
        <v>-700</v>
      </c>
      <c r="R6" s="9"/>
      <c r="S6" s="55">
        <v>-500</v>
      </c>
      <c r="T6" s="21">
        <f t="shared" si="7"/>
        <v>24300</v>
      </c>
      <c r="U6" s="60">
        <f t="shared" si="0"/>
        <v>1</v>
      </c>
      <c r="V6" s="61">
        <f t="shared" si="1"/>
        <v>9.6999999999999993</v>
      </c>
      <c r="W6" s="62">
        <f t="shared" si="2"/>
        <v>-10.7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1</v>
      </c>
      <c r="AY6" s="36">
        <v>30</v>
      </c>
      <c r="AZ6" s="47" t="s">
        <v>87</v>
      </c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">
        <v>135</v>
      </c>
      <c r="F7" s="8" t="s">
        <v>145</v>
      </c>
      <c r="G7" s="9">
        <v>12000</v>
      </c>
      <c r="H7" s="9"/>
      <c r="I7" s="55">
        <v>0</v>
      </c>
      <c r="J7" s="21">
        <f t="shared" si="5"/>
        <v>48000</v>
      </c>
      <c r="K7" s="8" t="s">
        <v>146</v>
      </c>
      <c r="L7" s="9">
        <v>-6000</v>
      </c>
      <c r="M7" s="9"/>
      <c r="N7" s="55">
        <v>0</v>
      </c>
      <c r="O7" s="21">
        <f t="shared" si="6"/>
        <v>38700</v>
      </c>
      <c r="P7" s="8" t="s">
        <v>146</v>
      </c>
      <c r="Q7" s="9">
        <v>-6000</v>
      </c>
      <c r="R7" s="9"/>
      <c r="S7" s="55">
        <v>0</v>
      </c>
      <c r="T7" s="21">
        <f t="shared" si="7"/>
        <v>18300</v>
      </c>
      <c r="U7" s="60">
        <f t="shared" si="0"/>
        <v>13</v>
      </c>
      <c r="V7" s="61">
        <f t="shared" si="1"/>
        <v>3.7</v>
      </c>
      <c r="W7" s="62">
        <f t="shared" si="2"/>
        <v>-16.7</v>
      </c>
      <c r="Y7" s="8"/>
      <c r="Z7" s="41"/>
      <c r="AA7" s="32">
        <v>1</v>
      </c>
      <c r="AB7" s="32"/>
      <c r="AC7" s="32">
        <v>5</v>
      </c>
      <c r="AD7" s="36" t="s">
        <v>143</v>
      </c>
      <c r="AE7" s="47" t="s">
        <v>144</v>
      </c>
      <c r="AF7" s="48" t="s">
        <v>83</v>
      </c>
      <c r="AG7" s="48" t="s">
        <v>84</v>
      </c>
      <c r="AH7" s="48" t="s">
        <v>82</v>
      </c>
      <c r="AI7" s="48" t="s">
        <v>82</v>
      </c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1</v>
      </c>
      <c r="D8" s="18">
        <f t="shared" si="4"/>
        <v>0</v>
      </c>
      <c r="E8" s="4" t="s">
        <v>135</v>
      </c>
      <c r="F8" s="8" t="s">
        <v>141</v>
      </c>
      <c r="G8" s="9">
        <v>-3200</v>
      </c>
      <c r="H8" s="9"/>
      <c r="I8" s="55">
        <v>-1000</v>
      </c>
      <c r="J8" s="21">
        <f t="shared" si="5"/>
        <v>43800</v>
      </c>
      <c r="K8" s="8" t="s">
        <v>142</v>
      </c>
      <c r="L8" s="9">
        <v>3200</v>
      </c>
      <c r="M8" s="9"/>
      <c r="N8" s="55">
        <v>1000</v>
      </c>
      <c r="O8" s="21">
        <f t="shared" si="6"/>
        <v>42900</v>
      </c>
      <c r="P8" s="8"/>
      <c r="Q8" s="9"/>
      <c r="R8" s="9"/>
      <c r="S8" s="55"/>
      <c r="T8" s="21">
        <f t="shared" si="7"/>
        <v>18300</v>
      </c>
      <c r="U8" s="60">
        <f t="shared" si="0"/>
        <v>8.8000000000000007</v>
      </c>
      <c r="V8" s="61">
        <f t="shared" si="1"/>
        <v>7.9</v>
      </c>
      <c r="W8" s="62">
        <f t="shared" si="2"/>
        <v>-16.7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>
        <v>3</v>
      </c>
      <c r="AY8" s="36">
        <v>25</v>
      </c>
      <c r="AZ8" s="47" t="s">
        <v>82</v>
      </c>
      <c r="BA8" s="48" t="s">
        <v>102</v>
      </c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2</v>
      </c>
      <c r="C9" s="18">
        <f t="shared" si="9"/>
        <v>0</v>
      </c>
      <c r="D9" s="18">
        <f t="shared" si="4"/>
        <v>0</v>
      </c>
      <c r="E9" s="4" t="s">
        <v>161</v>
      </c>
      <c r="F9" s="8" t="s">
        <v>146</v>
      </c>
      <c r="G9" s="9">
        <v>-6000</v>
      </c>
      <c r="H9" s="9"/>
      <c r="I9" s="55">
        <v>0</v>
      </c>
      <c r="J9" s="21">
        <f t="shared" si="5"/>
        <v>37800</v>
      </c>
      <c r="K9" s="8" t="s">
        <v>145</v>
      </c>
      <c r="L9" s="9">
        <v>12000</v>
      </c>
      <c r="M9" s="9">
        <v>1000</v>
      </c>
      <c r="N9" s="55">
        <v>0</v>
      </c>
      <c r="O9" s="21">
        <f t="shared" si="6"/>
        <v>55900</v>
      </c>
      <c r="P9" s="8" t="s">
        <v>146</v>
      </c>
      <c r="Q9" s="9">
        <v>-6000</v>
      </c>
      <c r="R9" s="9">
        <v>-1000</v>
      </c>
      <c r="S9" s="55">
        <v>0</v>
      </c>
      <c r="T9" s="21">
        <f t="shared" si="7"/>
        <v>11300</v>
      </c>
      <c r="U9" s="60">
        <f t="shared" si="0"/>
        <v>2.8</v>
      </c>
      <c r="V9" s="61">
        <f t="shared" si="1"/>
        <v>20.9</v>
      </c>
      <c r="W9" s="62">
        <f t="shared" si="2"/>
        <v>-23.7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>
        <v>4</v>
      </c>
      <c r="AY9" s="36">
        <v>30</v>
      </c>
      <c r="AZ9" s="47" t="s">
        <v>105</v>
      </c>
      <c r="BA9" s="48" t="s">
        <v>87</v>
      </c>
      <c r="BB9" s="48" t="s">
        <v>82</v>
      </c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1</v>
      </c>
      <c r="D10" s="18">
        <f t="shared" si="4"/>
        <v>0</v>
      </c>
      <c r="E10" s="4" t="s">
        <v>161</v>
      </c>
      <c r="F10" s="8" t="s">
        <v>145</v>
      </c>
      <c r="G10" s="9">
        <v>5300</v>
      </c>
      <c r="H10" s="9">
        <v>1000</v>
      </c>
      <c r="I10" s="55">
        <v>1000</v>
      </c>
      <c r="J10" s="21">
        <f t="shared" si="5"/>
        <v>45100</v>
      </c>
      <c r="K10" s="8" t="s">
        <v>146</v>
      </c>
      <c r="L10" s="9">
        <v>-3300</v>
      </c>
      <c r="M10" s="9">
        <v>-1000</v>
      </c>
      <c r="N10" s="55">
        <v>-500</v>
      </c>
      <c r="O10" s="21">
        <f t="shared" si="6"/>
        <v>51100</v>
      </c>
      <c r="P10" s="8" t="s">
        <v>146</v>
      </c>
      <c r="Q10" s="9">
        <v>-2000</v>
      </c>
      <c r="R10" s="9"/>
      <c r="S10" s="55">
        <v>-500</v>
      </c>
      <c r="T10" s="21">
        <f t="shared" si="7"/>
        <v>8800</v>
      </c>
      <c r="U10" s="60">
        <f t="shared" si="0"/>
        <v>10.1</v>
      </c>
      <c r="V10" s="61">
        <f t="shared" si="1"/>
        <v>16.100000000000001</v>
      </c>
      <c r="W10" s="62">
        <f t="shared" si="2"/>
        <v>-26.2</v>
      </c>
      <c r="Y10" s="8"/>
      <c r="Z10" s="41"/>
      <c r="AA10" s="32">
        <v>1</v>
      </c>
      <c r="AB10" s="32"/>
      <c r="AC10" s="32">
        <v>4</v>
      </c>
      <c r="AD10" s="36">
        <v>20</v>
      </c>
      <c r="AE10" s="47" t="s">
        <v>144</v>
      </c>
      <c r="AF10" s="48" t="s">
        <v>84</v>
      </c>
      <c r="AG10" s="48" t="s">
        <v>83</v>
      </c>
      <c r="AH10" s="48" t="s">
        <v>82</v>
      </c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">
        <v>139</v>
      </c>
      <c r="F11" s="8"/>
      <c r="G11" s="9"/>
      <c r="H11" s="9"/>
      <c r="I11" s="55"/>
      <c r="J11" s="21">
        <f t="shared" si="5"/>
        <v>45100</v>
      </c>
      <c r="K11" s="8" t="s">
        <v>142</v>
      </c>
      <c r="L11" s="9">
        <v>8000</v>
      </c>
      <c r="M11" s="9"/>
      <c r="N11" s="55">
        <v>0</v>
      </c>
      <c r="O11" s="21">
        <f t="shared" si="6"/>
        <v>59100</v>
      </c>
      <c r="P11" s="8" t="s">
        <v>141</v>
      </c>
      <c r="Q11" s="9">
        <v>-8000</v>
      </c>
      <c r="R11" s="9"/>
      <c r="S11" s="55">
        <v>0</v>
      </c>
      <c r="T11" s="21">
        <f t="shared" si="7"/>
        <v>800</v>
      </c>
      <c r="U11" s="60">
        <f t="shared" si="0"/>
        <v>10.1</v>
      </c>
      <c r="V11" s="61">
        <f t="shared" si="1"/>
        <v>24.1</v>
      </c>
      <c r="W11" s="62">
        <f t="shared" si="2"/>
        <v>-34.200000000000003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>
        <v>4</v>
      </c>
      <c r="AY11" s="36">
        <v>30</v>
      </c>
      <c r="AZ11" s="47" t="s">
        <v>87</v>
      </c>
      <c r="BA11" s="48" t="s">
        <v>82</v>
      </c>
      <c r="BB11" s="48" t="s">
        <v>99</v>
      </c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3A4AA3E5-6996-4BD1-A420-A349589C2A28}">
      <formula1>$U$2:$W$2</formula1>
    </dataValidation>
    <dataValidation type="list" showInputMessage="1" showErrorMessage="1" sqref="K4:K30 P4:P30 F4:F30" xr:uid="{209A57A0-7750-4897-982D-FB9F316833E9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F2515-8D42-48B5-B047-732C69A9C280}">
  <sheetPr codeName="Sheet17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162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ぱぱ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やがさき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ぱぱ</v>
      </c>
      <c r="W2" s="16" t="str">
        <f>$P$1</f>
        <v>やがさき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161</v>
      </c>
      <c r="F4" s="8" t="s">
        <v>150</v>
      </c>
      <c r="G4" s="9">
        <v>0</v>
      </c>
      <c r="H4" s="9"/>
      <c r="I4" s="55"/>
      <c r="J4" s="21">
        <f>IF(COUNTA($F4,$K4,$P4)&gt;0,J3+SUM(G4:I4),"")</f>
        <v>35000</v>
      </c>
      <c r="K4" s="8" t="s">
        <v>150</v>
      </c>
      <c r="L4" s="9">
        <v>0</v>
      </c>
      <c r="M4" s="9"/>
      <c r="N4" s="55"/>
      <c r="O4" s="21">
        <f>IF(COUNTA($F4,$K4,$P4)&gt;0,O3+SUM(L4:N4),"")</f>
        <v>35000</v>
      </c>
      <c r="P4" s="8" t="s">
        <v>150</v>
      </c>
      <c r="Q4" s="9">
        <v>0</v>
      </c>
      <c r="R4" s="9"/>
      <c r="S4" s="55"/>
      <c r="T4" s="21">
        <f>IF(COUNTA($F4,$K4,$P4)&gt;0,T3+SUM(Q4:S4),"")</f>
        <v>35000</v>
      </c>
      <c r="U4" s="60">
        <f t="shared" ref="U4:U30" si="0">IF($J4="","",ROUND(($J4-$J$3)/1000,1))</f>
        <v>0</v>
      </c>
      <c r="V4" s="61">
        <f t="shared" ref="V4:V30" si="1">IF($O4="","",ROUND(($O4-$O$3)/1000,1))</f>
        <v>0</v>
      </c>
      <c r="W4" s="62">
        <f t="shared" ref="W4:W30" si="2">IF($T4="","",ROUND(($T4-$T$3)/1000,1))</f>
        <v>0</v>
      </c>
      <c r="Y4" s="8" t="s">
        <v>149</v>
      </c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149</v>
      </c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149</v>
      </c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">
        <v>139</v>
      </c>
      <c r="F5" s="8" t="s">
        <v>141</v>
      </c>
      <c r="G5" s="9">
        <v>-5800</v>
      </c>
      <c r="H5" s="9"/>
      <c r="I5" s="55">
        <v>-1000</v>
      </c>
      <c r="J5" s="21">
        <f t="shared" ref="J5:J30" si="5">IF(COUNTA($F5,$K5,$P5)&gt;0,J4+SUM(G5:I5),"")</f>
        <v>28200</v>
      </c>
      <c r="K5" s="8"/>
      <c r="L5" s="9"/>
      <c r="M5" s="9"/>
      <c r="N5" s="55"/>
      <c r="O5" s="21">
        <f t="shared" ref="O5:O30" si="6">IF(COUNTA($F5,$K5,$P5)&gt;0,O4+SUM(L5:N5),"")</f>
        <v>35000</v>
      </c>
      <c r="P5" s="8" t="s">
        <v>142</v>
      </c>
      <c r="Q5" s="9">
        <v>5800</v>
      </c>
      <c r="R5" s="9"/>
      <c r="S5" s="55">
        <v>1000</v>
      </c>
      <c r="T5" s="21">
        <f t="shared" ref="T5:T30" si="7">IF(COUNTA($F5,$K5,$P5)&gt;0,T4+SUM(Q5:S5),"")</f>
        <v>41800</v>
      </c>
      <c r="U5" s="60">
        <f t="shared" si="0"/>
        <v>-6.8</v>
      </c>
      <c r="V5" s="61">
        <f t="shared" si="1"/>
        <v>0</v>
      </c>
      <c r="W5" s="62">
        <f t="shared" si="2"/>
        <v>6.8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3</v>
      </c>
      <c r="BT5" s="36">
        <v>30</v>
      </c>
      <c r="BU5" s="47" t="s">
        <v>82</v>
      </c>
      <c r="BV5" s="48" t="s">
        <v>82</v>
      </c>
      <c r="BW5" s="48" t="s">
        <v>94</v>
      </c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2</v>
      </c>
      <c r="D6" s="18">
        <f t="shared" si="4"/>
        <v>0</v>
      </c>
      <c r="E6" s="4" t="s">
        <v>139</v>
      </c>
      <c r="F6" s="8" t="s">
        <v>142</v>
      </c>
      <c r="G6" s="9">
        <v>12000</v>
      </c>
      <c r="H6" s="9"/>
      <c r="I6" s="55">
        <v>2000</v>
      </c>
      <c r="J6" s="21">
        <f t="shared" si="5"/>
        <v>42200</v>
      </c>
      <c r="K6" s="8"/>
      <c r="L6" s="9"/>
      <c r="M6" s="9"/>
      <c r="N6" s="55"/>
      <c r="O6" s="21">
        <f t="shared" si="6"/>
        <v>35000</v>
      </c>
      <c r="P6" s="8" t="s">
        <v>141</v>
      </c>
      <c r="Q6" s="9">
        <v>-12000</v>
      </c>
      <c r="R6" s="9"/>
      <c r="S6" s="55">
        <v>-2000</v>
      </c>
      <c r="T6" s="21">
        <f t="shared" si="7"/>
        <v>27800</v>
      </c>
      <c r="U6" s="60">
        <f t="shared" si="0"/>
        <v>7.2</v>
      </c>
      <c r="V6" s="61">
        <f t="shared" si="1"/>
        <v>0</v>
      </c>
      <c r="W6" s="62">
        <f t="shared" si="2"/>
        <v>-7.2</v>
      </c>
      <c r="Y6" s="8"/>
      <c r="Z6" s="41"/>
      <c r="AA6" s="32"/>
      <c r="AB6" s="32">
        <v>1</v>
      </c>
      <c r="AC6" s="32">
        <v>7</v>
      </c>
      <c r="AD6" s="36" t="s">
        <v>143</v>
      </c>
      <c r="AE6" s="47" t="s">
        <v>105</v>
      </c>
      <c r="AF6" s="48" t="s">
        <v>87</v>
      </c>
      <c r="AG6" s="48" t="s">
        <v>87</v>
      </c>
      <c r="AH6" s="48" t="s">
        <v>80</v>
      </c>
      <c r="AI6" s="48" t="s">
        <v>80</v>
      </c>
      <c r="AJ6" s="48" t="s">
        <v>80</v>
      </c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">
        <v>135</v>
      </c>
      <c r="F7" s="8" t="s">
        <v>142</v>
      </c>
      <c r="G7" s="9">
        <v>12000</v>
      </c>
      <c r="H7" s="9"/>
      <c r="I7" s="55">
        <v>0</v>
      </c>
      <c r="J7" s="21">
        <f t="shared" si="5"/>
        <v>54200</v>
      </c>
      <c r="K7" s="8" t="s">
        <v>141</v>
      </c>
      <c r="L7" s="9">
        <v>-12000</v>
      </c>
      <c r="M7" s="9"/>
      <c r="N7" s="55">
        <v>0</v>
      </c>
      <c r="O7" s="21">
        <f t="shared" si="6"/>
        <v>23000</v>
      </c>
      <c r="P7" s="8"/>
      <c r="Q7" s="9"/>
      <c r="R7" s="9"/>
      <c r="S7" s="55"/>
      <c r="T7" s="21">
        <f t="shared" si="7"/>
        <v>27800</v>
      </c>
      <c r="U7" s="60">
        <f t="shared" si="0"/>
        <v>19.2</v>
      </c>
      <c r="V7" s="61">
        <f t="shared" si="1"/>
        <v>-12</v>
      </c>
      <c r="W7" s="62">
        <f t="shared" si="2"/>
        <v>-7.2</v>
      </c>
      <c r="Y7" s="8"/>
      <c r="Z7" s="41"/>
      <c r="AA7" s="32"/>
      <c r="AB7" s="32">
        <v>1</v>
      </c>
      <c r="AC7" s="32">
        <v>4</v>
      </c>
      <c r="AD7" s="36">
        <v>30</v>
      </c>
      <c r="AE7" s="47" t="s">
        <v>87</v>
      </c>
      <c r="AF7" s="48" t="s">
        <v>82</v>
      </c>
      <c r="AG7" s="48" t="s">
        <v>105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1</v>
      </c>
      <c r="D8" s="18">
        <f t="shared" si="4"/>
        <v>0</v>
      </c>
      <c r="E8" s="4" t="s">
        <v>135</v>
      </c>
      <c r="F8" s="8" t="s">
        <v>150</v>
      </c>
      <c r="G8" s="9">
        <v>-1500</v>
      </c>
      <c r="H8" s="9"/>
      <c r="I8" s="55"/>
      <c r="J8" s="21">
        <f t="shared" si="5"/>
        <v>52700</v>
      </c>
      <c r="K8" s="8" t="s">
        <v>150</v>
      </c>
      <c r="L8" s="9">
        <v>-1500</v>
      </c>
      <c r="M8" s="9"/>
      <c r="N8" s="55"/>
      <c r="O8" s="21">
        <f t="shared" si="6"/>
        <v>21500</v>
      </c>
      <c r="P8" s="8" t="s">
        <v>150</v>
      </c>
      <c r="Q8" s="9">
        <v>3000</v>
      </c>
      <c r="R8" s="9">
        <v>-1000</v>
      </c>
      <c r="S8" s="55"/>
      <c r="T8" s="21">
        <f t="shared" si="7"/>
        <v>29800</v>
      </c>
      <c r="U8" s="60">
        <f t="shared" si="0"/>
        <v>17.7</v>
      </c>
      <c r="V8" s="61">
        <f t="shared" si="1"/>
        <v>-13.5</v>
      </c>
      <c r="W8" s="62">
        <f t="shared" si="2"/>
        <v>-5.2</v>
      </c>
      <c r="Y8" s="8" t="s">
        <v>149</v>
      </c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149</v>
      </c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148</v>
      </c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2</v>
      </c>
      <c r="D9" s="18">
        <f t="shared" si="4"/>
        <v>1</v>
      </c>
      <c r="E9" s="4" t="s">
        <v>161</v>
      </c>
      <c r="F9" s="8"/>
      <c r="G9" s="9"/>
      <c r="H9" s="9"/>
      <c r="I9" s="55"/>
      <c r="J9" s="21">
        <f t="shared" si="5"/>
        <v>52700</v>
      </c>
      <c r="K9" s="8" t="s">
        <v>142</v>
      </c>
      <c r="L9" s="9">
        <v>18000</v>
      </c>
      <c r="M9" s="9">
        <v>2000</v>
      </c>
      <c r="N9" s="55">
        <v>2000</v>
      </c>
      <c r="O9" s="21">
        <f t="shared" si="6"/>
        <v>43500</v>
      </c>
      <c r="P9" s="8" t="s">
        <v>141</v>
      </c>
      <c r="Q9" s="9">
        <v>-18000</v>
      </c>
      <c r="R9" s="9">
        <v>-1000</v>
      </c>
      <c r="S9" s="55">
        <v>-2000</v>
      </c>
      <c r="T9" s="21">
        <f t="shared" si="7"/>
        <v>8800</v>
      </c>
      <c r="U9" s="60">
        <f t="shared" si="0"/>
        <v>17.7</v>
      </c>
      <c r="V9" s="61">
        <f t="shared" si="1"/>
        <v>8.5</v>
      </c>
      <c r="W9" s="62">
        <f t="shared" si="2"/>
        <v>-26.2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7</v>
      </c>
      <c r="AY9" s="36" t="s">
        <v>143</v>
      </c>
      <c r="AZ9" s="47" t="s">
        <v>144</v>
      </c>
      <c r="BA9" s="48" t="s">
        <v>85</v>
      </c>
      <c r="BB9" s="48" t="s">
        <v>81</v>
      </c>
      <c r="BC9" s="48" t="s">
        <v>81</v>
      </c>
      <c r="BD9" s="48" t="s">
        <v>80</v>
      </c>
      <c r="BE9" s="48" t="s">
        <v>80</v>
      </c>
      <c r="BF9" s="48" t="s">
        <v>80</v>
      </c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1</v>
      </c>
      <c r="C10" s="18">
        <f t="shared" si="9"/>
        <v>3</v>
      </c>
      <c r="D10" s="18">
        <f t="shared" si="4"/>
        <v>0</v>
      </c>
      <c r="E10" s="4" t="s">
        <v>161</v>
      </c>
      <c r="F10" s="8" t="s">
        <v>141</v>
      </c>
      <c r="G10" s="9">
        <v>-12000</v>
      </c>
      <c r="H10" s="9">
        <v>-1000</v>
      </c>
      <c r="I10" s="55">
        <v>-3000</v>
      </c>
      <c r="J10" s="21">
        <f t="shared" si="5"/>
        <v>36700</v>
      </c>
      <c r="K10" s="8" t="s">
        <v>142</v>
      </c>
      <c r="L10" s="9">
        <v>12000</v>
      </c>
      <c r="M10" s="9">
        <v>1000</v>
      </c>
      <c r="N10" s="55">
        <v>3000</v>
      </c>
      <c r="O10" s="21">
        <f t="shared" si="6"/>
        <v>59500</v>
      </c>
      <c r="P10" s="8"/>
      <c r="Q10" s="9"/>
      <c r="R10" s="9"/>
      <c r="S10" s="55"/>
      <c r="T10" s="21">
        <f t="shared" si="7"/>
        <v>8800</v>
      </c>
      <c r="U10" s="60">
        <f t="shared" si="0"/>
        <v>1.7</v>
      </c>
      <c r="V10" s="61">
        <f t="shared" si="1"/>
        <v>24.5</v>
      </c>
      <c r="W10" s="62">
        <f t="shared" si="2"/>
        <v>-26.2</v>
      </c>
      <c r="Y10" s="8"/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4</v>
      </c>
      <c r="AY10" s="36">
        <v>40</v>
      </c>
      <c r="AZ10" s="47" t="s">
        <v>144</v>
      </c>
      <c r="BA10" s="48" t="s">
        <v>85</v>
      </c>
      <c r="BB10" s="48" t="s">
        <v>80</v>
      </c>
      <c r="BC10" s="48" t="s">
        <v>80</v>
      </c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1</v>
      </c>
      <c r="C11" s="18">
        <f t="shared" si="9"/>
        <v>4</v>
      </c>
      <c r="D11" s="18">
        <f t="shared" si="4"/>
        <v>0</v>
      </c>
      <c r="E11" s="4" t="s">
        <v>161</v>
      </c>
      <c r="F11" s="8" t="s">
        <v>142</v>
      </c>
      <c r="G11" s="9">
        <v>16000</v>
      </c>
      <c r="H11" s="9"/>
      <c r="I11" s="55">
        <v>4000</v>
      </c>
      <c r="J11" s="21">
        <f t="shared" si="5"/>
        <v>56700</v>
      </c>
      <c r="K11" s="8"/>
      <c r="L11" s="9"/>
      <c r="M11" s="9"/>
      <c r="N11" s="55"/>
      <c r="O11" s="21">
        <f t="shared" si="6"/>
        <v>59500</v>
      </c>
      <c r="P11" s="8" t="s">
        <v>141</v>
      </c>
      <c r="Q11" s="9">
        <v>-16000</v>
      </c>
      <c r="R11" s="9"/>
      <c r="S11" s="55">
        <v>-4000</v>
      </c>
      <c r="T11" s="21">
        <f t="shared" si="7"/>
        <v>-11200</v>
      </c>
      <c r="U11" s="60">
        <f t="shared" si="0"/>
        <v>21.7</v>
      </c>
      <c r="V11" s="61">
        <f t="shared" si="1"/>
        <v>24.5</v>
      </c>
      <c r="W11" s="62">
        <f t="shared" si="2"/>
        <v>-46.2</v>
      </c>
      <c r="Y11" s="8"/>
      <c r="Z11" s="41"/>
      <c r="AA11" s="32"/>
      <c r="AB11" s="32">
        <v>1</v>
      </c>
      <c r="AC11" s="32">
        <v>10</v>
      </c>
      <c r="AD11" s="36" t="s">
        <v>143</v>
      </c>
      <c r="AE11" s="47" t="s">
        <v>105</v>
      </c>
      <c r="AF11" s="48" t="s">
        <v>87</v>
      </c>
      <c r="AG11" s="48" t="s">
        <v>87</v>
      </c>
      <c r="AH11" s="48" t="s">
        <v>80</v>
      </c>
      <c r="AI11" s="48" t="s">
        <v>80</v>
      </c>
      <c r="AJ11" s="48" t="s">
        <v>80</v>
      </c>
      <c r="AK11" s="48" t="s">
        <v>80</v>
      </c>
      <c r="AL11" s="48" t="s">
        <v>80</v>
      </c>
      <c r="AM11" s="48" t="s">
        <v>80</v>
      </c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E25AF777-8402-4AFC-8C75-813B266EA066}">
      <formula1>"ロン,ツモ,放銃,ツモ支払,流局,チョンボ"</formula1>
    </dataValidation>
    <dataValidation type="list" allowBlank="1" showInputMessage="1" showErrorMessage="1" sqref="E4:E30" xr:uid="{E64DFCDB-DAA6-4053-8B49-FC96858827E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topLeftCell="A21"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2019-02-15T17:21:39Z</dcterms:modified>
</cp:coreProperties>
</file>