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1107A2F0-B6C8-443A-A9CA-CF6072ACD373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5" r:id="rId2"/>
    <sheet name="Sheet3" sheetId="16" r:id="rId3"/>
    <sheet name="Sheet4" sheetId="17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7" l="1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V3" i="17"/>
  <c r="V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U3" i="17"/>
  <c r="U4" i="17"/>
  <c r="U5" i="17"/>
  <c r="U6" i="17"/>
  <c r="U7" i="17"/>
  <c r="U8" i="17"/>
  <c r="U9" i="17"/>
  <c r="U10" i="17"/>
  <c r="U11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26" i="17"/>
  <c r="U27" i="17"/>
  <c r="U28" i="17"/>
  <c r="U29" i="17"/>
  <c r="U30" i="17"/>
  <c r="W3" i="16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V3" i="16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W3" i="15"/>
  <c r="W4" i="15"/>
  <c r="W5" i="15"/>
  <c r="W6" i="15"/>
  <c r="W7" i="15"/>
  <c r="W8" i="15"/>
  <c r="W9" i="15"/>
  <c r="W10" i="15"/>
  <c r="W11" i="15"/>
  <c r="W12" i="15"/>
  <c r="W13" i="15"/>
  <c r="W14" i="15"/>
  <c r="W15" i="15"/>
  <c r="W16" i="15"/>
  <c r="W17" i="15"/>
  <c r="W18" i="15"/>
  <c r="W19" i="15"/>
  <c r="W20" i="15"/>
  <c r="W21" i="15"/>
  <c r="W22" i="15"/>
  <c r="W23" i="15"/>
  <c r="W24" i="15"/>
  <c r="W25" i="15"/>
  <c r="W26" i="15"/>
  <c r="W27" i="15"/>
  <c r="W28" i="15"/>
  <c r="W29" i="15"/>
  <c r="W30" i="15"/>
  <c r="V3" i="15"/>
  <c r="V4" i="15"/>
  <c r="V5" i="15"/>
  <c r="V6" i="15"/>
  <c r="V7" i="15"/>
  <c r="V8" i="15"/>
  <c r="V9" i="15"/>
  <c r="V10" i="15"/>
  <c r="V11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U3" i="15"/>
  <c r="U4" i="15"/>
  <c r="U5" i="15"/>
  <c r="U6" i="15"/>
  <c r="U7" i="15"/>
  <c r="U8" i="15"/>
  <c r="U9" i="15"/>
  <c r="U10" i="15"/>
  <c r="U11" i="15"/>
  <c r="U12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30" i="17" l="1"/>
  <c r="S30" i="17"/>
  <c r="O30" i="17"/>
  <c r="N30" i="17"/>
  <c r="J30" i="17"/>
  <c r="I30" i="17"/>
  <c r="D30" i="17"/>
  <c r="C30" i="17"/>
  <c r="B30" i="17"/>
  <c r="A30" i="17"/>
  <c r="T29" i="17"/>
  <c r="S29" i="17"/>
  <c r="O29" i="17"/>
  <c r="N29" i="17"/>
  <c r="J29" i="17"/>
  <c r="I29" i="17"/>
  <c r="D29" i="17"/>
  <c r="C29" i="17"/>
  <c r="B29" i="17"/>
  <c r="A29" i="17"/>
  <c r="T28" i="17"/>
  <c r="S28" i="17"/>
  <c r="O28" i="17"/>
  <c r="N28" i="17"/>
  <c r="J28" i="17"/>
  <c r="I28" i="17"/>
  <c r="D28" i="17"/>
  <c r="C28" i="17"/>
  <c r="B28" i="17"/>
  <c r="A28" i="17"/>
  <c r="T27" i="17"/>
  <c r="S27" i="17"/>
  <c r="O27" i="17"/>
  <c r="N27" i="17"/>
  <c r="J27" i="17"/>
  <c r="I27" i="17"/>
  <c r="D27" i="17"/>
  <c r="C27" i="17"/>
  <c r="B27" i="17"/>
  <c r="A27" i="17"/>
  <c r="T26" i="17"/>
  <c r="S26" i="17"/>
  <c r="O26" i="17"/>
  <c r="N26" i="17"/>
  <c r="J26" i="17"/>
  <c r="I26" i="17"/>
  <c r="D26" i="17"/>
  <c r="C26" i="17"/>
  <c r="B26" i="17"/>
  <c r="A26" i="17"/>
  <c r="T25" i="17"/>
  <c r="S25" i="17"/>
  <c r="O25" i="17"/>
  <c r="N25" i="17"/>
  <c r="J25" i="17"/>
  <c r="I25" i="17"/>
  <c r="D25" i="17"/>
  <c r="C25" i="17"/>
  <c r="B25" i="17"/>
  <c r="A25" i="17"/>
  <c r="T24" i="17"/>
  <c r="S24" i="17"/>
  <c r="O24" i="17"/>
  <c r="N24" i="17"/>
  <c r="J24" i="17"/>
  <c r="I24" i="17"/>
  <c r="D24" i="17"/>
  <c r="C24" i="17"/>
  <c r="B24" i="17"/>
  <c r="A24" i="17"/>
  <c r="T23" i="17"/>
  <c r="S23" i="17"/>
  <c r="O23" i="17"/>
  <c r="N23" i="17"/>
  <c r="J23" i="17"/>
  <c r="I23" i="17"/>
  <c r="D23" i="17"/>
  <c r="C23" i="17"/>
  <c r="B23" i="17"/>
  <c r="A23" i="17"/>
  <c r="T22" i="17"/>
  <c r="S22" i="17"/>
  <c r="O22" i="17"/>
  <c r="N22" i="17"/>
  <c r="J22" i="17"/>
  <c r="I22" i="17"/>
  <c r="D22" i="17"/>
  <c r="C22" i="17"/>
  <c r="B22" i="17"/>
  <c r="A22" i="17"/>
  <c r="T21" i="17"/>
  <c r="S21" i="17"/>
  <c r="O21" i="17"/>
  <c r="N21" i="17"/>
  <c r="J21" i="17"/>
  <c r="I21" i="17"/>
  <c r="D21" i="17"/>
  <c r="C21" i="17"/>
  <c r="B21" i="17"/>
  <c r="A21" i="17"/>
  <c r="T20" i="17"/>
  <c r="S20" i="17"/>
  <c r="O20" i="17"/>
  <c r="N20" i="17"/>
  <c r="J20" i="17"/>
  <c r="I20" i="17"/>
  <c r="D20" i="17"/>
  <c r="C20" i="17"/>
  <c r="B20" i="17"/>
  <c r="A20" i="17"/>
  <c r="T19" i="17"/>
  <c r="S19" i="17"/>
  <c r="O19" i="17"/>
  <c r="N19" i="17"/>
  <c r="J19" i="17"/>
  <c r="I19" i="17"/>
  <c r="D19" i="17"/>
  <c r="C19" i="17"/>
  <c r="B19" i="17"/>
  <c r="A19" i="17"/>
  <c r="T18" i="17"/>
  <c r="S18" i="17"/>
  <c r="O18" i="17"/>
  <c r="N18" i="17"/>
  <c r="J18" i="17"/>
  <c r="I18" i="17"/>
  <c r="D18" i="17"/>
  <c r="C18" i="17"/>
  <c r="B18" i="17"/>
  <c r="A18" i="17"/>
  <c r="T17" i="17"/>
  <c r="S17" i="17"/>
  <c r="O17" i="17"/>
  <c r="N17" i="17"/>
  <c r="J17" i="17"/>
  <c r="I17" i="17"/>
  <c r="D17" i="17"/>
  <c r="C17" i="17"/>
  <c r="B17" i="17"/>
  <c r="A17" i="17"/>
  <c r="T16" i="17"/>
  <c r="S16" i="17"/>
  <c r="O16" i="17"/>
  <c r="N16" i="17"/>
  <c r="J16" i="17"/>
  <c r="I16" i="17"/>
  <c r="D16" i="17"/>
  <c r="C16" i="17"/>
  <c r="B16" i="17"/>
  <c r="A16" i="17"/>
  <c r="T15" i="17"/>
  <c r="S15" i="17"/>
  <c r="O15" i="17"/>
  <c r="N15" i="17"/>
  <c r="J15" i="17"/>
  <c r="I15" i="17"/>
  <c r="D15" i="17"/>
  <c r="C15" i="17"/>
  <c r="B15" i="17"/>
  <c r="A15" i="17"/>
  <c r="S14" i="17"/>
  <c r="T14" i="17" s="1"/>
  <c r="N14" i="17"/>
  <c r="O14" i="17" s="1"/>
  <c r="J14" i="17"/>
  <c r="I14" i="17"/>
  <c r="D14" i="17"/>
  <c r="C14" i="17"/>
  <c r="B14" i="17"/>
  <c r="A14" i="17"/>
  <c r="S13" i="17"/>
  <c r="T13" i="17" s="1"/>
  <c r="O13" i="17"/>
  <c r="N13" i="17"/>
  <c r="I13" i="17"/>
  <c r="J13" i="17" s="1"/>
  <c r="D13" i="17"/>
  <c r="C13" i="17"/>
  <c r="B13" i="17"/>
  <c r="A13" i="17"/>
  <c r="S12" i="17"/>
  <c r="T12" i="17" s="1"/>
  <c r="N12" i="17"/>
  <c r="O12" i="17" s="1"/>
  <c r="J12" i="17"/>
  <c r="I12" i="17"/>
  <c r="D12" i="17"/>
  <c r="C12" i="17"/>
  <c r="B12" i="17"/>
  <c r="A12" i="17" s="1"/>
  <c r="T11" i="17"/>
  <c r="S11" i="17"/>
  <c r="N11" i="17"/>
  <c r="O11" i="17" s="1"/>
  <c r="I11" i="17"/>
  <c r="J11" i="17" s="1"/>
  <c r="D11" i="17"/>
  <c r="C11" i="17"/>
  <c r="B11" i="17"/>
  <c r="A11" i="17"/>
  <c r="T10" i="17"/>
  <c r="S10" i="17"/>
  <c r="N10" i="17"/>
  <c r="O10" i="17" s="1"/>
  <c r="J10" i="17"/>
  <c r="I10" i="17"/>
  <c r="D10" i="17"/>
  <c r="C10" i="17"/>
  <c r="B10" i="17"/>
  <c r="A10" i="17" s="1"/>
  <c r="S9" i="17"/>
  <c r="N9" i="17"/>
  <c r="D9" i="17"/>
  <c r="S8" i="17"/>
  <c r="D8" i="17"/>
  <c r="D7" i="17"/>
  <c r="C7" i="17"/>
  <c r="N7" i="17" s="1"/>
  <c r="D6" i="17"/>
  <c r="N5" i="17"/>
  <c r="D5" i="17"/>
  <c r="C5" i="17"/>
  <c r="C6" i="17" s="1"/>
  <c r="N6" i="17" s="1"/>
  <c r="B5" i="17"/>
  <c r="B6" i="17" s="1"/>
  <c r="S4" i="17"/>
  <c r="T4" i="17" s="1"/>
  <c r="N4" i="17"/>
  <c r="O4" i="17" s="1"/>
  <c r="I4" i="17"/>
  <c r="J4" i="17" s="1"/>
  <c r="W2" i="17"/>
  <c r="V2" i="17"/>
  <c r="U2" i="17"/>
  <c r="T30" i="16"/>
  <c r="S30" i="16"/>
  <c r="O30" i="16"/>
  <c r="N30" i="16"/>
  <c r="J30" i="16"/>
  <c r="I30" i="16"/>
  <c r="D30" i="16"/>
  <c r="C30" i="16"/>
  <c r="B30" i="16"/>
  <c r="A30" i="16"/>
  <c r="T29" i="16"/>
  <c r="S29" i="16"/>
  <c r="O29" i="16"/>
  <c r="N29" i="16"/>
  <c r="J29" i="16"/>
  <c r="I29" i="16"/>
  <c r="D29" i="16"/>
  <c r="C29" i="16"/>
  <c r="B29" i="16"/>
  <c r="A29" i="16"/>
  <c r="T28" i="16"/>
  <c r="S28" i="16"/>
  <c r="O28" i="16"/>
  <c r="N28" i="16"/>
  <c r="J28" i="16"/>
  <c r="I28" i="16"/>
  <c r="D28" i="16"/>
  <c r="C28" i="16"/>
  <c r="B28" i="16"/>
  <c r="A28" i="16"/>
  <c r="T27" i="16"/>
  <c r="S27" i="16"/>
  <c r="O27" i="16"/>
  <c r="N27" i="16"/>
  <c r="J27" i="16"/>
  <c r="I27" i="16"/>
  <c r="D27" i="16"/>
  <c r="C27" i="16"/>
  <c r="B27" i="16"/>
  <c r="A27" i="16"/>
  <c r="T26" i="16"/>
  <c r="S26" i="16"/>
  <c r="O26" i="16"/>
  <c r="N26" i="16"/>
  <c r="J26" i="16"/>
  <c r="I26" i="16"/>
  <c r="D26" i="16"/>
  <c r="C26" i="16"/>
  <c r="B26" i="16"/>
  <c r="A26" i="16"/>
  <c r="T25" i="16"/>
  <c r="S25" i="16"/>
  <c r="O25" i="16"/>
  <c r="N25" i="16"/>
  <c r="J25" i="16"/>
  <c r="I25" i="16"/>
  <c r="D25" i="16"/>
  <c r="C25" i="16"/>
  <c r="B25" i="16"/>
  <c r="A25" i="16"/>
  <c r="T24" i="16"/>
  <c r="S24" i="16"/>
  <c r="O24" i="16"/>
  <c r="N24" i="16"/>
  <c r="J24" i="16"/>
  <c r="I24" i="16"/>
  <c r="D24" i="16"/>
  <c r="C24" i="16"/>
  <c r="B24" i="16"/>
  <c r="A24" i="16"/>
  <c r="T23" i="16"/>
  <c r="S23" i="16"/>
  <c r="O23" i="16"/>
  <c r="N23" i="16"/>
  <c r="J23" i="16"/>
  <c r="I23" i="16"/>
  <c r="D23" i="16"/>
  <c r="C23" i="16"/>
  <c r="B23" i="16"/>
  <c r="A23" i="16"/>
  <c r="T22" i="16"/>
  <c r="S22" i="16"/>
  <c r="O22" i="16"/>
  <c r="N22" i="16"/>
  <c r="J22" i="16"/>
  <c r="I22" i="16"/>
  <c r="D22" i="16"/>
  <c r="C22" i="16"/>
  <c r="B22" i="16"/>
  <c r="A22" i="16"/>
  <c r="T21" i="16"/>
  <c r="S21" i="16"/>
  <c r="O21" i="16"/>
  <c r="N21" i="16"/>
  <c r="J21" i="16"/>
  <c r="I21" i="16"/>
  <c r="D21" i="16"/>
  <c r="C21" i="16"/>
  <c r="B21" i="16"/>
  <c r="A21" i="16"/>
  <c r="T20" i="16"/>
  <c r="S20" i="16"/>
  <c r="O20" i="16"/>
  <c r="N20" i="16"/>
  <c r="J20" i="16"/>
  <c r="I20" i="16"/>
  <c r="D20" i="16"/>
  <c r="C20" i="16"/>
  <c r="B20" i="16"/>
  <c r="A20" i="16"/>
  <c r="T19" i="16"/>
  <c r="S19" i="16"/>
  <c r="O19" i="16"/>
  <c r="N19" i="16"/>
  <c r="J19" i="16"/>
  <c r="I19" i="16"/>
  <c r="D19" i="16"/>
  <c r="C19" i="16"/>
  <c r="B19" i="16"/>
  <c r="A19" i="16"/>
  <c r="T18" i="16"/>
  <c r="S18" i="16"/>
  <c r="O18" i="16"/>
  <c r="N18" i="16"/>
  <c r="J18" i="16"/>
  <c r="I18" i="16"/>
  <c r="D18" i="16"/>
  <c r="C18" i="16"/>
  <c r="B18" i="16"/>
  <c r="A18" i="16"/>
  <c r="T17" i="16"/>
  <c r="S17" i="16"/>
  <c r="O17" i="16"/>
  <c r="N17" i="16"/>
  <c r="J17" i="16"/>
  <c r="I17" i="16"/>
  <c r="D17" i="16"/>
  <c r="C17" i="16"/>
  <c r="B17" i="16"/>
  <c r="A17" i="16"/>
  <c r="T16" i="16"/>
  <c r="S16" i="16"/>
  <c r="O16" i="16"/>
  <c r="N16" i="16"/>
  <c r="J16" i="16"/>
  <c r="I16" i="16"/>
  <c r="D16" i="16"/>
  <c r="C16" i="16"/>
  <c r="B16" i="16"/>
  <c r="A16" i="16"/>
  <c r="T15" i="16"/>
  <c r="S15" i="16"/>
  <c r="O15" i="16"/>
  <c r="N15" i="16"/>
  <c r="J15" i="16"/>
  <c r="I15" i="16"/>
  <c r="D15" i="16"/>
  <c r="C15" i="16"/>
  <c r="B15" i="16"/>
  <c r="A15" i="16"/>
  <c r="T14" i="16"/>
  <c r="S14" i="16"/>
  <c r="O14" i="16"/>
  <c r="N14" i="16"/>
  <c r="J14" i="16"/>
  <c r="I14" i="16"/>
  <c r="D14" i="16"/>
  <c r="C14" i="16"/>
  <c r="B14" i="16"/>
  <c r="A14" i="16"/>
  <c r="T13" i="16"/>
  <c r="S13" i="16"/>
  <c r="O13" i="16"/>
  <c r="N13" i="16"/>
  <c r="J13" i="16"/>
  <c r="I13" i="16"/>
  <c r="D13" i="16"/>
  <c r="C13" i="16"/>
  <c r="B13" i="16"/>
  <c r="A13" i="16"/>
  <c r="T12" i="16"/>
  <c r="S12" i="16"/>
  <c r="O12" i="16"/>
  <c r="N12" i="16"/>
  <c r="J12" i="16"/>
  <c r="I12" i="16"/>
  <c r="D12" i="16"/>
  <c r="C12" i="16"/>
  <c r="B12" i="16"/>
  <c r="A12" i="16"/>
  <c r="T11" i="16"/>
  <c r="S11" i="16"/>
  <c r="O11" i="16"/>
  <c r="N11" i="16"/>
  <c r="J11" i="16"/>
  <c r="I11" i="16"/>
  <c r="D11" i="16"/>
  <c r="C11" i="16"/>
  <c r="B11" i="16"/>
  <c r="A11" i="16"/>
  <c r="T10" i="16"/>
  <c r="S10" i="16"/>
  <c r="O10" i="16"/>
  <c r="N10" i="16"/>
  <c r="J10" i="16"/>
  <c r="I10" i="16"/>
  <c r="D10" i="16"/>
  <c r="C10" i="16"/>
  <c r="B10" i="16"/>
  <c r="A10" i="16"/>
  <c r="I9" i="16"/>
  <c r="J9" i="16" s="1"/>
  <c r="D9" i="16"/>
  <c r="C9" i="16"/>
  <c r="N9" i="16" s="1"/>
  <c r="O9" i="16" s="1"/>
  <c r="B9" i="16"/>
  <c r="A9" i="16"/>
  <c r="T8" i="16"/>
  <c r="S8" i="16"/>
  <c r="N8" i="16"/>
  <c r="O8" i="16" s="1"/>
  <c r="I8" i="16"/>
  <c r="J8" i="16" s="1"/>
  <c r="D8" i="16"/>
  <c r="C8" i="16"/>
  <c r="B8" i="16"/>
  <c r="A8" i="16" s="1"/>
  <c r="S7" i="16"/>
  <c r="T7" i="16" s="1"/>
  <c r="N7" i="16"/>
  <c r="O7" i="16" s="1"/>
  <c r="J7" i="16"/>
  <c r="I7" i="16"/>
  <c r="D7" i="16"/>
  <c r="C7" i="16"/>
  <c r="B7" i="16"/>
  <c r="A7" i="16"/>
  <c r="N6" i="16"/>
  <c r="D6" i="16"/>
  <c r="B6" i="16"/>
  <c r="N5" i="16"/>
  <c r="D5" i="16"/>
  <c r="C5" i="16"/>
  <c r="S5" i="16" s="1"/>
  <c r="B5" i="16"/>
  <c r="A6" i="16" s="1"/>
  <c r="A5" i="16"/>
  <c r="S4" i="16"/>
  <c r="T4" i="16" s="1"/>
  <c r="N4" i="16"/>
  <c r="O4" i="16" s="1"/>
  <c r="I4" i="16"/>
  <c r="J4" i="16" s="1"/>
  <c r="W2" i="16"/>
  <c r="V2" i="16"/>
  <c r="U2" i="16"/>
  <c r="B7" i="17" l="1"/>
  <c r="B8" i="17" s="1"/>
  <c r="A5" i="17"/>
  <c r="A6" i="17" s="1"/>
  <c r="I7" i="17"/>
  <c r="C8" i="17"/>
  <c r="S7" i="17"/>
  <c r="S6" i="17"/>
  <c r="I6" i="17"/>
  <c r="O5" i="17"/>
  <c r="I5" i="17"/>
  <c r="J5" i="17" s="1"/>
  <c r="S5" i="17"/>
  <c r="T5" i="17" s="1"/>
  <c r="S9" i="16"/>
  <c r="T9" i="16" s="1"/>
  <c r="T5" i="16"/>
  <c r="O5" i="16"/>
  <c r="C6" i="16"/>
  <c r="I5" i="16"/>
  <c r="J5" i="16" s="1"/>
  <c r="T30" i="15"/>
  <c r="S30" i="15"/>
  <c r="O30" i="15"/>
  <c r="N30" i="15"/>
  <c r="J30" i="15"/>
  <c r="I30" i="15"/>
  <c r="D30" i="15"/>
  <c r="C30" i="15"/>
  <c r="B30" i="15"/>
  <c r="A30" i="15"/>
  <c r="T29" i="15"/>
  <c r="S29" i="15"/>
  <c r="O29" i="15"/>
  <c r="N29" i="15"/>
  <c r="J29" i="15"/>
  <c r="I29" i="15"/>
  <c r="D29" i="15"/>
  <c r="C29" i="15"/>
  <c r="B29" i="15"/>
  <c r="A29" i="15"/>
  <c r="T28" i="15"/>
  <c r="S28" i="15"/>
  <c r="O28" i="15"/>
  <c r="N28" i="15"/>
  <c r="J28" i="15"/>
  <c r="I28" i="15"/>
  <c r="D28" i="15"/>
  <c r="C28" i="15"/>
  <c r="B28" i="15"/>
  <c r="A28" i="15"/>
  <c r="T27" i="15"/>
  <c r="S27" i="15"/>
  <c r="O27" i="15"/>
  <c r="N27" i="15"/>
  <c r="J27" i="15"/>
  <c r="I27" i="15"/>
  <c r="D27" i="15"/>
  <c r="C27" i="15"/>
  <c r="B27" i="15"/>
  <c r="A27" i="15"/>
  <c r="T26" i="15"/>
  <c r="S26" i="15"/>
  <c r="O26" i="15"/>
  <c r="N26" i="15"/>
  <c r="J26" i="15"/>
  <c r="I26" i="15"/>
  <c r="D26" i="15"/>
  <c r="C26" i="15"/>
  <c r="B26" i="15"/>
  <c r="A26" i="15"/>
  <c r="T25" i="15"/>
  <c r="S25" i="15"/>
  <c r="O25" i="15"/>
  <c r="N25" i="15"/>
  <c r="J25" i="15"/>
  <c r="I25" i="15"/>
  <c r="D25" i="15"/>
  <c r="C25" i="15"/>
  <c r="B25" i="15"/>
  <c r="A25" i="15"/>
  <c r="T24" i="15"/>
  <c r="S24" i="15"/>
  <c r="O24" i="15"/>
  <c r="N24" i="15"/>
  <c r="J24" i="15"/>
  <c r="I24" i="15"/>
  <c r="D24" i="15"/>
  <c r="C24" i="15"/>
  <c r="B24" i="15"/>
  <c r="A24" i="15"/>
  <c r="T23" i="15"/>
  <c r="S23" i="15"/>
  <c r="O23" i="15"/>
  <c r="N23" i="15"/>
  <c r="J23" i="15"/>
  <c r="I23" i="15"/>
  <c r="D23" i="15"/>
  <c r="C23" i="15"/>
  <c r="B23" i="15"/>
  <c r="A23" i="15"/>
  <c r="T22" i="15"/>
  <c r="S22" i="15"/>
  <c r="O22" i="15"/>
  <c r="N22" i="15"/>
  <c r="J22" i="15"/>
  <c r="I22" i="15"/>
  <c r="D22" i="15"/>
  <c r="C22" i="15"/>
  <c r="B22" i="15"/>
  <c r="A22" i="15"/>
  <c r="T21" i="15"/>
  <c r="S21" i="15"/>
  <c r="O21" i="15"/>
  <c r="N21" i="15"/>
  <c r="J21" i="15"/>
  <c r="I21" i="15"/>
  <c r="D21" i="15"/>
  <c r="C21" i="15"/>
  <c r="B21" i="15"/>
  <c r="A21" i="15"/>
  <c r="T20" i="15"/>
  <c r="S20" i="15"/>
  <c r="O20" i="15"/>
  <c r="N20" i="15"/>
  <c r="J20" i="15"/>
  <c r="I20" i="15"/>
  <c r="D20" i="15"/>
  <c r="C20" i="15"/>
  <c r="B20" i="15"/>
  <c r="A20" i="15"/>
  <c r="T19" i="15"/>
  <c r="S19" i="15"/>
  <c r="O19" i="15"/>
  <c r="N19" i="15"/>
  <c r="J19" i="15"/>
  <c r="I19" i="15"/>
  <c r="D19" i="15"/>
  <c r="C19" i="15"/>
  <c r="B19" i="15"/>
  <c r="A19" i="15"/>
  <c r="T18" i="15"/>
  <c r="S18" i="15"/>
  <c r="O18" i="15"/>
  <c r="N18" i="15"/>
  <c r="J18" i="15"/>
  <c r="I18" i="15"/>
  <c r="D18" i="15"/>
  <c r="C18" i="15"/>
  <c r="B18" i="15"/>
  <c r="A18" i="15"/>
  <c r="T17" i="15"/>
  <c r="S17" i="15"/>
  <c r="O17" i="15"/>
  <c r="N17" i="15"/>
  <c r="J17" i="15"/>
  <c r="I17" i="15"/>
  <c r="D17" i="15"/>
  <c r="C17" i="15"/>
  <c r="B17" i="15"/>
  <c r="A17" i="15"/>
  <c r="T16" i="15"/>
  <c r="S16" i="15"/>
  <c r="O16" i="15"/>
  <c r="N16" i="15"/>
  <c r="J16" i="15"/>
  <c r="I16" i="15"/>
  <c r="D16" i="15"/>
  <c r="C16" i="15"/>
  <c r="B16" i="15"/>
  <c r="A16" i="15"/>
  <c r="T15" i="15"/>
  <c r="S15" i="15"/>
  <c r="O15" i="15"/>
  <c r="N15" i="15"/>
  <c r="J15" i="15"/>
  <c r="I15" i="15"/>
  <c r="D15" i="15"/>
  <c r="C15" i="15"/>
  <c r="B15" i="15"/>
  <c r="A15" i="15"/>
  <c r="T14" i="15"/>
  <c r="S14" i="15"/>
  <c r="O14" i="15"/>
  <c r="N14" i="15"/>
  <c r="J14" i="15"/>
  <c r="I14" i="15"/>
  <c r="D14" i="15"/>
  <c r="C14" i="15"/>
  <c r="B14" i="15"/>
  <c r="A14" i="15"/>
  <c r="T13" i="15"/>
  <c r="S13" i="15"/>
  <c r="O13" i="15"/>
  <c r="N13" i="15"/>
  <c r="J13" i="15"/>
  <c r="I13" i="15"/>
  <c r="D13" i="15"/>
  <c r="C13" i="15"/>
  <c r="B13" i="15"/>
  <c r="A13" i="15"/>
  <c r="T12" i="15"/>
  <c r="S12" i="15"/>
  <c r="N12" i="15"/>
  <c r="O12" i="15" s="1"/>
  <c r="I12" i="15"/>
  <c r="J12" i="15" s="1"/>
  <c r="D12" i="15"/>
  <c r="C12" i="15"/>
  <c r="B12" i="15"/>
  <c r="A12" i="15"/>
  <c r="S11" i="15"/>
  <c r="T11" i="15" s="1"/>
  <c r="O11" i="15"/>
  <c r="N11" i="15"/>
  <c r="I11" i="15"/>
  <c r="J11" i="15" s="1"/>
  <c r="D11" i="15"/>
  <c r="C11" i="15"/>
  <c r="B11" i="15"/>
  <c r="A11" i="15"/>
  <c r="T10" i="15"/>
  <c r="S10" i="15"/>
  <c r="N10" i="15"/>
  <c r="O10" i="15" s="1"/>
  <c r="J10" i="15"/>
  <c r="I10" i="15"/>
  <c r="D10" i="15"/>
  <c r="C10" i="15"/>
  <c r="N9" i="15"/>
  <c r="C9" i="15"/>
  <c r="I9" i="15" s="1"/>
  <c r="J9" i="15" s="1"/>
  <c r="B9" i="15"/>
  <c r="B10" i="15" s="1"/>
  <c r="S8" i="15"/>
  <c r="T8" i="15" s="1"/>
  <c r="N8" i="15"/>
  <c r="O8" i="15" s="1"/>
  <c r="I8" i="15"/>
  <c r="J8" i="15" s="1"/>
  <c r="D8" i="15"/>
  <c r="D9" i="15" s="1"/>
  <c r="C8" i="15"/>
  <c r="B8" i="15"/>
  <c r="A9" i="15" s="1"/>
  <c r="A8" i="15"/>
  <c r="S7" i="15"/>
  <c r="T7" i="15" s="1"/>
  <c r="O7" i="15"/>
  <c r="N7" i="15"/>
  <c r="I7" i="15"/>
  <c r="J7" i="15" s="1"/>
  <c r="D7" i="15"/>
  <c r="C7" i="15"/>
  <c r="B7" i="15"/>
  <c r="A7" i="15"/>
  <c r="N6" i="15"/>
  <c r="D6" i="15"/>
  <c r="B6" i="15"/>
  <c r="N5" i="15"/>
  <c r="D5" i="15"/>
  <c r="C5" i="15"/>
  <c r="S5" i="15" s="1"/>
  <c r="B5" i="15"/>
  <c r="A5" i="15"/>
  <c r="S4" i="15"/>
  <c r="T4" i="15" s="1"/>
  <c r="N4" i="15"/>
  <c r="O4" i="15" s="1"/>
  <c r="I4" i="15"/>
  <c r="J4" i="15" s="1"/>
  <c r="W2" i="15"/>
  <c r="V2" i="15"/>
  <c r="U2" i="15"/>
  <c r="N8" i="17" l="1"/>
  <c r="I8" i="17"/>
  <c r="C9" i="17"/>
  <c r="I9" i="17" s="1"/>
  <c r="B9" i="17"/>
  <c r="A7" i="17"/>
  <c r="A8" i="17" s="1"/>
  <c r="T6" i="17"/>
  <c r="J6" i="17"/>
  <c r="O6" i="17"/>
  <c r="S6" i="16"/>
  <c r="T6" i="16" s="1"/>
  <c r="I6" i="16"/>
  <c r="J6" i="16" s="1"/>
  <c r="O6" i="16"/>
  <c r="A10" i="15"/>
  <c r="O9" i="15"/>
  <c r="S9" i="15"/>
  <c r="T9" i="15" s="1"/>
  <c r="A6" i="15"/>
  <c r="O5" i="15"/>
  <c r="O6" i="15" s="1"/>
  <c r="T5" i="15"/>
  <c r="C6" i="15"/>
  <c r="I5" i="15"/>
  <c r="J5" i="15" s="1"/>
  <c r="J12" i="9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A9" i="17" l="1"/>
  <c r="J7" i="17"/>
  <c r="T7" i="17"/>
  <c r="O7" i="17"/>
  <c r="S6" i="15"/>
  <c r="T6" i="15" s="1"/>
  <c r="I6" i="15"/>
  <c r="J6" i="15" s="1"/>
  <c r="G12" i="10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T8" i="17" l="1"/>
  <c r="O8" i="17"/>
  <c r="J8" i="17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9" i="1"/>
  <c r="D10" i="1" s="1"/>
  <c r="D8" i="1"/>
  <c r="D6" i="1"/>
  <c r="D7" i="1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6" i="1"/>
  <c r="N6" i="1"/>
  <c r="D5" i="1"/>
  <c r="C5" i="1"/>
  <c r="I5" i="1" s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O9" i="17" l="1"/>
  <c r="T9" i="17"/>
  <c r="J9" i="17"/>
  <c r="A5" i="1"/>
  <c r="J5" i="1"/>
  <c r="A7" i="1"/>
  <c r="A6" i="1"/>
  <c r="A8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4" i="1"/>
  <c r="T5" i="1" s="1"/>
  <c r="T6" i="1" s="1"/>
  <c r="T7" i="1" s="1"/>
  <c r="T8" i="1" s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5" i="1"/>
  <c r="O6" i="1" s="1"/>
  <c r="O7" i="1" s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6" i="1"/>
  <c r="J7" i="1" s="1"/>
  <c r="J8" i="1" s="1"/>
  <c r="J9" i="1" s="1"/>
  <c r="J10" i="1" s="1"/>
  <c r="J11" i="1" l="1"/>
  <c r="J12" i="1" s="1"/>
  <c r="J13" i="1" s="1"/>
  <c r="J14" i="1" s="1"/>
  <c r="J15" i="1" s="1"/>
  <c r="J16" i="1" s="1"/>
  <c r="J17" i="1" s="1"/>
  <c r="B10" i="1"/>
  <c r="B11" i="1" s="1"/>
  <c r="T9" i="1"/>
  <c r="T10" i="1" s="1"/>
  <c r="T11" i="1" s="1"/>
  <c r="T12" i="1" s="1"/>
  <c r="T13" i="1" s="1"/>
  <c r="T14" i="1" s="1"/>
  <c r="T15" i="1" s="1"/>
  <c r="T16" i="1" s="1"/>
  <c r="T17" i="1" s="1"/>
  <c r="A10" i="1" l="1"/>
  <c r="A11" i="1"/>
  <c r="B12" i="1"/>
  <c r="B13" i="1" l="1"/>
  <c r="A13" i="1"/>
  <c r="A12" i="1"/>
  <c r="W2" i="1"/>
  <c r="V2" i="1"/>
  <c r="U2" i="1"/>
  <c r="B14" i="1" l="1"/>
  <c r="A14" i="1" s="1"/>
</calcChain>
</file>

<file path=xl/sharedStrings.xml><?xml version="1.0" encoding="utf-8"?>
<sst xmlns="http://schemas.openxmlformats.org/spreadsheetml/2006/main" count="239" uniqueCount="31">
  <si>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</si>
  <si>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</si>
  <si>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</si>
  <si>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</si>
  <si>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</si>
  <si>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</si>
  <si>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</si>
  <si>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</si>
  <si>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</si>
  <si>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</si>
  <si>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</si>
  <si>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</si>
  <si>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</si>
  <si>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</si>
  <si>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</si>
  <si>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</si>
  <si>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</si>
  <si>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</si>
  <si>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</si>
  <si>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</si>
  <si>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</si>
  <si>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流局</t>
  </si>
  <si>
    <t>ツモ</t>
  </si>
  <si>
    <t>ツモ支払</t>
  </si>
  <si>
    <t>放銃</t>
  </si>
  <si>
    <t>ロン</t>
  </si>
  <si>
    <t>たかの</t>
  </si>
  <si>
    <t>たかの</t>
    <phoneticPr fontId="1"/>
  </si>
  <si>
    <t>ただ</t>
  </si>
  <si>
    <t>ただ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</si>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</sst>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1" xfId="0" applyFill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0" borderId="8" xfId="0" applyNumberFormat="1" applyBorder="1" applyAlignment="1">
      <alignment vertical="center" shrinkToFit="1"/>
    </xf>
    <xf numFmtId="178" fontId="0" fillId="0" borderId="2" xfId="0" applyNumberFormat="1" applyBorder="1" applyAlignment="1">
      <alignment vertical="center" shrinkToFit="1"/>
    </xf>
    <xf numFmtId="178" fontId="0" fillId="0" borderId="9" xfId="0" applyNumberFormat="1" applyBorder="1" applyAlignment="1">
      <alignment vertical="center" shrinkToFit="1"/>
    </xf>
    <xf numFmtId="178" fontId="0" fillId="0" borderId="4" xfId="0" applyNumberFormat="1" applyBorder="1" applyAlignment="1">
      <alignment vertical="center" shrinkToFit="1"/>
    </xf>
    <xf numFmtId="178" fontId="0" fillId="0" borderId="1" xfId="0" applyNumberFormat="1" applyBorder="1" applyAlignment="1">
      <alignment vertical="center" shrinkToFit="1"/>
    </xf>
    <xf numFmtId="178" fontId="0" fillId="0" borderId="5" xfId="0" applyNumberFormat="1" applyBorder="1" applyAlignment="1">
      <alignment vertical="center" shrinkToFit="1"/>
    </xf>
    <xf numFmtId="178" fontId="0" fillId="0" borderId="6" xfId="0" applyNumberFormat="1" applyBorder="1" applyAlignment="1">
      <alignment vertical="center" shrinkToFit="1"/>
    </xf>
    <xf numFmtId="178" fontId="0" fillId="0" borderId="3" xfId="0" applyNumberFormat="1" applyBorder="1" applyAlignment="1">
      <alignment vertical="center" shrinkToFit="1"/>
    </xf>
    <xf numFmtId="178" fontId="0" fillId="0" borderId="7" xfId="0" applyNumberFormat="1" applyBorder="1" applyAlignment="1">
      <alignment vertical="center" shrinkToFit="1"/>
    </xf>
  </cellXfs>
  <cellStyles count="1">
    <cellStyle name="標準" xfId="0" builtinId="0"/>
  </cellStyles>
  <dxfs count="8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5" t="s">
        <v>0</v>
      </c>
      <c r="B1" s="37" t="s">
        <v>2</v>
      </c>
      <c r="C1" s="37" t="s">
        <v>1</v>
      </c>
      <c r="D1" s="37" t="s">
        <v>6</v>
      </c>
      <c r="E1" s="39" t="s">
        <v>3</v>
      </c>
      <c r="F1" s="31" t="s">
        <v>20</v>
      </c>
      <c r="G1" s="32"/>
      <c r="H1" s="32"/>
      <c r="I1" s="33"/>
      <c r="J1" s="34"/>
      <c r="K1" s="31" t="s">
        <v>27</v>
      </c>
      <c r="L1" s="32"/>
      <c r="M1" s="32"/>
      <c r="N1" s="33"/>
      <c r="O1" s="34"/>
      <c r="P1" s="31" t="s">
        <v>29</v>
      </c>
      <c r="Q1" s="32"/>
      <c r="R1" s="32"/>
      <c r="S1" s="33"/>
      <c r="T1" s="34"/>
      <c r="U1" s="31" t="s">
        <v>8</v>
      </c>
      <c r="V1" s="32"/>
      <c r="W1" s="34"/>
    </row>
    <row r="2" spans="1:23" x14ac:dyDescent="0.4">
      <c r="A2" s="36"/>
      <c r="B2" s="38"/>
      <c r="C2" s="38"/>
      <c r="D2" s="38"/>
      <c r="E2" s="40"/>
      <c r="F2" s="2" t="s">
        <v>7</v>
      </c>
      <c r="G2" s="3" t="s">
        <v>12</v>
      </c>
      <c r="H2" s="3" t="s">
        <v>4</v>
      </c>
      <c r="I2" s="8" t="s">
        <v>9</v>
      </c>
      <c r="J2" s="9" t="s">
        <v>5</v>
      </c>
      <c r="K2" s="2" t="s">
        <v>7</v>
      </c>
      <c r="L2" s="3" t="s">
        <v>13</v>
      </c>
      <c r="M2" s="3" t="s">
        <v>4</v>
      </c>
      <c r="N2" s="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8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4" t="str">
        <f>P1</f>
        <v>ただ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41">
        <f t="shared" ref="U3:U30" si="0">IF($J3="","",ROUND(($J3-$J$3)/1000,1))</f>
        <v>0</v>
      </c>
      <c r="V3" s="42">
        <f t="shared" ref="V3:V30" si="1">IF($O3="","",ROUND(($O3-$O$3)/1000,1))</f>
        <v>0</v>
      </c>
      <c r="W3" s="43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28</v>
      </c>
      <c r="F4" s="14" t="s">
        <v>21</v>
      </c>
      <c r="G4" s="15">
        <v>-3000</v>
      </c>
      <c r="H4" s="15"/>
      <c r="I4" s="16" t="str">
        <f>IF(OR(F4="ロン",F4="ツモ"),$C4*1000,IF(F4="放銃",$C4*-1000,IF(F4="ツモ支払",$C4*-500,"")))</f>
        <v/>
      </c>
      <c r="J4" s="17">
        <f t="shared" ref="J4:J30" si="3">IF(COUNTA($F4,$K4,$P4)&gt;0,J3+SUM(G4:I4),"")</f>
        <v>32000</v>
      </c>
      <c r="K4" s="14" t="s">
        <v>21</v>
      </c>
      <c r="L4" s="15">
        <v>1500</v>
      </c>
      <c r="M4" s="15"/>
      <c r="N4" s="16" t="str">
        <f>IF(OR(K4="ロン",K4="ツモ"),$C4*1000,IF(K4="放銃",$C4*-1000,IF(K4="ツモ支払",$C4*-500,"")))</f>
        <v/>
      </c>
      <c r="O4" s="17">
        <f t="shared" ref="O4:O30" si="4">IF(COUNTA($F4,$K4,$P4)&gt;0,O3+SUM(L4:N4),"")</f>
        <v>36500</v>
      </c>
      <c r="P4" s="14" t="s">
        <v>21</v>
      </c>
      <c r="Q4" s="15">
        <v>1500</v>
      </c>
      <c r="R4" s="15"/>
      <c r="S4" s="16" t="str">
        <f>IF(OR(P4="ロン",P4="ツモ"),$C4*1000,IF(P4="放銃",$C4*-1000,IF(P4="ツモ支払",$C4*-500,"")))</f>
        <v/>
      </c>
      <c r="T4" s="17">
        <f t="shared" ref="T4:T30" si="5">IF(COUNTA($F4,$K4,$P4)&gt;0,T3+SUM(Q4:S4),"")</f>
        <v>36500</v>
      </c>
      <c r="U4" s="44">
        <f t="shared" si="0"/>
        <v>-3</v>
      </c>
      <c r="V4" s="45">
        <f t="shared" si="1"/>
        <v>1.5</v>
      </c>
      <c r="W4" s="46">
        <f t="shared" si="2"/>
        <v>1.5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1</v>
      </c>
      <c r="C5" s="25">
        <f>IF($E5="","",IF($E4=$E5,C4+1,0))</f>
        <v>1</v>
      </c>
      <c r="D5" s="25">
        <f>IF($E5="","",IF(OR(F4="流局",K4="流局",P4="流局",F4="チョンボ",K4="チョンボ",P4="チョンボ"),D4+($H4+$M4+$R4)/-1000,0))</f>
        <v>0</v>
      </c>
      <c r="E5" s="6" t="s">
        <v>28</v>
      </c>
      <c r="F5" s="14" t="s">
        <v>24</v>
      </c>
      <c r="G5" s="15">
        <v>-12000</v>
      </c>
      <c r="H5" s="15">
        <v>-1000</v>
      </c>
      <c r="I5" s="16">
        <f>IF(OR(F5="ロン",F5="ツモ"),$C5*1000,IF(F5="放銃",$C5*-1000,IF(F5="ツモ支払",$C5*-500,"")))</f>
        <v>-1000</v>
      </c>
      <c r="J5" s="17">
        <f t="shared" si="3"/>
        <v>18000</v>
      </c>
      <c r="K5" s="14"/>
      <c r="L5" s="15"/>
      <c r="M5" s="15"/>
      <c r="N5" s="16" t="str">
        <f t="shared" ref="N5:N30" si="6">IF(OR(K5="ロン",K5="ツモ"),$C5*1000,IF(K5="放銃",$C5*-1000,IF(K5="ツモ支払",$C5*-500,"")))</f>
        <v/>
      </c>
      <c r="O5" s="17">
        <f t="shared" si="4"/>
        <v>36500</v>
      </c>
      <c r="P5" s="14" t="s">
        <v>25</v>
      </c>
      <c r="Q5" s="15">
        <v>12000</v>
      </c>
      <c r="R5" s="15">
        <v>1000</v>
      </c>
      <c r="S5" s="16">
        <f t="shared" ref="S5:S30" si="7">IF(OR(P5="ロン",P5="ツモ"),$C5*1000,IF(P5="放銃",$C5*-1000,IF(P5="ツモ支払",$C5*-500,"")))</f>
        <v>1000</v>
      </c>
      <c r="T5" s="17">
        <f t="shared" si="5"/>
        <v>50500</v>
      </c>
      <c r="U5" s="44">
        <f t="shared" si="0"/>
        <v>-17</v>
      </c>
      <c r="V5" s="45">
        <f t="shared" si="1"/>
        <v>1.5</v>
      </c>
      <c r="W5" s="46">
        <f t="shared" si="2"/>
        <v>15.5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1</v>
      </c>
      <c r="C6" s="25">
        <f t="shared" ref="C6:C30" si="10">IF($E6="","",IF($E5=$E6,C5+1,0))</f>
        <v>2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28</v>
      </c>
      <c r="F6" s="14" t="s">
        <v>24</v>
      </c>
      <c r="G6" s="15">
        <v>-18000</v>
      </c>
      <c r="H6" s="15"/>
      <c r="I6" s="16">
        <f t="shared" ref="I6:I30" si="12">IF(OR(F6="ロン",F6="ツモ"),$C6*1000,IF(F6="放銃",$C6*-1000,IF(F6="ツモ支払",$C6*-500,"")))</f>
        <v>-2000</v>
      </c>
      <c r="J6" s="17">
        <f t="shared" si="3"/>
        <v>-2000</v>
      </c>
      <c r="K6" s="14"/>
      <c r="L6" s="15"/>
      <c r="M6" s="15"/>
      <c r="N6" s="16" t="str">
        <f t="shared" si="6"/>
        <v/>
      </c>
      <c r="O6" s="17">
        <f t="shared" si="4"/>
        <v>36500</v>
      </c>
      <c r="P6" s="14" t="s">
        <v>25</v>
      </c>
      <c r="Q6" s="15">
        <v>18000</v>
      </c>
      <c r="R6" s="15"/>
      <c r="S6" s="16">
        <f t="shared" si="7"/>
        <v>2000</v>
      </c>
      <c r="T6" s="17">
        <f t="shared" si="5"/>
        <v>70500</v>
      </c>
      <c r="U6" s="44">
        <f t="shared" si="0"/>
        <v>-37</v>
      </c>
      <c r="V6" s="45">
        <f t="shared" si="1"/>
        <v>1.5</v>
      </c>
      <c r="W6" s="46">
        <f t="shared" si="2"/>
        <v>35.5</v>
      </c>
    </row>
    <row r="7" spans="1:23" x14ac:dyDescent="0.4">
      <c r="A7" s="24" t="str">
        <f t="shared" si="8"/>
        <v/>
      </c>
      <c r="B7" s="25" t="str">
        <f t="shared" si="9"/>
        <v/>
      </c>
      <c r="C7" s="25" t="str">
        <f t="shared" si="10"/>
        <v/>
      </c>
      <c r="D7" s="25" t="str">
        <f t="shared" si="11"/>
        <v/>
      </c>
      <c r="E7" s="6"/>
      <c r="F7" s="14"/>
      <c r="G7" s="15"/>
      <c r="H7" s="15"/>
      <c r="I7" s="16" t="str">
        <f t="shared" si="12"/>
        <v/>
      </c>
      <c r="J7" s="17" t="str">
        <f t="shared" si="3"/>
        <v/>
      </c>
      <c r="K7" s="14"/>
      <c r="L7" s="15"/>
      <c r="M7" s="15"/>
      <c r="N7" s="16" t="str">
        <f t="shared" si="6"/>
        <v/>
      </c>
      <c r="O7" s="17" t="str">
        <f t="shared" si="4"/>
        <v/>
      </c>
      <c r="P7" s="14"/>
      <c r="Q7" s="15"/>
      <c r="R7" s="15"/>
      <c r="S7" s="16" t="str">
        <f t="shared" si="7"/>
        <v/>
      </c>
      <c r="T7" s="17" t="str">
        <f t="shared" si="5"/>
        <v/>
      </c>
      <c r="U7" s="44" t="str">
        <f t="shared" si="0"/>
        <v/>
      </c>
      <c r="V7" s="45" t="str">
        <f t="shared" si="1"/>
        <v/>
      </c>
      <c r="W7" s="46" t="str">
        <f t="shared" si="2"/>
        <v/>
      </c>
    </row>
    <row r="8" spans="1:23" x14ac:dyDescent="0.4">
      <c r="A8" s="24" t="str">
        <f t="shared" si="8"/>
        <v/>
      </c>
      <c r="B8" s="25" t="str">
        <f t="shared" si="9"/>
        <v/>
      </c>
      <c r="C8" s="25" t="str">
        <f t="shared" si="10"/>
        <v/>
      </c>
      <c r="D8" s="25" t="str">
        <f t="shared" si="11"/>
        <v/>
      </c>
      <c r="E8" s="6"/>
      <c r="F8" s="14"/>
      <c r="G8" s="15"/>
      <c r="H8" s="15"/>
      <c r="I8" s="16" t="str">
        <f t="shared" si="12"/>
        <v/>
      </c>
      <c r="J8" s="17" t="str">
        <f t="shared" si="3"/>
        <v/>
      </c>
      <c r="K8" s="14"/>
      <c r="L8" s="15"/>
      <c r="M8" s="15"/>
      <c r="N8" s="16" t="str">
        <f t="shared" si="6"/>
        <v/>
      </c>
      <c r="O8" s="17" t="str">
        <f t="shared" si="4"/>
        <v/>
      </c>
      <c r="P8" s="14"/>
      <c r="Q8" s="15"/>
      <c r="R8" s="15"/>
      <c r="S8" s="16" t="str">
        <f t="shared" si="7"/>
        <v/>
      </c>
      <c r="T8" s="17" t="str">
        <f t="shared" si="5"/>
        <v/>
      </c>
      <c r="U8" s="44" t="str">
        <f t="shared" si="0"/>
        <v/>
      </c>
      <c r="V8" s="45" t="str">
        <f t="shared" si="1"/>
        <v/>
      </c>
      <c r="W8" s="46" t="str">
        <f t="shared" si="2"/>
        <v/>
      </c>
    </row>
    <row r="9" spans="1:23" x14ac:dyDescent="0.4">
      <c r="A9" s="24" t="str">
        <f t="shared" si="8"/>
        <v/>
      </c>
      <c r="B9" s="25" t="str">
        <f t="shared" si="9"/>
        <v/>
      </c>
      <c r="C9" s="25" t="str">
        <f t="shared" si="10"/>
        <v/>
      </c>
      <c r="D9" s="25" t="str">
        <f t="shared" si="11"/>
        <v/>
      </c>
      <c r="E9" s="6"/>
      <c r="F9" s="14"/>
      <c r="G9" s="15"/>
      <c r="H9" s="15"/>
      <c r="I9" s="16" t="str">
        <f t="shared" si="12"/>
        <v/>
      </c>
      <c r="J9" s="17" t="str">
        <f t="shared" si="3"/>
        <v/>
      </c>
      <c r="K9" s="14"/>
      <c r="L9" s="15"/>
      <c r="M9" s="15"/>
      <c r="N9" s="16" t="str">
        <f t="shared" si="6"/>
        <v/>
      </c>
      <c r="O9" s="17" t="str">
        <f t="shared" si="4"/>
        <v/>
      </c>
      <c r="P9" s="14"/>
      <c r="Q9" s="15"/>
      <c r="R9" s="15"/>
      <c r="S9" s="16" t="str">
        <f t="shared" si="7"/>
        <v/>
      </c>
      <c r="T9" s="17" t="str">
        <f t="shared" si="5"/>
        <v/>
      </c>
      <c r="U9" s="44" t="str">
        <f t="shared" si="0"/>
        <v/>
      </c>
      <c r="V9" s="45" t="str">
        <f t="shared" si="1"/>
        <v/>
      </c>
      <c r="W9" s="46" t="str">
        <f t="shared" si="2"/>
        <v/>
      </c>
    </row>
    <row r="10" spans="1:23" x14ac:dyDescent="0.4">
      <c r="A10" s="24" t="str">
        <f t="shared" si="8"/>
        <v/>
      </c>
      <c r="B10" s="25" t="str">
        <f t="shared" si="9"/>
        <v/>
      </c>
      <c r="C10" s="25" t="str">
        <f t="shared" si="10"/>
        <v/>
      </c>
      <c r="D10" s="25" t="str">
        <f t="shared" si="11"/>
        <v/>
      </c>
      <c r="E10" s="6"/>
      <c r="F10" s="14"/>
      <c r="G10" s="15"/>
      <c r="H10" s="15"/>
      <c r="I10" s="16" t="str">
        <f t="shared" si="12"/>
        <v/>
      </c>
      <c r="J10" s="17" t="str">
        <f t="shared" si="3"/>
        <v/>
      </c>
      <c r="K10" s="14"/>
      <c r="L10" s="15"/>
      <c r="M10" s="15"/>
      <c r="N10" s="16" t="str">
        <f t="shared" si="6"/>
        <v/>
      </c>
      <c r="O10" s="17" t="str">
        <f t="shared" si="4"/>
        <v/>
      </c>
      <c r="P10" s="14"/>
      <c r="Q10" s="15"/>
      <c r="R10" s="15"/>
      <c r="S10" s="16" t="str">
        <f t="shared" si="7"/>
        <v/>
      </c>
      <c r="T10" s="17" t="str">
        <f t="shared" si="5"/>
        <v/>
      </c>
      <c r="U10" s="44" t="str">
        <f t="shared" si="0"/>
        <v/>
      </c>
      <c r="V10" s="45" t="str">
        <f t="shared" si="1"/>
        <v/>
      </c>
      <c r="W10" s="46" t="str">
        <f t="shared" si="2"/>
        <v/>
      </c>
    </row>
    <row r="11" spans="1:23" x14ac:dyDescent="0.4">
      <c r="A11" s="24" t="str">
        <f t="shared" si="8"/>
        <v/>
      </c>
      <c r="B11" s="25" t="str">
        <f t="shared" si="9"/>
        <v/>
      </c>
      <c r="C11" s="25" t="str">
        <f t="shared" si="10"/>
        <v/>
      </c>
      <c r="D11" s="25" t="str">
        <f t="shared" si="11"/>
        <v/>
      </c>
      <c r="E11" s="6"/>
      <c r="F11" s="14"/>
      <c r="G11" s="15"/>
      <c r="H11" s="15"/>
      <c r="I11" s="16" t="str">
        <f t="shared" si="12"/>
        <v/>
      </c>
      <c r="J11" s="17" t="str">
        <f t="shared" si="3"/>
        <v/>
      </c>
      <c r="K11" s="14"/>
      <c r="L11" s="15"/>
      <c r="M11" s="15"/>
      <c r="N11" s="16" t="str">
        <f t="shared" si="6"/>
        <v/>
      </c>
      <c r="O11" s="17" t="str">
        <f t="shared" si="4"/>
        <v/>
      </c>
      <c r="P11" s="14"/>
      <c r="Q11" s="15"/>
      <c r="R11" s="15"/>
      <c r="S11" s="16" t="str">
        <f t="shared" si="7"/>
        <v/>
      </c>
      <c r="T11" s="17" t="str">
        <f t="shared" si="5"/>
        <v/>
      </c>
      <c r="U11" s="44" t="str">
        <f t="shared" si="0"/>
        <v/>
      </c>
      <c r="V11" s="45" t="str">
        <f t="shared" si="1"/>
        <v/>
      </c>
      <c r="W11" s="46" t="str">
        <f t="shared" si="2"/>
        <v/>
      </c>
    </row>
    <row r="12" spans="1:23" x14ac:dyDescent="0.4">
      <c r="A12" s="24" t="str">
        <f t="shared" si="8"/>
        <v/>
      </c>
      <c r="B12" s="25" t="str">
        <f t="shared" si="9"/>
        <v/>
      </c>
      <c r="C12" s="25" t="str">
        <f t="shared" si="10"/>
        <v/>
      </c>
      <c r="D12" s="25" t="str">
        <f t="shared" si="11"/>
        <v/>
      </c>
      <c r="E12" s="6"/>
      <c r="F12" s="14"/>
      <c r="G12" s="15"/>
      <c r="H12" s="15"/>
      <c r="I12" s="16" t="str">
        <f t="shared" si="12"/>
        <v/>
      </c>
      <c r="J12" s="17" t="str">
        <f t="shared" si="3"/>
        <v/>
      </c>
      <c r="K12" s="14"/>
      <c r="L12" s="15"/>
      <c r="M12" s="15"/>
      <c r="N12" s="16" t="str">
        <f t="shared" si="6"/>
        <v/>
      </c>
      <c r="O12" s="17" t="str">
        <f t="shared" si="4"/>
        <v/>
      </c>
      <c r="P12" s="14"/>
      <c r="Q12" s="15"/>
      <c r="R12" s="15"/>
      <c r="S12" s="16" t="str">
        <f t="shared" si="7"/>
        <v/>
      </c>
      <c r="T12" s="17" t="str">
        <f t="shared" si="5"/>
        <v/>
      </c>
      <c r="U12" s="44" t="str">
        <f t="shared" si="0"/>
        <v/>
      </c>
      <c r="V12" s="45" t="str">
        <f t="shared" si="1"/>
        <v/>
      </c>
      <c r="W12" s="46" t="str">
        <f t="shared" si="2"/>
        <v/>
      </c>
    </row>
    <row r="13" spans="1:23" x14ac:dyDescent="0.4">
      <c r="A13" s="24" t="str">
        <f t="shared" si="8"/>
        <v/>
      </c>
      <c r="B13" s="25" t="str">
        <f t="shared" si="9"/>
        <v/>
      </c>
      <c r="C13" s="25" t="str">
        <f t="shared" si="10"/>
        <v/>
      </c>
      <c r="D13" s="25" t="str">
        <f t="shared" si="11"/>
        <v/>
      </c>
      <c r="E13" s="6"/>
      <c r="F13" s="14"/>
      <c r="G13" s="15"/>
      <c r="H13" s="15"/>
      <c r="I13" s="16" t="str">
        <f t="shared" si="12"/>
        <v/>
      </c>
      <c r="J13" s="17" t="str">
        <f t="shared" si="3"/>
        <v/>
      </c>
      <c r="K13" s="14"/>
      <c r="L13" s="15"/>
      <c r="M13" s="15"/>
      <c r="N13" s="16" t="str">
        <f t="shared" si="6"/>
        <v/>
      </c>
      <c r="O13" s="17" t="str">
        <f t="shared" si="4"/>
        <v/>
      </c>
      <c r="P13" s="14"/>
      <c r="Q13" s="15"/>
      <c r="R13" s="15"/>
      <c r="S13" s="16" t="str">
        <f t="shared" si="7"/>
        <v/>
      </c>
      <c r="T13" s="17" t="str">
        <f t="shared" si="5"/>
        <v/>
      </c>
      <c r="U13" s="44" t="str">
        <f t="shared" si="0"/>
        <v/>
      </c>
      <c r="V13" s="45" t="str">
        <f t="shared" si="1"/>
        <v/>
      </c>
      <c r="W13" s="46" t="str">
        <f t="shared" si="2"/>
        <v/>
      </c>
    </row>
    <row r="14" spans="1:23" x14ac:dyDescent="0.4">
      <c r="A14" s="24" t="str">
        <f t="shared" si="8"/>
        <v/>
      </c>
      <c r="B14" s="25" t="str">
        <f t="shared" si="9"/>
        <v/>
      </c>
      <c r="C14" s="25" t="str">
        <f t="shared" si="10"/>
        <v/>
      </c>
      <c r="D14" s="25" t="str">
        <f t="shared" si="11"/>
        <v/>
      </c>
      <c r="E14" s="6"/>
      <c r="F14" s="14"/>
      <c r="G14" s="15"/>
      <c r="H14" s="15"/>
      <c r="I14" s="16" t="str">
        <f t="shared" si="12"/>
        <v/>
      </c>
      <c r="J14" s="17" t="str">
        <f t="shared" si="3"/>
        <v/>
      </c>
      <c r="K14" s="14"/>
      <c r="L14" s="15"/>
      <c r="M14" s="15"/>
      <c r="N14" s="16" t="str">
        <f t="shared" si="6"/>
        <v/>
      </c>
      <c r="O14" s="17" t="str">
        <f t="shared" si="4"/>
        <v/>
      </c>
      <c r="P14" s="14"/>
      <c r="Q14" s="15"/>
      <c r="R14" s="15"/>
      <c r="S14" s="16" t="str">
        <f t="shared" si="7"/>
        <v/>
      </c>
      <c r="T14" s="17" t="str">
        <f t="shared" si="5"/>
        <v/>
      </c>
      <c r="U14" s="44" t="str">
        <f t="shared" si="0"/>
        <v/>
      </c>
      <c r="V14" s="45" t="str">
        <f t="shared" si="1"/>
        <v/>
      </c>
      <c r="W14" s="46" t="str">
        <f t="shared" si="2"/>
        <v/>
      </c>
    </row>
    <row r="15" spans="1:23" x14ac:dyDescent="0.4">
      <c r="A15" s="24" t="str">
        <f t="shared" si="8"/>
        <v/>
      </c>
      <c r="B15" s="25" t="str">
        <f t="shared" si="9"/>
        <v/>
      </c>
      <c r="C15" s="25" t="str">
        <f t="shared" si="10"/>
        <v/>
      </c>
      <c r="D15" s="25" t="str">
        <f t="shared" si="11"/>
        <v/>
      </c>
      <c r="E15" s="6"/>
      <c r="F15" s="14"/>
      <c r="G15" s="15"/>
      <c r="H15" s="15"/>
      <c r="I15" s="16" t="str">
        <f t="shared" si="12"/>
        <v/>
      </c>
      <c r="J15" s="17" t="str">
        <f t="shared" si="3"/>
        <v/>
      </c>
      <c r="K15" s="14"/>
      <c r="L15" s="15"/>
      <c r="M15" s="15"/>
      <c r="N15" s="16" t="str">
        <f t="shared" si="6"/>
        <v/>
      </c>
      <c r="O15" s="17" t="str">
        <f t="shared" si="4"/>
        <v/>
      </c>
      <c r="P15" s="14"/>
      <c r="Q15" s="15"/>
      <c r="R15" s="15"/>
      <c r="S15" s="16" t="str">
        <f t="shared" si="7"/>
        <v/>
      </c>
      <c r="T15" s="17" t="str">
        <f t="shared" si="5"/>
        <v/>
      </c>
      <c r="U15" s="44" t="str">
        <f t="shared" si="0"/>
        <v/>
      </c>
      <c r="V15" s="45" t="str">
        <f t="shared" si="1"/>
        <v/>
      </c>
      <c r="W15" s="46" t="str">
        <f t="shared" si="2"/>
        <v/>
      </c>
    </row>
    <row r="16" spans="1:23" x14ac:dyDescent="0.4">
      <c r="A16" s="24" t="str">
        <f t="shared" si="8"/>
        <v/>
      </c>
      <c r="B16" s="25" t="str">
        <f t="shared" si="9"/>
        <v/>
      </c>
      <c r="C16" s="25" t="str">
        <f t="shared" si="10"/>
        <v/>
      </c>
      <c r="D16" s="25" t="str">
        <f t="shared" si="11"/>
        <v/>
      </c>
      <c r="E16" s="6"/>
      <c r="F16" s="14"/>
      <c r="G16" s="15"/>
      <c r="H16" s="15"/>
      <c r="I16" s="16" t="str">
        <f t="shared" si="12"/>
        <v/>
      </c>
      <c r="J16" s="17" t="str">
        <f t="shared" si="3"/>
        <v/>
      </c>
      <c r="K16" s="14"/>
      <c r="L16" s="15"/>
      <c r="M16" s="15"/>
      <c r="N16" s="16" t="str">
        <f t="shared" si="6"/>
        <v/>
      </c>
      <c r="O16" s="17" t="str">
        <f t="shared" si="4"/>
        <v/>
      </c>
      <c r="P16" s="14"/>
      <c r="Q16" s="15"/>
      <c r="R16" s="15"/>
      <c r="S16" s="16" t="str">
        <f t="shared" si="7"/>
        <v/>
      </c>
      <c r="T16" s="17" t="str">
        <f t="shared" si="5"/>
        <v/>
      </c>
      <c r="U16" s="44" t="str">
        <f t="shared" si="0"/>
        <v/>
      </c>
      <c r="V16" s="45" t="str">
        <f t="shared" si="1"/>
        <v/>
      </c>
      <c r="W16" s="46" t="str">
        <f t="shared" si="2"/>
        <v/>
      </c>
    </row>
    <row r="17" spans="1:23" x14ac:dyDescent="0.4">
      <c r="A17" s="24" t="str">
        <f t="shared" si="8"/>
        <v/>
      </c>
      <c r="B17" s="25" t="str">
        <f t="shared" si="9"/>
        <v/>
      </c>
      <c r="C17" s="25" t="str">
        <f t="shared" si="10"/>
        <v/>
      </c>
      <c r="D17" s="25" t="str">
        <f t="shared" si="11"/>
        <v/>
      </c>
      <c r="E17" s="6"/>
      <c r="F17" s="14"/>
      <c r="G17" s="15"/>
      <c r="H17" s="15"/>
      <c r="I17" s="16" t="str">
        <f t="shared" si="12"/>
        <v/>
      </c>
      <c r="J17" s="17" t="str">
        <f t="shared" si="3"/>
        <v/>
      </c>
      <c r="K17" s="14"/>
      <c r="L17" s="15"/>
      <c r="M17" s="15"/>
      <c r="N17" s="16" t="str">
        <f t="shared" si="6"/>
        <v/>
      </c>
      <c r="O17" s="17" t="str">
        <f t="shared" si="4"/>
        <v/>
      </c>
      <c r="P17" s="14"/>
      <c r="Q17" s="15"/>
      <c r="R17" s="15"/>
      <c r="S17" s="16" t="str">
        <f t="shared" si="7"/>
        <v/>
      </c>
      <c r="T17" s="17" t="str">
        <f t="shared" si="5"/>
        <v/>
      </c>
      <c r="U17" s="44" t="str">
        <f t="shared" si="0"/>
        <v/>
      </c>
      <c r="V17" s="45" t="str">
        <f t="shared" si="1"/>
        <v/>
      </c>
      <c r="W17" s="46" t="str">
        <f t="shared" si="2"/>
        <v/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44" t="str">
        <f t="shared" si="0"/>
        <v/>
      </c>
      <c r="V18" s="45" t="str">
        <f t="shared" si="1"/>
        <v/>
      </c>
      <c r="W18" s="46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44" t="str">
        <f t="shared" si="0"/>
        <v/>
      </c>
      <c r="V19" s="45" t="str">
        <f t="shared" si="1"/>
        <v/>
      </c>
      <c r="W19" s="46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44" t="str">
        <f t="shared" si="0"/>
        <v/>
      </c>
      <c r="V20" s="45" t="str">
        <f t="shared" si="1"/>
        <v/>
      </c>
      <c r="W20" s="46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44" t="str">
        <f t="shared" si="0"/>
        <v/>
      </c>
      <c r="V21" s="45" t="str">
        <f t="shared" si="1"/>
        <v/>
      </c>
      <c r="W21" s="46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44" t="str">
        <f t="shared" si="0"/>
        <v/>
      </c>
      <c r="V22" s="45" t="str">
        <f t="shared" si="1"/>
        <v/>
      </c>
      <c r="W22" s="46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44" t="str">
        <f t="shared" si="0"/>
        <v/>
      </c>
      <c r="V23" s="45" t="str">
        <f t="shared" si="1"/>
        <v/>
      </c>
      <c r="W23" s="46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44" t="str">
        <f t="shared" si="0"/>
        <v/>
      </c>
      <c r="V24" s="45" t="str">
        <f t="shared" si="1"/>
        <v/>
      </c>
      <c r="W24" s="46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44" t="str">
        <f t="shared" si="0"/>
        <v/>
      </c>
      <c r="V25" s="45" t="str">
        <f t="shared" si="1"/>
        <v/>
      </c>
      <c r="W25" s="46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44" t="str">
        <f t="shared" si="0"/>
        <v/>
      </c>
      <c r="V26" s="45" t="str">
        <f t="shared" si="1"/>
        <v/>
      </c>
      <c r="W26" s="46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44" t="str">
        <f t="shared" si="0"/>
        <v/>
      </c>
      <c r="V27" s="45" t="str">
        <f t="shared" si="1"/>
        <v/>
      </c>
      <c r="W27" s="46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44" t="str">
        <f t="shared" si="0"/>
        <v/>
      </c>
      <c r="V28" s="45" t="str">
        <f t="shared" si="1"/>
        <v/>
      </c>
      <c r="W28" s="46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44" t="str">
        <f t="shared" si="0"/>
        <v/>
      </c>
      <c r="V29" s="45" t="str">
        <f t="shared" si="1"/>
        <v/>
      </c>
      <c r="W29" s="46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47" t="str">
        <f t="shared" si="0"/>
        <v/>
      </c>
      <c r="V30" s="48" t="str">
        <f t="shared" si="1"/>
        <v/>
      </c>
      <c r="W30" s="49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7" priority="2">
      <formula>IF(AND(G4&lt;&gt;"",F4&lt;&gt;"流局",F4&lt;&gt;"チョンボ"),SUM($G4:$I4,$L4:$N4,$Q4:$S4)-$D4*1000)</formula>
    </cfRule>
  </conditionalFormatting>
  <conditionalFormatting sqref="F1:T1">
    <cfRule type="duplicateValues" dxfId="6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A390D-9211-48CC-8AA7-E844F27B4BEA}">
  <sheetPr codeName="Sheet2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5" t="s">
        <v>0</v>
      </c>
      <c r="B1" s="37" t="s">
        <v>2</v>
      </c>
      <c r="C1" s="37" t="s">
        <v>1</v>
      </c>
      <c r="D1" s="37" t="s">
        <v>6</v>
      </c>
      <c r="E1" s="39" t="s">
        <v>3</v>
      </c>
      <c r="F1" s="31" t="s">
        <v>20</v>
      </c>
      <c r="G1" s="32"/>
      <c r="H1" s="32"/>
      <c r="I1" s="33"/>
      <c r="J1" s="34"/>
      <c r="K1" s="31" t="s">
        <v>27</v>
      </c>
      <c r="L1" s="32"/>
      <c r="M1" s="32"/>
      <c r="N1" s="33"/>
      <c r="O1" s="34"/>
      <c r="P1" s="31" t="s">
        <v>29</v>
      </c>
      <c r="Q1" s="32"/>
      <c r="R1" s="32"/>
      <c r="S1" s="33"/>
      <c r="T1" s="34"/>
      <c r="U1" s="31" t="s">
        <v>8</v>
      </c>
      <c r="V1" s="32"/>
      <c r="W1" s="34"/>
    </row>
    <row r="2" spans="1:23" x14ac:dyDescent="0.4">
      <c r="A2" s="36"/>
      <c r="B2" s="38"/>
      <c r="C2" s="38"/>
      <c r="D2" s="38"/>
      <c r="E2" s="40"/>
      <c r="F2" s="2" t="s">
        <v>7</v>
      </c>
      <c r="G2" s="3" t="s">
        <v>12</v>
      </c>
      <c r="H2" s="3" t="s">
        <v>4</v>
      </c>
      <c r="I2" s="29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29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29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30" t="str">
        <f>P1</f>
        <v>ただ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41">
        <f t="shared" ref="U3:U30" si="0">IF($J3="","",ROUND(($J3-$J$3)/1000,1))</f>
        <v>0</v>
      </c>
      <c r="V3" s="42">
        <f t="shared" ref="V3:V30" si="1">IF($O3="","",ROUND(($O3-$O$3)/1000,1))</f>
        <v>0</v>
      </c>
      <c r="W3" s="43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28</v>
      </c>
      <c r="F4" s="14" t="s">
        <v>23</v>
      </c>
      <c r="G4" s="15">
        <v>-1500</v>
      </c>
      <c r="H4" s="15"/>
      <c r="I4" s="16">
        <f>IF(OR(F4="ロン",F4="ツモ"),$C4*1000,IF(F4="放銃",$C4*-1000,IF(F4="ツモ支払",$C4*-500,"")))</f>
        <v>0</v>
      </c>
      <c r="J4" s="17">
        <f t="shared" ref="J4:J30" si="3">IF(COUNTA($F4,$K4,$P4)&gt;0,J3+SUM(G4:I4),"")</f>
        <v>33500</v>
      </c>
      <c r="K4" s="14" t="s">
        <v>23</v>
      </c>
      <c r="L4" s="15">
        <v>-1500</v>
      </c>
      <c r="M4" s="15"/>
      <c r="N4" s="16">
        <f>IF(OR(K4="ロン",K4="ツモ"),$C4*1000,IF(K4="放銃",$C4*-1000,IF(K4="ツモ支払",$C4*-500,"")))</f>
        <v>0</v>
      </c>
      <c r="O4" s="17">
        <f t="shared" ref="O4:O30" si="4">IF(COUNTA($F4,$K4,$P4)&gt;0,O3+SUM(L4:N4),"")</f>
        <v>33500</v>
      </c>
      <c r="P4" s="14" t="s">
        <v>22</v>
      </c>
      <c r="Q4" s="15">
        <v>3000</v>
      </c>
      <c r="R4" s="15"/>
      <c r="S4" s="16">
        <f>IF(OR(P4="ロン",P4="ツモ"),$C4*1000,IF(P4="放銃",$C4*-1000,IF(P4="ツモ支払",$C4*-500,"")))</f>
        <v>0</v>
      </c>
      <c r="T4" s="17">
        <f t="shared" ref="T4:T30" si="5">IF(COUNTA($F4,$K4,$P4)&gt;0,T3+SUM(Q4:S4),"")</f>
        <v>38000</v>
      </c>
      <c r="U4" s="44">
        <f t="shared" si="0"/>
        <v>-1.5</v>
      </c>
      <c r="V4" s="45">
        <f t="shared" si="1"/>
        <v>-1.5</v>
      </c>
      <c r="W4" s="46">
        <f t="shared" si="2"/>
        <v>3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1</v>
      </c>
      <c r="C5" s="25">
        <f>IF($E5="","",IF($E4=$E5,C4+1,0))</f>
        <v>1</v>
      </c>
      <c r="D5" s="25">
        <f>IF($E5="","",IF(OR(F4="流局",K4="流局",P4="流局",F4="チョンボ",K4="チョンボ",P4="チョンボ"),D4+($H4+$M4+$R4)/-1000,0))</f>
        <v>0</v>
      </c>
      <c r="E5" s="6" t="s">
        <v>28</v>
      </c>
      <c r="F5" s="14" t="s">
        <v>22</v>
      </c>
      <c r="G5" s="15">
        <v>2800</v>
      </c>
      <c r="H5" s="15"/>
      <c r="I5" s="16">
        <f>IF(OR(F5="ロン",F5="ツモ"),$C5*1000,IF(F5="放銃",$C5*-1000,IF(F5="ツモ支払",$C5*-500,"")))</f>
        <v>1000</v>
      </c>
      <c r="J5" s="17">
        <f t="shared" si="3"/>
        <v>37300</v>
      </c>
      <c r="K5" s="14" t="s">
        <v>23</v>
      </c>
      <c r="L5" s="15">
        <v>-1100</v>
      </c>
      <c r="M5" s="15"/>
      <c r="N5" s="16">
        <f t="shared" ref="N5:N30" si="6">IF(OR(K5="ロン",K5="ツモ"),$C5*1000,IF(K5="放銃",$C5*-1000,IF(K5="ツモ支払",$C5*-500,"")))</f>
        <v>-500</v>
      </c>
      <c r="O5" s="17">
        <f t="shared" si="4"/>
        <v>31900</v>
      </c>
      <c r="P5" s="14" t="s">
        <v>23</v>
      </c>
      <c r="Q5" s="15">
        <v>-1700</v>
      </c>
      <c r="R5" s="15"/>
      <c r="S5" s="16">
        <f t="shared" ref="S5:S30" si="7">IF(OR(P5="ロン",P5="ツモ"),$C5*1000,IF(P5="放銃",$C5*-1000,IF(P5="ツモ支払",$C5*-500,"")))</f>
        <v>-500</v>
      </c>
      <c r="T5" s="17">
        <f t="shared" si="5"/>
        <v>35800</v>
      </c>
      <c r="U5" s="44">
        <f t="shared" si="0"/>
        <v>2.2999999999999998</v>
      </c>
      <c r="V5" s="45">
        <f t="shared" si="1"/>
        <v>-3.1</v>
      </c>
      <c r="W5" s="46">
        <f t="shared" si="2"/>
        <v>0.8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2</v>
      </c>
      <c r="C6" s="25">
        <f t="shared" ref="C6:C30" si="10">IF($E6="","",IF($E5=$E6,C5+1,0))</f>
        <v>0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19</v>
      </c>
      <c r="F6" s="14" t="s">
        <v>23</v>
      </c>
      <c r="G6" s="15">
        <v>-5000</v>
      </c>
      <c r="H6" s="15"/>
      <c r="I6" s="16">
        <f t="shared" ref="I6:I30" si="12">IF(OR(F6="ロン",F6="ツモ"),$C6*1000,IF(F6="放銃",$C6*-1000,IF(F6="ツモ支払",$C6*-500,"")))</f>
        <v>0</v>
      </c>
      <c r="J6" s="17">
        <f t="shared" si="3"/>
        <v>32300</v>
      </c>
      <c r="K6" s="14" t="s">
        <v>22</v>
      </c>
      <c r="L6" s="15">
        <v>8000</v>
      </c>
      <c r="M6" s="15"/>
      <c r="N6" s="16">
        <f t="shared" si="6"/>
        <v>0</v>
      </c>
      <c r="O6" s="17">
        <f t="shared" si="4"/>
        <v>39900</v>
      </c>
      <c r="P6" s="14" t="s">
        <v>23</v>
      </c>
      <c r="Q6" s="15">
        <v>-3000</v>
      </c>
      <c r="R6" s="15"/>
      <c r="S6" s="16">
        <f t="shared" si="7"/>
        <v>0</v>
      </c>
      <c r="T6" s="17">
        <f t="shared" si="5"/>
        <v>32800</v>
      </c>
      <c r="U6" s="44">
        <f t="shared" si="0"/>
        <v>-2.7</v>
      </c>
      <c r="V6" s="45">
        <f t="shared" si="1"/>
        <v>4.9000000000000004</v>
      </c>
      <c r="W6" s="46">
        <f t="shared" si="2"/>
        <v>-2.2000000000000002</v>
      </c>
    </row>
    <row r="7" spans="1:23" x14ac:dyDescent="0.4">
      <c r="A7" s="24" t="str">
        <f t="shared" si="8"/>
        <v>東</v>
      </c>
      <c r="B7" s="25">
        <f t="shared" si="9"/>
        <v>3</v>
      </c>
      <c r="C7" s="25">
        <f t="shared" si="10"/>
        <v>0</v>
      </c>
      <c r="D7" s="25">
        <f t="shared" si="11"/>
        <v>0</v>
      </c>
      <c r="E7" s="6" t="s">
        <v>26</v>
      </c>
      <c r="F7" s="14" t="s">
        <v>23</v>
      </c>
      <c r="G7" s="15">
        <v>-6000</v>
      </c>
      <c r="H7" s="15"/>
      <c r="I7" s="16">
        <f t="shared" si="12"/>
        <v>0</v>
      </c>
      <c r="J7" s="17">
        <f t="shared" si="3"/>
        <v>26300</v>
      </c>
      <c r="K7" s="14" t="s">
        <v>22</v>
      </c>
      <c r="L7" s="15">
        <v>12000</v>
      </c>
      <c r="M7" s="15"/>
      <c r="N7" s="16">
        <f t="shared" si="6"/>
        <v>0</v>
      </c>
      <c r="O7" s="17">
        <f t="shared" si="4"/>
        <v>51900</v>
      </c>
      <c r="P7" s="14" t="s">
        <v>23</v>
      </c>
      <c r="Q7" s="15">
        <v>-6000</v>
      </c>
      <c r="R7" s="15"/>
      <c r="S7" s="16">
        <f t="shared" si="7"/>
        <v>0</v>
      </c>
      <c r="T7" s="17">
        <f t="shared" si="5"/>
        <v>26800</v>
      </c>
      <c r="U7" s="44">
        <f t="shared" si="0"/>
        <v>-8.6999999999999993</v>
      </c>
      <c r="V7" s="45">
        <f t="shared" si="1"/>
        <v>16.899999999999999</v>
      </c>
      <c r="W7" s="46">
        <f t="shared" si="2"/>
        <v>-8.1999999999999993</v>
      </c>
    </row>
    <row r="8" spans="1:23" x14ac:dyDescent="0.4">
      <c r="A8" s="24" t="str">
        <f t="shared" si="8"/>
        <v>東</v>
      </c>
      <c r="B8" s="25">
        <f t="shared" si="9"/>
        <v>3</v>
      </c>
      <c r="C8" s="25">
        <f t="shared" si="10"/>
        <v>1</v>
      </c>
      <c r="D8" s="25">
        <f t="shared" si="11"/>
        <v>0</v>
      </c>
      <c r="E8" s="6" t="s">
        <v>26</v>
      </c>
      <c r="F8" s="14" t="s">
        <v>30</v>
      </c>
      <c r="G8" s="15">
        <v>8000</v>
      </c>
      <c r="H8" s="15"/>
      <c r="I8" s="16" t="str">
        <f t="shared" si="12"/>
        <v/>
      </c>
      <c r="J8" s="17">
        <f t="shared" si="3"/>
        <v>34300</v>
      </c>
      <c r="K8" s="14" t="s">
        <v>30</v>
      </c>
      <c r="L8" s="15">
        <v>-8000</v>
      </c>
      <c r="M8" s="15"/>
      <c r="N8" s="16" t="str">
        <f t="shared" si="6"/>
        <v/>
      </c>
      <c r="O8" s="17">
        <f t="shared" si="4"/>
        <v>43900</v>
      </c>
      <c r="P8" s="14" t="s">
        <v>30</v>
      </c>
      <c r="Q8" s="15"/>
      <c r="R8" s="15"/>
      <c r="S8" s="16" t="str">
        <f t="shared" si="7"/>
        <v/>
      </c>
      <c r="T8" s="17">
        <f t="shared" si="5"/>
        <v>26800</v>
      </c>
      <c r="U8" s="44">
        <f t="shared" si="0"/>
        <v>-0.7</v>
      </c>
      <c r="V8" s="45">
        <f t="shared" si="1"/>
        <v>8.9</v>
      </c>
      <c r="W8" s="46">
        <f t="shared" si="2"/>
        <v>-8.1999999999999993</v>
      </c>
    </row>
    <row r="9" spans="1:23" x14ac:dyDescent="0.4">
      <c r="A9" s="24" t="str">
        <f t="shared" si="8"/>
        <v>南</v>
      </c>
      <c r="B9" s="25">
        <f t="shared" si="9"/>
        <v>1</v>
      </c>
      <c r="C9" s="25">
        <f t="shared" si="10"/>
        <v>0</v>
      </c>
      <c r="D9" s="25">
        <f t="shared" si="11"/>
        <v>0</v>
      </c>
      <c r="E9" s="6" t="s">
        <v>28</v>
      </c>
      <c r="F9" s="14" t="s">
        <v>24</v>
      </c>
      <c r="G9" s="15">
        <v>-5800</v>
      </c>
      <c r="H9" s="15"/>
      <c r="I9" s="16">
        <f t="shared" si="12"/>
        <v>0</v>
      </c>
      <c r="J9" s="17">
        <f t="shared" si="3"/>
        <v>28500</v>
      </c>
      <c r="K9" s="14"/>
      <c r="L9" s="15"/>
      <c r="M9" s="15"/>
      <c r="N9" s="16" t="str">
        <f t="shared" si="6"/>
        <v/>
      </c>
      <c r="O9" s="17">
        <f t="shared" si="4"/>
        <v>43900</v>
      </c>
      <c r="P9" s="14" t="s">
        <v>25</v>
      </c>
      <c r="Q9" s="15">
        <v>5800</v>
      </c>
      <c r="R9" s="15"/>
      <c r="S9" s="16">
        <f t="shared" si="7"/>
        <v>0</v>
      </c>
      <c r="T9" s="17">
        <f t="shared" si="5"/>
        <v>32600</v>
      </c>
      <c r="U9" s="44">
        <f t="shared" si="0"/>
        <v>-6.5</v>
      </c>
      <c r="V9" s="45">
        <f t="shared" si="1"/>
        <v>8.9</v>
      </c>
      <c r="W9" s="46">
        <f t="shared" si="2"/>
        <v>-2.4</v>
      </c>
    </row>
    <row r="10" spans="1:23" x14ac:dyDescent="0.4">
      <c r="A10" s="24" t="str">
        <f t="shared" si="8"/>
        <v>南</v>
      </c>
      <c r="B10" s="25">
        <f t="shared" si="9"/>
        <v>1</v>
      </c>
      <c r="C10" s="25">
        <f t="shared" si="10"/>
        <v>1</v>
      </c>
      <c r="D10" s="25">
        <f t="shared" si="11"/>
        <v>0</v>
      </c>
      <c r="E10" s="6" t="s">
        <v>28</v>
      </c>
      <c r="F10" s="14" t="s">
        <v>25</v>
      </c>
      <c r="G10" s="15">
        <v>16000</v>
      </c>
      <c r="H10" s="15"/>
      <c r="I10" s="16">
        <f t="shared" si="12"/>
        <v>1000</v>
      </c>
      <c r="J10" s="17">
        <f t="shared" si="3"/>
        <v>45500</v>
      </c>
      <c r="K10" s="14" t="s">
        <v>24</v>
      </c>
      <c r="L10" s="15">
        <v>-16000</v>
      </c>
      <c r="M10" s="15"/>
      <c r="N10" s="16">
        <f t="shared" si="6"/>
        <v>-1000</v>
      </c>
      <c r="O10" s="17">
        <f t="shared" si="4"/>
        <v>26900</v>
      </c>
      <c r="P10" s="14"/>
      <c r="Q10" s="15"/>
      <c r="R10" s="15"/>
      <c r="S10" s="16" t="str">
        <f t="shared" si="7"/>
        <v/>
      </c>
      <c r="T10" s="17">
        <f t="shared" si="5"/>
        <v>32600</v>
      </c>
      <c r="U10" s="44">
        <f t="shared" si="0"/>
        <v>10.5</v>
      </c>
      <c r="V10" s="45">
        <f t="shared" si="1"/>
        <v>-8.1</v>
      </c>
      <c r="W10" s="46">
        <f t="shared" si="2"/>
        <v>-2.4</v>
      </c>
    </row>
    <row r="11" spans="1:23" x14ac:dyDescent="0.4">
      <c r="A11" s="24" t="str">
        <f t="shared" si="8"/>
        <v>南</v>
      </c>
      <c r="B11" s="25">
        <f t="shared" si="9"/>
        <v>2</v>
      </c>
      <c r="C11" s="25">
        <f t="shared" si="10"/>
        <v>0</v>
      </c>
      <c r="D11" s="25">
        <f t="shared" si="11"/>
        <v>0</v>
      </c>
      <c r="E11" s="6" t="s">
        <v>19</v>
      </c>
      <c r="F11" s="14" t="s">
        <v>23</v>
      </c>
      <c r="G11" s="15">
        <v>-5000</v>
      </c>
      <c r="H11" s="15"/>
      <c r="I11" s="16">
        <f t="shared" si="12"/>
        <v>0</v>
      </c>
      <c r="J11" s="17">
        <f t="shared" si="3"/>
        <v>40500</v>
      </c>
      <c r="K11" s="14" t="s">
        <v>22</v>
      </c>
      <c r="L11" s="15">
        <v>8000</v>
      </c>
      <c r="M11" s="15"/>
      <c r="N11" s="16">
        <f t="shared" si="6"/>
        <v>0</v>
      </c>
      <c r="O11" s="17">
        <f t="shared" si="4"/>
        <v>34900</v>
      </c>
      <c r="P11" s="14" t="s">
        <v>23</v>
      </c>
      <c r="Q11" s="15">
        <v>-3000</v>
      </c>
      <c r="R11" s="15"/>
      <c r="S11" s="16">
        <f t="shared" si="7"/>
        <v>0</v>
      </c>
      <c r="T11" s="17">
        <f t="shared" si="5"/>
        <v>29600</v>
      </c>
      <c r="U11" s="44">
        <f t="shared" si="0"/>
        <v>5.5</v>
      </c>
      <c r="V11" s="45">
        <f t="shared" si="1"/>
        <v>-0.1</v>
      </c>
      <c r="W11" s="46">
        <f t="shared" si="2"/>
        <v>-5.4</v>
      </c>
    </row>
    <row r="12" spans="1:23" x14ac:dyDescent="0.4">
      <c r="A12" s="24" t="str">
        <f t="shared" si="8"/>
        <v>南</v>
      </c>
      <c r="B12" s="25">
        <f t="shared" si="9"/>
        <v>3</v>
      </c>
      <c r="C12" s="25">
        <f t="shared" si="10"/>
        <v>0</v>
      </c>
      <c r="D12" s="25">
        <f t="shared" si="11"/>
        <v>0</v>
      </c>
      <c r="E12" s="6" t="s">
        <v>26</v>
      </c>
      <c r="F12" s="14" t="s">
        <v>24</v>
      </c>
      <c r="G12" s="15">
        <v>-3900</v>
      </c>
      <c r="H12" s="15"/>
      <c r="I12" s="16">
        <f t="shared" si="12"/>
        <v>0</v>
      </c>
      <c r="J12" s="17">
        <f t="shared" si="3"/>
        <v>36600</v>
      </c>
      <c r="K12" s="14" t="s">
        <v>25</v>
      </c>
      <c r="L12" s="15">
        <v>3900</v>
      </c>
      <c r="M12" s="15"/>
      <c r="N12" s="16">
        <f t="shared" si="6"/>
        <v>0</v>
      </c>
      <c r="O12" s="17">
        <f t="shared" si="4"/>
        <v>38800</v>
      </c>
      <c r="P12" s="14"/>
      <c r="Q12" s="15"/>
      <c r="R12" s="15"/>
      <c r="S12" s="16" t="str">
        <f t="shared" si="7"/>
        <v/>
      </c>
      <c r="T12" s="17">
        <f t="shared" si="5"/>
        <v>29600</v>
      </c>
      <c r="U12" s="44">
        <f t="shared" si="0"/>
        <v>1.6</v>
      </c>
      <c r="V12" s="45">
        <f t="shared" si="1"/>
        <v>3.8</v>
      </c>
      <c r="W12" s="46">
        <f t="shared" si="2"/>
        <v>-5.4</v>
      </c>
    </row>
    <row r="13" spans="1:23" x14ac:dyDescent="0.4">
      <c r="A13" s="24" t="str">
        <f t="shared" si="8"/>
        <v/>
      </c>
      <c r="B13" s="25" t="str">
        <f t="shared" si="9"/>
        <v/>
      </c>
      <c r="C13" s="25" t="str">
        <f t="shared" si="10"/>
        <v/>
      </c>
      <c r="D13" s="25" t="str">
        <f t="shared" si="11"/>
        <v/>
      </c>
      <c r="E13" s="6"/>
      <c r="F13" s="14"/>
      <c r="G13" s="15"/>
      <c r="H13" s="15"/>
      <c r="I13" s="16" t="str">
        <f t="shared" si="12"/>
        <v/>
      </c>
      <c r="J13" s="17" t="str">
        <f t="shared" si="3"/>
        <v/>
      </c>
      <c r="K13" s="14"/>
      <c r="L13" s="15"/>
      <c r="M13" s="15"/>
      <c r="N13" s="16" t="str">
        <f t="shared" si="6"/>
        <v/>
      </c>
      <c r="O13" s="17" t="str">
        <f t="shared" si="4"/>
        <v/>
      </c>
      <c r="P13" s="14"/>
      <c r="Q13" s="15"/>
      <c r="R13" s="15"/>
      <c r="S13" s="16" t="str">
        <f t="shared" si="7"/>
        <v/>
      </c>
      <c r="T13" s="17" t="str">
        <f t="shared" si="5"/>
        <v/>
      </c>
      <c r="U13" s="44" t="str">
        <f t="shared" si="0"/>
        <v/>
      </c>
      <c r="V13" s="45" t="str">
        <f t="shared" si="1"/>
        <v/>
      </c>
      <c r="W13" s="46" t="str">
        <f t="shared" si="2"/>
        <v/>
      </c>
    </row>
    <row r="14" spans="1:23" x14ac:dyDescent="0.4">
      <c r="A14" s="24" t="str">
        <f t="shared" si="8"/>
        <v/>
      </c>
      <c r="B14" s="25" t="str">
        <f t="shared" si="9"/>
        <v/>
      </c>
      <c r="C14" s="25" t="str">
        <f t="shared" si="10"/>
        <v/>
      </c>
      <c r="D14" s="25" t="str">
        <f t="shared" si="11"/>
        <v/>
      </c>
      <c r="E14" s="6"/>
      <c r="F14" s="14"/>
      <c r="G14" s="15"/>
      <c r="H14" s="15"/>
      <c r="I14" s="16" t="str">
        <f t="shared" si="12"/>
        <v/>
      </c>
      <c r="J14" s="17" t="str">
        <f t="shared" si="3"/>
        <v/>
      </c>
      <c r="K14" s="14"/>
      <c r="L14" s="15"/>
      <c r="M14" s="15"/>
      <c r="N14" s="16" t="str">
        <f t="shared" si="6"/>
        <v/>
      </c>
      <c r="O14" s="17" t="str">
        <f t="shared" si="4"/>
        <v/>
      </c>
      <c r="P14" s="14"/>
      <c r="Q14" s="15"/>
      <c r="R14" s="15"/>
      <c r="S14" s="16" t="str">
        <f t="shared" si="7"/>
        <v/>
      </c>
      <c r="T14" s="17" t="str">
        <f t="shared" si="5"/>
        <v/>
      </c>
      <c r="U14" s="44" t="str">
        <f t="shared" si="0"/>
        <v/>
      </c>
      <c r="V14" s="45" t="str">
        <f t="shared" si="1"/>
        <v/>
      </c>
      <c r="W14" s="46" t="str">
        <f t="shared" si="2"/>
        <v/>
      </c>
    </row>
    <row r="15" spans="1:23" x14ac:dyDescent="0.4">
      <c r="A15" s="24" t="str">
        <f t="shared" si="8"/>
        <v/>
      </c>
      <c r="B15" s="25" t="str">
        <f t="shared" si="9"/>
        <v/>
      </c>
      <c r="C15" s="25" t="str">
        <f t="shared" si="10"/>
        <v/>
      </c>
      <c r="D15" s="25" t="str">
        <f t="shared" si="11"/>
        <v/>
      </c>
      <c r="E15" s="6"/>
      <c r="F15" s="14"/>
      <c r="G15" s="15"/>
      <c r="H15" s="15"/>
      <c r="I15" s="16" t="str">
        <f t="shared" si="12"/>
        <v/>
      </c>
      <c r="J15" s="17" t="str">
        <f t="shared" si="3"/>
        <v/>
      </c>
      <c r="K15" s="14"/>
      <c r="L15" s="15"/>
      <c r="M15" s="15"/>
      <c r="N15" s="16" t="str">
        <f t="shared" si="6"/>
        <v/>
      </c>
      <c r="O15" s="17" t="str">
        <f t="shared" si="4"/>
        <v/>
      </c>
      <c r="P15" s="14"/>
      <c r="Q15" s="15"/>
      <c r="R15" s="15"/>
      <c r="S15" s="16" t="str">
        <f t="shared" si="7"/>
        <v/>
      </c>
      <c r="T15" s="17" t="str">
        <f t="shared" si="5"/>
        <v/>
      </c>
      <c r="U15" s="44" t="str">
        <f t="shared" si="0"/>
        <v/>
      </c>
      <c r="V15" s="45" t="str">
        <f t="shared" si="1"/>
        <v/>
      </c>
      <c r="W15" s="46" t="str">
        <f t="shared" si="2"/>
        <v/>
      </c>
    </row>
    <row r="16" spans="1:23" x14ac:dyDescent="0.4">
      <c r="A16" s="24" t="str">
        <f t="shared" si="8"/>
        <v/>
      </c>
      <c r="B16" s="25" t="str">
        <f t="shared" si="9"/>
        <v/>
      </c>
      <c r="C16" s="25" t="str">
        <f t="shared" si="10"/>
        <v/>
      </c>
      <c r="D16" s="25" t="str">
        <f t="shared" si="11"/>
        <v/>
      </c>
      <c r="E16" s="6"/>
      <c r="F16" s="14"/>
      <c r="G16" s="15"/>
      <c r="H16" s="15"/>
      <c r="I16" s="16" t="str">
        <f t="shared" si="12"/>
        <v/>
      </c>
      <c r="J16" s="17" t="str">
        <f t="shared" si="3"/>
        <v/>
      </c>
      <c r="K16" s="14"/>
      <c r="L16" s="15"/>
      <c r="M16" s="15"/>
      <c r="N16" s="16" t="str">
        <f t="shared" si="6"/>
        <v/>
      </c>
      <c r="O16" s="17" t="str">
        <f t="shared" si="4"/>
        <v/>
      </c>
      <c r="P16" s="14"/>
      <c r="Q16" s="15"/>
      <c r="R16" s="15"/>
      <c r="S16" s="16" t="str">
        <f t="shared" si="7"/>
        <v/>
      </c>
      <c r="T16" s="17" t="str">
        <f t="shared" si="5"/>
        <v/>
      </c>
      <c r="U16" s="44" t="str">
        <f t="shared" si="0"/>
        <v/>
      </c>
      <c r="V16" s="45" t="str">
        <f t="shared" si="1"/>
        <v/>
      </c>
      <c r="W16" s="46" t="str">
        <f t="shared" si="2"/>
        <v/>
      </c>
    </row>
    <row r="17" spans="1:23" x14ac:dyDescent="0.4">
      <c r="A17" s="24" t="str">
        <f t="shared" si="8"/>
        <v/>
      </c>
      <c r="B17" s="25" t="str">
        <f t="shared" si="9"/>
        <v/>
      </c>
      <c r="C17" s="25" t="str">
        <f t="shared" si="10"/>
        <v/>
      </c>
      <c r="D17" s="25" t="str">
        <f t="shared" si="11"/>
        <v/>
      </c>
      <c r="E17" s="6"/>
      <c r="F17" s="14"/>
      <c r="G17" s="15"/>
      <c r="H17" s="15"/>
      <c r="I17" s="16" t="str">
        <f t="shared" si="12"/>
        <v/>
      </c>
      <c r="J17" s="17" t="str">
        <f t="shared" si="3"/>
        <v/>
      </c>
      <c r="K17" s="14"/>
      <c r="L17" s="15"/>
      <c r="M17" s="15"/>
      <c r="N17" s="16" t="str">
        <f t="shared" si="6"/>
        <v/>
      </c>
      <c r="O17" s="17" t="str">
        <f t="shared" si="4"/>
        <v/>
      </c>
      <c r="P17" s="14"/>
      <c r="Q17" s="15"/>
      <c r="R17" s="15"/>
      <c r="S17" s="16" t="str">
        <f t="shared" si="7"/>
        <v/>
      </c>
      <c r="T17" s="17" t="str">
        <f t="shared" si="5"/>
        <v/>
      </c>
      <c r="U17" s="44" t="str">
        <f t="shared" si="0"/>
        <v/>
      </c>
      <c r="V17" s="45" t="str">
        <f t="shared" si="1"/>
        <v/>
      </c>
      <c r="W17" s="46" t="str">
        <f t="shared" si="2"/>
        <v/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44" t="str">
        <f t="shared" si="0"/>
        <v/>
      </c>
      <c r="V18" s="45" t="str">
        <f t="shared" si="1"/>
        <v/>
      </c>
      <c r="W18" s="46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44" t="str">
        <f t="shared" si="0"/>
        <v/>
      </c>
      <c r="V19" s="45" t="str">
        <f t="shared" si="1"/>
        <v/>
      </c>
      <c r="W19" s="46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44" t="str">
        <f t="shared" si="0"/>
        <v/>
      </c>
      <c r="V20" s="45" t="str">
        <f t="shared" si="1"/>
        <v/>
      </c>
      <c r="W20" s="46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44" t="str">
        <f t="shared" si="0"/>
        <v/>
      </c>
      <c r="V21" s="45" t="str">
        <f t="shared" si="1"/>
        <v/>
      </c>
      <c r="W21" s="46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44" t="str">
        <f t="shared" si="0"/>
        <v/>
      </c>
      <c r="V22" s="45" t="str">
        <f t="shared" si="1"/>
        <v/>
      </c>
      <c r="W22" s="46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44" t="str">
        <f t="shared" si="0"/>
        <v/>
      </c>
      <c r="V23" s="45" t="str">
        <f t="shared" si="1"/>
        <v/>
      </c>
      <c r="W23" s="46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44" t="str">
        <f t="shared" si="0"/>
        <v/>
      </c>
      <c r="V24" s="45" t="str">
        <f t="shared" si="1"/>
        <v/>
      </c>
      <c r="W24" s="46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44" t="str">
        <f t="shared" si="0"/>
        <v/>
      </c>
      <c r="V25" s="45" t="str">
        <f t="shared" si="1"/>
        <v/>
      </c>
      <c r="W25" s="46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44" t="str">
        <f t="shared" si="0"/>
        <v/>
      </c>
      <c r="V26" s="45" t="str">
        <f t="shared" si="1"/>
        <v/>
      </c>
      <c r="W26" s="46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44" t="str">
        <f t="shared" si="0"/>
        <v/>
      </c>
      <c r="V27" s="45" t="str">
        <f t="shared" si="1"/>
        <v/>
      </c>
      <c r="W27" s="46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44" t="str">
        <f t="shared" si="0"/>
        <v/>
      </c>
      <c r="V28" s="45" t="str">
        <f t="shared" si="1"/>
        <v/>
      </c>
      <c r="W28" s="46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44" t="str">
        <f t="shared" si="0"/>
        <v/>
      </c>
      <c r="V29" s="45" t="str">
        <f t="shared" si="1"/>
        <v/>
      </c>
      <c r="W29" s="46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47" t="str">
        <f t="shared" si="0"/>
        <v/>
      </c>
      <c r="V30" s="48" t="str">
        <f t="shared" si="1"/>
        <v/>
      </c>
      <c r="W30" s="49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allowBlank="1" showErrorMessage="1" sqref="E4:E30" xr:uid="{5CFBECD0-DA5D-4F0B-A120-CE251F2A9D06}">
      <formula1>$U$2:$W$2</formula1>
    </dataValidation>
    <dataValidation type="list" showInputMessage="1" showErrorMessage="1" sqref="K4:K30 P4:P30 F4:F30" xr:uid="{0FED9C06-EDBC-48C8-BB5A-7F9C49581B0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7B558-F711-4577-8F6C-D1620F0AD228}">
  <sheetPr codeName="Sheet10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5" t="s">
        <v>0</v>
      </c>
      <c r="B1" s="37" t="s">
        <v>2</v>
      </c>
      <c r="C1" s="37" t="s">
        <v>1</v>
      </c>
      <c r="D1" s="37" t="s">
        <v>6</v>
      </c>
      <c r="E1" s="39" t="s">
        <v>3</v>
      </c>
      <c r="F1" s="31" t="s">
        <v>20</v>
      </c>
      <c r="G1" s="32"/>
      <c r="H1" s="32"/>
      <c r="I1" s="33"/>
      <c r="J1" s="34"/>
      <c r="K1" s="31" t="s">
        <v>27</v>
      </c>
      <c r="L1" s="32"/>
      <c r="M1" s="32"/>
      <c r="N1" s="33"/>
      <c r="O1" s="34"/>
      <c r="P1" s="31" t="s">
        <v>29</v>
      </c>
      <c r="Q1" s="32"/>
      <c r="R1" s="32"/>
      <c r="S1" s="33"/>
      <c r="T1" s="34"/>
      <c r="U1" s="31" t="s">
        <v>8</v>
      </c>
      <c r="V1" s="32"/>
      <c r="W1" s="34"/>
    </row>
    <row r="2" spans="1:23" x14ac:dyDescent="0.4">
      <c r="A2" s="36"/>
      <c r="B2" s="38"/>
      <c r="C2" s="38"/>
      <c r="D2" s="38"/>
      <c r="E2" s="40"/>
      <c r="F2" s="2" t="s">
        <v>7</v>
      </c>
      <c r="G2" s="3" t="s">
        <v>12</v>
      </c>
      <c r="H2" s="3" t="s">
        <v>4</v>
      </c>
      <c r="I2" s="29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29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29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30" t="str">
        <f>P1</f>
        <v>ただ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41">
        <f t="shared" ref="U3:U30" si="0">IF($J3="","",ROUND(($J3-$J$3)/1000,1))</f>
        <v>0</v>
      </c>
      <c r="V3" s="42">
        <f t="shared" ref="V3:V30" si="1">IF($O3="","",ROUND(($O3-$O$3)/1000,1))</f>
        <v>0</v>
      </c>
      <c r="W3" s="43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26</v>
      </c>
      <c r="F4" s="14" t="s">
        <v>23</v>
      </c>
      <c r="G4" s="15">
        <v>-3000</v>
      </c>
      <c r="H4" s="15"/>
      <c r="I4" s="16">
        <f>IF(OR(F4="ロン",F4="ツモ"),$C4*1000,IF(F4="放銃",$C4*-1000,IF(F4="ツモ支払",$C4*-500,"")))</f>
        <v>0</v>
      </c>
      <c r="J4" s="17">
        <f t="shared" ref="J4:J30" si="3">IF(COUNTA($F4,$K4,$P4)&gt;0,J3+SUM(G4:I4),"")</f>
        <v>32000</v>
      </c>
      <c r="K4" s="14" t="s">
        <v>23</v>
      </c>
      <c r="L4" s="15">
        <v>-5000</v>
      </c>
      <c r="M4" s="15"/>
      <c r="N4" s="16">
        <f>IF(OR(K4="ロン",K4="ツモ"),$C4*1000,IF(K4="放銃",$C4*-1000,IF(K4="ツモ支払",$C4*-500,"")))</f>
        <v>0</v>
      </c>
      <c r="O4" s="17">
        <f t="shared" ref="O4:O30" si="4">IF(COUNTA($F4,$K4,$P4)&gt;0,O3+SUM(L4:N4),"")</f>
        <v>30000</v>
      </c>
      <c r="P4" s="14" t="s">
        <v>22</v>
      </c>
      <c r="Q4" s="15">
        <v>8000</v>
      </c>
      <c r="R4" s="15"/>
      <c r="S4" s="16">
        <f>IF(OR(P4="ロン",P4="ツモ"),$C4*1000,IF(P4="放銃",$C4*-1000,IF(P4="ツモ支払",$C4*-500,"")))</f>
        <v>0</v>
      </c>
      <c r="T4" s="17">
        <f t="shared" ref="T4:T30" si="5">IF(COUNTA($F4,$K4,$P4)&gt;0,T3+SUM(Q4:S4),"")</f>
        <v>43000</v>
      </c>
      <c r="U4" s="44">
        <f t="shared" si="0"/>
        <v>-3</v>
      </c>
      <c r="V4" s="45">
        <f t="shared" si="1"/>
        <v>-5</v>
      </c>
      <c r="W4" s="46">
        <f t="shared" si="2"/>
        <v>8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2</v>
      </c>
      <c r="C5" s="25">
        <f>IF($E5="","",IF($E4=$E5,C4+1,0))</f>
        <v>0</v>
      </c>
      <c r="D5" s="25">
        <f>IF($E5="","",IF(OR(F4="流局",K4="流局",P4="流局",F4="チョンボ",K4="チョンボ",P4="チョンボ"),D4+($H4+$M4+$R4)/-1000,0))</f>
        <v>0</v>
      </c>
      <c r="E5" s="6" t="s">
        <v>28</v>
      </c>
      <c r="F5" s="14" t="s">
        <v>23</v>
      </c>
      <c r="G5" s="15">
        <v>-6000</v>
      </c>
      <c r="H5" s="15"/>
      <c r="I5" s="16">
        <f>IF(OR(F5="ロン",F5="ツモ"),$C5*1000,IF(F5="放銃",$C5*-1000,IF(F5="ツモ支払",$C5*-500,"")))</f>
        <v>0</v>
      </c>
      <c r="J5" s="17">
        <f t="shared" si="3"/>
        <v>26000</v>
      </c>
      <c r="K5" s="14" t="s">
        <v>23</v>
      </c>
      <c r="L5" s="15">
        <v>-6000</v>
      </c>
      <c r="M5" s="15"/>
      <c r="N5" s="16">
        <f t="shared" ref="N5:N30" si="6">IF(OR(K5="ロン",K5="ツモ"),$C5*1000,IF(K5="放銃",$C5*-1000,IF(K5="ツモ支払",$C5*-500,"")))</f>
        <v>0</v>
      </c>
      <c r="O5" s="17">
        <f t="shared" si="4"/>
        <v>24000</v>
      </c>
      <c r="P5" s="14" t="s">
        <v>22</v>
      </c>
      <c r="Q5" s="15">
        <v>12000</v>
      </c>
      <c r="R5" s="15"/>
      <c r="S5" s="16">
        <f t="shared" ref="S5:S30" si="7">IF(OR(P5="ロン",P5="ツモ"),$C5*1000,IF(P5="放銃",$C5*-1000,IF(P5="ツモ支払",$C5*-500,"")))</f>
        <v>0</v>
      </c>
      <c r="T5" s="17">
        <f t="shared" si="5"/>
        <v>55000</v>
      </c>
      <c r="U5" s="44">
        <f t="shared" si="0"/>
        <v>-9</v>
      </c>
      <c r="V5" s="45">
        <f t="shared" si="1"/>
        <v>-11</v>
      </c>
      <c r="W5" s="46">
        <f t="shared" si="2"/>
        <v>20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2</v>
      </c>
      <c r="C6" s="25">
        <f t="shared" ref="C6:C30" si="10">IF($E6="","",IF($E5=$E6,C5+1,0))</f>
        <v>1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28</v>
      </c>
      <c r="F6" s="14" t="s">
        <v>24</v>
      </c>
      <c r="G6" s="15">
        <v>-3900</v>
      </c>
      <c r="H6" s="15"/>
      <c r="I6" s="16">
        <f t="shared" ref="I6:I30" si="12">IF(OR(F6="ロン",F6="ツモ"),$C6*1000,IF(F6="放銃",$C6*-1000,IF(F6="ツモ支払",$C6*-500,"")))</f>
        <v>-1000</v>
      </c>
      <c r="J6" s="17">
        <f t="shared" si="3"/>
        <v>21100</v>
      </c>
      <c r="K6" s="14"/>
      <c r="L6" s="15"/>
      <c r="M6" s="15"/>
      <c r="N6" s="16" t="str">
        <f t="shared" si="6"/>
        <v/>
      </c>
      <c r="O6" s="17">
        <f t="shared" si="4"/>
        <v>24000</v>
      </c>
      <c r="P6" s="14" t="s">
        <v>25</v>
      </c>
      <c r="Q6" s="15">
        <v>3900</v>
      </c>
      <c r="R6" s="15"/>
      <c r="S6" s="16">
        <f t="shared" si="7"/>
        <v>1000</v>
      </c>
      <c r="T6" s="17">
        <f t="shared" si="5"/>
        <v>59900</v>
      </c>
      <c r="U6" s="44">
        <f t="shared" si="0"/>
        <v>-13.9</v>
      </c>
      <c r="V6" s="45">
        <f t="shared" si="1"/>
        <v>-11</v>
      </c>
      <c r="W6" s="46">
        <f t="shared" si="2"/>
        <v>24.9</v>
      </c>
    </row>
    <row r="7" spans="1:23" x14ac:dyDescent="0.4">
      <c r="A7" s="24" t="str">
        <f t="shared" si="8"/>
        <v>東</v>
      </c>
      <c r="B7" s="25">
        <f t="shared" si="9"/>
        <v>2</v>
      </c>
      <c r="C7" s="25">
        <f t="shared" si="10"/>
        <v>2</v>
      </c>
      <c r="D7" s="25">
        <f t="shared" si="11"/>
        <v>0</v>
      </c>
      <c r="E7" s="6" t="s">
        <v>28</v>
      </c>
      <c r="F7" s="14"/>
      <c r="G7" s="15"/>
      <c r="H7" s="15"/>
      <c r="I7" s="16" t="str">
        <f t="shared" si="12"/>
        <v/>
      </c>
      <c r="J7" s="17">
        <f t="shared" si="3"/>
        <v>21100</v>
      </c>
      <c r="K7" s="14" t="s">
        <v>24</v>
      </c>
      <c r="L7" s="15">
        <v>-12000</v>
      </c>
      <c r="M7" s="15"/>
      <c r="N7" s="16">
        <f t="shared" si="6"/>
        <v>-2000</v>
      </c>
      <c r="O7" s="17">
        <f t="shared" si="4"/>
        <v>10000</v>
      </c>
      <c r="P7" s="14" t="s">
        <v>25</v>
      </c>
      <c r="Q7" s="15">
        <v>12000</v>
      </c>
      <c r="R7" s="15"/>
      <c r="S7" s="16">
        <f t="shared" si="7"/>
        <v>2000</v>
      </c>
      <c r="T7" s="17">
        <f t="shared" si="5"/>
        <v>73900</v>
      </c>
      <c r="U7" s="44">
        <f t="shared" si="0"/>
        <v>-13.9</v>
      </c>
      <c r="V7" s="45">
        <f t="shared" si="1"/>
        <v>-25</v>
      </c>
      <c r="W7" s="46">
        <f t="shared" si="2"/>
        <v>38.9</v>
      </c>
    </row>
    <row r="8" spans="1:23" x14ac:dyDescent="0.4">
      <c r="A8" s="24" t="str">
        <f t="shared" si="8"/>
        <v>東</v>
      </c>
      <c r="B8" s="25">
        <f t="shared" si="9"/>
        <v>2</v>
      </c>
      <c r="C8" s="25">
        <f t="shared" si="10"/>
        <v>3</v>
      </c>
      <c r="D8" s="25">
        <f t="shared" si="11"/>
        <v>0</v>
      </c>
      <c r="E8" s="6" t="s">
        <v>28</v>
      </c>
      <c r="F8" s="14" t="s">
        <v>23</v>
      </c>
      <c r="G8" s="15">
        <v>-6000</v>
      </c>
      <c r="H8" s="15"/>
      <c r="I8" s="16">
        <f t="shared" si="12"/>
        <v>-1500</v>
      </c>
      <c r="J8" s="17">
        <f t="shared" si="3"/>
        <v>13600</v>
      </c>
      <c r="K8" s="14" t="s">
        <v>23</v>
      </c>
      <c r="L8" s="15">
        <v>-6000</v>
      </c>
      <c r="M8" s="15"/>
      <c r="N8" s="16">
        <f t="shared" si="6"/>
        <v>-1500</v>
      </c>
      <c r="O8" s="17">
        <f t="shared" si="4"/>
        <v>2500</v>
      </c>
      <c r="P8" s="14" t="s">
        <v>22</v>
      </c>
      <c r="Q8" s="15">
        <v>12000</v>
      </c>
      <c r="R8" s="15"/>
      <c r="S8" s="16">
        <f t="shared" si="7"/>
        <v>3000</v>
      </c>
      <c r="T8" s="17">
        <f t="shared" si="5"/>
        <v>88900</v>
      </c>
      <c r="U8" s="44">
        <f t="shared" si="0"/>
        <v>-21.4</v>
      </c>
      <c r="V8" s="45">
        <f t="shared" si="1"/>
        <v>-32.5</v>
      </c>
      <c r="W8" s="46">
        <f t="shared" si="2"/>
        <v>53.9</v>
      </c>
    </row>
    <row r="9" spans="1:23" x14ac:dyDescent="0.4">
      <c r="A9" s="24" t="str">
        <f t="shared" si="8"/>
        <v/>
      </c>
      <c r="B9" s="25" t="str">
        <f t="shared" si="9"/>
        <v/>
      </c>
      <c r="C9" s="25" t="str">
        <f t="shared" si="10"/>
        <v/>
      </c>
      <c r="D9" s="25" t="str">
        <f t="shared" si="11"/>
        <v/>
      </c>
      <c r="E9" s="6"/>
      <c r="F9" s="14"/>
      <c r="G9" s="15"/>
      <c r="H9" s="15"/>
      <c r="I9" s="16" t="str">
        <f t="shared" si="12"/>
        <v/>
      </c>
      <c r="J9" s="17" t="str">
        <f t="shared" si="3"/>
        <v/>
      </c>
      <c r="K9" s="14"/>
      <c r="L9" s="15"/>
      <c r="M9" s="15"/>
      <c r="N9" s="16" t="str">
        <f t="shared" si="6"/>
        <v/>
      </c>
      <c r="O9" s="17" t="str">
        <f t="shared" si="4"/>
        <v/>
      </c>
      <c r="P9" s="14"/>
      <c r="Q9" s="15"/>
      <c r="R9" s="15"/>
      <c r="S9" s="16" t="str">
        <f t="shared" si="7"/>
        <v/>
      </c>
      <c r="T9" s="17" t="str">
        <f t="shared" si="5"/>
        <v/>
      </c>
      <c r="U9" s="44" t="str">
        <f t="shared" si="0"/>
        <v/>
      </c>
      <c r="V9" s="45" t="str">
        <f t="shared" si="1"/>
        <v/>
      </c>
      <c r="W9" s="46" t="str">
        <f t="shared" si="2"/>
        <v/>
      </c>
    </row>
    <row r="10" spans="1:23" x14ac:dyDescent="0.4">
      <c r="A10" s="24" t="str">
        <f t="shared" si="8"/>
        <v/>
      </c>
      <c r="B10" s="25" t="str">
        <f t="shared" si="9"/>
        <v/>
      </c>
      <c r="C10" s="25" t="str">
        <f t="shared" si="10"/>
        <v/>
      </c>
      <c r="D10" s="25" t="str">
        <f t="shared" si="11"/>
        <v/>
      </c>
      <c r="E10" s="6"/>
      <c r="F10" s="14"/>
      <c r="G10" s="15"/>
      <c r="H10" s="15"/>
      <c r="I10" s="16" t="str">
        <f t="shared" si="12"/>
        <v/>
      </c>
      <c r="J10" s="17" t="str">
        <f t="shared" si="3"/>
        <v/>
      </c>
      <c r="K10" s="14"/>
      <c r="L10" s="15"/>
      <c r="M10" s="15"/>
      <c r="N10" s="16" t="str">
        <f t="shared" si="6"/>
        <v/>
      </c>
      <c r="O10" s="17" t="str">
        <f t="shared" si="4"/>
        <v/>
      </c>
      <c r="P10" s="14"/>
      <c r="Q10" s="15"/>
      <c r="R10" s="15"/>
      <c r="S10" s="16" t="str">
        <f t="shared" si="7"/>
        <v/>
      </c>
      <c r="T10" s="17" t="str">
        <f t="shared" si="5"/>
        <v/>
      </c>
      <c r="U10" s="44" t="str">
        <f t="shared" si="0"/>
        <v/>
      </c>
      <c r="V10" s="45" t="str">
        <f t="shared" si="1"/>
        <v/>
      </c>
      <c r="W10" s="46" t="str">
        <f t="shared" si="2"/>
        <v/>
      </c>
    </row>
    <row r="11" spans="1:23" x14ac:dyDescent="0.4">
      <c r="A11" s="24" t="str">
        <f t="shared" si="8"/>
        <v/>
      </c>
      <c r="B11" s="25" t="str">
        <f t="shared" si="9"/>
        <v/>
      </c>
      <c r="C11" s="25" t="str">
        <f t="shared" si="10"/>
        <v/>
      </c>
      <c r="D11" s="25" t="str">
        <f t="shared" si="11"/>
        <v/>
      </c>
      <c r="E11" s="6"/>
      <c r="F11" s="14"/>
      <c r="G11" s="15"/>
      <c r="H11" s="15"/>
      <c r="I11" s="16" t="str">
        <f t="shared" si="12"/>
        <v/>
      </c>
      <c r="J11" s="17" t="str">
        <f t="shared" si="3"/>
        <v/>
      </c>
      <c r="K11" s="14"/>
      <c r="L11" s="15"/>
      <c r="M11" s="15"/>
      <c r="N11" s="16" t="str">
        <f t="shared" si="6"/>
        <v/>
      </c>
      <c r="O11" s="17" t="str">
        <f t="shared" si="4"/>
        <v/>
      </c>
      <c r="P11" s="14"/>
      <c r="Q11" s="15"/>
      <c r="R11" s="15"/>
      <c r="S11" s="16" t="str">
        <f t="shared" si="7"/>
        <v/>
      </c>
      <c r="T11" s="17" t="str">
        <f t="shared" si="5"/>
        <v/>
      </c>
      <c r="U11" s="44" t="str">
        <f t="shared" si="0"/>
        <v/>
      </c>
      <c r="V11" s="45" t="str">
        <f t="shared" si="1"/>
        <v/>
      </c>
      <c r="W11" s="46" t="str">
        <f t="shared" si="2"/>
        <v/>
      </c>
    </row>
    <row r="12" spans="1:23" x14ac:dyDescent="0.4">
      <c r="A12" s="24" t="str">
        <f t="shared" si="8"/>
        <v/>
      </c>
      <c r="B12" s="25" t="str">
        <f t="shared" si="9"/>
        <v/>
      </c>
      <c r="C12" s="25" t="str">
        <f t="shared" si="10"/>
        <v/>
      </c>
      <c r="D12" s="25" t="str">
        <f t="shared" si="11"/>
        <v/>
      </c>
      <c r="E12" s="6"/>
      <c r="F12" s="14"/>
      <c r="G12" s="15"/>
      <c r="H12" s="15"/>
      <c r="I12" s="16" t="str">
        <f t="shared" si="12"/>
        <v/>
      </c>
      <c r="J12" s="17" t="str">
        <f t="shared" si="3"/>
        <v/>
      </c>
      <c r="K12" s="14"/>
      <c r="L12" s="15"/>
      <c r="M12" s="15"/>
      <c r="N12" s="16" t="str">
        <f t="shared" si="6"/>
        <v/>
      </c>
      <c r="O12" s="17" t="str">
        <f t="shared" si="4"/>
        <v/>
      </c>
      <c r="P12" s="14"/>
      <c r="Q12" s="15"/>
      <c r="R12" s="15"/>
      <c r="S12" s="16" t="str">
        <f t="shared" si="7"/>
        <v/>
      </c>
      <c r="T12" s="17" t="str">
        <f t="shared" si="5"/>
        <v/>
      </c>
      <c r="U12" s="44" t="str">
        <f t="shared" si="0"/>
        <v/>
      </c>
      <c r="V12" s="45" t="str">
        <f t="shared" si="1"/>
        <v/>
      </c>
      <c r="W12" s="46" t="str">
        <f t="shared" si="2"/>
        <v/>
      </c>
    </row>
    <row r="13" spans="1:23" x14ac:dyDescent="0.4">
      <c r="A13" s="24" t="str">
        <f t="shared" si="8"/>
        <v/>
      </c>
      <c r="B13" s="25" t="str">
        <f t="shared" si="9"/>
        <v/>
      </c>
      <c r="C13" s="25" t="str">
        <f t="shared" si="10"/>
        <v/>
      </c>
      <c r="D13" s="25" t="str">
        <f t="shared" si="11"/>
        <v/>
      </c>
      <c r="E13" s="6"/>
      <c r="F13" s="14"/>
      <c r="G13" s="15"/>
      <c r="H13" s="15"/>
      <c r="I13" s="16" t="str">
        <f t="shared" si="12"/>
        <v/>
      </c>
      <c r="J13" s="17" t="str">
        <f t="shared" si="3"/>
        <v/>
      </c>
      <c r="K13" s="14"/>
      <c r="L13" s="15"/>
      <c r="M13" s="15"/>
      <c r="N13" s="16" t="str">
        <f t="shared" si="6"/>
        <v/>
      </c>
      <c r="O13" s="17" t="str">
        <f t="shared" si="4"/>
        <v/>
      </c>
      <c r="P13" s="14"/>
      <c r="Q13" s="15"/>
      <c r="R13" s="15"/>
      <c r="S13" s="16" t="str">
        <f t="shared" si="7"/>
        <v/>
      </c>
      <c r="T13" s="17" t="str">
        <f t="shared" si="5"/>
        <v/>
      </c>
      <c r="U13" s="44" t="str">
        <f t="shared" si="0"/>
        <v/>
      </c>
      <c r="V13" s="45" t="str">
        <f t="shared" si="1"/>
        <v/>
      </c>
      <c r="W13" s="46" t="str">
        <f t="shared" si="2"/>
        <v/>
      </c>
    </row>
    <row r="14" spans="1:23" x14ac:dyDescent="0.4">
      <c r="A14" s="24" t="str">
        <f t="shared" si="8"/>
        <v/>
      </c>
      <c r="B14" s="25" t="str">
        <f t="shared" si="9"/>
        <v/>
      </c>
      <c r="C14" s="25" t="str">
        <f t="shared" si="10"/>
        <v/>
      </c>
      <c r="D14" s="25" t="str">
        <f t="shared" si="11"/>
        <v/>
      </c>
      <c r="E14" s="6"/>
      <c r="F14" s="14"/>
      <c r="G14" s="15"/>
      <c r="H14" s="15"/>
      <c r="I14" s="16" t="str">
        <f t="shared" si="12"/>
        <v/>
      </c>
      <c r="J14" s="17" t="str">
        <f t="shared" si="3"/>
        <v/>
      </c>
      <c r="K14" s="14"/>
      <c r="L14" s="15"/>
      <c r="M14" s="15"/>
      <c r="N14" s="16" t="str">
        <f t="shared" si="6"/>
        <v/>
      </c>
      <c r="O14" s="17" t="str">
        <f t="shared" si="4"/>
        <v/>
      </c>
      <c r="P14" s="14"/>
      <c r="Q14" s="15"/>
      <c r="R14" s="15"/>
      <c r="S14" s="16" t="str">
        <f t="shared" si="7"/>
        <v/>
      </c>
      <c r="T14" s="17" t="str">
        <f t="shared" si="5"/>
        <v/>
      </c>
      <c r="U14" s="44" t="str">
        <f t="shared" si="0"/>
        <v/>
      </c>
      <c r="V14" s="45" t="str">
        <f t="shared" si="1"/>
        <v/>
      </c>
      <c r="W14" s="46" t="str">
        <f t="shared" si="2"/>
        <v/>
      </c>
    </row>
    <row r="15" spans="1:23" x14ac:dyDescent="0.4">
      <c r="A15" s="24" t="str">
        <f t="shared" si="8"/>
        <v/>
      </c>
      <c r="B15" s="25" t="str">
        <f t="shared" si="9"/>
        <v/>
      </c>
      <c r="C15" s="25" t="str">
        <f t="shared" si="10"/>
        <v/>
      </c>
      <c r="D15" s="25" t="str">
        <f t="shared" si="11"/>
        <v/>
      </c>
      <c r="E15" s="6"/>
      <c r="F15" s="14"/>
      <c r="G15" s="15"/>
      <c r="H15" s="15"/>
      <c r="I15" s="16" t="str">
        <f t="shared" si="12"/>
        <v/>
      </c>
      <c r="J15" s="17" t="str">
        <f t="shared" si="3"/>
        <v/>
      </c>
      <c r="K15" s="14"/>
      <c r="L15" s="15"/>
      <c r="M15" s="15"/>
      <c r="N15" s="16" t="str">
        <f t="shared" si="6"/>
        <v/>
      </c>
      <c r="O15" s="17" t="str">
        <f t="shared" si="4"/>
        <v/>
      </c>
      <c r="P15" s="14"/>
      <c r="Q15" s="15"/>
      <c r="R15" s="15"/>
      <c r="S15" s="16" t="str">
        <f t="shared" si="7"/>
        <v/>
      </c>
      <c r="T15" s="17" t="str">
        <f t="shared" si="5"/>
        <v/>
      </c>
      <c r="U15" s="44" t="str">
        <f t="shared" si="0"/>
        <v/>
      </c>
      <c r="V15" s="45" t="str">
        <f t="shared" si="1"/>
        <v/>
      </c>
      <c r="W15" s="46" t="str">
        <f t="shared" si="2"/>
        <v/>
      </c>
    </row>
    <row r="16" spans="1:23" x14ac:dyDescent="0.4">
      <c r="A16" s="24" t="str">
        <f t="shared" si="8"/>
        <v/>
      </c>
      <c r="B16" s="25" t="str">
        <f t="shared" si="9"/>
        <v/>
      </c>
      <c r="C16" s="25" t="str">
        <f t="shared" si="10"/>
        <v/>
      </c>
      <c r="D16" s="25" t="str">
        <f t="shared" si="11"/>
        <v/>
      </c>
      <c r="E16" s="6"/>
      <c r="F16" s="14"/>
      <c r="G16" s="15"/>
      <c r="H16" s="15"/>
      <c r="I16" s="16" t="str">
        <f t="shared" si="12"/>
        <v/>
      </c>
      <c r="J16" s="17" t="str">
        <f t="shared" si="3"/>
        <v/>
      </c>
      <c r="K16" s="14"/>
      <c r="L16" s="15"/>
      <c r="M16" s="15"/>
      <c r="N16" s="16" t="str">
        <f t="shared" si="6"/>
        <v/>
      </c>
      <c r="O16" s="17" t="str">
        <f t="shared" si="4"/>
        <v/>
      </c>
      <c r="P16" s="14"/>
      <c r="Q16" s="15"/>
      <c r="R16" s="15"/>
      <c r="S16" s="16" t="str">
        <f t="shared" si="7"/>
        <v/>
      </c>
      <c r="T16" s="17" t="str">
        <f t="shared" si="5"/>
        <v/>
      </c>
      <c r="U16" s="44" t="str">
        <f t="shared" si="0"/>
        <v/>
      </c>
      <c r="V16" s="45" t="str">
        <f t="shared" si="1"/>
        <v/>
      </c>
      <c r="W16" s="46" t="str">
        <f t="shared" si="2"/>
        <v/>
      </c>
    </row>
    <row r="17" spans="1:23" x14ac:dyDescent="0.4">
      <c r="A17" s="24" t="str">
        <f t="shared" si="8"/>
        <v/>
      </c>
      <c r="B17" s="25" t="str">
        <f t="shared" si="9"/>
        <v/>
      </c>
      <c r="C17" s="25" t="str">
        <f t="shared" si="10"/>
        <v/>
      </c>
      <c r="D17" s="25" t="str">
        <f t="shared" si="11"/>
        <v/>
      </c>
      <c r="E17" s="6"/>
      <c r="F17" s="14"/>
      <c r="G17" s="15"/>
      <c r="H17" s="15"/>
      <c r="I17" s="16" t="str">
        <f t="shared" si="12"/>
        <v/>
      </c>
      <c r="J17" s="17" t="str">
        <f t="shared" si="3"/>
        <v/>
      </c>
      <c r="K17" s="14"/>
      <c r="L17" s="15"/>
      <c r="M17" s="15"/>
      <c r="N17" s="16" t="str">
        <f t="shared" si="6"/>
        <v/>
      </c>
      <c r="O17" s="17" t="str">
        <f t="shared" si="4"/>
        <v/>
      </c>
      <c r="P17" s="14"/>
      <c r="Q17" s="15"/>
      <c r="R17" s="15"/>
      <c r="S17" s="16" t="str">
        <f t="shared" si="7"/>
        <v/>
      </c>
      <c r="T17" s="17" t="str">
        <f t="shared" si="5"/>
        <v/>
      </c>
      <c r="U17" s="44" t="str">
        <f t="shared" si="0"/>
        <v/>
      </c>
      <c r="V17" s="45" t="str">
        <f t="shared" si="1"/>
        <v/>
      </c>
      <c r="W17" s="46" t="str">
        <f t="shared" si="2"/>
        <v/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44" t="str">
        <f t="shared" si="0"/>
        <v/>
      </c>
      <c r="V18" s="45" t="str">
        <f t="shared" si="1"/>
        <v/>
      </c>
      <c r="W18" s="46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44" t="str">
        <f t="shared" si="0"/>
        <v/>
      </c>
      <c r="V19" s="45" t="str">
        <f t="shared" si="1"/>
        <v/>
      </c>
      <c r="W19" s="46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44" t="str">
        <f t="shared" si="0"/>
        <v/>
      </c>
      <c r="V20" s="45" t="str">
        <f t="shared" si="1"/>
        <v/>
      </c>
      <c r="W20" s="46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44" t="str">
        <f t="shared" si="0"/>
        <v/>
      </c>
      <c r="V21" s="45" t="str">
        <f t="shared" si="1"/>
        <v/>
      </c>
      <c r="W21" s="46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44" t="str">
        <f t="shared" si="0"/>
        <v/>
      </c>
      <c r="V22" s="45" t="str">
        <f t="shared" si="1"/>
        <v/>
      </c>
      <c r="W22" s="46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44" t="str">
        <f t="shared" si="0"/>
        <v/>
      </c>
      <c r="V23" s="45" t="str">
        <f t="shared" si="1"/>
        <v/>
      </c>
      <c r="W23" s="46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44" t="str">
        <f t="shared" si="0"/>
        <v/>
      </c>
      <c r="V24" s="45" t="str">
        <f t="shared" si="1"/>
        <v/>
      </c>
      <c r="W24" s="46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44" t="str">
        <f t="shared" si="0"/>
        <v/>
      </c>
      <c r="V25" s="45" t="str">
        <f t="shared" si="1"/>
        <v/>
      </c>
      <c r="W25" s="46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44" t="str">
        <f t="shared" si="0"/>
        <v/>
      </c>
      <c r="V26" s="45" t="str">
        <f t="shared" si="1"/>
        <v/>
      </c>
      <c r="W26" s="46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44" t="str">
        <f t="shared" si="0"/>
        <v/>
      </c>
      <c r="V27" s="45" t="str">
        <f t="shared" si="1"/>
        <v/>
      </c>
      <c r="W27" s="46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44" t="str">
        <f t="shared" si="0"/>
        <v/>
      </c>
      <c r="V28" s="45" t="str">
        <f t="shared" si="1"/>
        <v/>
      </c>
      <c r="W28" s="46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44" t="str">
        <f t="shared" si="0"/>
        <v/>
      </c>
      <c r="V29" s="45" t="str">
        <f t="shared" si="1"/>
        <v/>
      </c>
      <c r="W29" s="46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47" t="str">
        <f t="shared" si="0"/>
        <v/>
      </c>
      <c r="V30" s="48" t="str">
        <f t="shared" si="1"/>
        <v/>
      </c>
      <c r="W30" s="49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AC78B92C-F088-4D30-BA1F-D34A7F6A7EF1}">
      <formula1>$U$2:$W$2</formula1>
    </dataValidation>
    <dataValidation type="list" showInputMessage="1" showErrorMessage="1" sqref="K4:K30 P4:P30 F4:F30" xr:uid="{D14FD25C-2F0D-40EE-BFE5-B6EEDFDFD0E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A73-2376-447B-8692-2162C42E053D}">
  <sheetPr codeName="Sheet11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5" t="s">
        <v>0</v>
      </c>
      <c r="B1" s="37" t="s">
        <v>2</v>
      </c>
      <c r="C1" s="37" t="s">
        <v>1</v>
      </c>
      <c r="D1" s="37" t="s">
        <v>6</v>
      </c>
      <c r="E1" s="39" t="s">
        <v>3</v>
      </c>
      <c r="F1" s="31" t="s">
        <v>20</v>
      </c>
      <c r="G1" s="32"/>
      <c r="H1" s="32"/>
      <c r="I1" s="33"/>
      <c r="J1" s="34"/>
      <c r="K1" s="31" t="s">
        <v>27</v>
      </c>
      <c r="L1" s="32"/>
      <c r="M1" s="32"/>
      <c r="N1" s="33"/>
      <c r="O1" s="34"/>
      <c r="P1" s="31" t="s">
        <v>29</v>
      </c>
      <c r="Q1" s="32"/>
      <c r="R1" s="32"/>
      <c r="S1" s="33"/>
      <c r="T1" s="34"/>
      <c r="U1" s="31" t="s">
        <v>8</v>
      </c>
      <c r="V1" s="32"/>
      <c r="W1" s="34"/>
    </row>
    <row r="2" spans="1:23" x14ac:dyDescent="0.4">
      <c r="A2" s="36"/>
      <c r="B2" s="38"/>
      <c r="C2" s="38"/>
      <c r="D2" s="38"/>
      <c r="E2" s="40"/>
      <c r="F2" s="2" t="s">
        <v>7</v>
      </c>
      <c r="G2" s="3" t="s">
        <v>12</v>
      </c>
      <c r="H2" s="3" t="s">
        <v>4</v>
      </c>
      <c r="I2" s="29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29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29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30" t="str">
        <f>P1</f>
        <v>ただ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41">
        <f t="shared" ref="U3:U30" si="0">IF($J3="","",ROUND(($J3-$J$3)/1000,1))</f>
        <v>0</v>
      </c>
      <c r="V3" s="42">
        <f t="shared" ref="V3:V30" si="1">IF($O3="","",ROUND(($O3-$O$3)/1000,1))</f>
        <v>0</v>
      </c>
      <c r="W3" s="43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26</v>
      </c>
      <c r="F4" s="14" t="s">
        <v>25</v>
      </c>
      <c r="G4" s="15">
        <v>3200</v>
      </c>
      <c r="H4" s="15"/>
      <c r="I4" s="16">
        <f>IF(OR(F4="ロン",F4="ツモ"),$C4*1000,IF(F4="放銃",$C4*-1000,IF(F4="ツモ支払",$C4*-500,"")))</f>
        <v>0</v>
      </c>
      <c r="J4" s="17">
        <f t="shared" ref="J4:J30" si="3">IF(COUNTA($F4,$K4,$P4)&gt;0,J3+SUM(G4:I4),"")</f>
        <v>38200</v>
      </c>
      <c r="K4" s="14"/>
      <c r="L4" s="15"/>
      <c r="M4" s="15"/>
      <c r="N4" s="16" t="str">
        <f>IF(OR(K4="ロン",K4="ツモ"),$C4*1000,IF(K4="放銃",$C4*-1000,IF(K4="ツモ支払",$C4*-500,"")))</f>
        <v/>
      </c>
      <c r="O4" s="17">
        <f t="shared" ref="O4:O30" si="4">IF(COUNTA($F4,$K4,$P4)&gt;0,O3+SUM(L4:N4),"")</f>
        <v>35000</v>
      </c>
      <c r="P4" s="14" t="s">
        <v>24</v>
      </c>
      <c r="Q4" s="15">
        <v>-3200</v>
      </c>
      <c r="R4" s="15"/>
      <c r="S4" s="16">
        <f>IF(OR(P4="ロン",P4="ツモ"),$C4*1000,IF(P4="放銃",$C4*-1000,IF(P4="ツモ支払",$C4*-500,"")))</f>
        <v>0</v>
      </c>
      <c r="T4" s="17">
        <f t="shared" ref="T4:T30" si="5">IF(COUNTA($F4,$K4,$P4)&gt;0,T3+SUM(Q4:S4),"")</f>
        <v>31800</v>
      </c>
      <c r="U4" s="44">
        <f t="shared" si="0"/>
        <v>3.2</v>
      </c>
      <c r="V4" s="45">
        <f t="shared" si="1"/>
        <v>0</v>
      </c>
      <c r="W4" s="46">
        <f t="shared" si="2"/>
        <v>-3.2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2</v>
      </c>
      <c r="C5" s="25">
        <f>IF($E5="","",IF($E4=$E5,C4+1,0))</f>
        <v>0</v>
      </c>
      <c r="D5" s="25">
        <f>IF($E5="","",IF(OR(F4="流局",K4="流局",P4="流局",F4="チョンボ",K4="チョンボ",P4="チョンボ"),D4+($H4+$M4+$R4)/-1000,0))</f>
        <v>0</v>
      </c>
      <c r="E5" s="6" t="s">
        <v>28</v>
      </c>
      <c r="F5" s="14" t="s">
        <v>24</v>
      </c>
      <c r="G5" s="15">
        <v>-2900</v>
      </c>
      <c r="H5" s="15"/>
      <c r="I5" s="16">
        <f>IF(OR(F5="ロン",F5="ツモ"),$C5*1000,IF(F5="放銃",$C5*-1000,IF(F5="ツモ支払",$C5*-500,"")))</f>
        <v>0</v>
      </c>
      <c r="J5" s="17">
        <f t="shared" si="3"/>
        <v>35300</v>
      </c>
      <c r="K5" s="14"/>
      <c r="L5" s="15"/>
      <c r="M5" s="15"/>
      <c r="N5" s="16" t="str">
        <f t="shared" ref="N5:N30" si="6">IF(OR(K5="ロン",K5="ツモ"),$C5*1000,IF(K5="放銃",$C5*-1000,IF(K5="ツモ支払",$C5*-500,"")))</f>
        <v/>
      </c>
      <c r="O5" s="17">
        <f t="shared" si="4"/>
        <v>35000</v>
      </c>
      <c r="P5" s="14" t="s">
        <v>25</v>
      </c>
      <c r="Q5" s="15">
        <v>2900</v>
      </c>
      <c r="R5" s="15"/>
      <c r="S5" s="16">
        <f t="shared" ref="S5:S30" si="7">IF(OR(P5="ロン",P5="ツモ"),$C5*1000,IF(P5="放銃",$C5*-1000,IF(P5="ツモ支払",$C5*-500,"")))</f>
        <v>0</v>
      </c>
      <c r="T5" s="17">
        <f t="shared" si="5"/>
        <v>34700</v>
      </c>
      <c r="U5" s="44">
        <f t="shared" si="0"/>
        <v>0.3</v>
      </c>
      <c r="V5" s="45">
        <f t="shared" si="1"/>
        <v>0</v>
      </c>
      <c r="W5" s="46">
        <f t="shared" si="2"/>
        <v>-0.3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2</v>
      </c>
      <c r="C6" s="25">
        <f t="shared" ref="C6:C30" si="10">IF($E6="","",IF($E5=$E6,C5+1,0))</f>
        <v>1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28</v>
      </c>
      <c r="F6" s="14" t="s">
        <v>23</v>
      </c>
      <c r="G6" s="15">
        <v>-800</v>
      </c>
      <c r="H6" s="15"/>
      <c r="I6" s="16">
        <f t="shared" ref="I6:I30" si="12">IF(OR(F6="ロン",F6="ツモ"),$C6*1000,IF(F6="放銃",$C6*-1000,IF(F6="ツモ支払",$C6*-500,"")))</f>
        <v>-500</v>
      </c>
      <c r="J6" s="17">
        <f t="shared" si="3"/>
        <v>34000</v>
      </c>
      <c r="K6" s="14" t="s">
        <v>22</v>
      </c>
      <c r="L6" s="15">
        <v>2100</v>
      </c>
      <c r="M6" s="15"/>
      <c r="N6" s="16">
        <f t="shared" si="6"/>
        <v>1000</v>
      </c>
      <c r="O6" s="17">
        <f t="shared" si="4"/>
        <v>38100</v>
      </c>
      <c r="P6" s="14" t="s">
        <v>23</v>
      </c>
      <c r="Q6" s="15">
        <v>-1300</v>
      </c>
      <c r="R6" s="15"/>
      <c r="S6" s="16">
        <f t="shared" si="7"/>
        <v>-500</v>
      </c>
      <c r="T6" s="17">
        <f t="shared" si="5"/>
        <v>32900</v>
      </c>
      <c r="U6" s="44">
        <f t="shared" si="0"/>
        <v>-1</v>
      </c>
      <c r="V6" s="45">
        <f t="shared" si="1"/>
        <v>3.1</v>
      </c>
      <c r="W6" s="46">
        <f t="shared" si="2"/>
        <v>-2.1</v>
      </c>
    </row>
    <row r="7" spans="1:23" x14ac:dyDescent="0.4">
      <c r="A7" s="24" t="str">
        <f t="shared" si="8"/>
        <v>東</v>
      </c>
      <c r="B7" s="25">
        <f t="shared" si="9"/>
        <v>3</v>
      </c>
      <c r="C7" s="25">
        <f t="shared" si="10"/>
        <v>0</v>
      </c>
      <c r="D7" s="25">
        <f t="shared" si="11"/>
        <v>0</v>
      </c>
      <c r="E7" s="6" t="s">
        <v>19</v>
      </c>
      <c r="F7" s="14" t="s">
        <v>22</v>
      </c>
      <c r="G7" s="15">
        <v>12000</v>
      </c>
      <c r="H7" s="15"/>
      <c r="I7" s="16">
        <f t="shared" si="12"/>
        <v>0</v>
      </c>
      <c r="J7" s="17">
        <f t="shared" si="3"/>
        <v>46000</v>
      </c>
      <c r="K7" s="14" t="s">
        <v>23</v>
      </c>
      <c r="L7" s="15">
        <v>-6000</v>
      </c>
      <c r="M7" s="15"/>
      <c r="N7" s="16">
        <f t="shared" si="6"/>
        <v>0</v>
      </c>
      <c r="O7" s="17">
        <f t="shared" si="4"/>
        <v>32100</v>
      </c>
      <c r="P7" s="14" t="s">
        <v>23</v>
      </c>
      <c r="Q7" s="15">
        <v>-6000</v>
      </c>
      <c r="R7" s="15"/>
      <c r="S7" s="16">
        <f t="shared" si="7"/>
        <v>0</v>
      </c>
      <c r="T7" s="17">
        <f t="shared" si="5"/>
        <v>26900</v>
      </c>
      <c r="U7" s="44">
        <f t="shared" si="0"/>
        <v>11</v>
      </c>
      <c r="V7" s="45">
        <f t="shared" si="1"/>
        <v>-2.9</v>
      </c>
      <c r="W7" s="46">
        <f t="shared" si="2"/>
        <v>-8.1</v>
      </c>
    </row>
    <row r="8" spans="1:23" x14ac:dyDescent="0.4">
      <c r="A8" s="24" t="str">
        <f t="shared" si="8"/>
        <v>東</v>
      </c>
      <c r="B8" s="25">
        <f t="shared" si="9"/>
        <v>3</v>
      </c>
      <c r="C8" s="25">
        <f t="shared" si="10"/>
        <v>1</v>
      </c>
      <c r="D8" s="25">
        <f t="shared" si="11"/>
        <v>0</v>
      </c>
      <c r="E8" s="6" t="s">
        <v>19</v>
      </c>
      <c r="F8" s="14" t="s">
        <v>25</v>
      </c>
      <c r="G8" s="15">
        <v>5800</v>
      </c>
      <c r="H8" s="15"/>
      <c r="I8" s="16">
        <f t="shared" si="12"/>
        <v>1000</v>
      </c>
      <c r="J8" s="17">
        <f t="shared" si="3"/>
        <v>52800</v>
      </c>
      <c r="K8" s="14" t="s">
        <v>24</v>
      </c>
      <c r="L8" s="15">
        <v>-5800</v>
      </c>
      <c r="M8" s="15"/>
      <c r="N8" s="16">
        <f t="shared" si="6"/>
        <v>-1000</v>
      </c>
      <c r="O8" s="17">
        <f t="shared" si="4"/>
        <v>25300</v>
      </c>
      <c r="P8" s="14"/>
      <c r="Q8" s="15"/>
      <c r="R8" s="15"/>
      <c r="S8" s="16" t="str">
        <f t="shared" si="7"/>
        <v/>
      </c>
      <c r="T8" s="17">
        <f t="shared" si="5"/>
        <v>26900</v>
      </c>
      <c r="U8" s="44">
        <f t="shared" si="0"/>
        <v>17.8</v>
      </c>
      <c r="V8" s="45">
        <f t="shared" si="1"/>
        <v>-9.6999999999999993</v>
      </c>
      <c r="W8" s="46">
        <f t="shared" si="2"/>
        <v>-8.1</v>
      </c>
    </row>
    <row r="9" spans="1:23" x14ac:dyDescent="0.4">
      <c r="A9" s="24" t="str">
        <f t="shared" si="8"/>
        <v>東</v>
      </c>
      <c r="B9" s="25">
        <f t="shared" si="9"/>
        <v>3</v>
      </c>
      <c r="C9" s="25">
        <f t="shared" si="10"/>
        <v>2</v>
      </c>
      <c r="D9" s="25">
        <f t="shared" si="11"/>
        <v>0</v>
      </c>
      <c r="E9" s="6" t="s">
        <v>19</v>
      </c>
      <c r="F9" s="14" t="s">
        <v>25</v>
      </c>
      <c r="G9" s="15">
        <v>2000</v>
      </c>
      <c r="H9" s="15"/>
      <c r="I9" s="16">
        <f t="shared" si="12"/>
        <v>2000</v>
      </c>
      <c r="J9" s="17">
        <f>IF(COUNTA($F9,$K9,$P9)&gt;0,J8+SUM(G9:I9),"")</f>
        <v>56800</v>
      </c>
      <c r="K9" s="14" t="s">
        <v>24</v>
      </c>
      <c r="L9" s="15">
        <v>-2000</v>
      </c>
      <c r="M9" s="15"/>
      <c r="N9" s="16">
        <f>IF(OR(K9="ロン",K9="ツモ"),$C9*1000,IF(K9="放銃",$C9*-1000,IF(K9="ツモ支払",$C9*-500,"")))</f>
        <v>-2000</v>
      </c>
      <c r="O9" s="17">
        <f>IF(COUNTA($F9,$K9,$P9)&gt;0,O8+SUM(L9:N9),"")</f>
        <v>21300</v>
      </c>
      <c r="P9" s="14"/>
      <c r="Q9" s="15"/>
      <c r="R9" s="15"/>
      <c r="S9" s="16" t="str">
        <f t="shared" si="7"/>
        <v/>
      </c>
      <c r="T9" s="17">
        <f>IF(COUNTA($F9,$K9,$P9)&gt;0,T8+SUM(Q9:S9),"")</f>
        <v>26900</v>
      </c>
      <c r="U9" s="44">
        <f t="shared" si="0"/>
        <v>21.8</v>
      </c>
      <c r="V9" s="45">
        <f t="shared" si="1"/>
        <v>-13.7</v>
      </c>
      <c r="W9" s="46">
        <f t="shared" si="2"/>
        <v>-8.1</v>
      </c>
    </row>
    <row r="10" spans="1:23" x14ac:dyDescent="0.4">
      <c r="A10" s="24" t="str">
        <f t="shared" si="8"/>
        <v>東</v>
      </c>
      <c r="B10" s="25">
        <f t="shared" si="9"/>
        <v>3</v>
      </c>
      <c r="C10" s="25">
        <f t="shared" si="10"/>
        <v>3</v>
      </c>
      <c r="D10" s="25">
        <f>IF($E10="","",IF(OR(F9="流局",K9="流局",P9="流局",F9="チョンボ",K9="チョンボ",P9="チョンボ"),D9+($H9+$M9+$R9)/-1000,0))</f>
        <v>0</v>
      </c>
      <c r="E10" s="6" t="s">
        <v>19</v>
      </c>
      <c r="F10" s="14" t="s">
        <v>25</v>
      </c>
      <c r="G10" s="15">
        <v>1500</v>
      </c>
      <c r="H10" s="15"/>
      <c r="I10" s="16">
        <f t="shared" si="12"/>
        <v>3000</v>
      </c>
      <c r="J10" s="17">
        <f>IF(COUNTA($F10,$K10,$P10)&gt;0,J9+SUM(G10:I10),"")</f>
        <v>61300</v>
      </c>
      <c r="K10" s="14" t="s">
        <v>24</v>
      </c>
      <c r="L10" s="15">
        <v>-1500</v>
      </c>
      <c r="M10" s="15"/>
      <c r="N10" s="16">
        <f>IF(OR(K10="ロン",K10="ツモ"),$C10*1000,IF(K10="放銃",$C10*-1000,IF(K10="ツモ支払",$C10*-500,"")))</f>
        <v>-3000</v>
      </c>
      <c r="O10" s="17">
        <f>IF(COUNTA($F10,$K10,$P10)&gt;0,O9+SUM(L10:N10),"")</f>
        <v>16800</v>
      </c>
      <c r="P10" s="14"/>
      <c r="Q10" s="15"/>
      <c r="R10" s="15"/>
      <c r="S10" s="16" t="str">
        <f t="shared" si="7"/>
        <v/>
      </c>
      <c r="T10" s="17">
        <f>IF(COUNTA($F10,$K10,$P10)&gt;0,T9+SUM(Q10:S10),"")</f>
        <v>26900</v>
      </c>
      <c r="U10" s="44">
        <f t="shared" si="0"/>
        <v>26.3</v>
      </c>
      <c r="V10" s="45">
        <f t="shared" si="1"/>
        <v>-18.2</v>
      </c>
      <c r="W10" s="46">
        <f t="shared" si="2"/>
        <v>-8.1</v>
      </c>
    </row>
    <row r="11" spans="1:23" x14ac:dyDescent="0.4">
      <c r="A11" s="24" t="str">
        <f t="shared" si="8"/>
        <v>南</v>
      </c>
      <c r="B11" s="25">
        <f t="shared" si="9"/>
        <v>1</v>
      </c>
      <c r="C11" s="25">
        <f t="shared" si="10"/>
        <v>0</v>
      </c>
      <c r="D11" s="25">
        <f>IF($E11="","",IF(OR(F10="流局",K10="流局",P10="流局",F10="チョンボ",K10="チョンボ",P10="チョンボ"),D10+($H10+$M10+$R10)/-1000,0))</f>
        <v>0</v>
      </c>
      <c r="E11" s="6" t="s">
        <v>26</v>
      </c>
      <c r="F11" s="14" t="s">
        <v>24</v>
      </c>
      <c r="G11" s="15">
        <v>-12000</v>
      </c>
      <c r="H11" s="15">
        <v>-1000</v>
      </c>
      <c r="I11" s="16">
        <f t="shared" si="12"/>
        <v>0</v>
      </c>
      <c r="J11" s="17">
        <f t="shared" si="3"/>
        <v>48300</v>
      </c>
      <c r="K11" s="14" t="s">
        <v>25</v>
      </c>
      <c r="L11" s="15">
        <v>12000</v>
      </c>
      <c r="M11" s="15">
        <v>1000</v>
      </c>
      <c r="N11" s="16">
        <f t="shared" si="6"/>
        <v>0</v>
      </c>
      <c r="O11" s="17">
        <f t="shared" si="4"/>
        <v>29800</v>
      </c>
      <c r="P11" s="14"/>
      <c r="Q11" s="15"/>
      <c r="R11" s="15"/>
      <c r="S11" s="16" t="str">
        <f t="shared" si="7"/>
        <v/>
      </c>
      <c r="T11" s="17">
        <f t="shared" si="5"/>
        <v>26900</v>
      </c>
      <c r="U11" s="44">
        <f t="shared" si="0"/>
        <v>13.3</v>
      </c>
      <c r="V11" s="45">
        <f t="shared" si="1"/>
        <v>-5.2</v>
      </c>
      <c r="W11" s="46">
        <f t="shared" si="2"/>
        <v>-8.1</v>
      </c>
    </row>
    <row r="12" spans="1:23" x14ac:dyDescent="0.4">
      <c r="A12" s="24" t="str">
        <f t="shared" si="8"/>
        <v>南</v>
      </c>
      <c r="B12" s="25">
        <f t="shared" si="9"/>
        <v>1</v>
      </c>
      <c r="C12" s="25">
        <f t="shared" si="10"/>
        <v>1</v>
      </c>
      <c r="D12" s="25">
        <f t="shared" si="11"/>
        <v>0</v>
      </c>
      <c r="E12" s="6" t="s">
        <v>26</v>
      </c>
      <c r="F12" s="14"/>
      <c r="G12" s="15"/>
      <c r="H12" s="15"/>
      <c r="I12" s="16" t="str">
        <f t="shared" si="12"/>
        <v/>
      </c>
      <c r="J12" s="17">
        <f t="shared" si="3"/>
        <v>48300</v>
      </c>
      <c r="K12" s="14" t="s">
        <v>24</v>
      </c>
      <c r="L12" s="15">
        <v>-8000</v>
      </c>
      <c r="M12" s="15"/>
      <c r="N12" s="16">
        <f t="shared" si="6"/>
        <v>-1000</v>
      </c>
      <c r="O12" s="17">
        <f t="shared" si="4"/>
        <v>20800</v>
      </c>
      <c r="P12" s="14" t="s">
        <v>25</v>
      </c>
      <c r="Q12" s="15">
        <v>8000</v>
      </c>
      <c r="R12" s="15"/>
      <c r="S12" s="16">
        <f t="shared" si="7"/>
        <v>1000</v>
      </c>
      <c r="T12" s="17">
        <f t="shared" si="5"/>
        <v>35900</v>
      </c>
      <c r="U12" s="44">
        <f t="shared" si="0"/>
        <v>13.3</v>
      </c>
      <c r="V12" s="45">
        <f t="shared" si="1"/>
        <v>-14.2</v>
      </c>
      <c r="W12" s="46">
        <f t="shared" si="2"/>
        <v>0.9</v>
      </c>
    </row>
    <row r="13" spans="1:23" x14ac:dyDescent="0.4">
      <c r="A13" s="24" t="str">
        <f t="shared" si="8"/>
        <v>南</v>
      </c>
      <c r="B13" s="25">
        <f t="shared" si="9"/>
        <v>2</v>
      </c>
      <c r="C13" s="25">
        <f t="shared" si="10"/>
        <v>0</v>
      </c>
      <c r="D13" s="25">
        <f t="shared" si="11"/>
        <v>0</v>
      </c>
      <c r="E13" s="6" t="s">
        <v>28</v>
      </c>
      <c r="F13" s="14" t="s">
        <v>25</v>
      </c>
      <c r="G13" s="15">
        <v>2600</v>
      </c>
      <c r="H13" s="15">
        <v>2000</v>
      </c>
      <c r="I13" s="16">
        <f t="shared" si="12"/>
        <v>0</v>
      </c>
      <c r="J13" s="17">
        <f t="shared" si="3"/>
        <v>52900</v>
      </c>
      <c r="K13" s="14"/>
      <c r="L13" s="15"/>
      <c r="M13" s="15">
        <v>-1000</v>
      </c>
      <c r="N13" s="16" t="str">
        <f t="shared" si="6"/>
        <v/>
      </c>
      <c r="O13" s="17">
        <f t="shared" si="4"/>
        <v>19800</v>
      </c>
      <c r="P13" s="14" t="s">
        <v>24</v>
      </c>
      <c r="Q13" s="15">
        <v>-2600</v>
      </c>
      <c r="R13" s="15">
        <v>-1000</v>
      </c>
      <c r="S13" s="16">
        <f t="shared" si="7"/>
        <v>0</v>
      </c>
      <c r="T13" s="17">
        <f t="shared" si="5"/>
        <v>32300</v>
      </c>
      <c r="U13" s="44">
        <f t="shared" si="0"/>
        <v>17.899999999999999</v>
      </c>
      <c r="V13" s="45">
        <f t="shared" si="1"/>
        <v>-15.2</v>
      </c>
      <c r="W13" s="46">
        <f t="shared" si="2"/>
        <v>-2.7</v>
      </c>
    </row>
    <row r="14" spans="1:23" x14ac:dyDescent="0.4">
      <c r="A14" s="24" t="str">
        <f t="shared" si="8"/>
        <v>南</v>
      </c>
      <c r="B14" s="25">
        <f t="shared" si="9"/>
        <v>3</v>
      </c>
      <c r="C14" s="25">
        <f t="shared" si="10"/>
        <v>0</v>
      </c>
      <c r="D14" s="25">
        <f t="shared" si="11"/>
        <v>0</v>
      </c>
      <c r="E14" s="6" t="s">
        <v>19</v>
      </c>
      <c r="F14" s="14" t="s">
        <v>21</v>
      </c>
      <c r="G14" s="15">
        <v>-3000</v>
      </c>
      <c r="H14" s="15"/>
      <c r="I14" s="16" t="str">
        <f t="shared" si="12"/>
        <v/>
      </c>
      <c r="J14" s="17">
        <f t="shared" si="3"/>
        <v>49900</v>
      </c>
      <c r="K14" s="14" t="s">
        <v>21</v>
      </c>
      <c r="L14" s="15">
        <v>1500</v>
      </c>
      <c r="M14" s="15"/>
      <c r="N14" s="16" t="str">
        <f t="shared" si="6"/>
        <v/>
      </c>
      <c r="O14" s="17">
        <f t="shared" si="4"/>
        <v>21300</v>
      </c>
      <c r="P14" s="14" t="s">
        <v>21</v>
      </c>
      <c r="Q14" s="15">
        <v>1500</v>
      </c>
      <c r="R14" s="15"/>
      <c r="S14" s="16" t="str">
        <f t="shared" si="7"/>
        <v/>
      </c>
      <c r="T14" s="17">
        <f t="shared" si="5"/>
        <v>33800</v>
      </c>
      <c r="U14" s="44">
        <f t="shared" si="0"/>
        <v>14.9</v>
      </c>
      <c r="V14" s="45">
        <f t="shared" si="1"/>
        <v>-13.7</v>
      </c>
      <c r="W14" s="46">
        <f t="shared" si="2"/>
        <v>-1.2</v>
      </c>
    </row>
    <row r="15" spans="1:23" x14ac:dyDescent="0.4">
      <c r="A15" s="24" t="str">
        <f t="shared" si="8"/>
        <v/>
      </c>
      <c r="B15" s="25" t="str">
        <f t="shared" si="9"/>
        <v/>
      </c>
      <c r="C15" s="25" t="str">
        <f t="shared" si="10"/>
        <v/>
      </c>
      <c r="D15" s="25" t="str">
        <f t="shared" si="11"/>
        <v/>
      </c>
      <c r="E15" s="6"/>
      <c r="F15" s="14"/>
      <c r="G15" s="15"/>
      <c r="H15" s="15"/>
      <c r="I15" s="16" t="str">
        <f t="shared" si="12"/>
        <v/>
      </c>
      <c r="J15" s="17" t="str">
        <f t="shared" si="3"/>
        <v/>
      </c>
      <c r="K15" s="14"/>
      <c r="L15" s="15"/>
      <c r="M15" s="15"/>
      <c r="N15" s="16" t="str">
        <f t="shared" si="6"/>
        <v/>
      </c>
      <c r="O15" s="17" t="str">
        <f t="shared" si="4"/>
        <v/>
      </c>
      <c r="P15" s="14"/>
      <c r="Q15" s="15"/>
      <c r="R15" s="15"/>
      <c r="S15" s="16" t="str">
        <f t="shared" si="7"/>
        <v/>
      </c>
      <c r="T15" s="17" t="str">
        <f t="shared" si="5"/>
        <v/>
      </c>
      <c r="U15" s="44" t="str">
        <f t="shared" si="0"/>
        <v/>
      </c>
      <c r="V15" s="45" t="str">
        <f t="shared" si="1"/>
        <v/>
      </c>
      <c r="W15" s="46" t="str">
        <f t="shared" si="2"/>
        <v/>
      </c>
    </row>
    <row r="16" spans="1:23" x14ac:dyDescent="0.4">
      <c r="A16" s="24" t="str">
        <f t="shared" si="8"/>
        <v/>
      </c>
      <c r="B16" s="25" t="str">
        <f t="shared" si="9"/>
        <v/>
      </c>
      <c r="C16" s="25" t="str">
        <f t="shared" si="10"/>
        <v/>
      </c>
      <c r="D16" s="25" t="str">
        <f t="shared" si="11"/>
        <v/>
      </c>
      <c r="E16" s="6"/>
      <c r="F16" s="14"/>
      <c r="G16" s="15"/>
      <c r="H16" s="15"/>
      <c r="I16" s="16" t="str">
        <f t="shared" si="12"/>
        <v/>
      </c>
      <c r="J16" s="17" t="str">
        <f t="shared" si="3"/>
        <v/>
      </c>
      <c r="K16" s="14"/>
      <c r="L16" s="15"/>
      <c r="M16" s="15"/>
      <c r="N16" s="16" t="str">
        <f t="shared" si="6"/>
        <v/>
      </c>
      <c r="O16" s="17" t="str">
        <f t="shared" si="4"/>
        <v/>
      </c>
      <c r="P16" s="14"/>
      <c r="Q16" s="15"/>
      <c r="R16" s="15"/>
      <c r="S16" s="16" t="str">
        <f t="shared" si="7"/>
        <v/>
      </c>
      <c r="T16" s="17" t="str">
        <f t="shared" si="5"/>
        <v/>
      </c>
      <c r="U16" s="44" t="str">
        <f t="shared" si="0"/>
        <v/>
      </c>
      <c r="V16" s="45" t="str">
        <f t="shared" si="1"/>
        <v/>
      </c>
      <c r="W16" s="46" t="str">
        <f t="shared" si="2"/>
        <v/>
      </c>
    </row>
    <row r="17" spans="1:23" x14ac:dyDescent="0.4">
      <c r="A17" s="24" t="str">
        <f t="shared" si="8"/>
        <v/>
      </c>
      <c r="B17" s="25" t="str">
        <f t="shared" si="9"/>
        <v/>
      </c>
      <c r="C17" s="25" t="str">
        <f t="shared" si="10"/>
        <v/>
      </c>
      <c r="D17" s="25" t="str">
        <f t="shared" si="11"/>
        <v/>
      </c>
      <c r="E17" s="6"/>
      <c r="F17" s="14"/>
      <c r="G17" s="15"/>
      <c r="H17" s="15"/>
      <c r="I17" s="16" t="str">
        <f t="shared" si="12"/>
        <v/>
      </c>
      <c r="J17" s="17" t="str">
        <f t="shared" si="3"/>
        <v/>
      </c>
      <c r="K17" s="14"/>
      <c r="L17" s="15"/>
      <c r="M17" s="15"/>
      <c r="N17" s="16" t="str">
        <f t="shared" si="6"/>
        <v/>
      </c>
      <c r="O17" s="17" t="str">
        <f t="shared" si="4"/>
        <v/>
      </c>
      <c r="P17" s="14"/>
      <c r="Q17" s="15"/>
      <c r="R17" s="15"/>
      <c r="S17" s="16" t="str">
        <f t="shared" si="7"/>
        <v/>
      </c>
      <c r="T17" s="17" t="str">
        <f t="shared" si="5"/>
        <v/>
      </c>
      <c r="U17" s="44" t="str">
        <f t="shared" si="0"/>
        <v/>
      </c>
      <c r="V17" s="45" t="str">
        <f t="shared" si="1"/>
        <v/>
      </c>
      <c r="W17" s="46" t="str">
        <f t="shared" si="2"/>
        <v/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44" t="str">
        <f t="shared" si="0"/>
        <v/>
      </c>
      <c r="V18" s="45" t="str">
        <f t="shared" si="1"/>
        <v/>
      </c>
      <c r="W18" s="46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44" t="str">
        <f t="shared" si="0"/>
        <v/>
      </c>
      <c r="V19" s="45" t="str">
        <f t="shared" si="1"/>
        <v/>
      </c>
      <c r="W19" s="46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44" t="str">
        <f t="shared" si="0"/>
        <v/>
      </c>
      <c r="V20" s="45" t="str">
        <f t="shared" si="1"/>
        <v/>
      </c>
      <c r="W20" s="46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44" t="str">
        <f t="shared" si="0"/>
        <v/>
      </c>
      <c r="V21" s="45" t="str">
        <f t="shared" si="1"/>
        <v/>
      </c>
      <c r="W21" s="46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44" t="str">
        <f t="shared" si="0"/>
        <v/>
      </c>
      <c r="V22" s="45" t="str">
        <f t="shared" si="1"/>
        <v/>
      </c>
      <c r="W22" s="46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44" t="str">
        <f t="shared" si="0"/>
        <v/>
      </c>
      <c r="V23" s="45" t="str">
        <f t="shared" si="1"/>
        <v/>
      </c>
      <c r="W23" s="46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44" t="str">
        <f t="shared" si="0"/>
        <v/>
      </c>
      <c r="V24" s="45" t="str">
        <f t="shared" si="1"/>
        <v/>
      </c>
      <c r="W24" s="46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44" t="str">
        <f t="shared" si="0"/>
        <v/>
      </c>
      <c r="V25" s="45" t="str">
        <f t="shared" si="1"/>
        <v/>
      </c>
      <c r="W25" s="46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44" t="str">
        <f t="shared" si="0"/>
        <v/>
      </c>
      <c r="V26" s="45" t="str">
        <f t="shared" si="1"/>
        <v/>
      </c>
      <c r="W26" s="46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44" t="str">
        <f t="shared" si="0"/>
        <v/>
      </c>
      <c r="V27" s="45" t="str">
        <f t="shared" si="1"/>
        <v/>
      </c>
      <c r="W27" s="46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44" t="str">
        <f t="shared" si="0"/>
        <v/>
      </c>
      <c r="V28" s="45" t="str">
        <f t="shared" si="1"/>
        <v/>
      </c>
      <c r="W28" s="46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44" t="str">
        <f t="shared" si="0"/>
        <v/>
      </c>
      <c r="V29" s="45" t="str">
        <f t="shared" si="1"/>
        <v/>
      </c>
      <c r="W29" s="46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47" t="str">
        <f t="shared" si="0"/>
        <v/>
      </c>
      <c r="V30" s="48" t="str">
        <f t="shared" si="1"/>
        <v/>
      </c>
      <c r="W30" s="49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allowBlank="1" showErrorMessage="1" sqref="E4:E30" xr:uid="{07CA4E62-0EC6-4FB0-A019-76F968D22E30}">
      <formula1>$U$2:$W$2</formula1>
    </dataValidation>
    <dataValidation type="list" showInputMessage="1" showErrorMessage="1" sqref="K4:K30 P4:P30 F4:F30" xr:uid="{C9F089AB-A5C1-4710-8731-73334D12062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28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28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28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28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28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28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28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28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28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28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/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28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28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28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28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28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28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28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28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28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28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28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28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28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28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28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28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28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28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28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28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28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28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28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28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28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28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28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28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28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28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28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28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28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28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28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28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28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28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28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28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28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28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28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28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28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28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28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28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28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28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28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28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28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28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28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28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28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28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28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28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Sheet4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2018-12-20T05:39:46Z</dcterms:modified>
</cp:coreProperties>
</file>