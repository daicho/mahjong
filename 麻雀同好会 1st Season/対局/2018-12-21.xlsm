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EDB00A80-006B-4C7C-90F7-6706097460BB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9" r:id="rId4"/>
    <sheet name="Sheet5" sheetId="20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 s="1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O5" i="20"/>
  <c r="O6" i="20" s="1"/>
  <c r="J5" i="20"/>
  <c r="U5" i="20" s="1"/>
  <c r="D5" i="20"/>
  <c r="C5" i="20"/>
  <c r="B5" i="20"/>
  <c r="B6" i="20" s="1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D16" i="19"/>
  <c r="D15" i="19"/>
  <c r="D14" i="19"/>
  <c r="C14" i="19"/>
  <c r="C15" i="19" s="1"/>
  <c r="C16" i="19" s="1"/>
  <c r="D13" i="19"/>
  <c r="D12" i="19"/>
  <c r="D11" i="19"/>
  <c r="D10" i="19"/>
  <c r="C10" i="19"/>
  <c r="C11" i="19" s="1"/>
  <c r="C12" i="19" s="1"/>
  <c r="C13" i="19" s="1"/>
  <c r="D9" i="19"/>
  <c r="D8" i="19"/>
  <c r="C8" i="19"/>
  <c r="C9" i="19" s="1"/>
  <c r="C7" i="19"/>
  <c r="D6" i="19"/>
  <c r="D7" i="19" s="1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 s="1"/>
  <c r="T16" i="17"/>
  <c r="W16" i="17" s="1"/>
  <c r="O16" i="17"/>
  <c r="V16" i="17" s="1"/>
  <c r="J16" i="17"/>
  <c r="U16" i="17" s="1"/>
  <c r="D16" i="17"/>
  <c r="C16" i="17"/>
  <c r="B16" i="17"/>
  <c r="A16" i="17" s="1"/>
  <c r="T15" i="17"/>
  <c r="W15" i="17" s="1"/>
  <c r="O15" i="17"/>
  <c r="V15" i="17" s="1"/>
  <c r="J15" i="17"/>
  <c r="U15" i="17" s="1"/>
  <c r="D15" i="17"/>
  <c r="C15" i="17"/>
  <c r="B15" i="17"/>
  <c r="A15" i="17" s="1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V13" i="17" s="1"/>
  <c r="J13" i="17"/>
  <c r="U13" i="17" s="1"/>
  <c r="D13" i="17"/>
  <c r="C13" i="17"/>
  <c r="B13" i="17"/>
  <c r="A13" i="17" s="1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T10" i="17"/>
  <c r="W10" i="17" s="1"/>
  <c r="O10" i="17"/>
  <c r="V10" i="17" s="1"/>
  <c r="J10" i="17"/>
  <c r="U10" i="17" s="1"/>
  <c r="D10" i="17"/>
  <c r="C10" i="17"/>
  <c r="B10" i="17"/>
  <c r="A10" i="17"/>
  <c r="T9" i="17"/>
  <c r="W9" i="17" s="1"/>
  <c r="O9" i="17"/>
  <c r="V9" i="17" s="1"/>
  <c r="J9" i="17"/>
  <c r="U9" i="17" s="1"/>
  <c r="D9" i="17"/>
  <c r="C9" i="17"/>
  <c r="D8" i="17"/>
  <c r="C8" i="17"/>
  <c r="C7" i="17"/>
  <c r="D6" i="17"/>
  <c r="D7" i="17" s="1"/>
  <c r="C6" i="17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/>
  <c r="D9" i="16"/>
  <c r="D8" i="16"/>
  <c r="C8" i="16"/>
  <c r="C9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20" l="1"/>
  <c r="B7" i="20"/>
  <c r="O7" i="20"/>
  <c r="V6" i="20"/>
  <c r="T5" i="20"/>
  <c r="A6" i="20"/>
  <c r="J6" i="20"/>
  <c r="A5" i="19"/>
  <c r="V5" i="19"/>
  <c r="B7" i="19"/>
  <c r="V6" i="19"/>
  <c r="O7" i="19"/>
  <c r="T5" i="19"/>
  <c r="A6" i="19"/>
  <c r="J6" i="19"/>
  <c r="V5" i="17"/>
  <c r="V6" i="17"/>
  <c r="O7" i="17"/>
  <c r="B7" i="17"/>
  <c r="A7" i="17" s="1"/>
  <c r="T5" i="17"/>
  <c r="A6" i="17"/>
  <c r="J6" i="17"/>
  <c r="A5" i="16"/>
  <c r="V5" i="16"/>
  <c r="V6" i="16"/>
  <c r="O7" i="16"/>
  <c r="B7" i="16"/>
  <c r="A7" i="16" s="1"/>
  <c r="T5" i="16"/>
  <c r="A6" i="16"/>
  <c r="J6" i="16"/>
  <c r="U6" i="20" l="1"/>
  <c r="J7" i="20"/>
  <c r="W5" i="20"/>
  <c r="T6" i="20"/>
  <c r="O8" i="20"/>
  <c r="V7" i="20"/>
  <c r="B8" i="20"/>
  <c r="A7" i="20"/>
  <c r="O8" i="19"/>
  <c r="V7" i="19"/>
  <c r="B8" i="19"/>
  <c r="A8" i="19" s="1"/>
  <c r="U6" i="19"/>
  <c r="J7" i="19"/>
  <c r="W5" i="19"/>
  <c r="T6" i="19"/>
  <c r="A7" i="19"/>
  <c r="U6" i="17"/>
  <c r="J7" i="17"/>
  <c r="B8" i="17"/>
  <c r="A8" i="17" s="1"/>
  <c r="O8" i="17"/>
  <c r="V8" i="17" s="1"/>
  <c r="V7" i="17"/>
  <c r="T6" i="17"/>
  <c r="W5" i="17"/>
  <c r="J7" i="16"/>
  <c r="U6" i="16"/>
  <c r="O8" i="16"/>
  <c r="V7" i="16"/>
  <c r="B8" i="16"/>
  <c r="A8" i="16" s="1"/>
  <c r="W5" i="16"/>
  <c r="T6" i="16"/>
  <c r="B9" i="20" l="1"/>
  <c r="A9" i="20" s="1"/>
  <c r="O9" i="20"/>
  <c r="V8" i="20"/>
  <c r="A8" i="20"/>
  <c r="W6" i="20"/>
  <c r="T7" i="20"/>
  <c r="U7" i="20"/>
  <c r="J8" i="20"/>
  <c r="W6" i="19"/>
  <c r="T7" i="19"/>
  <c r="B9" i="19"/>
  <c r="A9" i="19" s="1"/>
  <c r="U7" i="19"/>
  <c r="J8" i="19"/>
  <c r="V8" i="19"/>
  <c r="O9" i="19"/>
  <c r="B9" i="17"/>
  <c r="A9" i="17" s="1"/>
  <c r="W6" i="17"/>
  <c r="T7" i="17"/>
  <c r="U7" i="17"/>
  <c r="J8" i="17"/>
  <c r="U8" i="17" s="1"/>
  <c r="V8" i="16"/>
  <c r="O9" i="16"/>
  <c r="V9" i="16" s="1"/>
  <c r="W6" i="16"/>
  <c r="T7" i="16"/>
  <c r="B9" i="16"/>
  <c r="A9" i="16" s="1"/>
  <c r="U7" i="16"/>
  <c r="J8" i="16"/>
  <c r="O10" i="20" l="1"/>
  <c r="V9" i="20"/>
  <c r="U8" i="20"/>
  <c r="J9" i="20"/>
  <c r="B10" i="20"/>
  <c r="A10" i="20" s="1"/>
  <c r="W7" i="20"/>
  <c r="T8" i="20"/>
  <c r="O10" i="19"/>
  <c r="V9" i="19"/>
  <c r="J9" i="19"/>
  <c r="U8" i="19"/>
  <c r="T8" i="19"/>
  <c r="W7" i="19"/>
  <c r="B10" i="19"/>
  <c r="A10" i="19" s="1"/>
  <c r="W7" i="17"/>
  <c r="T8" i="17"/>
  <c r="W8" i="17" s="1"/>
  <c r="T8" i="16"/>
  <c r="W7" i="16"/>
  <c r="U8" i="16"/>
  <c r="J9" i="16"/>
  <c r="U9" i="16" s="1"/>
  <c r="B11" i="20" l="1"/>
  <c r="A11" i="20" s="1"/>
  <c r="V10" i="20"/>
  <c r="O11" i="20"/>
  <c r="W8" i="20"/>
  <c r="T9" i="20"/>
  <c r="U9" i="20"/>
  <c r="J10" i="20"/>
  <c r="U9" i="19"/>
  <c r="J10" i="19"/>
  <c r="B11" i="19"/>
  <c r="A11" i="19" s="1"/>
  <c r="W8" i="19"/>
  <c r="T9" i="19"/>
  <c r="V10" i="19"/>
  <c r="O11" i="19"/>
  <c r="W8" i="16"/>
  <c r="T9" i="16"/>
  <c r="W9" i="16" s="1"/>
  <c r="W9" i="20" l="1"/>
  <c r="T10" i="20"/>
  <c r="B12" i="20"/>
  <c r="A12" i="20" s="1"/>
  <c r="U10" i="20"/>
  <c r="J11" i="20"/>
  <c r="O12" i="20"/>
  <c r="V12" i="20" s="1"/>
  <c r="V11" i="20"/>
  <c r="O12" i="19"/>
  <c r="V11" i="19"/>
  <c r="B12" i="19"/>
  <c r="A12" i="19" s="1"/>
  <c r="W9" i="19"/>
  <c r="T10" i="19"/>
  <c r="U10" i="19"/>
  <c r="J11" i="19"/>
  <c r="U11" i="20" l="1"/>
  <c r="J12" i="20"/>
  <c r="U12" i="20" s="1"/>
  <c r="W10" i="20"/>
  <c r="T11" i="20"/>
  <c r="U11" i="19"/>
  <c r="J12" i="19"/>
  <c r="B13" i="19"/>
  <c r="W10" i="19"/>
  <c r="T11" i="19"/>
  <c r="V12" i="19"/>
  <c r="O13" i="19"/>
  <c r="W11" i="20" l="1"/>
  <c r="T12" i="20"/>
  <c r="W12" i="20" s="1"/>
  <c r="B14" i="19"/>
  <c r="A14" i="19" s="1"/>
  <c r="A13" i="19"/>
  <c r="T12" i="19"/>
  <c r="W11" i="19"/>
  <c r="U12" i="19"/>
  <c r="J13" i="19"/>
  <c r="O14" i="19"/>
  <c r="V13" i="19"/>
  <c r="O15" i="19" l="1"/>
  <c r="V14" i="19"/>
  <c r="W12" i="19"/>
  <c r="T13" i="19"/>
  <c r="U13" i="19"/>
  <c r="J14" i="19"/>
  <c r="B15" i="19"/>
  <c r="A15" i="19" s="1"/>
  <c r="W13" i="19" l="1"/>
  <c r="T14" i="19"/>
  <c r="B16" i="19"/>
  <c r="A16" i="19" s="1"/>
  <c r="J15" i="19"/>
  <c r="U14" i="19"/>
  <c r="O16" i="19"/>
  <c r="V16" i="19" s="1"/>
  <c r="V15" i="19"/>
  <c r="W14" i="19" l="1"/>
  <c r="T15" i="19"/>
  <c r="B17" i="19"/>
  <c r="A17" i="19" s="1"/>
  <c r="U15" i="19"/>
  <c r="J16" i="19"/>
  <c r="U16" i="19" s="1"/>
  <c r="W15" i="19" l="1"/>
  <c r="T16" i="19"/>
  <c r="W16" i="19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J7" i="1"/>
  <c r="U6" i="1"/>
  <c r="O7" i="1"/>
  <c r="V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U9" i="1" l="1"/>
  <c r="V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V11" i="1" s="1"/>
  <c r="J12" i="1"/>
  <c r="U12" i="1" s="1"/>
  <c r="T10" i="1"/>
  <c r="W10" i="1" l="1"/>
  <c r="J13" i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<sst xmlns="http://schemas.openxmlformats.org/spreadsheetml/2006/main" count="1040" uniqueCount="151">
  <si>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</si>
  <si>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</si>
  <si>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</si>
  <si>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</si>
  <si>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</si>
  <si>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</si>
  <si>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</si>
  <si>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</si>
  <si>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</si>
  <si>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</si>
  <si>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</si>
  <si>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</si>
  <si>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</si>
  <si>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</si>
  <si>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</si>
  <si>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</si>
  <si>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</si>
  <si>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</si>
  <si>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</si>
  <si>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</si>
  <si>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</si>
  <si>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</si>
  <si>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</si>
  <si>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</si>
  <si>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</si>
  <si>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</si>
  <si>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</si>
  <si>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</si>
  <si>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</si>
  <si>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</si>
  <si>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</si>
  <si>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</si>
  <si>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</si>
  <si>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</si>
  <si>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</si>
  <si>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</si>
  <si>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</si>
  <si>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</si>
  <si>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</si>
  <si>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</si>
  <si>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</si>
  <si>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</si>
  <si>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</si>
  <si>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</si>
  <si>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</si>
  <si>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</si>
  <si>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</si>
  <si>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</si>
  <si>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</si>
  <si>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</si>
  <si>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</si>
  <si>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</si>
  <si>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</si>
  <si>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</si>
  <si>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</si>
  <si>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</si>
  <si>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</si>
  <si>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</si>
  <si>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</si>
  <si>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</si>
  <si>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</si>
  <si>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</si>
  <si>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</si>
  <si>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</si>
  <si>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</si>
  <si>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</si>
  <si>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</si>
  <si>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</si>
  <si>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</si>
  <si>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</si>
  <si>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</si>
  <si>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</si>
  <si>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</si>
  <si>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</si>
  <si>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</si>
  <si>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</si>
  <si>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</si>
  <si>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</si>
  <si>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</si>
  <si>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</si>
  <si>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</si>
  <si>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</si>
  <si>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</si>
  <si>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</si>
  <si>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</si>
  <si>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</si>
  <si>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</si>
  <si>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</si>
  <si>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</si>
  <si>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</si>
  <si>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</si>
  <si>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</si>
  <si>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</si>
  <si>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</si>
  <si>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</si>
  <si>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</si>
  <si>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</si>
  <si>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</si>
  <si>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</si>
  <si>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</si>
  <si>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</si>
  <si>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</si>
  <si>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</si>
  <si>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</si>
  <si>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</si>
  <si>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</si>
  <si>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</si>
  <si>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</si>
  <si>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</si>
  <si>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</si>
  <si>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</si>
  <si>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</si>
  <si>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</si>
  <si>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</si>
  <si>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</si>
  <si>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</si>
  <si>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</si>
  <si>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</si>
  <si>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</si>
  <si>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</si>
  <si>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</si>
  <si>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</si>
  <si>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</si>
  <si>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</si>
  <si>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</si>
  <si>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</si>
  <si>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</si>
  <si>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</si>
  <si>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</si>
  <si>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</si>
  <si>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</si>
  <si>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</si>
  <si>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</si>
  <si>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</si>
  <si>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</si>
  <si>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</si>
  <si>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</si>
  <si>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</si>
  <si>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</si>
  <si>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</si>
  <si>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</si>
  <si>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ロン</t>
  </si>
  <si>
    <t>放銃</t>
  </si>
  <si>
    <t>01</t>
  </si>
  <si>
    <t>ツモ</t>
  </si>
  <si>
    <t>ツモ支払</t>
  </si>
  <si>
    <t>*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</si>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</sst>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5200</v>
      </c>
      <c r="H4" s="9"/>
      <c r="I4" s="55">
        <v>0</v>
      </c>
      <c r="J4" s="21">
        <f>IF(COUNTA($F4,$K4,$P4)&gt;0,J3+SUM(G4:I4),"")</f>
        <v>40200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-5200</v>
      </c>
      <c r="R4" s="9"/>
      <c r="S4" s="55">
        <v>0</v>
      </c>
      <c r="T4" s="21">
        <f>IF(COUNTA($F4,$K4,$P4)&gt;0,T3+SUM(Q4:S4),"")</f>
        <v>29800</v>
      </c>
      <c r="U4" s="66">
        <f t="shared" ref="U4:U30" si="0">IF($J4="","",ROUND(($J4-$J$3)/1000,1))</f>
        <v>5.2</v>
      </c>
      <c r="V4" s="67">
        <f t="shared" ref="V4:V30" si="1">IF($O4="","",ROUND(($O4-$O$3)/1000,1))</f>
        <v>0</v>
      </c>
      <c r="W4" s="68">
        <f t="shared" ref="W4:W30" si="2">IF($T4="","",ROUND(($T4-$T$3)/1000,1))</f>
        <v>-5.2</v>
      </c>
      <c r="Y4" s="8"/>
      <c r="Z4" s="41"/>
      <c r="AA4" s="32">
        <v>1</v>
      </c>
      <c r="AB4" s="32"/>
      <c r="AC4" s="32">
        <v>3</v>
      </c>
      <c r="AD4" s="36">
        <v>40</v>
      </c>
      <c r="AE4" s="47" t="s">
        <v>143</v>
      </c>
      <c r="AF4" s="48" t="s">
        <v>85</v>
      </c>
      <c r="AG4" s="48" t="s">
        <v>82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144</v>
      </c>
      <c r="G5" s="9">
        <v>8000</v>
      </c>
      <c r="H5" s="9"/>
      <c r="I5" s="55">
        <v>0</v>
      </c>
      <c r="J5" s="21">
        <f t="shared" ref="J5:J30" si="6">IF(COUNTA($F5,$K5,$P5)&gt;0,J4+SUM(G5:I5),"")</f>
        <v>48200</v>
      </c>
      <c r="K5" s="8" t="s">
        <v>145</v>
      </c>
      <c r="L5" s="9">
        <v>-3000</v>
      </c>
      <c r="M5" s="9"/>
      <c r="N5" s="55">
        <v>0</v>
      </c>
      <c r="O5" s="21">
        <f t="shared" ref="O5:O30" si="7">IF(COUNTA($F5,$K5,$P5)&gt;0,O4+SUM(L5:N5),"")</f>
        <v>32000</v>
      </c>
      <c r="P5" s="8" t="s">
        <v>145</v>
      </c>
      <c r="Q5" s="9">
        <v>-5000</v>
      </c>
      <c r="R5" s="9"/>
      <c r="S5" s="55">
        <v>0</v>
      </c>
      <c r="T5" s="21">
        <f t="shared" ref="T5:T30" si="8">IF(COUNTA($F5,$K5,$P5)&gt;0,T4+SUM(Q5:S5),"")</f>
        <v>24800</v>
      </c>
      <c r="U5" s="66">
        <f t="shared" si="0"/>
        <v>13.2</v>
      </c>
      <c r="V5" s="67">
        <f t="shared" si="1"/>
        <v>-3</v>
      </c>
      <c r="W5" s="68">
        <f t="shared" si="2"/>
        <v>-10.199999999999999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143</v>
      </c>
      <c r="AF5" s="48" t="s">
        <v>83</v>
      </c>
      <c r="AG5" s="48" t="s">
        <v>80</v>
      </c>
      <c r="AH5" s="48" t="s">
        <v>86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145</v>
      </c>
      <c r="G6" s="9">
        <v>-7500</v>
      </c>
      <c r="H6" s="9">
        <v>-1000</v>
      </c>
      <c r="I6" s="55">
        <v>0</v>
      </c>
      <c r="J6" s="21">
        <f t="shared" si="6"/>
        <v>39700</v>
      </c>
      <c r="K6" s="8" t="s">
        <v>144</v>
      </c>
      <c r="L6" s="9">
        <v>12000</v>
      </c>
      <c r="M6" s="9">
        <v>2000</v>
      </c>
      <c r="N6" s="55">
        <v>0</v>
      </c>
      <c r="O6" s="21">
        <f t="shared" si="7"/>
        <v>46000</v>
      </c>
      <c r="P6" s="8" t="s">
        <v>145</v>
      </c>
      <c r="Q6" s="9">
        <v>-4500</v>
      </c>
      <c r="R6" s="9">
        <v>-1000</v>
      </c>
      <c r="S6" s="55">
        <v>0</v>
      </c>
      <c r="T6" s="21">
        <f t="shared" si="8"/>
        <v>19300</v>
      </c>
      <c r="U6" s="66">
        <f t="shared" si="0"/>
        <v>4.7</v>
      </c>
      <c r="V6" s="67">
        <f t="shared" si="1"/>
        <v>11</v>
      </c>
      <c r="W6" s="68">
        <f t="shared" si="2"/>
        <v>-15.7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7</v>
      </c>
      <c r="AY6" s="36" t="s">
        <v>146</v>
      </c>
      <c r="AZ6" s="47" t="s">
        <v>87</v>
      </c>
      <c r="BA6" s="48" t="s">
        <v>87</v>
      </c>
      <c r="BB6" s="48" t="s">
        <v>82</v>
      </c>
      <c r="BC6" s="48" t="s">
        <v>99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9"/>
        <v>1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 t="s">
        <v>145</v>
      </c>
      <c r="G7" s="9">
        <v>-800</v>
      </c>
      <c r="H7" s="9"/>
      <c r="I7" s="55">
        <v>0</v>
      </c>
      <c r="J7" s="21">
        <f t="shared" si="6"/>
        <v>38900</v>
      </c>
      <c r="K7" s="8" t="s">
        <v>144</v>
      </c>
      <c r="L7" s="9">
        <v>1600</v>
      </c>
      <c r="M7" s="9">
        <v>1000</v>
      </c>
      <c r="N7" s="55">
        <v>0</v>
      </c>
      <c r="O7" s="21">
        <f t="shared" si="7"/>
        <v>48600</v>
      </c>
      <c r="P7" s="8" t="s">
        <v>145</v>
      </c>
      <c r="Q7" s="9">
        <v>-800</v>
      </c>
      <c r="R7" s="9">
        <v>-1000</v>
      </c>
      <c r="S7" s="55">
        <v>0</v>
      </c>
      <c r="T7" s="21">
        <f t="shared" si="8"/>
        <v>17500</v>
      </c>
      <c r="U7" s="66">
        <f t="shared" si="0"/>
        <v>3.9</v>
      </c>
      <c r="V7" s="67">
        <f t="shared" si="1"/>
        <v>13.6</v>
      </c>
      <c r="W7" s="68">
        <f t="shared" si="2"/>
        <v>-17.5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1</v>
      </c>
      <c r="AY7" s="36">
        <v>30</v>
      </c>
      <c r="AZ7" s="47" t="s">
        <v>83</v>
      </c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1</v>
      </c>
      <c r="C8" s="18">
        <f t="shared" si="11"/>
        <v>1</v>
      </c>
      <c r="D8" s="18">
        <f t="shared" si="5"/>
        <v>0</v>
      </c>
      <c r="E8" s="4" t="s">
        <v>137</v>
      </c>
      <c r="F8" s="8" t="s">
        <v>145</v>
      </c>
      <c r="G8" s="9">
        <v>-9000</v>
      </c>
      <c r="H8" s="9"/>
      <c r="I8" s="55">
        <v>-500</v>
      </c>
      <c r="J8" s="21">
        <f t="shared" si="6"/>
        <v>29400</v>
      </c>
      <c r="K8" s="8" t="s">
        <v>144</v>
      </c>
      <c r="L8" s="9">
        <v>18000</v>
      </c>
      <c r="M8" s="9"/>
      <c r="N8" s="55">
        <v>1000</v>
      </c>
      <c r="O8" s="21">
        <f t="shared" si="7"/>
        <v>67600</v>
      </c>
      <c r="P8" s="8" t="s">
        <v>145</v>
      </c>
      <c r="Q8" s="9">
        <v>-9000</v>
      </c>
      <c r="R8" s="9"/>
      <c r="S8" s="55">
        <v>-500</v>
      </c>
      <c r="T8" s="21">
        <f t="shared" si="8"/>
        <v>8000</v>
      </c>
      <c r="U8" s="66">
        <f t="shared" si="0"/>
        <v>-5.6</v>
      </c>
      <c r="V8" s="67">
        <f t="shared" si="1"/>
        <v>32.6</v>
      </c>
      <c r="W8" s="68">
        <f t="shared" si="2"/>
        <v>-27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6</v>
      </c>
      <c r="AY8" s="36" t="s">
        <v>146</v>
      </c>
      <c r="AZ8" s="47" t="s">
        <v>143</v>
      </c>
      <c r="BA8" s="48" t="s">
        <v>83</v>
      </c>
      <c r="BB8" s="48" t="s">
        <v>82</v>
      </c>
      <c r="BC8" s="48" t="s">
        <v>80</v>
      </c>
      <c r="BD8" s="48" t="s">
        <v>80</v>
      </c>
      <c r="BE8" s="48" t="s">
        <v>80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2</v>
      </c>
      <c r="D9" s="18">
        <f t="shared" si="5"/>
        <v>0</v>
      </c>
      <c r="E9" s="4" t="s">
        <v>137</v>
      </c>
      <c r="F9" s="8"/>
      <c r="G9" s="9"/>
      <c r="H9" s="9"/>
      <c r="I9" s="55"/>
      <c r="J9" s="21">
        <f t="shared" si="6"/>
        <v>29400</v>
      </c>
      <c r="K9" s="8" t="s">
        <v>141</v>
      </c>
      <c r="L9" s="9">
        <v>36000</v>
      </c>
      <c r="M9" s="9">
        <v>1000</v>
      </c>
      <c r="N9" s="55">
        <v>2000</v>
      </c>
      <c r="O9" s="21">
        <f t="shared" si="7"/>
        <v>106600</v>
      </c>
      <c r="P9" s="8" t="s">
        <v>142</v>
      </c>
      <c r="Q9" s="9">
        <v>-36000</v>
      </c>
      <c r="R9" s="9">
        <v>-1000</v>
      </c>
      <c r="S9" s="55">
        <v>-2000</v>
      </c>
      <c r="T9" s="21">
        <f t="shared" si="8"/>
        <v>-31000</v>
      </c>
      <c r="U9" s="66">
        <f t="shared" si="0"/>
        <v>-5.6</v>
      </c>
      <c r="V9" s="67">
        <f t="shared" si="1"/>
        <v>71.599999999999994</v>
      </c>
      <c r="W9" s="68">
        <f t="shared" si="2"/>
        <v>-66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11</v>
      </c>
      <c r="AY9" s="36" t="s">
        <v>146</v>
      </c>
      <c r="AZ9" s="47" t="s">
        <v>143</v>
      </c>
      <c r="BA9" s="48" t="s">
        <v>105</v>
      </c>
      <c r="BB9" s="48" t="s">
        <v>87</v>
      </c>
      <c r="BC9" s="48" t="s">
        <v>87</v>
      </c>
      <c r="BD9" s="48" t="s">
        <v>80</v>
      </c>
      <c r="BE9" s="48" t="s">
        <v>80</v>
      </c>
      <c r="BF9" s="48" t="s">
        <v>81</v>
      </c>
      <c r="BG9" s="48" t="s">
        <v>81</v>
      </c>
      <c r="BH9" s="48" t="s">
        <v>81</v>
      </c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A72F-52BA-4369-ACC5-DA8671852750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ただ</v>
      </c>
      <c r="W2" s="16" t="str">
        <f>$P$1</f>
        <v>りくと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142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6">
        <f t="shared" ref="U4:U30" si="0">IF($J4="","",ROUND(($J4-$J$3)/1000,1))</f>
        <v>0</v>
      </c>
      <c r="V4" s="67">
        <f t="shared" ref="V4:V30" si="1">IF($O4="","",ROUND(($O4-$O$3)/1000,1))</f>
        <v>18</v>
      </c>
      <c r="W4" s="68">
        <f t="shared" ref="W4:W30" si="2">IF($T4="","",ROUND(($T4-$T$3)/1000,1))</f>
        <v>-18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6</v>
      </c>
      <c r="AY4" s="36" t="s">
        <v>146</v>
      </c>
      <c r="AZ4" s="47" t="s">
        <v>143</v>
      </c>
      <c r="BA4" s="48" t="s">
        <v>84</v>
      </c>
      <c r="BB4" s="48" t="s">
        <v>82</v>
      </c>
      <c r="BC4" s="48" t="s">
        <v>82</v>
      </c>
      <c r="BD4" s="48" t="s">
        <v>82</v>
      </c>
      <c r="BE4" s="48" t="s">
        <v>81</v>
      </c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145</v>
      </c>
      <c r="G5" s="9">
        <v>-9000</v>
      </c>
      <c r="H5" s="9"/>
      <c r="I5" s="55">
        <v>-500</v>
      </c>
      <c r="J5" s="21">
        <f t="shared" ref="J5:J30" si="6">IF(COUNTA($F5,$K5,$P5)&gt;0,J4+SUM(G5:I5),"")</f>
        <v>25500</v>
      </c>
      <c r="K5" s="8" t="s">
        <v>144</v>
      </c>
      <c r="L5" s="9">
        <v>18000</v>
      </c>
      <c r="M5" s="9"/>
      <c r="N5" s="55">
        <v>1000</v>
      </c>
      <c r="O5" s="21">
        <f t="shared" ref="O5:O30" si="7">IF(COUNTA($F5,$K5,$P5)&gt;0,O4+SUM(L5:N5),"")</f>
        <v>72000</v>
      </c>
      <c r="P5" s="8" t="s">
        <v>145</v>
      </c>
      <c r="Q5" s="9">
        <v>-9000</v>
      </c>
      <c r="R5" s="9"/>
      <c r="S5" s="55">
        <v>-500</v>
      </c>
      <c r="T5" s="21">
        <f t="shared" ref="T5:T30" si="8">IF(COUNTA($F5,$K5,$P5)&gt;0,T4+SUM(Q5:S5),"")</f>
        <v>7500</v>
      </c>
      <c r="U5" s="66">
        <f t="shared" si="0"/>
        <v>-9.5</v>
      </c>
      <c r="V5" s="67">
        <f t="shared" si="1"/>
        <v>37</v>
      </c>
      <c r="W5" s="68">
        <f t="shared" si="2"/>
        <v>-27.5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146</v>
      </c>
      <c r="AZ5" s="47" t="s">
        <v>143</v>
      </c>
      <c r="BA5" s="48" t="s">
        <v>83</v>
      </c>
      <c r="BB5" s="48" t="s">
        <v>147</v>
      </c>
      <c r="BC5" s="48" t="s">
        <v>84</v>
      </c>
      <c r="BD5" s="48" t="s">
        <v>82</v>
      </c>
      <c r="BE5" s="48" t="s">
        <v>80</v>
      </c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137</v>
      </c>
      <c r="F6" s="8" t="s">
        <v>150</v>
      </c>
      <c r="G6" s="9">
        <v>-1500</v>
      </c>
      <c r="H6" s="9"/>
      <c r="I6" s="55"/>
      <c r="J6" s="21">
        <f t="shared" si="6"/>
        <v>24000</v>
      </c>
      <c r="K6" s="8" t="s">
        <v>150</v>
      </c>
      <c r="L6" s="9">
        <v>-1500</v>
      </c>
      <c r="M6" s="9"/>
      <c r="N6" s="55"/>
      <c r="O6" s="21">
        <f t="shared" si="7"/>
        <v>70500</v>
      </c>
      <c r="P6" s="8" t="s">
        <v>150</v>
      </c>
      <c r="Q6" s="9">
        <v>3000</v>
      </c>
      <c r="R6" s="9">
        <v>-1000</v>
      </c>
      <c r="S6" s="55"/>
      <c r="T6" s="21">
        <f t="shared" si="8"/>
        <v>9500</v>
      </c>
      <c r="U6" s="66">
        <f t="shared" si="0"/>
        <v>-11</v>
      </c>
      <c r="V6" s="67">
        <f t="shared" si="1"/>
        <v>35.5</v>
      </c>
      <c r="W6" s="68">
        <f t="shared" si="2"/>
        <v>-25.5</v>
      </c>
      <c r="Y6" s="8" t="s">
        <v>148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148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149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1</v>
      </c>
      <c r="E7" s="4" t="s">
        <v>139</v>
      </c>
      <c r="F7" s="8" t="s">
        <v>144</v>
      </c>
      <c r="G7" s="9">
        <v>8000</v>
      </c>
      <c r="H7" s="9">
        <v>2000</v>
      </c>
      <c r="I7" s="55">
        <v>0</v>
      </c>
      <c r="J7" s="21">
        <f t="shared" si="6"/>
        <v>34000</v>
      </c>
      <c r="K7" s="8" t="s">
        <v>145</v>
      </c>
      <c r="L7" s="9">
        <v>-3000</v>
      </c>
      <c r="M7" s="9">
        <v>-1000</v>
      </c>
      <c r="N7" s="55">
        <v>0</v>
      </c>
      <c r="O7" s="21">
        <f t="shared" si="7"/>
        <v>66500</v>
      </c>
      <c r="P7" s="8" t="s">
        <v>145</v>
      </c>
      <c r="Q7" s="9">
        <v>-5000</v>
      </c>
      <c r="R7" s="9"/>
      <c r="S7" s="55">
        <v>0</v>
      </c>
      <c r="T7" s="21">
        <f t="shared" si="8"/>
        <v>4500</v>
      </c>
      <c r="U7" s="66">
        <f t="shared" si="0"/>
        <v>-1</v>
      </c>
      <c r="V7" s="67">
        <f t="shared" si="1"/>
        <v>31.5</v>
      </c>
      <c r="W7" s="68">
        <f t="shared" si="2"/>
        <v>-30.5</v>
      </c>
      <c r="Y7" s="8"/>
      <c r="Z7" s="41"/>
      <c r="AA7" s="32">
        <v>1</v>
      </c>
      <c r="AB7" s="32"/>
      <c r="AC7" s="32">
        <v>5</v>
      </c>
      <c r="AD7" s="36" t="s">
        <v>146</v>
      </c>
      <c r="AE7" s="47" t="s">
        <v>143</v>
      </c>
      <c r="AF7" s="48" t="s">
        <v>83</v>
      </c>
      <c r="AG7" s="48" t="s">
        <v>82</v>
      </c>
      <c r="AH7" s="48" t="s">
        <v>81</v>
      </c>
      <c r="AI7" s="48" t="s">
        <v>80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142</v>
      </c>
      <c r="G8" s="9">
        <v>-6400</v>
      </c>
      <c r="H8" s="9"/>
      <c r="I8" s="55">
        <v>0</v>
      </c>
      <c r="J8" s="21">
        <f t="shared" si="6"/>
        <v>27600</v>
      </c>
      <c r="K8" s="8"/>
      <c r="L8" s="9"/>
      <c r="M8" s="9"/>
      <c r="N8" s="55"/>
      <c r="O8" s="21">
        <f t="shared" si="7"/>
        <v>66500</v>
      </c>
      <c r="P8" s="8" t="s">
        <v>141</v>
      </c>
      <c r="Q8" s="9">
        <v>6400</v>
      </c>
      <c r="R8" s="9"/>
      <c r="S8" s="55">
        <v>0</v>
      </c>
      <c r="T8" s="21">
        <f t="shared" si="8"/>
        <v>10900</v>
      </c>
      <c r="U8" s="66">
        <f t="shared" si="0"/>
        <v>-7.4</v>
      </c>
      <c r="V8" s="67">
        <f t="shared" si="1"/>
        <v>31.5</v>
      </c>
      <c r="W8" s="68">
        <f t="shared" si="2"/>
        <v>-24.1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4</v>
      </c>
      <c r="BT8" s="36">
        <v>25</v>
      </c>
      <c r="BU8" s="47" t="s">
        <v>102</v>
      </c>
      <c r="BV8" s="48" t="s">
        <v>80</v>
      </c>
      <c r="BW8" s="48" t="s">
        <v>80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0FBA33D4-DB6B-4D62-906A-8F95F95AE6C1}">
      <formula1>$U$2:$W$2</formula1>
    </dataValidation>
    <dataValidation type="list" showInputMessage="1" showErrorMessage="1" sqref="K4:K30 P4:P30 F4:F30" xr:uid="{EA9D3AEE-9B5F-4B68-8E4A-9AA38966CBA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34673-3D12-4093-8680-39D924DECB62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ただ</v>
      </c>
      <c r="W2" s="16" t="str">
        <f>$P$1</f>
        <v>りくと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150</v>
      </c>
      <c r="G4" s="9">
        <v>1500</v>
      </c>
      <c r="H4" s="9">
        <v>-1000</v>
      </c>
      <c r="I4" s="55"/>
      <c r="J4" s="21">
        <f>IF(COUNTA($F4,$K4,$P4)&gt;0,J3+SUM(G4:I4),"")</f>
        <v>35500</v>
      </c>
      <c r="K4" s="8" t="s">
        <v>150</v>
      </c>
      <c r="L4" s="9">
        <v>-3000</v>
      </c>
      <c r="M4" s="9"/>
      <c r="N4" s="55"/>
      <c r="O4" s="21">
        <f>IF(COUNTA($F4,$K4,$P4)&gt;0,O3+SUM(L4:N4),"")</f>
        <v>32000</v>
      </c>
      <c r="P4" s="8" t="s">
        <v>150</v>
      </c>
      <c r="Q4" s="9">
        <v>1500</v>
      </c>
      <c r="R4" s="9">
        <v>-1000</v>
      </c>
      <c r="S4" s="55"/>
      <c r="T4" s="21">
        <f>IF(COUNTA($F4,$K4,$P4)&gt;0,T3+SUM(Q4:S4),"")</f>
        <v>35500</v>
      </c>
      <c r="U4" s="66">
        <f t="shared" ref="U4:U30" si="0">IF($J4="","",ROUND(($J4-$J$3)/1000,1))</f>
        <v>0.5</v>
      </c>
      <c r="V4" s="67">
        <f t="shared" ref="V4:V30" si="1">IF($O4="","",ROUND(($O4-$O$3)/1000,1))</f>
        <v>-3</v>
      </c>
      <c r="W4" s="68">
        <f t="shared" ref="W4:W30" si="2">IF($T4="","",ROUND(($T4-$T$3)/1000,1))</f>
        <v>0.5</v>
      </c>
      <c r="Y4" s="8" t="s">
        <v>149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148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2</v>
      </c>
      <c r="E5" s="4" t="s">
        <v>139</v>
      </c>
      <c r="F5" s="8" t="s">
        <v>142</v>
      </c>
      <c r="G5" s="9">
        <v>-18000</v>
      </c>
      <c r="H5" s="9"/>
      <c r="I5" s="55">
        <v>-1000</v>
      </c>
      <c r="J5" s="21">
        <f t="shared" ref="J5:J30" si="6">IF(COUNTA($F5,$K5,$P5)&gt;0,J4+SUM(G5:I5),"")</f>
        <v>16500</v>
      </c>
      <c r="K5" s="8"/>
      <c r="L5" s="9"/>
      <c r="M5" s="9">
        <v>-1000</v>
      </c>
      <c r="N5" s="55"/>
      <c r="O5" s="21">
        <f t="shared" ref="O5:O30" si="7">IF(COUNTA($F5,$K5,$P5)&gt;0,O4+SUM(L5:N5),"")</f>
        <v>31000</v>
      </c>
      <c r="P5" s="8" t="s">
        <v>141</v>
      </c>
      <c r="Q5" s="9">
        <v>18000</v>
      </c>
      <c r="R5" s="9">
        <v>3000</v>
      </c>
      <c r="S5" s="55">
        <v>1000</v>
      </c>
      <c r="T5" s="21">
        <f t="shared" ref="T5:T30" si="8">IF(COUNTA($F5,$K5,$P5)&gt;0,T4+SUM(Q5:S5),"")</f>
        <v>57500</v>
      </c>
      <c r="U5" s="66">
        <f t="shared" si="0"/>
        <v>-18.5</v>
      </c>
      <c r="V5" s="67">
        <f t="shared" si="1"/>
        <v>-4</v>
      </c>
      <c r="W5" s="68">
        <f t="shared" si="2"/>
        <v>22.5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6</v>
      </c>
      <c r="BT5" s="36" t="s">
        <v>146</v>
      </c>
      <c r="BU5" s="47" t="s">
        <v>143</v>
      </c>
      <c r="BV5" s="48" t="s">
        <v>102</v>
      </c>
      <c r="BW5" s="48" t="s">
        <v>80</v>
      </c>
      <c r="BX5" s="48" t="s">
        <v>80</v>
      </c>
      <c r="BY5" s="48" t="s">
        <v>82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139</v>
      </c>
      <c r="F6" s="8" t="s">
        <v>150</v>
      </c>
      <c r="G6" s="9">
        <v>-1500</v>
      </c>
      <c r="H6" s="9"/>
      <c r="I6" s="55"/>
      <c r="J6" s="21">
        <f t="shared" si="6"/>
        <v>15000</v>
      </c>
      <c r="K6" s="8" t="s">
        <v>150</v>
      </c>
      <c r="L6" s="9">
        <v>3000</v>
      </c>
      <c r="M6" s="9"/>
      <c r="N6" s="55"/>
      <c r="O6" s="21">
        <f t="shared" si="7"/>
        <v>34000</v>
      </c>
      <c r="P6" s="8" t="s">
        <v>150</v>
      </c>
      <c r="Q6" s="9">
        <v>-1500</v>
      </c>
      <c r="R6" s="9"/>
      <c r="S6" s="55"/>
      <c r="T6" s="21">
        <f t="shared" si="8"/>
        <v>56000</v>
      </c>
      <c r="U6" s="66">
        <f t="shared" si="0"/>
        <v>-20</v>
      </c>
      <c r="V6" s="67">
        <f t="shared" si="1"/>
        <v>-1</v>
      </c>
      <c r="W6" s="68">
        <f t="shared" si="2"/>
        <v>21</v>
      </c>
      <c r="Y6" s="8" t="s">
        <v>148</v>
      </c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148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141</v>
      </c>
      <c r="G7" s="9">
        <v>24000</v>
      </c>
      <c r="H7" s="9"/>
      <c r="I7" s="55">
        <v>0</v>
      </c>
      <c r="J7" s="21">
        <f t="shared" si="6"/>
        <v>39000</v>
      </c>
      <c r="K7" s="8" t="s">
        <v>142</v>
      </c>
      <c r="L7" s="9">
        <v>-24000</v>
      </c>
      <c r="M7" s="9"/>
      <c r="N7" s="55">
        <v>0</v>
      </c>
      <c r="O7" s="21">
        <f t="shared" si="7"/>
        <v>10000</v>
      </c>
      <c r="P7" s="8"/>
      <c r="Q7" s="9"/>
      <c r="R7" s="9"/>
      <c r="S7" s="55"/>
      <c r="T7" s="21">
        <f t="shared" si="8"/>
        <v>56000</v>
      </c>
      <c r="U7" s="66">
        <f t="shared" si="0"/>
        <v>4</v>
      </c>
      <c r="V7" s="67">
        <f t="shared" si="1"/>
        <v>-25</v>
      </c>
      <c r="W7" s="68">
        <f t="shared" si="2"/>
        <v>21</v>
      </c>
      <c r="Y7" s="8"/>
      <c r="Z7" s="41"/>
      <c r="AA7" s="32"/>
      <c r="AB7" s="32"/>
      <c r="AC7" s="32">
        <v>9</v>
      </c>
      <c r="AD7" s="36" t="s">
        <v>146</v>
      </c>
      <c r="AE7" s="47" t="s">
        <v>97</v>
      </c>
      <c r="AF7" s="48" t="s">
        <v>99</v>
      </c>
      <c r="AG7" s="48" t="s">
        <v>105</v>
      </c>
      <c r="AH7" s="48" t="s">
        <v>82</v>
      </c>
      <c r="AI7" s="48" t="s">
        <v>82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1</v>
      </c>
      <c r="D8" s="18">
        <f t="shared" si="5"/>
        <v>0</v>
      </c>
      <c r="E8" s="4" t="s">
        <v>135</v>
      </c>
      <c r="F8" s="8" t="s">
        <v>141</v>
      </c>
      <c r="G8" s="9">
        <v>9600</v>
      </c>
      <c r="H8" s="9">
        <v>1000</v>
      </c>
      <c r="I8" s="55">
        <v>1000</v>
      </c>
      <c r="J8" s="21">
        <f t="shared" si="6"/>
        <v>50600</v>
      </c>
      <c r="K8" s="8"/>
      <c r="L8" s="9"/>
      <c r="M8" s="9">
        <v>-1000</v>
      </c>
      <c r="N8" s="55"/>
      <c r="O8" s="21">
        <f t="shared" si="7"/>
        <v>9000</v>
      </c>
      <c r="P8" s="8" t="s">
        <v>142</v>
      </c>
      <c r="Q8" s="9">
        <v>-9600</v>
      </c>
      <c r="R8" s="9"/>
      <c r="S8" s="55">
        <v>-1000</v>
      </c>
      <c r="T8" s="21">
        <f t="shared" si="8"/>
        <v>45400</v>
      </c>
      <c r="U8" s="66">
        <f t="shared" si="0"/>
        <v>15.6</v>
      </c>
      <c r="V8" s="67">
        <f t="shared" si="1"/>
        <v>-26</v>
      </c>
      <c r="W8" s="68">
        <f t="shared" si="2"/>
        <v>10.4</v>
      </c>
      <c r="Y8" s="8"/>
      <c r="Z8" s="41"/>
      <c r="AA8" s="32"/>
      <c r="AB8" s="32"/>
      <c r="AC8" s="32">
        <v>4</v>
      </c>
      <c r="AD8" s="36">
        <v>25</v>
      </c>
      <c r="AE8" s="47" t="s">
        <v>102</v>
      </c>
      <c r="AF8" s="48" t="s">
        <v>82</v>
      </c>
      <c r="AG8" s="48" t="s">
        <v>82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2</v>
      </c>
      <c r="D9" s="18">
        <f t="shared" si="5"/>
        <v>0</v>
      </c>
      <c r="E9" s="4" t="s">
        <v>135</v>
      </c>
      <c r="F9" s="8" t="s">
        <v>145</v>
      </c>
      <c r="G9" s="9">
        <v>-4000</v>
      </c>
      <c r="H9" s="9"/>
      <c r="I9" s="55">
        <v>-1000</v>
      </c>
      <c r="J9" s="21">
        <f t="shared" si="6"/>
        <v>45600</v>
      </c>
      <c r="K9" s="8" t="s">
        <v>145</v>
      </c>
      <c r="L9" s="9">
        <v>-2400</v>
      </c>
      <c r="M9" s="9"/>
      <c r="N9" s="55">
        <v>-1000</v>
      </c>
      <c r="O9" s="21">
        <f t="shared" si="7"/>
        <v>5600</v>
      </c>
      <c r="P9" s="8" t="s">
        <v>144</v>
      </c>
      <c r="Q9" s="9">
        <v>6400</v>
      </c>
      <c r="R9" s="9"/>
      <c r="S9" s="55">
        <v>2000</v>
      </c>
      <c r="T9" s="21">
        <f t="shared" si="8"/>
        <v>53800</v>
      </c>
      <c r="U9" s="66">
        <f t="shared" si="0"/>
        <v>10.6</v>
      </c>
      <c r="V9" s="67">
        <f t="shared" si="1"/>
        <v>-29.4</v>
      </c>
      <c r="W9" s="68">
        <f t="shared" si="2"/>
        <v>18.8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4</v>
      </c>
      <c r="BT9" s="36">
        <v>25</v>
      </c>
      <c r="BU9" s="47" t="s">
        <v>102</v>
      </c>
      <c r="BV9" s="48" t="s">
        <v>82</v>
      </c>
      <c r="BW9" s="48" t="s">
        <v>82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142</v>
      </c>
      <c r="G10" s="9">
        <v>-24000</v>
      </c>
      <c r="H10" s="9"/>
      <c r="I10" s="55">
        <v>0</v>
      </c>
      <c r="J10" s="21">
        <f t="shared" si="6"/>
        <v>21600</v>
      </c>
      <c r="K10" s="8" t="s">
        <v>141</v>
      </c>
      <c r="L10" s="9">
        <v>24000</v>
      </c>
      <c r="M10" s="9">
        <v>1000</v>
      </c>
      <c r="N10" s="55">
        <v>0</v>
      </c>
      <c r="O10" s="21">
        <f t="shared" si="7"/>
        <v>30600</v>
      </c>
      <c r="P10" s="8"/>
      <c r="Q10" s="9"/>
      <c r="R10" s="9">
        <v>-1000</v>
      </c>
      <c r="S10" s="55"/>
      <c r="T10" s="21">
        <f t="shared" si="8"/>
        <v>52800</v>
      </c>
      <c r="U10" s="66">
        <f t="shared" si="0"/>
        <v>-13.4</v>
      </c>
      <c r="V10" s="67">
        <f t="shared" si="1"/>
        <v>-4.4000000000000004</v>
      </c>
      <c r="W10" s="68">
        <f t="shared" si="2"/>
        <v>17.8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>
        <v>9</v>
      </c>
      <c r="AY10" s="36" t="s">
        <v>146</v>
      </c>
      <c r="AZ10" s="47" t="s">
        <v>97</v>
      </c>
      <c r="BA10" s="48" t="s">
        <v>105</v>
      </c>
      <c r="BB10" s="48" t="s">
        <v>82</v>
      </c>
      <c r="BC10" s="48" t="s">
        <v>87</v>
      </c>
      <c r="BD10" s="48" t="s">
        <v>80</v>
      </c>
      <c r="BE10" s="48" t="s">
        <v>80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9"/>
        <v>3</v>
      </c>
      <c r="C11" s="18">
        <f t="shared" si="4"/>
        <v>1</v>
      </c>
      <c r="D11" s="18">
        <f t="shared" si="5"/>
        <v>0</v>
      </c>
      <c r="E11" s="4" t="s">
        <v>137</v>
      </c>
      <c r="F11" s="8"/>
      <c r="G11" s="9"/>
      <c r="H11" s="9"/>
      <c r="I11" s="55"/>
      <c r="J11" s="21">
        <f t="shared" si="6"/>
        <v>21600</v>
      </c>
      <c r="K11" s="8" t="s">
        <v>141</v>
      </c>
      <c r="L11" s="9">
        <v>18000</v>
      </c>
      <c r="M11" s="9"/>
      <c r="N11" s="55">
        <v>1000</v>
      </c>
      <c r="O11" s="21">
        <f t="shared" si="7"/>
        <v>49600</v>
      </c>
      <c r="P11" s="8" t="s">
        <v>142</v>
      </c>
      <c r="Q11" s="9">
        <v>-18000</v>
      </c>
      <c r="R11" s="9"/>
      <c r="S11" s="55">
        <v>-1000</v>
      </c>
      <c r="T11" s="21">
        <f t="shared" si="8"/>
        <v>33800</v>
      </c>
      <c r="U11" s="66">
        <f t="shared" si="0"/>
        <v>-13.4</v>
      </c>
      <c r="V11" s="67">
        <f t="shared" si="1"/>
        <v>14.6</v>
      </c>
      <c r="W11" s="68">
        <f t="shared" si="2"/>
        <v>-1.2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6</v>
      </c>
      <c r="AY11" s="36" t="s">
        <v>146</v>
      </c>
      <c r="AZ11" s="47" t="s">
        <v>87</v>
      </c>
      <c r="BA11" s="48" t="s">
        <v>87</v>
      </c>
      <c r="BB11" s="48" t="s">
        <v>82</v>
      </c>
      <c r="BC11" s="48" t="s">
        <v>80</v>
      </c>
      <c r="BD11" s="48" t="s">
        <v>80</v>
      </c>
      <c r="BE11" s="48" t="s">
        <v>80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東</v>
      </c>
      <c r="B12" s="18">
        <f t="shared" si="9"/>
        <v>3</v>
      </c>
      <c r="C12" s="18">
        <f t="shared" si="4"/>
        <v>2</v>
      </c>
      <c r="D12" s="18">
        <f t="shared" si="5"/>
        <v>0</v>
      </c>
      <c r="E12" s="4" t="s">
        <v>137</v>
      </c>
      <c r="F12" s="8" t="s">
        <v>145</v>
      </c>
      <c r="G12" s="9">
        <v>-3900</v>
      </c>
      <c r="H12" s="9"/>
      <c r="I12" s="55">
        <v>-1000</v>
      </c>
      <c r="J12" s="21">
        <f t="shared" si="6"/>
        <v>16700</v>
      </c>
      <c r="K12" s="8" t="s">
        <v>144</v>
      </c>
      <c r="L12" s="9">
        <v>7800</v>
      </c>
      <c r="M12" s="9"/>
      <c r="N12" s="55">
        <v>2000</v>
      </c>
      <c r="O12" s="21">
        <f t="shared" si="7"/>
        <v>59400</v>
      </c>
      <c r="P12" s="8" t="s">
        <v>145</v>
      </c>
      <c r="Q12" s="9">
        <v>-3900</v>
      </c>
      <c r="R12" s="9"/>
      <c r="S12" s="55">
        <v>-1000</v>
      </c>
      <c r="T12" s="21">
        <f t="shared" si="8"/>
        <v>28900</v>
      </c>
      <c r="U12" s="66">
        <f t="shared" si="0"/>
        <v>-18.3</v>
      </c>
      <c r="V12" s="67">
        <f t="shared" si="1"/>
        <v>24.4</v>
      </c>
      <c r="W12" s="68">
        <f t="shared" si="2"/>
        <v>-6.1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20</v>
      </c>
      <c r="AZ12" s="47" t="s">
        <v>143</v>
      </c>
      <c r="BA12" s="48" t="s">
        <v>83</v>
      </c>
      <c r="BB12" s="48" t="s">
        <v>82</v>
      </c>
      <c r="BC12" s="48" t="s">
        <v>84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東</v>
      </c>
      <c r="B13" s="18">
        <f t="shared" si="9"/>
        <v>3</v>
      </c>
      <c r="C13" s="18">
        <f t="shared" si="4"/>
        <v>3</v>
      </c>
      <c r="D13" s="18">
        <f t="shared" si="5"/>
        <v>0</v>
      </c>
      <c r="E13" s="4" t="s">
        <v>137</v>
      </c>
      <c r="F13" s="8" t="s">
        <v>141</v>
      </c>
      <c r="G13" s="9">
        <v>8000</v>
      </c>
      <c r="H13" s="9"/>
      <c r="I13" s="55">
        <v>3000</v>
      </c>
      <c r="J13" s="21">
        <f t="shared" si="6"/>
        <v>27700</v>
      </c>
      <c r="K13" s="8"/>
      <c r="L13" s="9"/>
      <c r="M13" s="9"/>
      <c r="N13" s="55"/>
      <c r="O13" s="21">
        <f t="shared" si="7"/>
        <v>59400</v>
      </c>
      <c r="P13" s="8" t="s">
        <v>142</v>
      </c>
      <c r="Q13" s="9">
        <v>-8000</v>
      </c>
      <c r="R13" s="9"/>
      <c r="S13" s="55">
        <v>-3000</v>
      </c>
      <c r="T13" s="21">
        <f t="shared" si="8"/>
        <v>17900</v>
      </c>
      <c r="U13" s="66">
        <f t="shared" si="0"/>
        <v>-7.3</v>
      </c>
      <c r="V13" s="67">
        <f t="shared" si="1"/>
        <v>24.4</v>
      </c>
      <c r="W13" s="68">
        <f t="shared" si="2"/>
        <v>-17.100000000000001</v>
      </c>
      <c r="Y13" s="8"/>
      <c r="Z13" s="41"/>
      <c r="AA13" s="32">
        <v>1</v>
      </c>
      <c r="AB13" s="32"/>
      <c r="AC13" s="32">
        <v>5</v>
      </c>
      <c r="AD13" s="36" t="s">
        <v>146</v>
      </c>
      <c r="AE13" s="47" t="s">
        <v>143</v>
      </c>
      <c r="AF13" s="48" t="s">
        <v>84</v>
      </c>
      <c r="AG13" s="48" t="s">
        <v>82</v>
      </c>
      <c r="AH13" s="48" t="s">
        <v>82</v>
      </c>
      <c r="AI13" s="48" t="s">
        <v>80</v>
      </c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1</v>
      </c>
      <c r="C14" s="18">
        <f t="shared" si="4"/>
        <v>0</v>
      </c>
      <c r="D14" s="18">
        <f t="shared" si="5"/>
        <v>0</v>
      </c>
      <c r="E14" s="4" t="s">
        <v>139</v>
      </c>
      <c r="F14" s="8" t="s">
        <v>142</v>
      </c>
      <c r="G14" s="9">
        <v>-7700</v>
      </c>
      <c r="H14" s="9"/>
      <c r="I14" s="55">
        <v>0</v>
      </c>
      <c r="J14" s="21">
        <f t="shared" si="6"/>
        <v>20000</v>
      </c>
      <c r="K14" s="8"/>
      <c r="L14" s="9"/>
      <c r="M14" s="9"/>
      <c r="N14" s="55"/>
      <c r="O14" s="21">
        <f t="shared" si="7"/>
        <v>59400</v>
      </c>
      <c r="P14" s="8" t="s">
        <v>141</v>
      </c>
      <c r="Q14" s="9">
        <v>7700</v>
      </c>
      <c r="R14" s="9"/>
      <c r="S14" s="55">
        <v>0</v>
      </c>
      <c r="T14" s="21">
        <f t="shared" si="8"/>
        <v>25600</v>
      </c>
      <c r="U14" s="66">
        <f t="shared" si="0"/>
        <v>-15</v>
      </c>
      <c r="V14" s="67">
        <f t="shared" si="1"/>
        <v>24.4</v>
      </c>
      <c r="W14" s="68">
        <f t="shared" si="2"/>
        <v>-9.4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3</v>
      </c>
      <c r="BT14" s="36">
        <v>40</v>
      </c>
      <c r="BU14" s="47" t="s">
        <v>143</v>
      </c>
      <c r="BV14" s="48" t="s">
        <v>147</v>
      </c>
      <c r="BW14" s="48" t="s">
        <v>82</v>
      </c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9"/>
        <v>1</v>
      </c>
      <c r="C15" s="18">
        <f t="shared" si="4"/>
        <v>1</v>
      </c>
      <c r="D15" s="18">
        <f t="shared" si="5"/>
        <v>0</v>
      </c>
      <c r="E15" s="4" t="s">
        <v>139</v>
      </c>
      <c r="F15" s="8" t="s">
        <v>142</v>
      </c>
      <c r="G15" s="9">
        <v>-12000</v>
      </c>
      <c r="H15" s="9"/>
      <c r="I15" s="55">
        <v>-1000</v>
      </c>
      <c r="J15" s="21">
        <f t="shared" si="6"/>
        <v>7000</v>
      </c>
      <c r="K15" s="8"/>
      <c r="L15" s="9"/>
      <c r="M15" s="9"/>
      <c r="N15" s="55"/>
      <c r="O15" s="21">
        <f t="shared" si="7"/>
        <v>59400</v>
      </c>
      <c r="P15" s="8" t="s">
        <v>141</v>
      </c>
      <c r="Q15" s="9">
        <v>12000</v>
      </c>
      <c r="R15" s="9"/>
      <c r="S15" s="55">
        <v>1000</v>
      </c>
      <c r="T15" s="21">
        <f t="shared" si="8"/>
        <v>38600</v>
      </c>
      <c r="U15" s="66">
        <f t="shared" si="0"/>
        <v>-28</v>
      </c>
      <c r="V15" s="67">
        <f t="shared" si="1"/>
        <v>24.4</v>
      </c>
      <c r="W15" s="68">
        <f t="shared" si="2"/>
        <v>3.6</v>
      </c>
      <c r="Y15" s="8"/>
      <c r="Z15" s="41"/>
      <c r="AA15" s="32"/>
      <c r="AB15" s="32">
        <v>1</v>
      </c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>
        <v>1</v>
      </c>
      <c r="BR15" s="32"/>
      <c r="BS15" s="32">
        <v>5</v>
      </c>
      <c r="BT15" s="36" t="s">
        <v>146</v>
      </c>
      <c r="BU15" s="47" t="s">
        <v>143</v>
      </c>
      <c r="BV15" s="48" t="s">
        <v>84</v>
      </c>
      <c r="BW15" s="48" t="s">
        <v>82</v>
      </c>
      <c r="BX15" s="48" t="s">
        <v>82</v>
      </c>
      <c r="BY15" s="48" t="s">
        <v>82</v>
      </c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>南</v>
      </c>
      <c r="B16" s="18">
        <f t="shared" si="9"/>
        <v>1</v>
      </c>
      <c r="C16" s="18">
        <f t="shared" si="4"/>
        <v>2</v>
      </c>
      <c r="D16" s="18">
        <f t="shared" si="5"/>
        <v>0</v>
      </c>
      <c r="E16" s="4" t="s">
        <v>139</v>
      </c>
      <c r="F16" s="8" t="s">
        <v>142</v>
      </c>
      <c r="G16" s="9">
        <v>-8000</v>
      </c>
      <c r="H16" s="9"/>
      <c r="I16" s="55">
        <v>-2000</v>
      </c>
      <c r="J16" s="21">
        <f t="shared" si="6"/>
        <v>-3000</v>
      </c>
      <c r="K16" s="8" t="s">
        <v>141</v>
      </c>
      <c r="L16" s="9">
        <v>8000</v>
      </c>
      <c r="M16" s="9">
        <v>1000</v>
      </c>
      <c r="N16" s="55">
        <v>2000</v>
      </c>
      <c r="O16" s="21">
        <f t="shared" si="7"/>
        <v>70400</v>
      </c>
      <c r="P16" s="8"/>
      <c r="Q16" s="9"/>
      <c r="R16" s="9">
        <v>-1000</v>
      </c>
      <c r="S16" s="55"/>
      <c r="T16" s="21">
        <f t="shared" si="8"/>
        <v>37600</v>
      </c>
      <c r="U16" s="66">
        <f t="shared" si="0"/>
        <v>-38</v>
      </c>
      <c r="V16" s="67">
        <f t="shared" si="1"/>
        <v>35.4</v>
      </c>
      <c r="W16" s="68">
        <f t="shared" si="2"/>
        <v>2.6</v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>
        <v>1</v>
      </c>
      <c r="AX16" s="32">
        <v>5</v>
      </c>
      <c r="AY16" s="36" t="s">
        <v>146</v>
      </c>
      <c r="AZ16" s="47" t="s">
        <v>105</v>
      </c>
      <c r="BA16" s="48" t="s">
        <v>87</v>
      </c>
      <c r="BB16" s="48" t="s">
        <v>87</v>
      </c>
      <c r="BC16" s="48" t="s">
        <v>82</v>
      </c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>
        <v>1</v>
      </c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D7703F20-94AC-40CD-9BE2-A9AEF73F6ACE}">
      <formula1>"ロン,ツモ,放銃,ツモ支払,流局,チョンボ"</formula1>
    </dataValidation>
    <dataValidation type="list" allowBlank="1" showInputMessage="1" showErrorMessage="1" sqref="E4:E30" xr:uid="{34668C34-706C-47D4-8B55-2934D64681E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E7041-D07B-4991-809C-F1F6C96BB1BE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ただ</v>
      </c>
      <c r="W2" s="16" t="str">
        <f>$P$1</f>
        <v>りくと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142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 t="s">
        <v>141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-8</v>
      </c>
      <c r="V4" s="67">
        <f t="shared" ref="V4:V30" si="1">IF($O4="","",ROUND(($O4-$O$3)/1000,1))</f>
        <v>8</v>
      </c>
      <c r="W4" s="68">
        <f t="shared" ref="W4:W30" si="2">IF($T4="","",ROUND(($T4-$T$3)/1000,1))</f>
        <v>0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40</v>
      </c>
      <c r="AZ4" s="47" t="s">
        <v>143</v>
      </c>
      <c r="BA4" s="48" t="s">
        <v>82</v>
      </c>
      <c r="BB4" s="48" t="s">
        <v>82</v>
      </c>
      <c r="BC4" s="48" t="s">
        <v>86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6">IF(COUNTA($F5,$K5,$P5)&gt;0,J4+SUM(G5:I5),"")</f>
        <v>27000</v>
      </c>
      <c r="K5" s="8" t="s">
        <v>141</v>
      </c>
      <c r="L5" s="9">
        <v>12000</v>
      </c>
      <c r="M5" s="9"/>
      <c r="N5" s="55">
        <v>0</v>
      </c>
      <c r="O5" s="21">
        <f t="shared" ref="O5:O30" si="7">IF(COUNTA($F5,$K5,$P5)&gt;0,O4+SUM(L5:N5),"")</f>
        <v>55000</v>
      </c>
      <c r="P5" s="8" t="s">
        <v>142</v>
      </c>
      <c r="Q5" s="9">
        <v>-12000</v>
      </c>
      <c r="R5" s="9"/>
      <c r="S5" s="55">
        <v>0</v>
      </c>
      <c r="T5" s="21">
        <f t="shared" ref="T5:T30" si="8">IF(COUNTA($F5,$K5,$P5)&gt;0,T4+SUM(Q5:S5),"")</f>
        <v>23000</v>
      </c>
      <c r="U5" s="66">
        <f t="shared" si="0"/>
        <v>-8</v>
      </c>
      <c r="V5" s="67">
        <f t="shared" si="1"/>
        <v>20</v>
      </c>
      <c r="W5" s="68">
        <f t="shared" si="2"/>
        <v>-12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82</v>
      </c>
      <c r="BA5" s="48" t="s">
        <v>82</v>
      </c>
      <c r="BB5" s="48" t="s">
        <v>87</v>
      </c>
      <c r="BC5" s="48" t="s">
        <v>143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144</v>
      </c>
      <c r="G6" s="9">
        <v>4000</v>
      </c>
      <c r="H6" s="9"/>
      <c r="I6" s="55">
        <v>1000</v>
      </c>
      <c r="J6" s="21">
        <f t="shared" si="6"/>
        <v>32000</v>
      </c>
      <c r="K6" s="8" t="s">
        <v>145</v>
      </c>
      <c r="L6" s="9">
        <v>-2500</v>
      </c>
      <c r="M6" s="9"/>
      <c r="N6" s="55">
        <v>-500</v>
      </c>
      <c r="O6" s="21">
        <f t="shared" si="7"/>
        <v>52000</v>
      </c>
      <c r="P6" s="8" t="s">
        <v>145</v>
      </c>
      <c r="Q6" s="9">
        <v>-1500</v>
      </c>
      <c r="R6" s="9"/>
      <c r="S6" s="55">
        <v>-500</v>
      </c>
      <c r="T6" s="21">
        <f t="shared" si="8"/>
        <v>21000</v>
      </c>
      <c r="U6" s="66">
        <f t="shared" si="0"/>
        <v>-3</v>
      </c>
      <c r="V6" s="67">
        <f t="shared" si="1"/>
        <v>17</v>
      </c>
      <c r="W6" s="68">
        <f t="shared" si="2"/>
        <v>-14</v>
      </c>
      <c r="Y6" s="8"/>
      <c r="Z6" s="41"/>
      <c r="AA6" s="32">
        <v>1</v>
      </c>
      <c r="AB6" s="32"/>
      <c r="AC6" s="32">
        <v>3</v>
      </c>
      <c r="AD6" s="36">
        <v>30</v>
      </c>
      <c r="AE6" s="47" t="s">
        <v>143</v>
      </c>
      <c r="AF6" s="48" t="s">
        <v>83</v>
      </c>
      <c r="AG6" s="48" t="s">
        <v>82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139</v>
      </c>
      <c r="F7" s="8" t="s">
        <v>142</v>
      </c>
      <c r="G7" s="9">
        <v>-5800</v>
      </c>
      <c r="H7" s="9"/>
      <c r="I7" s="55">
        <v>0</v>
      </c>
      <c r="J7" s="21">
        <f t="shared" si="6"/>
        <v>26200</v>
      </c>
      <c r="K7" s="8"/>
      <c r="L7" s="9"/>
      <c r="M7" s="9"/>
      <c r="N7" s="55"/>
      <c r="O7" s="21">
        <f t="shared" si="7"/>
        <v>52000</v>
      </c>
      <c r="P7" s="8" t="s">
        <v>141</v>
      </c>
      <c r="Q7" s="9">
        <v>5800</v>
      </c>
      <c r="R7" s="9"/>
      <c r="S7" s="55">
        <v>0</v>
      </c>
      <c r="T7" s="21">
        <f t="shared" si="8"/>
        <v>26800</v>
      </c>
      <c r="U7" s="66">
        <f t="shared" si="0"/>
        <v>-8.8000000000000007</v>
      </c>
      <c r="V7" s="67">
        <f t="shared" si="1"/>
        <v>17</v>
      </c>
      <c r="W7" s="68">
        <f t="shared" si="2"/>
        <v>-8.1999999999999993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3</v>
      </c>
      <c r="BT7" s="36">
        <v>30</v>
      </c>
      <c r="BU7" s="47" t="s">
        <v>105</v>
      </c>
      <c r="BV7" s="48" t="s">
        <v>87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139</v>
      </c>
      <c r="F8" s="8" t="s">
        <v>141</v>
      </c>
      <c r="G8" s="9">
        <v>2000</v>
      </c>
      <c r="H8" s="9"/>
      <c r="I8" s="55">
        <v>1000</v>
      </c>
      <c r="J8" s="21">
        <f t="shared" si="6"/>
        <v>29200</v>
      </c>
      <c r="K8" s="8" t="s">
        <v>142</v>
      </c>
      <c r="L8" s="9">
        <v>-2000</v>
      </c>
      <c r="M8" s="9"/>
      <c r="N8" s="55">
        <v>-1000</v>
      </c>
      <c r="O8" s="21">
        <f t="shared" si="7"/>
        <v>49000</v>
      </c>
      <c r="P8" s="8"/>
      <c r="Q8" s="9"/>
      <c r="R8" s="9"/>
      <c r="S8" s="55"/>
      <c r="T8" s="21">
        <f t="shared" si="8"/>
        <v>26800</v>
      </c>
      <c r="U8" s="66">
        <f t="shared" si="0"/>
        <v>-5.8</v>
      </c>
      <c r="V8" s="67">
        <f t="shared" si="1"/>
        <v>14</v>
      </c>
      <c r="W8" s="68">
        <f t="shared" si="2"/>
        <v>-8.1999999999999993</v>
      </c>
      <c r="Y8" s="8"/>
      <c r="Z8" s="41"/>
      <c r="AA8" s="32">
        <v>1</v>
      </c>
      <c r="AB8" s="32"/>
      <c r="AC8" s="32">
        <v>2</v>
      </c>
      <c r="AD8" s="36">
        <v>30</v>
      </c>
      <c r="AE8" s="47" t="s">
        <v>143</v>
      </c>
      <c r="AF8" s="48" t="s">
        <v>84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144</v>
      </c>
      <c r="G9" s="9">
        <v>6000</v>
      </c>
      <c r="H9" s="9"/>
      <c r="I9" s="55">
        <v>0</v>
      </c>
      <c r="J9" s="21">
        <f t="shared" si="6"/>
        <v>35200</v>
      </c>
      <c r="K9" s="8" t="s">
        <v>145</v>
      </c>
      <c r="L9" s="9">
        <v>-3000</v>
      </c>
      <c r="M9" s="9"/>
      <c r="N9" s="55">
        <v>0</v>
      </c>
      <c r="O9" s="21">
        <f t="shared" si="7"/>
        <v>46000</v>
      </c>
      <c r="P9" s="8" t="s">
        <v>145</v>
      </c>
      <c r="Q9" s="9">
        <v>-3000</v>
      </c>
      <c r="R9" s="9"/>
      <c r="S9" s="55">
        <v>0</v>
      </c>
      <c r="T9" s="21">
        <f t="shared" si="8"/>
        <v>23800</v>
      </c>
      <c r="U9" s="66">
        <f t="shared" si="0"/>
        <v>0.2</v>
      </c>
      <c r="V9" s="67">
        <f t="shared" si="1"/>
        <v>11</v>
      </c>
      <c r="W9" s="68">
        <f t="shared" si="2"/>
        <v>-11.2</v>
      </c>
      <c r="Y9" s="8"/>
      <c r="Z9" s="41"/>
      <c r="AA9" s="32"/>
      <c r="AB9" s="32"/>
      <c r="AC9" s="32">
        <v>3</v>
      </c>
      <c r="AD9" s="36">
        <v>30</v>
      </c>
      <c r="AE9" s="47" t="s">
        <v>83</v>
      </c>
      <c r="AF9" s="48" t="s">
        <v>82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1</v>
      </c>
      <c r="D10" s="18">
        <f t="shared" si="5"/>
        <v>0</v>
      </c>
      <c r="E10" s="4" t="s">
        <v>135</v>
      </c>
      <c r="F10" s="8" t="s">
        <v>145</v>
      </c>
      <c r="G10" s="9">
        <v>-10000</v>
      </c>
      <c r="H10" s="9">
        <v>-1000</v>
      </c>
      <c r="I10" s="55">
        <v>-500</v>
      </c>
      <c r="J10" s="21">
        <f t="shared" si="6"/>
        <v>23700</v>
      </c>
      <c r="K10" s="8" t="s">
        <v>145</v>
      </c>
      <c r="L10" s="9">
        <v>-6000</v>
      </c>
      <c r="M10" s="9"/>
      <c r="N10" s="55">
        <v>-500</v>
      </c>
      <c r="O10" s="21">
        <f t="shared" si="7"/>
        <v>39500</v>
      </c>
      <c r="P10" s="8" t="s">
        <v>144</v>
      </c>
      <c r="Q10" s="9">
        <v>16000</v>
      </c>
      <c r="R10" s="9">
        <v>1000</v>
      </c>
      <c r="S10" s="55">
        <v>1000</v>
      </c>
      <c r="T10" s="21">
        <f t="shared" si="8"/>
        <v>41800</v>
      </c>
      <c r="U10" s="66">
        <f t="shared" si="0"/>
        <v>-11.3</v>
      </c>
      <c r="V10" s="67">
        <f t="shared" si="1"/>
        <v>4.5</v>
      </c>
      <c r="W10" s="68">
        <f t="shared" si="2"/>
        <v>6.8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9</v>
      </c>
      <c r="BT10" s="36" t="s">
        <v>146</v>
      </c>
      <c r="BU10" s="47" t="s">
        <v>143</v>
      </c>
      <c r="BV10" s="48" t="s">
        <v>83</v>
      </c>
      <c r="BW10" s="48" t="s">
        <v>85</v>
      </c>
      <c r="BX10" s="48" t="s">
        <v>107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137</v>
      </c>
      <c r="F11" s="8" t="s">
        <v>145</v>
      </c>
      <c r="G11" s="9">
        <v>-3000</v>
      </c>
      <c r="H11" s="9"/>
      <c r="I11" s="55">
        <v>0</v>
      </c>
      <c r="J11" s="21">
        <f t="shared" si="6"/>
        <v>20700</v>
      </c>
      <c r="K11" s="8" t="s">
        <v>145</v>
      </c>
      <c r="L11" s="9">
        <v>-5000</v>
      </c>
      <c r="M11" s="9"/>
      <c r="N11" s="55">
        <v>0</v>
      </c>
      <c r="O11" s="21">
        <f t="shared" si="7"/>
        <v>34500</v>
      </c>
      <c r="P11" s="8" t="s">
        <v>144</v>
      </c>
      <c r="Q11" s="9">
        <v>8000</v>
      </c>
      <c r="R11" s="9"/>
      <c r="S11" s="55">
        <v>0</v>
      </c>
      <c r="T11" s="21">
        <f t="shared" si="8"/>
        <v>49800</v>
      </c>
      <c r="U11" s="66">
        <f t="shared" si="0"/>
        <v>-14.3</v>
      </c>
      <c r="V11" s="67">
        <f t="shared" si="1"/>
        <v>-0.5</v>
      </c>
      <c r="W11" s="68">
        <f t="shared" si="2"/>
        <v>14.8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143</v>
      </c>
      <c r="BV11" s="48" t="s">
        <v>83</v>
      </c>
      <c r="BW11" s="48" t="s">
        <v>87</v>
      </c>
      <c r="BX11" s="48" t="s">
        <v>80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139</v>
      </c>
      <c r="F12" s="8" t="s">
        <v>145</v>
      </c>
      <c r="G12" s="9">
        <v>-4500</v>
      </c>
      <c r="H12" s="9"/>
      <c r="I12" s="55">
        <v>0</v>
      </c>
      <c r="J12" s="21">
        <f t="shared" si="6"/>
        <v>16200</v>
      </c>
      <c r="K12" s="8" t="s">
        <v>144</v>
      </c>
      <c r="L12" s="9">
        <v>12000</v>
      </c>
      <c r="M12" s="9"/>
      <c r="N12" s="55">
        <v>0</v>
      </c>
      <c r="O12" s="21">
        <f t="shared" si="7"/>
        <v>46500</v>
      </c>
      <c r="P12" s="8" t="s">
        <v>145</v>
      </c>
      <c r="Q12" s="9">
        <v>-7500</v>
      </c>
      <c r="R12" s="9"/>
      <c r="S12" s="55">
        <v>0</v>
      </c>
      <c r="T12" s="21">
        <f t="shared" si="8"/>
        <v>42300</v>
      </c>
      <c r="U12" s="66">
        <f t="shared" si="0"/>
        <v>-18.8</v>
      </c>
      <c r="V12" s="67">
        <f t="shared" si="1"/>
        <v>11.5</v>
      </c>
      <c r="W12" s="68">
        <f t="shared" si="2"/>
        <v>7.3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6</v>
      </c>
      <c r="AY12" s="36" t="s">
        <v>146</v>
      </c>
      <c r="AZ12" s="47" t="s">
        <v>143</v>
      </c>
      <c r="BA12" s="48" t="s">
        <v>83</v>
      </c>
      <c r="BB12" s="48" t="s">
        <v>84</v>
      </c>
      <c r="BC12" s="48" t="s">
        <v>80</v>
      </c>
      <c r="BD12" s="48" t="s">
        <v>81</v>
      </c>
      <c r="BE12" s="48" t="s">
        <v>82</v>
      </c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6385971-F0E5-4279-B85B-567394D011F9}">
      <formula1>$U$2:$W$2</formula1>
    </dataValidation>
    <dataValidation type="list" showInputMessage="1" showErrorMessage="1" sqref="K4:K30 P4:P30 F4:F30" xr:uid="{F1704FF8-C69A-4C54-9DB0-475AB83D4E4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C2B82-19C5-4D5C-87DE-F474C4634313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ただ</v>
      </c>
      <c r="W2" s="16" t="str">
        <f>$P$1</f>
        <v>りくと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142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6">
        <f t="shared" ref="U4:U30" si="0">IF($J4="","",ROUND(($J4-$J$3)/1000,1))</f>
        <v>0</v>
      </c>
      <c r="V4" s="67">
        <f t="shared" ref="V4:V30" si="1">IF($O4="","",ROUND(($O4-$O$3)/1000,1))</f>
        <v>12</v>
      </c>
      <c r="W4" s="68">
        <f t="shared" ref="W4:W30" si="2">IF($T4="","",ROUND(($T4-$T$3)/1000,1))</f>
        <v>-12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4</v>
      </c>
      <c r="AY4" s="36">
        <v>30</v>
      </c>
      <c r="AZ4" s="47" t="s">
        <v>105</v>
      </c>
      <c r="BA4" s="48" t="s">
        <v>87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6">IF(COUNTA($F5,$K5,$P5)&gt;0,J4+SUM(G5:I5),"")</f>
        <v>35000</v>
      </c>
      <c r="K5" s="8" t="s">
        <v>142</v>
      </c>
      <c r="L5" s="9">
        <v>-12000</v>
      </c>
      <c r="M5" s="9"/>
      <c r="N5" s="55">
        <v>-1000</v>
      </c>
      <c r="O5" s="21">
        <f t="shared" ref="O5:O30" si="7">IF(COUNTA($F5,$K5,$P5)&gt;0,O4+SUM(L5:N5),"")</f>
        <v>34000</v>
      </c>
      <c r="P5" s="8" t="s">
        <v>141</v>
      </c>
      <c r="Q5" s="9">
        <v>12000</v>
      </c>
      <c r="R5" s="9"/>
      <c r="S5" s="55">
        <v>1000</v>
      </c>
      <c r="T5" s="21">
        <f t="shared" ref="T5:T30" si="8">IF(COUNTA($F5,$K5,$P5)&gt;0,T4+SUM(Q5:S5),"")</f>
        <v>36000</v>
      </c>
      <c r="U5" s="66">
        <f t="shared" si="0"/>
        <v>0</v>
      </c>
      <c r="V5" s="67">
        <f t="shared" si="1"/>
        <v>-1</v>
      </c>
      <c r="W5" s="68">
        <f t="shared" si="2"/>
        <v>1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6</v>
      </c>
      <c r="BT5" s="36" t="s">
        <v>146</v>
      </c>
      <c r="BU5" s="47" t="s">
        <v>105</v>
      </c>
      <c r="BV5" s="48" t="s">
        <v>87</v>
      </c>
      <c r="BW5" s="48" t="s">
        <v>87</v>
      </c>
      <c r="BX5" s="48" t="s">
        <v>80</v>
      </c>
      <c r="BY5" s="48" t="s">
        <v>80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142</v>
      </c>
      <c r="G6" s="9">
        <v>-8000</v>
      </c>
      <c r="H6" s="9"/>
      <c r="I6" s="55">
        <v>0</v>
      </c>
      <c r="J6" s="21">
        <f t="shared" si="6"/>
        <v>27000</v>
      </c>
      <c r="K6" s="8" t="s">
        <v>141</v>
      </c>
      <c r="L6" s="9">
        <v>8000</v>
      </c>
      <c r="M6" s="9"/>
      <c r="N6" s="55">
        <v>0</v>
      </c>
      <c r="O6" s="21">
        <f t="shared" si="7"/>
        <v>42000</v>
      </c>
      <c r="P6" s="8"/>
      <c r="Q6" s="9"/>
      <c r="R6" s="9"/>
      <c r="S6" s="55"/>
      <c r="T6" s="21">
        <f t="shared" si="8"/>
        <v>36000</v>
      </c>
      <c r="U6" s="66">
        <f t="shared" si="0"/>
        <v>-8</v>
      </c>
      <c r="V6" s="67">
        <f t="shared" si="1"/>
        <v>7</v>
      </c>
      <c r="W6" s="68">
        <f t="shared" si="2"/>
        <v>1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146</v>
      </c>
      <c r="AZ6" s="47" t="s">
        <v>143</v>
      </c>
      <c r="BA6" s="48" t="s">
        <v>82</v>
      </c>
      <c r="BB6" s="48" t="s">
        <v>80</v>
      </c>
      <c r="BC6" s="48" t="s">
        <v>93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142</v>
      </c>
      <c r="G7" s="9">
        <v>-8000</v>
      </c>
      <c r="H7" s="9">
        <v>-1000</v>
      </c>
      <c r="I7" s="55">
        <v>0</v>
      </c>
      <c r="J7" s="21">
        <f t="shared" si="6"/>
        <v>18000</v>
      </c>
      <c r="K7" s="8"/>
      <c r="L7" s="9"/>
      <c r="M7" s="9"/>
      <c r="N7" s="55"/>
      <c r="O7" s="21">
        <f t="shared" si="7"/>
        <v>42000</v>
      </c>
      <c r="P7" s="8" t="s">
        <v>141</v>
      </c>
      <c r="Q7" s="9">
        <v>8000</v>
      </c>
      <c r="R7" s="9">
        <v>1000</v>
      </c>
      <c r="S7" s="55">
        <v>0</v>
      </c>
      <c r="T7" s="21">
        <f t="shared" si="8"/>
        <v>45000</v>
      </c>
      <c r="U7" s="66">
        <f t="shared" si="0"/>
        <v>-17</v>
      </c>
      <c r="V7" s="67">
        <f t="shared" si="1"/>
        <v>7</v>
      </c>
      <c r="W7" s="68">
        <f t="shared" si="2"/>
        <v>10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5</v>
      </c>
      <c r="BT7" s="36" t="s">
        <v>146</v>
      </c>
      <c r="BU7" s="47" t="s">
        <v>105</v>
      </c>
      <c r="BV7" s="48" t="s">
        <v>82</v>
      </c>
      <c r="BW7" s="48" t="s">
        <v>87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137</v>
      </c>
      <c r="F8" s="8"/>
      <c r="G8" s="9"/>
      <c r="H8" s="9"/>
      <c r="I8" s="55"/>
      <c r="J8" s="21">
        <f t="shared" si="6"/>
        <v>18000</v>
      </c>
      <c r="K8" s="8" t="s">
        <v>141</v>
      </c>
      <c r="L8" s="9">
        <v>18000</v>
      </c>
      <c r="M8" s="9"/>
      <c r="N8" s="55">
        <v>0</v>
      </c>
      <c r="O8" s="21">
        <f t="shared" si="7"/>
        <v>60000</v>
      </c>
      <c r="P8" s="8" t="s">
        <v>142</v>
      </c>
      <c r="Q8" s="9">
        <v>-18000</v>
      </c>
      <c r="R8" s="9"/>
      <c r="S8" s="55">
        <v>0</v>
      </c>
      <c r="T8" s="21">
        <f t="shared" si="8"/>
        <v>27000</v>
      </c>
      <c r="U8" s="66">
        <f t="shared" si="0"/>
        <v>-17</v>
      </c>
      <c r="V8" s="67">
        <f t="shared" si="1"/>
        <v>25</v>
      </c>
      <c r="W8" s="68">
        <f t="shared" si="2"/>
        <v>-8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6</v>
      </c>
      <c r="AY8" s="36" t="s">
        <v>146</v>
      </c>
      <c r="AZ8" s="47" t="s">
        <v>105</v>
      </c>
      <c r="BA8" s="48" t="s">
        <v>87</v>
      </c>
      <c r="BB8" s="48" t="s">
        <v>82</v>
      </c>
      <c r="BC8" s="48" t="s">
        <v>80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137</v>
      </c>
      <c r="F9" s="8" t="s">
        <v>144</v>
      </c>
      <c r="G9" s="9">
        <v>12000</v>
      </c>
      <c r="H9" s="9"/>
      <c r="I9" s="55">
        <v>1000</v>
      </c>
      <c r="J9" s="21">
        <f t="shared" si="6"/>
        <v>31000</v>
      </c>
      <c r="K9" s="8" t="s">
        <v>145</v>
      </c>
      <c r="L9" s="9">
        <v>-7500</v>
      </c>
      <c r="M9" s="9"/>
      <c r="N9" s="55">
        <v>-500</v>
      </c>
      <c r="O9" s="21">
        <f t="shared" si="7"/>
        <v>52000</v>
      </c>
      <c r="P9" s="8" t="s">
        <v>145</v>
      </c>
      <c r="Q9" s="9">
        <v>-4500</v>
      </c>
      <c r="R9" s="9"/>
      <c r="S9" s="55">
        <v>-500</v>
      </c>
      <c r="T9" s="21">
        <f t="shared" si="8"/>
        <v>22000</v>
      </c>
      <c r="U9" s="66">
        <f t="shared" si="0"/>
        <v>-4</v>
      </c>
      <c r="V9" s="67">
        <f t="shared" si="1"/>
        <v>17</v>
      </c>
      <c r="W9" s="68">
        <f t="shared" si="2"/>
        <v>-13</v>
      </c>
      <c r="Y9" s="8"/>
      <c r="Z9" s="41"/>
      <c r="AA9" s="32"/>
      <c r="AB9" s="32">
        <v>1</v>
      </c>
      <c r="AC9" s="32">
        <v>6</v>
      </c>
      <c r="AD9" s="36" t="s">
        <v>146</v>
      </c>
      <c r="AE9" s="47" t="s">
        <v>87</v>
      </c>
      <c r="AF9" s="48" t="s">
        <v>105</v>
      </c>
      <c r="AG9" s="48" t="s">
        <v>82</v>
      </c>
      <c r="AH9" s="48" t="s">
        <v>82</v>
      </c>
      <c r="AI9" s="48" t="s">
        <v>82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139</v>
      </c>
      <c r="F10" s="8"/>
      <c r="G10" s="9"/>
      <c r="H10" s="9"/>
      <c r="I10" s="55"/>
      <c r="J10" s="21">
        <f t="shared" si="6"/>
        <v>31000</v>
      </c>
      <c r="K10" s="8" t="s">
        <v>142</v>
      </c>
      <c r="L10" s="9">
        <v>-3900</v>
      </c>
      <c r="M10" s="9"/>
      <c r="N10" s="55">
        <v>0</v>
      </c>
      <c r="O10" s="21">
        <f t="shared" si="7"/>
        <v>48100</v>
      </c>
      <c r="P10" s="8" t="s">
        <v>141</v>
      </c>
      <c r="Q10" s="9">
        <v>3900</v>
      </c>
      <c r="R10" s="9"/>
      <c r="S10" s="55">
        <v>0</v>
      </c>
      <c r="T10" s="21">
        <f t="shared" si="8"/>
        <v>25900</v>
      </c>
      <c r="U10" s="66">
        <f t="shared" si="0"/>
        <v>-4</v>
      </c>
      <c r="V10" s="67">
        <f t="shared" si="1"/>
        <v>13.1</v>
      </c>
      <c r="W10" s="68">
        <f t="shared" si="2"/>
        <v>-9.1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2</v>
      </c>
      <c r="BT10" s="36">
        <v>40</v>
      </c>
      <c r="BU10" s="47" t="s">
        <v>143</v>
      </c>
      <c r="BV10" s="48" t="s">
        <v>87</v>
      </c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139</v>
      </c>
      <c r="F11" s="8"/>
      <c r="G11" s="9"/>
      <c r="H11" s="9"/>
      <c r="I11" s="55"/>
      <c r="J11" s="21">
        <f t="shared" si="6"/>
        <v>31000</v>
      </c>
      <c r="K11" s="8" t="s">
        <v>141</v>
      </c>
      <c r="L11" s="9">
        <v>12000</v>
      </c>
      <c r="M11" s="9"/>
      <c r="N11" s="55">
        <v>1000</v>
      </c>
      <c r="O11" s="21">
        <f t="shared" si="7"/>
        <v>61100</v>
      </c>
      <c r="P11" s="8" t="s">
        <v>142</v>
      </c>
      <c r="Q11" s="9">
        <v>-12000</v>
      </c>
      <c r="R11" s="9"/>
      <c r="S11" s="55">
        <v>-1000</v>
      </c>
      <c r="T11" s="21">
        <f t="shared" si="8"/>
        <v>12900</v>
      </c>
      <c r="U11" s="66">
        <f t="shared" si="0"/>
        <v>-4</v>
      </c>
      <c r="V11" s="67">
        <f t="shared" si="1"/>
        <v>26.1</v>
      </c>
      <c r="W11" s="68">
        <f t="shared" si="2"/>
        <v>-22.1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6</v>
      </c>
      <c r="AY11" s="36" t="s">
        <v>146</v>
      </c>
      <c r="AZ11" s="47" t="s">
        <v>143</v>
      </c>
      <c r="BA11" s="48" t="s">
        <v>102</v>
      </c>
      <c r="BB11" s="48" t="s">
        <v>80</v>
      </c>
      <c r="BC11" s="48" t="s">
        <v>80</v>
      </c>
      <c r="BD11" s="48" t="s">
        <v>82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135</v>
      </c>
      <c r="F12" s="8" t="s">
        <v>141</v>
      </c>
      <c r="G12" s="9">
        <v>2000</v>
      </c>
      <c r="H12" s="9"/>
      <c r="I12" s="55">
        <v>0</v>
      </c>
      <c r="J12" s="21">
        <f t="shared" si="6"/>
        <v>33000</v>
      </c>
      <c r="K12" s="8" t="s">
        <v>142</v>
      </c>
      <c r="L12" s="9">
        <v>-2000</v>
      </c>
      <c r="M12" s="9"/>
      <c r="N12" s="55">
        <v>0</v>
      </c>
      <c r="O12" s="21">
        <f t="shared" si="7"/>
        <v>59100</v>
      </c>
      <c r="P12" s="8"/>
      <c r="Q12" s="9"/>
      <c r="R12" s="9"/>
      <c r="S12" s="55"/>
      <c r="T12" s="21">
        <f t="shared" si="8"/>
        <v>12900</v>
      </c>
      <c r="U12" s="66">
        <f t="shared" si="0"/>
        <v>-2</v>
      </c>
      <c r="V12" s="67">
        <f t="shared" si="1"/>
        <v>24.1</v>
      </c>
      <c r="W12" s="68">
        <f t="shared" si="2"/>
        <v>-22.1</v>
      </c>
      <c r="Y12" s="8"/>
      <c r="Z12" s="41"/>
      <c r="AA12" s="32"/>
      <c r="AB12" s="32"/>
      <c r="AC12" s="32">
        <v>1</v>
      </c>
      <c r="AD12" s="36">
        <v>40</v>
      </c>
      <c r="AE12" s="47" t="s">
        <v>87</v>
      </c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1</v>
      </c>
      <c r="D13" s="18">
        <f t="shared" si="5"/>
        <v>0</v>
      </c>
      <c r="E13" s="4" t="s">
        <v>135</v>
      </c>
      <c r="F13" s="8" t="s">
        <v>150</v>
      </c>
      <c r="G13" s="9">
        <v>0</v>
      </c>
      <c r="H13" s="9"/>
      <c r="I13" s="55"/>
      <c r="J13" s="21">
        <f t="shared" si="6"/>
        <v>33000</v>
      </c>
      <c r="K13" s="8" t="s">
        <v>150</v>
      </c>
      <c r="L13" s="9">
        <v>0</v>
      </c>
      <c r="M13" s="9">
        <v>-1000</v>
      </c>
      <c r="N13" s="55"/>
      <c r="O13" s="21">
        <f t="shared" si="7"/>
        <v>58100</v>
      </c>
      <c r="P13" s="8" t="s">
        <v>150</v>
      </c>
      <c r="Q13" s="9">
        <v>0</v>
      </c>
      <c r="R13" s="9"/>
      <c r="S13" s="55"/>
      <c r="T13" s="21">
        <f t="shared" si="8"/>
        <v>12900</v>
      </c>
      <c r="U13" s="66">
        <f t="shared" si="0"/>
        <v>-2</v>
      </c>
      <c r="V13" s="67">
        <f t="shared" si="1"/>
        <v>23.1</v>
      </c>
      <c r="W13" s="68">
        <f t="shared" si="2"/>
        <v>-22.1</v>
      </c>
      <c r="Y13" s="8" t="s">
        <v>149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149</v>
      </c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149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2</v>
      </c>
      <c r="D14" s="18">
        <f t="shared" si="5"/>
        <v>1</v>
      </c>
      <c r="E14" s="4" t="s">
        <v>135</v>
      </c>
      <c r="F14" s="8" t="s">
        <v>144</v>
      </c>
      <c r="G14" s="9">
        <v>24000</v>
      </c>
      <c r="H14" s="9">
        <v>3000</v>
      </c>
      <c r="I14" s="55">
        <v>2000</v>
      </c>
      <c r="J14" s="21">
        <f t="shared" si="6"/>
        <v>62000</v>
      </c>
      <c r="K14" s="8" t="s">
        <v>145</v>
      </c>
      <c r="L14" s="9">
        <v>-12000</v>
      </c>
      <c r="M14" s="9">
        <v>-1000</v>
      </c>
      <c r="N14" s="55">
        <v>-1000</v>
      </c>
      <c r="O14" s="21">
        <f t="shared" si="7"/>
        <v>44100</v>
      </c>
      <c r="P14" s="8" t="s">
        <v>145</v>
      </c>
      <c r="Q14" s="9">
        <v>-12000</v>
      </c>
      <c r="R14" s="9">
        <v>-1000</v>
      </c>
      <c r="S14" s="55">
        <v>-1000</v>
      </c>
      <c r="T14" s="21">
        <f t="shared" si="8"/>
        <v>-1100</v>
      </c>
      <c r="U14" s="66">
        <f t="shared" si="0"/>
        <v>27</v>
      </c>
      <c r="V14" s="67">
        <f t="shared" si="1"/>
        <v>9.1</v>
      </c>
      <c r="W14" s="68">
        <f t="shared" si="2"/>
        <v>-36.1</v>
      </c>
      <c r="Y14" s="8"/>
      <c r="Z14" s="41"/>
      <c r="AA14" s="32"/>
      <c r="AB14" s="32"/>
      <c r="AC14" s="32">
        <v>8</v>
      </c>
      <c r="AD14" s="36" t="s">
        <v>146</v>
      </c>
      <c r="AE14" s="47" t="s">
        <v>105</v>
      </c>
      <c r="AF14" s="48" t="s">
        <v>87</v>
      </c>
      <c r="AG14" s="48" t="s">
        <v>87</v>
      </c>
      <c r="AH14" s="48" t="s">
        <v>80</v>
      </c>
      <c r="AI14" s="48" t="s">
        <v>80</v>
      </c>
      <c r="AJ14" s="48" t="s">
        <v>80</v>
      </c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FDFD4827-647B-4894-9C41-2C664C1CA095}">
      <formula1>"ロン,ツモ,放銃,ツモ支払,流局,チョンボ"</formula1>
    </dataValidation>
    <dataValidation type="list" allowBlank="1" showInputMessage="1" showErrorMessage="1" sqref="E4:E30" xr:uid="{5A4191A3-5401-436D-BFCF-A3715D57BDC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2018-12-21T18:32:49Z</dcterms:modified>
</cp:coreProperties>
</file>