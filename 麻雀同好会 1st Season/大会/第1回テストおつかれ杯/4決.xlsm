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第1回テストおつかれ杯\"/>
    </mc:Choice>
  </mc:AlternateContent>
  <xr:revisionPtr revIDLastSave="0" documentId="13_ncr:1_{895FBF0A-F347-434E-887D-E83BA751C21D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25" r:id="rId1"/>
    <sheet name="Sheet2" sheetId="2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25" l="1"/>
  <c r="V30" i="25"/>
  <c r="U30" i="25"/>
  <c r="W29" i="25"/>
  <c r="V29" i="25"/>
  <c r="U29" i="25"/>
  <c r="W28" i="25"/>
  <c r="V28" i="25"/>
  <c r="U28" i="25"/>
  <c r="W27" i="25"/>
  <c r="V27" i="25"/>
  <c r="U27" i="25"/>
  <c r="W26" i="25"/>
  <c r="V26" i="25"/>
  <c r="U26" i="25"/>
  <c r="W25" i="25"/>
  <c r="V25" i="25"/>
  <c r="U25" i="25"/>
  <c r="W24" i="25"/>
  <c r="V24" i="25"/>
  <c r="U24" i="25"/>
  <c r="W23" i="25"/>
  <c r="V23" i="25"/>
  <c r="U23" i="25"/>
  <c r="W22" i="25"/>
  <c r="V22" i="25"/>
  <c r="U22" i="25"/>
  <c r="W21" i="25"/>
  <c r="V21" i="25"/>
  <c r="U21" i="25"/>
  <c r="W20" i="25"/>
  <c r="V20" i="25"/>
  <c r="U20" i="25"/>
  <c r="W19" i="25"/>
  <c r="V19" i="25"/>
  <c r="U19" i="25"/>
  <c r="W18" i="25"/>
  <c r="V18" i="25"/>
  <c r="U18" i="25"/>
  <c r="W17" i="25"/>
  <c r="V17" i="25"/>
  <c r="U17" i="25"/>
  <c r="W16" i="25"/>
  <c r="V16" i="25"/>
  <c r="U16" i="25"/>
  <c r="W15" i="25"/>
  <c r="V15" i="25"/>
  <c r="U15" i="25"/>
  <c r="W14" i="25"/>
  <c r="V14" i="25"/>
  <c r="U14" i="25"/>
  <c r="W13" i="25"/>
  <c r="V13" i="25"/>
  <c r="U13" i="25"/>
  <c r="W12" i="25"/>
  <c r="V12" i="25"/>
  <c r="U12" i="25"/>
  <c r="W11" i="25"/>
  <c r="V11" i="25"/>
  <c r="U11" i="25"/>
  <c r="W10" i="25"/>
  <c r="V10" i="25"/>
  <c r="U10" i="25"/>
  <c r="W9" i="25"/>
  <c r="V9" i="25"/>
  <c r="U9" i="25"/>
  <c r="W8" i="25"/>
  <c r="V8" i="25"/>
  <c r="U8" i="25"/>
  <c r="W7" i="25"/>
  <c r="V7" i="25"/>
  <c r="U7" i="25"/>
  <c r="W6" i="25"/>
  <c r="V6" i="25"/>
  <c r="U6" i="25"/>
  <c r="W5" i="25"/>
  <c r="V5" i="25"/>
  <c r="U5" i="25"/>
  <c r="W4" i="25"/>
  <c r="V4" i="25"/>
  <c r="U4" i="25"/>
  <c r="W3" i="25"/>
  <c r="V3" i="25"/>
  <c r="U3" i="25"/>
  <c r="W30" i="26"/>
  <c r="V30" i="26"/>
  <c r="U30" i="26"/>
  <c r="W29" i="26"/>
  <c r="V29" i="26"/>
  <c r="U29" i="26"/>
  <c r="W28" i="26"/>
  <c r="V28" i="26"/>
  <c r="U28" i="26"/>
  <c r="W27" i="26"/>
  <c r="V27" i="26"/>
  <c r="U27" i="26"/>
  <c r="W26" i="26"/>
  <c r="V26" i="26"/>
  <c r="U26" i="26"/>
  <c r="W25" i="26"/>
  <c r="V25" i="26"/>
  <c r="U25" i="26"/>
  <c r="W24" i="26"/>
  <c r="V24" i="26"/>
  <c r="U24" i="26"/>
  <c r="W23" i="26"/>
  <c r="V23" i="26"/>
  <c r="U23" i="26"/>
  <c r="W22" i="26"/>
  <c r="V22" i="26"/>
  <c r="U22" i="26"/>
  <c r="W21" i="26"/>
  <c r="V21" i="26"/>
  <c r="U21" i="26"/>
  <c r="W20" i="26"/>
  <c r="V20" i="26"/>
  <c r="U20" i="26"/>
  <c r="W19" i="26"/>
  <c r="V19" i="26"/>
  <c r="U19" i="26"/>
  <c r="W18" i="26"/>
  <c r="V18" i="26"/>
  <c r="U18" i="26"/>
  <c r="W17" i="26"/>
  <c r="V17" i="26"/>
  <c r="U17" i="26"/>
  <c r="W16" i="26"/>
  <c r="V16" i="26"/>
  <c r="U16" i="26"/>
  <c r="W15" i="26"/>
  <c r="V15" i="26"/>
  <c r="U15" i="26"/>
  <c r="W14" i="26"/>
  <c r="V14" i="26"/>
  <c r="U14" i="26"/>
  <c r="W13" i="26"/>
  <c r="V13" i="26"/>
  <c r="U13" i="26"/>
  <c r="W12" i="26"/>
  <c r="V12" i="26"/>
  <c r="U12" i="26"/>
  <c r="W11" i="26"/>
  <c r="V11" i="26"/>
  <c r="U11" i="26"/>
  <c r="W10" i="26"/>
  <c r="V10" i="26"/>
  <c r="U10" i="26"/>
  <c r="W9" i="26"/>
  <c r="V9" i="26"/>
  <c r="U9" i="26"/>
  <c r="W8" i="26"/>
  <c r="V8" i="26"/>
  <c r="U8" i="26"/>
  <c r="W7" i="26"/>
  <c r="V7" i="26"/>
  <c r="U7" i="26"/>
  <c r="W6" i="26"/>
  <c r="V6" i="26"/>
  <c r="U6" i="26"/>
  <c r="W5" i="26"/>
  <c r="V5" i="26"/>
  <c r="U5" i="26"/>
  <c r="W4" i="26"/>
  <c r="V4" i="26"/>
  <c r="U4" i="26"/>
  <c r="W3" i="26"/>
  <c r="V3" i="26"/>
  <c r="U3" i="26"/>
  <c r="T30" i="26" l="1"/>
  <c r="O30" i="26"/>
  <c r="J30" i="26"/>
  <c r="D30" i="26"/>
  <c r="C30" i="26"/>
  <c r="B30" i="26"/>
  <c r="A30" i="26"/>
  <c r="T29" i="26"/>
  <c r="O29" i="26"/>
  <c r="J29" i="26"/>
  <c r="D29" i="26"/>
  <c r="C29" i="26"/>
  <c r="B29" i="26"/>
  <c r="A29" i="26"/>
  <c r="T28" i="26"/>
  <c r="O28" i="26"/>
  <c r="J28" i="26"/>
  <c r="D28" i="26"/>
  <c r="C28" i="26"/>
  <c r="B28" i="26"/>
  <c r="A28" i="26"/>
  <c r="T27" i="26"/>
  <c r="O27" i="26"/>
  <c r="J27" i="26"/>
  <c r="D27" i="26"/>
  <c r="C27" i="26"/>
  <c r="B27" i="26"/>
  <c r="A27" i="26"/>
  <c r="T26" i="26"/>
  <c r="O26" i="26"/>
  <c r="J26" i="26"/>
  <c r="D26" i="26"/>
  <c r="C26" i="26"/>
  <c r="B26" i="26"/>
  <c r="A26" i="26"/>
  <c r="T25" i="26"/>
  <c r="O25" i="26"/>
  <c r="J25" i="26"/>
  <c r="D25" i="26"/>
  <c r="C25" i="26"/>
  <c r="B25" i="26"/>
  <c r="A25" i="26"/>
  <c r="T24" i="26"/>
  <c r="O24" i="26"/>
  <c r="J24" i="26"/>
  <c r="D24" i="26"/>
  <c r="C24" i="26"/>
  <c r="B24" i="26"/>
  <c r="A24" i="26"/>
  <c r="T23" i="26"/>
  <c r="O23" i="26"/>
  <c r="J23" i="26"/>
  <c r="D23" i="26"/>
  <c r="C23" i="26"/>
  <c r="B23" i="26"/>
  <c r="A23" i="26"/>
  <c r="T22" i="26"/>
  <c r="O22" i="26"/>
  <c r="J22" i="26"/>
  <c r="D22" i="26"/>
  <c r="C22" i="26"/>
  <c r="B22" i="26"/>
  <c r="A22" i="26"/>
  <c r="T21" i="26"/>
  <c r="O21" i="26"/>
  <c r="J21" i="26"/>
  <c r="D21" i="26"/>
  <c r="C21" i="26"/>
  <c r="B21" i="26"/>
  <c r="A21" i="26"/>
  <c r="T20" i="26"/>
  <c r="O20" i="26"/>
  <c r="J20" i="26"/>
  <c r="D20" i="26"/>
  <c r="C20" i="26"/>
  <c r="B20" i="26"/>
  <c r="A20" i="26"/>
  <c r="T19" i="26"/>
  <c r="O19" i="26"/>
  <c r="J19" i="26"/>
  <c r="D19" i="26"/>
  <c r="C19" i="26"/>
  <c r="B19" i="26"/>
  <c r="A19" i="26"/>
  <c r="T18" i="26"/>
  <c r="O18" i="26"/>
  <c r="J18" i="26"/>
  <c r="D18" i="26"/>
  <c r="C18" i="26"/>
  <c r="B18" i="26"/>
  <c r="A18" i="26"/>
  <c r="T17" i="26"/>
  <c r="O17" i="26"/>
  <c r="J17" i="26"/>
  <c r="D17" i="26"/>
  <c r="C17" i="26"/>
  <c r="B17" i="26"/>
  <c r="A17" i="26"/>
  <c r="T16" i="26"/>
  <c r="O16" i="26"/>
  <c r="J16" i="26"/>
  <c r="D16" i="26"/>
  <c r="C16" i="26"/>
  <c r="B16" i="26"/>
  <c r="A16" i="26"/>
  <c r="T15" i="26"/>
  <c r="O15" i="26"/>
  <c r="J15" i="26"/>
  <c r="D15" i="26"/>
  <c r="C15" i="26"/>
  <c r="B15" i="26"/>
  <c r="A15" i="26"/>
  <c r="D14" i="26"/>
  <c r="C14" i="26"/>
  <c r="D13" i="26"/>
  <c r="C13" i="26"/>
  <c r="D12" i="26"/>
  <c r="C12" i="26"/>
  <c r="D11" i="26"/>
  <c r="D10" i="26"/>
  <c r="C10" i="26"/>
  <c r="C11" i="26" s="1"/>
  <c r="D9" i="26"/>
  <c r="D8" i="26"/>
  <c r="D7" i="26"/>
  <c r="D6" i="26"/>
  <c r="C6" i="26"/>
  <c r="C7" i="26" s="1"/>
  <c r="C8" i="26" s="1"/>
  <c r="C9" i="26" s="1"/>
  <c r="B6" i="26"/>
  <c r="B7" i="26" s="1"/>
  <c r="J5" i="26"/>
  <c r="D5" i="26"/>
  <c r="C5" i="26"/>
  <c r="B5" i="26"/>
  <c r="A5" i="26" s="1"/>
  <c r="A6" i="26" s="1"/>
  <c r="T4" i="26"/>
  <c r="O4" i="26"/>
  <c r="O5" i="26" s="1"/>
  <c r="J4" i="26"/>
  <c r="W2" i="26"/>
  <c r="V2" i="26"/>
  <c r="U2" i="26"/>
  <c r="BO1" i="26"/>
  <c r="AT1" i="26"/>
  <c r="Y1" i="26"/>
  <c r="O6" i="26" l="1"/>
  <c r="B8" i="26"/>
  <c r="A8" i="26" s="1"/>
  <c r="A7" i="26"/>
  <c r="J6" i="26"/>
  <c r="T5" i="26"/>
  <c r="T30" i="25"/>
  <c r="O30" i="25"/>
  <c r="J30" i="25"/>
  <c r="D30" i="25"/>
  <c r="C30" i="25"/>
  <c r="B30" i="25"/>
  <c r="A30" i="25"/>
  <c r="T29" i="25"/>
  <c r="O29" i="25"/>
  <c r="J29" i="25"/>
  <c r="D29" i="25"/>
  <c r="C29" i="25"/>
  <c r="B29" i="25"/>
  <c r="A29" i="25"/>
  <c r="T28" i="25"/>
  <c r="O28" i="25"/>
  <c r="J28" i="25"/>
  <c r="D28" i="25"/>
  <c r="C28" i="25"/>
  <c r="B28" i="25"/>
  <c r="A28" i="25"/>
  <c r="T27" i="25"/>
  <c r="O27" i="25"/>
  <c r="J27" i="25"/>
  <c r="D27" i="25"/>
  <c r="C27" i="25"/>
  <c r="B27" i="25"/>
  <c r="A27" i="25"/>
  <c r="T26" i="25"/>
  <c r="O26" i="25"/>
  <c r="J26" i="25"/>
  <c r="D26" i="25"/>
  <c r="C26" i="25"/>
  <c r="B26" i="25"/>
  <c r="A26" i="25"/>
  <c r="T25" i="25"/>
  <c r="O25" i="25"/>
  <c r="J25" i="25"/>
  <c r="D25" i="25"/>
  <c r="C25" i="25"/>
  <c r="B25" i="25"/>
  <c r="A25" i="25"/>
  <c r="T24" i="25"/>
  <c r="O24" i="25"/>
  <c r="J24" i="25"/>
  <c r="D24" i="25"/>
  <c r="C24" i="25"/>
  <c r="B24" i="25"/>
  <c r="A24" i="25"/>
  <c r="T23" i="25"/>
  <c r="O23" i="25"/>
  <c r="J23" i="25"/>
  <c r="D23" i="25"/>
  <c r="C23" i="25"/>
  <c r="B23" i="25"/>
  <c r="A23" i="25"/>
  <c r="T22" i="25"/>
  <c r="O22" i="25"/>
  <c r="J22" i="25"/>
  <c r="D22" i="25"/>
  <c r="C22" i="25"/>
  <c r="B22" i="25"/>
  <c r="A22" i="25"/>
  <c r="T21" i="25"/>
  <c r="O21" i="25"/>
  <c r="J21" i="25"/>
  <c r="D21" i="25"/>
  <c r="C21" i="25"/>
  <c r="B21" i="25"/>
  <c r="A21" i="25"/>
  <c r="T20" i="25"/>
  <c r="O20" i="25"/>
  <c r="J20" i="25"/>
  <c r="D20" i="25"/>
  <c r="C20" i="25"/>
  <c r="B20" i="25"/>
  <c r="A20" i="25"/>
  <c r="T19" i="25"/>
  <c r="O19" i="25"/>
  <c r="J19" i="25"/>
  <c r="D19" i="25"/>
  <c r="C19" i="25"/>
  <c r="B19" i="25"/>
  <c r="A19" i="25"/>
  <c r="T18" i="25"/>
  <c r="O18" i="25"/>
  <c r="J18" i="25"/>
  <c r="D18" i="25"/>
  <c r="C18" i="25"/>
  <c r="B18" i="25"/>
  <c r="A18" i="25"/>
  <c r="T17" i="25"/>
  <c r="O17" i="25"/>
  <c r="J17" i="25"/>
  <c r="D17" i="25"/>
  <c r="C17" i="25"/>
  <c r="B17" i="25"/>
  <c r="A17" i="25"/>
  <c r="T16" i="25"/>
  <c r="O16" i="25"/>
  <c r="J16" i="25"/>
  <c r="D16" i="25"/>
  <c r="C16" i="25"/>
  <c r="B16" i="25"/>
  <c r="A16" i="25"/>
  <c r="T15" i="25"/>
  <c r="O15" i="25"/>
  <c r="J15" i="25"/>
  <c r="D15" i="25"/>
  <c r="C15" i="25"/>
  <c r="B15" i="25"/>
  <c r="A15" i="25" s="1"/>
  <c r="T14" i="25"/>
  <c r="O14" i="25"/>
  <c r="J14" i="25"/>
  <c r="D14" i="25"/>
  <c r="C14" i="25"/>
  <c r="B14" i="25"/>
  <c r="A14" i="25" s="1"/>
  <c r="T13" i="25"/>
  <c r="O13" i="25"/>
  <c r="J13" i="25"/>
  <c r="D13" i="25"/>
  <c r="C13" i="25"/>
  <c r="B13" i="25"/>
  <c r="A13" i="25" s="1"/>
  <c r="T12" i="25"/>
  <c r="O12" i="25"/>
  <c r="J12" i="25"/>
  <c r="D12" i="25"/>
  <c r="C12" i="25"/>
  <c r="B12" i="25"/>
  <c r="A12" i="25" s="1"/>
  <c r="D11" i="25"/>
  <c r="C11" i="25"/>
  <c r="D9" i="25"/>
  <c r="D10" i="25" s="1"/>
  <c r="C9" i="25"/>
  <c r="C10" i="25" s="1"/>
  <c r="D8" i="25"/>
  <c r="C8" i="25"/>
  <c r="D7" i="25"/>
  <c r="C7" i="25"/>
  <c r="D6" i="25"/>
  <c r="B6" i="25"/>
  <c r="B7" i="25" s="1"/>
  <c r="D5" i="25"/>
  <c r="C5" i="25"/>
  <c r="C6" i="25" s="1"/>
  <c r="B5" i="25"/>
  <c r="A6" i="25" s="1"/>
  <c r="A5" i="25"/>
  <c r="T4" i="25"/>
  <c r="T5" i="25" s="1"/>
  <c r="O4" i="25"/>
  <c r="J4" i="25"/>
  <c r="W2" i="25"/>
  <c r="V2" i="25"/>
  <c r="U2" i="25"/>
  <c r="BO1" i="25"/>
  <c r="AT1" i="25"/>
  <c r="Y1" i="25"/>
  <c r="T6" i="26" l="1"/>
  <c r="B9" i="26"/>
  <c r="A9" i="26" s="1"/>
  <c r="J7" i="26"/>
  <c r="O7" i="26"/>
  <c r="T6" i="25"/>
  <c r="B8" i="25"/>
  <c r="J5" i="25"/>
  <c r="A7" i="25"/>
  <c r="O5" i="25"/>
  <c r="O8" i="26" l="1"/>
  <c r="J8" i="26"/>
  <c r="T7" i="26"/>
  <c r="B10" i="26"/>
  <c r="B9" i="25"/>
  <c r="O6" i="25"/>
  <c r="A8" i="25"/>
  <c r="T7" i="25"/>
  <c r="J6" i="25"/>
  <c r="B11" i="26" l="1"/>
  <c r="A10" i="26"/>
  <c r="J9" i="26"/>
  <c r="T8" i="26"/>
  <c r="O9" i="26"/>
  <c r="J7" i="25"/>
  <c r="B10" i="25"/>
  <c r="O7" i="25"/>
  <c r="T8" i="25"/>
  <c r="A9" i="25"/>
  <c r="B12" i="26" l="1"/>
  <c r="T9" i="26"/>
  <c r="O10" i="26"/>
  <c r="J10" i="26"/>
  <c r="A11" i="26"/>
  <c r="A12" i="26" s="1"/>
  <c r="T9" i="25"/>
  <c r="B11" i="25"/>
  <c r="A10" i="25"/>
  <c r="O8" i="25"/>
  <c r="J8" i="25"/>
  <c r="J11" i="26" l="1"/>
  <c r="T10" i="26"/>
  <c r="O11" i="26"/>
  <c r="B13" i="26"/>
  <c r="A13" i="26"/>
  <c r="A11" i="25"/>
  <c r="J9" i="25"/>
  <c r="O9" i="25"/>
  <c r="T10" i="25"/>
  <c r="T11" i="26" l="1"/>
  <c r="O12" i="26"/>
  <c r="B14" i="26"/>
  <c r="A14" i="26" s="1"/>
  <c r="J12" i="26"/>
  <c r="O10" i="25"/>
  <c r="T11" i="25"/>
  <c r="J10" i="25"/>
  <c r="O13" i="26" l="1"/>
  <c r="T12" i="26"/>
  <c r="J13" i="26"/>
  <c r="J11" i="25"/>
  <c r="O11" i="25"/>
  <c r="T13" i="26" l="1"/>
  <c r="O14" i="26"/>
  <c r="J14" i="26"/>
  <c r="T14" i="26" l="1"/>
</calcChain>
</file>

<file path=xl/sharedStrings.xml><?xml version="1.0" encoding="utf-8"?>
<sst xmlns="http://schemas.openxmlformats.org/spreadsheetml/2006/main" count="650" uniqueCount="150">
  <si>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</si>
  <si>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</si>
  <si>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</si>
  <si>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</si>
  <si>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</si>
  <si>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</si>
  <si>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</si>
  <si>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</si>
  <si>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</si>
  <si>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</si>
  <si>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</si>
  <si>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</si>
  <si>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</si>
  <si>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</si>
  <si>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</si>
  <si>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</si>
  <si>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</si>
  <si>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</si>
  <si>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</si>
  <si>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</si>
  <si>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</si>
  <si>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</si>
  <si>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</si>
  <si>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</si>
  <si>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</si>
  <si>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</si>
  <si>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</si>
  <si>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</si>
  <si>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</si>
  <si>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</si>
  <si>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</si>
  <si>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</si>
  <si>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</si>
  <si>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</si>
  <si>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</si>
  <si>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</si>
  <si>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</si>
  <si>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</si>
  <si>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</si>
  <si>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</si>
  <si>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</si>
  <si>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</si>
  <si>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</si>
  <si>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</si>
  <si>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</si>
  <si>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</si>
  <si>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</si>
  <si>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</si>
  <si>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</si>
  <si>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</si>
  <si>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</si>
  <si>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</si>
  <si>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</si>
  <si>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</si>
  <si>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</si>
  <si>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</si>
  <si>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</si>
  <si>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</si>
  <si>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</si>
  <si>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</si>
  <si>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</si>
  <si>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</si>
  <si>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</si>
  <si>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</si>
  <si>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</si>
  <si>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</si>
  <si>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</si>
  <si>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</si>
  <si>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</si>
  <si>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</si>
  <si>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</si>
  <si>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</si>
  <si>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</si>
  <si>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</si>
  <si>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</si>
  <si>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</si>
  <si>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</si>
  <si>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</si>
  <si>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</si>
  <si>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</si>
  <si>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</si>
  <si>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</si>
  <si>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</si>
  <si>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</si>
  <si>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</si>
  <si>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</si>
  <si>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</si>
  <si>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</si>
  <si>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</si>
  <si>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</si>
  <si>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</si>
  <si>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</si>
  <si>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</si>
  <si>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</si>
  <si>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</si>
  <si>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</si>
  <si>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</si>
  <si>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</si>
  <si>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</si>
  <si>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</si>
  <si>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</si>
  <si>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</si>
  <si>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</si>
  <si>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</si>
  <si>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</si>
  <si>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</si>
  <si>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</si>
  <si>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</si>
  <si>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</si>
  <si>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</si>
  <si>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</si>
  <si>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</si>
  <si>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</si>
  <si>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</si>
  <si>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</si>
  <si>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</si>
  <si>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</si>
  <si>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</si>
  <si>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</si>
  <si>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</si>
  <si>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</si>
  <si>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</si>
  <si>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</si>
  <si>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</si>
  <si>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</si>
  <si>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</si>
  <si>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</si>
  <si>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</si>
  <si>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</si>
  <si>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</si>
  <si>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</si>
  <si>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</si>
  <si>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</si>
  <si>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</si>
  <si>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放銃</t>
  </si>
  <si>
    <t>ロン</t>
  </si>
  <si>
    <t>*</t>
  </si>
  <si>
    <t>01</t>
  </si>
  <si>
    <t>ツモ支払</t>
  </si>
  <si>
    <t>ツモ</t>
  </si>
  <si>
    <t>T</t>
  </si>
  <si>
    <t>N</t>
  </si>
  <si>
    <t>流局</t>
    <phoneticPr fontId="1"/>
  </si>
  <si>
    <t>02</t>
  </si>
  <si>
    <t>りくと</t>
  </si>
  <si>
    <t>りくと</t>
    <phoneticPr fontId="1"/>
  </si>
  <si>
    <t>やがさき</t>
  </si>
  <si>
    <t>やがさき</t>
    <phoneticPr fontId="1"/>
  </si>
  <si>
    <t>ぱぱ</t>
  </si>
  <si>
    <t>ぱぱ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</si>
</sst>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FDE9-73DA-4384-9816-8E845D42CC84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147</v>
      </c>
      <c r="G1" s="67"/>
      <c r="H1" s="67"/>
      <c r="I1" s="68"/>
      <c r="J1" s="69"/>
      <c r="K1" s="66" t="s">
        <v>149</v>
      </c>
      <c r="L1" s="67"/>
      <c r="M1" s="67"/>
      <c r="N1" s="68"/>
      <c r="O1" s="69"/>
      <c r="P1" s="66" t="s">
        <v>145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やがさき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ぱぱ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りくと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やがさき</v>
      </c>
      <c r="V2" s="64" t="str">
        <f>$K$1</f>
        <v>ぱぱ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148</v>
      </c>
      <c r="F4" s="8" t="s">
        <v>142</v>
      </c>
      <c r="G4" s="9">
        <v>-3000</v>
      </c>
      <c r="H4" s="9"/>
      <c r="I4" s="48"/>
      <c r="J4" s="21">
        <f>IF(COUNTA($F4,$K4,$P4)&gt;0,J3+SUM(G4:I4),"")</f>
        <v>32000</v>
      </c>
      <c r="K4" s="8" t="s">
        <v>142</v>
      </c>
      <c r="L4" s="9">
        <v>1500</v>
      </c>
      <c r="M4" s="9"/>
      <c r="N4" s="48"/>
      <c r="O4" s="21">
        <f>IF(COUNTA($F4,$K4,$P4)&gt;0,O3+SUM(L4:N4),"")</f>
        <v>36500</v>
      </c>
      <c r="P4" s="8" t="s">
        <v>142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IF($J4="","",ROUND(($J4-$J$3)/1000,1)+(2-_xlfn.RANK.AVG($J4,($J4,$O4,$T4)))*20)</f>
        <v>-23</v>
      </c>
      <c r="V4" s="54">
        <f>IF($O4="","",ROUND(($O4-$O$3)/1000,1)+(2-_xlfn.RANK.AVG($O4,($J4,$O4,$T4)))*20)</f>
        <v>11.5</v>
      </c>
      <c r="W4" s="55">
        <f>IF($T4="","",ROUND(($T4-$T$3)/1000,1)+(2-_xlfn.RANK.AVG($T4,($J4,$O4,$T4)))*20)</f>
        <v>11.5</v>
      </c>
      <c r="Y4" s="8" t="s">
        <v>141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140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140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148</v>
      </c>
      <c r="F5" s="8" t="s">
        <v>135</v>
      </c>
      <c r="G5" s="9">
        <v>16000</v>
      </c>
      <c r="H5" s="9"/>
      <c r="I5" s="48">
        <v>1000</v>
      </c>
      <c r="J5" s="21">
        <f t="shared" ref="J5:J30" si="2">IF(COUNTA($F5,$K5,$P5)&gt;0,J4+SUM(G5:I5),"")</f>
        <v>49000</v>
      </c>
      <c r="K5" s="8"/>
      <c r="L5" s="9"/>
      <c r="M5" s="9"/>
      <c r="N5" s="48"/>
      <c r="O5" s="21">
        <f t="shared" ref="O5:O30" si="3">IF(COUNTA($F5,$K5,$P5)&gt;0,O4+SUM(L5:N5),"")</f>
        <v>36500</v>
      </c>
      <c r="P5" s="8" t="s">
        <v>134</v>
      </c>
      <c r="Q5" s="9">
        <v>-16000</v>
      </c>
      <c r="R5" s="9"/>
      <c r="S5" s="48">
        <v>-1000</v>
      </c>
      <c r="T5" s="21">
        <f t="shared" ref="T5:T30" si="4">IF(COUNTA($F5,$K5,$P5)&gt;0,T4+SUM(Q5:S5),"")</f>
        <v>19500</v>
      </c>
      <c r="U5" s="53">
        <f>IF($J5="","",ROUND(($J5-$J$3)/1000,1)+(2-_xlfn.RANK.AVG($J5,($J5,$O5,$T5)))*20)</f>
        <v>34</v>
      </c>
      <c r="V5" s="54">
        <f>IF($O5="","",ROUND(($O5-$O$3)/1000,1)+(2-_xlfn.RANK.AVG($O5,($J5,$O5,$T5)))*20)</f>
        <v>1.5</v>
      </c>
      <c r="W5" s="55">
        <f>IF($T5="","",ROUND(($T5-$T$3)/1000,1)+(2-_xlfn.RANK.AVG($T5,($J5,$O5,$T5)))*20)</f>
        <v>-35.5</v>
      </c>
      <c r="Y5" s="8"/>
      <c r="Z5" s="34"/>
      <c r="AA5" s="26"/>
      <c r="AB5" s="26">
        <v>1</v>
      </c>
      <c r="AC5" s="26">
        <v>9</v>
      </c>
      <c r="AD5" s="30" t="s">
        <v>136</v>
      </c>
      <c r="AE5" s="40" t="s">
        <v>104</v>
      </c>
      <c r="AF5" s="41" t="s">
        <v>98</v>
      </c>
      <c r="AG5" s="41" t="s">
        <v>81</v>
      </c>
      <c r="AH5" s="41" t="s">
        <v>81</v>
      </c>
      <c r="AI5" s="41" t="s">
        <v>81</v>
      </c>
      <c r="AJ5" s="41" t="s">
        <v>86</v>
      </c>
      <c r="AK5" s="41" t="s">
        <v>86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144</v>
      </c>
      <c r="F6" s="8" t="s">
        <v>142</v>
      </c>
      <c r="G6" s="9">
        <v>1500</v>
      </c>
      <c r="H6" s="9">
        <v>-1000</v>
      </c>
      <c r="I6" s="48"/>
      <c r="J6" s="21">
        <f t="shared" si="2"/>
        <v>49500</v>
      </c>
      <c r="K6" s="8" t="s">
        <v>142</v>
      </c>
      <c r="L6" s="9">
        <v>-3000</v>
      </c>
      <c r="M6" s="9"/>
      <c r="N6" s="48"/>
      <c r="O6" s="21">
        <f t="shared" si="3"/>
        <v>33500</v>
      </c>
      <c r="P6" s="8" t="s">
        <v>142</v>
      </c>
      <c r="Q6" s="9">
        <v>1500</v>
      </c>
      <c r="R6" s="9"/>
      <c r="S6" s="48"/>
      <c r="T6" s="21">
        <f t="shared" si="4"/>
        <v>21000</v>
      </c>
      <c r="U6" s="53">
        <f>IF($J6="","",ROUND(($J6-$J$3)/1000,1)+(2-_xlfn.RANK.AVG($J6,($J6,$O6,$T6)))*20)</f>
        <v>34.5</v>
      </c>
      <c r="V6" s="54">
        <f>IF($O6="","",ROUND(($O6-$O$3)/1000,1)+(2-_xlfn.RANK.AVG($O6,($J6,$O6,$T6)))*20)</f>
        <v>-1.5</v>
      </c>
      <c r="W6" s="55">
        <f>IF($T6="","",ROUND(($T6-$T$3)/1000,1)+(2-_xlfn.RANK.AVG($T6,($J6,$O6,$T6)))*20)</f>
        <v>-34</v>
      </c>
      <c r="Y6" s="8" t="s">
        <v>140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141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140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1</v>
      </c>
      <c r="E7" s="4" t="s">
        <v>144</v>
      </c>
      <c r="F7" s="8" t="s">
        <v>134</v>
      </c>
      <c r="G7" s="9">
        <v>-18000</v>
      </c>
      <c r="H7" s="9"/>
      <c r="I7" s="48">
        <v>-1000</v>
      </c>
      <c r="J7" s="21">
        <f t="shared" si="2"/>
        <v>30500</v>
      </c>
      <c r="K7" s="8"/>
      <c r="L7" s="9"/>
      <c r="M7" s="9"/>
      <c r="N7" s="48"/>
      <c r="O7" s="21">
        <f t="shared" si="3"/>
        <v>33500</v>
      </c>
      <c r="P7" s="8" t="s">
        <v>135</v>
      </c>
      <c r="Q7" s="9">
        <v>18000</v>
      </c>
      <c r="R7" s="9">
        <v>1000</v>
      </c>
      <c r="S7" s="48">
        <v>1000</v>
      </c>
      <c r="T7" s="21">
        <f t="shared" si="4"/>
        <v>41000</v>
      </c>
      <c r="U7" s="53">
        <f>IF($J7="","",ROUND(($J7-$J$3)/1000,1)+(2-_xlfn.RANK.AVG($J7,($J7,$O7,$T7)))*20)</f>
        <v>-24.5</v>
      </c>
      <c r="V7" s="54">
        <f>IF($O7="","",ROUND(($O7-$O$3)/1000,1)+(2-_xlfn.RANK.AVG($O7,($J7,$O7,$T7)))*20)</f>
        <v>-1.5</v>
      </c>
      <c r="W7" s="55">
        <f>IF($T7="","",ROUND(($T7-$T$3)/1000,1)+(2-_xlfn.RANK.AVG($T7,($J7,$O7,$T7)))*20)</f>
        <v>26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136</v>
      </c>
      <c r="BU7" s="40" t="s">
        <v>137</v>
      </c>
      <c r="BV7" s="41" t="s">
        <v>81</v>
      </c>
      <c r="BW7" s="41" t="s">
        <v>81</v>
      </c>
      <c r="BX7" s="41" t="s">
        <v>81</v>
      </c>
      <c r="BY7" s="41" t="s">
        <v>79</v>
      </c>
      <c r="BZ7" s="41" t="s">
        <v>79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144</v>
      </c>
      <c r="F8" s="8" t="s">
        <v>138</v>
      </c>
      <c r="G8" s="9">
        <v>-9000</v>
      </c>
      <c r="H8" s="9"/>
      <c r="I8" s="48">
        <v>-1000</v>
      </c>
      <c r="J8" s="21">
        <f t="shared" si="2"/>
        <v>20500</v>
      </c>
      <c r="K8" s="8" t="s">
        <v>138</v>
      </c>
      <c r="L8" s="9">
        <v>-9000</v>
      </c>
      <c r="M8" s="9">
        <v>-1000</v>
      </c>
      <c r="N8" s="48">
        <v>-1000</v>
      </c>
      <c r="O8" s="21">
        <f t="shared" si="3"/>
        <v>22500</v>
      </c>
      <c r="P8" s="8" t="s">
        <v>139</v>
      </c>
      <c r="Q8" s="9">
        <v>18000</v>
      </c>
      <c r="R8" s="9">
        <v>1000</v>
      </c>
      <c r="S8" s="48">
        <v>2000</v>
      </c>
      <c r="T8" s="21">
        <f t="shared" si="4"/>
        <v>62000</v>
      </c>
      <c r="U8" s="53">
        <f>IF($J8="","",ROUND(($J8-$J$3)/1000,1)+(2-_xlfn.RANK.AVG($J8,($J8,$O8,$T8)))*20)</f>
        <v>-34.5</v>
      </c>
      <c r="V8" s="54">
        <f>IF($O8="","",ROUND(($O8-$O$3)/1000,1)+(2-_xlfn.RANK.AVG($O8,($J8,$O8,$T8)))*20)</f>
        <v>-12.5</v>
      </c>
      <c r="W8" s="55">
        <f>IF($T8="","",ROUND(($T8-$T$3)/1000,1)+(2-_xlfn.RANK.AVG($T8,($J8,$O8,$T8)))*20)</f>
        <v>47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136</v>
      </c>
      <c r="BU8" s="40" t="s">
        <v>137</v>
      </c>
      <c r="BV8" s="41" t="s">
        <v>82</v>
      </c>
      <c r="BW8" s="41" t="s">
        <v>96</v>
      </c>
      <c r="BX8" s="41" t="s">
        <v>104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144</v>
      </c>
      <c r="F9" s="8"/>
      <c r="G9" s="9"/>
      <c r="H9" s="9"/>
      <c r="I9" s="48"/>
      <c r="J9" s="21">
        <f t="shared" si="2"/>
        <v>20500</v>
      </c>
      <c r="K9" s="8" t="s">
        <v>135</v>
      </c>
      <c r="L9" s="9">
        <v>8000</v>
      </c>
      <c r="M9" s="9">
        <v>1000</v>
      </c>
      <c r="N9" s="48">
        <v>3000</v>
      </c>
      <c r="O9" s="21">
        <f t="shared" si="3"/>
        <v>34500</v>
      </c>
      <c r="P9" s="8" t="s">
        <v>134</v>
      </c>
      <c r="Q9" s="9">
        <v>-8000</v>
      </c>
      <c r="R9" s="9">
        <v>-1000</v>
      </c>
      <c r="S9" s="48">
        <v>-3000</v>
      </c>
      <c r="T9" s="21">
        <f t="shared" si="4"/>
        <v>50000</v>
      </c>
      <c r="U9" s="53">
        <f>IF($J9="","",ROUND(($J9-$J$3)/1000,1)+(2-_xlfn.RANK.AVG($J9,($J9,$O9,$T9)))*20)</f>
        <v>-34.5</v>
      </c>
      <c r="V9" s="54">
        <f>IF($O9="","",ROUND(($O9-$O$3)/1000,1)+(2-_xlfn.RANK.AVG($O9,($J9,$O9,$T9)))*20)</f>
        <v>-0.5</v>
      </c>
      <c r="W9" s="55">
        <f>IF($T9="","",ROUND(($T9-$T$3)/1000,1)+(2-_xlfn.RANK.AVG($T9,($J9,$O9,$T9)))*20)</f>
        <v>35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136</v>
      </c>
      <c r="AZ9" s="40" t="s">
        <v>137</v>
      </c>
      <c r="BA9" s="41" t="s">
        <v>93</v>
      </c>
      <c r="BB9" s="41" t="s">
        <v>81</v>
      </c>
      <c r="BC9" s="41" t="s">
        <v>81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146</v>
      </c>
      <c r="F10" s="8" t="s">
        <v>139</v>
      </c>
      <c r="G10" s="9">
        <v>24000</v>
      </c>
      <c r="H10" s="9"/>
      <c r="I10" s="48">
        <v>0</v>
      </c>
      <c r="J10" s="21">
        <f t="shared" si="2"/>
        <v>44500</v>
      </c>
      <c r="K10" s="8" t="s">
        <v>138</v>
      </c>
      <c r="L10" s="9">
        <v>-12000</v>
      </c>
      <c r="M10" s="9"/>
      <c r="N10" s="48">
        <v>0</v>
      </c>
      <c r="O10" s="21">
        <f t="shared" si="3"/>
        <v>22500</v>
      </c>
      <c r="P10" s="8" t="s">
        <v>138</v>
      </c>
      <c r="Q10" s="9">
        <v>-12000</v>
      </c>
      <c r="R10" s="9"/>
      <c r="S10" s="48">
        <v>0</v>
      </c>
      <c r="T10" s="21">
        <f t="shared" si="4"/>
        <v>38000</v>
      </c>
      <c r="U10" s="53">
        <f>IF($J10="","",ROUND(($J10-$J$3)/1000,1)+(2-_xlfn.RANK.AVG($J10,($J10,$O10,$T10)))*20)</f>
        <v>29.5</v>
      </c>
      <c r="V10" s="54">
        <f>IF($O10="","",ROUND(($O10-$O$3)/1000,1)+(2-_xlfn.RANK.AVG($O10,($J10,$O10,$T10)))*20)</f>
        <v>-32.5</v>
      </c>
      <c r="W10" s="55">
        <f>IF($T10="","",ROUND(($T10-$T$3)/1000,1)+(2-_xlfn.RANK.AVG($T10,($J10,$O10,$T10)))*20)</f>
        <v>3</v>
      </c>
      <c r="Y10" s="8"/>
      <c r="Z10" s="34"/>
      <c r="AA10" s="26">
        <v>1</v>
      </c>
      <c r="AB10" s="26"/>
      <c r="AC10" s="26">
        <v>9</v>
      </c>
      <c r="AD10" s="30" t="s">
        <v>136</v>
      </c>
      <c r="AE10" s="40" t="s">
        <v>137</v>
      </c>
      <c r="AF10" s="41" t="s">
        <v>82</v>
      </c>
      <c r="AG10" s="41" t="s">
        <v>87</v>
      </c>
      <c r="AH10" s="41" t="s">
        <v>104</v>
      </c>
      <c r="AI10" s="41" t="s">
        <v>92</v>
      </c>
      <c r="AJ10" s="41" t="s">
        <v>81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146</v>
      </c>
      <c r="F11" s="8" t="s">
        <v>134</v>
      </c>
      <c r="G11" s="9">
        <v>-8000</v>
      </c>
      <c r="H11" s="9"/>
      <c r="I11" s="48">
        <v>-1000</v>
      </c>
      <c r="J11" s="21">
        <f t="shared" si="2"/>
        <v>35500</v>
      </c>
      <c r="K11" s="8"/>
      <c r="L11" s="9"/>
      <c r="M11" s="9"/>
      <c r="N11" s="48"/>
      <c r="O11" s="21">
        <f t="shared" si="3"/>
        <v>22500</v>
      </c>
      <c r="P11" s="8" t="s">
        <v>135</v>
      </c>
      <c r="Q11" s="9">
        <v>8000</v>
      </c>
      <c r="R11" s="9"/>
      <c r="S11" s="48">
        <v>1000</v>
      </c>
      <c r="T11" s="21">
        <f t="shared" si="4"/>
        <v>47000</v>
      </c>
      <c r="U11" s="53">
        <f>IF($J11="","",ROUND(($J11-$J$3)/1000,1)+(2-_xlfn.RANK.AVG($J11,($J11,$O11,$T11)))*20)</f>
        <v>0.5</v>
      </c>
      <c r="V11" s="54">
        <f>IF($O11="","",ROUND(($O11-$O$3)/1000,1)+(2-_xlfn.RANK.AVG($O11,($J11,$O11,$T11)))*20)</f>
        <v>-32.5</v>
      </c>
      <c r="W11" s="55">
        <f>IF($T11="","",ROUND(($T11-$T$3)/1000,1)+(2-_xlfn.RANK.AVG($T11,($J11,$O11,$T11)))*20)</f>
        <v>32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136</v>
      </c>
      <c r="BU11" s="40" t="s">
        <v>86</v>
      </c>
      <c r="BV11" s="41" t="s">
        <v>81</v>
      </c>
      <c r="BW11" s="41" t="s">
        <v>98</v>
      </c>
      <c r="BX11" s="41" t="s">
        <v>81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148</v>
      </c>
      <c r="F12" s="8" t="s">
        <v>139</v>
      </c>
      <c r="G12" s="9">
        <v>12000</v>
      </c>
      <c r="H12" s="9">
        <v>1000</v>
      </c>
      <c r="I12" s="48">
        <v>0</v>
      </c>
      <c r="J12" s="21">
        <f t="shared" si="2"/>
        <v>48500</v>
      </c>
      <c r="K12" s="8" t="s">
        <v>138</v>
      </c>
      <c r="L12" s="9">
        <v>-7500</v>
      </c>
      <c r="M12" s="9">
        <v>-1000</v>
      </c>
      <c r="N12" s="48">
        <v>0</v>
      </c>
      <c r="O12" s="21">
        <f t="shared" si="3"/>
        <v>14000</v>
      </c>
      <c r="P12" s="8" t="s">
        <v>138</v>
      </c>
      <c r="Q12" s="9">
        <v>-4500</v>
      </c>
      <c r="R12" s="9"/>
      <c r="S12" s="48">
        <v>0</v>
      </c>
      <c r="T12" s="21">
        <f t="shared" si="4"/>
        <v>42500</v>
      </c>
      <c r="U12" s="53">
        <f>IF($J12="","",ROUND(($J12-$J$3)/1000,1)+(2-_xlfn.RANK.AVG($J12,($J12,$O12,$T12)))*20)</f>
        <v>33.5</v>
      </c>
      <c r="V12" s="54">
        <f>IF($O12="","",ROUND(($O12-$O$3)/1000,1)+(2-_xlfn.RANK.AVG($O12,($J12,$O12,$T12)))*20)</f>
        <v>-41</v>
      </c>
      <c r="W12" s="55">
        <f>IF($T12="","",ROUND(($T12-$T$3)/1000,1)+(2-_xlfn.RANK.AVG($T12,($J12,$O12,$T12)))*20)</f>
        <v>7.5</v>
      </c>
      <c r="Y12" s="8"/>
      <c r="Z12" s="34"/>
      <c r="AA12" s="26">
        <v>1</v>
      </c>
      <c r="AB12" s="26"/>
      <c r="AC12" s="26">
        <v>6</v>
      </c>
      <c r="AD12" s="30" t="s">
        <v>136</v>
      </c>
      <c r="AE12" s="40" t="s">
        <v>137</v>
      </c>
      <c r="AF12" s="41" t="s">
        <v>82</v>
      </c>
      <c r="AG12" s="41" t="s">
        <v>86</v>
      </c>
      <c r="AH12" s="41" t="s">
        <v>81</v>
      </c>
      <c r="AI12" s="41" t="s">
        <v>81</v>
      </c>
      <c r="AJ12" s="41" t="s">
        <v>79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144</v>
      </c>
      <c r="F13" s="8"/>
      <c r="G13" s="9"/>
      <c r="H13" s="9"/>
      <c r="I13" s="48"/>
      <c r="J13" s="21">
        <f t="shared" si="2"/>
        <v>48500</v>
      </c>
      <c r="K13" s="8" t="s">
        <v>134</v>
      </c>
      <c r="L13" s="9">
        <v>-6800</v>
      </c>
      <c r="M13" s="9"/>
      <c r="N13" s="48">
        <v>0</v>
      </c>
      <c r="O13" s="21">
        <f t="shared" si="3"/>
        <v>7200</v>
      </c>
      <c r="P13" s="8" t="s">
        <v>135</v>
      </c>
      <c r="Q13" s="9">
        <v>6800</v>
      </c>
      <c r="R13" s="9"/>
      <c r="S13" s="48">
        <v>0</v>
      </c>
      <c r="T13" s="21">
        <f t="shared" si="4"/>
        <v>49300</v>
      </c>
      <c r="U13" s="53">
        <f>IF($J13="","",ROUND(($J13-$J$3)/1000,1)+(2-_xlfn.RANK.AVG($J13,($J13,$O13,$T13)))*20)</f>
        <v>13.5</v>
      </c>
      <c r="V13" s="54">
        <f>IF($O13="","",ROUND(($O13-$O$3)/1000,1)+(2-_xlfn.RANK.AVG($O13,($J13,$O13,$T13)))*20)</f>
        <v>-47.8</v>
      </c>
      <c r="W13" s="55">
        <f>IF($T13="","",ROUND(($T13-$T$3)/1000,1)+(2-_xlfn.RANK.AVG($T13,($J13,$O13,$T13)))*20)</f>
        <v>34.299999999999997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70</v>
      </c>
      <c r="BU13" s="40" t="s">
        <v>86</v>
      </c>
      <c r="BV13" s="41" t="s">
        <v>81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144</v>
      </c>
      <c r="F14" s="8" t="s">
        <v>138</v>
      </c>
      <c r="G14" s="9">
        <v>-9000</v>
      </c>
      <c r="H14" s="9"/>
      <c r="I14" s="48">
        <v>-500</v>
      </c>
      <c r="J14" s="21">
        <f t="shared" si="2"/>
        <v>39000</v>
      </c>
      <c r="K14" s="8" t="s">
        <v>138</v>
      </c>
      <c r="L14" s="9">
        <v>-9000</v>
      </c>
      <c r="M14" s="9"/>
      <c r="N14" s="48">
        <v>-500</v>
      </c>
      <c r="O14" s="21">
        <f t="shared" si="3"/>
        <v>-2300</v>
      </c>
      <c r="P14" s="8" t="s">
        <v>139</v>
      </c>
      <c r="Q14" s="9">
        <v>18000</v>
      </c>
      <c r="R14" s="9"/>
      <c r="S14" s="48">
        <v>1000</v>
      </c>
      <c r="T14" s="21">
        <f t="shared" si="4"/>
        <v>68300</v>
      </c>
      <c r="U14" s="53">
        <f>IF($J14="","",ROUND(($J14-$J$3)/1000,1)+(2-_xlfn.RANK.AVG($J14,($J14,$O14,$T14)))*20)</f>
        <v>4</v>
      </c>
      <c r="V14" s="54">
        <f>IF($O14="","",ROUND(($O14-$O$3)/1000,1)+(2-_xlfn.RANK.AVG($O14,($J14,$O14,$T14)))*20)</f>
        <v>-57.3</v>
      </c>
      <c r="W14" s="55">
        <f>IF($T14="","",ROUND(($T14-$T$3)/1000,1)+(2-_xlfn.RANK.AVG($T14,($J14,$O14,$T14)))*20)</f>
        <v>53.3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6</v>
      </c>
      <c r="BT14" s="30" t="s">
        <v>136</v>
      </c>
      <c r="BU14" s="40" t="s">
        <v>137</v>
      </c>
      <c r="BV14" s="41" t="s">
        <v>82</v>
      </c>
      <c r="BW14" s="41" t="s">
        <v>87</v>
      </c>
      <c r="BX14" s="41" t="s">
        <v>83</v>
      </c>
      <c r="BY14" s="41" t="s">
        <v>79</v>
      </c>
      <c r="BZ14" s="41" t="s">
        <v>80</v>
      </c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BF816174-8063-429A-8D7C-9A736C41AA03}">
      <formula1>"ロン,ツモ,放銃,ツモ支払,流局,チョンボ"</formula1>
    </dataValidation>
    <dataValidation type="list" allowBlank="1" showInputMessage="1" showErrorMessage="1" sqref="E4:E30" xr:uid="{EE32CA71-FAAD-4EAF-9703-FBAAFA656D4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33A1D-8B2A-4BF1-B236-B1EC83974FB2}">
  <sheetPr codeName="Sheet2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147</v>
      </c>
      <c r="G1" s="67"/>
      <c r="H1" s="67"/>
      <c r="I1" s="68"/>
      <c r="J1" s="69"/>
      <c r="K1" s="66" t="s">
        <v>149</v>
      </c>
      <c r="L1" s="67"/>
      <c r="M1" s="67"/>
      <c r="N1" s="68"/>
      <c r="O1" s="69"/>
      <c r="P1" s="66" t="s">
        <v>145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やがさき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ぱぱ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りくと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やがさき</v>
      </c>
      <c r="V2" s="64" t="str">
        <f>$K$1</f>
        <v>ぱぱ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148</v>
      </c>
      <c r="F4" s="8" t="s">
        <v>139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138</v>
      </c>
      <c r="L4" s="9">
        <v>-7500</v>
      </c>
      <c r="M4" s="9"/>
      <c r="N4" s="48">
        <v>0</v>
      </c>
      <c r="O4" s="21">
        <f>IF(COUNTA($F4,$K4,$P4)&gt;0,O3+SUM(L4:N4),"")</f>
        <v>27500</v>
      </c>
      <c r="P4" s="8" t="s">
        <v>138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IF($J4="","",ROUND(($J4-$J$3)/1000,1)+(2-_xlfn.RANK.AVG($J4,($J4,$O4,$T4)))*20)</f>
        <v>32</v>
      </c>
      <c r="V4" s="54">
        <f>IF($O4="","",ROUND(($O4-$O$3)/1000,1)+(2-_xlfn.RANK.AVG($O4,($J4,$O4,$T4)))*20)</f>
        <v>-27.5</v>
      </c>
      <c r="W4" s="55">
        <f>IF($T4="","",ROUND(($T4-$T$3)/1000,1)+(2-_xlfn.RANK.AVG($T4,($J4,$O4,$T4)))*20)</f>
        <v>-4.5</v>
      </c>
      <c r="Y4" s="8"/>
      <c r="Z4" s="34"/>
      <c r="AA4" s="26">
        <v>1</v>
      </c>
      <c r="AB4" s="26"/>
      <c r="AC4" s="26">
        <v>6</v>
      </c>
      <c r="AD4" s="30" t="s">
        <v>136</v>
      </c>
      <c r="AE4" s="40" t="s">
        <v>137</v>
      </c>
      <c r="AF4" s="41" t="s">
        <v>82</v>
      </c>
      <c r="AG4" s="41" t="s">
        <v>143</v>
      </c>
      <c r="AH4" s="41" t="s">
        <v>81</v>
      </c>
      <c r="AI4" s="41" t="s">
        <v>81</v>
      </c>
      <c r="AJ4" s="41" t="s">
        <v>81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144</v>
      </c>
      <c r="F5" s="8"/>
      <c r="G5" s="9"/>
      <c r="H5" s="9"/>
      <c r="I5" s="48"/>
      <c r="J5" s="21">
        <f t="shared" ref="J5:J30" si="2">IF(COUNTA($F5,$K5,$P5)&gt;0,J4+SUM(G5:I5),"")</f>
        <v>47000</v>
      </c>
      <c r="K5" s="8" t="s">
        <v>134</v>
      </c>
      <c r="L5" s="9">
        <v>-12000</v>
      </c>
      <c r="M5" s="9"/>
      <c r="N5" s="48">
        <v>0</v>
      </c>
      <c r="O5" s="21">
        <f t="shared" ref="O5:O30" si="3">IF(COUNTA($F5,$K5,$P5)&gt;0,O4+SUM(L5:N5),"")</f>
        <v>15500</v>
      </c>
      <c r="P5" s="8" t="s">
        <v>135</v>
      </c>
      <c r="Q5" s="9">
        <v>12000</v>
      </c>
      <c r="R5" s="9"/>
      <c r="S5" s="48">
        <v>0</v>
      </c>
      <c r="T5" s="21">
        <f t="shared" ref="T5:T30" si="4">IF(COUNTA($F5,$K5,$P5)&gt;0,T4+SUM(Q5:S5),"")</f>
        <v>42500</v>
      </c>
      <c r="U5" s="53">
        <f>IF($J5="","",ROUND(($J5-$J$3)/1000,1)+(2-_xlfn.RANK.AVG($J5,($J5,$O5,$T5)))*20)</f>
        <v>32</v>
      </c>
      <c r="V5" s="54">
        <f>IF($O5="","",ROUND(($O5-$O$3)/1000,1)+(2-_xlfn.RANK.AVG($O5,($J5,$O5,$T5)))*20)</f>
        <v>-39.5</v>
      </c>
      <c r="W5" s="55">
        <f>IF($T5="","",ROUND(($T5-$T$3)/1000,1)+(2-_xlfn.RANK.AVG($T5,($J5,$O5,$T5)))*20)</f>
        <v>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137</v>
      </c>
      <c r="BV5" s="41" t="s">
        <v>81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144</v>
      </c>
      <c r="F6" s="8" t="s">
        <v>135</v>
      </c>
      <c r="G6" s="9">
        <v>8000</v>
      </c>
      <c r="H6" s="9"/>
      <c r="I6" s="48">
        <v>1000</v>
      </c>
      <c r="J6" s="21">
        <f t="shared" si="2"/>
        <v>56000</v>
      </c>
      <c r="K6" s="8" t="s">
        <v>134</v>
      </c>
      <c r="L6" s="9">
        <v>-8000</v>
      </c>
      <c r="M6" s="9"/>
      <c r="N6" s="48">
        <v>-1000</v>
      </c>
      <c r="O6" s="21">
        <f t="shared" si="3"/>
        <v>6500</v>
      </c>
      <c r="P6" s="8"/>
      <c r="Q6" s="9"/>
      <c r="R6" s="9"/>
      <c r="S6" s="48"/>
      <c r="T6" s="21">
        <f t="shared" si="4"/>
        <v>42500</v>
      </c>
      <c r="U6" s="53">
        <f>IF($J6="","",ROUND(($J6-$J$3)/1000,1)+(2-_xlfn.RANK.AVG($J6,($J6,$O6,$T6)))*20)</f>
        <v>41</v>
      </c>
      <c r="V6" s="54">
        <f>IF($O6="","",ROUND(($O6-$O$3)/1000,1)+(2-_xlfn.RANK.AVG($O6,($J6,$O6,$T6)))*20)</f>
        <v>-48.5</v>
      </c>
      <c r="W6" s="55">
        <f>IF($T6="","",ROUND(($T6-$T$3)/1000,1)+(2-_xlfn.RANK.AVG($T6,($J6,$O6,$T6)))*20)</f>
        <v>7.5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137</v>
      </c>
      <c r="AF6" s="41" t="s">
        <v>143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146</v>
      </c>
      <c r="F7" s="8" t="s">
        <v>139</v>
      </c>
      <c r="G7" s="9">
        <v>12000</v>
      </c>
      <c r="H7" s="9">
        <v>2000</v>
      </c>
      <c r="I7" s="48">
        <v>0</v>
      </c>
      <c r="J7" s="21">
        <f t="shared" si="2"/>
        <v>70000</v>
      </c>
      <c r="K7" s="8" t="s">
        <v>138</v>
      </c>
      <c r="L7" s="9">
        <v>-6000</v>
      </c>
      <c r="M7" s="9">
        <v>-1000</v>
      </c>
      <c r="N7" s="48">
        <v>0</v>
      </c>
      <c r="O7" s="21">
        <f t="shared" si="3"/>
        <v>-500</v>
      </c>
      <c r="P7" s="8" t="s">
        <v>138</v>
      </c>
      <c r="Q7" s="9">
        <v>-6000</v>
      </c>
      <c r="R7" s="9">
        <v>-1000</v>
      </c>
      <c r="S7" s="48">
        <v>0</v>
      </c>
      <c r="T7" s="21">
        <f t="shared" si="4"/>
        <v>35500</v>
      </c>
      <c r="U7" s="53">
        <f>IF($J7="","",ROUND(($J7-$J$3)/1000,1)+(2-_xlfn.RANK.AVG($J7,($J7,$O7,$T7)))*20)</f>
        <v>55</v>
      </c>
      <c r="V7" s="54">
        <f>IF($O7="","",ROUND(($O7-$O$3)/1000,1)+(2-_xlfn.RANK.AVG($O7,($J7,$O7,$T7)))*20)</f>
        <v>-55.5</v>
      </c>
      <c r="W7" s="55">
        <f>IF($T7="","",ROUND(($T7-$T$3)/1000,1)+(2-_xlfn.RANK.AVG($T7,($J7,$O7,$T7)))*20)</f>
        <v>0.5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137</v>
      </c>
      <c r="AF7" s="41" t="s">
        <v>82</v>
      </c>
      <c r="AG7" s="41" t="s">
        <v>81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IF($J8="","",ROUND(($J8-$J$3)/1000,1)+(2-_xlfn.RANK.AVG($J8,($J8,$O8,$T8)))*20)</f>
        <v/>
      </c>
      <c r="V8" s="54" t="str">
        <f>IF($O8="","",ROUND(($O8-$O$3)/1000,1)+(2-_xlfn.RANK.AVG($O8,($J8,$O8,$T8)))*20)</f>
        <v/>
      </c>
      <c r="W8" s="55" t="str">
        <f>IF($T8="","",ROUND(($T8-$T$3)/1000,1)+(2-_xlfn.RANK.AVG($T8,($J8,$O8,$T8)))*20)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IF($J9="","",ROUND(($J9-$J$3)/1000,1)+(2-_xlfn.RANK.AVG($J9,($J9,$O9,$T9)))*20)</f>
        <v/>
      </c>
      <c r="V9" s="54" t="str">
        <f>IF($O9="","",ROUND(($O9-$O$3)/1000,1)+(2-_xlfn.RANK.AVG($O9,($J9,$O9,$T9)))*20)</f>
        <v/>
      </c>
      <c r="W9" s="55" t="str">
        <f>IF($T9="","",ROUND(($T9-$T$3)/1000,1)+(2-_xlfn.RANK.AVG($T9,($J9,$O9,$T9)))*20)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IF($J10="","",ROUND(($J10-$J$3)/1000,1)+(2-_xlfn.RANK.AVG($J10,($J10,$O10,$T10)))*20)</f>
        <v/>
      </c>
      <c r="V10" s="54" t="str">
        <f>IF($O10="","",ROUND(($O10-$O$3)/1000,1)+(2-_xlfn.RANK.AVG($O10,($J10,$O10,$T10)))*20)</f>
        <v/>
      </c>
      <c r="W10" s="55" t="str">
        <f>IF($T10="","",ROUND(($T10-$T$3)/1000,1)+(2-_xlfn.RANK.AVG($T10,($J10,$O10,$T10)))*20)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IF($J11="","",ROUND(($J11-$J$3)/1000,1)+(2-_xlfn.RANK.AVG($J11,($J11,$O11,$T11)))*20)</f>
        <v/>
      </c>
      <c r="V11" s="54" t="str">
        <f>IF($O11="","",ROUND(($O11-$O$3)/1000,1)+(2-_xlfn.RANK.AVG($O11,($J11,$O11,$T11)))*20)</f>
        <v/>
      </c>
      <c r="W11" s="55" t="str">
        <f>IF($T11="","",ROUND(($T11-$T$3)/1000,1)+(2-_xlfn.RANK.AVG($T11,($J11,$O11,$T11)))*20)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IF($J12="","",ROUND(($J12-$J$3)/1000,1)+(2-_xlfn.RANK.AVG($J12,($J12,$O12,$T12)))*20)</f>
        <v/>
      </c>
      <c r="V12" s="54" t="str">
        <f>IF($O12="","",ROUND(($O12-$O$3)/1000,1)+(2-_xlfn.RANK.AVG($O12,($J12,$O12,$T12)))*20)</f>
        <v/>
      </c>
      <c r="W12" s="55" t="str">
        <f>IF($T12="","",ROUND(($T12-$T$3)/1000,1)+(2-_xlfn.RANK.AVG($T12,($J12,$O12,$T12)))*20)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7CF52528-9BDD-4012-9CDE-8BF62AABCE4D}">
      <formula1>$U$2:$W$2</formula1>
    </dataValidation>
    <dataValidation type="list" showInputMessage="1" showErrorMessage="1" sqref="K4:K30 P4:P30 F4:F30" xr:uid="{03B0CE53-4D35-4A65-95A9-0351E42ADA2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2019-02-20T06:45:12Z</dcterms:modified>
</cp:coreProperties>
</file>