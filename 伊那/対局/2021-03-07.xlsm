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Friends\対局\"/>
    </mc:Choice>
  </mc:AlternateContent>
  <xr:revisionPtr revIDLastSave="0" documentId="13_ncr:1_{6F6E5FFE-4961-4022-972D-D8266A98916B}" xr6:coauthVersionLast="45" xr6:coauthVersionMax="45" xr10:uidLastSave="{00000000-0000-0000-0000-000000000000}"/>
  <bookViews>
    <workbookView xWindow="-120" yWindow="-120" windowWidth="29040" windowHeight="1599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D10" i="23"/>
  <c r="C10" i="23"/>
  <c r="D9" i="23"/>
  <c r="C9" i="23"/>
  <c r="D8" i="23"/>
  <c r="C8" i="23"/>
  <c r="D7" i="23"/>
  <c r="C7" i="23"/>
  <c r="D6" i="23"/>
  <c r="C6" i="23"/>
  <c r="B6" i="23"/>
  <c r="B7" i="23" s="1"/>
  <c r="T5" i="23"/>
  <c r="D5" i="23"/>
  <c r="C5" i="23"/>
  <c r="B5" i="23"/>
  <c r="A5" i="23" s="1"/>
  <c r="T4" i="23"/>
  <c r="O4" i="23"/>
  <c r="V4" i="23" s="1"/>
  <c r="J4" i="23"/>
  <c r="W3" i="23"/>
  <c r="V3" i="23"/>
  <c r="U3" i="23"/>
  <c r="W2" i="23"/>
  <c r="V2" i="23"/>
  <c r="U2" i="23"/>
  <c r="BO1" i="23"/>
  <c r="AT1" i="23"/>
  <c r="Y1" i="23"/>
  <c r="A6" i="23" l="1"/>
  <c r="W4" i="23"/>
  <c r="B8" i="23"/>
  <c r="A8" i="23" s="1"/>
  <c r="J5" i="23"/>
  <c r="A7" i="23"/>
  <c r="U4" i="23"/>
  <c r="O5" i="23"/>
  <c r="W5" i="23" s="1"/>
  <c r="T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O10" i="22"/>
  <c r="J10" i="22"/>
  <c r="U10" i="22" s="1"/>
  <c r="D10" i="22"/>
  <c r="C10" i="22"/>
  <c r="B10" i="22"/>
  <c r="A10" i="22" s="1"/>
  <c r="T9" i="22"/>
  <c r="O9" i="22"/>
  <c r="J9" i="22"/>
  <c r="U9" i="22" s="1"/>
  <c r="D9" i="22"/>
  <c r="C9" i="22"/>
  <c r="B9" i="22"/>
  <c r="A9" i="22" s="1"/>
  <c r="T8" i="22"/>
  <c r="O8" i="22"/>
  <c r="V8" i="22" s="1"/>
  <c r="J8" i="22"/>
  <c r="U8" i="22" s="1"/>
  <c r="D8" i="22"/>
  <c r="C8" i="22"/>
  <c r="B8" i="22"/>
  <c r="A8" i="22"/>
  <c r="D7" i="22"/>
  <c r="D6" i="22"/>
  <c r="T5" i="22"/>
  <c r="T6" i="22" s="1"/>
  <c r="O5" i="22"/>
  <c r="D5" i="22"/>
  <c r="C5" i="22"/>
  <c r="C6" i="22" s="1"/>
  <c r="C7" i="22" s="1"/>
  <c r="B5" i="22"/>
  <c r="A5" i="22" s="1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9" i="21"/>
  <c r="D10" i="21" s="1"/>
  <c r="C9" i="21"/>
  <c r="C10" i="21" s="1"/>
  <c r="D8" i="21"/>
  <c r="C8" i="21"/>
  <c r="D7" i="21"/>
  <c r="C7" i="21"/>
  <c r="D6" i="21"/>
  <c r="C6" i="21"/>
  <c r="B6" i="21"/>
  <c r="B7" i="21" s="1"/>
  <c r="T5" i="21"/>
  <c r="D5" i="21"/>
  <c r="C5" i="21"/>
  <c r="B5" i="21"/>
  <c r="A5" i="2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D10" i="20"/>
  <c r="C10" i="20"/>
  <c r="D9" i="20"/>
  <c r="C9" i="20"/>
  <c r="D8" i="20"/>
  <c r="C8" i="20"/>
  <c r="D7" i="20"/>
  <c r="C7" i="20"/>
  <c r="D6" i="20"/>
  <c r="C6" i="20"/>
  <c r="J5" i="20"/>
  <c r="J6" i="20" s="1"/>
  <c r="D5" i="20"/>
  <c r="T4" i="20"/>
  <c r="T5" i="20" s="1"/>
  <c r="O4" i="20"/>
  <c r="J4" i="20"/>
  <c r="C5" i="20"/>
  <c r="W3" i="20"/>
  <c r="V3" i="20"/>
  <c r="U3" i="20"/>
  <c r="W2" i="20"/>
  <c r="V2" i="20"/>
  <c r="U2" i="20"/>
  <c r="BO1" i="20"/>
  <c r="AT1" i="20"/>
  <c r="Y1" i="20"/>
  <c r="B9" i="23" l="1"/>
  <c r="T7" i="23"/>
  <c r="V5" i="23"/>
  <c r="O6" i="23"/>
  <c r="U5" i="23"/>
  <c r="J6" i="23"/>
  <c r="V10" i="22"/>
  <c r="W10" i="22"/>
  <c r="V9" i="22"/>
  <c r="W9" i="22"/>
  <c r="W8" i="22"/>
  <c r="U4" i="22"/>
  <c r="W4" i="22"/>
  <c r="V5" i="22"/>
  <c r="T7" i="22"/>
  <c r="B6" i="22"/>
  <c r="J5" i="22"/>
  <c r="V4" i="22"/>
  <c r="O6" i="22"/>
  <c r="A6" i="21"/>
  <c r="W4" i="21"/>
  <c r="V4" i="21"/>
  <c r="B8" i="21"/>
  <c r="O6" i="21"/>
  <c r="J5" i="21"/>
  <c r="W5" i="21" s="1"/>
  <c r="A7" i="21"/>
  <c r="U4" i="21"/>
  <c r="T6" i="21"/>
  <c r="V11" i="20"/>
  <c r="W11" i="20"/>
  <c r="U4" i="20"/>
  <c r="W4" i="20"/>
  <c r="T6" i="20"/>
  <c r="J7" i="20"/>
  <c r="O5" i="20"/>
  <c r="W5" i="20" s="1"/>
  <c r="V4" i="20"/>
  <c r="B5" i="20"/>
  <c r="E4" i="19"/>
  <c r="U6" i="23" l="1"/>
  <c r="J7" i="23"/>
  <c r="B10" i="23"/>
  <c r="A10" i="23" s="1"/>
  <c r="T8" i="23"/>
  <c r="A9" i="23"/>
  <c r="O7" i="23"/>
  <c r="V6" i="23"/>
  <c r="W6" i="23"/>
  <c r="O7" i="22"/>
  <c r="W5" i="22"/>
  <c r="U5" i="22"/>
  <c r="J6" i="22"/>
  <c r="V6" i="22" s="1"/>
  <c r="B7" i="22"/>
  <c r="A7" i="22" s="1"/>
  <c r="A6" i="22"/>
  <c r="A8" i="21"/>
  <c r="T7" i="21"/>
  <c r="B9" i="21"/>
  <c r="U5" i="21"/>
  <c r="J6" i="21"/>
  <c r="V6" i="21" s="1"/>
  <c r="V5" i="21"/>
  <c r="O7" i="21"/>
  <c r="B6" i="20"/>
  <c r="A5" i="20"/>
  <c r="T7" i="20"/>
  <c r="O6" i="20"/>
  <c r="W6" i="20" s="1"/>
  <c r="V5" i="20"/>
  <c r="U5" i="20"/>
  <c r="J8" i="20"/>
  <c r="W3" i="19"/>
  <c r="V3" i="19"/>
  <c r="U3" i="19"/>
  <c r="J8" i="23" l="1"/>
  <c r="U7" i="23"/>
  <c r="W7" i="23"/>
  <c r="V7" i="23"/>
  <c r="O8" i="23"/>
  <c r="T9" i="23"/>
  <c r="U6" i="22"/>
  <c r="J7" i="22"/>
  <c r="V7" i="22" s="1"/>
  <c r="W6" i="22"/>
  <c r="B10" i="21"/>
  <c r="T8" i="21"/>
  <c r="O8" i="21"/>
  <c r="W6" i="21"/>
  <c r="U6" i="21"/>
  <c r="J7" i="21"/>
  <c r="W7" i="21" s="1"/>
  <c r="A9" i="21"/>
  <c r="J9" i="20"/>
  <c r="B7" i="20"/>
  <c r="V6" i="20"/>
  <c r="O7" i="20"/>
  <c r="U6" i="20"/>
  <c r="A6" i="20"/>
  <c r="W7" i="20"/>
  <c r="T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8" i="23" l="1"/>
  <c r="U8" i="23"/>
  <c r="J9" i="23"/>
  <c r="T10" i="23"/>
  <c r="V8" i="23"/>
  <c r="O9" i="23"/>
  <c r="U7" i="22"/>
  <c r="W7" i="22"/>
  <c r="B11" i="21"/>
  <c r="A11" i="21"/>
  <c r="J8" i="21"/>
  <c r="U7" i="21"/>
  <c r="A10" i="21"/>
  <c r="V7" i="21"/>
  <c r="O9" i="21"/>
  <c r="T9" i="21"/>
  <c r="A7" i="20"/>
  <c r="J10" i="20"/>
  <c r="V7" i="20"/>
  <c r="O8" i="20"/>
  <c r="U7" i="20"/>
  <c r="W8" i="20"/>
  <c r="T9" i="20"/>
  <c r="B8" i="20"/>
  <c r="A8" i="20" s="1"/>
  <c r="V9" i="19"/>
  <c r="U9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0" i="23" l="1"/>
  <c r="U9" i="23"/>
  <c r="V9" i="23"/>
  <c r="O10" i="23"/>
  <c r="W9" i="23"/>
  <c r="U8" i="21"/>
  <c r="J9" i="21"/>
  <c r="W8" i="21"/>
  <c r="T10" i="21"/>
  <c r="O10" i="21"/>
  <c r="V8" i="21"/>
  <c r="B9" i="20"/>
  <c r="A9" i="20" s="1"/>
  <c r="T10" i="20"/>
  <c r="V8" i="20"/>
  <c r="O9" i="20"/>
  <c r="U8" i="20"/>
  <c r="W5" i="19"/>
  <c r="V5" i="19"/>
  <c r="U5" i="19"/>
  <c r="U10" i="23" l="1"/>
  <c r="V10" i="23"/>
  <c r="W10" i="23"/>
  <c r="U9" i="21"/>
  <c r="J10" i="21"/>
  <c r="V9" i="21"/>
  <c r="O11" i="21"/>
  <c r="T11" i="21"/>
  <c r="W10" i="21"/>
  <c r="W9" i="21"/>
  <c r="B10" i="20"/>
  <c r="A10" i="20" s="1"/>
  <c r="O10" i="20"/>
  <c r="W10" i="20" s="1"/>
  <c r="V9" i="20"/>
  <c r="U9" i="20"/>
  <c r="W9" i="20"/>
  <c r="U10" i="21" l="1"/>
  <c r="J11" i="21"/>
  <c r="U11" i="21" s="1"/>
  <c r="W11" i="21"/>
  <c r="V10" i="21"/>
  <c r="V10" i="20"/>
  <c r="U10" i="20"/>
  <c r="V11" i="21" l="1"/>
</calcChain>
</file>

<file path=xl/sharedStrings.xml><?xml version="1.0" encoding="utf-8"?>
<sst xmlns="http://schemas.openxmlformats.org/spreadsheetml/2006/main" count="976" uniqueCount="207">
  <si>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</si>
  <si>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</si>
  <si>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</si>
  <si>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</si>
  <si>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</si>
  <si>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</si>
  <si>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</si>
  <si>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</si>
  <si>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</si>
  <si>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</si>
  <si>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</si>
  <si>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</si>
  <si>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</si>
  <si>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</si>
  <si>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</si>
  <si>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</si>
  <si>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</si>
  <si>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</si>
  <si>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</si>
  <si>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</si>
  <si>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</si>
  <si>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</si>
  <si>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</si>
  <si>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</si>
  <si>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</si>
  <si>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</si>
  <si>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</si>
  <si>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</si>
  <si>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</si>
  <si>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</si>
  <si>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</si>
  <si>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</si>
  <si>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</si>
  <si>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</si>
  <si>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</si>
  <si>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</si>
  <si>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</si>
  <si>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</si>
  <si>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</si>
  <si>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</si>
  <si>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</si>
  <si>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</si>
  <si>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</si>
  <si>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</si>
  <si>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</si>
  <si>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</si>
  <si>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</si>
  <si>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</si>
  <si>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</si>
  <si>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</si>
  <si>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</si>
  <si>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</si>
  <si>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</si>
  <si>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</si>
  <si>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</si>
  <si>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</si>
  <si>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</si>
  <si>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</si>
  <si>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</si>
  <si>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</si>
  <si>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</si>
  <si>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</si>
  <si>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</si>
  <si>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</si>
  <si>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</si>
  <si>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</si>
  <si>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</si>
  <si>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</si>
  <si>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</si>
  <si>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</si>
  <si>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</si>
  <si>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</si>
  <si>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</si>
  <si>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</si>
  <si>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</si>
  <si>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</si>
  <si>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</si>
  <si>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</si>
  <si>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</si>
  <si>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</si>
  <si>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</si>
  <si>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</si>
  <si>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</si>
  <si>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</si>
  <si>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</si>
  <si>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</si>
  <si>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</si>
  <si>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</si>
  <si>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</si>
  <si>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</si>
  <si>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</si>
  <si>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</si>
  <si>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</si>
  <si>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</si>
  <si>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</si>
  <si>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</si>
  <si>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</si>
  <si>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</si>
  <si>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</si>
  <si>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</si>
  <si>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</si>
  <si>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</si>
  <si>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</si>
  <si>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</si>
  <si>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</si>
  <si>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</si>
  <si>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</si>
  <si>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</si>
  <si>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</si>
  <si>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</si>
  <si>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</si>
  <si>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</si>
  <si>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</si>
  <si>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</si>
  <si>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</si>
  <si>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</si>
  <si>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</si>
  <si>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</si>
  <si>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</si>
  <si>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</si>
  <si>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</si>
  <si>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</si>
  <si>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</si>
  <si>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</si>
  <si>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</si>
  <si>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</si>
  <si>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</si>
  <si>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</si>
  <si>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</si>
  <si>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</si>
  <si>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</si>
  <si>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</si>
  <si>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</si>
  <si>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</si>
  <si>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</si>
  <si>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</si>
  <si>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</si>
  <si>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</si>
  <si>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</si>
  <si>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</si>
  <si>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</si>
  <si>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</si>
  <si>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</si>
  <si>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</si>
  <si>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</si>
  <si>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</si>
  <si>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</si>
  <si>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</si>
  <si>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</si>
  <si>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</si>
  <si>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</si>
  <si>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</si>
  <si>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</si>
  <si>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</si>
  <si>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</si>
  <si>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</si>
  <si>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</si>
  <si>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</si>
  <si>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</si>
  <si>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</si>
  <si>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</si>
  <si>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</si>
  <si>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</si>
  <si>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</si>
  <si>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</si>
  <si>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</si>
  <si>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</si>
  <si>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</si>
  <si>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</si>
  <si>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</si>
  <si>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</si>
  <si>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</si>
  <si>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</si>
  <si>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</si>
  <si>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</si>
  <si>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</si>
  <si>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</si>
  <si>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</si>
  <si>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</si>
  <si>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</si>
  <si>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</si>
  <si>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</si>
  <si>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</si>
  <si>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</si>
  <si>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</si>
  <si>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</si>
  <si>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</si>
  <si>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</si>
  <si>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</si>
  <si>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</si>
  <si>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</t>
    <phoneticPr fontId="1"/>
  </si>
  <si>
    <t>ともまさ</t>
  </si>
  <si>
    <t>ともまさ</t>
    <phoneticPr fontId="1"/>
  </si>
  <si>
    <t>たいせい</t>
  </si>
  <si>
    <t>たいせい</t>
    <phoneticPr fontId="1"/>
  </si>
  <si>
    <t>だいち</t>
  </si>
  <si>
    <t>だいち</t>
    <phoneticPr fontId="1"/>
  </si>
  <si>
    <t>ツモ</t>
  </si>
  <si>
    <t>ツモ支払</t>
  </si>
  <si>
    <t>01</t>
  </si>
  <si>
    <t>02</t>
  </si>
  <si>
    <t>52</t>
  </si>
  <si>
    <t>*</t>
  </si>
  <si>
    <t>ロン</t>
  </si>
  <si>
    <t>放銃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</si>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</sst>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ともまさ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たいせい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ともまさ</v>
      </c>
      <c r="V2" s="64" t="str">
        <f>$K$1</f>
        <v>たいせい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ともまさ</v>
      </c>
      <c r="F4" s="8" t="s">
        <v>197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198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198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199</v>
      </c>
      <c r="AF4" s="41" t="s">
        <v>82</v>
      </c>
      <c r="AG4" s="41" t="s">
        <v>200</v>
      </c>
      <c r="AH4" s="41" t="s">
        <v>201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-7500</v>
      </c>
      <c r="H5" s="9">
        <v>-1000</v>
      </c>
      <c r="I5" s="48">
        <v>-500</v>
      </c>
      <c r="J5" s="21">
        <f t="shared" ref="J5:J30" si="2">IF(COUNTA($F5,$K5,$P5)&gt;0,J4+SUM(G5:I5),"")</f>
        <v>38000</v>
      </c>
      <c r="K5" s="8" t="s">
        <v>197</v>
      </c>
      <c r="L5" s="9">
        <v>12000</v>
      </c>
      <c r="M5" s="9">
        <v>2000</v>
      </c>
      <c r="N5" s="48">
        <v>1000</v>
      </c>
      <c r="O5" s="21">
        <f t="shared" ref="O5:O30" si="3">IF(COUNTA($F5,$K5,$P5)&gt;0,O4+SUM(L5:N5),"")</f>
        <v>44000</v>
      </c>
      <c r="P5" s="8" t="s">
        <v>198</v>
      </c>
      <c r="Q5" s="9">
        <v>-4500</v>
      </c>
      <c r="R5" s="9">
        <v>-1000</v>
      </c>
      <c r="S5" s="48">
        <v>-500</v>
      </c>
      <c r="T5" s="21">
        <f t="shared" ref="T5:T30" si="4">IF(COUNTA($F5,$K5,$P5)&gt;0,T4+SUM(Q5:S5),"")</f>
        <v>23000</v>
      </c>
      <c r="U5" s="53">
        <f>IF($J5="","",ROUND(($J5-$J$3)/1000,1)+(_xlfn.RANK.AVG($J5,($J5,$O5,$T5),1)-2)*10)</f>
        <v>3</v>
      </c>
      <c r="V5" s="54">
        <f>IF($O5="","",ROUND(($O5-$O$3)/1000,1)+(_xlfn.RANK.AVG($O5,($J5,$O5,$T5),1)-2)*10)</f>
        <v>19</v>
      </c>
      <c r="W5" s="55">
        <f>IF($T5="","",ROUND(($T5-$T$3)/1000,1)+(_xlfn.RANK.AVG($T5,($J5,$O5,$T5),1)-2)*10)</f>
        <v>-22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202</v>
      </c>
      <c r="AZ5" s="40" t="s">
        <v>199</v>
      </c>
      <c r="BA5" s="41" t="s">
        <v>82</v>
      </c>
      <c r="BB5" s="41" t="s">
        <v>200</v>
      </c>
      <c r="BC5" s="41" t="s">
        <v>83</v>
      </c>
      <c r="BD5" s="41" t="s">
        <v>201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203</v>
      </c>
      <c r="G6" s="9">
        <v>6400</v>
      </c>
      <c r="H6" s="9"/>
      <c r="I6" s="48">
        <v>0</v>
      </c>
      <c r="J6" s="21">
        <f t="shared" si="2"/>
        <v>44400</v>
      </c>
      <c r="K6" s="8"/>
      <c r="L6" s="9"/>
      <c r="M6" s="9"/>
      <c r="N6" s="48"/>
      <c r="O6" s="21">
        <f t="shared" si="3"/>
        <v>44000</v>
      </c>
      <c r="P6" s="8" t="s">
        <v>204</v>
      </c>
      <c r="Q6" s="9">
        <v>-6400</v>
      </c>
      <c r="R6" s="9"/>
      <c r="S6" s="48">
        <v>0</v>
      </c>
      <c r="T6" s="21">
        <f t="shared" si="4"/>
        <v>16600</v>
      </c>
      <c r="U6" s="53">
        <f>IF($J6="","",ROUND(($J6-$J$3)/1000,1)+(_xlfn.RANK.AVG($J6,($J6,$O6,$T6),1)-2)*10)</f>
        <v>19.399999999999999</v>
      </c>
      <c r="V6" s="54">
        <f>IF($O6="","",ROUND(($O6-$O$3)/1000,1)+(_xlfn.RANK.AVG($O6,($J6,$O6,$T6),1)-2)*10)</f>
        <v>9</v>
      </c>
      <c r="W6" s="55">
        <f>IF($T6="","",ROUND(($T6-$T$3)/1000,1)+(_xlfn.RANK.AVG($T6,($J6,$O6,$T6),1)-2)*10)</f>
        <v>-28.4</v>
      </c>
      <c r="Y6" s="8"/>
      <c r="Z6" s="34"/>
      <c r="AA6" s="26"/>
      <c r="AB6" s="26"/>
      <c r="AC6" s="26">
        <v>4</v>
      </c>
      <c r="AD6" s="30">
        <v>25</v>
      </c>
      <c r="AE6" s="40" t="s">
        <v>101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-1100</v>
      </c>
      <c r="H7" s="9">
        <v>-1000</v>
      </c>
      <c r="I7" s="48">
        <v>0</v>
      </c>
      <c r="J7" s="21">
        <f t="shared" si="2"/>
        <v>42300</v>
      </c>
      <c r="K7" s="8" t="s">
        <v>197</v>
      </c>
      <c r="L7" s="9">
        <v>2800</v>
      </c>
      <c r="M7" s="9">
        <v>1000</v>
      </c>
      <c r="N7" s="48">
        <v>0</v>
      </c>
      <c r="O7" s="21">
        <f t="shared" si="3"/>
        <v>47800</v>
      </c>
      <c r="P7" s="8" t="s">
        <v>198</v>
      </c>
      <c r="Q7" s="9">
        <v>-1700</v>
      </c>
      <c r="R7" s="9"/>
      <c r="S7" s="48">
        <v>0</v>
      </c>
      <c r="T7" s="21">
        <f t="shared" si="4"/>
        <v>14900</v>
      </c>
      <c r="U7" s="53">
        <f>IF($J7="","",ROUND(($J7-$J$3)/1000,1)+(_xlfn.RANK.AVG($J7,($J7,$O7,$T7),1)-2)*10)</f>
        <v>7.3</v>
      </c>
      <c r="V7" s="54">
        <f>IF($O7="","",ROUND(($O7-$O$3)/1000,1)+(_xlfn.RANK.AVG($O7,($J7,$O7,$T7),1)-2)*10)</f>
        <v>22.8</v>
      </c>
      <c r="W7" s="55">
        <f>IF($T7="","",ROUND(($T7-$T$3)/1000,1)+(_xlfn.RANK.AVG($T7,($J7,$O7,$T7),1)-2)*10)</f>
        <v>-30.1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20</v>
      </c>
      <c r="AZ7" s="40" t="s">
        <v>82</v>
      </c>
      <c r="BA7" s="41" t="s">
        <v>83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198</v>
      </c>
      <c r="G8" s="9">
        <v>-5000</v>
      </c>
      <c r="H8" s="9">
        <v>-1000</v>
      </c>
      <c r="I8" s="48">
        <v>0</v>
      </c>
      <c r="J8" s="21">
        <f t="shared" si="2"/>
        <v>36300</v>
      </c>
      <c r="K8" s="8" t="s">
        <v>198</v>
      </c>
      <c r="L8" s="9">
        <v>-3000</v>
      </c>
      <c r="M8" s="9"/>
      <c r="N8" s="48">
        <v>0</v>
      </c>
      <c r="O8" s="21">
        <f t="shared" si="3"/>
        <v>44800</v>
      </c>
      <c r="P8" s="8" t="s">
        <v>197</v>
      </c>
      <c r="Q8" s="9">
        <v>8000</v>
      </c>
      <c r="R8" s="9">
        <v>1000</v>
      </c>
      <c r="S8" s="48">
        <v>0</v>
      </c>
      <c r="T8" s="21">
        <f t="shared" si="4"/>
        <v>23900</v>
      </c>
      <c r="U8" s="53">
        <f>IF($J8="","",ROUND(($J8-$J$3)/1000,1)+(_xlfn.RANK.AVG($J8,($J8,$O8,$T8),1)-2)*10)</f>
        <v>1.3</v>
      </c>
      <c r="V8" s="54">
        <f>IF($O8="","",ROUND(($O8-$O$3)/1000,1)+(_xlfn.RANK.AVG($O8,($J8,$O8,$T8),1)-2)*10)</f>
        <v>19.8</v>
      </c>
      <c r="W8" s="55">
        <f>IF($T8="","",ROUND(($T8-$T$3)/1000,1)+(_xlfn.RANK.AVG($T8,($J8,$O8,$T8),1)-2)*10)</f>
        <v>-21.1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202</v>
      </c>
      <c r="BU8" s="40" t="s">
        <v>199</v>
      </c>
      <c r="BV8" s="41" t="s">
        <v>82</v>
      </c>
      <c r="BW8" s="41" t="s">
        <v>101</v>
      </c>
      <c r="BX8" s="41" t="s">
        <v>201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203</v>
      </c>
      <c r="G9" s="9">
        <v>12000</v>
      </c>
      <c r="H9" s="9">
        <v>1000</v>
      </c>
      <c r="I9" s="48">
        <v>0</v>
      </c>
      <c r="J9" s="21">
        <f t="shared" si="2"/>
        <v>49300</v>
      </c>
      <c r="K9" s="8" t="s">
        <v>204</v>
      </c>
      <c r="L9" s="9">
        <v>-12000</v>
      </c>
      <c r="M9" s="9">
        <v>-1000</v>
      </c>
      <c r="N9" s="48">
        <v>0</v>
      </c>
      <c r="O9" s="21">
        <f t="shared" si="3"/>
        <v>31800</v>
      </c>
      <c r="P9" s="8"/>
      <c r="Q9" s="9"/>
      <c r="R9" s="9"/>
      <c r="S9" s="48"/>
      <c r="T9" s="21">
        <f t="shared" si="4"/>
        <v>23900</v>
      </c>
      <c r="U9" s="53">
        <f>IF($J9="","",ROUND(($J9-$J$3)/1000,1)+(_xlfn.RANK.AVG($J9,($J9,$O9,$T9),1)-2)*10)</f>
        <v>24.3</v>
      </c>
      <c r="V9" s="54">
        <f>IF($O9="","",ROUND(($O9-$O$3)/1000,1)+(_xlfn.RANK.AVG($O9,($J9,$O9,$T9),1)-2)*10)</f>
        <v>-3.2</v>
      </c>
      <c r="W9" s="55">
        <f>IF($T9="","",ROUND(($T9-$T$3)/1000,1)+(_xlfn.RANK.AVG($T9,($J9,$O9,$T9),1)-2)*10)</f>
        <v>-21.1</v>
      </c>
      <c r="Y9" s="8"/>
      <c r="Z9" s="34"/>
      <c r="AA9" s="26">
        <v>1</v>
      </c>
      <c r="AB9" s="26"/>
      <c r="AC9" s="26">
        <v>6</v>
      </c>
      <c r="AD9" s="30" t="s">
        <v>202</v>
      </c>
      <c r="AE9" s="40" t="s">
        <v>199</v>
      </c>
      <c r="AF9" s="41" t="s">
        <v>86</v>
      </c>
      <c r="AG9" s="41" t="s">
        <v>79</v>
      </c>
      <c r="AH9" s="41" t="s">
        <v>79</v>
      </c>
      <c r="AI9" s="41" t="s">
        <v>79</v>
      </c>
      <c r="AJ9" s="41" t="s">
        <v>79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203</v>
      </c>
      <c r="G10" s="9">
        <v>5200</v>
      </c>
      <c r="H10" s="9"/>
      <c r="I10" s="48">
        <v>0</v>
      </c>
      <c r="J10" s="21">
        <f t="shared" si="2"/>
        <v>54500</v>
      </c>
      <c r="K10" s="8"/>
      <c r="L10" s="9"/>
      <c r="M10" s="9"/>
      <c r="N10" s="48"/>
      <c r="O10" s="21">
        <f t="shared" si="3"/>
        <v>31800</v>
      </c>
      <c r="P10" s="8" t="s">
        <v>204</v>
      </c>
      <c r="Q10" s="9">
        <v>-5200</v>
      </c>
      <c r="R10" s="9"/>
      <c r="S10" s="48">
        <v>0</v>
      </c>
      <c r="T10" s="21">
        <f t="shared" si="4"/>
        <v>18700</v>
      </c>
      <c r="U10" s="53">
        <f>IF($J10="","",ROUND(($J10-$J$3)/1000,1)+(_xlfn.RANK.AVG($J10,($J10,$O10,$T10),1)-2)*10)</f>
        <v>29.5</v>
      </c>
      <c r="V10" s="54">
        <f>IF($O10="","",ROUND(($O10-$O$3)/1000,1)+(_xlfn.RANK.AVG($O10,($J10,$O10,$T10),1)-2)*10)</f>
        <v>-3.2</v>
      </c>
      <c r="W10" s="55">
        <f>IF($T10="","",ROUND(($T10-$T$3)/1000,1)+(_xlfn.RANK.AVG($T10,($J10,$O10,$T10),1)-2)*10)</f>
        <v>-26.3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199</v>
      </c>
      <c r="AF10" s="41" t="s">
        <v>79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7CDE5-196D-4653-AB73-BD9BCDDD976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ともまさ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たいせい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ともまさ</v>
      </c>
      <c r="V2" s="70" t="str">
        <f>$K$1</f>
        <v>たいせい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198</v>
      </c>
      <c r="L4" s="9">
        <v>-5000</v>
      </c>
      <c r="M4" s="9"/>
      <c r="N4" s="48">
        <v>0</v>
      </c>
      <c r="O4" s="21">
        <f>IF(COUNTA($F4,$K4,$P4)&gt;0,O3+SUM(L4:N4),"")</f>
        <v>30000</v>
      </c>
      <c r="P4" s="8" t="s">
        <v>197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-3</v>
      </c>
      <c r="V4" s="54">
        <f>IF($O4="","",ROUND(($O4-$O$3)/1000,1)+(_xlfn.RANK.AVG($O4,($J4,$O4,$T4),1)-2)*10)</f>
        <v>-15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202</v>
      </c>
      <c r="BU4" s="40" t="s">
        <v>86</v>
      </c>
      <c r="BV4" s="41" t="s">
        <v>104</v>
      </c>
      <c r="BW4" s="41" t="s">
        <v>79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203</v>
      </c>
      <c r="G5" s="9">
        <v>5200</v>
      </c>
      <c r="H5" s="9"/>
      <c r="I5" s="48">
        <v>0</v>
      </c>
      <c r="J5" s="21">
        <f t="shared" ref="J5:J30" si="2">IF(COUNTA($F5,$K5,$P5)&gt;0,J4+SUM(G5:I5),"")</f>
        <v>37200</v>
      </c>
      <c r="K5" s="8"/>
      <c r="L5" s="9"/>
      <c r="M5" s="9"/>
      <c r="N5" s="48"/>
      <c r="O5" s="21">
        <f t="shared" ref="O5:O30" si="3">IF(COUNTA($F5,$K5,$P5)&gt;0,O4+SUM(L5:N5),"")</f>
        <v>30000</v>
      </c>
      <c r="P5" s="8" t="s">
        <v>204</v>
      </c>
      <c r="Q5" s="9">
        <v>-5200</v>
      </c>
      <c r="R5" s="9"/>
      <c r="S5" s="48">
        <v>0</v>
      </c>
      <c r="T5" s="21">
        <f t="shared" ref="T5:T30" si="4">IF(COUNTA($F5,$K5,$P5)&gt;0,T4+SUM(Q5:S5),"")</f>
        <v>37800</v>
      </c>
      <c r="U5" s="53">
        <f>IF($J5="","",ROUND(($J5-$J$3)/1000,1)+(_xlfn.RANK.AVG($J5,($J5,$O5,$T5),1)-2)*10)</f>
        <v>2.2000000000000002</v>
      </c>
      <c r="V5" s="54">
        <f>IF($O5="","",ROUND(($O5-$O$3)/1000,1)+(_xlfn.RANK.AVG($O5,($J5,$O5,$T5),1)-2)*10)</f>
        <v>-15</v>
      </c>
      <c r="W5" s="55">
        <f>IF($T5="","",ROUND(($T5-$T$3)/1000,1)+(_xlfn.RANK.AVG($T5,($J5,$O5,$T5),1)-2)*10)</f>
        <v>12.8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199</v>
      </c>
      <c r="AF5" s="41" t="s">
        <v>80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197</v>
      </c>
      <c r="G6" s="9">
        <v>12000</v>
      </c>
      <c r="H6" s="9">
        <v>1000</v>
      </c>
      <c r="I6" s="48">
        <v>0</v>
      </c>
      <c r="J6" s="21">
        <f t="shared" si="2"/>
        <v>50200</v>
      </c>
      <c r="K6" s="8" t="s">
        <v>198</v>
      </c>
      <c r="L6" s="9">
        <v>-6000</v>
      </c>
      <c r="M6" s="9">
        <v>-1000</v>
      </c>
      <c r="N6" s="48">
        <v>0</v>
      </c>
      <c r="O6" s="21">
        <f t="shared" si="3"/>
        <v>23000</v>
      </c>
      <c r="P6" s="8" t="s">
        <v>198</v>
      </c>
      <c r="Q6" s="9">
        <v>-6000</v>
      </c>
      <c r="R6" s="9"/>
      <c r="S6" s="48">
        <v>0</v>
      </c>
      <c r="T6" s="21">
        <f t="shared" si="4"/>
        <v>31800</v>
      </c>
      <c r="U6" s="53">
        <f>IF($J6="","",ROUND(($J6-$J$3)/1000,1)+(_xlfn.RANK.AVG($J6,($J6,$O6,$T6),1)-2)*10)</f>
        <v>25.2</v>
      </c>
      <c r="V6" s="54">
        <f>IF($O6="","",ROUND(($O6-$O$3)/1000,1)+(_xlfn.RANK.AVG($O6,($J6,$O6,$T6),1)-2)*10)</f>
        <v>-22</v>
      </c>
      <c r="W6" s="55">
        <f>IF($T6="","",ROUND(($T6-$T$3)/1000,1)+(_xlfn.RANK.AVG($T6,($J6,$O6,$T6),1)-2)*10)</f>
        <v>-3.2</v>
      </c>
      <c r="Y6" s="8"/>
      <c r="Z6" s="34"/>
      <c r="AA6" s="26">
        <v>1</v>
      </c>
      <c r="AB6" s="26"/>
      <c r="AC6" s="26">
        <v>5</v>
      </c>
      <c r="AD6" s="30" t="s">
        <v>202</v>
      </c>
      <c r="AE6" s="40" t="s">
        <v>199</v>
      </c>
      <c r="AF6" s="41" t="s">
        <v>82</v>
      </c>
      <c r="AG6" s="41" t="s">
        <v>86</v>
      </c>
      <c r="AH6" s="41" t="s">
        <v>201</v>
      </c>
      <c r="AI6" s="41" t="s">
        <v>201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/>
      <c r="G7" s="9"/>
      <c r="H7" s="9">
        <v>-1000</v>
      </c>
      <c r="I7" s="48"/>
      <c r="J7" s="21">
        <f t="shared" si="2"/>
        <v>49200</v>
      </c>
      <c r="K7" s="8" t="s">
        <v>204</v>
      </c>
      <c r="L7" s="9">
        <v>-12000</v>
      </c>
      <c r="M7" s="9"/>
      <c r="N7" s="48">
        <v>-1000</v>
      </c>
      <c r="O7" s="21">
        <f t="shared" si="3"/>
        <v>10000</v>
      </c>
      <c r="P7" s="8" t="s">
        <v>203</v>
      </c>
      <c r="Q7" s="9">
        <v>12000</v>
      </c>
      <c r="R7" s="9">
        <v>1000</v>
      </c>
      <c r="S7" s="48">
        <v>1000</v>
      </c>
      <c r="T7" s="21">
        <f t="shared" si="4"/>
        <v>45800</v>
      </c>
      <c r="U7" s="53">
        <f>IF($J7="","",ROUND(($J7-$J$3)/1000,1)+(_xlfn.RANK.AVG($J7,($J7,$O7,$T7),1)-2)*10)</f>
        <v>24.2</v>
      </c>
      <c r="V7" s="54">
        <f>IF($O7="","",ROUND(($O7-$O$3)/1000,1)+(_xlfn.RANK.AVG($O7,($J7,$O7,$T7),1)-2)*10)</f>
        <v>-35</v>
      </c>
      <c r="W7" s="55">
        <f>IF($T7="","",ROUND(($T7-$T$3)/1000,1)+(_xlfn.RANK.AVG($T7,($J7,$O7,$T7),1)-2)*10)</f>
        <v>10.8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6</v>
      </c>
      <c r="BT7" s="30" t="s">
        <v>202</v>
      </c>
      <c r="BU7" s="40" t="s">
        <v>104</v>
      </c>
      <c r="BV7" s="41" t="s">
        <v>98</v>
      </c>
      <c r="BW7" s="41" t="s">
        <v>86</v>
      </c>
      <c r="BX7" s="41" t="s">
        <v>201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49200</v>
      </c>
      <c r="K8" s="8" t="s">
        <v>203</v>
      </c>
      <c r="L8" s="9">
        <v>18000</v>
      </c>
      <c r="M8" s="9">
        <v>1000</v>
      </c>
      <c r="N8" s="48">
        <v>0</v>
      </c>
      <c r="O8" s="21">
        <f t="shared" si="3"/>
        <v>29000</v>
      </c>
      <c r="P8" s="8" t="s">
        <v>204</v>
      </c>
      <c r="Q8" s="9">
        <v>-18000</v>
      </c>
      <c r="R8" s="9">
        <v>-1000</v>
      </c>
      <c r="S8" s="48">
        <v>0</v>
      </c>
      <c r="T8" s="21">
        <f t="shared" si="4"/>
        <v>26800</v>
      </c>
      <c r="U8" s="53">
        <f>IF($J8="","",ROUND(($J8-$J$3)/1000,1)+(_xlfn.RANK.AVG($J8,($J8,$O8,$T8),1)-2)*10)</f>
        <v>24.2</v>
      </c>
      <c r="V8" s="54">
        <f>IF($O8="","",ROUND(($O8-$O$3)/1000,1)+(_xlfn.RANK.AVG($O8,($J8,$O8,$T8),1)-2)*10)</f>
        <v>-6</v>
      </c>
      <c r="W8" s="55">
        <f>IF($T8="","",ROUND(($T8-$T$3)/1000,1)+(_xlfn.RANK.AVG($T8,($J8,$O8,$T8),1)-2)*10)</f>
        <v>-18.2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202</v>
      </c>
      <c r="AZ8" s="40" t="s">
        <v>199</v>
      </c>
      <c r="BA8" s="41" t="s">
        <v>101</v>
      </c>
      <c r="BB8" s="41" t="s">
        <v>79</v>
      </c>
      <c r="BC8" s="41" t="s">
        <v>79</v>
      </c>
      <c r="BD8" s="41" t="s">
        <v>201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206</v>
      </c>
      <c r="G9" s="9">
        <v>0</v>
      </c>
      <c r="H9" s="9"/>
      <c r="I9" s="48"/>
      <c r="J9" s="21">
        <f t="shared" si="2"/>
        <v>49200</v>
      </c>
      <c r="K9" s="8" t="s">
        <v>206</v>
      </c>
      <c r="L9" s="9">
        <v>0</v>
      </c>
      <c r="M9" s="9"/>
      <c r="N9" s="48"/>
      <c r="O9" s="21">
        <f t="shared" si="3"/>
        <v>29000</v>
      </c>
      <c r="P9" s="8" t="s">
        <v>206</v>
      </c>
      <c r="Q9" s="9">
        <v>0</v>
      </c>
      <c r="R9" s="9"/>
      <c r="S9" s="48"/>
      <c r="T9" s="21">
        <f t="shared" si="4"/>
        <v>26800</v>
      </c>
      <c r="U9" s="53">
        <f>IF($J9="","",ROUND(($J9-$J$3)/1000,1)+(_xlfn.RANK.AVG($J9,($J9,$O9,$T9),1)-2)*10)</f>
        <v>24.2</v>
      </c>
      <c r="V9" s="54">
        <f>IF($O9="","",ROUND(($O9-$O$3)/1000,1)+(_xlfn.RANK.AVG($O9,($J9,$O9,$T9),1)-2)*10)</f>
        <v>-6</v>
      </c>
      <c r="W9" s="55">
        <f>IF($T9="","",ROUND(($T9-$T$3)/1000,1)+(_xlfn.RANK.AVG($T9,($J9,$O9,$T9),1)-2)*10)</f>
        <v>-18.2</v>
      </c>
      <c r="Y9" s="8" t="s">
        <v>205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205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195</v>
      </c>
      <c r="F10" s="8" t="s">
        <v>203</v>
      </c>
      <c r="G10" s="9">
        <v>5200</v>
      </c>
      <c r="H10" s="9"/>
      <c r="I10" s="48">
        <v>2000</v>
      </c>
      <c r="J10" s="21">
        <f t="shared" si="2"/>
        <v>56400</v>
      </c>
      <c r="K10" s="8" t="s">
        <v>204</v>
      </c>
      <c r="L10" s="9">
        <v>-5200</v>
      </c>
      <c r="M10" s="9"/>
      <c r="N10" s="48">
        <v>-2000</v>
      </c>
      <c r="O10" s="21">
        <f t="shared" si="3"/>
        <v>21800</v>
      </c>
      <c r="P10" s="8"/>
      <c r="Q10" s="9"/>
      <c r="R10" s="9"/>
      <c r="S10" s="48"/>
      <c r="T10" s="21">
        <f t="shared" si="4"/>
        <v>26800</v>
      </c>
      <c r="U10" s="53">
        <f>IF($J10="","",ROUND(($J10-$J$3)/1000,1)+(_xlfn.RANK.AVG($J10,($J10,$O10,$T10),1)-2)*10)</f>
        <v>31.4</v>
      </c>
      <c r="V10" s="54">
        <f>IF($O10="","",ROUND(($O10-$O$3)/1000,1)+(_xlfn.RANK.AVG($O10,($J10,$O10,$T10),1)-2)*10)</f>
        <v>-23.2</v>
      </c>
      <c r="W10" s="55">
        <f>IF($T10="","",ROUND(($T10-$T$3)/1000,1)+(_xlfn.RANK.AVG($T10,($J10,$O10,$T10),1)-2)*10)</f>
        <v>-8.1999999999999993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199</v>
      </c>
      <c r="AF10" s="41" t="s">
        <v>79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203</v>
      </c>
      <c r="G11" s="9">
        <v>3900</v>
      </c>
      <c r="H11" s="9"/>
      <c r="I11" s="48">
        <v>0</v>
      </c>
      <c r="J11" s="21">
        <f t="shared" si="2"/>
        <v>60300</v>
      </c>
      <c r="K11" s="8"/>
      <c r="L11" s="9"/>
      <c r="M11" s="9"/>
      <c r="N11" s="48"/>
      <c r="O11" s="21">
        <f t="shared" si="3"/>
        <v>21800</v>
      </c>
      <c r="P11" s="8" t="s">
        <v>204</v>
      </c>
      <c r="Q11" s="9">
        <v>-3900</v>
      </c>
      <c r="R11" s="9"/>
      <c r="S11" s="48">
        <v>0</v>
      </c>
      <c r="T11" s="21">
        <f t="shared" si="4"/>
        <v>22900</v>
      </c>
      <c r="U11" s="53">
        <f>IF($J11="","",ROUND(($J11-$J$3)/1000,1)+(_xlfn.RANK.AVG($J11,($J11,$O11,$T11),1)-2)*10)</f>
        <v>35.299999999999997</v>
      </c>
      <c r="V11" s="54">
        <f>IF($O11="","",ROUND(($O11-$O$3)/1000,1)+(_xlfn.RANK.AVG($O11,($J11,$O11,$T11),1)-2)*10)</f>
        <v>-23.2</v>
      </c>
      <c r="W11" s="55">
        <f>IF($T11="","",ROUND(($T11-$T$3)/1000,1)+(_xlfn.RANK.AVG($T11,($J11,$O11,$T11),1)-2)*10)</f>
        <v>-12.1</v>
      </c>
      <c r="Y11" s="8"/>
      <c r="Z11" s="34"/>
      <c r="AA11" s="26">
        <v>1</v>
      </c>
      <c r="AB11" s="26"/>
      <c r="AC11" s="26">
        <v>2</v>
      </c>
      <c r="AD11" s="30">
        <v>40</v>
      </c>
      <c r="AE11" s="40" t="s">
        <v>199</v>
      </c>
      <c r="AF11" s="41" t="s">
        <v>201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091240C5-B307-46DD-8302-08D2B3DC7B12}">
      <formula1>"ロン,ツモ,放銃,ツモ支払,流局,チョンボ"</formula1>
    </dataValidation>
    <dataValidation type="list" allowBlank="1" showInputMessage="1" showErrorMessage="1" sqref="E4:E30" xr:uid="{83F3D373-5FBD-4750-ADC0-D516B30EFA7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F54CA-AEE8-48CA-A224-D00F1B873B9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194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たいせい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ともまさ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たいせい</v>
      </c>
      <c r="V2" s="70" t="str">
        <f>$K$1</f>
        <v>ともまさ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 t="s">
        <v>198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198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21.6</v>
      </c>
      <c r="V4" s="54">
        <f>IF($O4="","",ROUND(($O4-$O$3)/1000,1)+(_xlfn.RANK.AVG($O4,($J4,$O4,$T4),1)-2)*10)</f>
        <v>-10.8</v>
      </c>
      <c r="W4" s="55">
        <f>IF($T4="","",ROUND(($T4-$T$3)/1000,1)+(_xlfn.RANK.AVG($T4,($J4,$O4,$T4),1)-2)*10)</f>
        <v>-10.8</v>
      </c>
      <c r="Y4" s="8"/>
      <c r="Z4" s="34"/>
      <c r="AA4" s="26">
        <v>1</v>
      </c>
      <c r="AB4" s="26"/>
      <c r="AC4" s="26">
        <v>4</v>
      </c>
      <c r="AD4" s="30">
        <v>30</v>
      </c>
      <c r="AE4" s="40" t="s">
        <v>199</v>
      </c>
      <c r="AF4" s="41" t="s">
        <v>82</v>
      </c>
      <c r="AG4" s="41" t="s">
        <v>201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6000</v>
      </c>
      <c r="H5" s="9"/>
      <c r="I5" s="48">
        <v>1000</v>
      </c>
      <c r="J5" s="21">
        <f t="shared" ref="J5:J30" si="2">IF(COUNTA($F5,$K5,$P5)&gt;0,J4+SUM(G5:I5),"")</f>
        <v>53600</v>
      </c>
      <c r="K5" s="8" t="s">
        <v>198</v>
      </c>
      <c r="L5" s="9">
        <v>-3000</v>
      </c>
      <c r="M5" s="9"/>
      <c r="N5" s="48">
        <v>-500</v>
      </c>
      <c r="O5" s="21">
        <f t="shared" ref="O5:O30" si="3">IF(COUNTA($F5,$K5,$P5)&gt;0,O4+SUM(L5:N5),"")</f>
        <v>25700</v>
      </c>
      <c r="P5" s="8" t="s">
        <v>198</v>
      </c>
      <c r="Q5" s="9">
        <v>-3000</v>
      </c>
      <c r="R5" s="9"/>
      <c r="S5" s="48">
        <v>-500</v>
      </c>
      <c r="T5" s="21">
        <f t="shared" ref="T5:T30" si="4">IF(COUNTA($F5,$K5,$P5)&gt;0,T4+SUM(Q5:S5),"")</f>
        <v>25700</v>
      </c>
      <c r="U5" s="53">
        <f>IF($J5="","",ROUND(($J5-$J$3)/1000,1)+(_xlfn.RANK.AVG($J5,($J5,$O5,$T5),1)-2)*10)</f>
        <v>28.6</v>
      </c>
      <c r="V5" s="54">
        <f>IF($O5="","",ROUND(($O5-$O$3)/1000,1)+(_xlfn.RANK.AVG($O5,($J5,$O5,$T5),1)-2)*10)</f>
        <v>-14.3</v>
      </c>
      <c r="W5" s="55">
        <f>IF($T5="","",ROUND(($T5-$T$3)/1000,1)+(_xlfn.RANK.AVG($T5,($J5,$O5,$T5),1)-2)*10)</f>
        <v>-14.3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201</v>
      </c>
      <c r="AG5" s="41" t="s">
        <v>87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197</v>
      </c>
      <c r="G6" s="9">
        <v>18000</v>
      </c>
      <c r="H6" s="9">
        <v>1000</v>
      </c>
      <c r="I6" s="48">
        <v>2000</v>
      </c>
      <c r="J6" s="21">
        <f t="shared" si="2"/>
        <v>74600</v>
      </c>
      <c r="K6" s="8" t="s">
        <v>198</v>
      </c>
      <c r="L6" s="9">
        <v>-9000</v>
      </c>
      <c r="M6" s="9">
        <v>-1000</v>
      </c>
      <c r="N6" s="48">
        <v>-1000</v>
      </c>
      <c r="O6" s="21">
        <f t="shared" si="3"/>
        <v>14700</v>
      </c>
      <c r="P6" s="8" t="s">
        <v>198</v>
      </c>
      <c r="Q6" s="9">
        <v>-9000</v>
      </c>
      <c r="R6" s="9"/>
      <c r="S6" s="48">
        <v>-1000</v>
      </c>
      <c r="T6" s="21">
        <f t="shared" si="4"/>
        <v>15700</v>
      </c>
      <c r="U6" s="53">
        <f>IF($J6="","",ROUND(($J6-$J$3)/1000,1)+(_xlfn.RANK.AVG($J6,($J6,$O6,$T6),1)-2)*10)</f>
        <v>49.6</v>
      </c>
      <c r="V6" s="54">
        <f>IF($O6="","",ROUND(($O6-$O$3)/1000,1)+(_xlfn.RANK.AVG($O6,($J6,$O6,$T6),1)-2)*10)</f>
        <v>-30.3</v>
      </c>
      <c r="W6" s="55">
        <f>IF($T6="","",ROUND(($T6-$T$3)/1000,1)+(_xlfn.RANK.AVG($T6,($J6,$O6,$T6),1)-2)*10)</f>
        <v>-19.3</v>
      </c>
      <c r="Y6" s="8"/>
      <c r="Z6" s="34"/>
      <c r="AA6" s="26">
        <v>1</v>
      </c>
      <c r="AB6" s="26"/>
      <c r="AC6" s="26">
        <v>7</v>
      </c>
      <c r="AD6" s="30" t="s">
        <v>202</v>
      </c>
      <c r="AE6" s="40" t="s">
        <v>199</v>
      </c>
      <c r="AF6" s="41" t="s">
        <v>82</v>
      </c>
      <c r="AG6" s="41" t="s">
        <v>79</v>
      </c>
      <c r="AH6" s="41" t="s">
        <v>79</v>
      </c>
      <c r="AI6" s="41" t="s">
        <v>80</v>
      </c>
      <c r="AJ6" s="41" t="s">
        <v>80</v>
      </c>
      <c r="AK6" s="41" t="s">
        <v>80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74600</v>
      </c>
      <c r="K7" s="8" t="s">
        <v>204</v>
      </c>
      <c r="L7" s="9">
        <v>-16000</v>
      </c>
      <c r="M7" s="9"/>
      <c r="N7" s="48">
        <v>-3000</v>
      </c>
      <c r="O7" s="21">
        <f t="shared" si="3"/>
        <v>-4300</v>
      </c>
      <c r="P7" s="8" t="s">
        <v>203</v>
      </c>
      <c r="Q7" s="9">
        <v>16000</v>
      </c>
      <c r="R7" s="9"/>
      <c r="S7" s="48">
        <v>3000</v>
      </c>
      <c r="T7" s="21">
        <f t="shared" si="4"/>
        <v>34700</v>
      </c>
      <c r="U7" s="53">
        <f>IF($J7="","",ROUND(($J7-$J$3)/1000,1)+(_xlfn.RANK.AVG($J7,($J7,$O7,$T7),1)-2)*10)</f>
        <v>49.6</v>
      </c>
      <c r="V7" s="54">
        <f>IF($O7="","",ROUND(($O7-$O$3)/1000,1)+(_xlfn.RANK.AVG($O7,($J7,$O7,$T7),1)-2)*10)</f>
        <v>-49.3</v>
      </c>
      <c r="W7" s="55">
        <f>IF($T7="","",ROUND(($T7-$T$3)/1000,1)+(_xlfn.RANK.AVG($T7,($J7,$O7,$T7),1)-2)*10)</f>
        <v>-0.3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8</v>
      </c>
      <c r="BT7" s="30" t="s">
        <v>202</v>
      </c>
      <c r="BU7" s="40" t="s">
        <v>199</v>
      </c>
      <c r="BV7" s="41" t="s">
        <v>200</v>
      </c>
      <c r="BW7" s="41" t="s">
        <v>101</v>
      </c>
      <c r="BX7" s="41" t="s">
        <v>79</v>
      </c>
      <c r="BY7" s="41" t="s">
        <v>79</v>
      </c>
      <c r="BZ7" s="41" t="s">
        <v>80</v>
      </c>
      <c r="CA7" s="41" t="s">
        <v>80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DF386C1F-7921-4754-8384-4313B8529CC2}">
      <formula1>$U$2:$W$2</formula1>
    </dataValidation>
    <dataValidation type="list" showInputMessage="1" showErrorMessage="1" sqref="K4:K30 P4:P30 F4:F30" xr:uid="{288DD215-0F70-453E-B74D-F3D950D218E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F3E9D-E6BF-40A3-BF55-F7C57A483427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ともまさ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たいせい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ともまさ</v>
      </c>
      <c r="V2" s="70" t="str">
        <f>$K$1</f>
        <v>たいせい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198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197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198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202</v>
      </c>
      <c r="AZ4" s="40" t="s">
        <v>199</v>
      </c>
      <c r="BA4" s="41" t="s">
        <v>82</v>
      </c>
      <c r="BB4" s="41" t="s">
        <v>200</v>
      </c>
      <c r="BC4" s="41" t="s">
        <v>79</v>
      </c>
      <c r="BD4" s="41" t="s">
        <v>201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30000</v>
      </c>
      <c r="K5" s="8" t="s">
        <v>204</v>
      </c>
      <c r="L5" s="9">
        <v>-8000</v>
      </c>
      <c r="M5" s="9"/>
      <c r="N5" s="48">
        <v>0</v>
      </c>
      <c r="O5" s="21">
        <f t="shared" ref="O5:O30" si="3">IF(COUNTA($F5,$K5,$P5)&gt;0,O4+SUM(L5:N5),"")</f>
        <v>35000</v>
      </c>
      <c r="P5" s="8" t="s">
        <v>203</v>
      </c>
      <c r="Q5" s="9">
        <v>8000</v>
      </c>
      <c r="R5" s="9"/>
      <c r="S5" s="48">
        <v>0</v>
      </c>
      <c r="T5" s="21">
        <f t="shared" ref="T5:T30" si="4">IF(COUNTA($F5,$K5,$P5)&gt;0,T4+SUM(Q5:S5),"")</f>
        <v>40000</v>
      </c>
      <c r="U5" s="53">
        <f>IF($J5="","",ROUND(($J5-$J$3)/1000,1)+(_xlfn.RANK.AVG($J5,($J5,$O5,$T5),1)-2)*10)</f>
        <v>-15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15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202</v>
      </c>
      <c r="BU5" s="40" t="s">
        <v>86</v>
      </c>
      <c r="BV5" s="41" t="s">
        <v>104</v>
      </c>
      <c r="BW5" s="41" t="s">
        <v>79</v>
      </c>
      <c r="BX5" s="41" t="s">
        <v>201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204</v>
      </c>
      <c r="G6" s="9">
        <v>-12000</v>
      </c>
      <c r="H6" s="9"/>
      <c r="I6" s="48">
        <v>0</v>
      </c>
      <c r="J6" s="21">
        <f t="shared" si="2"/>
        <v>18000</v>
      </c>
      <c r="K6" s="8"/>
      <c r="L6" s="9"/>
      <c r="M6" s="9"/>
      <c r="N6" s="48"/>
      <c r="O6" s="21">
        <f t="shared" si="3"/>
        <v>35000</v>
      </c>
      <c r="P6" s="8" t="s">
        <v>203</v>
      </c>
      <c r="Q6" s="9">
        <v>12000</v>
      </c>
      <c r="R6" s="9"/>
      <c r="S6" s="48">
        <v>0</v>
      </c>
      <c r="T6" s="21">
        <f t="shared" si="4"/>
        <v>52000</v>
      </c>
      <c r="U6" s="53">
        <f>IF($J6="","",ROUND(($J6-$J$3)/1000,1)+(_xlfn.RANK.AVG($J6,($J6,$O6,$T6),1)-2)*10)</f>
        <v>-27</v>
      </c>
      <c r="V6" s="54">
        <f>IF($O6="","",ROUND(($O6-$O$3)/1000,1)+(_xlfn.RANK.AVG($O6,($J6,$O6,$T6),1)-2)*10)</f>
        <v>0</v>
      </c>
      <c r="W6" s="55">
        <f>IF($T6="","",ROUND(($T6-$T$3)/1000,1)+(_xlfn.RANK.AVG($T6,($J6,$O6,$T6),1)-2)*10)</f>
        <v>27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199</v>
      </c>
      <c r="BV6" s="41" t="s">
        <v>200</v>
      </c>
      <c r="BW6" s="41" t="s">
        <v>80</v>
      </c>
      <c r="BX6" s="41" t="s">
        <v>80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204</v>
      </c>
      <c r="G7" s="9">
        <v>-1300</v>
      </c>
      <c r="H7" s="9"/>
      <c r="I7" s="48">
        <v>-1000</v>
      </c>
      <c r="J7" s="21">
        <f t="shared" si="2"/>
        <v>15700</v>
      </c>
      <c r="K7" s="8" t="s">
        <v>203</v>
      </c>
      <c r="L7" s="9">
        <v>1300</v>
      </c>
      <c r="M7" s="9">
        <v>1000</v>
      </c>
      <c r="N7" s="48">
        <v>1000</v>
      </c>
      <c r="O7" s="21">
        <f t="shared" si="3"/>
        <v>38300</v>
      </c>
      <c r="P7" s="8"/>
      <c r="Q7" s="9"/>
      <c r="R7" s="9">
        <v>-1000</v>
      </c>
      <c r="S7" s="48"/>
      <c r="T7" s="21">
        <f t="shared" si="4"/>
        <v>51000</v>
      </c>
      <c r="U7" s="53">
        <f>IF($J7="","",ROUND(($J7-$J$3)/1000,1)+(_xlfn.RANK.AVG($J7,($J7,$O7,$T7),1)-2)*10)</f>
        <v>-29.3</v>
      </c>
      <c r="V7" s="54">
        <f>IF($O7="","",ROUND(($O7-$O$3)/1000,1)+(_xlfn.RANK.AVG($O7,($J7,$O7,$T7),1)-2)*10)</f>
        <v>3.3</v>
      </c>
      <c r="W7" s="55">
        <f>IF($T7="","",ROUND(($T7-$T$3)/1000,1)+(_xlfn.RANK.AVG($T7,($J7,$O7,$T7),1)-2)*10)</f>
        <v>26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</v>
      </c>
      <c r="AY7" s="30">
        <v>40</v>
      </c>
      <c r="AZ7" s="40" t="s">
        <v>199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204</v>
      </c>
      <c r="G8" s="9">
        <v>-2600</v>
      </c>
      <c r="H8" s="9">
        <v>-1000</v>
      </c>
      <c r="I8" s="48">
        <v>0</v>
      </c>
      <c r="J8" s="21">
        <f t="shared" si="2"/>
        <v>12100</v>
      </c>
      <c r="K8" s="8" t="s">
        <v>203</v>
      </c>
      <c r="L8" s="9">
        <v>2600</v>
      </c>
      <c r="M8" s="9">
        <v>1000</v>
      </c>
      <c r="N8" s="48">
        <v>0</v>
      </c>
      <c r="O8" s="21">
        <f t="shared" si="3"/>
        <v>41900</v>
      </c>
      <c r="P8" s="8"/>
      <c r="Q8" s="9"/>
      <c r="R8" s="9"/>
      <c r="S8" s="48"/>
      <c r="T8" s="21">
        <f t="shared" si="4"/>
        <v>51000</v>
      </c>
      <c r="U8" s="53">
        <f>IF($J8="","",ROUND(($J8-$J$3)/1000,1)+(_xlfn.RANK.AVG($J8,($J8,$O8,$T8),1)-2)*10)</f>
        <v>-32.9</v>
      </c>
      <c r="V8" s="54">
        <f>IF($O8="","",ROUND(($O8-$O$3)/1000,1)+(_xlfn.RANK.AVG($O8,($J8,$O8,$T8),1)-2)*10)</f>
        <v>6.9</v>
      </c>
      <c r="W8" s="55">
        <f>IF($T8="","",ROUND(($T8-$T$3)/1000,1)+(_xlfn.RANK.AVG($T8,($J8,$O8,$T8),1)-2)*10)</f>
        <v>26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199</v>
      </c>
      <c r="BA8" s="41" t="s">
        <v>201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204</v>
      </c>
      <c r="G9" s="9">
        <v>-8000</v>
      </c>
      <c r="H9" s="9"/>
      <c r="I9" s="48">
        <v>0</v>
      </c>
      <c r="J9" s="21">
        <f t="shared" si="2"/>
        <v>4100</v>
      </c>
      <c r="K9" s="8"/>
      <c r="L9" s="9"/>
      <c r="M9" s="9"/>
      <c r="N9" s="48"/>
      <c r="O9" s="21">
        <f t="shared" si="3"/>
        <v>41900</v>
      </c>
      <c r="P9" s="8" t="s">
        <v>203</v>
      </c>
      <c r="Q9" s="9">
        <v>8000</v>
      </c>
      <c r="R9" s="9"/>
      <c r="S9" s="48">
        <v>0</v>
      </c>
      <c r="T9" s="21">
        <f t="shared" si="4"/>
        <v>59000</v>
      </c>
      <c r="U9" s="53">
        <f>IF($J9="","",ROUND(($J9-$J$3)/1000,1)+(_xlfn.RANK.AVG($J9,($J9,$O9,$T9),1)-2)*10)</f>
        <v>-40.9</v>
      </c>
      <c r="V9" s="54">
        <f>IF($O9="","",ROUND(($O9-$O$3)/1000,1)+(_xlfn.RANK.AVG($O9,($J9,$O9,$T9),1)-2)*10)</f>
        <v>6.9</v>
      </c>
      <c r="W9" s="55">
        <f>IF($T9="","",ROUND(($T9-$T$3)/1000,1)+(_xlfn.RANK.AVG($T9,($J9,$O9,$T9),1)-2)*10)</f>
        <v>34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202</v>
      </c>
      <c r="BU9" s="40" t="s">
        <v>199</v>
      </c>
      <c r="BV9" s="41" t="s">
        <v>83</v>
      </c>
      <c r="BW9" s="41" t="s">
        <v>85</v>
      </c>
      <c r="BX9" s="41" t="s">
        <v>80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198</v>
      </c>
      <c r="G10" s="9">
        <v>-4500</v>
      </c>
      <c r="H10" s="9"/>
      <c r="I10" s="48">
        <v>0</v>
      </c>
      <c r="J10" s="21">
        <f t="shared" si="2"/>
        <v>-400</v>
      </c>
      <c r="K10" s="8" t="s">
        <v>197</v>
      </c>
      <c r="L10" s="9">
        <v>12000</v>
      </c>
      <c r="M10" s="9"/>
      <c r="N10" s="48">
        <v>0</v>
      </c>
      <c r="O10" s="21">
        <f t="shared" si="3"/>
        <v>53900</v>
      </c>
      <c r="P10" s="8" t="s">
        <v>198</v>
      </c>
      <c r="Q10" s="9">
        <v>-7500</v>
      </c>
      <c r="R10" s="9"/>
      <c r="S10" s="48">
        <v>0</v>
      </c>
      <c r="T10" s="21">
        <f t="shared" si="4"/>
        <v>51500</v>
      </c>
      <c r="U10" s="53">
        <f>IF($J10="","",ROUND(($J10-$J$3)/1000,1)+(_xlfn.RANK.AVG($J10,($J10,$O10,$T10),1)-2)*10)</f>
        <v>-45.4</v>
      </c>
      <c r="V10" s="54">
        <f>IF($O10="","",ROUND(($O10-$O$3)/1000,1)+(_xlfn.RANK.AVG($O10,($J10,$O10,$T10),1)-2)*10)</f>
        <v>28.9</v>
      </c>
      <c r="W10" s="55">
        <f>IF($T10="","",ROUND(($T10-$T$3)/1000,1)+(_xlfn.RANK.AVG($T10,($J10,$O10,$T10),1)-2)*10)</f>
        <v>16.5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7</v>
      </c>
      <c r="AY10" s="30" t="s">
        <v>202</v>
      </c>
      <c r="AZ10" s="40" t="s">
        <v>199</v>
      </c>
      <c r="BA10" s="41" t="s">
        <v>82</v>
      </c>
      <c r="BB10" s="41" t="s">
        <v>101</v>
      </c>
      <c r="BC10" s="41" t="s">
        <v>201</v>
      </c>
      <c r="BD10" s="41" t="s">
        <v>79</v>
      </c>
      <c r="BE10" s="41" t="s">
        <v>79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262EA368-9F66-4F39-A96C-AA4F812E9423}">
      <formula1>"ロン,ツモ,放銃,ツモ支払,流局,チョンボ"</formula1>
    </dataValidation>
    <dataValidation type="list" allowBlank="1" showInputMessage="1" showErrorMessage="1" sqref="E4:E30" xr:uid="{B74D497B-B833-460D-A36C-A26345F94095}">
      <formula1>$U$2:$W$2</formula1>
    </dataValidation>
    <dataValidation type="list" allowBlank="1" showInputMessage="1" sqref="F1:T1" xr:uid="{F7FA3571-9B6E-4E45-8FF8-06CC5BC6E20A}">
      <formula1>"ともまさ,たいせい,だいち,"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251CF-F89C-4FB5-A1C2-5B1B224773B6}">
  <sheetPr codeName="Sheet14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ともまさ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たいせい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ともまさ</v>
      </c>
      <c r="V2" s="75" t="str">
        <f>$K$1</f>
        <v>たいせい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204</v>
      </c>
      <c r="L4" s="9">
        <v>-18000</v>
      </c>
      <c r="M4" s="9"/>
      <c r="N4" s="48">
        <v>0</v>
      </c>
      <c r="O4" s="21">
        <f>IF(COUNTA($F4,$K4,$P4)&gt;0,O3+SUM(L4:N4),"")</f>
        <v>17000</v>
      </c>
      <c r="P4" s="8" t="s">
        <v>203</v>
      </c>
      <c r="Q4" s="9">
        <v>18000</v>
      </c>
      <c r="R4" s="9"/>
      <c r="S4" s="48">
        <v>0</v>
      </c>
      <c r="T4" s="21">
        <f>IF(COUNTA($F4,$K4,$P4)&gt;0,T3+SUM(Q4:S4),"")</f>
        <v>53000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-28</v>
      </c>
      <c r="W4" s="55">
        <f>IF($T4="","",ROUND(($T4-$T$3)/1000,1)+(_xlfn.RANK.AVG($T4,($J4,$O4,$T4),1)-2)*10)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7</v>
      </c>
      <c r="BT4" s="30" t="s">
        <v>202</v>
      </c>
      <c r="BU4" s="40" t="s">
        <v>104</v>
      </c>
      <c r="BV4" s="41" t="s">
        <v>86</v>
      </c>
      <c r="BW4" s="41" t="s">
        <v>86</v>
      </c>
      <c r="BX4" s="41" t="s">
        <v>84</v>
      </c>
      <c r="BY4" s="41" t="s">
        <v>201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4000</v>
      </c>
      <c r="H5" s="9"/>
      <c r="I5" s="48">
        <v>1000</v>
      </c>
      <c r="J5" s="21">
        <f t="shared" ref="J5:J30" si="2">IF(COUNTA($F5,$K5,$P5)&gt;0,J4+SUM(G5:I5),"")</f>
        <v>40000</v>
      </c>
      <c r="K5" s="8" t="s">
        <v>198</v>
      </c>
      <c r="L5" s="9">
        <v>-1500</v>
      </c>
      <c r="M5" s="9"/>
      <c r="N5" s="48">
        <v>-500</v>
      </c>
      <c r="O5" s="21">
        <f t="shared" ref="O5:O30" si="3">IF(COUNTA($F5,$K5,$P5)&gt;0,O4+SUM(L5:N5),"")</f>
        <v>15000</v>
      </c>
      <c r="P5" s="8" t="s">
        <v>198</v>
      </c>
      <c r="Q5" s="9">
        <v>-2500</v>
      </c>
      <c r="R5" s="9"/>
      <c r="S5" s="48">
        <v>-500</v>
      </c>
      <c r="T5" s="21">
        <f t="shared" ref="T5:T30" si="4">IF(COUNTA($F5,$K5,$P5)&gt;0,T4+SUM(Q5:S5),"")</f>
        <v>50000</v>
      </c>
      <c r="U5" s="53">
        <f>IF($J5="","",ROUND(($J5-$J$3)/1000,1)+(_xlfn.RANK.AVG($J5,($J5,$O5,$T5),1)-2)*10)</f>
        <v>5</v>
      </c>
      <c r="V5" s="54">
        <f>IF($O5="","",ROUND(($O5-$O$3)/1000,1)+(_xlfn.RANK.AVG($O5,($J5,$O5,$T5),1)-2)*10)</f>
        <v>-30</v>
      </c>
      <c r="W5" s="55">
        <f>IF($T5="","",ROUND(($T5-$T$3)/1000,1)+(_xlfn.RANK.AVG($T5,($J5,$O5,$T5),1)-2)*10)</f>
        <v>25</v>
      </c>
      <c r="Y5" s="8"/>
      <c r="Z5" s="34"/>
      <c r="AA5" s="26"/>
      <c r="AB5" s="26"/>
      <c r="AC5" s="26">
        <v>3</v>
      </c>
      <c r="AD5" s="30">
        <v>30</v>
      </c>
      <c r="AE5" s="40" t="s">
        <v>82</v>
      </c>
      <c r="AF5" s="41" t="s">
        <v>79</v>
      </c>
      <c r="AG5" s="41" t="s">
        <v>201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197</v>
      </c>
      <c r="G6" s="9">
        <v>18000</v>
      </c>
      <c r="H6" s="9"/>
      <c r="I6" s="48">
        <v>0</v>
      </c>
      <c r="J6" s="21">
        <f t="shared" si="2"/>
        <v>58000</v>
      </c>
      <c r="K6" s="8" t="s">
        <v>198</v>
      </c>
      <c r="L6" s="9">
        <v>-9000</v>
      </c>
      <c r="M6" s="9"/>
      <c r="N6" s="48">
        <v>0</v>
      </c>
      <c r="O6" s="21">
        <f t="shared" si="3"/>
        <v>6000</v>
      </c>
      <c r="P6" s="8" t="s">
        <v>198</v>
      </c>
      <c r="Q6" s="9">
        <v>-9000</v>
      </c>
      <c r="R6" s="9"/>
      <c r="S6" s="48">
        <v>0</v>
      </c>
      <c r="T6" s="21">
        <f t="shared" si="4"/>
        <v>41000</v>
      </c>
      <c r="U6" s="53">
        <f>IF($J6="","",ROUND(($J6-$J$3)/1000,1)+(_xlfn.RANK.AVG($J6,($J6,$O6,$T6),1)-2)*10)</f>
        <v>33</v>
      </c>
      <c r="V6" s="54">
        <f>IF($O6="","",ROUND(($O6-$O$3)/1000,1)+(_xlfn.RANK.AVG($O6,($J6,$O6,$T6),1)-2)*10)</f>
        <v>-39</v>
      </c>
      <c r="W6" s="55">
        <f>IF($T6="","",ROUND(($T6-$T$3)/1000,1)+(_xlfn.RANK.AVG($T6,($J6,$O6,$T6),1)-2)*10)</f>
        <v>6</v>
      </c>
      <c r="Y6" s="8"/>
      <c r="Z6" s="34"/>
      <c r="AA6" s="26"/>
      <c r="AB6" s="26">
        <v>1</v>
      </c>
      <c r="AC6" s="26">
        <v>6</v>
      </c>
      <c r="AD6" s="30" t="s">
        <v>202</v>
      </c>
      <c r="AE6" s="40" t="s">
        <v>86</v>
      </c>
      <c r="AF6" s="41" t="s">
        <v>86</v>
      </c>
      <c r="AG6" s="41" t="s">
        <v>201</v>
      </c>
      <c r="AH6" s="41" t="s">
        <v>201</v>
      </c>
      <c r="AI6" s="41" t="s">
        <v>79</v>
      </c>
      <c r="AJ6" s="41" t="s">
        <v>79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204</v>
      </c>
      <c r="G7" s="9">
        <v>-12000</v>
      </c>
      <c r="H7" s="9"/>
      <c r="I7" s="48">
        <v>-1000</v>
      </c>
      <c r="J7" s="21">
        <f t="shared" si="2"/>
        <v>45000</v>
      </c>
      <c r="K7" s="8"/>
      <c r="L7" s="9"/>
      <c r="M7" s="9">
        <v>-1000</v>
      </c>
      <c r="N7" s="48"/>
      <c r="O7" s="21">
        <f t="shared" si="3"/>
        <v>5000</v>
      </c>
      <c r="P7" s="8" t="s">
        <v>203</v>
      </c>
      <c r="Q7" s="9">
        <v>12000</v>
      </c>
      <c r="R7" s="9">
        <v>1000</v>
      </c>
      <c r="S7" s="48">
        <v>1000</v>
      </c>
      <c r="T7" s="21">
        <f t="shared" si="4"/>
        <v>55000</v>
      </c>
      <c r="U7" s="53">
        <f>IF($J7="","",ROUND(($J7-$J$3)/1000,1)+(_xlfn.RANK.AVG($J7,($J7,$O7,$T7),1)-2)*10)</f>
        <v>10</v>
      </c>
      <c r="V7" s="54">
        <f>IF($O7="","",ROUND(($O7-$O$3)/1000,1)+(_xlfn.RANK.AVG($O7,($J7,$O7,$T7),1)-2)*10)</f>
        <v>-40</v>
      </c>
      <c r="W7" s="55">
        <f>IF($T7="","",ROUND(($T7-$T$3)/1000,1)+(_xlfn.RANK.AVG($T7,($J7,$O7,$T7),1)-2)*10)</f>
        <v>30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202</v>
      </c>
      <c r="BU7" s="40" t="s">
        <v>199</v>
      </c>
      <c r="BV7" s="41" t="s">
        <v>200</v>
      </c>
      <c r="BW7" s="41" t="s">
        <v>79</v>
      </c>
      <c r="BX7" s="41" t="s">
        <v>79</v>
      </c>
      <c r="BY7" s="41" t="s">
        <v>79</v>
      </c>
      <c r="BZ7" s="41" t="s">
        <v>201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45000</v>
      </c>
      <c r="K8" s="8" t="s">
        <v>204</v>
      </c>
      <c r="L8" s="9">
        <v>-1000</v>
      </c>
      <c r="M8" s="9">
        <v>-1000</v>
      </c>
      <c r="N8" s="48">
        <v>0</v>
      </c>
      <c r="O8" s="21">
        <f t="shared" si="3"/>
        <v>3000</v>
      </c>
      <c r="P8" s="8" t="s">
        <v>203</v>
      </c>
      <c r="Q8" s="9">
        <v>1000</v>
      </c>
      <c r="R8" s="9">
        <v>1000</v>
      </c>
      <c r="S8" s="48">
        <v>0</v>
      </c>
      <c r="T8" s="21">
        <f t="shared" si="4"/>
        <v>57000</v>
      </c>
      <c r="U8" s="53">
        <f>IF($J8="","",ROUND(($J8-$J$3)/1000,1)+(_xlfn.RANK.AVG($J8,($J8,$O8,$T8),1)-2)*10)</f>
        <v>10</v>
      </c>
      <c r="V8" s="54">
        <f>IF($O8="","",ROUND(($O8-$O$3)/1000,1)+(_xlfn.RANK.AVG($O8,($J8,$O8,$T8),1)-2)*10)</f>
        <v>-42</v>
      </c>
      <c r="W8" s="55">
        <f>IF($T8="","",ROUND(($T8-$T$3)/1000,1)+(_xlfn.RANK.AVG($T8,($J8,$O8,$T8),1)-2)*10)</f>
        <v>32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198</v>
      </c>
      <c r="G9" s="9">
        <v>-9000</v>
      </c>
      <c r="H9" s="9"/>
      <c r="I9" s="48">
        <v>0</v>
      </c>
      <c r="J9" s="21">
        <f t="shared" si="2"/>
        <v>36000</v>
      </c>
      <c r="K9" s="8" t="s">
        <v>198</v>
      </c>
      <c r="L9" s="9">
        <v>-9000</v>
      </c>
      <c r="M9" s="9"/>
      <c r="N9" s="48">
        <v>0</v>
      </c>
      <c r="O9" s="21">
        <f t="shared" si="3"/>
        <v>-6000</v>
      </c>
      <c r="P9" s="8" t="s">
        <v>197</v>
      </c>
      <c r="Q9" s="9">
        <v>18000</v>
      </c>
      <c r="R9" s="9"/>
      <c r="S9" s="48">
        <v>0</v>
      </c>
      <c r="T9" s="21">
        <f t="shared" si="4"/>
        <v>75000</v>
      </c>
      <c r="U9" s="53">
        <f>IF($J9="","",ROUND(($J9-$J$3)/1000,1)+(_xlfn.RANK.AVG($J9,($J9,$O9,$T9),1)-2)*10)</f>
        <v>1</v>
      </c>
      <c r="V9" s="54">
        <f>IF($O9="","",ROUND(($O9-$O$3)/1000,1)+(_xlfn.RANK.AVG($O9,($J9,$O9,$T9),1)-2)*10)</f>
        <v>-51</v>
      </c>
      <c r="W9" s="55">
        <f>IF($T9="","",ROUND(($T9-$T$3)/1000,1)+(_xlfn.RANK.AVG($T9,($J9,$O9,$T9),1)-2)*10)</f>
        <v>50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202</v>
      </c>
      <c r="BU9" s="40" t="s">
        <v>199</v>
      </c>
      <c r="BV9" s="41" t="s">
        <v>82</v>
      </c>
      <c r="BW9" s="41" t="s">
        <v>86</v>
      </c>
      <c r="BX9" s="41" t="s">
        <v>79</v>
      </c>
      <c r="BY9" s="41" t="s">
        <v>80</v>
      </c>
      <c r="BZ9" s="41" t="s">
        <v>80</v>
      </c>
      <c r="CA9" s="41" t="s">
        <v>80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1BB525E2-D315-4D83-9681-250ED747BC14}">
      <formula1>"ともまさ,たいせい,だいち,"</formula1>
    </dataValidation>
    <dataValidation type="list" allowBlank="1" showInputMessage="1" showErrorMessage="1" sqref="E4:E30" xr:uid="{0B623EB7-B06D-434A-94E9-F262500C17C3}">
      <formula1>$U$2:$W$2</formula1>
    </dataValidation>
    <dataValidation type="list" showInputMessage="1" showErrorMessage="1" sqref="K4:K30 P4:P30 F4:F30" xr:uid="{7B1FAFDA-9848-4D72-8536-8C6F1357D4C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190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187</v>
      </c>
      <c r="C54" s="15" t="s">
        <v>189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2021-03-07T09:40:50Z</dcterms:modified>
</cp:coreProperties>
</file>