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伊那\対局\"/>
    </mc:Choice>
  </mc:AlternateContent>
  <xr:revisionPtr revIDLastSave="0" documentId="13_ncr:1_{22073B5C-CEE7-43B2-8240-98B2104CA04C}" xr6:coauthVersionLast="47" xr6:coauthVersionMax="47" xr10:uidLastSave="{00000000-0000-0000-0000-000000000000}"/>
  <bookViews>
    <workbookView xWindow="-120" yWindow="-120" windowWidth="29040" windowHeight="1599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20" l="1"/>
  <c r="E8" i="20"/>
  <c r="E7" i="20"/>
  <c r="C7" i="20" s="1"/>
  <c r="E6" i="20"/>
  <c r="E5" i="20"/>
  <c r="D5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/>
  <c r="D9" i="20"/>
  <c r="B6" i="20"/>
  <c r="D6" i="20"/>
  <c r="C6" i="20"/>
  <c r="T5" i="20"/>
  <c r="T6" i="20" s="1"/>
  <c r="O5" i="20"/>
  <c r="O6" i="20" s="1"/>
  <c r="J5" i="20"/>
  <c r="J6" i="20" s="1"/>
  <c r="C5" i="20"/>
  <c r="B5" i="20"/>
  <c r="A5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E9" i="19"/>
  <c r="E8" i="19"/>
  <c r="E7" i="19"/>
  <c r="E6" i="19"/>
  <c r="E5" i="19"/>
  <c r="D7" i="20" l="1"/>
  <c r="U4" i="20"/>
  <c r="V4" i="20"/>
  <c r="J7" i="20"/>
  <c r="U6" i="20"/>
  <c r="O7" i="20"/>
  <c r="V6" i="20"/>
  <c r="T7" i="20"/>
  <c r="W6" i="20"/>
  <c r="D8" i="20"/>
  <c r="V5" i="20"/>
  <c r="W5" i="20"/>
  <c r="B7" i="20"/>
  <c r="B8" i="20" s="1"/>
  <c r="C9" i="20"/>
  <c r="A6" i="20"/>
  <c r="C8" i="20"/>
  <c r="U5" i="20"/>
  <c r="W3" i="19"/>
  <c r="V3" i="19"/>
  <c r="U3" i="19"/>
  <c r="A7" i="20" l="1"/>
  <c r="A8" i="20"/>
  <c r="B9" i="20"/>
  <c r="A9" i="20" s="1"/>
  <c r="T8" i="20"/>
  <c r="W7" i="20"/>
  <c r="O8" i="20"/>
  <c r="V7" i="20"/>
  <c r="U7" i="20"/>
  <c r="J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O9" i="20" l="1"/>
  <c r="V8" i="20"/>
  <c r="W8" i="20"/>
  <c r="T9" i="20"/>
  <c r="W9" i="20" s="1"/>
  <c r="J9" i="20"/>
  <c r="U9" i="20" s="1"/>
  <c r="U8" i="20"/>
  <c r="U9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9" i="20" l="1"/>
  <c r="W5" i="19"/>
  <c r="V5" i="19"/>
  <c r="U5" i="19"/>
</calcChain>
</file>

<file path=xl/sharedStrings.xml><?xml version="1.0" encoding="utf-8"?>
<sst xmlns="http://schemas.openxmlformats.org/spreadsheetml/2006/main" count="635" uniqueCount="206">
  <si>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</si>
  <si>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</si>
  <si>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</si>
  <si>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</si>
  <si>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</si>
  <si>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</si>
  <si>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</si>
  <si>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</si>
  <si>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</si>
  <si>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</si>
  <si>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</si>
  <si>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</si>
  <si>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</si>
  <si>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</si>
  <si>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</si>
  <si>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</si>
  <si>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</si>
  <si>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</si>
  <si>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</si>
  <si>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</si>
  <si>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</si>
  <si>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</si>
  <si>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</si>
  <si>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</si>
  <si>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</si>
  <si>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</si>
  <si>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</si>
  <si>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</si>
  <si>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</si>
  <si>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</si>
  <si>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</si>
  <si>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</si>
  <si>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</si>
  <si>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</si>
  <si>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</si>
  <si>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</si>
  <si>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</si>
  <si>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</si>
  <si>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</si>
  <si>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</si>
  <si>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</si>
  <si>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</si>
  <si>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</si>
  <si>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</si>
  <si>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</si>
  <si>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</si>
  <si>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</si>
  <si>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</si>
  <si>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</si>
  <si>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</si>
  <si>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</si>
  <si>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</si>
  <si>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</si>
  <si>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</si>
  <si>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</si>
  <si>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</si>
  <si>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</si>
  <si>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</si>
  <si>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</si>
  <si>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</si>
  <si>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</si>
  <si>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</si>
  <si>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</si>
  <si>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</si>
  <si>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</si>
  <si>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</si>
  <si>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</si>
  <si>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</si>
  <si>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</si>
  <si>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</si>
  <si>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</si>
  <si>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</si>
  <si>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</si>
  <si>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</si>
  <si>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</si>
  <si>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</si>
  <si>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</si>
  <si>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</si>
  <si>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</si>
  <si>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</si>
  <si>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</si>
  <si>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</si>
  <si>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</si>
  <si>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</si>
  <si>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</si>
  <si>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</si>
  <si>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</si>
  <si>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</si>
  <si>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</si>
  <si>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</si>
  <si>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</si>
  <si>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</si>
  <si>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</si>
  <si>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</si>
  <si>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</si>
  <si>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</si>
  <si>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</si>
  <si>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</si>
  <si>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</si>
  <si>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</si>
  <si>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</si>
  <si>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</si>
  <si>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</si>
  <si>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</si>
  <si>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</si>
  <si>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</si>
  <si>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</si>
  <si>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</si>
  <si>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</si>
  <si>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</si>
  <si>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</si>
  <si>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</si>
  <si>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</si>
  <si>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</si>
  <si>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</si>
  <si>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</si>
  <si>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</si>
  <si>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</si>
  <si>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</si>
  <si>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</si>
  <si>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</si>
  <si>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</si>
  <si>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</si>
  <si>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</si>
  <si>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</si>
  <si>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</si>
  <si>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</si>
  <si>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</si>
  <si>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</si>
  <si>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</si>
  <si>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</si>
  <si>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</si>
  <si>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</si>
  <si>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</si>
  <si>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</si>
  <si>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</si>
  <si>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</si>
  <si>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</si>
  <si>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</si>
  <si>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</si>
  <si>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</si>
  <si>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</si>
  <si>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</si>
  <si>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</si>
  <si>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</si>
  <si>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</si>
  <si>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</si>
  <si>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</si>
  <si>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</si>
  <si>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</si>
  <si>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</si>
  <si>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</si>
  <si>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</si>
  <si>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</si>
  <si>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</si>
  <si>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</si>
  <si>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</si>
  <si>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</si>
  <si>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</si>
  <si>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</si>
  <si>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</si>
  <si>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</si>
  <si>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</si>
  <si>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</si>
  <si>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</si>
  <si>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</si>
  <si>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</si>
  <si>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</si>
  <si>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</si>
  <si>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</si>
  <si>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</si>
  <si>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</si>
  <si>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</si>
  <si>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</si>
  <si>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</si>
  <si>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</si>
  <si>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</si>
  <si>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</si>
  <si>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</si>
  <si>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</si>
  <si>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</si>
  <si>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</si>
  <si>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</si>
  <si>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</si>
  <si>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</si>
  <si>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</si>
  <si>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</si>
  <si>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</si>
  <si>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</si>
  <si>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</si>
  <si>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</si>
  <si>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</si>
  <si>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だいち</t>
  </si>
  <si>
    <t>だいち</t>
    <phoneticPr fontId="1"/>
  </si>
  <si>
    <t>ともまさ</t>
  </si>
  <si>
    <t>ともまさ</t>
    <phoneticPr fontId="1"/>
  </si>
  <si>
    <t>たいせい</t>
    <phoneticPr fontId="1"/>
  </si>
  <si>
    <t>放銃</t>
  </si>
  <si>
    <t>ロン</t>
  </si>
  <si>
    <t>01</t>
  </si>
  <si>
    <t>N</t>
  </si>
  <si>
    <t>T</t>
  </si>
  <si>
    <t>流局</t>
    <phoneticPr fontId="1"/>
  </si>
  <si>
    <t>チョンボ</t>
  </si>
  <si>
    <t>52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</si>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</sst>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ともまさ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たいせい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ともまさ</v>
      </c>
      <c r="W2" s="16" t="str">
        <f>$P$1</f>
        <v>たいせい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-1000</v>
      </c>
      <c r="M4" s="9"/>
      <c r="N4" s="48">
        <v>0</v>
      </c>
      <c r="O4" s="21">
        <f>IF(COUNTA($F4,$K4,$P4)&gt;0,O3+SUM(L4:N4),"")</f>
        <v>34000</v>
      </c>
      <c r="P4" s="8" t="s">
        <v>198</v>
      </c>
      <c r="Q4" s="9">
        <v>1000</v>
      </c>
      <c r="R4" s="9"/>
      <c r="S4" s="48">
        <v>0</v>
      </c>
      <c r="T4" s="21">
        <f>IF(COUNTA($F4,$K4,$P4)&gt;0,T3+SUM(Q4:S4),"")</f>
        <v>36000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11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1</v>
      </c>
      <c r="BT4" s="30">
        <v>30</v>
      </c>
      <c r="BU4" s="40" t="s">
        <v>86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たいせい</v>
      </c>
      <c r="F5" s="8" t="s">
        <v>197</v>
      </c>
      <c r="G5" s="9">
        <v>-5200</v>
      </c>
      <c r="H5" s="9"/>
      <c r="I5" s="48">
        <v>0</v>
      </c>
      <c r="J5" s="21">
        <f t="shared" ref="J5:J30" si="2">IF(COUNTA($F5,$K5,$P5)&gt;0,J4+SUM(G5:I5),"")</f>
        <v>29800</v>
      </c>
      <c r="K5" s="8" t="s">
        <v>198</v>
      </c>
      <c r="L5" s="9">
        <v>5200</v>
      </c>
      <c r="M5" s="9"/>
      <c r="N5" s="48">
        <v>0</v>
      </c>
      <c r="O5" s="21">
        <f t="shared" ref="O5:O30" si="3">IF(COUNTA($F5,$K5,$P5)&gt;0,O4+SUM(L5:N5),"")</f>
        <v>39200</v>
      </c>
      <c r="P5" s="8"/>
      <c r="Q5" s="9"/>
      <c r="R5" s="9"/>
      <c r="S5" s="48"/>
      <c r="T5" s="21">
        <f t="shared" ref="T5:T30" si="4">IF(COUNTA($F5,$K5,$P5)&gt;0,T4+SUM(Q5:S5),"")</f>
        <v>36000</v>
      </c>
      <c r="U5" s="53">
        <f>IF($J5="","",ROUND(($J5-$J$3)/1000,1)+(_xlfn.RANK.AVG($J5,($J5,$O5,$T5),1)-2)*10)</f>
        <v>-15.2</v>
      </c>
      <c r="V5" s="54">
        <f>IF($O5="","",ROUND(($O5-$O$3)/1000,1)+(_xlfn.RANK.AVG($O5,($J5,$O5,$T5),1)-2)*10)</f>
        <v>14.2</v>
      </c>
      <c r="W5" s="55">
        <f>IF($T5="","",ROUND(($T5-$T$3)/1000,1)+(_xlfn.RANK.AVG($T5,($J5,$O5,$T5),1)-2)*10)</f>
        <v>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199</v>
      </c>
      <c r="BA5" s="41" t="s">
        <v>79</v>
      </c>
      <c r="BB5" s="41" t="s">
        <v>80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だいち</v>
      </c>
      <c r="F6" s="8" t="s">
        <v>202</v>
      </c>
      <c r="G6" s="9">
        <v>-1500</v>
      </c>
      <c r="H6" s="9"/>
      <c r="I6" s="48"/>
      <c r="J6" s="21">
        <f t="shared" si="2"/>
        <v>28300</v>
      </c>
      <c r="K6" s="8" t="s">
        <v>202</v>
      </c>
      <c r="L6" s="9">
        <v>3000</v>
      </c>
      <c r="M6" s="9">
        <v>-1000</v>
      </c>
      <c r="N6" s="48"/>
      <c r="O6" s="21">
        <f t="shared" si="3"/>
        <v>41200</v>
      </c>
      <c r="P6" s="8" t="s">
        <v>202</v>
      </c>
      <c r="Q6" s="9">
        <v>-1500</v>
      </c>
      <c r="R6" s="9"/>
      <c r="S6" s="48"/>
      <c r="T6" s="21">
        <f t="shared" si="4"/>
        <v>34500</v>
      </c>
      <c r="U6" s="53">
        <f>IF($J6="","",ROUND(($J6-$J$3)/1000,1)+(_xlfn.RANK.AVG($J6,($J6,$O6,$T6),1)-2)*10)</f>
        <v>-16.7</v>
      </c>
      <c r="V6" s="54">
        <f>IF($O6="","",ROUND(($O6-$O$3)/1000,1)+(_xlfn.RANK.AVG($O6,($J6,$O6,$T6),1)-2)*10)</f>
        <v>16.2</v>
      </c>
      <c r="W6" s="55">
        <f>IF($T6="","",ROUND(($T6-$T$3)/1000,1)+(_xlfn.RANK.AVG($T6,($J6,$O6,$T6),1)-2)*10)</f>
        <v>-0.5</v>
      </c>
      <c r="Y6" s="8" t="s">
        <v>200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201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200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1</v>
      </c>
      <c r="E7" s="4" t="str">
        <f>IF($K$1="","",$K$1)</f>
        <v>ともまさ</v>
      </c>
      <c r="F7" s="8" t="s">
        <v>203</v>
      </c>
      <c r="G7" s="9">
        <v>5000</v>
      </c>
      <c r="H7" s="9"/>
      <c r="I7" s="48"/>
      <c r="J7" s="21">
        <f t="shared" si="2"/>
        <v>33300</v>
      </c>
      <c r="K7" s="8" t="s">
        <v>203</v>
      </c>
      <c r="L7" s="9">
        <v>-10000</v>
      </c>
      <c r="M7" s="9">
        <v>-1000</v>
      </c>
      <c r="N7" s="48"/>
      <c r="O7" s="21">
        <f t="shared" si="3"/>
        <v>30200</v>
      </c>
      <c r="P7" s="8" t="s">
        <v>203</v>
      </c>
      <c r="Q7" s="9">
        <v>5000</v>
      </c>
      <c r="R7" s="9"/>
      <c r="S7" s="48"/>
      <c r="T7" s="21">
        <f t="shared" si="4"/>
        <v>39500</v>
      </c>
      <c r="U7" s="53">
        <f>IF($J7="","",ROUND(($J7-$J$3)/1000,1)+(_xlfn.RANK.AVG($J7,($J7,$O7,$T7),1)-2)*10)</f>
        <v>-1.7</v>
      </c>
      <c r="V7" s="54">
        <f>IF($O7="","",ROUND(($O7-$O$3)/1000,1)+(_xlfn.RANK.AVG($O7,($J7,$O7,$T7),1)-2)*10)</f>
        <v>-14.8</v>
      </c>
      <c r="W7" s="55">
        <f>IF($T7="","",ROUND(($T7-$T$3)/1000,1)+(_xlfn.RANK.AVG($T7,($J7,$O7,$T7),1)-2)*10)</f>
        <v>14.5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>
        <v>1</v>
      </c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1</v>
      </c>
      <c r="D8" s="18">
        <f t="shared" si="1"/>
        <v>2</v>
      </c>
      <c r="E8" s="4" t="str">
        <f>IF($P$1="","",$P$1)</f>
        <v>たいせい</v>
      </c>
      <c r="F8" s="8" t="s">
        <v>197</v>
      </c>
      <c r="G8" s="9">
        <v>-2600</v>
      </c>
      <c r="H8" s="9"/>
      <c r="I8" s="48">
        <v>-1000</v>
      </c>
      <c r="J8" s="21">
        <f t="shared" si="2"/>
        <v>29700</v>
      </c>
      <c r="K8" s="8" t="s">
        <v>198</v>
      </c>
      <c r="L8" s="9">
        <v>2600</v>
      </c>
      <c r="M8" s="9">
        <v>2000</v>
      </c>
      <c r="N8" s="48">
        <v>1000</v>
      </c>
      <c r="O8" s="21">
        <f t="shared" si="3"/>
        <v>35800</v>
      </c>
      <c r="P8" s="8"/>
      <c r="Q8" s="9"/>
      <c r="R8" s="9"/>
      <c r="S8" s="48"/>
      <c r="T8" s="21">
        <f t="shared" si="4"/>
        <v>39500</v>
      </c>
      <c r="U8" s="53">
        <f>IF($J8="","",ROUND(($J8-$J$3)/1000,1)+(_xlfn.RANK.AVG($J8,($J8,$O8,$T8),1)-2)*10)</f>
        <v>-15.3</v>
      </c>
      <c r="V8" s="54">
        <f>IF($O8="","",ROUND(($O8-$O$3)/1000,1)+(_xlfn.RANK.AVG($O8,($J8,$O8,$T8),1)-2)*10)</f>
        <v>0.8</v>
      </c>
      <c r="W8" s="55">
        <f>IF($T8="","",ROUND(($T8-$T$3)/1000,1)+(_xlfn.RANK.AVG($T8,($J8,$O8,$T8),1)-2)*10)</f>
        <v>14.5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40</v>
      </c>
      <c r="AZ8" s="40" t="s">
        <v>86</v>
      </c>
      <c r="BA8" s="41" t="s">
        <v>204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197</v>
      </c>
      <c r="G9" s="9">
        <v>-8000</v>
      </c>
      <c r="H9" s="9"/>
      <c r="I9" s="48">
        <v>0</v>
      </c>
      <c r="J9" s="21">
        <f t="shared" si="2"/>
        <v>21700</v>
      </c>
      <c r="K9" s="8"/>
      <c r="L9" s="9"/>
      <c r="M9" s="9"/>
      <c r="N9" s="48"/>
      <c r="O9" s="21">
        <f t="shared" si="3"/>
        <v>35800</v>
      </c>
      <c r="P9" s="8" t="s">
        <v>198</v>
      </c>
      <c r="Q9" s="9">
        <v>8000</v>
      </c>
      <c r="R9" s="9"/>
      <c r="S9" s="48">
        <v>0</v>
      </c>
      <c r="T9" s="21">
        <f t="shared" si="4"/>
        <v>47500</v>
      </c>
      <c r="U9" s="53">
        <f>IF($J9="","",ROUND(($J9-$J$3)/1000,1)+(_xlfn.RANK.AVG($J9,($J9,$O9,$T9),1)-2)*10)</f>
        <v>-23.3</v>
      </c>
      <c r="V9" s="54">
        <f>IF($O9="","",ROUND(($O9-$O$3)/1000,1)+(_xlfn.RANK.AVG($O9,($J9,$O9,$T9),1)-2)*10)</f>
        <v>0.8</v>
      </c>
      <c r="W9" s="55">
        <f>IF($T9="","",ROUND(($T9-$T$3)/1000,1)+(_xlfn.RANK.AVG($T9,($J9,$O9,$T9),1)-2)*10)</f>
        <v>22.5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199</v>
      </c>
      <c r="BV9" s="41" t="s">
        <v>85</v>
      </c>
      <c r="BW9" s="41" t="s">
        <v>79</v>
      </c>
      <c r="BX9" s="41" t="s">
        <v>204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9E5694A-2B14-4C57-83C8-7BBAF9970F8E}">
      <formula1>"ともまさ,たいせい,だいち,"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74AFB-8CFC-4289-B939-B6A2DE0C458E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ともまさ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たいせい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ともまさ</v>
      </c>
      <c r="W2" s="16" t="str">
        <f>$P$1</f>
        <v>たいせい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-2600</v>
      </c>
      <c r="M4" s="9"/>
      <c r="N4" s="48">
        <v>0</v>
      </c>
      <c r="O4" s="21">
        <f>IF(COUNTA($F4,$K4,$P4)&gt;0,O3+SUM(L4:N4),"")</f>
        <v>32400</v>
      </c>
      <c r="P4" s="8" t="s">
        <v>198</v>
      </c>
      <c r="Q4" s="9">
        <v>2600</v>
      </c>
      <c r="R4" s="9"/>
      <c r="S4" s="48">
        <v>0</v>
      </c>
      <c r="T4" s="21">
        <f>IF(COUNTA($F4,$K4,$P4)&gt;0,T3+SUM(Q4:S4),"")</f>
        <v>37600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-12.6</v>
      </c>
      <c r="W4" s="55">
        <f>IF($T4="","",ROUND(($T4-$T$3)/1000,1)+(_xlfn.RANK.AVG($T4,($J4,$O4,$T4),1)-2)*10)</f>
        <v>12.6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2</v>
      </c>
      <c r="BT4" s="30">
        <v>40</v>
      </c>
      <c r="BU4" s="40" t="s">
        <v>199</v>
      </c>
      <c r="BV4" s="41" t="s">
        <v>79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ともまさ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197</v>
      </c>
      <c r="L5" s="9">
        <v>-1300</v>
      </c>
      <c r="M5" s="9"/>
      <c r="N5" s="48">
        <v>0</v>
      </c>
      <c r="O5" s="21">
        <f t="shared" ref="O5:O30" si="3">IF(COUNTA($F5,$K5,$P5)&gt;0,O4+SUM(L5:N5),"")</f>
        <v>31100</v>
      </c>
      <c r="P5" s="8" t="s">
        <v>198</v>
      </c>
      <c r="Q5" s="9">
        <v>1300</v>
      </c>
      <c r="R5" s="9"/>
      <c r="S5" s="48">
        <v>0</v>
      </c>
      <c r="T5" s="21">
        <f t="shared" ref="T5:T30" si="4">IF(COUNTA($F5,$K5,$P5)&gt;0,T4+SUM(Q5:S5),"")</f>
        <v>38900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-13.9</v>
      </c>
      <c r="W5" s="55">
        <f>IF($T5="","",ROUND(($T5-$T$3)/1000,1)+(_xlfn.RANK.AVG($T5,($J5,$O5,$T5),1)-2)*10)</f>
        <v>13.9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1</v>
      </c>
      <c r="BT5" s="30">
        <v>40</v>
      </c>
      <c r="BU5" s="40" t="s">
        <v>199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たいせい</v>
      </c>
      <c r="F6" s="8" t="s">
        <v>198</v>
      </c>
      <c r="G6" s="9">
        <v>16000</v>
      </c>
      <c r="H6" s="9"/>
      <c r="I6" s="48">
        <v>0</v>
      </c>
      <c r="J6" s="21">
        <f t="shared" si="2"/>
        <v>51000</v>
      </c>
      <c r="K6" s="8" t="s">
        <v>197</v>
      </c>
      <c r="L6" s="9">
        <v>-16000</v>
      </c>
      <c r="M6" s="9"/>
      <c r="N6" s="48">
        <v>0</v>
      </c>
      <c r="O6" s="21">
        <f t="shared" si="3"/>
        <v>15100</v>
      </c>
      <c r="P6" s="8"/>
      <c r="Q6" s="9"/>
      <c r="R6" s="9"/>
      <c r="S6" s="48"/>
      <c r="T6" s="21">
        <f t="shared" si="4"/>
        <v>38900</v>
      </c>
      <c r="U6" s="53">
        <f>IF($J6="","",ROUND(($J6-$J$3)/1000,1)+(_xlfn.RANK.AVG($J6,($J6,$O6,$T6),1)-2)*10)</f>
        <v>26</v>
      </c>
      <c r="V6" s="54">
        <f>IF($O6="","",ROUND(($O6-$O$3)/1000,1)+(_xlfn.RANK.AVG($O6,($J6,$O6,$T6),1)-2)*10)</f>
        <v>-29.9</v>
      </c>
      <c r="W6" s="55">
        <f>IF($T6="","",ROUND(($T6-$T$3)/1000,1)+(_xlfn.RANK.AVG($T6,($J6,$O6,$T6),1)-2)*10)</f>
        <v>3.9</v>
      </c>
      <c r="Y6" s="8"/>
      <c r="Z6" s="34"/>
      <c r="AA6" s="26"/>
      <c r="AB6" s="26"/>
      <c r="AC6" s="26">
        <v>9</v>
      </c>
      <c r="AD6" s="30" t="s">
        <v>205</v>
      </c>
      <c r="AE6" s="40" t="s">
        <v>106</v>
      </c>
      <c r="AF6" s="41" t="s">
        <v>84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202</v>
      </c>
      <c r="G7" s="9">
        <v>3000</v>
      </c>
      <c r="H7" s="9"/>
      <c r="I7" s="48"/>
      <c r="J7" s="21">
        <f t="shared" si="2"/>
        <v>54000</v>
      </c>
      <c r="K7" s="8" t="s">
        <v>202</v>
      </c>
      <c r="L7" s="9">
        <v>-1500</v>
      </c>
      <c r="M7" s="9"/>
      <c r="N7" s="48"/>
      <c r="O7" s="21">
        <f t="shared" si="3"/>
        <v>13600</v>
      </c>
      <c r="P7" s="8" t="s">
        <v>202</v>
      </c>
      <c r="Q7" s="9">
        <v>-1500</v>
      </c>
      <c r="R7" s="9"/>
      <c r="S7" s="48"/>
      <c r="T7" s="21">
        <f t="shared" si="4"/>
        <v>37400</v>
      </c>
      <c r="U7" s="53">
        <f>IF($J7="","",ROUND(($J7-$J$3)/1000,1)+(_xlfn.RANK.AVG($J7,($J7,$O7,$T7),1)-2)*10)</f>
        <v>29</v>
      </c>
      <c r="V7" s="54">
        <f>IF($O7="","",ROUND(($O7-$O$3)/1000,1)+(_xlfn.RANK.AVG($O7,($J7,$O7,$T7),1)-2)*10)</f>
        <v>-31.4</v>
      </c>
      <c r="W7" s="55">
        <f>IF($T7="","",ROUND(($T7-$T$3)/1000,1)+(_xlfn.RANK.AVG($T7,($J7,$O7,$T7),1)-2)*10)</f>
        <v>2.4</v>
      </c>
      <c r="Y7" s="8" t="s">
        <v>201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200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200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だいち</v>
      </c>
      <c r="F8" s="8" t="s">
        <v>198</v>
      </c>
      <c r="G8" s="9">
        <v>18000</v>
      </c>
      <c r="H8" s="9">
        <v>2000</v>
      </c>
      <c r="I8" s="48">
        <v>1000</v>
      </c>
      <c r="J8" s="21">
        <f t="shared" si="2"/>
        <v>75000</v>
      </c>
      <c r="K8" s="8" t="s">
        <v>197</v>
      </c>
      <c r="L8" s="9">
        <v>-18000</v>
      </c>
      <c r="M8" s="9">
        <v>-1000</v>
      </c>
      <c r="N8" s="48">
        <v>-1000</v>
      </c>
      <c r="O8" s="21">
        <f t="shared" si="3"/>
        <v>-6400</v>
      </c>
      <c r="P8" s="8"/>
      <c r="Q8" s="9"/>
      <c r="R8" s="9">
        <v>-1000</v>
      </c>
      <c r="S8" s="48"/>
      <c r="T8" s="21">
        <f t="shared" si="4"/>
        <v>36400</v>
      </c>
      <c r="U8" s="53">
        <f>IF($J8="","",ROUND(($J8-$J$3)/1000,1)+(_xlfn.RANK.AVG($J8,($J8,$O8,$T8),1)-2)*10)</f>
        <v>50</v>
      </c>
      <c r="V8" s="54">
        <f>IF($O8="","",ROUND(($O8-$O$3)/1000,1)+(_xlfn.RANK.AVG($O8,($J8,$O8,$T8),1)-2)*10)</f>
        <v>-51.4</v>
      </c>
      <c r="W8" s="55">
        <f>IF($T8="","",ROUND(($T8-$T$3)/1000,1)+(_xlfn.RANK.AVG($T8,($J8,$O8,$T8),1)-2)*10)</f>
        <v>1.4</v>
      </c>
      <c r="Y8" s="8"/>
      <c r="Z8" s="34"/>
      <c r="AA8" s="26"/>
      <c r="AB8" s="26">
        <v>1</v>
      </c>
      <c r="AC8" s="26">
        <v>7</v>
      </c>
      <c r="AD8" s="30" t="s">
        <v>205</v>
      </c>
      <c r="AE8" s="40" t="s">
        <v>104</v>
      </c>
      <c r="AF8" s="41" t="s">
        <v>86</v>
      </c>
      <c r="AG8" s="41" t="s">
        <v>86</v>
      </c>
      <c r="AH8" s="41" t="s">
        <v>79</v>
      </c>
      <c r="AI8" s="41" t="s">
        <v>79</v>
      </c>
      <c r="AJ8" s="41" t="s">
        <v>79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だいち</v>
      </c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B6695485-FC39-49BE-B862-BF57B5CB9FBE}">
      <formula1>"ともまさ,たいせい,だいち,"</formula1>
    </dataValidation>
    <dataValidation type="list" showInputMessage="1" showErrorMessage="1" sqref="K4:K30 P4:P30 F4:F30" xr:uid="{564351EC-FBD0-4827-BE3B-B56922942A9A}">
      <formula1>"ロン,ツモ,放銃,ツモ支払,流局,チョンボ"</formula1>
    </dataValidation>
    <dataValidation type="list" allowBlank="1" showInputMessage="1" showErrorMessage="1" sqref="E4:E30" xr:uid="{68827AE1-1651-422E-A4B5-2F490E56CD3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cp:lastPrinted>2018-10-03T09:15:05Z</cp:lastPrinted>
  <dcterms:created xsi:type="dcterms:W3CDTF">2018-10-02T11:54:05Z</dcterms:created>
  <dcterms:modified xsi:type="dcterms:W3CDTF">2023-01-07T05:34:19Z</dcterms:modified>
</cp:coreProperties>
</file>