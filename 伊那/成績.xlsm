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3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Friends\"/>
    </mc:Choice>
  </mc:AlternateContent>
  <xr:revisionPtr revIDLastSave="0" documentId="13_ncr:1_{7370F8EA-A7EE-4041-AF70-1C6392152FAE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022" r:id="rId6"/>
    <sheet name="ともまさ" sheetId="7024" r:id="rId7"/>
    <sheet name="たいせい" sheetId="7026" r:id="rId8"/>
    <sheet name="だいち" sheetId="7028" r:id="rId9"/>
    <sheet name="だいち2" sheetId="7029" state="hidden" r:id="rId10"/>
    <sheet name="たいせい2" sheetId="7027" state="hidden" r:id="rId11"/>
    <sheet name="ともまさ2" sheetId="7025" state="hidden" r:id="rId12"/>
    <sheet name="全体2" sheetId="7023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リーチ率" sheetId="3524" state="hidden" r:id="rId24"/>
    <sheet name="副露率" sheetId="3525" state="hidden" r:id="rId25"/>
    <sheet name="リーチ成功率" sheetId="4841" state="hidden" r:id="rId26"/>
    <sheet name="副露成功率" sheetId="3527" state="hidden" r:id="rId27"/>
    <sheet name="ツモ率" sheetId="3528" state="hidden" r:id="rId28"/>
  </sheets>
  <definedNames>
    <definedName name="アガリ数" localSheetId="3">Template1!$B$20</definedName>
    <definedName name="アガリ数" localSheetId="7">たいせい!$B$20</definedName>
    <definedName name="アガリ数" localSheetId="8">だいち!$B$20</definedName>
    <definedName name="アガリ数" localSheetId="6">ともまさ!$B$20</definedName>
    <definedName name="アガリ数" localSheetId="5">全体!$B$20</definedName>
    <definedName name="アガリ率" localSheetId="3">Template1!$C$20</definedName>
    <definedName name="アガリ率" localSheetId="7">たいせい!$C$20</definedName>
    <definedName name="アガリ率" localSheetId="8">だいち!$C$20</definedName>
    <definedName name="アガリ率" localSheetId="6">ともまさ!$C$20</definedName>
    <definedName name="アガリ率" localSheetId="5">全体!$C$20</definedName>
    <definedName name="ダマアガリ数" localSheetId="3">Template1!$B$26</definedName>
    <definedName name="ダマアガリ数" localSheetId="7">たいせい!$B$26</definedName>
    <definedName name="ダマアガリ数" localSheetId="8">だいち!$B$26</definedName>
    <definedName name="ダマアガリ数" localSheetId="6">ともまさ!$B$26</definedName>
    <definedName name="ダマアガリ数" localSheetId="5">全体!$B$26</definedName>
    <definedName name="ダマアガリ率" localSheetId="3">Template1!$C$26</definedName>
    <definedName name="ダマアガリ率" localSheetId="7">たいせい!$C$26</definedName>
    <definedName name="ダマアガリ率" localSheetId="8">だいち!$C$26</definedName>
    <definedName name="ダマアガリ率" localSheetId="6">ともまさ!$C$26</definedName>
    <definedName name="ダマアガリ率" localSheetId="5">全体!$C$26</definedName>
    <definedName name="チョンボ数" localSheetId="3">Template1!$B$35</definedName>
    <definedName name="チョンボ数" localSheetId="7">たいせい!$B$35</definedName>
    <definedName name="チョンボ数" localSheetId="8">だいち!$B$35</definedName>
    <definedName name="チョンボ数" localSheetId="6">ともまさ!$B$35</definedName>
    <definedName name="チョンボ数" localSheetId="5">全体!$B$35</definedName>
    <definedName name="チョンボ率" localSheetId="3">Template1!$C$35</definedName>
    <definedName name="チョンボ率" localSheetId="7">たいせい!$C$35</definedName>
    <definedName name="チョンボ率" localSheetId="8">だいち!$C$35</definedName>
    <definedName name="チョンボ率" localSheetId="6">ともまさ!$C$35</definedName>
    <definedName name="チョンボ率" localSheetId="5">全体!$C$35</definedName>
    <definedName name="ツモ数" localSheetId="3">Template1!$B$22</definedName>
    <definedName name="ツモ数" localSheetId="7">たいせい!$B$22</definedName>
    <definedName name="ツモ数" localSheetId="8">だいち!$B$22</definedName>
    <definedName name="ツモ数" localSheetId="6">ともまさ!$B$22</definedName>
    <definedName name="ツモ数" localSheetId="5">全体!$B$22</definedName>
    <definedName name="ツモ率" localSheetId="3">Template1!$C$22</definedName>
    <definedName name="ツモ率" localSheetId="7">たいせい!$C$22</definedName>
    <definedName name="ツモ率" localSheetId="8">だいち!$C$22</definedName>
    <definedName name="ツモ率" localSheetId="6">ともまさ!$C$22</definedName>
    <definedName name="ツモ率" localSheetId="5">全体!$C$22</definedName>
    <definedName name="トップ数" localSheetId="3">Template1!$B$8</definedName>
    <definedName name="トップ数" localSheetId="7">たいせい!$B$8</definedName>
    <definedName name="トップ数" localSheetId="8">だいち!$B$8</definedName>
    <definedName name="トップ数" localSheetId="6">ともまさ!$B$8</definedName>
    <definedName name="トップ数" localSheetId="5">全体!$B$8</definedName>
    <definedName name="トップ率" localSheetId="3">Template1!$C$8</definedName>
    <definedName name="トップ率" localSheetId="7">たいせい!$C$8</definedName>
    <definedName name="トップ率" localSheetId="8">だいち!$C$8</definedName>
    <definedName name="トップ率" localSheetId="6">ともまさ!$C$8</definedName>
    <definedName name="トップ率" localSheetId="5">全体!$C$8</definedName>
    <definedName name="バランス" localSheetId="7">たいせい!$B$14</definedName>
    <definedName name="バランス" localSheetId="8">だいち!$B$14</definedName>
    <definedName name="バランス" localSheetId="6">ともまさ!$B$14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たいせい!$B$15</definedName>
    <definedName name="ふっとび数" localSheetId="8">だいち!$B$15</definedName>
    <definedName name="ふっとび数" localSheetId="6">ともまさ!$B$15</definedName>
    <definedName name="ふっとび数" localSheetId="5">全体!$B$15</definedName>
    <definedName name="ふっとび率" localSheetId="3">Template1!$C$15</definedName>
    <definedName name="ふっとび率" localSheetId="7">たいせい!$C$15</definedName>
    <definedName name="ふっとび率" localSheetId="8">だいち!$C$15</definedName>
    <definedName name="ふっとび率" localSheetId="6">ともまさ!$C$15</definedName>
    <definedName name="ふっとび率" localSheetId="5">全体!$C$15</definedName>
    <definedName name="ラス数" localSheetId="3">Template1!$B$10</definedName>
    <definedName name="ラス数" localSheetId="7">たいせい!$B$10</definedName>
    <definedName name="ラス数" localSheetId="8">だいち!$B$10</definedName>
    <definedName name="ラス数" localSheetId="6">ともまさ!$B$10</definedName>
    <definedName name="ラス数" localSheetId="5">全体!$B$10</definedName>
    <definedName name="ラス率" localSheetId="3">Template1!$C$10</definedName>
    <definedName name="ラス率" localSheetId="7">たいせい!$C$10</definedName>
    <definedName name="ラス率" localSheetId="8">だいち!$C$10</definedName>
    <definedName name="ラス率" localSheetId="6">ともまさ!$C$10</definedName>
    <definedName name="ラス率" localSheetId="5">全体!$C$10</definedName>
    <definedName name="リーチアガリ数" localSheetId="3">Template1!$B$24</definedName>
    <definedName name="リーチアガリ数" localSheetId="7">たいせい!$B$24</definedName>
    <definedName name="リーチアガリ数" localSheetId="8">だいち!$B$24</definedName>
    <definedName name="リーチアガリ数" localSheetId="6">ともまさ!$B$24</definedName>
    <definedName name="リーチアガリ数" localSheetId="5">全体!$B$24</definedName>
    <definedName name="リーチアガリ率" localSheetId="3">Template1!$C$24</definedName>
    <definedName name="リーチアガリ率" localSheetId="7">たいせい!$C$24</definedName>
    <definedName name="リーチアガリ率" localSheetId="8">だいち!$C$24</definedName>
    <definedName name="リーチアガリ率" localSheetId="6">ともまさ!$C$24</definedName>
    <definedName name="リーチアガリ率" localSheetId="5">全体!$C$24</definedName>
    <definedName name="リーチ数" localSheetId="3">Template1!$B$16</definedName>
    <definedName name="リーチ数" localSheetId="7">たいせい!$B$16</definedName>
    <definedName name="リーチ数" localSheetId="8">だいち!$B$16</definedName>
    <definedName name="リーチ数" localSheetId="6">ともまさ!$B$16</definedName>
    <definedName name="リーチ数" localSheetId="5">全体!$B$16</definedName>
    <definedName name="リーチ成功数" localSheetId="3">Template1!$B$18</definedName>
    <definedName name="リーチ成功数" localSheetId="7">たいせい!$B$18</definedName>
    <definedName name="リーチ成功数" localSheetId="8">だいち!$B$18</definedName>
    <definedName name="リーチ成功数" localSheetId="6">ともまさ!$B$18</definedName>
    <definedName name="リーチ成功数" localSheetId="5">全体!$B$18</definedName>
    <definedName name="リーチ成功率" localSheetId="3">Template1!$C$18</definedName>
    <definedName name="リーチ成功率" localSheetId="7">たいせい!$C$18</definedName>
    <definedName name="リーチ成功率" localSheetId="8">だいち!$C$18</definedName>
    <definedName name="リーチ成功率" localSheetId="6">ともまさ!$C$18</definedName>
    <definedName name="リーチ成功率" localSheetId="5">全体!$C$18</definedName>
    <definedName name="リーチ率" localSheetId="3">Template1!$C$16</definedName>
    <definedName name="リーチ率" localSheetId="7">たいせい!$C$16</definedName>
    <definedName name="リーチ率" localSheetId="8">だいち!$C$16</definedName>
    <definedName name="リーチ率" localSheetId="6">ともまさ!$C$16</definedName>
    <definedName name="リーチ率" localSheetId="5">全体!$C$16</definedName>
    <definedName name="レーティング" localSheetId="7">たいせい!$B$6</definedName>
    <definedName name="レーティング" localSheetId="8">だいち!$B$6</definedName>
    <definedName name="レーティング" localSheetId="6">ともまさ!$B$6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たいせい!$B$23</definedName>
    <definedName name="ロン数" localSheetId="8">だいち!$B$23</definedName>
    <definedName name="ロン数" localSheetId="6">ともまさ!$B$23</definedName>
    <definedName name="ロン数" localSheetId="5">全体!$B$23</definedName>
    <definedName name="ロン率" localSheetId="3">Template1!$C$23</definedName>
    <definedName name="ロン率" localSheetId="7">たいせい!$C$23</definedName>
    <definedName name="ロン率" localSheetId="8">だいち!$C$23</definedName>
    <definedName name="ロン率" localSheetId="6">ともまさ!$C$23</definedName>
    <definedName name="ロン率" localSheetId="5">全体!$C$23</definedName>
    <definedName name="一位スコア" localSheetId="7">たいせい!$B$11</definedName>
    <definedName name="一位スコア" localSheetId="8">だいち!$B$11</definedName>
    <definedName name="一位スコア" localSheetId="6">ともまさ!$B$11</definedName>
    <definedName name="一位スコア" localSheetId="5">全体!$B$11</definedName>
    <definedName name="一位スコア">Template1!$B$11</definedName>
    <definedName name="一位通算スコア" localSheetId="7">たいせい!$C$11</definedName>
    <definedName name="一位通算スコア" localSheetId="8">だいち!$C$11</definedName>
    <definedName name="一位通算スコア" localSheetId="6">ともまさ!$C$11</definedName>
    <definedName name="一位通算スコア" localSheetId="5">全体!$C$11</definedName>
    <definedName name="一位通算スコア">Template1!$C$11</definedName>
    <definedName name="一翻数" localSheetId="7">たいせい!$B$37</definedName>
    <definedName name="一翻数" localSheetId="8">だいち!$B$37</definedName>
    <definedName name="一翻数" localSheetId="6">ともまさ!$B$37</definedName>
    <definedName name="一翻数" localSheetId="5">全体!$B$37</definedName>
    <definedName name="一翻数">Template1!$B$37</definedName>
    <definedName name="一翻率" localSheetId="7">たいせい!$C$37</definedName>
    <definedName name="一翻率" localSheetId="8">だいち!$C$37</definedName>
    <definedName name="一翻率" localSheetId="6">ともまさ!$C$37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たいせい!$C$31</definedName>
    <definedName name="現行連続アガリ" localSheetId="8">だいち!$C$31</definedName>
    <definedName name="現行連続アガリ" localSheetId="6">ともまさ!$C$31</definedName>
    <definedName name="現行連続アガリ" localSheetId="5">全体!$C$31</definedName>
    <definedName name="現行連続無放銃" localSheetId="3">Template1!$C$32</definedName>
    <definedName name="現行連続無放銃" localSheetId="7">たいせい!$C$32</definedName>
    <definedName name="現行連続無放銃" localSheetId="8">だいち!$C$32</definedName>
    <definedName name="現行連続無放銃" localSheetId="6">ともまさ!$C$32</definedName>
    <definedName name="現行連続無放銃" localSheetId="5">全体!$C$32</definedName>
    <definedName name="最高点" localSheetId="3">Template1!$B$34</definedName>
    <definedName name="最高点" localSheetId="7">たいせい!$B$34</definedName>
    <definedName name="最高点" localSheetId="8">だいち!$B$34</definedName>
    <definedName name="最高点" localSheetId="6">ともまさ!$B$34</definedName>
    <definedName name="最高点" localSheetId="5">全体!$B$34</definedName>
    <definedName name="最大ドラ数" localSheetId="3">Template1!$B$33</definedName>
    <definedName name="最大ドラ数" localSheetId="7">たいせい!$B$33</definedName>
    <definedName name="最大ドラ数" localSheetId="8">だいち!$B$33</definedName>
    <definedName name="最大ドラ数" localSheetId="6">ともまさ!$B$33</definedName>
    <definedName name="最大ドラ数" localSheetId="5">全体!$B$33</definedName>
    <definedName name="最大点数" localSheetId="3">Template1!$B$34</definedName>
    <definedName name="最大点数" localSheetId="7">たいせい!$B$34</definedName>
    <definedName name="最大点数" localSheetId="8">だいち!$B$34</definedName>
    <definedName name="最大点数" localSheetId="6">ともまさ!$B$34</definedName>
    <definedName name="最大点数" localSheetId="5">全体!$B$34</definedName>
    <definedName name="三位スコア" localSheetId="7">たいせい!$B$13</definedName>
    <definedName name="三位スコア" localSheetId="8">だいち!$B$13</definedName>
    <definedName name="三位スコア" localSheetId="6">ともまさ!$B$13</definedName>
    <definedName name="三位スコア" localSheetId="5">全体!$B$13</definedName>
    <definedName name="三位スコア">Template1!$B$13</definedName>
    <definedName name="三位通算スコア" localSheetId="7">たいせい!$C$13</definedName>
    <definedName name="三位通算スコア" localSheetId="8">だいち!$C$13</definedName>
    <definedName name="三位通算スコア" localSheetId="6">ともまさ!$C$13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たいせい!$B$3</definedName>
    <definedName name="総局数" localSheetId="8">だいち!$B$3</definedName>
    <definedName name="総局数" localSheetId="6">ともまさ!$B$3</definedName>
    <definedName name="総局数" localSheetId="5">全体!$B$3</definedName>
    <definedName name="対戦数" localSheetId="3">Template1!$B$2</definedName>
    <definedName name="対戦数" localSheetId="7">たいせい!$B$2</definedName>
    <definedName name="対戦数" localSheetId="8">だいち!$B$2</definedName>
    <definedName name="対戦数" localSheetId="6">ともまさ!$B$2</definedName>
    <definedName name="対戦数" localSheetId="5">全体!$B$2</definedName>
    <definedName name="通算アガリ点" localSheetId="3">Template1!$C$27</definedName>
    <definedName name="通算アガリ点" localSheetId="7">たいせい!$C$27</definedName>
    <definedName name="通算アガリ点" localSheetId="8">だいち!$C$27</definedName>
    <definedName name="通算アガリ点" localSheetId="6">ともまさ!$C$27</definedName>
    <definedName name="通算アガリ点" localSheetId="5">全体!$C$27</definedName>
    <definedName name="通算スコア" localSheetId="3">Template1!$B$4</definedName>
    <definedName name="通算スコア" localSheetId="7">たいせい!$B$4</definedName>
    <definedName name="通算スコア" localSheetId="8">だいち!$B$4</definedName>
    <definedName name="通算スコア" localSheetId="6">ともまさ!$B$4</definedName>
    <definedName name="通算スコア" localSheetId="5">全体!$B$4</definedName>
    <definedName name="通算副露アガリ点" localSheetId="3">Template1!$C$29</definedName>
    <definedName name="通算副露アガリ点" localSheetId="7">たいせい!$C$29</definedName>
    <definedName name="通算副露アガリ点" localSheetId="8">だいち!$C$29</definedName>
    <definedName name="通算副露アガリ点" localSheetId="6">ともまさ!$C$29</definedName>
    <definedName name="通算副露アガリ点" localSheetId="5">全体!$C$29</definedName>
    <definedName name="通算放銃点" localSheetId="3">Template1!$C$30</definedName>
    <definedName name="通算放銃点" localSheetId="7">たいせい!$C$30</definedName>
    <definedName name="通算放銃点" localSheetId="8">だいち!$C$30</definedName>
    <definedName name="通算放銃点" localSheetId="6">ともまさ!$C$30</definedName>
    <definedName name="通算放銃点" localSheetId="5">全体!$C$30</definedName>
    <definedName name="通算門前アガリ点" localSheetId="3">Template1!$C$28</definedName>
    <definedName name="通算門前アガリ点" localSheetId="7">たいせい!$C$28</definedName>
    <definedName name="通算門前アガリ点" localSheetId="8">だいち!$C$28</definedName>
    <definedName name="通算門前アガリ点" localSheetId="6">ともまさ!$C$28</definedName>
    <definedName name="通算門前アガリ点" localSheetId="5">全体!$C$28</definedName>
    <definedName name="二位スコア" localSheetId="7">たいせい!$B$12</definedName>
    <definedName name="二位スコア" localSheetId="8">だいち!$B$12</definedName>
    <definedName name="二位スコア" localSheetId="6">ともまさ!$B$12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たいせい!$B$9</definedName>
    <definedName name="二位数" localSheetId="8">だいち!$B$9</definedName>
    <definedName name="二位数" localSheetId="6">ともまさ!$B$9</definedName>
    <definedName name="二位数" localSheetId="5">全体!$B$9</definedName>
    <definedName name="二位通算スコア" localSheetId="7">たいせい!$C$12</definedName>
    <definedName name="二位通算スコア" localSheetId="8">だいち!$C$12</definedName>
    <definedName name="二位通算スコア" localSheetId="6">ともまさ!$C$12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たいせい!$C$9</definedName>
    <definedName name="二位率" localSheetId="8">だいち!$C$9</definedName>
    <definedName name="二位率" localSheetId="6">ともまさ!$C$9</definedName>
    <definedName name="二位率" localSheetId="5">全体!$C$9</definedName>
    <definedName name="副露アガリ数" localSheetId="3">Template1!$B$25</definedName>
    <definedName name="副露アガリ数" localSheetId="7">たいせい!$B$25</definedName>
    <definedName name="副露アガリ数" localSheetId="8">だいち!$B$25</definedName>
    <definedName name="副露アガリ数" localSheetId="6">ともまさ!$B$25</definedName>
    <definedName name="副露アガリ数" localSheetId="5">全体!$B$25</definedName>
    <definedName name="副露アガリ点" localSheetId="3">Template1!$B$29</definedName>
    <definedName name="副露アガリ点" localSheetId="7">たいせい!$B$29</definedName>
    <definedName name="副露アガリ点" localSheetId="8">だいち!$B$29</definedName>
    <definedName name="副露アガリ点" localSheetId="6">ともまさ!$B$29</definedName>
    <definedName name="副露アガリ点" localSheetId="5">全体!$B$29</definedName>
    <definedName name="副露アガリ率" localSheetId="3">Template1!$C$25</definedName>
    <definedName name="副露アガリ率" localSheetId="7">たいせい!$C$25</definedName>
    <definedName name="副露アガリ率" localSheetId="8">だいち!$C$25</definedName>
    <definedName name="副露アガリ率" localSheetId="6">ともまさ!$C$25</definedName>
    <definedName name="副露アガリ率" localSheetId="5">全体!$C$25</definedName>
    <definedName name="副露数" localSheetId="3">Template1!$B$17</definedName>
    <definedName name="副露数" localSheetId="7">たいせい!$B$17</definedName>
    <definedName name="副露数" localSheetId="8">だいち!$B$17</definedName>
    <definedName name="副露数" localSheetId="6">ともまさ!$B$17</definedName>
    <definedName name="副露数" localSheetId="5">全体!$B$17</definedName>
    <definedName name="副露成功数" localSheetId="3">Template1!$B$19</definedName>
    <definedName name="副露成功数" localSheetId="7">たいせい!$B$19</definedName>
    <definedName name="副露成功数" localSheetId="8">だいち!$B$19</definedName>
    <definedName name="副露成功数" localSheetId="6">ともまさ!$B$19</definedName>
    <definedName name="副露成功数" localSheetId="5">全体!$B$19</definedName>
    <definedName name="副露成功率" localSheetId="3">Template1!$C$19</definedName>
    <definedName name="副露成功率" localSheetId="7">たいせい!$C$19</definedName>
    <definedName name="副露成功率" localSheetId="8">だいち!$C$19</definedName>
    <definedName name="副露成功率" localSheetId="6">ともまさ!$C$19</definedName>
    <definedName name="副露成功率" localSheetId="5">全体!$C$19</definedName>
    <definedName name="副露率" localSheetId="3">Template1!$C$17</definedName>
    <definedName name="副露率" localSheetId="7">たいせい!$C$17</definedName>
    <definedName name="副露率" localSheetId="8">だいち!$C$17</definedName>
    <definedName name="副露率" localSheetId="6">ともまさ!$C$17</definedName>
    <definedName name="副露率" localSheetId="5">全体!$C$17</definedName>
    <definedName name="平均アガリ点" localSheetId="3">Template1!$B$27</definedName>
    <definedName name="平均アガリ点" localSheetId="7">たいせい!$B$27</definedName>
    <definedName name="平均アガリ点" localSheetId="8">だいち!$B$27</definedName>
    <definedName name="平均アガリ点" localSheetId="6">ともまさ!$B$27</definedName>
    <definedName name="平均アガリ点" localSheetId="5">全体!$B$27</definedName>
    <definedName name="平均スコア" localSheetId="3">Template1!$B$5</definedName>
    <definedName name="平均スコア" localSheetId="7">たいせい!$B$5</definedName>
    <definedName name="平均スコア" localSheetId="8">だいち!$B$5</definedName>
    <definedName name="平均スコア" localSheetId="6">ともまさ!$B$5</definedName>
    <definedName name="平均スコア" localSheetId="5">全体!$B$5</definedName>
    <definedName name="平均順位" localSheetId="3">Template1!$B$7</definedName>
    <definedName name="平均順位" localSheetId="7">たいせい!$B$7</definedName>
    <definedName name="平均順位" localSheetId="8">だいち!$B$7</definedName>
    <definedName name="平均順位" localSheetId="6">ともまさ!$B$7</definedName>
    <definedName name="平均順位" localSheetId="5">全体!$B$7</definedName>
    <definedName name="平均放銃点" localSheetId="3">Template1!$B$30</definedName>
    <definedName name="平均放銃点" localSheetId="7">たいせい!$B$30</definedName>
    <definedName name="平均放銃点" localSheetId="8">だいち!$B$30</definedName>
    <definedName name="平均放銃点" localSheetId="6">ともまさ!$B$30</definedName>
    <definedName name="平均放銃点" localSheetId="5">全体!$B$30</definedName>
    <definedName name="放銃数" localSheetId="3">Template1!$B$21</definedName>
    <definedName name="放銃数" localSheetId="7">たいせい!$B$21</definedName>
    <definedName name="放銃数" localSheetId="8">だいち!$B$21</definedName>
    <definedName name="放銃数" localSheetId="6">ともまさ!$B$21</definedName>
    <definedName name="放銃数" localSheetId="5">全体!$B$21</definedName>
    <definedName name="放銃率" localSheetId="3">Template1!$C$21</definedName>
    <definedName name="放銃率" localSheetId="7">たいせい!$C$21</definedName>
    <definedName name="放銃率" localSheetId="8">だいち!$C$21</definedName>
    <definedName name="放銃率" localSheetId="6">ともまさ!$C$21</definedName>
    <definedName name="放銃率" localSheetId="5">全体!$C$21</definedName>
    <definedName name="名前" localSheetId="3">Template1!$B$1</definedName>
    <definedName name="名前" localSheetId="7">たいせい!$B$1</definedName>
    <definedName name="名前" localSheetId="8">だいち!$B$1</definedName>
    <definedName name="名前" localSheetId="6">ともまさ!$B$1</definedName>
    <definedName name="名前" localSheetId="5">全体!$B$1</definedName>
    <definedName name="門前アガリ点" localSheetId="3">Template1!$B$28</definedName>
    <definedName name="門前アガリ点" localSheetId="7">たいせい!$B$28</definedName>
    <definedName name="門前アガリ点" localSheetId="8">だいち!$B$28</definedName>
    <definedName name="門前アガリ点" localSheetId="6">ともまさ!$B$28</definedName>
    <definedName name="門前アガリ点" localSheetId="5">全体!$B$28</definedName>
    <definedName name="連続アガリ" localSheetId="3">Template1!$B$31</definedName>
    <definedName name="連続アガリ" localSheetId="7">たいせい!$B$31</definedName>
    <definedName name="連続アガリ" localSheetId="8">だいち!$B$31</definedName>
    <definedName name="連続アガリ" localSheetId="6">ともまさ!$B$31</definedName>
    <definedName name="連続アガリ" localSheetId="5">全体!$B$31</definedName>
    <definedName name="連続無放銃" localSheetId="3">Template1!$B$32</definedName>
    <definedName name="連続無放銃" localSheetId="7">たいせい!$B$32</definedName>
    <definedName name="連続無放銃" localSheetId="8">だいち!$B$32</definedName>
    <definedName name="連続無放銃" localSheetId="6">ともまさ!$B$32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7028" l="1"/>
  <c r="P15" i="7028"/>
  <c r="C35" i="7028"/>
  <c r="B30" i="7028"/>
  <c r="C21" i="7028"/>
  <c r="B20" i="7028"/>
  <c r="H50" i="7028" s="1"/>
  <c r="B19" i="7028"/>
  <c r="B29" i="7028" s="1"/>
  <c r="C18" i="7028"/>
  <c r="B18" i="7028"/>
  <c r="C17" i="7028"/>
  <c r="C16" i="7028"/>
  <c r="C15" i="7028"/>
  <c r="B13" i="7028"/>
  <c r="P12" i="7028"/>
  <c r="B12" i="7028"/>
  <c r="P11" i="7028"/>
  <c r="B11" i="7028"/>
  <c r="P10" i="7028"/>
  <c r="C10" i="7028"/>
  <c r="C9" i="7028"/>
  <c r="C8" i="7028"/>
  <c r="P7" i="7028"/>
  <c r="B7" i="7028"/>
  <c r="P6" i="7028"/>
  <c r="P5" i="7028"/>
  <c r="B5" i="7028"/>
  <c r="P4" i="7028"/>
  <c r="P3" i="7028"/>
  <c r="P2" i="7028"/>
  <c r="P15" i="7026"/>
  <c r="P16" i="7026"/>
  <c r="C35" i="7026"/>
  <c r="B30" i="7026"/>
  <c r="C21" i="7026"/>
  <c r="B20" i="7026"/>
  <c r="H50" i="7026" s="1"/>
  <c r="C19" i="7026"/>
  <c r="B19" i="7026"/>
  <c r="B29" i="7026" s="1"/>
  <c r="B18" i="7026"/>
  <c r="C18" i="7026" s="1"/>
  <c r="C17" i="7026"/>
  <c r="C16" i="7026"/>
  <c r="C15" i="7026"/>
  <c r="B13" i="7026"/>
  <c r="P12" i="7026"/>
  <c r="B12" i="7026"/>
  <c r="P11" i="7026"/>
  <c r="B11" i="7026"/>
  <c r="P10" i="7026"/>
  <c r="C10" i="7026"/>
  <c r="C9" i="7026"/>
  <c r="C8" i="7026"/>
  <c r="P7" i="7026"/>
  <c r="B7" i="7026"/>
  <c r="P6" i="7026"/>
  <c r="P5" i="7026"/>
  <c r="B5" i="7026"/>
  <c r="P4" i="7026"/>
  <c r="P3" i="7026"/>
  <c r="P2" i="7026"/>
  <c r="P15" i="7022"/>
  <c r="P16" i="7024"/>
  <c r="P15" i="7024"/>
  <c r="C35" i="7024"/>
  <c r="B30" i="7024"/>
  <c r="C21" i="7024"/>
  <c r="B20" i="7024"/>
  <c r="H50" i="7024" s="1"/>
  <c r="B19" i="7024"/>
  <c r="B29" i="7024" s="1"/>
  <c r="B18" i="7024"/>
  <c r="C18" i="7024" s="1"/>
  <c r="C17" i="7024"/>
  <c r="C16" i="7024"/>
  <c r="C15" i="7024"/>
  <c r="B13" i="7024"/>
  <c r="P12" i="7024"/>
  <c r="B12" i="7024"/>
  <c r="P11" i="7024"/>
  <c r="B11" i="7024"/>
  <c r="P10" i="7024"/>
  <c r="C10" i="7024"/>
  <c r="C9" i="7024"/>
  <c r="C8" i="7024"/>
  <c r="P7" i="7024"/>
  <c r="B7" i="7024"/>
  <c r="P6" i="7024"/>
  <c r="P5" i="7024"/>
  <c r="B5" i="7024"/>
  <c r="P4" i="7024"/>
  <c r="P3" i="7024"/>
  <c r="P2" i="7024"/>
  <c r="P17" i="7022"/>
  <c r="P16" i="7022"/>
  <c r="C35" i="7022"/>
  <c r="B30" i="7022"/>
  <c r="C21" i="7022"/>
  <c r="B20" i="7022"/>
  <c r="H50" i="7022" s="1"/>
  <c r="B19" i="7022"/>
  <c r="B29" i="7022" s="1"/>
  <c r="B18" i="7022"/>
  <c r="C18" i="7022" s="1"/>
  <c r="C17" i="7022"/>
  <c r="C16" i="7022"/>
  <c r="C15" i="7022"/>
  <c r="B13" i="7022"/>
  <c r="P12" i="7022"/>
  <c r="B12" i="7022"/>
  <c r="P11" i="7022"/>
  <c r="B11" i="7022"/>
  <c r="P10" i="7022"/>
  <c r="C10" i="7022"/>
  <c r="C9" i="7022"/>
  <c r="C8" i="7022"/>
  <c r="P7" i="7022"/>
  <c r="B7" i="7022"/>
  <c r="P6" i="7022"/>
  <c r="P5" i="7022"/>
  <c r="B5" i="7022"/>
  <c r="P4" i="7022"/>
  <c r="P3" i="7022"/>
  <c r="P2" i="7022"/>
  <c r="C19" i="7024" l="1"/>
  <c r="B14" i="7024"/>
  <c r="C19" i="7028"/>
  <c r="C20" i="7028"/>
  <c r="C19" i="7022"/>
  <c r="B14" i="7026"/>
  <c r="B14" i="7022"/>
  <c r="C20" i="7024"/>
  <c r="B14" i="7028"/>
  <c r="H4" i="7028"/>
  <c r="H26" i="7028"/>
  <c r="H7" i="7028"/>
  <c r="C38" i="7028"/>
  <c r="C42" i="7028"/>
  <c r="C46" i="7028"/>
  <c r="H51" i="7028"/>
  <c r="H2" i="7028"/>
  <c r="H11" i="7028"/>
  <c r="H17" i="7028"/>
  <c r="H21" i="7028"/>
  <c r="C24" i="7028"/>
  <c r="B28" i="7028"/>
  <c r="H34" i="7028"/>
  <c r="H39" i="7028"/>
  <c r="H43" i="7028"/>
  <c r="H47" i="7028"/>
  <c r="H6" i="7028"/>
  <c r="H24" i="7028"/>
  <c r="H10" i="7028"/>
  <c r="H29" i="7028"/>
  <c r="H35" i="7028"/>
  <c r="C39" i="7028"/>
  <c r="C43" i="7028"/>
  <c r="C47" i="7028"/>
  <c r="H52" i="7028"/>
  <c r="H15" i="7028"/>
  <c r="H18" i="7028"/>
  <c r="C25" i="7028"/>
  <c r="H40" i="7028"/>
  <c r="H44" i="7028"/>
  <c r="H48" i="7028"/>
  <c r="H33" i="7028"/>
  <c r="H3" i="7028"/>
  <c r="H12" i="7028"/>
  <c r="H22" i="7028"/>
  <c r="H14" i="7028"/>
  <c r="H27" i="7028"/>
  <c r="H30" i="7028"/>
  <c r="H36" i="7028"/>
  <c r="C40" i="7028"/>
  <c r="C44" i="7028"/>
  <c r="C48" i="7028"/>
  <c r="H5" i="7028"/>
  <c r="H19" i="7028"/>
  <c r="C22" i="7028"/>
  <c r="C26" i="7028"/>
  <c r="H37" i="7028"/>
  <c r="H41" i="7028"/>
  <c r="H45" i="7028"/>
  <c r="H49" i="7028"/>
  <c r="H9" i="7028"/>
  <c r="H13" i="7028"/>
  <c r="H16" i="7028"/>
  <c r="H25" i="7028"/>
  <c r="H28" i="7028"/>
  <c r="H31" i="7028"/>
  <c r="C37" i="7028"/>
  <c r="C41" i="7028"/>
  <c r="C45" i="7028"/>
  <c r="C49" i="7028"/>
  <c r="H8" i="7028"/>
  <c r="H20" i="7028"/>
  <c r="H23" i="7028"/>
  <c r="C23" i="7028"/>
  <c r="B27" i="7028"/>
  <c r="H32" i="7028"/>
  <c r="H38" i="7028"/>
  <c r="H42" i="7028"/>
  <c r="H46" i="7028"/>
  <c r="C20" i="7026"/>
  <c r="H10" i="7026"/>
  <c r="H25" i="7026"/>
  <c r="H28" i="7026"/>
  <c r="H33" i="7026"/>
  <c r="C42" i="7026"/>
  <c r="C46" i="7026"/>
  <c r="H51" i="7026"/>
  <c r="H3" i="7026"/>
  <c r="H8" i="7026"/>
  <c r="H15" i="7026"/>
  <c r="H19" i="7026"/>
  <c r="C24" i="7026"/>
  <c r="B28" i="7026"/>
  <c r="H34" i="7026"/>
  <c r="H39" i="7026"/>
  <c r="H43" i="7026"/>
  <c r="H47" i="7026"/>
  <c r="H4" i="7026"/>
  <c r="H22" i="7026"/>
  <c r="H9" i="7026"/>
  <c r="H29" i="7026"/>
  <c r="H35" i="7026"/>
  <c r="C39" i="7026"/>
  <c r="C43" i="7026"/>
  <c r="C47" i="7026"/>
  <c r="H52" i="7026"/>
  <c r="H11" i="7026"/>
  <c r="H16" i="7026"/>
  <c r="C25" i="7026"/>
  <c r="H40" i="7026"/>
  <c r="H44" i="7026"/>
  <c r="H48" i="7026"/>
  <c r="C38" i="7026"/>
  <c r="H6" i="7026"/>
  <c r="H12" i="7026"/>
  <c r="H20" i="7026"/>
  <c r="H23" i="7026"/>
  <c r="H26" i="7026"/>
  <c r="H30" i="7026"/>
  <c r="H36" i="7026"/>
  <c r="C40" i="7026"/>
  <c r="C44" i="7026"/>
  <c r="C48" i="7026"/>
  <c r="H2" i="7026"/>
  <c r="H17" i="7026"/>
  <c r="C22" i="7026"/>
  <c r="C26" i="7026"/>
  <c r="H37" i="7026"/>
  <c r="H41" i="7026"/>
  <c r="H45" i="7026"/>
  <c r="H49" i="7026"/>
  <c r="H5" i="7026"/>
  <c r="H13" i="7026"/>
  <c r="H14" i="7026"/>
  <c r="H24" i="7026"/>
  <c r="H27" i="7026"/>
  <c r="H31" i="7026"/>
  <c r="C37" i="7026"/>
  <c r="C41" i="7026"/>
  <c r="C45" i="7026"/>
  <c r="C49" i="7026"/>
  <c r="H7" i="7026"/>
  <c r="H18" i="7026"/>
  <c r="H21" i="7026"/>
  <c r="C23" i="7026"/>
  <c r="B27" i="7026"/>
  <c r="H32" i="7026"/>
  <c r="H38" i="7026"/>
  <c r="H42" i="7026"/>
  <c r="H46" i="7026"/>
  <c r="H6" i="7024"/>
  <c r="H25" i="7024"/>
  <c r="H28" i="7024"/>
  <c r="H33" i="7024"/>
  <c r="C42" i="7024"/>
  <c r="C46" i="7024"/>
  <c r="H51" i="7024"/>
  <c r="H2" i="7024"/>
  <c r="H10" i="7024"/>
  <c r="H15" i="7024"/>
  <c r="H19" i="7024"/>
  <c r="C24" i="7024"/>
  <c r="B28" i="7024"/>
  <c r="H34" i="7024"/>
  <c r="H39" i="7024"/>
  <c r="H43" i="7024"/>
  <c r="H47" i="7024"/>
  <c r="H4" i="7024"/>
  <c r="H22" i="7024"/>
  <c r="H9" i="7024"/>
  <c r="H29" i="7024"/>
  <c r="H35" i="7024"/>
  <c r="C39" i="7024"/>
  <c r="C43" i="7024"/>
  <c r="C47" i="7024"/>
  <c r="H52" i="7024"/>
  <c r="H13" i="7024"/>
  <c r="H16" i="7024"/>
  <c r="C25" i="7024"/>
  <c r="H40" i="7024"/>
  <c r="H44" i="7024"/>
  <c r="H48" i="7024"/>
  <c r="C38" i="7024"/>
  <c r="H5" i="7024"/>
  <c r="H11" i="7024"/>
  <c r="H20" i="7024"/>
  <c r="H23" i="7024"/>
  <c r="H26" i="7024"/>
  <c r="H30" i="7024"/>
  <c r="H36" i="7024"/>
  <c r="C40" i="7024"/>
  <c r="C44" i="7024"/>
  <c r="C48" i="7024"/>
  <c r="H3" i="7024"/>
  <c r="H17" i="7024"/>
  <c r="C22" i="7024"/>
  <c r="C26" i="7024"/>
  <c r="H37" i="7024"/>
  <c r="H41" i="7024"/>
  <c r="H45" i="7024"/>
  <c r="H49" i="7024"/>
  <c r="H7" i="7024"/>
  <c r="H12" i="7024"/>
  <c r="H14" i="7024"/>
  <c r="H24" i="7024"/>
  <c r="H27" i="7024"/>
  <c r="H31" i="7024"/>
  <c r="C37" i="7024"/>
  <c r="C41" i="7024"/>
  <c r="C45" i="7024"/>
  <c r="C49" i="7024"/>
  <c r="H8" i="7024"/>
  <c r="H18" i="7024"/>
  <c r="H21" i="7024"/>
  <c r="C23" i="7024"/>
  <c r="B27" i="7024"/>
  <c r="H32" i="7024"/>
  <c r="H38" i="7024"/>
  <c r="H42" i="7024"/>
  <c r="H46" i="7024"/>
  <c r="H6" i="7022"/>
  <c r="C20" i="7022"/>
  <c r="H10" i="7022"/>
  <c r="H33" i="7022"/>
  <c r="C42" i="7022"/>
  <c r="C46" i="7022"/>
  <c r="H51" i="7022"/>
  <c r="H2" i="7022"/>
  <c r="H11" i="7022"/>
  <c r="H17" i="7022"/>
  <c r="H21" i="7022"/>
  <c r="C24" i="7022"/>
  <c r="B28" i="7022"/>
  <c r="H34" i="7022"/>
  <c r="H39" i="7022"/>
  <c r="H43" i="7022"/>
  <c r="H47" i="7022"/>
  <c r="H4" i="7022"/>
  <c r="H24" i="7022"/>
  <c r="H9" i="7022"/>
  <c r="H29" i="7022"/>
  <c r="H35" i="7022"/>
  <c r="C39" i="7022"/>
  <c r="C43" i="7022"/>
  <c r="C47" i="7022"/>
  <c r="H52" i="7022"/>
  <c r="H14" i="7022"/>
  <c r="H18" i="7022"/>
  <c r="C25" i="7022"/>
  <c r="H40" i="7022"/>
  <c r="H44" i="7022"/>
  <c r="H48" i="7022"/>
  <c r="H26" i="7022"/>
  <c r="C38" i="7022"/>
  <c r="H5" i="7022"/>
  <c r="H12" i="7022"/>
  <c r="H22" i="7022"/>
  <c r="H15" i="7022"/>
  <c r="H27" i="7022"/>
  <c r="H30" i="7022"/>
  <c r="H36" i="7022"/>
  <c r="C40" i="7022"/>
  <c r="C44" i="7022"/>
  <c r="C48" i="7022"/>
  <c r="H3" i="7022"/>
  <c r="H19" i="7022"/>
  <c r="C22" i="7022"/>
  <c r="C26" i="7022"/>
  <c r="H37" i="7022"/>
  <c r="H41" i="7022"/>
  <c r="H45" i="7022"/>
  <c r="H49" i="7022"/>
  <c r="H7" i="7022"/>
  <c r="H13" i="7022"/>
  <c r="H16" i="7022"/>
  <c r="H25" i="7022"/>
  <c r="H28" i="7022"/>
  <c r="H31" i="7022"/>
  <c r="C37" i="7022"/>
  <c r="C41" i="7022"/>
  <c r="C45" i="7022"/>
  <c r="C49" i="7022"/>
  <c r="H8" i="7022"/>
  <c r="H20" i="7022"/>
  <c r="H23" i="7022"/>
  <c r="C23" i="7022"/>
  <c r="B27" i="7022"/>
  <c r="H32" i="7022"/>
  <c r="H38" i="7022"/>
  <c r="H42" i="7022"/>
  <c r="H46" i="702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<sst xmlns="http://schemas.openxmlformats.org/spreadsheetml/2006/main" count="1176" uniqueCount="200">
  <si>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</si>
  <si>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</si>
  <si>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</si>
  <si>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</si>
  <si>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</si>
  <si>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</si>
  <si>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</si>
  <si>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</si>
  <si>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</si>
  <si>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</si>
  <si>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</si>
  <si>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</si>
  <si>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</si>
  <si>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</si>
  <si>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</si>
  <si>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</si>
  <si>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</si>
  <si>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</si>
  <si>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</si>
  <si>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</si>
  <si>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</si>
  <si>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</si>
  <si>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</si>
  <si>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</si>
  <si>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</si>
  <si>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</si>
  <si>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</si>
  <si>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</si>
  <si>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</si>
  <si>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</si>
  <si>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</si>
  <si>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</si>
  <si>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</si>
  <si>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</si>
  <si>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</si>
  <si>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</si>
  <si>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</si>
  <si>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</si>
  <si>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</si>
  <si>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</si>
  <si>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</si>
  <si>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</si>
  <si>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</si>
  <si>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</si>
  <si>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</si>
  <si>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</si>
  <si>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</si>
  <si>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</si>
  <si>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</si>
  <si>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</si>
  <si>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</si>
  <si>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</si>
  <si>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</si>
  <si>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</si>
  <si>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</si>
  <si>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</si>
  <si>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</si>
  <si>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</si>
  <si>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</si>
  <si>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</si>
  <si>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</si>
  <si>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</si>
  <si>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</si>
  <si>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</si>
  <si>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</si>
  <si>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</si>
  <si>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</si>
  <si>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</si>
  <si>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</si>
  <si>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</si>
  <si>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</si>
  <si>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</si>
  <si>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</si>
  <si>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</si>
  <si>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</si>
  <si>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</si>
  <si>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</si>
  <si>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</si>
  <si>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</si>
  <si>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</si>
  <si>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</si>
  <si>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</si>
  <si>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</si>
  <si>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</si>
  <si>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</si>
  <si>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</si>
  <si>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</si>
  <si>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</si>
  <si>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</si>
  <si>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</si>
  <si>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</si>
  <si>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</si>
  <si>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</si>
  <si>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</si>
  <si>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</si>
  <si>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</si>
  <si>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</si>
  <si>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</si>
  <si>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</si>
  <si>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</si>
  <si>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</si>
  <si>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</si>
  <si>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</si>
  <si>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</si>
  <si>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</si>
  <si>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</si>
  <si>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</si>
  <si>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</si>
  <si>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</si>
  <si>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</si>
  <si>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</si>
  <si>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</si>
  <si>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</si>
  <si>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</si>
  <si>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</si>
  <si>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</si>
  <si>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</si>
  <si>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</si>
  <si>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</si>
  <si>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</si>
  <si>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</si>
  <si>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</si>
  <si>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</si>
  <si>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</si>
  <si>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</si>
  <si>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</si>
  <si>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</si>
  <si>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</si>
  <si>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</si>
  <si>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</si>
  <si>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</si>
  <si>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</si>
  <si>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</si>
  <si>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</si>
  <si>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</si>
  <si>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</si>
  <si>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</si>
  <si>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</si>
  <si>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</si>
  <si>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</si>
  <si>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</si>
  <si>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</si>
  <si>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</si>
  <si>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</si>
  <si>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</si>
  <si>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</si>
  <si>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</si>
  <si>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</si>
  <si>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</si>
  <si>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</si>
  <si>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</si>
  <si>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</si>
  <si>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</si>
  <si>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</si>
  <si>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</si>
  <si>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</si>
  <si>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</si>
  <si>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</si>
  <si>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</si>
  <si>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</si>
  <si>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</si>
  <si>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</si>
  <si>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</si>
  <si>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</si>
  <si>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</si>
  <si>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</si>
  <si>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</si>
  <si>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</si>
  <si>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</si>
  <si>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</si>
  <si>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</si>
  <si>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</si>
  <si>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</si>
  <si>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</si>
  <si>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</si>
  <si>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</si>
  <si>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</si>
  <si>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</si>
  <si>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</si>
  <si>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</si>
  <si>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</si>
  <si>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</si>
  <si>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</si>
  <si>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</si>
  <si>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</si>
  <si>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</si>
  <si>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</si>
  <si>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</si>
  <si>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Sheet3</t>
  </si>
  <si>
    <t>Sheet4</t>
  </si>
  <si>
    <t>レーティング</t>
    <phoneticPr fontId="1"/>
  </si>
  <si>
    <t>R</t>
    <phoneticPr fontId="1"/>
  </si>
  <si>
    <t>相関</t>
    <rPh sb="0" eb="2">
      <t>ソウカン</t>
    </rPh>
    <phoneticPr fontId="1"/>
  </si>
  <si>
    <t>Sheet5</t>
  </si>
  <si>
    <t>2021-03-07.xlsm</t>
  </si>
  <si>
    <t>たいせい</t>
  </si>
  <si>
    <t>ともまさ</t>
  </si>
  <si>
    <t>―</t>
  </si>
  <si>
    <t>だいち</t>
    <phoneticPr fontId="1"/>
  </si>
  <si>
    <t>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</si>
</sst>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全体!$L$2:$L$17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29.5</c:v>
                </c:pt>
                <c:pt idx="2">
                  <c:v>26.3</c:v>
                </c:pt>
                <c:pt idx="3">
                  <c:v>0</c:v>
                </c:pt>
                <c:pt idx="4">
                  <c:v>35.299999999999997</c:v>
                </c:pt>
                <c:pt idx="5">
                  <c:v>12.099999999999998</c:v>
                </c:pt>
                <c:pt idx="6">
                  <c:v>-1.7763568394002505E-15</c:v>
                </c:pt>
                <c:pt idx="7">
                  <c:v>49.6</c:v>
                </c:pt>
                <c:pt idx="8">
                  <c:v>0.30000000000000426</c:v>
                </c:pt>
                <c:pt idx="9">
                  <c:v>4.2743586448068527E-15</c:v>
                </c:pt>
                <c:pt idx="10">
                  <c:v>-45.399999999999991</c:v>
                </c:pt>
                <c:pt idx="11">
                  <c:v>-16.499999999999993</c:v>
                </c:pt>
                <c:pt idx="12">
                  <c:v>7.1054273576010019E-15</c:v>
                </c:pt>
                <c:pt idx="13">
                  <c:v>1.0000000000000071</c:v>
                </c:pt>
                <c:pt idx="14">
                  <c:v>-49.999999999999993</c:v>
                </c:pt>
                <c:pt idx="15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9-4461-ABA4-D71C6C9D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2-4A04-AB71-32B71E3B8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E-4C08-89E6-22BE3C4F8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全体!$M$2:$M$17</c:f>
              <c:numCache>
                <c:formatCode>0</c:formatCode>
                <c:ptCount val="16"/>
                <c:pt idx="0">
                  <c:v>1500</c:v>
                </c:pt>
                <c:pt idx="1">
                  <c:v>1505.31</c:v>
                </c:pt>
                <c:pt idx="2">
                  <c:v>1504.7021399999999</c:v>
                </c:pt>
                <c:pt idx="3">
                  <c:v>1499.9399271599998</c:v>
                </c:pt>
                <c:pt idx="4">
                  <c:v>1506.2942875970398</c:v>
                </c:pt>
                <c:pt idx="5">
                  <c:v>1502.0805218714574</c:v>
                </c:pt>
                <c:pt idx="6">
                  <c:v>1499.8900387402286</c:v>
                </c:pt>
                <c:pt idx="7">
                  <c:v>1508.8186985077873</c:v>
                </c:pt>
                <c:pt idx="8">
                  <c:v>1499.8917863167405</c:v>
                </c:pt>
                <c:pt idx="9">
                  <c:v>1499.8384355988401</c:v>
                </c:pt>
                <c:pt idx="10">
                  <c:v>1491.667404985247</c:v>
                </c:pt>
                <c:pt idx="11">
                  <c:v>1496.9194005553354</c:v>
                </c:pt>
                <c:pt idx="12">
                  <c:v>1499.9078841520034</c:v>
                </c:pt>
                <c:pt idx="13">
                  <c:v>1500.0884368470913</c:v>
                </c:pt>
                <c:pt idx="14">
                  <c:v>1490.9079062260087</c:v>
                </c:pt>
                <c:pt idx="15">
                  <c:v>1499.9624587886526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2-4785-B35E-CC775AFCE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ともまさ!$L$1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ともまさ!$K$2:$K$7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ともまさ!$L$2:$L$7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29.5</c:v>
                </c:pt>
                <c:pt idx="2">
                  <c:v>64.8</c:v>
                </c:pt>
                <c:pt idx="3">
                  <c:v>15.5</c:v>
                </c:pt>
                <c:pt idx="4">
                  <c:v>-29.9</c:v>
                </c:pt>
                <c:pt idx="5">
                  <c:v>-28.9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49-45F3-9320-22DE752AE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ともまさ!$P$1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ともまさ!$O$2:$O$7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ともまさ!$P$2:$P$7</c:f>
              <c:numCache>
                <c:formatCode>\+0;\-0;\±0</c:formatCode>
                <c:ptCount val="6"/>
                <c:pt idx="0">
                  <c:v>-7860</c:v>
                </c:pt>
                <c:pt idx="1">
                  <c:v>4150</c:v>
                </c:pt>
                <c:pt idx="2">
                  <c:v>-1100</c:v>
                </c:pt>
                <c:pt idx="3">
                  <c:v>-3200</c:v>
                </c:pt>
                <c:pt idx="4">
                  <c:v>4066.6666666666665</c:v>
                </c:pt>
                <c:pt idx="5">
                  <c:v>1533.3333333333333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8B-4E34-A03A-5EC2B6E23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ともまさ!$A$37:$A$49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ともまさ!$B$37:$B$49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7-4266-8EE4-67F6EC236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ともまさ!$M$1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ともまさ!$K$2:$K$7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ともまさ!$M$2:$M$7</c:f>
              <c:numCache>
                <c:formatCode>0</c:formatCode>
                <c:ptCount val="6"/>
                <c:pt idx="0">
                  <c:v>1500</c:v>
                </c:pt>
                <c:pt idx="1">
                  <c:v>1505.31</c:v>
                </c:pt>
                <c:pt idx="2">
                  <c:v>1511.6321399999999</c:v>
                </c:pt>
                <c:pt idx="3">
                  <c:v>1502.6883471599999</c:v>
                </c:pt>
                <c:pt idx="4">
                  <c:v>1494.5002170770399</c:v>
                </c:pt>
                <c:pt idx="5">
                  <c:v>1494.7132157745777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58-4788-9103-575DC3C8D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たいせい!$L$1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たいせい!$K$2:$K$7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たいせい!$L$2:$L$7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-3.2</c:v>
                </c:pt>
                <c:pt idx="2">
                  <c:v>-26.4</c:v>
                </c:pt>
                <c:pt idx="3">
                  <c:v>23.200000000000003</c:v>
                </c:pt>
                <c:pt idx="4">
                  <c:v>52.1</c:v>
                </c:pt>
                <c:pt idx="5">
                  <c:v>1.1000000000000014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1E-4065-80B2-00CE0C8C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たいせい!$P$1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たいせい!$O$2:$O$7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たいせい!$P$2:$P$7</c:f>
              <c:numCache>
                <c:formatCode>\+0;\-0;\±0</c:formatCode>
                <c:ptCount val="6"/>
                <c:pt idx="0">
                  <c:v>6320</c:v>
                </c:pt>
                <c:pt idx="1">
                  <c:v>-4500</c:v>
                </c:pt>
                <c:pt idx="2">
                  <c:v>-3725</c:v>
                </c:pt>
                <c:pt idx="3">
                  <c:v>6533.333333333333</c:v>
                </c:pt>
                <c:pt idx="4">
                  <c:v>-6733.333333333333</c:v>
                </c:pt>
                <c:pt idx="5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DB-4D29-892B-5B717C2E9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たいせい!$A$37:$A$49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たいせい!$B$37:$B$49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D-4BD9-BEC0-8E9BBB627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たいせい!$M$1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たいせい!$K$2:$K$7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たいせい!$M$2:$M$7</c:f>
              <c:numCache>
                <c:formatCode>0</c:formatCode>
                <c:ptCount val="6"/>
                <c:pt idx="0">
                  <c:v>1500</c:v>
                </c:pt>
                <c:pt idx="1">
                  <c:v>1499.424</c:v>
                </c:pt>
                <c:pt idx="2">
                  <c:v>1495.251456</c:v>
                </c:pt>
                <c:pt idx="3">
                  <c:v>1504.207947264</c:v>
                </c:pt>
                <c:pt idx="4">
                  <c:v>1509.3846995804161</c:v>
                </c:pt>
                <c:pt idx="5">
                  <c:v>1500.1483913829336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C-4DB2-8168-43662BC98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-26.3</c:v>
                </c:pt>
                <c:pt idx="2">
                  <c:v>-38.4</c:v>
                </c:pt>
                <c:pt idx="3">
                  <c:v>-38.699999999999996</c:v>
                </c:pt>
                <c:pt idx="4">
                  <c:v>-22.199999999999996</c:v>
                </c:pt>
                <c:pt idx="5">
                  <c:v>27.800000000000004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1A-4A2B-9AA4-5B640FCAF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1540</c:v>
                </c:pt>
                <c:pt idx="1">
                  <c:v>350</c:v>
                </c:pt>
                <c:pt idx="2">
                  <c:v>4825</c:v>
                </c:pt>
                <c:pt idx="3">
                  <c:v>-3333.3333333333335</c:v>
                </c:pt>
                <c:pt idx="4">
                  <c:v>2666.6666666666665</c:v>
                </c:pt>
                <c:pt idx="5">
                  <c:v>-5533.333333333333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17-492D-974C-84382303E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F6-4856-A10A-4B5518D82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だいち!$M$2:$M$7</c:f>
              <c:numCache>
                <c:formatCode>0</c:formatCode>
                <c:ptCount val="6"/>
                <c:pt idx="0">
                  <c:v>1500</c:v>
                </c:pt>
                <c:pt idx="1">
                  <c:v>1495.2660000000001</c:v>
                </c:pt>
                <c:pt idx="2">
                  <c:v>1493.1164040000001</c:v>
                </c:pt>
                <c:pt idx="3">
                  <c:v>1493.103705576</c:v>
                </c:pt>
                <c:pt idx="4">
                  <c:v>1496.115083342544</c:v>
                </c:pt>
                <c:pt idx="5">
                  <c:v>1505.1383928424889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0F-4932-A164-B5D6C15EE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だいち2!$B$1:$B$2</c:f>
              <c:strCache>
                <c:ptCount val="2"/>
                <c:pt idx="0">
                  <c:v>だいち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-26.3</c:v>
                </c:pt>
                <c:pt idx="2">
                  <c:v>-38.4</c:v>
                </c:pt>
                <c:pt idx="3">
                  <c:v>-38.699999999999996</c:v>
                </c:pt>
                <c:pt idx="4">
                  <c:v>-22.199999999999996</c:v>
                </c:pt>
                <c:pt idx="5">
                  <c:v>27.800000000000004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だいち2!$C$1:$C$2</c:f>
              <c:strCache>
                <c:ptCount val="2"/>
                <c:pt idx="0">
                  <c:v>だいち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だいち2!$C$3:$C$8</c:f>
              <c:numCache>
                <c:formatCode>\+0.0;\-0.0;\±0</c:formatCode>
                <c:ptCount val="6"/>
                <c:pt idx="1">
                  <c:v>-26.3</c:v>
                </c:pt>
                <c:pt idx="2">
                  <c:v>-19.2</c:v>
                </c:pt>
                <c:pt idx="3">
                  <c:v>-12.899999999999999</c:v>
                </c:pt>
                <c:pt idx="4">
                  <c:v>-5.5499999999999989</c:v>
                </c:pt>
                <c:pt idx="5">
                  <c:v>5.5600000000000005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736951571734001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だいち2!$D$1:$D$2</c:f>
              <c:strCache>
                <c:ptCount val="2"/>
                <c:pt idx="0">
                  <c:v>だいち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だいち2!$D$3:$D$8</c:f>
              <c:numCache>
                <c:formatCode>0.00\ "位"</c:formatCode>
                <c:ptCount val="6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だいち2!$E$1:$E$2</c:f>
              <c:strCache>
                <c:ptCount val="2"/>
                <c:pt idx="0">
                  <c:v>だいち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だいち2!$F$1:$F$2</c:f>
              <c:strCache>
                <c:ptCount val="2"/>
                <c:pt idx="0">
                  <c:v>だいち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だいち2!$F$3:$F$8</c:f>
              <c:numCache>
                <c:formatCode>0.0%</c:formatCode>
                <c:ptCount val="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だいち2!$G$1:$G$2</c:f>
              <c:strCache>
                <c:ptCount val="2"/>
                <c:pt idx="0">
                  <c:v>だいち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だいち2!$G$3:$G$8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</c:v>
                </c:pt>
                <c:pt idx="3">
                  <c:v>0.21052631578947367</c:v>
                </c:pt>
                <c:pt idx="4">
                  <c:v>0.26923076923076922</c:v>
                </c:pt>
                <c:pt idx="5">
                  <c:v>0.34375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291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だいち2!$H$1:$H$2</c:f>
              <c:strCache>
                <c:ptCount val="2"/>
                <c:pt idx="0">
                  <c:v>だいち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だいち2!$H$3:$H$8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0.33333333333333331</c:v>
                </c:pt>
                <c:pt idx="3">
                  <c:v>0.26315789473684209</c:v>
                </c:pt>
                <c:pt idx="4">
                  <c:v>0.19230769230769232</c:v>
                </c:pt>
                <c:pt idx="5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7083333333333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だいち2!$I$1:$I$2</c:f>
              <c:strCache>
                <c:ptCount val="2"/>
                <c:pt idx="0">
                  <c:v>だいち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だいち2!$I$3:$I$8</c:f>
              <c:numCache>
                <c:formatCode>0</c:formatCode>
                <c:ptCount val="6"/>
                <c:pt idx="1">
                  <c:v>8000</c:v>
                </c:pt>
                <c:pt idx="2">
                  <c:v>9333.3333333333339</c:v>
                </c:pt>
                <c:pt idx="3">
                  <c:v>11000</c:v>
                </c:pt>
                <c:pt idx="4">
                  <c:v>10285.714285714286</c:v>
                </c:pt>
                <c:pt idx="5">
                  <c:v>11000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587.0967741935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だいち2!$J$1:$J$2</c:f>
              <c:strCache>
                <c:ptCount val="2"/>
                <c:pt idx="0">
                  <c:v>だいち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だいち2!$J$3:$J$8</c:f>
              <c:numCache>
                <c:formatCode>0</c:formatCode>
                <c:ptCount val="6"/>
                <c:pt idx="1">
                  <c:v>-5800</c:v>
                </c:pt>
                <c:pt idx="2">
                  <c:v>-7740</c:v>
                </c:pt>
                <c:pt idx="3">
                  <c:v>-7740</c:v>
                </c:pt>
                <c:pt idx="4">
                  <c:v>-7740</c:v>
                </c:pt>
                <c:pt idx="5">
                  <c:v>-7740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635.29411764705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だいち2!$K$1:$K$2</c:f>
              <c:strCache>
                <c:ptCount val="2"/>
                <c:pt idx="0">
                  <c:v>だいち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だいち2!$L$1:$L$2</c:f>
              <c:strCache>
                <c:ptCount val="2"/>
                <c:pt idx="0">
                  <c:v>だいち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だいち2!$L$3:$L$8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0.2</c:v>
                </c:pt>
                <c:pt idx="3">
                  <c:v>0.21052631578947367</c:v>
                </c:pt>
                <c:pt idx="4">
                  <c:v>0.26923076923076922</c:v>
                </c:pt>
                <c:pt idx="5">
                  <c:v>0.28125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541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だいち2!$M$1:$M$2</c:f>
              <c:strCache>
                <c:ptCount val="2"/>
                <c:pt idx="0">
                  <c:v>だいち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だいち2!$M$3:$M$8</c:f>
              <c:numCache>
                <c:formatCode>0.0%</c:formatCode>
                <c:ptCount val="6"/>
                <c:pt idx="1">
                  <c:v>0</c:v>
                </c:pt>
                <c:pt idx="2">
                  <c:v>0.26666666666666666</c:v>
                </c:pt>
                <c:pt idx="3">
                  <c:v>0.31578947368421051</c:v>
                </c:pt>
                <c:pt idx="4">
                  <c:v>0.30769230769230771</c:v>
                </c:pt>
                <c:pt idx="5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だいち2!$N$1:$N$2</c:f>
              <c:strCache>
                <c:ptCount val="2"/>
                <c:pt idx="0">
                  <c:v>だいち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だいち2!$N$3:$N$8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0.5</c:v>
                </c:pt>
                <c:pt idx="4">
                  <c:v>0.5714285714285714</c:v>
                </c:pt>
                <c:pt idx="5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17647058823529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だいち2!$O$1:$O$2</c:f>
              <c:strCache>
                <c:ptCount val="2"/>
                <c:pt idx="0">
                  <c:v>だいち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だいち2!$O$3:$O$8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0.375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7142857142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だいち2!$P$1:$P$2</c:f>
              <c:strCache>
                <c:ptCount val="2"/>
                <c:pt idx="0">
                  <c:v>だいち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だいち2!$P$3:$P$8</c:f>
              <c:numCache>
                <c:formatCode>0.0%</c:formatCode>
                <c:ptCount val="6"/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0.2857142857142857</c:v>
                </c:pt>
                <c:pt idx="5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612903225806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DCAB4E-098D-4CA6-A73B-A94506CC7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BE5001-42A9-4020-82F1-77887AC297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367C5FD-FE7B-4AC8-9375-E1365E270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E944B42-5028-4EF4-8AC6-919238D76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1E877E-424D-45C8-851C-B9751F1D5A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F7DC38-FC23-4E35-99DF-6CB552C9F4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048A628-D704-4B8A-92FE-420AAF5DB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EC990AB-E994-4276-91D6-49A563E678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B4B025-135D-4730-B413-2C2288CDC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D7EEF2-55E8-4BA4-8BB2-B117405C85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9D3ED4D-9A71-43A0-B8C8-7251709782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DE3C61D-C30D-4EE7-821F-044CF3303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3E2A0D-A455-4DFC-BF15-5EA7CF266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F0543B-F5CB-4F2D-A1AA-663AED4DCE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473790-12BD-4B2C-9A00-8138392DF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BB6EA8B-4A57-41CE-96D5-04AFAF3FB7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2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7" x14ac:dyDescent="0.4">
      <c r="A1" s="1">
        <v>32874</v>
      </c>
      <c r="B1" s="1">
        <v>2958465</v>
      </c>
    </row>
    <row r="2" spans="1:7" x14ac:dyDescent="0.4">
      <c r="A2" s="2" t="s">
        <v>194</v>
      </c>
      <c r="B2" s="3">
        <v>44262.778356481482</v>
      </c>
      <c r="C2" s="2" t="s">
        <v>127</v>
      </c>
      <c r="D2" s="2" t="s">
        <v>187</v>
      </c>
      <c r="E2" s="2" t="s">
        <v>188</v>
      </c>
      <c r="F2" s="2" t="s">
        <v>189</v>
      </c>
      <c r="G2" s="2" t="s">
        <v>193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2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198</v>
      </c>
    </row>
    <row r="2" spans="1:3" x14ac:dyDescent="0.4">
      <c r="A2" t="s">
        <v>139</v>
      </c>
      <c r="B2" s="120">
        <v>15</v>
      </c>
      <c r="C2" s="120">
        <v>1500</v>
      </c>
    </row>
    <row r="3" spans="1:3" x14ac:dyDescent="0.4">
      <c r="A3" t="s">
        <v>196</v>
      </c>
      <c r="B3" s="120">
        <v>5</v>
      </c>
      <c r="C3" s="120">
        <v>1500</v>
      </c>
    </row>
    <row r="4" spans="1:3" x14ac:dyDescent="0.4">
      <c r="A4" t="s">
        <v>195</v>
      </c>
      <c r="B4" s="120">
        <v>5</v>
      </c>
      <c r="C4" s="120">
        <v>1500</v>
      </c>
    </row>
    <row r="5" spans="1:3" x14ac:dyDescent="0.4">
      <c r="A5" t="s">
        <v>126</v>
      </c>
      <c r="B5" s="120">
        <v>5</v>
      </c>
      <c r="C5" s="120">
        <v>1500</v>
      </c>
    </row>
    <row r="17" spans="7:8" x14ac:dyDescent="0.4">
      <c r="G17" s="120"/>
      <c r="H17" s="120"/>
    </row>
    <row r="18" spans="7:8" x14ac:dyDescent="0.4">
      <c r="G18" s="120"/>
      <c r="H18" s="120"/>
    </row>
    <row r="19" spans="7:8" x14ac:dyDescent="0.4">
      <c r="G19" s="120"/>
      <c r="H19" s="120"/>
    </row>
    <row r="20" spans="7:8" x14ac:dyDescent="0.4">
      <c r="G20" s="120"/>
      <c r="H20" s="120"/>
    </row>
    <row r="21" spans="7:8" x14ac:dyDescent="0.4">
      <c r="G21" s="120"/>
      <c r="H21" s="120"/>
    </row>
    <row r="22" spans="7:8" x14ac:dyDescent="0.4">
      <c r="G22" s="120"/>
      <c r="H22" s="12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191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190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 t="s">
        <v>199</v>
      </c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190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179</v>
      </c>
      <c r="AK1" s="144"/>
    </row>
    <row r="2" spans="1:37" x14ac:dyDescent="0.4">
      <c r="A2" s="36" t="s">
        <v>192</v>
      </c>
      <c r="B2" s="141" t="s">
        <v>197</v>
      </c>
      <c r="C2" s="142"/>
      <c r="D2" s="141" t="s">
        <v>197</v>
      </c>
      <c r="E2" s="142"/>
      <c r="F2" s="141" t="s">
        <v>197</v>
      </c>
      <c r="G2" s="142"/>
      <c r="H2" s="147"/>
      <c r="I2" s="148"/>
      <c r="J2" s="141" t="s">
        <v>197</v>
      </c>
      <c r="K2" s="142"/>
      <c r="L2" s="141" t="s">
        <v>197</v>
      </c>
      <c r="M2" s="142"/>
      <c r="N2" s="141" t="s">
        <v>197</v>
      </c>
      <c r="O2" s="142"/>
      <c r="P2" s="141" t="s">
        <v>197</v>
      </c>
      <c r="Q2" s="142"/>
      <c r="R2" s="141" t="s">
        <v>197</v>
      </c>
      <c r="S2" s="142"/>
      <c r="T2" s="141" t="s">
        <v>197</v>
      </c>
      <c r="U2" s="142"/>
      <c r="V2" s="141" t="s">
        <v>197</v>
      </c>
      <c r="W2" s="142"/>
      <c r="X2" s="141" t="s">
        <v>197</v>
      </c>
      <c r="Y2" s="142"/>
      <c r="Z2" s="141" t="s">
        <v>197</v>
      </c>
      <c r="AA2" s="142"/>
      <c r="AB2" s="141" t="s">
        <v>197</v>
      </c>
      <c r="AC2" s="142"/>
      <c r="AD2" s="141" t="s">
        <v>197</v>
      </c>
      <c r="AE2" s="142"/>
      <c r="AF2" s="141" t="s">
        <v>197</v>
      </c>
      <c r="AG2" s="142"/>
      <c r="AH2" s="141" t="s">
        <v>197</v>
      </c>
      <c r="AI2" s="142"/>
      <c r="AJ2" s="141" t="s">
        <v>197</v>
      </c>
      <c r="AK2" s="142"/>
    </row>
    <row r="3" spans="1:37" x14ac:dyDescent="0.4">
      <c r="A3" s="38">
        <v>1</v>
      </c>
      <c r="B3" s="41" t="s">
        <v>139</v>
      </c>
      <c r="C3" s="113">
        <v>5</v>
      </c>
      <c r="D3" s="39" t="s">
        <v>126</v>
      </c>
      <c r="E3" s="40">
        <v>27.800000000000004</v>
      </c>
      <c r="F3" s="41" t="s">
        <v>126</v>
      </c>
      <c r="G3" s="60">
        <v>5.5600000000000005</v>
      </c>
      <c r="H3" s="41" t="s">
        <v>126</v>
      </c>
      <c r="I3" s="45">
        <v>1505.1383928424889</v>
      </c>
      <c r="J3" s="41" t="s">
        <v>139</v>
      </c>
      <c r="K3" s="42">
        <v>2</v>
      </c>
      <c r="L3" s="41" t="s">
        <v>196</v>
      </c>
      <c r="M3" s="43">
        <v>0.4</v>
      </c>
      <c r="N3" s="41" t="s">
        <v>126</v>
      </c>
      <c r="O3" s="43">
        <v>0.2</v>
      </c>
      <c r="P3" s="41" t="s">
        <v>126</v>
      </c>
      <c r="Q3" s="44">
        <v>0.34375</v>
      </c>
      <c r="R3" s="41" t="s">
        <v>126</v>
      </c>
      <c r="S3" s="44">
        <v>0.15625</v>
      </c>
      <c r="T3" s="41" t="s">
        <v>126</v>
      </c>
      <c r="U3" s="45">
        <v>11000</v>
      </c>
      <c r="V3" s="41" t="s">
        <v>126</v>
      </c>
      <c r="W3" s="45">
        <v>-7740</v>
      </c>
      <c r="X3" s="41" t="s">
        <v>126</v>
      </c>
      <c r="Y3" s="43">
        <v>0</v>
      </c>
      <c r="Z3" s="41" t="s">
        <v>196</v>
      </c>
      <c r="AA3" s="44">
        <v>0.40625</v>
      </c>
      <c r="AB3" s="41" t="s">
        <v>126</v>
      </c>
      <c r="AC3" s="44">
        <v>0.3125</v>
      </c>
      <c r="AD3" s="41" t="s">
        <v>195</v>
      </c>
      <c r="AE3" s="44">
        <v>0.66666666666666663</v>
      </c>
      <c r="AF3" s="41" t="s">
        <v>195</v>
      </c>
      <c r="AG3" s="44">
        <v>0.5</v>
      </c>
      <c r="AH3" s="41" t="s">
        <v>195</v>
      </c>
      <c r="AI3" s="44">
        <v>0.7</v>
      </c>
      <c r="AJ3" s="41" t="s">
        <v>139</v>
      </c>
      <c r="AK3" s="55">
        <v>75000</v>
      </c>
    </row>
    <row r="4" spans="1:37" x14ac:dyDescent="0.4">
      <c r="A4" s="46">
        <v>2</v>
      </c>
      <c r="B4" s="49" t="s">
        <v>196</v>
      </c>
      <c r="C4" s="114">
        <v>5</v>
      </c>
      <c r="D4" s="47" t="s">
        <v>195</v>
      </c>
      <c r="E4" s="48">
        <v>1.1000000000000014</v>
      </c>
      <c r="F4" s="49" t="s">
        <v>195</v>
      </c>
      <c r="G4" s="61">
        <v>0.22000000000000028</v>
      </c>
      <c r="H4" s="49" t="s">
        <v>195</v>
      </c>
      <c r="I4" s="53">
        <v>1500.1483913829336</v>
      </c>
      <c r="J4" s="49" t="s">
        <v>196</v>
      </c>
      <c r="K4" s="50">
        <v>2</v>
      </c>
      <c r="L4" s="49" t="s">
        <v>195</v>
      </c>
      <c r="M4" s="51">
        <v>0.4</v>
      </c>
      <c r="N4" s="49" t="s">
        <v>139</v>
      </c>
      <c r="O4" s="51">
        <v>0.33333333333333331</v>
      </c>
      <c r="P4" s="49" t="s">
        <v>139</v>
      </c>
      <c r="Q4" s="52">
        <v>0.32291666666666669</v>
      </c>
      <c r="R4" s="49" t="s">
        <v>139</v>
      </c>
      <c r="S4" s="52">
        <v>0.17708333333333334</v>
      </c>
      <c r="T4" s="49" t="s">
        <v>139</v>
      </c>
      <c r="U4" s="53">
        <v>9587.0967741935492</v>
      </c>
      <c r="V4" s="49" t="s">
        <v>139</v>
      </c>
      <c r="W4" s="53">
        <v>-8635.2941176470595</v>
      </c>
      <c r="X4" s="49" t="s">
        <v>139</v>
      </c>
      <c r="Y4" s="51">
        <v>0.2</v>
      </c>
      <c r="Z4" s="49" t="s">
        <v>195</v>
      </c>
      <c r="AA4" s="52">
        <v>0.375</v>
      </c>
      <c r="AB4" s="49" t="s">
        <v>196</v>
      </c>
      <c r="AC4" s="52">
        <v>0.28125</v>
      </c>
      <c r="AD4" s="49" t="s">
        <v>126</v>
      </c>
      <c r="AE4" s="52">
        <v>0.66666666666666663</v>
      </c>
      <c r="AF4" s="49" t="s">
        <v>126</v>
      </c>
      <c r="AG4" s="52">
        <v>0.4</v>
      </c>
      <c r="AH4" s="49" t="s">
        <v>139</v>
      </c>
      <c r="AI4" s="52">
        <v>0.45161290322580644</v>
      </c>
      <c r="AJ4" s="49" t="s">
        <v>126</v>
      </c>
      <c r="AK4" s="56">
        <v>75000</v>
      </c>
    </row>
    <row r="5" spans="1:37" x14ac:dyDescent="0.4">
      <c r="A5" s="46">
        <v>3</v>
      </c>
      <c r="B5" s="49" t="s">
        <v>195</v>
      </c>
      <c r="C5" s="114">
        <v>5</v>
      </c>
      <c r="D5" s="47" t="s">
        <v>139</v>
      </c>
      <c r="E5" s="48">
        <v>7.1054273576010019E-15</v>
      </c>
      <c r="F5" s="49" t="s">
        <v>139</v>
      </c>
      <c r="G5" s="61">
        <v>4.7369515717340012E-16</v>
      </c>
      <c r="H5" s="49" t="s">
        <v>139</v>
      </c>
      <c r="I5" s="53">
        <v>1499.9624587886526</v>
      </c>
      <c r="J5" s="49" t="s">
        <v>195</v>
      </c>
      <c r="K5" s="50">
        <v>2</v>
      </c>
      <c r="L5" s="49" t="s">
        <v>139</v>
      </c>
      <c r="M5" s="51">
        <v>0.33333333333333331</v>
      </c>
      <c r="N5" s="49" t="s">
        <v>196</v>
      </c>
      <c r="O5" s="51">
        <v>0.4</v>
      </c>
      <c r="P5" s="49" t="s">
        <v>196</v>
      </c>
      <c r="Q5" s="52">
        <v>0.3125</v>
      </c>
      <c r="R5" s="49" t="s">
        <v>196</v>
      </c>
      <c r="S5" s="52">
        <v>0.1875</v>
      </c>
      <c r="T5" s="49" t="s">
        <v>195</v>
      </c>
      <c r="U5" s="53">
        <v>9230</v>
      </c>
      <c r="V5" s="49" t="s">
        <v>196</v>
      </c>
      <c r="W5" s="53">
        <v>-8650</v>
      </c>
      <c r="X5" s="49" t="s">
        <v>195</v>
      </c>
      <c r="Y5" s="51">
        <v>0.2</v>
      </c>
      <c r="Z5" s="49" t="s">
        <v>139</v>
      </c>
      <c r="AA5" s="52">
        <v>0.35416666666666669</v>
      </c>
      <c r="AB5" s="49" t="s">
        <v>139</v>
      </c>
      <c r="AC5" s="52">
        <v>0.21875</v>
      </c>
      <c r="AD5" s="49" t="s">
        <v>139</v>
      </c>
      <c r="AE5" s="52">
        <v>0.61764705882352944</v>
      </c>
      <c r="AF5" s="49" t="s">
        <v>139</v>
      </c>
      <c r="AG5" s="52">
        <v>0.2857142857142857</v>
      </c>
      <c r="AH5" s="49" t="s">
        <v>196</v>
      </c>
      <c r="AI5" s="52">
        <v>0.4</v>
      </c>
      <c r="AJ5" s="49" t="s">
        <v>195</v>
      </c>
      <c r="AK5" s="56">
        <v>74600</v>
      </c>
    </row>
    <row r="6" spans="1:37" x14ac:dyDescent="0.4">
      <c r="A6" s="46">
        <v>4</v>
      </c>
      <c r="B6" s="49" t="s">
        <v>126</v>
      </c>
      <c r="C6" s="114">
        <v>5</v>
      </c>
      <c r="D6" s="47" t="s">
        <v>196</v>
      </c>
      <c r="E6" s="48">
        <v>-28.9</v>
      </c>
      <c r="F6" s="49" t="s">
        <v>196</v>
      </c>
      <c r="G6" s="61">
        <v>-5.7799999999999994</v>
      </c>
      <c r="H6" s="49" t="s">
        <v>196</v>
      </c>
      <c r="I6" s="53">
        <v>1494.7132157745777</v>
      </c>
      <c r="J6" s="49" t="s">
        <v>126</v>
      </c>
      <c r="K6" s="50">
        <v>2</v>
      </c>
      <c r="L6" s="49" t="s">
        <v>126</v>
      </c>
      <c r="M6" s="51">
        <v>0.2</v>
      </c>
      <c r="N6" s="49" t="s">
        <v>195</v>
      </c>
      <c r="O6" s="51">
        <v>0.4</v>
      </c>
      <c r="P6" s="49" t="s">
        <v>195</v>
      </c>
      <c r="Q6" s="52">
        <v>0.3125</v>
      </c>
      <c r="R6" s="49" t="s">
        <v>195</v>
      </c>
      <c r="S6" s="52">
        <v>0.1875</v>
      </c>
      <c r="T6" s="49" t="s">
        <v>196</v>
      </c>
      <c r="U6" s="53">
        <v>8390</v>
      </c>
      <c r="V6" s="49" t="s">
        <v>195</v>
      </c>
      <c r="W6" s="53">
        <v>-9366.6666666666661</v>
      </c>
      <c r="X6" s="49" t="s">
        <v>196</v>
      </c>
      <c r="Y6" s="51">
        <v>0.4</v>
      </c>
      <c r="Z6" s="49" t="s">
        <v>126</v>
      </c>
      <c r="AA6" s="52">
        <v>0.28125</v>
      </c>
      <c r="AB6" s="49" t="s">
        <v>195</v>
      </c>
      <c r="AC6" s="52">
        <v>6.25E-2</v>
      </c>
      <c r="AD6" s="49" t="s">
        <v>196</v>
      </c>
      <c r="AE6" s="52">
        <v>0.53846153846153844</v>
      </c>
      <c r="AF6" s="49" t="s">
        <v>196</v>
      </c>
      <c r="AG6" s="52">
        <v>0.1111111111111111</v>
      </c>
      <c r="AH6" s="49" t="s">
        <v>126</v>
      </c>
      <c r="AI6" s="52">
        <v>0.27272727272727271</v>
      </c>
      <c r="AJ6" s="49" t="s">
        <v>196</v>
      </c>
      <c r="AK6" s="56">
        <v>60300</v>
      </c>
    </row>
  </sheetData>
  <sortState xmlns:xlrd2="http://schemas.microsoft.com/office/spreadsheetml/2017/richdata2" ref="AJ3:AK2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518C4-3B6D-4453-8897-234C25CF09B8}">
  <sheetPr codeName="Sheet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191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28</v>
      </c>
      <c r="H2" s="87">
        <f>IF(B$20=0,0,G2/B$20)</f>
        <v>0.90322580645161288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0</v>
      </c>
      <c r="Q2" s="76">
        <v>15</v>
      </c>
      <c r="R2" s="63">
        <v>0</v>
      </c>
    </row>
    <row r="3" spans="1:18" x14ac:dyDescent="0.4">
      <c r="A3" s="19" t="s">
        <v>8</v>
      </c>
      <c r="B3" s="135">
        <v>96</v>
      </c>
      <c r="C3" s="136"/>
      <c r="E3" s="27" t="s">
        <v>64</v>
      </c>
      <c r="F3" s="24" t="s">
        <v>20</v>
      </c>
      <c r="G3" s="12">
        <v>21</v>
      </c>
      <c r="H3" s="88">
        <f>IF(B$20=0,0,G3/B$20)</f>
        <v>0.67741935483870963</v>
      </c>
      <c r="I3" s="58">
        <v>3</v>
      </c>
      <c r="K3" s="74">
        <v>1</v>
      </c>
      <c r="L3" s="119">
        <v>29.5</v>
      </c>
      <c r="M3" s="117">
        <v>1505.31</v>
      </c>
      <c r="O3" s="74" t="s">
        <v>129</v>
      </c>
      <c r="P3" s="80">
        <f t="shared" si="0"/>
        <v>0</v>
      </c>
      <c r="Q3" s="77">
        <v>12</v>
      </c>
      <c r="R3" s="64">
        <v>0</v>
      </c>
    </row>
    <row r="4" spans="1:18" x14ac:dyDescent="0.4">
      <c r="A4" s="19" t="s">
        <v>6</v>
      </c>
      <c r="B4" s="137">
        <v>7.1054273576010019E-15</v>
      </c>
      <c r="C4" s="138"/>
      <c r="E4" s="27" t="s">
        <v>159</v>
      </c>
      <c r="F4" s="24" t="s">
        <v>160</v>
      </c>
      <c r="G4" s="12">
        <v>19</v>
      </c>
      <c r="H4" s="88">
        <f>IF(B$20=0,0,G4/B$20)</f>
        <v>0.61290322580645162</v>
      </c>
      <c r="I4" s="58">
        <v>3</v>
      </c>
      <c r="K4" s="74">
        <v>2</v>
      </c>
      <c r="L4" s="119">
        <v>26.3</v>
      </c>
      <c r="M4" s="117">
        <v>1504.7021399999999</v>
      </c>
      <c r="O4" s="74" t="s">
        <v>130</v>
      </c>
      <c r="P4" s="80">
        <f t="shared" si="0"/>
        <v>0</v>
      </c>
      <c r="Q4" s="77">
        <v>12</v>
      </c>
      <c r="R4" s="64">
        <v>0</v>
      </c>
    </row>
    <row r="5" spans="1:18" x14ac:dyDescent="0.4">
      <c r="A5" s="19" t="s">
        <v>7</v>
      </c>
      <c r="B5" s="125">
        <f>IF(B$2=0,0,B$4/B$2)</f>
        <v>4.7369515717340012E-16</v>
      </c>
      <c r="C5" s="126"/>
      <c r="E5" s="27" t="s">
        <v>67</v>
      </c>
      <c r="F5" s="24" t="s">
        <v>23</v>
      </c>
      <c r="G5" s="12">
        <v>18</v>
      </c>
      <c r="H5" s="88">
        <f>IF(B$20=0,0,G5/B$20)</f>
        <v>0.58064516129032262</v>
      </c>
      <c r="I5" s="58">
        <v>2</v>
      </c>
      <c r="K5" s="74">
        <v>3</v>
      </c>
      <c r="L5" s="119">
        <v>0</v>
      </c>
      <c r="M5" s="117">
        <v>1499.9399271599998</v>
      </c>
      <c r="O5" s="74" t="s">
        <v>131</v>
      </c>
      <c r="P5" s="80">
        <f t="shared" si="0"/>
        <v>0</v>
      </c>
      <c r="Q5" s="77">
        <v>9</v>
      </c>
      <c r="R5" s="64">
        <v>0</v>
      </c>
    </row>
    <row r="6" spans="1:18" x14ac:dyDescent="0.4">
      <c r="A6" s="19" t="s">
        <v>190</v>
      </c>
      <c r="B6" s="129">
        <v>1499.9624587886526</v>
      </c>
      <c r="C6" s="130"/>
      <c r="E6" s="27" t="s">
        <v>72</v>
      </c>
      <c r="F6" s="24" t="s">
        <v>27</v>
      </c>
      <c r="G6" s="12">
        <v>12</v>
      </c>
      <c r="H6" s="88">
        <f>IF(B$20=0,0,G6/B$20)</f>
        <v>0.38709677419354838</v>
      </c>
      <c r="I6" s="58">
        <v>3</v>
      </c>
      <c r="K6" s="74">
        <v>4</v>
      </c>
      <c r="L6" s="119">
        <v>35.299999999999997</v>
      </c>
      <c r="M6" s="117">
        <v>1506.2942875970398</v>
      </c>
      <c r="O6" s="74" t="s">
        <v>132</v>
      </c>
      <c r="P6" s="80">
        <f t="shared" si="0"/>
        <v>0</v>
      </c>
      <c r="Q6" s="77">
        <v>9</v>
      </c>
      <c r="R6" s="64">
        <v>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11</v>
      </c>
      <c r="H7" s="88">
        <f>IF(B$20=0,0,G7/B$20)</f>
        <v>0.35483870967741937</v>
      </c>
      <c r="I7" s="58">
        <v>2</v>
      </c>
      <c r="K7" s="74">
        <v>5</v>
      </c>
      <c r="L7" s="119">
        <v>12.099999999999998</v>
      </c>
      <c r="M7" s="117">
        <v>1502.0805218714574</v>
      </c>
      <c r="O7" s="75" t="s">
        <v>133</v>
      </c>
      <c r="P7" s="81">
        <f t="shared" si="0"/>
        <v>0</v>
      </c>
      <c r="Q7" s="78">
        <v>9</v>
      </c>
      <c r="R7" s="65">
        <v>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0.33333333333333331</v>
      </c>
      <c r="E8" s="27" t="s">
        <v>65</v>
      </c>
      <c r="F8" s="24" t="s">
        <v>21</v>
      </c>
      <c r="G8" s="12">
        <v>6</v>
      </c>
      <c r="H8" s="88">
        <f>IF(B$20=0,0,G8/B$20)</f>
        <v>0.19354838709677419</v>
      </c>
      <c r="I8" s="58">
        <v>3</v>
      </c>
      <c r="K8" s="74">
        <v>6</v>
      </c>
      <c r="L8" s="119">
        <v>-1.7763568394002505E-15</v>
      </c>
      <c r="M8" s="117">
        <v>1499.8900387402286</v>
      </c>
      <c r="O8" s="107"/>
      <c r="P8" s="85"/>
      <c r="Q8" s="108"/>
      <c r="R8" s="70"/>
    </row>
    <row r="9" spans="1:18" x14ac:dyDescent="0.4">
      <c r="A9" s="19" t="s">
        <v>3</v>
      </c>
      <c r="B9" s="12">
        <v>5</v>
      </c>
      <c r="C9" s="6">
        <f t="shared" si="1"/>
        <v>0.33333333333333331</v>
      </c>
      <c r="E9" s="27" t="s">
        <v>86</v>
      </c>
      <c r="F9" s="24" t="s">
        <v>41</v>
      </c>
      <c r="G9" s="12">
        <v>5</v>
      </c>
      <c r="H9" s="88">
        <f>IF(B$20=0,0,G9/B$20)</f>
        <v>0.16129032258064516</v>
      </c>
      <c r="I9" s="58">
        <v>3</v>
      </c>
      <c r="K9" s="74">
        <v>7</v>
      </c>
      <c r="L9" s="119">
        <v>49.6</v>
      </c>
      <c r="M9" s="117">
        <v>1508.8186985077873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0.33333333333333331</v>
      </c>
      <c r="E10" s="27" t="s">
        <v>89</v>
      </c>
      <c r="F10" s="24" t="s">
        <v>44</v>
      </c>
      <c r="G10" s="12">
        <v>4</v>
      </c>
      <c r="H10" s="88">
        <f>IF(B$20=0,0,G10/B$20)</f>
        <v>0.12903225806451613</v>
      </c>
      <c r="I10" s="58">
        <v>2</v>
      </c>
      <c r="K10" s="74">
        <v>8</v>
      </c>
      <c r="L10" s="119">
        <v>0.30000000000000426</v>
      </c>
      <c r="M10" s="117">
        <v>1499.8917863167405</v>
      </c>
      <c r="O10" s="73" t="s">
        <v>151</v>
      </c>
      <c r="P10" s="82">
        <f>IF(Q10=0,0,R10/Q10)</f>
        <v>12.100000000000001</v>
      </c>
      <c r="Q10" s="76">
        <v>5</v>
      </c>
      <c r="R10" s="67">
        <v>60.500000000000007</v>
      </c>
    </row>
    <row r="11" spans="1:18" x14ac:dyDescent="0.4">
      <c r="A11" s="20" t="s">
        <v>183</v>
      </c>
      <c r="B11" s="109">
        <f>IF(B8=0,0,C11/B8)</f>
        <v>38.660000000000004</v>
      </c>
      <c r="C11" s="110">
        <v>193.3</v>
      </c>
      <c r="E11" s="27" t="s">
        <v>69</v>
      </c>
      <c r="F11" s="24" t="s">
        <v>24</v>
      </c>
      <c r="G11" s="12">
        <v>3</v>
      </c>
      <c r="H11" s="88">
        <f>IF(B$20=0,0,G11/B$20)</f>
        <v>9.6774193548387094E-2</v>
      </c>
      <c r="I11" s="58">
        <v>2</v>
      </c>
      <c r="K11" s="74">
        <v>9</v>
      </c>
      <c r="L11" s="119">
        <v>4.2743586448068527E-15</v>
      </c>
      <c r="M11" s="117">
        <v>1499.8384355988401</v>
      </c>
      <c r="O11" s="74" t="s">
        <v>152</v>
      </c>
      <c r="P11" s="83">
        <f>IF(Q11=0,0,R11/Q11)</f>
        <v>-6.9399999999999995</v>
      </c>
      <c r="Q11" s="77">
        <v>5</v>
      </c>
      <c r="R11" s="68">
        <v>-34.699999999999996</v>
      </c>
    </row>
    <row r="12" spans="1:18" x14ac:dyDescent="0.4">
      <c r="A12" s="20" t="s">
        <v>184</v>
      </c>
      <c r="B12" s="109">
        <f>IF(B9=0,0,C12/B9)</f>
        <v>0.37999999999999973</v>
      </c>
      <c r="C12" s="110">
        <v>1.8999999999999986</v>
      </c>
      <c r="E12" s="27" t="s">
        <v>70</v>
      </c>
      <c r="F12" s="24" t="s">
        <v>25</v>
      </c>
      <c r="G12" s="12">
        <v>1</v>
      </c>
      <c r="H12" s="88">
        <f>IF(B$20=0,0,G12/B$20)</f>
        <v>3.2258064516129031E-2</v>
      </c>
      <c r="I12" s="58">
        <v>2</v>
      </c>
      <c r="K12" s="74">
        <v>10</v>
      </c>
      <c r="L12" s="119">
        <v>-45.399999999999991</v>
      </c>
      <c r="M12" s="117">
        <v>1491.667404985247</v>
      </c>
      <c r="O12" s="75" t="s">
        <v>153</v>
      </c>
      <c r="P12" s="84">
        <f>IF(Q12=0,0,R12/Q12)</f>
        <v>-5.160000000000001</v>
      </c>
      <c r="Q12" s="78">
        <v>5</v>
      </c>
      <c r="R12" s="69">
        <v>-25.800000000000004</v>
      </c>
    </row>
    <row r="13" spans="1:18" x14ac:dyDescent="0.4">
      <c r="A13" s="20" t="s">
        <v>185</v>
      </c>
      <c r="B13" s="109">
        <f>IF(B10=0,0,C13/B10)</f>
        <v>-39.04</v>
      </c>
      <c r="C13" s="110">
        <v>-195.2</v>
      </c>
      <c r="E13" s="27" t="s">
        <v>71</v>
      </c>
      <c r="F13" s="24" t="s">
        <v>26</v>
      </c>
      <c r="G13" s="12">
        <v>1</v>
      </c>
      <c r="H13" s="88">
        <f>IF(B$20=0,0,G13/B$20)</f>
        <v>3.2258064516129031E-2</v>
      </c>
      <c r="I13" s="58">
        <v>2</v>
      </c>
      <c r="K13" s="74">
        <v>11</v>
      </c>
      <c r="L13" s="119">
        <v>-16.499999999999993</v>
      </c>
      <c r="M13" s="117">
        <v>1496.9194005553354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73</v>
      </c>
      <c r="F14" s="24" t="s">
        <v>28</v>
      </c>
      <c r="G14" s="12">
        <v>1</v>
      </c>
      <c r="H14" s="88">
        <f>IF(B$20=0,0,G14/B$20)</f>
        <v>3.2258064516129031E-2</v>
      </c>
      <c r="I14" s="58">
        <v>2</v>
      </c>
      <c r="K14" s="74">
        <v>12</v>
      </c>
      <c r="L14" s="119">
        <v>7.1054273576010019E-15</v>
      </c>
      <c r="M14" s="117">
        <v>1499.9078841520034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0.2</v>
      </c>
      <c r="E15" s="27" t="s">
        <v>83</v>
      </c>
      <c r="F15" s="24" t="s">
        <v>38</v>
      </c>
      <c r="G15" s="12">
        <v>1</v>
      </c>
      <c r="H15" s="88">
        <f>IF(B$20=0,0,G15/B$20)</f>
        <v>3.2258064516129031E-2</v>
      </c>
      <c r="I15" s="58">
        <v>2</v>
      </c>
      <c r="K15" s="74">
        <v>13</v>
      </c>
      <c r="L15" s="119">
        <v>1.0000000000000071</v>
      </c>
      <c r="M15" s="117">
        <v>1500.0884368470913</v>
      </c>
      <c r="O15" s="73" t="s">
        <v>196</v>
      </c>
      <c r="P15" s="82">
        <f>IF(Q15=0,0,R15/Q15)</f>
        <v>8.6700000000000017</v>
      </c>
      <c r="Q15" s="76">
        <v>10</v>
      </c>
      <c r="R15" s="67">
        <v>86.700000000000017</v>
      </c>
    </row>
    <row r="16" spans="1:18" x14ac:dyDescent="0.4">
      <c r="A16" s="22" t="s">
        <v>121</v>
      </c>
      <c r="B16" s="15">
        <v>34</v>
      </c>
      <c r="C16" s="10">
        <f>IF(B$3=0,0,B16/B$3)</f>
        <v>0.35416666666666669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K16" s="74">
        <v>14</v>
      </c>
      <c r="L16" s="119">
        <v>-49.999999999999993</v>
      </c>
      <c r="M16" s="117">
        <v>1490.9079062260087</v>
      </c>
      <c r="O16" s="74" t="s">
        <v>195</v>
      </c>
      <c r="P16" s="83">
        <f>IF(Q16=0,0,R16/Q16)</f>
        <v>-0.33000000000000113</v>
      </c>
      <c r="Q16" s="77">
        <v>10</v>
      </c>
      <c r="R16" s="68">
        <v>-3.3000000000000114</v>
      </c>
    </row>
    <row r="17" spans="1:18" x14ac:dyDescent="0.4">
      <c r="A17" s="19" t="s">
        <v>118</v>
      </c>
      <c r="B17" s="12">
        <v>21</v>
      </c>
      <c r="C17" s="6">
        <f>IF(B$3=0,0,B17/B$3)</f>
        <v>0.21875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1</v>
      </c>
      <c r="K17" s="74">
        <v>15</v>
      </c>
      <c r="L17" s="119">
        <v>7.1054273576010019E-15</v>
      </c>
      <c r="M17" s="117">
        <v>1499.9624587886526</v>
      </c>
      <c r="O17" s="74" t="s">
        <v>126</v>
      </c>
      <c r="P17" s="83">
        <f>IF(Q17=0,0,R17/Q17)</f>
        <v>-8.34</v>
      </c>
      <c r="Q17" s="77">
        <v>10</v>
      </c>
      <c r="R17" s="68">
        <v>-83.4</v>
      </c>
    </row>
    <row r="18" spans="1:18" x14ac:dyDescent="0.4">
      <c r="A18" s="18" t="s">
        <v>123</v>
      </c>
      <c r="B18" s="11">
        <f>B24</f>
        <v>21</v>
      </c>
      <c r="C18" s="5">
        <f>IF(B$16=0,0,B18/B$16)</f>
        <v>0.61764705882352944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0.2857142857142857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31</v>
      </c>
      <c r="C20" s="5">
        <f>IF(B$3=0,0,B20/B$3)</f>
        <v>0.32291666666666669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17</v>
      </c>
      <c r="C21" s="6">
        <f>IF(B$3=0,0,B21/B$3)</f>
        <v>0.17708333333333334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14</v>
      </c>
      <c r="C22" s="6">
        <f>IF(B$20=0,0,B22/B$20)</f>
        <v>0.45161290322580644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17</v>
      </c>
      <c r="C23" s="6">
        <f>IF(B$20=0,0,B23/B$20)</f>
        <v>0.54838709677419351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21</v>
      </c>
      <c r="C24" s="6">
        <f>IF(B$20=0,0,B24/B$20)</f>
        <v>0.67741935483870963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6</v>
      </c>
      <c r="C25" s="6">
        <f>IF(B$20=0,0,B25/B$20)</f>
        <v>0.19354838709677419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4</v>
      </c>
      <c r="C26" s="6">
        <f>IF(B$20=0,0,B26/B$20)</f>
        <v>0.12903225806451613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9587.0967741935492</v>
      </c>
      <c r="C27" s="8">
        <v>297200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9768</v>
      </c>
      <c r="C28" s="96">
        <v>244200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8833.3333333333339</v>
      </c>
      <c r="C29" s="96">
        <v>53000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-8635.2941176470595</v>
      </c>
      <c r="C30" s="96">
        <v>-146800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3</v>
      </c>
      <c r="C31" s="90">
        <v>3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158</v>
      </c>
      <c r="B32" s="12">
        <v>15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75000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2</v>
      </c>
      <c r="C37" s="98">
        <f t="shared" ref="C37:C49" si="2">IF(B$20=0,0,B37/B$20)</f>
        <v>6.4516129032258063E-2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2</v>
      </c>
      <c r="C38" s="6">
        <f t="shared" si="2"/>
        <v>6.4516129032258063E-2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6</v>
      </c>
      <c r="C39" s="6">
        <f t="shared" si="2"/>
        <v>0.19354838709677419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4</v>
      </c>
      <c r="C40" s="6">
        <f t="shared" si="2"/>
        <v>0.12903225806451613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6</v>
      </c>
      <c r="C41" s="6">
        <f t="shared" si="2"/>
        <v>0.19354838709677419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6</v>
      </c>
      <c r="C42" s="6">
        <f t="shared" si="2"/>
        <v>0.19354838709677419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4</v>
      </c>
      <c r="C43" s="6">
        <f t="shared" si="2"/>
        <v>0.12903225806451613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3.2258064516129031E-2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EA673-DE8E-4E35-AFAA-1321ADF31C6F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191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</v>
      </c>
      <c r="C2" s="134"/>
      <c r="E2" s="26" t="s">
        <v>66</v>
      </c>
      <c r="F2" s="23" t="s">
        <v>22</v>
      </c>
      <c r="G2" s="11">
        <v>11</v>
      </c>
      <c r="H2" s="87">
        <f>IF(B$20=0,0,G2/B$20)</f>
        <v>1.1000000000000001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-7860</v>
      </c>
      <c r="Q2" s="76">
        <v>5</v>
      </c>
      <c r="R2" s="63">
        <v>-39300</v>
      </c>
    </row>
    <row r="3" spans="1:18" x14ac:dyDescent="0.4">
      <c r="A3" s="19" t="s">
        <v>8</v>
      </c>
      <c r="B3" s="135">
        <v>32</v>
      </c>
      <c r="C3" s="136"/>
      <c r="E3" s="27" t="s">
        <v>64</v>
      </c>
      <c r="F3" s="24" t="s">
        <v>20</v>
      </c>
      <c r="G3" s="12">
        <v>7</v>
      </c>
      <c r="H3" s="88">
        <f>IF(B$20=0,0,G3/B$20)</f>
        <v>0.7</v>
      </c>
      <c r="I3" s="58">
        <v>2</v>
      </c>
      <c r="K3" s="74">
        <v>1</v>
      </c>
      <c r="L3" s="119">
        <v>29.5</v>
      </c>
      <c r="M3" s="117">
        <v>1505.31</v>
      </c>
      <c r="O3" s="74" t="s">
        <v>129</v>
      </c>
      <c r="P3" s="80">
        <f t="shared" si="0"/>
        <v>4150</v>
      </c>
      <c r="Q3" s="77">
        <v>4</v>
      </c>
      <c r="R3" s="64">
        <v>16600</v>
      </c>
    </row>
    <row r="4" spans="1:18" x14ac:dyDescent="0.4">
      <c r="A4" s="19" t="s">
        <v>6</v>
      </c>
      <c r="B4" s="137">
        <v>-28.9</v>
      </c>
      <c r="C4" s="138"/>
      <c r="E4" s="27" t="s">
        <v>159</v>
      </c>
      <c r="F4" s="24" t="s">
        <v>160</v>
      </c>
      <c r="G4" s="12">
        <v>7</v>
      </c>
      <c r="H4" s="88">
        <f>IF(B$20=0,0,G4/B$20)</f>
        <v>0.7</v>
      </c>
      <c r="I4" s="58">
        <v>1</v>
      </c>
      <c r="K4" s="74">
        <v>2</v>
      </c>
      <c r="L4" s="119">
        <v>64.8</v>
      </c>
      <c r="M4" s="117">
        <v>1511.6321399999999</v>
      </c>
      <c r="O4" s="74" t="s">
        <v>130</v>
      </c>
      <c r="P4" s="80">
        <f t="shared" si="0"/>
        <v>-1100</v>
      </c>
      <c r="Q4" s="77">
        <v>4</v>
      </c>
      <c r="R4" s="64">
        <v>-4400</v>
      </c>
    </row>
    <row r="5" spans="1:18" x14ac:dyDescent="0.4">
      <c r="A5" s="19" t="s">
        <v>7</v>
      </c>
      <c r="B5" s="125">
        <f>IF(B$2=0,0,B$4/B$2)</f>
        <v>-5.7799999999999994</v>
      </c>
      <c r="C5" s="126"/>
      <c r="E5" s="27" t="s">
        <v>67</v>
      </c>
      <c r="F5" s="24" t="s">
        <v>23</v>
      </c>
      <c r="G5" s="12">
        <v>4</v>
      </c>
      <c r="H5" s="88">
        <f>IF(B$20=0,0,G5/B$20)</f>
        <v>0.4</v>
      </c>
      <c r="I5" s="58">
        <v>4</v>
      </c>
      <c r="K5" s="74">
        <v>3</v>
      </c>
      <c r="L5" s="119">
        <v>15.5</v>
      </c>
      <c r="M5" s="117">
        <v>1502.6883471599999</v>
      </c>
      <c r="O5" s="74" t="s">
        <v>131</v>
      </c>
      <c r="P5" s="80">
        <f t="shared" si="0"/>
        <v>-3200</v>
      </c>
      <c r="Q5" s="77">
        <v>3</v>
      </c>
      <c r="R5" s="64">
        <v>-9600</v>
      </c>
    </row>
    <row r="6" spans="1:18" x14ac:dyDescent="0.4">
      <c r="A6" s="19" t="s">
        <v>190</v>
      </c>
      <c r="B6" s="129">
        <v>1494.7132157745777</v>
      </c>
      <c r="C6" s="130"/>
      <c r="E6" s="27" t="s">
        <v>72</v>
      </c>
      <c r="F6" s="24" t="s">
        <v>27</v>
      </c>
      <c r="G6" s="12">
        <v>4</v>
      </c>
      <c r="H6" s="88">
        <f>IF(B$20=0,0,G6/B$20)</f>
        <v>0.4</v>
      </c>
      <c r="I6" s="58">
        <v>2</v>
      </c>
      <c r="K6" s="74">
        <v>4</v>
      </c>
      <c r="L6" s="119">
        <v>-29.9</v>
      </c>
      <c r="M6" s="117">
        <v>1494.5002170770399</v>
      </c>
      <c r="O6" s="74" t="s">
        <v>132</v>
      </c>
      <c r="P6" s="80">
        <f t="shared" si="0"/>
        <v>4066.6666666666665</v>
      </c>
      <c r="Q6" s="77">
        <v>3</v>
      </c>
      <c r="R6" s="64">
        <v>12200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3</v>
      </c>
      <c r="H7" s="88">
        <f>IF(B$20=0,0,G7/B$20)</f>
        <v>0.3</v>
      </c>
      <c r="I7" s="58">
        <v>3</v>
      </c>
      <c r="K7" s="74">
        <v>5</v>
      </c>
      <c r="L7" s="119">
        <v>-28.9</v>
      </c>
      <c r="M7" s="117">
        <v>1494.7132157745777</v>
      </c>
      <c r="O7" s="75" t="s">
        <v>133</v>
      </c>
      <c r="P7" s="81">
        <f t="shared" si="0"/>
        <v>1533.3333333333333</v>
      </c>
      <c r="Q7" s="78">
        <v>3</v>
      </c>
      <c r="R7" s="65">
        <v>4600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0.4</v>
      </c>
      <c r="E8" s="27" t="s">
        <v>65</v>
      </c>
      <c r="F8" s="24" t="s">
        <v>21</v>
      </c>
      <c r="G8" s="12">
        <v>1</v>
      </c>
      <c r="H8" s="88">
        <f>IF(B$20=0,0,G8/B$20)</f>
        <v>0.1</v>
      </c>
      <c r="I8" s="58">
        <v>4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</v>
      </c>
      <c r="E9" s="27" t="s">
        <v>86</v>
      </c>
      <c r="F9" s="24" t="s">
        <v>41</v>
      </c>
      <c r="G9" s="12">
        <v>1</v>
      </c>
      <c r="H9" s="88">
        <f>IF(B$20=0,0,G9/B$20)</f>
        <v>0.1</v>
      </c>
      <c r="I9" s="58">
        <v>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0.4</v>
      </c>
      <c r="E10" s="27" t="s">
        <v>69</v>
      </c>
      <c r="F10" s="24" t="s">
        <v>24</v>
      </c>
      <c r="G10" s="12">
        <v>0</v>
      </c>
      <c r="H10" s="88">
        <f>IF(B$20=0,0,G10/B$20)</f>
        <v>0</v>
      </c>
      <c r="I10" s="58">
        <v>4</v>
      </c>
      <c r="O10" s="73" t="s">
        <v>151</v>
      </c>
      <c r="P10" s="82">
        <f>IF(Q10=0,0,R10/Q10)</f>
        <v>-7.9499999999999993</v>
      </c>
      <c r="Q10" s="76">
        <v>2</v>
      </c>
      <c r="R10" s="67">
        <v>-15.899999999999999</v>
      </c>
    </row>
    <row r="11" spans="1:18" x14ac:dyDescent="0.4">
      <c r="A11" s="20" t="s">
        <v>183</v>
      </c>
      <c r="B11" s="109">
        <f>IF(B8=0,0,C11/B8)</f>
        <v>32.4</v>
      </c>
      <c r="C11" s="110">
        <v>64.8</v>
      </c>
      <c r="E11" s="27" t="s">
        <v>70</v>
      </c>
      <c r="F11" s="24" t="s">
        <v>25</v>
      </c>
      <c r="G11" s="12">
        <v>0</v>
      </c>
      <c r="H11" s="88">
        <f>IF(B$20=0,0,G11/B$20)</f>
        <v>0</v>
      </c>
      <c r="I11" s="58">
        <v>3</v>
      </c>
      <c r="O11" s="74" t="s">
        <v>152</v>
      </c>
      <c r="P11" s="83">
        <f>IF(Q11=0,0,R11/Q11)</f>
        <v>-24.15</v>
      </c>
      <c r="Q11" s="77">
        <v>2</v>
      </c>
      <c r="R11" s="68">
        <v>-48.3</v>
      </c>
    </row>
    <row r="12" spans="1:18" x14ac:dyDescent="0.4">
      <c r="A12" s="20" t="s">
        <v>184</v>
      </c>
      <c r="B12" s="109">
        <f>IF(B9=0,0,C12/B9)</f>
        <v>1</v>
      </c>
      <c r="C12" s="110">
        <v>1</v>
      </c>
      <c r="E12" s="27" t="s">
        <v>71</v>
      </c>
      <c r="F12" s="24" t="s">
        <v>26</v>
      </c>
      <c r="G12" s="12">
        <v>0</v>
      </c>
      <c r="H12" s="88">
        <f>IF(B$20=0,0,G12/B$20)</f>
        <v>0</v>
      </c>
      <c r="I12" s="58">
        <v>3</v>
      </c>
      <c r="O12" s="75" t="s">
        <v>153</v>
      </c>
      <c r="P12" s="84">
        <f>IF(Q12=0,0,R12/Q12)</f>
        <v>35.299999999999997</v>
      </c>
      <c r="Q12" s="78">
        <v>1</v>
      </c>
      <c r="R12" s="69">
        <v>35.299999999999997</v>
      </c>
    </row>
    <row r="13" spans="1:18" x14ac:dyDescent="0.4">
      <c r="A13" s="20" t="s">
        <v>185</v>
      </c>
      <c r="B13" s="109">
        <f>IF(B10=0,0,C13/B10)</f>
        <v>-47.349999999999994</v>
      </c>
      <c r="C13" s="110">
        <v>-94.699999999999989</v>
      </c>
      <c r="E13" s="27" t="s">
        <v>73</v>
      </c>
      <c r="F13" s="24" t="s">
        <v>28</v>
      </c>
      <c r="G13" s="12">
        <v>0</v>
      </c>
      <c r="H13" s="88">
        <f>IF(B$20=0,0,G13/B$20)</f>
        <v>0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-4.6499999999999986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0.4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-6</v>
      </c>
      <c r="Q15" s="76">
        <v>5</v>
      </c>
      <c r="R15" s="67">
        <v>-30</v>
      </c>
    </row>
    <row r="16" spans="1:18" x14ac:dyDescent="0.4">
      <c r="A16" s="22" t="s">
        <v>121</v>
      </c>
      <c r="B16" s="15">
        <v>13</v>
      </c>
      <c r="C16" s="10">
        <f>IF(B$3=0,0,B16/B$3)</f>
        <v>0.40625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-11.340000000000002</v>
      </c>
      <c r="Q16" s="77">
        <v>5</v>
      </c>
      <c r="R16" s="68">
        <v>-56.70000000000001</v>
      </c>
    </row>
    <row r="17" spans="1:9" x14ac:dyDescent="0.4">
      <c r="A17" s="19" t="s">
        <v>118</v>
      </c>
      <c r="B17" s="12">
        <v>9</v>
      </c>
      <c r="C17" s="6">
        <f>IF(B$3=0,0,B17/B$3)</f>
        <v>0.28125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7</v>
      </c>
      <c r="C18" s="5">
        <f>IF(B$16=0,0,B18/B$16)</f>
        <v>0.53846153846153844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1</v>
      </c>
      <c r="C19" s="5">
        <f>IF(B$17=0,0,B19/B$17)</f>
        <v>0.1111111111111111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10</v>
      </c>
      <c r="C20" s="5">
        <f>IF(B$3=0,0,B20/B$3)</f>
        <v>0.3125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6</v>
      </c>
      <c r="C21" s="6">
        <f>IF(B$3=0,0,B21/B$3)</f>
        <v>0.1875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4</v>
      </c>
      <c r="C22" s="6">
        <f>IF(B$20=0,0,B22/B$20)</f>
        <v>0.4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6</v>
      </c>
      <c r="C23" s="6">
        <f>IF(B$20=0,0,B23/B$20)</f>
        <v>0.6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182</v>
      </c>
      <c r="B24" s="12">
        <v>7</v>
      </c>
      <c r="C24" s="6">
        <f>IF(B$20=0,0,B24/B$20)</f>
        <v>0.7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1</v>
      </c>
      <c r="C25" s="6">
        <f>IF(B$20=0,0,B25/B$20)</f>
        <v>0.1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2</v>
      </c>
      <c r="C26" s="6">
        <f>IF(B$20=0,0,B26/B$20)</f>
        <v>0.2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8390</v>
      </c>
      <c r="C27" s="8">
        <v>83900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164</v>
      </c>
      <c r="B28" s="95">
        <f>IF($B$20-B$19=0,0,C28/($B$20-B$19))</f>
        <v>7322.2222222222226</v>
      </c>
      <c r="C28" s="96">
        <v>65900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165</v>
      </c>
      <c r="B29" s="95">
        <f>IF(B$19=0,0,C29/B$19)</f>
        <v>18000</v>
      </c>
      <c r="C29" s="96">
        <v>18000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-8650</v>
      </c>
      <c r="C30" s="96">
        <v>-51900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18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60300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1</v>
      </c>
      <c r="C38" s="6">
        <f t="shared" si="2"/>
        <v>0.1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4</v>
      </c>
      <c r="C39" s="6">
        <f t="shared" si="2"/>
        <v>0.4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2</v>
      </c>
      <c r="C40" s="6">
        <f t="shared" si="2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</v>
      </c>
      <c r="C41" s="6">
        <f t="shared" si="2"/>
        <v>0.1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2</v>
      </c>
      <c r="C42" s="6">
        <f t="shared" si="2"/>
        <v>0.2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BB36-4231-4D9E-B3B7-A74A75103C6D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191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</v>
      </c>
      <c r="C2" s="134"/>
      <c r="E2" s="26" t="s">
        <v>64</v>
      </c>
      <c r="F2" s="23" t="s">
        <v>20</v>
      </c>
      <c r="G2" s="11">
        <v>8</v>
      </c>
      <c r="H2" s="87">
        <f>IF(B$20=0,0,G2/B$20)</f>
        <v>0.8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6320</v>
      </c>
      <c r="Q2" s="76">
        <v>5</v>
      </c>
      <c r="R2" s="63">
        <v>31600</v>
      </c>
    </row>
    <row r="3" spans="1:18" x14ac:dyDescent="0.4">
      <c r="A3" s="19" t="s">
        <v>8</v>
      </c>
      <c r="B3" s="135">
        <v>32</v>
      </c>
      <c r="C3" s="136"/>
      <c r="E3" s="27" t="s">
        <v>66</v>
      </c>
      <c r="F3" s="24" t="s">
        <v>22</v>
      </c>
      <c r="G3" s="12">
        <v>8</v>
      </c>
      <c r="H3" s="88">
        <f>IF(B$20=0,0,G3/B$20)</f>
        <v>0.8</v>
      </c>
      <c r="I3" s="58">
        <v>4</v>
      </c>
      <c r="K3" s="74">
        <v>1</v>
      </c>
      <c r="L3" s="119">
        <v>-3.2</v>
      </c>
      <c r="M3" s="117">
        <v>1499.424</v>
      </c>
      <c r="O3" s="74" t="s">
        <v>129</v>
      </c>
      <c r="P3" s="80">
        <f t="shared" si="0"/>
        <v>-4500</v>
      </c>
      <c r="Q3" s="77">
        <v>4</v>
      </c>
      <c r="R3" s="64">
        <v>-18000</v>
      </c>
    </row>
    <row r="4" spans="1:18" x14ac:dyDescent="0.4">
      <c r="A4" s="19" t="s">
        <v>6</v>
      </c>
      <c r="B4" s="137">
        <v>1.1000000000000014</v>
      </c>
      <c r="C4" s="138"/>
      <c r="E4" s="27" t="s">
        <v>159</v>
      </c>
      <c r="F4" s="24" t="s">
        <v>160</v>
      </c>
      <c r="G4" s="12">
        <v>7</v>
      </c>
      <c r="H4" s="88">
        <f>IF(B$20=0,0,G4/B$20)</f>
        <v>0.7</v>
      </c>
      <c r="I4" s="58">
        <v>1</v>
      </c>
      <c r="K4" s="74">
        <v>2</v>
      </c>
      <c r="L4" s="119">
        <v>-26.4</v>
      </c>
      <c r="M4" s="117">
        <v>1495.251456</v>
      </c>
      <c r="O4" s="74" t="s">
        <v>130</v>
      </c>
      <c r="P4" s="80">
        <f t="shared" si="0"/>
        <v>-3725</v>
      </c>
      <c r="Q4" s="77">
        <v>4</v>
      </c>
      <c r="R4" s="64">
        <v>-14900</v>
      </c>
    </row>
    <row r="5" spans="1:18" x14ac:dyDescent="0.4">
      <c r="A5" s="19" t="s">
        <v>7</v>
      </c>
      <c r="B5" s="125">
        <f>IF(B$2=0,0,B$4/B$2)</f>
        <v>0.22000000000000028</v>
      </c>
      <c r="C5" s="126"/>
      <c r="E5" s="27" t="s">
        <v>68</v>
      </c>
      <c r="F5" s="24" t="s">
        <v>12</v>
      </c>
      <c r="G5" s="12">
        <v>6</v>
      </c>
      <c r="H5" s="88">
        <f>IF(B$20=0,0,G5/B$20)</f>
        <v>0.6</v>
      </c>
      <c r="I5" s="58">
        <v>1</v>
      </c>
      <c r="K5" s="74">
        <v>3</v>
      </c>
      <c r="L5" s="119">
        <v>23.200000000000003</v>
      </c>
      <c r="M5" s="117">
        <v>1504.207947264</v>
      </c>
      <c r="O5" s="74" t="s">
        <v>131</v>
      </c>
      <c r="P5" s="80">
        <f t="shared" si="0"/>
        <v>6533.333333333333</v>
      </c>
      <c r="Q5" s="77">
        <v>3</v>
      </c>
      <c r="R5" s="64">
        <v>19600</v>
      </c>
    </row>
    <row r="6" spans="1:18" x14ac:dyDescent="0.4">
      <c r="A6" s="19" t="s">
        <v>190</v>
      </c>
      <c r="B6" s="129">
        <v>1500.1483913829336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0.5</v>
      </c>
      <c r="I6" s="58">
        <v>3</v>
      </c>
      <c r="K6" s="74">
        <v>4</v>
      </c>
      <c r="L6" s="119">
        <v>52.1</v>
      </c>
      <c r="M6" s="117">
        <v>1509.3846995804161</v>
      </c>
      <c r="O6" s="74" t="s">
        <v>132</v>
      </c>
      <c r="P6" s="80">
        <f t="shared" si="0"/>
        <v>-6733.333333333333</v>
      </c>
      <c r="Q6" s="77">
        <v>3</v>
      </c>
      <c r="R6" s="64">
        <v>-20200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65</v>
      </c>
      <c r="F7" s="24" t="s">
        <v>21</v>
      </c>
      <c r="G7" s="12">
        <v>2</v>
      </c>
      <c r="H7" s="88">
        <f>IF(B$20=0,0,G7/B$20)</f>
        <v>0.2</v>
      </c>
      <c r="I7" s="58">
        <v>2</v>
      </c>
      <c r="K7" s="74">
        <v>5</v>
      </c>
      <c r="L7" s="119">
        <v>1.1000000000000014</v>
      </c>
      <c r="M7" s="117">
        <v>1500.1483913829336</v>
      </c>
      <c r="O7" s="75" t="s">
        <v>133</v>
      </c>
      <c r="P7" s="81">
        <f t="shared" si="0"/>
        <v>4000</v>
      </c>
      <c r="Q7" s="78">
        <v>3</v>
      </c>
      <c r="R7" s="65">
        <v>12000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0.4</v>
      </c>
      <c r="E8" s="27" t="s">
        <v>69</v>
      </c>
      <c r="F8" s="24" t="s">
        <v>24</v>
      </c>
      <c r="G8" s="12">
        <v>2</v>
      </c>
      <c r="H8" s="88">
        <f>IF(B$20=0,0,G8/B$20)</f>
        <v>0.2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</v>
      </c>
      <c r="E9" s="27" t="s">
        <v>86</v>
      </c>
      <c r="F9" s="24" t="s">
        <v>41</v>
      </c>
      <c r="G9" s="12">
        <v>2</v>
      </c>
      <c r="H9" s="88">
        <f>IF(B$20=0,0,G9/B$20)</f>
        <v>0.2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0.4</v>
      </c>
      <c r="E10" s="27" t="s">
        <v>72</v>
      </c>
      <c r="F10" s="24" t="s">
        <v>27</v>
      </c>
      <c r="G10" s="12">
        <v>1</v>
      </c>
      <c r="H10" s="88">
        <f>IF(B$20=0,0,G10/B$20)</f>
        <v>0.1</v>
      </c>
      <c r="I10" s="58">
        <v>4</v>
      </c>
      <c r="O10" s="73" t="s">
        <v>151</v>
      </c>
      <c r="P10" s="82">
        <f>IF(Q10=0,0,R10/Q10)</f>
        <v>13.200000000000001</v>
      </c>
      <c r="Q10" s="76">
        <v>2</v>
      </c>
      <c r="R10" s="67">
        <v>26.400000000000002</v>
      </c>
    </row>
    <row r="11" spans="1:18" x14ac:dyDescent="0.4">
      <c r="A11" s="20" t="s">
        <v>183</v>
      </c>
      <c r="B11" s="109">
        <f>IF(B8=0,0,C11/B8)</f>
        <v>39.25</v>
      </c>
      <c r="C11" s="110">
        <v>78.5</v>
      </c>
      <c r="E11" s="27" t="s">
        <v>73</v>
      </c>
      <c r="F11" s="24" t="s">
        <v>28</v>
      </c>
      <c r="G11" s="12">
        <v>1</v>
      </c>
      <c r="H11" s="88">
        <f>IF(B$20=0,0,G11/B$20)</f>
        <v>0.1</v>
      </c>
      <c r="I11" s="58">
        <v>1</v>
      </c>
      <c r="O11" s="74" t="s">
        <v>152</v>
      </c>
      <c r="P11" s="83">
        <f>IF(Q11=0,0,R11/Q11)</f>
        <v>12.85</v>
      </c>
      <c r="Q11" s="77">
        <v>2</v>
      </c>
      <c r="R11" s="68">
        <v>25.7</v>
      </c>
    </row>
    <row r="12" spans="1:18" x14ac:dyDescent="0.4">
      <c r="A12" s="20" t="s">
        <v>184</v>
      </c>
      <c r="B12" s="109">
        <f>IF(B9=0,0,C12/B9)</f>
        <v>-3.2</v>
      </c>
      <c r="C12" s="110">
        <v>-3.2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3</v>
      </c>
      <c r="O12" s="75" t="s">
        <v>153</v>
      </c>
      <c r="P12" s="84">
        <f>IF(Q12=0,0,R12/Q12)</f>
        <v>-51</v>
      </c>
      <c r="Q12" s="78">
        <v>1</v>
      </c>
      <c r="R12" s="69">
        <v>-51</v>
      </c>
    </row>
    <row r="13" spans="1:18" x14ac:dyDescent="0.4">
      <c r="A13" s="20" t="s">
        <v>185</v>
      </c>
      <c r="B13" s="109">
        <f>IF(B10=0,0,C13/B10)</f>
        <v>-37.1</v>
      </c>
      <c r="C13" s="110">
        <v>-74.2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-0.35000000000000142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1</v>
      </c>
      <c r="O15" s="73" t="s">
        <v>196</v>
      </c>
      <c r="P15" s="82">
        <f>IF(Q15=0,0,R15/Q15)</f>
        <v>6</v>
      </c>
      <c r="Q15" s="76">
        <v>5</v>
      </c>
      <c r="R15" s="67">
        <v>30</v>
      </c>
    </row>
    <row r="16" spans="1:18" x14ac:dyDescent="0.4">
      <c r="A16" s="22" t="s">
        <v>121</v>
      </c>
      <c r="B16" s="15">
        <v>12</v>
      </c>
      <c r="C16" s="10">
        <f>IF(B$3=0,0,B16/B$3)</f>
        <v>0.375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-5.3400000000000007</v>
      </c>
      <c r="Q16" s="77">
        <v>5</v>
      </c>
      <c r="R16" s="68">
        <v>-26.700000000000003</v>
      </c>
    </row>
    <row r="17" spans="1:9" x14ac:dyDescent="0.4">
      <c r="A17" s="19" t="s">
        <v>118</v>
      </c>
      <c r="B17" s="12">
        <v>2</v>
      </c>
      <c r="C17" s="6">
        <f>IF(B$3=0,0,B17/B$3)</f>
        <v>6.25E-2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8</v>
      </c>
      <c r="C18" s="5">
        <f>IF(B$16=0,0,B18/B$16)</f>
        <v>0.66666666666666663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1</v>
      </c>
      <c r="C19" s="5">
        <f>IF(B$17=0,0,B19/B$17)</f>
        <v>0.5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10</v>
      </c>
      <c r="C20" s="5">
        <f>IF(B$3=0,0,B20/B$3)</f>
        <v>0.3125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6</v>
      </c>
      <c r="C21" s="6">
        <f>IF(B$3=0,0,B21/B$3)</f>
        <v>0.1875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7</v>
      </c>
      <c r="C22" s="6">
        <f>IF(B$20=0,0,B22/B$20)</f>
        <v>0.7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3</v>
      </c>
      <c r="C23" s="6">
        <f>IF(B$20=0,0,B23/B$20)</f>
        <v>0.3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182</v>
      </c>
      <c r="B24" s="12">
        <v>8</v>
      </c>
      <c r="C24" s="6">
        <f>IF(B$20=0,0,B24/B$20)</f>
        <v>0.8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1</v>
      </c>
      <c r="C25" s="6">
        <f>IF(B$20=0,0,B25/B$20)</f>
        <v>0.1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1</v>
      </c>
      <c r="C26" s="6">
        <f>IF(B$20=0,0,B26/B$20)</f>
        <v>0.1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9230</v>
      </c>
      <c r="C27" s="8">
        <v>92300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164</v>
      </c>
      <c r="B28" s="95">
        <f>IF($B$20-B$19=0,0,C28/($B$20-B$19))</f>
        <v>9588.8888888888887</v>
      </c>
      <c r="C28" s="96">
        <v>86300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165</v>
      </c>
      <c r="B29" s="95">
        <f>IF(B$19=0,0,C29/B$19)</f>
        <v>6000</v>
      </c>
      <c r="C29" s="96">
        <v>6000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-9366.6666666666661</v>
      </c>
      <c r="C30" s="96">
        <v>-56200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0.1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1</v>
      </c>
      <c r="C38" s="6">
        <f t="shared" si="2"/>
        <v>0.1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2</v>
      </c>
      <c r="C39" s="6">
        <f t="shared" si="2"/>
        <v>0.2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</v>
      </c>
      <c r="C40" s="6">
        <f t="shared" si="2"/>
        <v>0.1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</v>
      </c>
      <c r="C41" s="6">
        <f t="shared" si="2"/>
        <v>0.1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2</v>
      </c>
      <c r="C42" s="6">
        <f t="shared" si="2"/>
        <v>0.2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2</v>
      </c>
      <c r="C43" s="6">
        <f t="shared" si="2"/>
        <v>0.2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24751-FD7C-4D97-AAFD-0CB0A91945C6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191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</v>
      </c>
      <c r="C2" s="134"/>
      <c r="E2" s="26" t="s">
        <v>66</v>
      </c>
      <c r="F2" s="23" t="s">
        <v>22</v>
      </c>
      <c r="G2" s="11">
        <v>9</v>
      </c>
      <c r="H2" s="87">
        <f>IF(B$20=0,0,G2/B$20)</f>
        <v>0.81818181818181823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1540</v>
      </c>
      <c r="Q2" s="76">
        <v>5</v>
      </c>
      <c r="R2" s="63">
        <v>7700</v>
      </c>
    </row>
    <row r="3" spans="1:18" x14ac:dyDescent="0.4">
      <c r="A3" s="19" t="s">
        <v>8</v>
      </c>
      <c r="B3" s="135">
        <v>32</v>
      </c>
      <c r="C3" s="136"/>
      <c r="E3" s="27" t="s">
        <v>67</v>
      </c>
      <c r="F3" s="24" t="s">
        <v>23</v>
      </c>
      <c r="G3" s="12">
        <v>9</v>
      </c>
      <c r="H3" s="88">
        <f>IF(B$20=0,0,G3/B$20)</f>
        <v>0.81818181818181823</v>
      </c>
      <c r="I3" s="58">
        <v>1</v>
      </c>
      <c r="K3" s="74">
        <v>1</v>
      </c>
      <c r="L3" s="119">
        <v>-26.3</v>
      </c>
      <c r="M3" s="117">
        <v>1495.2660000000001</v>
      </c>
      <c r="O3" s="74" t="s">
        <v>129</v>
      </c>
      <c r="P3" s="80">
        <f t="shared" si="0"/>
        <v>350</v>
      </c>
      <c r="Q3" s="77">
        <v>4</v>
      </c>
      <c r="R3" s="64">
        <v>1400</v>
      </c>
    </row>
    <row r="4" spans="1:18" x14ac:dyDescent="0.4">
      <c r="A4" s="19" t="s">
        <v>6</v>
      </c>
      <c r="B4" s="137">
        <v>27.800000000000004</v>
      </c>
      <c r="C4" s="138"/>
      <c r="E4" s="27" t="s">
        <v>72</v>
      </c>
      <c r="F4" s="24" t="s">
        <v>27</v>
      </c>
      <c r="G4" s="12">
        <v>7</v>
      </c>
      <c r="H4" s="88">
        <f>IF(B$20=0,0,G4/B$20)</f>
        <v>0.63636363636363635</v>
      </c>
      <c r="I4" s="58">
        <v>1</v>
      </c>
      <c r="K4" s="74">
        <v>2</v>
      </c>
      <c r="L4" s="119">
        <v>-38.4</v>
      </c>
      <c r="M4" s="117">
        <v>1493.1164040000001</v>
      </c>
      <c r="O4" s="74" t="s">
        <v>130</v>
      </c>
      <c r="P4" s="80">
        <f t="shared" si="0"/>
        <v>4825</v>
      </c>
      <c r="Q4" s="77">
        <v>4</v>
      </c>
      <c r="R4" s="64">
        <v>19300</v>
      </c>
    </row>
    <row r="5" spans="1:18" x14ac:dyDescent="0.4">
      <c r="A5" s="19" t="s">
        <v>7</v>
      </c>
      <c r="B5" s="125">
        <f>IF(B$2=0,0,B$4/B$2)</f>
        <v>5.5600000000000005</v>
      </c>
      <c r="C5" s="126"/>
      <c r="E5" s="27" t="s">
        <v>64</v>
      </c>
      <c r="F5" s="24" t="s">
        <v>20</v>
      </c>
      <c r="G5" s="12">
        <v>6</v>
      </c>
      <c r="H5" s="88">
        <f>IF(B$20=0,0,G5/B$20)</f>
        <v>0.54545454545454541</v>
      </c>
      <c r="I5" s="58">
        <v>4</v>
      </c>
      <c r="K5" s="74">
        <v>3</v>
      </c>
      <c r="L5" s="119">
        <v>-38.699999999999996</v>
      </c>
      <c r="M5" s="117">
        <v>1493.103705576</v>
      </c>
      <c r="O5" s="74" t="s">
        <v>131</v>
      </c>
      <c r="P5" s="80">
        <f t="shared" si="0"/>
        <v>-3333.3333333333335</v>
      </c>
      <c r="Q5" s="77">
        <v>3</v>
      </c>
      <c r="R5" s="64">
        <v>-10000</v>
      </c>
    </row>
    <row r="6" spans="1:18" x14ac:dyDescent="0.4">
      <c r="A6" s="19" t="s">
        <v>190</v>
      </c>
      <c r="B6" s="129">
        <v>1505.1383928424889</v>
      </c>
      <c r="C6" s="130"/>
      <c r="E6" s="27" t="s">
        <v>159</v>
      </c>
      <c r="F6" s="24" t="s">
        <v>160</v>
      </c>
      <c r="G6" s="12">
        <v>5</v>
      </c>
      <c r="H6" s="88">
        <f>IF(B$20=0,0,G6/B$20)</f>
        <v>0.45454545454545453</v>
      </c>
      <c r="I6" s="58">
        <v>4</v>
      </c>
      <c r="K6" s="74">
        <v>4</v>
      </c>
      <c r="L6" s="119">
        <v>-22.199999999999996</v>
      </c>
      <c r="M6" s="117">
        <v>1496.115083342544</v>
      </c>
      <c r="O6" s="74" t="s">
        <v>132</v>
      </c>
      <c r="P6" s="80">
        <f t="shared" si="0"/>
        <v>2666.6666666666665</v>
      </c>
      <c r="Q6" s="77">
        <v>3</v>
      </c>
      <c r="R6" s="64">
        <v>8000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89</v>
      </c>
      <c r="F7" s="24" t="s">
        <v>44</v>
      </c>
      <c r="G7" s="12">
        <v>4</v>
      </c>
      <c r="H7" s="88">
        <f>IF(B$20=0,0,G7/B$20)</f>
        <v>0.36363636363636365</v>
      </c>
      <c r="I7" s="58">
        <v>1</v>
      </c>
      <c r="K7" s="74">
        <v>5</v>
      </c>
      <c r="L7" s="119">
        <v>27.800000000000004</v>
      </c>
      <c r="M7" s="117">
        <v>1505.1383928424889</v>
      </c>
      <c r="O7" s="75" t="s">
        <v>133</v>
      </c>
      <c r="P7" s="81">
        <f t="shared" si="0"/>
        <v>-5533.333333333333</v>
      </c>
      <c r="Q7" s="78">
        <v>3</v>
      </c>
      <c r="R7" s="65">
        <v>-16600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</v>
      </c>
      <c r="E8" s="27" t="s">
        <v>65</v>
      </c>
      <c r="F8" s="24" t="s">
        <v>21</v>
      </c>
      <c r="G8" s="12">
        <v>3</v>
      </c>
      <c r="H8" s="88">
        <f>IF(B$20=0,0,G8/B$20)</f>
        <v>0.27272727272727271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0.6</v>
      </c>
      <c r="E9" s="27" t="s">
        <v>68</v>
      </c>
      <c r="F9" s="24" t="s">
        <v>12</v>
      </c>
      <c r="G9" s="12">
        <v>2</v>
      </c>
      <c r="H9" s="88">
        <f>IF(B$20=0,0,G9/B$20)</f>
        <v>0.18181818181818182</v>
      </c>
      <c r="I9" s="58">
        <v>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0.2</v>
      </c>
      <c r="E10" s="27" t="s">
        <v>86</v>
      </c>
      <c r="F10" s="24" t="s">
        <v>41</v>
      </c>
      <c r="G10" s="12">
        <v>2</v>
      </c>
      <c r="H10" s="88">
        <f>IF(B$20=0,0,G10/B$20)</f>
        <v>0.18181818181818182</v>
      </c>
      <c r="I10" s="58">
        <v>2</v>
      </c>
      <c r="O10" s="73" t="s">
        <v>151</v>
      </c>
      <c r="P10" s="82">
        <f>IF(Q10=0,0,R10/Q10)</f>
        <v>50</v>
      </c>
      <c r="Q10" s="76">
        <v>1</v>
      </c>
      <c r="R10" s="67">
        <v>50</v>
      </c>
    </row>
    <row r="11" spans="1:18" x14ac:dyDescent="0.4">
      <c r="A11" s="20" t="s">
        <v>183</v>
      </c>
      <c r="B11" s="109">
        <f>IF(B8=0,0,C11/B8)</f>
        <v>50</v>
      </c>
      <c r="C11" s="110">
        <v>50</v>
      </c>
      <c r="E11" s="27" t="s">
        <v>69</v>
      </c>
      <c r="F11" s="24" t="s">
        <v>24</v>
      </c>
      <c r="G11" s="12">
        <v>1</v>
      </c>
      <c r="H11" s="88">
        <f>IF(B$20=0,0,G11/B$20)</f>
        <v>9.0909090909090912E-2</v>
      </c>
      <c r="I11" s="58">
        <v>3</v>
      </c>
      <c r="O11" s="74" t="s">
        <v>152</v>
      </c>
      <c r="P11" s="83">
        <f>IF(Q11=0,0,R11/Q11)</f>
        <v>-12.1</v>
      </c>
      <c r="Q11" s="77">
        <v>1</v>
      </c>
      <c r="R11" s="68">
        <v>-12.1</v>
      </c>
    </row>
    <row r="12" spans="1:18" x14ac:dyDescent="0.4">
      <c r="A12" s="20" t="s">
        <v>184</v>
      </c>
      <c r="B12" s="109">
        <f>IF(B9=0,0,C12/B9)</f>
        <v>1.3666666666666665</v>
      </c>
      <c r="C12" s="110">
        <v>4.0999999999999996</v>
      </c>
      <c r="E12" s="27" t="s">
        <v>70</v>
      </c>
      <c r="F12" s="24" t="s">
        <v>25</v>
      </c>
      <c r="G12" s="12">
        <v>1</v>
      </c>
      <c r="H12" s="88">
        <f>IF(B$20=0,0,G12/B$20)</f>
        <v>9.0909090909090912E-2</v>
      </c>
      <c r="I12" s="58">
        <v>1</v>
      </c>
      <c r="O12" s="75" t="s">
        <v>153</v>
      </c>
      <c r="P12" s="84">
        <f>IF(Q12=0,0,R12/Q12)</f>
        <v>-3.3666666666666671</v>
      </c>
      <c r="Q12" s="78">
        <v>3</v>
      </c>
      <c r="R12" s="69">
        <v>-10.100000000000001</v>
      </c>
    </row>
    <row r="13" spans="1:18" x14ac:dyDescent="0.4">
      <c r="A13" s="20" t="s">
        <v>185</v>
      </c>
      <c r="B13" s="109">
        <f>IF(B10=0,0,C13/B10)</f>
        <v>-26.3</v>
      </c>
      <c r="C13" s="110">
        <v>-26.3</v>
      </c>
      <c r="E13" s="27" t="s">
        <v>71</v>
      </c>
      <c r="F13" s="24" t="s">
        <v>26</v>
      </c>
      <c r="G13" s="12">
        <v>1</v>
      </c>
      <c r="H13" s="88">
        <f>IF(B$20=0,0,G13/B$20)</f>
        <v>9.0909090909090912E-2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8.3555555555555561</v>
      </c>
      <c r="C14" s="126"/>
      <c r="E14" s="27" t="s">
        <v>83</v>
      </c>
      <c r="F14" s="24" t="s">
        <v>38</v>
      </c>
      <c r="G14" s="12">
        <v>1</v>
      </c>
      <c r="H14" s="88">
        <f>IF(B$20=0,0,G14/B$20)</f>
        <v>9.0909090909090912E-2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3</v>
      </c>
      <c r="O15" s="73" t="s">
        <v>196</v>
      </c>
      <c r="P15" s="82">
        <f>IF(Q15=0,0,R15/Q15)</f>
        <v>11.340000000000002</v>
      </c>
      <c r="Q15" s="76">
        <v>5</v>
      </c>
      <c r="R15" s="67">
        <v>56.70000000000001</v>
      </c>
    </row>
    <row r="16" spans="1:18" x14ac:dyDescent="0.4">
      <c r="A16" s="22" t="s">
        <v>121</v>
      </c>
      <c r="B16" s="15">
        <v>9</v>
      </c>
      <c r="C16" s="10">
        <f>IF(B$3=0,0,B16/B$3)</f>
        <v>0.28125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195</v>
      </c>
      <c r="P16" s="83">
        <f>IF(Q16=0,0,R16/Q16)</f>
        <v>5.3399999999999981</v>
      </c>
      <c r="Q16" s="77">
        <v>5</v>
      </c>
      <c r="R16" s="68">
        <v>26.699999999999989</v>
      </c>
    </row>
    <row r="17" spans="1:9" x14ac:dyDescent="0.4">
      <c r="A17" s="19" t="s">
        <v>118</v>
      </c>
      <c r="B17" s="12">
        <v>10</v>
      </c>
      <c r="C17" s="6">
        <f>IF(B$3=0,0,B17/B$3)</f>
        <v>0.3125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6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11</v>
      </c>
      <c r="C20" s="5">
        <f>IF(B$3=0,0,B20/B$3)</f>
        <v>0.34375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5</v>
      </c>
      <c r="C21" s="6">
        <f>IF(B$3=0,0,B21/B$3)</f>
        <v>0.15625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3</v>
      </c>
      <c r="C22" s="6">
        <f>IF(B$20=0,0,B22/B$20)</f>
        <v>0.27272727272727271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8</v>
      </c>
      <c r="C23" s="6">
        <f>IF(B$20=0,0,B23/B$20)</f>
        <v>0.72727272727272729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182</v>
      </c>
      <c r="B24" s="12">
        <v>6</v>
      </c>
      <c r="C24" s="6">
        <f>IF(B$20=0,0,B24/B$20)</f>
        <v>0.54545454545454541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4</v>
      </c>
      <c r="C25" s="6">
        <f>IF(B$20=0,0,B25/B$20)</f>
        <v>0.36363636363636365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1</v>
      </c>
      <c r="C26" s="6">
        <f>IF(B$20=0,0,B26/B$20)</f>
        <v>9.0909090909090912E-2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11000</v>
      </c>
      <c r="C27" s="8">
        <v>121000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164</v>
      </c>
      <c r="B28" s="95">
        <f>IF($B$20-B$19=0,0,C28/($B$20-B$19))</f>
        <v>13142.857142857143</v>
      </c>
      <c r="C28" s="96">
        <v>92000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7250</v>
      </c>
      <c r="C29" s="96">
        <v>29000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-7740</v>
      </c>
      <c r="C30" s="96">
        <v>-38700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3</v>
      </c>
      <c r="C31" s="90">
        <v>3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17</v>
      </c>
      <c r="C32" s="90">
        <v>17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75000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9.0909090909090912E-2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</v>
      </c>
      <c r="C40" s="6">
        <f t="shared" si="2"/>
        <v>9.0909090909090912E-2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4</v>
      </c>
      <c r="C41" s="6">
        <f t="shared" si="2"/>
        <v>0.36363636363636365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2</v>
      </c>
      <c r="C42" s="6">
        <f t="shared" si="2"/>
        <v>0.18181818181818182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2</v>
      </c>
      <c r="C43" s="6">
        <f t="shared" si="2"/>
        <v>0.18181818181818182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9.0909090909090912E-2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F522B-D058-4AE8-A3B0-0AEBAC51A0A0}">
  <sheetPr codeName="Sheet12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-26.3</v>
      </c>
      <c r="C4" s="30">
        <v>-26.3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8000</v>
      </c>
      <c r="J4" s="32">
        <v>-5800</v>
      </c>
      <c r="K4" s="31">
        <v>0</v>
      </c>
      <c r="L4" s="31">
        <v>0.2857142857142857</v>
      </c>
      <c r="M4" s="31">
        <v>0</v>
      </c>
      <c r="N4" s="31">
        <v>0.5</v>
      </c>
      <c r="O4" s="31">
        <v>0</v>
      </c>
      <c r="P4" s="31">
        <v>1</v>
      </c>
    </row>
    <row r="5" spans="1:17" x14ac:dyDescent="0.4">
      <c r="A5" s="33">
        <v>2</v>
      </c>
      <c r="B5" s="30">
        <v>-38.4</v>
      </c>
      <c r="C5" s="30">
        <v>-19.2</v>
      </c>
      <c r="D5" s="35">
        <v>2.5</v>
      </c>
      <c r="E5" s="31">
        <v>0</v>
      </c>
      <c r="F5" s="31">
        <v>0.5</v>
      </c>
      <c r="G5" s="31">
        <v>0.2</v>
      </c>
      <c r="H5" s="31">
        <v>0.33333333333333331</v>
      </c>
      <c r="I5" s="32">
        <v>9333.3333333333339</v>
      </c>
      <c r="J5" s="32">
        <v>-7740</v>
      </c>
      <c r="K5" s="31">
        <v>0</v>
      </c>
      <c r="L5" s="31">
        <v>0.2</v>
      </c>
      <c r="M5" s="31">
        <v>0.26666666666666666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-38.699999999999996</v>
      </c>
      <c r="C6" s="30">
        <v>-12.899999999999999</v>
      </c>
      <c r="D6" s="35">
        <v>2.3333333333333335</v>
      </c>
      <c r="E6" s="31">
        <v>0</v>
      </c>
      <c r="F6" s="31">
        <v>0.33333333333333331</v>
      </c>
      <c r="G6" s="31">
        <v>0.21052631578947367</v>
      </c>
      <c r="H6" s="31">
        <v>0.26315789473684209</v>
      </c>
      <c r="I6" s="32">
        <v>11000</v>
      </c>
      <c r="J6" s="32">
        <v>-7740</v>
      </c>
      <c r="K6" s="31">
        <v>0</v>
      </c>
      <c r="L6" s="31">
        <v>0.21052631578947367</v>
      </c>
      <c r="M6" s="31">
        <v>0.31578947368421051</v>
      </c>
      <c r="N6" s="31">
        <v>0.5</v>
      </c>
      <c r="O6" s="31">
        <v>0.33333333333333331</v>
      </c>
      <c r="P6" s="31">
        <v>0.5</v>
      </c>
    </row>
    <row r="7" spans="1:17" x14ac:dyDescent="0.4">
      <c r="A7" s="33">
        <v>4</v>
      </c>
      <c r="B7" s="30">
        <v>-22.199999999999996</v>
      </c>
      <c r="C7" s="30">
        <v>-5.5499999999999989</v>
      </c>
      <c r="D7" s="35">
        <v>2.25</v>
      </c>
      <c r="E7" s="31">
        <v>0</v>
      </c>
      <c r="F7" s="31">
        <v>0.25</v>
      </c>
      <c r="G7" s="31">
        <v>0.26923076923076922</v>
      </c>
      <c r="H7" s="31">
        <v>0.19230769230769232</v>
      </c>
      <c r="I7" s="32">
        <v>10285.714285714286</v>
      </c>
      <c r="J7" s="32">
        <v>-7740</v>
      </c>
      <c r="K7" s="31">
        <v>0</v>
      </c>
      <c r="L7" s="31">
        <v>0.26923076923076922</v>
      </c>
      <c r="M7" s="31">
        <v>0.30769230769230771</v>
      </c>
      <c r="N7" s="31">
        <v>0.5714285714285714</v>
      </c>
      <c r="O7" s="31">
        <v>0.375</v>
      </c>
      <c r="P7" s="31">
        <v>0.2857142857142857</v>
      </c>
    </row>
    <row r="8" spans="1:17" x14ac:dyDescent="0.4">
      <c r="A8" s="33">
        <v>5</v>
      </c>
      <c r="B8" s="30">
        <v>27.800000000000004</v>
      </c>
      <c r="C8" s="30">
        <v>5.5600000000000005</v>
      </c>
      <c r="D8" s="35">
        <v>2</v>
      </c>
      <c r="E8" s="31">
        <v>0.2</v>
      </c>
      <c r="F8" s="31">
        <v>0.2</v>
      </c>
      <c r="G8" s="31">
        <v>0.34375</v>
      </c>
      <c r="H8" s="31">
        <v>0.15625</v>
      </c>
      <c r="I8" s="32">
        <v>11000</v>
      </c>
      <c r="J8" s="32">
        <v>-7740</v>
      </c>
      <c r="K8" s="31">
        <v>0</v>
      </c>
      <c r="L8" s="31">
        <v>0.28125</v>
      </c>
      <c r="M8" s="31">
        <v>0.3125</v>
      </c>
      <c r="N8" s="31">
        <v>0.66666666666666663</v>
      </c>
      <c r="O8" s="31">
        <v>0.4</v>
      </c>
      <c r="P8" s="31">
        <v>0.27272727272727271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1DB17-9FDF-4B2A-B392-AAF2A6C40322}">
  <sheetPr codeName="Sheet10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-3.2</v>
      </c>
      <c r="C4" s="30">
        <v>-3.2</v>
      </c>
      <c r="D4" s="35">
        <v>2</v>
      </c>
      <c r="E4" s="31">
        <v>0</v>
      </c>
      <c r="F4" s="31">
        <v>0</v>
      </c>
      <c r="G4" s="31">
        <v>0.2857142857142857</v>
      </c>
      <c r="H4" s="31">
        <v>0.14285714285714285</v>
      </c>
      <c r="I4" s="32">
        <v>7400</v>
      </c>
      <c r="J4" s="32">
        <v>-12000</v>
      </c>
      <c r="K4" s="31">
        <v>0</v>
      </c>
      <c r="L4" s="31">
        <v>0.2857142857142857</v>
      </c>
      <c r="M4" s="31">
        <v>0</v>
      </c>
      <c r="N4" s="31">
        <v>0.5</v>
      </c>
      <c r="O4" s="31">
        <v>0</v>
      </c>
      <c r="P4" s="31">
        <v>1</v>
      </c>
    </row>
    <row r="5" spans="1:17" x14ac:dyDescent="0.4">
      <c r="A5" s="33">
        <v>2</v>
      </c>
      <c r="B5" s="30">
        <v>-26.4</v>
      </c>
      <c r="C5" s="30">
        <v>-13.2</v>
      </c>
      <c r="D5" s="35">
        <v>2.5</v>
      </c>
      <c r="E5" s="31">
        <v>0</v>
      </c>
      <c r="F5" s="31">
        <v>0.5</v>
      </c>
      <c r="G5" s="31">
        <v>0.2</v>
      </c>
      <c r="H5" s="31">
        <v>0.2</v>
      </c>
      <c r="I5" s="32">
        <v>10933.333333333334</v>
      </c>
      <c r="J5" s="32">
        <v>-9733.3333333333339</v>
      </c>
      <c r="K5" s="31">
        <v>0</v>
      </c>
      <c r="L5" s="31">
        <v>0.26666666666666666</v>
      </c>
      <c r="M5" s="31">
        <v>6.6666666666666666E-2</v>
      </c>
      <c r="N5" s="31">
        <v>0.5</v>
      </c>
      <c r="O5" s="31">
        <v>0</v>
      </c>
      <c r="P5" s="31">
        <v>0.66666666666666663</v>
      </c>
    </row>
    <row r="6" spans="1:17" x14ac:dyDescent="0.4">
      <c r="A6" s="33">
        <v>3</v>
      </c>
      <c r="B6" s="30">
        <v>23.200000000000003</v>
      </c>
      <c r="C6" s="30">
        <v>7.7333333333333343</v>
      </c>
      <c r="D6" s="35">
        <v>2</v>
      </c>
      <c r="E6" s="31">
        <v>0.33333333333333331</v>
      </c>
      <c r="F6" s="31">
        <v>0.33333333333333331</v>
      </c>
      <c r="G6" s="31">
        <v>0.31578947368421051</v>
      </c>
      <c r="H6" s="31">
        <v>0.15789473684210525</v>
      </c>
      <c r="I6" s="32">
        <v>11400</v>
      </c>
      <c r="J6" s="32">
        <v>-9733.3333333333339</v>
      </c>
      <c r="K6" s="31">
        <v>0</v>
      </c>
      <c r="L6" s="31">
        <v>0.31578947368421051</v>
      </c>
      <c r="M6" s="31">
        <v>0.10526315789473684</v>
      </c>
      <c r="N6" s="31">
        <v>0.66666666666666663</v>
      </c>
      <c r="O6" s="31">
        <v>0.5</v>
      </c>
      <c r="P6" s="31">
        <v>0.83333333333333337</v>
      </c>
    </row>
    <row r="7" spans="1:17" x14ac:dyDescent="0.4">
      <c r="A7" s="33">
        <v>4</v>
      </c>
      <c r="B7" s="30">
        <v>52.1</v>
      </c>
      <c r="C7" s="30">
        <v>13.025</v>
      </c>
      <c r="D7" s="35">
        <v>1.75</v>
      </c>
      <c r="E7" s="31">
        <v>0.5</v>
      </c>
      <c r="F7" s="31">
        <v>0.25</v>
      </c>
      <c r="G7" s="31">
        <v>0.38461538461538464</v>
      </c>
      <c r="H7" s="31">
        <v>0.15384615384615385</v>
      </c>
      <c r="I7" s="32">
        <v>9230</v>
      </c>
      <c r="J7" s="32">
        <v>-9300</v>
      </c>
      <c r="K7" s="31">
        <v>0</v>
      </c>
      <c r="L7" s="31">
        <v>0.38461538461538464</v>
      </c>
      <c r="M7" s="31">
        <v>7.6923076923076927E-2</v>
      </c>
      <c r="N7" s="31">
        <v>0.8</v>
      </c>
      <c r="O7" s="31">
        <v>0.5</v>
      </c>
      <c r="P7" s="31">
        <v>0.7</v>
      </c>
    </row>
    <row r="8" spans="1:17" x14ac:dyDescent="0.4">
      <c r="A8" s="33">
        <v>5</v>
      </c>
      <c r="B8" s="30">
        <v>1.1000000000000014</v>
      </c>
      <c r="C8" s="30">
        <v>0.22000000000000028</v>
      </c>
      <c r="D8" s="35">
        <v>2</v>
      </c>
      <c r="E8" s="31">
        <v>0.4</v>
      </c>
      <c r="F8" s="31">
        <v>0.4</v>
      </c>
      <c r="G8" s="31">
        <v>0.3125</v>
      </c>
      <c r="H8" s="31">
        <v>0.1875</v>
      </c>
      <c r="I8" s="32">
        <v>9230</v>
      </c>
      <c r="J8" s="32">
        <v>-9366.6666666666661</v>
      </c>
      <c r="K8" s="31">
        <v>0.2</v>
      </c>
      <c r="L8" s="31">
        <v>0.375</v>
      </c>
      <c r="M8" s="31">
        <v>6.25E-2</v>
      </c>
      <c r="N8" s="31">
        <v>0.66666666666666663</v>
      </c>
      <c r="O8" s="31">
        <v>0.5</v>
      </c>
      <c r="P8" s="31">
        <v>0.7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591AB-EFD5-438F-8731-F7CDE7118219}">
  <sheetPr codeName="Sheet8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196</v>
      </c>
      <c r="B1" s="34" t="s">
        <v>196</v>
      </c>
      <c r="C1" s="34" t="s">
        <v>196</v>
      </c>
      <c r="D1" s="35" t="s">
        <v>196</v>
      </c>
      <c r="E1" s="34" t="s">
        <v>196</v>
      </c>
      <c r="F1" s="34" t="s">
        <v>196</v>
      </c>
      <c r="G1" s="34" t="s">
        <v>196</v>
      </c>
      <c r="H1" s="34" t="s">
        <v>196</v>
      </c>
      <c r="I1" s="34" t="s">
        <v>196</v>
      </c>
      <c r="J1" s="34" t="s">
        <v>196</v>
      </c>
      <c r="K1" s="34" t="s">
        <v>196</v>
      </c>
      <c r="L1" s="34" t="s">
        <v>196</v>
      </c>
      <c r="M1" s="34" t="s">
        <v>196</v>
      </c>
      <c r="N1" s="34" t="s">
        <v>196</v>
      </c>
      <c r="O1" s="34" t="s">
        <v>196</v>
      </c>
      <c r="P1" s="34" t="s">
        <v>196</v>
      </c>
      <c r="Q1" s="34" t="s">
        <v>196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29.5</v>
      </c>
      <c r="C4" s="30">
        <v>29.5</v>
      </c>
      <c r="D4" s="35">
        <v>1</v>
      </c>
      <c r="E4" s="31">
        <v>1</v>
      </c>
      <c r="F4" s="31">
        <v>0</v>
      </c>
      <c r="G4" s="31">
        <v>0.5714285714285714</v>
      </c>
      <c r="H4" s="31">
        <v>0</v>
      </c>
      <c r="I4" s="32">
        <v>8900</v>
      </c>
      <c r="J4" s="32">
        <v>0</v>
      </c>
      <c r="K4" s="31">
        <v>0</v>
      </c>
      <c r="L4" s="31">
        <v>0.8571428571428571</v>
      </c>
      <c r="M4" s="31">
        <v>0</v>
      </c>
      <c r="N4" s="31">
        <v>0.5</v>
      </c>
      <c r="O4" s="31">
        <v>0</v>
      </c>
      <c r="P4" s="31">
        <v>0.25</v>
      </c>
    </row>
    <row r="5" spans="1:17" x14ac:dyDescent="0.4">
      <c r="A5" s="33">
        <v>2</v>
      </c>
      <c r="B5" s="30">
        <v>64.8</v>
      </c>
      <c r="C5" s="30">
        <v>32.4</v>
      </c>
      <c r="D5" s="35">
        <v>1</v>
      </c>
      <c r="E5" s="31">
        <v>1</v>
      </c>
      <c r="F5" s="31">
        <v>0</v>
      </c>
      <c r="G5" s="31">
        <v>0.53333333333333333</v>
      </c>
      <c r="H5" s="31">
        <v>0</v>
      </c>
      <c r="I5" s="32">
        <v>7737.5</v>
      </c>
      <c r="J5" s="32">
        <v>0</v>
      </c>
      <c r="K5" s="31">
        <v>0</v>
      </c>
      <c r="L5" s="31">
        <v>0.73333333333333328</v>
      </c>
      <c r="M5" s="31">
        <v>6.6666666666666666E-2</v>
      </c>
      <c r="N5" s="31">
        <v>0.63636363636363635</v>
      </c>
      <c r="O5" s="31">
        <v>0</v>
      </c>
      <c r="P5" s="31">
        <v>0.25</v>
      </c>
    </row>
    <row r="6" spans="1:17" x14ac:dyDescent="0.4">
      <c r="A6" s="33">
        <v>3</v>
      </c>
      <c r="B6" s="30">
        <v>15.5</v>
      </c>
      <c r="C6" s="30">
        <v>5.166666666666667</v>
      </c>
      <c r="D6" s="35">
        <v>1.6666666666666667</v>
      </c>
      <c r="E6" s="31">
        <v>0.66666666666666663</v>
      </c>
      <c r="F6" s="31">
        <v>0.33333333333333331</v>
      </c>
      <c r="G6" s="31">
        <v>0.42105263157894735</v>
      </c>
      <c r="H6" s="31">
        <v>5.2631578947368418E-2</v>
      </c>
      <c r="I6" s="32">
        <v>7737.5</v>
      </c>
      <c r="J6" s="32">
        <v>-16000</v>
      </c>
      <c r="K6" s="31">
        <v>0.33333333333333331</v>
      </c>
      <c r="L6" s="31">
        <v>0.63157894736842102</v>
      </c>
      <c r="M6" s="31">
        <v>0.15789473684210525</v>
      </c>
      <c r="N6" s="31">
        <v>0.58333333333333337</v>
      </c>
      <c r="O6" s="31">
        <v>0</v>
      </c>
      <c r="P6" s="31">
        <v>0.25</v>
      </c>
    </row>
    <row r="7" spans="1:17" x14ac:dyDescent="0.4">
      <c r="A7" s="33">
        <v>4</v>
      </c>
      <c r="B7" s="30">
        <v>-29.9</v>
      </c>
      <c r="C7" s="30">
        <v>-7.4749999999999996</v>
      </c>
      <c r="D7" s="35">
        <v>2</v>
      </c>
      <c r="E7" s="31">
        <v>0.5</v>
      </c>
      <c r="F7" s="31">
        <v>0.5</v>
      </c>
      <c r="G7" s="31">
        <v>0.30769230769230771</v>
      </c>
      <c r="H7" s="31">
        <v>0.19230769230769232</v>
      </c>
      <c r="I7" s="32">
        <v>7737.5</v>
      </c>
      <c r="J7" s="32">
        <v>-7980</v>
      </c>
      <c r="K7" s="31">
        <v>0.5</v>
      </c>
      <c r="L7" s="31">
        <v>0.5</v>
      </c>
      <c r="M7" s="31">
        <v>0.19230769230769232</v>
      </c>
      <c r="N7" s="31">
        <v>0.53846153846153844</v>
      </c>
      <c r="O7" s="31">
        <v>0</v>
      </c>
      <c r="P7" s="31">
        <v>0.25</v>
      </c>
    </row>
    <row r="8" spans="1:17" x14ac:dyDescent="0.4">
      <c r="A8" s="33">
        <v>5</v>
      </c>
      <c r="B8" s="30">
        <v>-28.9</v>
      </c>
      <c r="C8" s="30">
        <v>-5.7799999999999994</v>
      </c>
      <c r="D8" s="35">
        <v>2</v>
      </c>
      <c r="E8" s="31">
        <v>0.4</v>
      </c>
      <c r="F8" s="31">
        <v>0.4</v>
      </c>
      <c r="G8" s="31">
        <v>0.3125</v>
      </c>
      <c r="H8" s="31">
        <v>0.1875</v>
      </c>
      <c r="I8" s="32">
        <v>8390</v>
      </c>
      <c r="J8" s="32">
        <v>-8650</v>
      </c>
      <c r="K8" s="31">
        <v>0.4</v>
      </c>
      <c r="L8" s="31">
        <v>0.40625</v>
      </c>
      <c r="M8" s="31">
        <v>0.28125</v>
      </c>
      <c r="N8" s="31">
        <v>0.53846153846153844</v>
      </c>
      <c r="O8" s="31">
        <v>0.1111111111111111</v>
      </c>
      <c r="P8" s="31">
        <v>0.4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96100-A581-415A-B8BB-68239816E755}">
  <sheetPr codeName="Sheet6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0.14285714285714285</v>
      </c>
      <c r="I4" s="32">
        <v>8342.8571428571431</v>
      </c>
      <c r="J4" s="32">
        <v>-7866.666666666667</v>
      </c>
      <c r="K4" s="31">
        <v>0</v>
      </c>
      <c r="L4" s="31">
        <v>0.47619047619047616</v>
      </c>
      <c r="M4" s="31">
        <v>0</v>
      </c>
      <c r="N4" s="31">
        <v>0.5</v>
      </c>
      <c r="O4" s="31">
        <v>0</v>
      </c>
      <c r="P4" s="31">
        <v>0.5714285714285714</v>
      </c>
    </row>
    <row r="5" spans="1:17" x14ac:dyDescent="0.4">
      <c r="A5" s="33">
        <v>2</v>
      </c>
      <c r="B5" s="30">
        <v>-1.7763568394002505E-15</v>
      </c>
      <c r="C5" s="30">
        <v>-2.9605947323337506E-16</v>
      </c>
      <c r="D5" s="35">
        <v>2</v>
      </c>
      <c r="E5" s="31">
        <v>0.33333333333333331</v>
      </c>
      <c r="F5" s="31">
        <v>0.33333333333333331</v>
      </c>
      <c r="G5" s="31">
        <v>0.31111111111111112</v>
      </c>
      <c r="H5" s="31">
        <v>0.17777777777777778</v>
      </c>
      <c r="I5" s="32">
        <v>8764.2857142857138</v>
      </c>
      <c r="J5" s="32">
        <v>-8487.5</v>
      </c>
      <c r="K5" s="31">
        <v>0</v>
      </c>
      <c r="L5" s="31">
        <v>0.4</v>
      </c>
      <c r="M5" s="31">
        <v>0.13333333333333333</v>
      </c>
      <c r="N5" s="31">
        <v>0.55555555555555558</v>
      </c>
      <c r="O5" s="31">
        <v>0.33333333333333331</v>
      </c>
      <c r="P5" s="31">
        <v>0.42857142857142855</v>
      </c>
    </row>
    <row r="6" spans="1:17" x14ac:dyDescent="0.4">
      <c r="A6" s="33">
        <v>3</v>
      </c>
      <c r="B6" s="30">
        <v>4.2743586448068527E-15</v>
      </c>
      <c r="C6" s="30">
        <v>4.7492873831187251E-16</v>
      </c>
      <c r="D6" s="35">
        <v>2</v>
      </c>
      <c r="E6" s="31">
        <v>0.33333333333333331</v>
      </c>
      <c r="F6" s="31">
        <v>0.33333333333333331</v>
      </c>
      <c r="G6" s="31">
        <v>0.31578947368421051</v>
      </c>
      <c r="H6" s="31">
        <v>0.15789473684210525</v>
      </c>
      <c r="I6" s="32">
        <v>9683.3333333333339</v>
      </c>
      <c r="J6" s="32">
        <v>-9322.2222222222226</v>
      </c>
      <c r="K6" s="31">
        <v>0.1111111111111111</v>
      </c>
      <c r="L6" s="31">
        <v>0.38596491228070173</v>
      </c>
      <c r="M6" s="31">
        <v>0.19298245614035087</v>
      </c>
      <c r="N6" s="31">
        <v>0.59090909090909094</v>
      </c>
      <c r="O6" s="31">
        <v>0.27272727272727271</v>
      </c>
      <c r="P6" s="31">
        <v>0.5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0.32051282051282054</v>
      </c>
      <c r="H7" s="31">
        <v>0.17948717948717949</v>
      </c>
      <c r="I7" s="32">
        <v>9048</v>
      </c>
      <c r="J7" s="32">
        <v>-8271.4285714285706</v>
      </c>
      <c r="K7" s="31">
        <v>0.16666666666666666</v>
      </c>
      <c r="L7" s="31">
        <v>0.38461538461538464</v>
      </c>
      <c r="M7" s="31">
        <v>0.19230769230769232</v>
      </c>
      <c r="N7" s="31">
        <v>0.6333333333333333</v>
      </c>
      <c r="O7" s="31">
        <v>0.26666666666666666</v>
      </c>
      <c r="P7" s="31">
        <v>0.44</v>
      </c>
    </row>
    <row r="8" spans="1:17" x14ac:dyDescent="0.4">
      <c r="A8" s="33">
        <v>5</v>
      </c>
      <c r="B8" s="30">
        <v>7.1054273576010019E-15</v>
      </c>
      <c r="C8" s="30">
        <v>4.7369515717340012E-16</v>
      </c>
      <c r="D8" s="35">
        <v>2</v>
      </c>
      <c r="E8" s="31">
        <v>0.33333333333333331</v>
      </c>
      <c r="F8" s="31">
        <v>0.33333333333333331</v>
      </c>
      <c r="G8" s="31">
        <v>0.32291666666666669</v>
      </c>
      <c r="H8" s="31">
        <v>0.17708333333333334</v>
      </c>
      <c r="I8" s="32">
        <v>9587.0967741935492</v>
      </c>
      <c r="J8" s="32">
        <v>-8635.2941176470595</v>
      </c>
      <c r="K8" s="31">
        <v>0.2</v>
      </c>
      <c r="L8" s="31">
        <v>0.35416666666666669</v>
      </c>
      <c r="M8" s="31">
        <v>0.21875</v>
      </c>
      <c r="N8" s="31">
        <v>0.61764705882352944</v>
      </c>
      <c r="O8" s="31">
        <v>0.2857142857142857</v>
      </c>
      <c r="P8" s="31">
        <v>0.45161290322580644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315</vt:i4>
      </vt:variant>
    </vt:vector>
  </HeadingPairs>
  <TitlesOfParts>
    <vt:vector size="343" baseType="lpstr">
      <vt:lpstr>Cache</vt:lpstr>
      <vt:lpstr>Template2</vt:lpstr>
      <vt:lpstr>Players</vt:lpstr>
      <vt:lpstr>Template1</vt:lpstr>
      <vt:lpstr>ランキング</vt:lpstr>
      <vt:lpstr>全体</vt:lpstr>
      <vt:lpstr>ともまさ</vt:lpstr>
      <vt:lpstr>たいせい</vt:lpstr>
      <vt:lpstr>だいち</vt:lpstr>
      <vt:lpstr>だいち2</vt:lpstr>
      <vt:lpstr>たいせい2</vt:lpstr>
      <vt:lpstr>ともまさ2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たいせい!アガリ数</vt:lpstr>
      <vt:lpstr>だいち!アガリ数</vt:lpstr>
      <vt:lpstr>ともまさ!アガリ数</vt:lpstr>
      <vt:lpstr>全体!アガリ数</vt:lpstr>
      <vt:lpstr>Template1!アガリ率</vt:lpstr>
      <vt:lpstr>たいせい!アガリ率</vt:lpstr>
      <vt:lpstr>だいち!アガリ率</vt:lpstr>
      <vt:lpstr>ともまさ!アガリ率</vt:lpstr>
      <vt:lpstr>全体!アガリ率</vt:lpstr>
      <vt:lpstr>Template1!ダマアガリ数</vt:lpstr>
      <vt:lpstr>たいせい!ダマアガリ数</vt:lpstr>
      <vt:lpstr>だいち!ダマアガリ数</vt:lpstr>
      <vt:lpstr>ともまさ!ダマアガリ数</vt:lpstr>
      <vt:lpstr>全体!ダマアガリ数</vt:lpstr>
      <vt:lpstr>Template1!ダマアガリ率</vt:lpstr>
      <vt:lpstr>たいせい!ダマアガリ率</vt:lpstr>
      <vt:lpstr>だいち!ダマアガリ率</vt:lpstr>
      <vt:lpstr>ともまさ!ダマアガリ率</vt:lpstr>
      <vt:lpstr>全体!ダマアガリ率</vt:lpstr>
      <vt:lpstr>Template1!チョンボ数</vt:lpstr>
      <vt:lpstr>たいせい!チョンボ数</vt:lpstr>
      <vt:lpstr>だいち!チョンボ数</vt:lpstr>
      <vt:lpstr>ともまさ!チョンボ数</vt:lpstr>
      <vt:lpstr>全体!チョンボ数</vt:lpstr>
      <vt:lpstr>Template1!チョンボ率</vt:lpstr>
      <vt:lpstr>たいせい!チョンボ率</vt:lpstr>
      <vt:lpstr>だいち!チョンボ率</vt:lpstr>
      <vt:lpstr>ともまさ!チョンボ率</vt:lpstr>
      <vt:lpstr>全体!チョンボ率</vt:lpstr>
      <vt:lpstr>Template1!ツモ数</vt:lpstr>
      <vt:lpstr>たいせい!ツモ数</vt:lpstr>
      <vt:lpstr>だいち!ツモ数</vt:lpstr>
      <vt:lpstr>ともまさ!ツモ数</vt:lpstr>
      <vt:lpstr>全体!ツモ数</vt:lpstr>
      <vt:lpstr>Template1!ツモ率</vt:lpstr>
      <vt:lpstr>たいせい!ツモ率</vt:lpstr>
      <vt:lpstr>だいち!ツモ率</vt:lpstr>
      <vt:lpstr>ともまさ!ツモ率</vt:lpstr>
      <vt:lpstr>全体!ツモ率</vt:lpstr>
      <vt:lpstr>Template1!トップ数</vt:lpstr>
      <vt:lpstr>たいせい!トップ数</vt:lpstr>
      <vt:lpstr>だいち!トップ数</vt:lpstr>
      <vt:lpstr>ともまさ!トップ数</vt:lpstr>
      <vt:lpstr>全体!トップ数</vt:lpstr>
      <vt:lpstr>Template1!トップ率</vt:lpstr>
      <vt:lpstr>たいせい!トップ率</vt:lpstr>
      <vt:lpstr>だいち!トップ率</vt:lpstr>
      <vt:lpstr>ともまさ!トップ率</vt:lpstr>
      <vt:lpstr>全体!トップ率</vt:lpstr>
      <vt:lpstr>たいせい!バランス</vt:lpstr>
      <vt:lpstr>だいち!バランス</vt:lpstr>
      <vt:lpstr>ともまさ!バランス</vt:lpstr>
      <vt:lpstr>全体!バランス</vt:lpstr>
      <vt:lpstr>バランス</vt:lpstr>
      <vt:lpstr>Template1!ふっとび数</vt:lpstr>
      <vt:lpstr>たいせい!ふっとび数</vt:lpstr>
      <vt:lpstr>だいち!ふっとび数</vt:lpstr>
      <vt:lpstr>ともまさ!ふっとび数</vt:lpstr>
      <vt:lpstr>全体!ふっとび数</vt:lpstr>
      <vt:lpstr>Template1!ふっとび率</vt:lpstr>
      <vt:lpstr>たいせい!ふっとび率</vt:lpstr>
      <vt:lpstr>だいち!ふっとび率</vt:lpstr>
      <vt:lpstr>ともまさ!ふっとび率</vt:lpstr>
      <vt:lpstr>全体!ふっとび率</vt:lpstr>
      <vt:lpstr>Template1!ラス数</vt:lpstr>
      <vt:lpstr>たいせい!ラス数</vt:lpstr>
      <vt:lpstr>だいち!ラス数</vt:lpstr>
      <vt:lpstr>ともまさ!ラス数</vt:lpstr>
      <vt:lpstr>全体!ラス数</vt:lpstr>
      <vt:lpstr>Template1!ラス率</vt:lpstr>
      <vt:lpstr>たいせい!ラス率</vt:lpstr>
      <vt:lpstr>だいち!ラス率</vt:lpstr>
      <vt:lpstr>ともまさ!ラス率</vt:lpstr>
      <vt:lpstr>全体!ラス率</vt:lpstr>
      <vt:lpstr>Template1!リーチアガリ数</vt:lpstr>
      <vt:lpstr>たいせい!リーチアガリ数</vt:lpstr>
      <vt:lpstr>だいち!リーチアガリ数</vt:lpstr>
      <vt:lpstr>ともまさ!リーチアガリ数</vt:lpstr>
      <vt:lpstr>全体!リーチアガリ数</vt:lpstr>
      <vt:lpstr>Template1!リーチアガリ率</vt:lpstr>
      <vt:lpstr>たいせい!リーチアガリ率</vt:lpstr>
      <vt:lpstr>だいち!リーチアガリ率</vt:lpstr>
      <vt:lpstr>ともまさ!リーチアガリ率</vt:lpstr>
      <vt:lpstr>全体!リーチアガリ率</vt:lpstr>
      <vt:lpstr>Template1!リーチ数</vt:lpstr>
      <vt:lpstr>たいせい!リーチ数</vt:lpstr>
      <vt:lpstr>だいち!リーチ数</vt:lpstr>
      <vt:lpstr>ともまさ!リーチ数</vt:lpstr>
      <vt:lpstr>全体!リーチ数</vt:lpstr>
      <vt:lpstr>Template1!リーチ成功数</vt:lpstr>
      <vt:lpstr>たいせい!リーチ成功数</vt:lpstr>
      <vt:lpstr>だいち!リーチ成功数</vt:lpstr>
      <vt:lpstr>ともまさ!リーチ成功数</vt:lpstr>
      <vt:lpstr>全体!リーチ成功数</vt:lpstr>
      <vt:lpstr>Template1!リーチ成功率</vt:lpstr>
      <vt:lpstr>たいせい!リーチ成功率</vt:lpstr>
      <vt:lpstr>だいち!リーチ成功率</vt:lpstr>
      <vt:lpstr>ともまさ!リーチ成功率</vt:lpstr>
      <vt:lpstr>全体!リーチ成功率</vt:lpstr>
      <vt:lpstr>Template1!リーチ率</vt:lpstr>
      <vt:lpstr>たいせい!リーチ率</vt:lpstr>
      <vt:lpstr>だいち!リーチ率</vt:lpstr>
      <vt:lpstr>ともまさ!リーチ率</vt:lpstr>
      <vt:lpstr>全体!リーチ率</vt:lpstr>
      <vt:lpstr>たいせい!レーティング</vt:lpstr>
      <vt:lpstr>だいち!レーティング</vt:lpstr>
      <vt:lpstr>ともまさ!レーティング</vt:lpstr>
      <vt:lpstr>全体!レーティング</vt:lpstr>
      <vt:lpstr>レーティング</vt:lpstr>
      <vt:lpstr>Template1!ロン数</vt:lpstr>
      <vt:lpstr>たいせい!ロン数</vt:lpstr>
      <vt:lpstr>だいち!ロン数</vt:lpstr>
      <vt:lpstr>ともまさ!ロン数</vt:lpstr>
      <vt:lpstr>全体!ロン数</vt:lpstr>
      <vt:lpstr>Template1!ロン率</vt:lpstr>
      <vt:lpstr>たいせい!ロン率</vt:lpstr>
      <vt:lpstr>だいち!ロン率</vt:lpstr>
      <vt:lpstr>ともまさ!ロン率</vt:lpstr>
      <vt:lpstr>全体!ロン率</vt:lpstr>
      <vt:lpstr>たいせい!一位スコア</vt:lpstr>
      <vt:lpstr>だいち!一位スコア</vt:lpstr>
      <vt:lpstr>ともまさ!一位スコア</vt:lpstr>
      <vt:lpstr>全体!一位スコア</vt:lpstr>
      <vt:lpstr>一位スコア</vt:lpstr>
      <vt:lpstr>たいせい!一位通算スコア</vt:lpstr>
      <vt:lpstr>だいち!一位通算スコア</vt:lpstr>
      <vt:lpstr>ともまさ!一位通算スコア</vt:lpstr>
      <vt:lpstr>全体!一位通算スコア</vt:lpstr>
      <vt:lpstr>一位通算スコア</vt:lpstr>
      <vt:lpstr>たいせい!一翻数</vt:lpstr>
      <vt:lpstr>だいち!一翻数</vt:lpstr>
      <vt:lpstr>ともまさ!一翻数</vt:lpstr>
      <vt:lpstr>全体!一翻数</vt:lpstr>
      <vt:lpstr>一翻数</vt:lpstr>
      <vt:lpstr>たいせい!一翻率</vt:lpstr>
      <vt:lpstr>だいち!一翻率</vt:lpstr>
      <vt:lpstr>ともまさ!一翻率</vt:lpstr>
      <vt:lpstr>全体!一翻率</vt:lpstr>
      <vt:lpstr>一翻率</vt:lpstr>
      <vt:lpstr>Template1!現行連続アガリ</vt:lpstr>
      <vt:lpstr>たいせい!現行連続アガリ</vt:lpstr>
      <vt:lpstr>だいち!現行連続アガリ</vt:lpstr>
      <vt:lpstr>ともまさ!現行連続アガリ</vt:lpstr>
      <vt:lpstr>全体!現行連続アガリ</vt:lpstr>
      <vt:lpstr>Template1!現行連続無放銃</vt:lpstr>
      <vt:lpstr>たいせい!現行連続無放銃</vt:lpstr>
      <vt:lpstr>だいち!現行連続無放銃</vt:lpstr>
      <vt:lpstr>ともまさ!現行連続無放銃</vt:lpstr>
      <vt:lpstr>全体!現行連続無放銃</vt:lpstr>
      <vt:lpstr>Template1!最高点</vt:lpstr>
      <vt:lpstr>たいせい!最高点</vt:lpstr>
      <vt:lpstr>だいち!最高点</vt:lpstr>
      <vt:lpstr>ともまさ!最高点</vt:lpstr>
      <vt:lpstr>全体!最高点</vt:lpstr>
      <vt:lpstr>Template1!最大ドラ数</vt:lpstr>
      <vt:lpstr>たいせい!最大ドラ数</vt:lpstr>
      <vt:lpstr>だいち!最大ドラ数</vt:lpstr>
      <vt:lpstr>ともまさ!最大ドラ数</vt:lpstr>
      <vt:lpstr>全体!最大ドラ数</vt:lpstr>
      <vt:lpstr>Template1!最大点数</vt:lpstr>
      <vt:lpstr>たいせい!最大点数</vt:lpstr>
      <vt:lpstr>だいち!最大点数</vt:lpstr>
      <vt:lpstr>ともまさ!最大点数</vt:lpstr>
      <vt:lpstr>全体!最大点数</vt:lpstr>
      <vt:lpstr>たいせい!三位スコア</vt:lpstr>
      <vt:lpstr>だいち!三位スコア</vt:lpstr>
      <vt:lpstr>ともまさ!三位スコア</vt:lpstr>
      <vt:lpstr>全体!三位スコア</vt:lpstr>
      <vt:lpstr>三位スコア</vt:lpstr>
      <vt:lpstr>たいせい!三位通算スコア</vt:lpstr>
      <vt:lpstr>だいち!三位通算スコア</vt:lpstr>
      <vt:lpstr>ともまさ!三位通算スコア</vt:lpstr>
      <vt:lpstr>全体!三位通算スコア</vt:lpstr>
      <vt:lpstr>三位通算スコア</vt:lpstr>
      <vt:lpstr>Template1!総局数</vt:lpstr>
      <vt:lpstr>たいせい!総局数</vt:lpstr>
      <vt:lpstr>だいち!総局数</vt:lpstr>
      <vt:lpstr>ともまさ!総局数</vt:lpstr>
      <vt:lpstr>全体!総局数</vt:lpstr>
      <vt:lpstr>Template1!対戦数</vt:lpstr>
      <vt:lpstr>たいせい!対戦数</vt:lpstr>
      <vt:lpstr>だいち!対戦数</vt:lpstr>
      <vt:lpstr>ともまさ!対戦数</vt:lpstr>
      <vt:lpstr>全体!対戦数</vt:lpstr>
      <vt:lpstr>Template1!通算アガリ点</vt:lpstr>
      <vt:lpstr>たいせい!通算アガリ点</vt:lpstr>
      <vt:lpstr>だいち!通算アガリ点</vt:lpstr>
      <vt:lpstr>ともまさ!通算アガリ点</vt:lpstr>
      <vt:lpstr>全体!通算アガリ点</vt:lpstr>
      <vt:lpstr>Template1!通算スコア</vt:lpstr>
      <vt:lpstr>たいせい!通算スコア</vt:lpstr>
      <vt:lpstr>だいち!通算スコア</vt:lpstr>
      <vt:lpstr>ともまさ!通算スコア</vt:lpstr>
      <vt:lpstr>全体!通算スコア</vt:lpstr>
      <vt:lpstr>Template1!通算副露アガリ点</vt:lpstr>
      <vt:lpstr>たいせい!通算副露アガリ点</vt:lpstr>
      <vt:lpstr>だいち!通算副露アガリ点</vt:lpstr>
      <vt:lpstr>ともまさ!通算副露アガリ点</vt:lpstr>
      <vt:lpstr>全体!通算副露アガリ点</vt:lpstr>
      <vt:lpstr>Template1!通算放銃点</vt:lpstr>
      <vt:lpstr>たいせい!通算放銃点</vt:lpstr>
      <vt:lpstr>だいち!通算放銃点</vt:lpstr>
      <vt:lpstr>ともまさ!通算放銃点</vt:lpstr>
      <vt:lpstr>全体!通算放銃点</vt:lpstr>
      <vt:lpstr>Template1!通算門前アガリ点</vt:lpstr>
      <vt:lpstr>たいせい!通算門前アガリ点</vt:lpstr>
      <vt:lpstr>だいち!通算門前アガリ点</vt:lpstr>
      <vt:lpstr>ともまさ!通算門前アガリ点</vt:lpstr>
      <vt:lpstr>全体!通算門前アガリ点</vt:lpstr>
      <vt:lpstr>たいせい!二位スコア</vt:lpstr>
      <vt:lpstr>だいち!二位スコア</vt:lpstr>
      <vt:lpstr>ともまさ!二位スコア</vt:lpstr>
      <vt:lpstr>全体!二位スコア</vt:lpstr>
      <vt:lpstr>二位スコア</vt:lpstr>
      <vt:lpstr>Template1!二位数</vt:lpstr>
      <vt:lpstr>たいせい!二位数</vt:lpstr>
      <vt:lpstr>だいち!二位数</vt:lpstr>
      <vt:lpstr>ともまさ!二位数</vt:lpstr>
      <vt:lpstr>全体!二位数</vt:lpstr>
      <vt:lpstr>たいせい!二位通算スコア</vt:lpstr>
      <vt:lpstr>だいち!二位通算スコア</vt:lpstr>
      <vt:lpstr>ともまさ!二位通算スコア</vt:lpstr>
      <vt:lpstr>全体!二位通算スコア</vt:lpstr>
      <vt:lpstr>二位通算スコア</vt:lpstr>
      <vt:lpstr>Template1!二位率</vt:lpstr>
      <vt:lpstr>たいせい!二位率</vt:lpstr>
      <vt:lpstr>だいち!二位率</vt:lpstr>
      <vt:lpstr>ともまさ!二位率</vt:lpstr>
      <vt:lpstr>全体!二位率</vt:lpstr>
      <vt:lpstr>Template1!副露アガリ数</vt:lpstr>
      <vt:lpstr>たいせい!副露アガリ数</vt:lpstr>
      <vt:lpstr>だいち!副露アガリ数</vt:lpstr>
      <vt:lpstr>ともまさ!副露アガリ数</vt:lpstr>
      <vt:lpstr>全体!副露アガリ数</vt:lpstr>
      <vt:lpstr>Template1!副露アガリ点</vt:lpstr>
      <vt:lpstr>たいせい!副露アガリ点</vt:lpstr>
      <vt:lpstr>だいち!副露アガリ点</vt:lpstr>
      <vt:lpstr>ともまさ!副露アガリ点</vt:lpstr>
      <vt:lpstr>全体!副露アガリ点</vt:lpstr>
      <vt:lpstr>Template1!副露アガリ率</vt:lpstr>
      <vt:lpstr>たいせい!副露アガリ率</vt:lpstr>
      <vt:lpstr>だいち!副露アガリ率</vt:lpstr>
      <vt:lpstr>ともまさ!副露アガリ率</vt:lpstr>
      <vt:lpstr>全体!副露アガリ率</vt:lpstr>
      <vt:lpstr>Template1!副露数</vt:lpstr>
      <vt:lpstr>たいせい!副露数</vt:lpstr>
      <vt:lpstr>だいち!副露数</vt:lpstr>
      <vt:lpstr>ともまさ!副露数</vt:lpstr>
      <vt:lpstr>全体!副露数</vt:lpstr>
      <vt:lpstr>Template1!副露成功数</vt:lpstr>
      <vt:lpstr>たいせい!副露成功数</vt:lpstr>
      <vt:lpstr>だいち!副露成功数</vt:lpstr>
      <vt:lpstr>ともまさ!副露成功数</vt:lpstr>
      <vt:lpstr>全体!副露成功数</vt:lpstr>
      <vt:lpstr>Template1!副露成功率</vt:lpstr>
      <vt:lpstr>たいせい!副露成功率</vt:lpstr>
      <vt:lpstr>だいち!副露成功率</vt:lpstr>
      <vt:lpstr>ともまさ!副露成功率</vt:lpstr>
      <vt:lpstr>全体!副露成功率</vt:lpstr>
      <vt:lpstr>Template1!副露率</vt:lpstr>
      <vt:lpstr>たいせい!副露率</vt:lpstr>
      <vt:lpstr>だいち!副露率</vt:lpstr>
      <vt:lpstr>ともまさ!副露率</vt:lpstr>
      <vt:lpstr>全体!副露率</vt:lpstr>
      <vt:lpstr>Template1!平均アガリ点</vt:lpstr>
      <vt:lpstr>たいせい!平均アガリ点</vt:lpstr>
      <vt:lpstr>だいち!平均アガリ点</vt:lpstr>
      <vt:lpstr>ともまさ!平均アガリ点</vt:lpstr>
      <vt:lpstr>全体!平均アガリ点</vt:lpstr>
      <vt:lpstr>Template1!平均スコア</vt:lpstr>
      <vt:lpstr>たいせい!平均スコア</vt:lpstr>
      <vt:lpstr>だいち!平均スコア</vt:lpstr>
      <vt:lpstr>ともまさ!平均スコア</vt:lpstr>
      <vt:lpstr>全体!平均スコア</vt:lpstr>
      <vt:lpstr>Template1!平均順位</vt:lpstr>
      <vt:lpstr>たいせい!平均順位</vt:lpstr>
      <vt:lpstr>だいち!平均順位</vt:lpstr>
      <vt:lpstr>ともまさ!平均順位</vt:lpstr>
      <vt:lpstr>全体!平均順位</vt:lpstr>
      <vt:lpstr>Template1!平均放銃点</vt:lpstr>
      <vt:lpstr>たいせい!平均放銃点</vt:lpstr>
      <vt:lpstr>だいち!平均放銃点</vt:lpstr>
      <vt:lpstr>ともまさ!平均放銃点</vt:lpstr>
      <vt:lpstr>全体!平均放銃点</vt:lpstr>
      <vt:lpstr>Template1!放銃数</vt:lpstr>
      <vt:lpstr>たいせい!放銃数</vt:lpstr>
      <vt:lpstr>だいち!放銃数</vt:lpstr>
      <vt:lpstr>ともまさ!放銃数</vt:lpstr>
      <vt:lpstr>全体!放銃数</vt:lpstr>
      <vt:lpstr>Template1!放銃率</vt:lpstr>
      <vt:lpstr>たいせい!放銃率</vt:lpstr>
      <vt:lpstr>だいち!放銃率</vt:lpstr>
      <vt:lpstr>ともまさ!放銃率</vt:lpstr>
      <vt:lpstr>全体!放銃率</vt:lpstr>
      <vt:lpstr>Template1!名前</vt:lpstr>
      <vt:lpstr>たいせい!名前</vt:lpstr>
      <vt:lpstr>だいち!名前</vt:lpstr>
      <vt:lpstr>ともまさ!名前</vt:lpstr>
      <vt:lpstr>全体!名前</vt:lpstr>
      <vt:lpstr>Template1!門前アガリ点</vt:lpstr>
      <vt:lpstr>たいせい!門前アガリ点</vt:lpstr>
      <vt:lpstr>だいち!門前アガリ点</vt:lpstr>
      <vt:lpstr>ともまさ!門前アガリ点</vt:lpstr>
      <vt:lpstr>全体!門前アガリ点</vt:lpstr>
      <vt:lpstr>Template1!連続アガリ</vt:lpstr>
      <vt:lpstr>たいせい!連続アガリ</vt:lpstr>
      <vt:lpstr>だいち!連続アガリ</vt:lpstr>
      <vt:lpstr>ともまさ!連続アガリ</vt:lpstr>
      <vt:lpstr>全体!連続アガリ</vt:lpstr>
      <vt:lpstr>Template1!連続無放銃</vt:lpstr>
      <vt:lpstr>たいせい!連続無放銃</vt:lpstr>
      <vt:lpstr>だいち!連続無放銃</vt:lpstr>
      <vt:lpstr>ともまさ!連続無放銃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2021-03-07T09:49:37Z</dcterms:modified>
</cp:coreProperties>
</file>