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2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3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6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7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8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9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0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1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2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3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4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5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"/>
    </mc:Choice>
  </mc:AlternateContent>
  <xr:revisionPtr revIDLastSave="0" documentId="13_ncr:1_{AC02A07B-7999-48BC-B66D-49B2CB6052FE}" xr6:coauthVersionLast="47" xr6:coauthVersionMax="47" xr10:uidLastSave="{00000000-0000-0000-0000-000000000000}"/>
  <bookViews>
    <workbookView xWindow="-120" yWindow="-120" windowWidth="29040" windowHeight="15990" tabRatio="663" firstSheet="4" activeTab="4" xr2:uid="{00000000-000D-0000-FFFF-FFFF00000000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64" r:id="rId6"/>
    <sheet name="れんたろう" sheetId="6166" r:id="rId7"/>
    <sheet name="たかの" sheetId="6168" r:id="rId8"/>
    <sheet name="ただ" sheetId="6170" r:id="rId9"/>
    <sheet name="だいち" sheetId="6172" r:id="rId10"/>
    <sheet name="りくと" sheetId="6174" r:id="rId11"/>
    <sheet name="わさび" sheetId="6176" r:id="rId12"/>
    <sheet name="まっつん" sheetId="6178" r:id="rId13"/>
    <sheet name="まっつん2" sheetId="6179" state="hidden" r:id="rId14"/>
    <sheet name="わさび2" sheetId="6177" state="hidden" r:id="rId15"/>
    <sheet name="りくと2" sheetId="6175" state="hidden" r:id="rId16"/>
    <sheet name="だいち2" sheetId="6173" state="hidden" r:id="rId17"/>
    <sheet name="ただ2" sheetId="6171" state="hidden" r:id="rId18"/>
    <sheet name="たかの2" sheetId="6169" state="hidden" r:id="rId19"/>
    <sheet name="れんたろう2" sheetId="6167" state="hidden" r:id="rId20"/>
    <sheet name="全体2" sheetId="6165" state="hidden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リーチ率" sheetId="3524" state="hidden" r:id="rId32"/>
    <sheet name="副露率" sheetId="3525" state="hidden" r:id="rId33"/>
    <sheet name="リーチ成功率" sheetId="4841" state="hidden" r:id="rId34"/>
    <sheet name="副露成功率" sheetId="3527" state="hidden" r:id="rId35"/>
    <sheet name="ツモ率" sheetId="3528" state="hidden" r:id="rId36"/>
  </sheets>
  <definedNames>
    <definedName name="アガリ数" localSheetId="3">Template1!$B$20</definedName>
    <definedName name="アガリ数" localSheetId="9">だいち!$B$20</definedName>
    <definedName name="アガリ数" localSheetId="7">たかの!$B$20</definedName>
    <definedName name="アガリ数" localSheetId="8">ただ!$B$20</definedName>
    <definedName name="アガリ数" localSheetId="12">まっつん!$B$20</definedName>
    <definedName name="アガリ数" localSheetId="10">りくと!$B$20</definedName>
    <definedName name="アガリ数" localSheetId="6">れんたろう!$B$20</definedName>
    <definedName name="アガリ数" localSheetId="11">わさび!$B$20</definedName>
    <definedName name="アガリ数" localSheetId="5">全体!$B$20</definedName>
    <definedName name="アガリ率" localSheetId="3">Template1!$C$20</definedName>
    <definedName name="アガリ率" localSheetId="9">だいち!$C$20</definedName>
    <definedName name="アガリ率" localSheetId="7">たかの!$C$20</definedName>
    <definedName name="アガリ率" localSheetId="8">ただ!$C$20</definedName>
    <definedName name="アガリ率" localSheetId="12">まっつん!$C$20</definedName>
    <definedName name="アガリ率" localSheetId="10">りくと!$C$20</definedName>
    <definedName name="アガリ率" localSheetId="6">れんたろう!$C$20</definedName>
    <definedName name="アガリ率" localSheetId="11">わさび!$C$20</definedName>
    <definedName name="アガリ率" localSheetId="5">全体!$C$20</definedName>
    <definedName name="ダマアガリ数" localSheetId="3">Template1!$B$26</definedName>
    <definedName name="ダマアガリ数" localSheetId="9">だいち!$B$26</definedName>
    <definedName name="ダマアガリ数" localSheetId="7">たかの!$B$26</definedName>
    <definedName name="ダマアガリ数" localSheetId="8">ただ!$B$26</definedName>
    <definedName name="ダマアガリ数" localSheetId="12">まっつん!$B$26</definedName>
    <definedName name="ダマアガリ数" localSheetId="10">りくと!$B$26</definedName>
    <definedName name="ダマアガリ数" localSheetId="6">れんたろう!$B$26</definedName>
    <definedName name="ダマアガリ数" localSheetId="11">わさび!$B$26</definedName>
    <definedName name="ダマアガリ数" localSheetId="5">全体!$B$26</definedName>
    <definedName name="ダマアガリ率" localSheetId="3">Template1!$C$26</definedName>
    <definedName name="ダマアガリ率" localSheetId="9">だいち!$C$26</definedName>
    <definedName name="ダマアガリ率" localSheetId="7">たかの!$C$26</definedName>
    <definedName name="ダマアガリ率" localSheetId="8">ただ!$C$26</definedName>
    <definedName name="ダマアガリ率" localSheetId="12">まっつん!$C$26</definedName>
    <definedName name="ダマアガリ率" localSheetId="10">りくと!$C$26</definedName>
    <definedName name="ダマアガリ率" localSheetId="6">れんたろう!$C$26</definedName>
    <definedName name="ダマアガリ率" localSheetId="11">わさび!$C$26</definedName>
    <definedName name="ダマアガリ率" localSheetId="5">全体!$C$26</definedName>
    <definedName name="チョンボ数" localSheetId="3">Template1!$B$35</definedName>
    <definedName name="チョンボ数" localSheetId="9">だいち!$B$35</definedName>
    <definedName name="チョンボ数" localSheetId="7">たかの!$B$35</definedName>
    <definedName name="チョンボ数" localSheetId="8">ただ!$B$35</definedName>
    <definedName name="チョンボ数" localSheetId="12">まっつん!$B$35</definedName>
    <definedName name="チョンボ数" localSheetId="10">りくと!$B$35</definedName>
    <definedName name="チョンボ数" localSheetId="6">れんたろう!$B$35</definedName>
    <definedName name="チョンボ数" localSheetId="11">わさび!$B$35</definedName>
    <definedName name="チョンボ数" localSheetId="5">全体!$B$35</definedName>
    <definedName name="チョンボ率" localSheetId="3">Template1!$C$35</definedName>
    <definedName name="チョンボ率" localSheetId="9">だいち!$C$35</definedName>
    <definedName name="チョンボ率" localSheetId="7">たかの!$C$35</definedName>
    <definedName name="チョンボ率" localSheetId="8">ただ!$C$35</definedName>
    <definedName name="チョンボ率" localSheetId="12">まっつん!$C$35</definedName>
    <definedName name="チョンボ率" localSheetId="10">りくと!$C$35</definedName>
    <definedName name="チョンボ率" localSheetId="6">れんたろう!$C$35</definedName>
    <definedName name="チョンボ率" localSheetId="11">わさび!$C$35</definedName>
    <definedName name="チョンボ率" localSheetId="5">全体!$C$35</definedName>
    <definedName name="ツモ数" localSheetId="3">Template1!$B$22</definedName>
    <definedName name="ツモ数" localSheetId="9">だいち!$B$22</definedName>
    <definedName name="ツモ数" localSheetId="7">たかの!$B$22</definedName>
    <definedName name="ツモ数" localSheetId="8">ただ!$B$22</definedName>
    <definedName name="ツモ数" localSheetId="12">まっつん!$B$22</definedName>
    <definedName name="ツモ数" localSheetId="10">りくと!$B$22</definedName>
    <definedName name="ツモ数" localSheetId="6">れんたろう!$B$22</definedName>
    <definedName name="ツモ数" localSheetId="11">わさび!$B$22</definedName>
    <definedName name="ツモ数" localSheetId="5">全体!$B$22</definedName>
    <definedName name="ツモ率" localSheetId="3">Template1!$C$22</definedName>
    <definedName name="ツモ率" localSheetId="9">だいち!$C$22</definedName>
    <definedName name="ツモ率" localSheetId="7">たかの!$C$22</definedName>
    <definedName name="ツモ率" localSheetId="8">ただ!$C$22</definedName>
    <definedName name="ツモ率" localSheetId="12">まっつん!$C$22</definedName>
    <definedName name="ツモ率" localSheetId="10">りくと!$C$22</definedName>
    <definedName name="ツモ率" localSheetId="6">れんたろう!$C$22</definedName>
    <definedName name="ツモ率" localSheetId="11">わさび!$C$22</definedName>
    <definedName name="ツモ率" localSheetId="5">全体!$C$22</definedName>
    <definedName name="トップ数" localSheetId="3">Template1!$B$8</definedName>
    <definedName name="トップ数" localSheetId="9">だいち!$B$8</definedName>
    <definedName name="トップ数" localSheetId="7">たかの!$B$8</definedName>
    <definedName name="トップ数" localSheetId="8">ただ!$B$8</definedName>
    <definedName name="トップ数" localSheetId="12">まっつん!$B$8</definedName>
    <definedName name="トップ数" localSheetId="10">りくと!$B$8</definedName>
    <definedName name="トップ数" localSheetId="6">れんたろう!$B$8</definedName>
    <definedName name="トップ数" localSheetId="11">わさび!$B$8</definedName>
    <definedName name="トップ数" localSheetId="5">全体!$B$8</definedName>
    <definedName name="トップ率" localSheetId="3">Template1!$C$8</definedName>
    <definedName name="トップ率" localSheetId="9">だいち!$C$8</definedName>
    <definedName name="トップ率" localSheetId="7">たかの!$C$8</definedName>
    <definedName name="トップ率" localSheetId="8">ただ!$C$8</definedName>
    <definedName name="トップ率" localSheetId="12">まっつん!$C$8</definedName>
    <definedName name="トップ率" localSheetId="10">りくと!$C$8</definedName>
    <definedName name="トップ率" localSheetId="6">れんたろう!$C$8</definedName>
    <definedName name="トップ率" localSheetId="11">わさび!$C$8</definedName>
    <definedName name="トップ率" localSheetId="5">全体!$C$8</definedName>
    <definedName name="バランス" localSheetId="9">だいち!$B$14</definedName>
    <definedName name="バランス" localSheetId="7">たかの!$B$14</definedName>
    <definedName name="バランス" localSheetId="8">ただ!$B$14</definedName>
    <definedName name="バランス" localSheetId="12">まっつん!$B$14</definedName>
    <definedName name="バランス" localSheetId="10">りくと!$B$14</definedName>
    <definedName name="バランス" localSheetId="6">れんたろう!$B$14</definedName>
    <definedName name="バランス" localSheetId="11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9">だいち!$B$15</definedName>
    <definedName name="ふっとび数" localSheetId="7">たかの!$B$15</definedName>
    <definedName name="ふっとび数" localSheetId="8">ただ!$B$15</definedName>
    <definedName name="ふっとび数" localSheetId="12">まっつん!$B$15</definedName>
    <definedName name="ふっとび数" localSheetId="10">りくと!$B$15</definedName>
    <definedName name="ふっとび数" localSheetId="6">れんたろう!$B$15</definedName>
    <definedName name="ふっとび数" localSheetId="11">わさび!$B$15</definedName>
    <definedName name="ふっとび数" localSheetId="5">全体!$B$15</definedName>
    <definedName name="ふっとび率" localSheetId="3">Template1!$C$15</definedName>
    <definedName name="ふっとび率" localSheetId="9">だいち!$C$15</definedName>
    <definedName name="ふっとび率" localSheetId="7">たかの!$C$15</definedName>
    <definedName name="ふっとび率" localSheetId="8">ただ!$C$15</definedName>
    <definedName name="ふっとび率" localSheetId="12">まっつん!$C$15</definedName>
    <definedName name="ふっとび率" localSheetId="10">りくと!$C$15</definedName>
    <definedName name="ふっとび率" localSheetId="6">れんたろう!$C$15</definedName>
    <definedName name="ふっとび率" localSheetId="11">わさび!$C$15</definedName>
    <definedName name="ふっとび率" localSheetId="5">全体!$C$15</definedName>
    <definedName name="ラス数" localSheetId="3">Template1!$B$10</definedName>
    <definedName name="ラス数" localSheetId="9">だいち!$B$10</definedName>
    <definedName name="ラス数" localSheetId="7">たかの!$B$10</definedName>
    <definedName name="ラス数" localSheetId="8">ただ!$B$10</definedName>
    <definedName name="ラス数" localSheetId="12">まっつん!$B$10</definedName>
    <definedName name="ラス数" localSheetId="10">りくと!$B$10</definedName>
    <definedName name="ラス数" localSheetId="6">れんたろう!$B$10</definedName>
    <definedName name="ラス数" localSheetId="11">わさび!$B$10</definedName>
    <definedName name="ラス数" localSheetId="5">全体!$B$10</definedName>
    <definedName name="ラス率" localSheetId="3">Template1!$C$10</definedName>
    <definedName name="ラス率" localSheetId="9">だいち!$C$10</definedName>
    <definedName name="ラス率" localSheetId="7">たかの!$C$10</definedName>
    <definedName name="ラス率" localSheetId="8">ただ!$C$10</definedName>
    <definedName name="ラス率" localSheetId="12">まっつん!$C$10</definedName>
    <definedName name="ラス率" localSheetId="10">りくと!$C$10</definedName>
    <definedName name="ラス率" localSheetId="6">れんたろう!$C$10</definedName>
    <definedName name="ラス率" localSheetId="11">わさび!$C$10</definedName>
    <definedName name="ラス率" localSheetId="5">全体!$C$10</definedName>
    <definedName name="リーチアガリ数" localSheetId="3">Template1!$B$24</definedName>
    <definedName name="リーチアガリ数" localSheetId="9">だいち!$B$24</definedName>
    <definedName name="リーチアガリ数" localSheetId="7">たかの!$B$24</definedName>
    <definedName name="リーチアガリ数" localSheetId="8">ただ!$B$24</definedName>
    <definedName name="リーチアガリ数" localSheetId="12">まっつん!$B$24</definedName>
    <definedName name="リーチアガリ数" localSheetId="10">りくと!$B$24</definedName>
    <definedName name="リーチアガリ数" localSheetId="6">れんたろう!$B$24</definedName>
    <definedName name="リーチアガリ数" localSheetId="11">わさび!$B$24</definedName>
    <definedName name="リーチアガリ数" localSheetId="5">全体!$B$24</definedName>
    <definedName name="リーチアガリ率" localSheetId="3">Template1!$C$24</definedName>
    <definedName name="リーチアガリ率" localSheetId="9">だいち!$C$24</definedName>
    <definedName name="リーチアガリ率" localSheetId="7">たかの!$C$24</definedName>
    <definedName name="リーチアガリ率" localSheetId="8">ただ!$C$24</definedName>
    <definedName name="リーチアガリ率" localSheetId="12">まっつん!$C$24</definedName>
    <definedName name="リーチアガリ率" localSheetId="10">りくと!$C$24</definedName>
    <definedName name="リーチアガリ率" localSheetId="6">れんたろう!$C$24</definedName>
    <definedName name="リーチアガリ率" localSheetId="11">わさび!$C$24</definedName>
    <definedName name="リーチアガリ率" localSheetId="5">全体!$C$24</definedName>
    <definedName name="リーチ数" localSheetId="3">Template1!$B$16</definedName>
    <definedName name="リーチ数" localSheetId="9">だいち!$B$16</definedName>
    <definedName name="リーチ数" localSheetId="7">たかの!$B$16</definedName>
    <definedName name="リーチ数" localSheetId="8">ただ!$B$16</definedName>
    <definedName name="リーチ数" localSheetId="12">まっつん!$B$16</definedName>
    <definedName name="リーチ数" localSheetId="10">りくと!$B$16</definedName>
    <definedName name="リーチ数" localSheetId="6">れんたろう!$B$16</definedName>
    <definedName name="リーチ数" localSheetId="11">わさび!$B$16</definedName>
    <definedName name="リーチ数" localSheetId="5">全体!$B$16</definedName>
    <definedName name="リーチ成功数" localSheetId="3">Template1!$B$18</definedName>
    <definedName name="リーチ成功数" localSheetId="9">だいち!$B$18</definedName>
    <definedName name="リーチ成功数" localSheetId="7">たかの!$B$18</definedName>
    <definedName name="リーチ成功数" localSheetId="8">ただ!$B$18</definedName>
    <definedName name="リーチ成功数" localSheetId="12">まっつん!$B$18</definedName>
    <definedName name="リーチ成功数" localSheetId="10">りくと!$B$18</definedName>
    <definedName name="リーチ成功数" localSheetId="6">れんたろう!$B$18</definedName>
    <definedName name="リーチ成功数" localSheetId="11">わさび!$B$18</definedName>
    <definedName name="リーチ成功数" localSheetId="5">全体!$B$18</definedName>
    <definedName name="リーチ成功率" localSheetId="3">Template1!$C$18</definedName>
    <definedName name="リーチ成功率" localSheetId="9">だいち!$C$18</definedName>
    <definedName name="リーチ成功率" localSheetId="7">たかの!$C$18</definedName>
    <definedName name="リーチ成功率" localSheetId="8">ただ!$C$18</definedName>
    <definedName name="リーチ成功率" localSheetId="12">まっつん!$C$18</definedName>
    <definedName name="リーチ成功率" localSheetId="10">りくと!$C$18</definedName>
    <definedName name="リーチ成功率" localSheetId="6">れんたろう!$C$18</definedName>
    <definedName name="リーチ成功率" localSheetId="11">わさび!$C$18</definedName>
    <definedName name="リーチ成功率" localSheetId="5">全体!$C$18</definedName>
    <definedName name="リーチ率" localSheetId="3">Template1!$C$16</definedName>
    <definedName name="リーチ率" localSheetId="9">だいち!$C$16</definedName>
    <definedName name="リーチ率" localSheetId="7">たかの!$C$16</definedName>
    <definedName name="リーチ率" localSheetId="8">ただ!$C$16</definedName>
    <definedName name="リーチ率" localSheetId="12">まっつん!$C$16</definedName>
    <definedName name="リーチ率" localSheetId="10">りくと!$C$16</definedName>
    <definedName name="リーチ率" localSheetId="6">れんたろう!$C$16</definedName>
    <definedName name="リーチ率" localSheetId="11">わさび!$C$16</definedName>
    <definedName name="リーチ率" localSheetId="5">全体!$C$16</definedName>
    <definedName name="レーティング" localSheetId="9">だいち!$B$6</definedName>
    <definedName name="レーティング" localSheetId="7">たかの!$B$6</definedName>
    <definedName name="レーティング" localSheetId="8">ただ!$B$6</definedName>
    <definedName name="レーティング" localSheetId="12">まっつん!$B$6</definedName>
    <definedName name="レーティング" localSheetId="10">りくと!$B$6</definedName>
    <definedName name="レーティング" localSheetId="6">れんたろう!$B$6</definedName>
    <definedName name="レーティング" localSheetId="11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9">だいち!$B$23</definedName>
    <definedName name="ロン数" localSheetId="7">たかの!$B$23</definedName>
    <definedName name="ロン数" localSheetId="8">ただ!$B$23</definedName>
    <definedName name="ロン数" localSheetId="12">まっつん!$B$23</definedName>
    <definedName name="ロン数" localSheetId="10">りくと!$B$23</definedName>
    <definedName name="ロン数" localSheetId="6">れんたろう!$B$23</definedName>
    <definedName name="ロン数" localSheetId="11">わさび!$B$23</definedName>
    <definedName name="ロン数" localSheetId="5">全体!$B$23</definedName>
    <definedName name="ロン率" localSheetId="3">Template1!$C$23</definedName>
    <definedName name="ロン率" localSheetId="9">だいち!$C$23</definedName>
    <definedName name="ロン率" localSheetId="7">たかの!$C$23</definedName>
    <definedName name="ロン率" localSheetId="8">ただ!$C$23</definedName>
    <definedName name="ロン率" localSheetId="12">まっつん!$C$23</definedName>
    <definedName name="ロン率" localSheetId="10">りくと!$C$23</definedName>
    <definedName name="ロン率" localSheetId="6">れんたろう!$C$23</definedName>
    <definedName name="ロン率" localSheetId="11">わさび!$C$23</definedName>
    <definedName name="ロン率" localSheetId="5">全体!$C$23</definedName>
    <definedName name="一位スコア" localSheetId="9">だいち!$B$11</definedName>
    <definedName name="一位スコア" localSheetId="7">たかの!$B$11</definedName>
    <definedName name="一位スコア" localSheetId="8">ただ!$B$11</definedName>
    <definedName name="一位スコア" localSheetId="12">まっつん!$B$11</definedName>
    <definedName name="一位スコア" localSheetId="10">りくと!$B$11</definedName>
    <definedName name="一位スコア" localSheetId="6">れんたろう!$B$11</definedName>
    <definedName name="一位スコア" localSheetId="11">わさび!$B$11</definedName>
    <definedName name="一位スコア" localSheetId="5">全体!$B$11</definedName>
    <definedName name="一位スコア">Template1!$B$11</definedName>
    <definedName name="一位通算スコア" localSheetId="9">だいち!$C$11</definedName>
    <definedName name="一位通算スコア" localSheetId="7">たかの!$C$11</definedName>
    <definedName name="一位通算スコア" localSheetId="8">ただ!$C$11</definedName>
    <definedName name="一位通算スコア" localSheetId="12">まっつん!$C$11</definedName>
    <definedName name="一位通算スコア" localSheetId="10">りくと!$C$11</definedName>
    <definedName name="一位通算スコア" localSheetId="6">れんたろう!$C$11</definedName>
    <definedName name="一位通算スコア" localSheetId="11">わさび!$C$11</definedName>
    <definedName name="一位通算スコア" localSheetId="5">全体!$C$11</definedName>
    <definedName name="一位通算スコア">Template1!$C$11</definedName>
    <definedName name="一翻数" localSheetId="9">だいち!$B$37</definedName>
    <definedName name="一翻数" localSheetId="7">たかの!$B$37</definedName>
    <definedName name="一翻数" localSheetId="8">ただ!$B$37</definedName>
    <definedName name="一翻数" localSheetId="12">まっつん!$B$37</definedName>
    <definedName name="一翻数" localSheetId="10">りくと!$B$37</definedName>
    <definedName name="一翻数" localSheetId="6">れんたろう!$B$37</definedName>
    <definedName name="一翻数" localSheetId="11">わさび!$B$37</definedName>
    <definedName name="一翻数" localSheetId="5">全体!$B$37</definedName>
    <definedName name="一翻数">Template1!$B$37</definedName>
    <definedName name="一翻率" localSheetId="9">だいち!$C$37</definedName>
    <definedName name="一翻率" localSheetId="7">たかの!$C$37</definedName>
    <definedName name="一翻率" localSheetId="8">ただ!$C$37</definedName>
    <definedName name="一翻率" localSheetId="12">まっつん!$C$37</definedName>
    <definedName name="一翻率" localSheetId="10">りくと!$C$37</definedName>
    <definedName name="一翻率" localSheetId="6">れんたろう!$C$37</definedName>
    <definedName name="一翻率" localSheetId="11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9">だいち!$C$31</definedName>
    <definedName name="現行連続アガリ" localSheetId="7">たかの!$C$31</definedName>
    <definedName name="現行連続アガリ" localSheetId="8">ただ!$C$31</definedName>
    <definedName name="現行連続アガリ" localSheetId="12">まっつん!$C$31</definedName>
    <definedName name="現行連続アガリ" localSheetId="10">りくと!$C$31</definedName>
    <definedName name="現行連続アガリ" localSheetId="6">れんたろう!$C$31</definedName>
    <definedName name="現行連続アガリ" localSheetId="11">わさび!$C$31</definedName>
    <definedName name="現行連続アガリ" localSheetId="5">全体!$C$31</definedName>
    <definedName name="現行連続無放銃" localSheetId="3">Template1!$C$32</definedName>
    <definedName name="現行連続無放銃" localSheetId="9">だいち!$C$32</definedName>
    <definedName name="現行連続無放銃" localSheetId="7">たかの!$C$32</definedName>
    <definedName name="現行連続無放銃" localSheetId="8">ただ!$C$32</definedName>
    <definedName name="現行連続無放銃" localSheetId="12">まっつん!$C$32</definedName>
    <definedName name="現行連続無放銃" localSheetId="10">りくと!$C$32</definedName>
    <definedName name="現行連続無放銃" localSheetId="6">れんたろう!$C$32</definedName>
    <definedName name="現行連続無放銃" localSheetId="11">わさび!$C$32</definedName>
    <definedName name="現行連続無放銃" localSheetId="5">全体!$C$32</definedName>
    <definedName name="最高点" localSheetId="3">Template1!$B$34</definedName>
    <definedName name="最高点" localSheetId="9">だいち!$B$34</definedName>
    <definedName name="最高点" localSheetId="7">たかの!$B$34</definedName>
    <definedName name="最高点" localSheetId="8">ただ!$B$34</definedName>
    <definedName name="最高点" localSheetId="12">まっつん!$B$34</definedName>
    <definedName name="最高点" localSheetId="10">りくと!$B$34</definedName>
    <definedName name="最高点" localSheetId="6">れんたろう!$B$34</definedName>
    <definedName name="最高点" localSheetId="11">わさび!$B$34</definedName>
    <definedName name="最高点" localSheetId="5">全体!$B$34</definedName>
    <definedName name="最大ドラ数" localSheetId="3">Template1!$B$33</definedName>
    <definedName name="最大ドラ数" localSheetId="9">だいち!$B$33</definedName>
    <definedName name="最大ドラ数" localSheetId="7">たかの!$B$33</definedName>
    <definedName name="最大ドラ数" localSheetId="8">ただ!$B$33</definedName>
    <definedName name="最大ドラ数" localSheetId="12">まっつん!$B$33</definedName>
    <definedName name="最大ドラ数" localSheetId="10">りくと!$B$33</definedName>
    <definedName name="最大ドラ数" localSheetId="6">れんたろう!$B$33</definedName>
    <definedName name="最大ドラ数" localSheetId="11">わさび!$B$33</definedName>
    <definedName name="最大ドラ数" localSheetId="5">全体!$B$33</definedName>
    <definedName name="最大点数" localSheetId="3">Template1!$B$34</definedName>
    <definedName name="最大点数" localSheetId="9">だいち!$B$34</definedName>
    <definedName name="最大点数" localSheetId="7">たかの!$B$34</definedName>
    <definedName name="最大点数" localSheetId="8">ただ!$B$34</definedName>
    <definedName name="最大点数" localSheetId="12">まっつん!$B$34</definedName>
    <definedName name="最大点数" localSheetId="10">りくと!$B$34</definedName>
    <definedName name="最大点数" localSheetId="6">れんたろう!$B$34</definedName>
    <definedName name="最大点数" localSheetId="11">わさび!$B$34</definedName>
    <definedName name="最大点数" localSheetId="5">全体!$B$34</definedName>
    <definedName name="三位スコア" localSheetId="9">だいち!$B$13</definedName>
    <definedName name="三位スコア" localSheetId="7">たかの!$B$13</definedName>
    <definedName name="三位スコア" localSheetId="8">ただ!$B$13</definedName>
    <definedName name="三位スコア" localSheetId="12">まっつん!$B$13</definedName>
    <definedName name="三位スコア" localSheetId="10">りくと!$B$13</definedName>
    <definedName name="三位スコア" localSheetId="6">れんたろう!$B$13</definedName>
    <definedName name="三位スコア" localSheetId="11">わさび!$B$13</definedName>
    <definedName name="三位スコア" localSheetId="5">全体!$B$13</definedName>
    <definedName name="三位スコア">Template1!$B$13</definedName>
    <definedName name="三位通算スコア" localSheetId="9">だいち!$C$13</definedName>
    <definedName name="三位通算スコア" localSheetId="7">たかの!$C$13</definedName>
    <definedName name="三位通算スコア" localSheetId="8">ただ!$C$13</definedName>
    <definedName name="三位通算スコア" localSheetId="12">まっつん!$C$13</definedName>
    <definedName name="三位通算スコア" localSheetId="10">りくと!$C$13</definedName>
    <definedName name="三位通算スコア" localSheetId="6">れんたろう!$C$13</definedName>
    <definedName name="三位通算スコア" localSheetId="11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9">だいち!$B$3</definedName>
    <definedName name="総局数" localSheetId="7">たかの!$B$3</definedName>
    <definedName name="総局数" localSheetId="8">ただ!$B$3</definedName>
    <definedName name="総局数" localSheetId="12">まっつん!$B$3</definedName>
    <definedName name="総局数" localSheetId="10">りくと!$B$3</definedName>
    <definedName name="総局数" localSheetId="6">れんたろう!$B$3</definedName>
    <definedName name="総局数" localSheetId="11">わさび!$B$3</definedName>
    <definedName name="総局数" localSheetId="5">全体!$B$3</definedName>
    <definedName name="対戦数" localSheetId="3">Template1!$B$2</definedName>
    <definedName name="対戦数" localSheetId="9">だいち!$B$2</definedName>
    <definedName name="対戦数" localSheetId="7">たかの!$B$2</definedName>
    <definedName name="対戦数" localSheetId="8">ただ!$B$2</definedName>
    <definedName name="対戦数" localSheetId="12">まっつん!$B$2</definedName>
    <definedName name="対戦数" localSheetId="10">りくと!$B$2</definedName>
    <definedName name="対戦数" localSheetId="6">れんたろう!$B$2</definedName>
    <definedName name="対戦数" localSheetId="11">わさび!$B$2</definedName>
    <definedName name="対戦数" localSheetId="5">全体!$B$2</definedName>
    <definedName name="通算アガリ点" localSheetId="3">Template1!$C$27</definedName>
    <definedName name="通算アガリ点" localSheetId="9">だいち!$C$27</definedName>
    <definedName name="通算アガリ点" localSheetId="7">たかの!$C$27</definedName>
    <definedName name="通算アガリ点" localSheetId="8">ただ!$C$27</definedName>
    <definedName name="通算アガリ点" localSheetId="12">まっつん!$C$27</definedName>
    <definedName name="通算アガリ点" localSheetId="10">りくと!$C$27</definedName>
    <definedName name="通算アガリ点" localSheetId="6">れんたろう!$C$27</definedName>
    <definedName name="通算アガリ点" localSheetId="11">わさび!$C$27</definedName>
    <definedName name="通算アガリ点" localSheetId="5">全体!$C$27</definedName>
    <definedName name="通算スコア" localSheetId="3">Template1!$B$4</definedName>
    <definedName name="通算スコア" localSheetId="9">だいち!$B$4</definedName>
    <definedName name="通算スコア" localSheetId="7">たかの!$B$4</definedName>
    <definedName name="通算スコア" localSheetId="8">ただ!$B$4</definedName>
    <definedName name="通算スコア" localSheetId="12">まっつん!$B$4</definedName>
    <definedName name="通算スコア" localSheetId="10">りくと!$B$4</definedName>
    <definedName name="通算スコア" localSheetId="6">れんたろう!$B$4</definedName>
    <definedName name="通算スコア" localSheetId="11">わさび!$B$4</definedName>
    <definedName name="通算スコア" localSheetId="5">全体!$B$4</definedName>
    <definedName name="通算副露アガリ点" localSheetId="3">Template1!$C$29</definedName>
    <definedName name="通算副露アガリ点" localSheetId="9">だいち!$C$29</definedName>
    <definedName name="通算副露アガリ点" localSheetId="7">たかの!$C$29</definedName>
    <definedName name="通算副露アガリ点" localSheetId="8">ただ!$C$29</definedName>
    <definedName name="通算副露アガリ点" localSheetId="12">まっつん!$C$29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11">わさび!$C$29</definedName>
    <definedName name="通算副露アガリ点" localSheetId="5">全体!$C$29</definedName>
    <definedName name="通算放銃点" localSheetId="3">Template1!$C$30</definedName>
    <definedName name="通算放銃点" localSheetId="9">だいち!$C$30</definedName>
    <definedName name="通算放銃点" localSheetId="7">たかの!$C$30</definedName>
    <definedName name="通算放銃点" localSheetId="8">ただ!$C$30</definedName>
    <definedName name="通算放銃点" localSheetId="12">まっつん!$C$30</definedName>
    <definedName name="通算放銃点" localSheetId="10">りくと!$C$30</definedName>
    <definedName name="通算放銃点" localSheetId="6">れんたろう!$C$30</definedName>
    <definedName name="通算放銃点" localSheetId="11">わさび!$C$30</definedName>
    <definedName name="通算放銃点" localSheetId="5">全体!$C$30</definedName>
    <definedName name="通算門前アガリ点" localSheetId="3">Template1!$C$28</definedName>
    <definedName name="通算門前アガリ点" localSheetId="9">だいち!$C$28</definedName>
    <definedName name="通算門前アガリ点" localSheetId="7">たかの!$C$28</definedName>
    <definedName name="通算門前アガリ点" localSheetId="8">ただ!$C$28</definedName>
    <definedName name="通算門前アガリ点" localSheetId="12">まっつん!$C$28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11">わさび!$C$28</definedName>
    <definedName name="通算門前アガリ点" localSheetId="5">全体!$C$28</definedName>
    <definedName name="二位スコア" localSheetId="9">だいち!$B$12</definedName>
    <definedName name="二位スコア" localSheetId="7">たかの!$B$12</definedName>
    <definedName name="二位スコア" localSheetId="8">ただ!$B$12</definedName>
    <definedName name="二位スコア" localSheetId="12">まっつん!$B$12</definedName>
    <definedName name="二位スコア" localSheetId="10">りくと!$B$12</definedName>
    <definedName name="二位スコア" localSheetId="6">れんたろう!$B$12</definedName>
    <definedName name="二位スコア" localSheetId="11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9">だいち!$B$9</definedName>
    <definedName name="二位数" localSheetId="7">たかの!$B$9</definedName>
    <definedName name="二位数" localSheetId="8">ただ!$B$9</definedName>
    <definedName name="二位数" localSheetId="12">まっつん!$B$9</definedName>
    <definedName name="二位数" localSheetId="10">りくと!$B$9</definedName>
    <definedName name="二位数" localSheetId="6">れんたろう!$B$9</definedName>
    <definedName name="二位数" localSheetId="11">わさび!$B$9</definedName>
    <definedName name="二位数" localSheetId="5">全体!$B$9</definedName>
    <definedName name="二位通算スコア" localSheetId="9">だいち!$C$12</definedName>
    <definedName name="二位通算スコア" localSheetId="7">たかの!$C$12</definedName>
    <definedName name="二位通算スコア" localSheetId="8">ただ!$C$12</definedName>
    <definedName name="二位通算スコア" localSheetId="12">まっつん!$C$12</definedName>
    <definedName name="二位通算スコア" localSheetId="10">りくと!$C$12</definedName>
    <definedName name="二位通算スコア" localSheetId="6">れんたろう!$C$12</definedName>
    <definedName name="二位通算スコア" localSheetId="11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9">だいち!$C$9</definedName>
    <definedName name="二位率" localSheetId="7">たかの!$C$9</definedName>
    <definedName name="二位率" localSheetId="8">ただ!$C$9</definedName>
    <definedName name="二位率" localSheetId="12">まっつん!$C$9</definedName>
    <definedName name="二位率" localSheetId="10">りくと!$C$9</definedName>
    <definedName name="二位率" localSheetId="6">れんたろう!$C$9</definedName>
    <definedName name="二位率" localSheetId="11">わさび!$C$9</definedName>
    <definedName name="二位率" localSheetId="5">全体!$C$9</definedName>
    <definedName name="副露アガリ数" localSheetId="3">Template1!$B$25</definedName>
    <definedName name="副露アガリ数" localSheetId="9">だいち!$B$25</definedName>
    <definedName name="副露アガリ数" localSheetId="7">たかの!$B$25</definedName>
    <definedName name="副露アガリ数" localSheetId="8">ただ!$B$25</definedName>
    <definedName name="副露アガリ数" localSheetId="12">まっつん!$B$25</definedName>
    <definedName name="副露アガリ数" localSheetId="10">りくと!$B$25</definedName>
    <definedName name="副露アガリ数" localSheetId="6">れんたろう!$B$25</definedName>
    <definedName name="副露アガリ数" localSheetId="11">わさび!$B$25</definedName>
    <definedName name="副露アガリ数" localSheetId="5">全体!$B$25</definedName>
    <definedName name="副露アガリ点" localSheetId="3">Template1!$B$29</definedName>
    <definedName name="副露アガリ点" localSheetId="9">だいち!$B$29</definedName>
    <definedName name="副露アガリ点" localSheetId="7">たかの!$B$29</definedName>
    <definedName name="副露アガリ点" localSheetId="8">ただ!$B$29</definedName>
    <definedName name="副露アガリ点" localSheetId="12">まっつん!$B$29</definedName>
    <definedName name="副露アガリ点" localSheetId="10">りくと!$B$29</definedName>
    <definedName name="副露アガリ点" localSheetId="6">れんたろう!$B$29</definedName>
    <definedName name="副露アガリ点" localSheetId="11">わさび!$B$29</definedName>
    <definedName name="副露アガリ点" localSheetId="5">全体!$B$29</definedName>
    <definedName name="副露アガリ率" localSheetId="3">Template1!$C$25</definedName>
    <definedName name="副露アガリ率" localSheetId="9">だいち!$C$25</definedName>
    <definedName name="副露アガリ率" localSheetId="7">たかの!$C$25</definedName>
    <definedName name="副露アガリ率" localSheetId="8">ただ!$C$25</definedName>
    <definedName name="副露アガリ率" localSheetId="12">まっつん!$C$25</definedName>
    <definedName name="副露アガリ率" localSheetId="10">りくと!$C$25</definedName>
    <definedName name="副露アガリ率" localSheetId="6">れんたろう!$C$25</definedName>
    <definedName name="副露アガリ率" localSheetId="11">わさび!$C$25</definedName>
    <definedName name="副露アガリ率" localSheetId="5">全体!$C$25</definedName>
    <definedName name="副露数" localSheetId="3">Template1!$B$17</definedName>
    <definedName name="副露数" localSheetId="9">だいち!$B$17</definedName>
    <definedName name="副露数" localSheetId="7">たかの!$B$17</definedName>
    <definedName name="副露数" localSheetId="8">ただ!$B$17</definedName>
    <definedName name="副露数" localSheetId="12">まっつん!$B$17</definedName>
    <definedName name="副露数" localSheetId="10">りくと!$B$17</definedName>
    <definedName name="副露数" localSheetId="6">れんたろう!$B$17</definedName>
    <definedName name="副露数" localSheetId="11">わさび!$B$17</definedName>
    <definedName name="副露数" localSheetId="5">全体!$B$17</definedName>
    <definedName name="副露成功数" localSheetId="3">Template1!$B$19</definedName>
    <definedName name="副露成功数" localSheetId="9">だいち!$B$19</definedName>
    <definedName name="副露成功数" localSheetId="7">たかの!$B$19</definedName>
    <definedName name="副露成功数" localSheetId="8">ただ!$B$19</definedName>
    <definedName name="副露成功数" localSheetId="12">まっつん!$B$19</definedName>
    <definedName name="副露成功数" localSheetId="10">りくと!$B$19</definedName>
    <definedName name="副露成功数" localSheetId="6">れんたろう!$B$19</definedName>
    <definedName name="副露成功数" localSheetId="11">わさび!$B$19</definedName>
    <definedName name="副露成功数" localSheetId="5">全体!$B$19</definedName>
    <definedName name="副露成功率" localSheetId="3">Template1!$C$19</definedName>
    <definedName name="副露成功率" localSheetId="9">だいち!$C$19</definedName>
    <definedName name="副露成功率" localSheetId="7">たかの!$C$19</definedName>
    <definedName name="副露成功率" localSheetId="8">ただ!$C$19</definedName>
    <definedName name="副露成功率" localSheetId="12">まっつん!$C$19</definedName>
    <definedName name="副露成功率" localSheetId="10">りくと!$C$19</definedName>
    <definedName name="副露成功率" localSheetId="6">れんたろう!$C$19</definedName>
    <definedName name="副露成功率" localSheetId="11">わさび!$C$19</definedName>
    <definedName name="副露成功率" localSheetId="5">全体!$C$19</definedName>
    <definedName name="副露率" localSheetId="3">Template1!$C$17</definedName>
    <definedName name="副露率" localSheetId="9">だいち!$C$17</definedName>
    <definedName name="副露率" localSheetId="7">たかの!$C$17</definedName>
    <definedName name="副露率" localSheetId="8">ただ!$C$17</definedName>
    <definedName name="副露率" localSheetId="12">まっつん!$C$17</definedName>
    <definedName name="副露率" localSheetId="10">りくと!$C$17</definedName>
    <definedName name="副露率" localSheetId="6">れんたろう!$C$17</definedName>
    <definedName name="副露率" localSheetId="11">わさび!$C$17</definedName>
    <definedName name="副露率" localSheetId="5">全体!$C$17</definedName>
    <definedName name="平均アガリ点" localSheetId="3">Template1!$B$27</definedName>
    <definedName name="平均アガリ点" localSheetId="9">だいち!$B$27</definedName>
    <definedName name="平均アガリ点" localSheetId="7">たかの!$B$27</definedName>
    <definedName name="平均アガリ点" localSheetId="8">ただ!$B$27</definedName>
    <definedName name="平均アガリ点" localSheetId="12">まっつん!$B$27</definedName>
    <definedName name="平均アガリ点" localSheetId="10">りくと!$B$27</definedName>
    <definedName name="平均アガリ点" localSheetId="6">れんたろう!$B$27</definedName>
    <definedName name="平均アガリ点" localSheetId="11">わさび!$B$27</definedName>
    <definedName name="平均アガリ点" localSheetId="5">全体!$B$27</definedName>
    <definedName name="平均スコア" localSheetId="3">Template1!$B$5</definedName>
    <definedName name="平均スコア" localSheetId="9">だいち!$B$5</definedName>
    <definedName name="平均スコア" localSheetId="7">たかの!$B$5</definedName>
    <definedName name="平均スコア" localSheetId="8">ただ!$B$5</definedName>
    <definedName name="平均スコア" localSheetId="12">まっつん!$B$5</definedName>
    <definedName name="平均スコア" localSheetId="10">りくと!$B$5</definedName>
    <definedName name="平均スコア" localSheetId="6">れんたろう!$B$5</definedName>
    <definedName name="平均スコア" localSheetId="11">わさび!$B$5</definedName>
    <definedName name="平均スコア" localSheetId="5">全体!$B$5</definedName>
    <definedName name="平均順位" localSheetId="3">Template1!$B$7</definedName>
    <definedName name="平均順位" localSheetId="9">だいち!$B$7</definedName>
    <definedName name="平均順位" localSheetId="7">たかの!$B$7</definedName>
    <definedName name="平均順位" localSheetId="8">ただ!$B$7</definedName>
    <definedName name="平均順位" localSheetId="12">まっつん!$B$7</definedName>
    <definedName name="平均順位" localSheetId="10">りくと!$B$7</definedName>
    <definedName name="平均順位" localSheetId="6">れんたろう!$B$7</definedName>
    <definedName name="平均順位" localSheetId="11">わさび!$B$7</definedName>
    <definedName name="平均順位" localSheetId="5">全体!$B$7</definedName>
    <definedName name="平均放銃点" localSheetId="3">Template1!$B$30</definedName>
    <definedName name="平均放銃点" localSheetId="9">だいち!$B$30</definedName>
    <definedName name="平均放銃点" localSheetId="7">たかの!$B$30</definedName>
    <definedName name="平均放銃点" localSheetId="8">ただ!$B$30</definedName>
    <definedName name="平均放銃点" localSheetId="12">まっつん!$B$30</definedName>
    <definedName name="平均放銃点" localSheetId="10">りくと!$B$30</definedName>
    <definedName name="平均放銃点" localSheetId="6">れんたろう!$B$30</definedName>
    <definedName name="平均放銃点" localSheetId="11">わさび!$B$30</definedName>
    <definedName name="平均放銃点" localSheetId="5">全体!$B$30</definedName>
    <definedName name="放銃数" localSheetId="3">Template1!$B$21</definedName>
    <definedName name="放銃数" localSheetId="9">だいち!$B$21</definedName>
    <definedName name="放銃数" localSheetId="7">たかの!$B$21</definedName>
    <definedName name="放銃数" localSheetId="8">ただ!$B$21</definedName>
    <definedName name="放銃数" localSheetId="12">まっつん!$B$21</definedName>
    <definedName name="放銃数" localSheetId="10">りくと!$B$21</definedName>
    <definedName name="放銃数" localSheetId="6">れんたろう!$B$21</definedName>
    <definedName name="放銃数" localSheetId="11">わさび!$B$21</definedName>
    <definedName name="放銃数" localSheetId="5">全体!$B$21</definedName>
    <definedName name="放銃率" localSheetId="3">Template1!$C$21</definedName>
    <definedName name="放銃率" localSheetId="9">だいち!$C$21</definedName>
    <definedName name="放銃率" localSheetId="7">たかの!$C$21</definedName>
    <definedName name="放銃率" localSheetId="8">ただ!$C$21</definedName>
    <definedName name="放銃率" localSheetId="12">まっつん!$C$21</definedName>
    <definedName name="放銃率" localSheetId="10">りくと!$C$21</definedName>
    <definedName name="放銃率" localSheetId="6">れんたろう!$C$21</definedName>
    <definedName name="放銃率" localSheetId="11">わさび!$C$21</definedName>
    <definedName name="放銃率" localSheetId="5">全体!$C$21</definedName>
    <definedName name="名前" localSheetId="3">Template1!$B$1</definedName>
    <definedName name="名前" localSheetId="9">だいち!$B$1</definedName>
    <definedName name="名前" localSheetId="7">たかの!$B$1</definedName>
    <definedName name="名前" localSheetId="8">ただ!$B$1</definedName>
    <definedName name="名前" localSheetId="12">まっつん!$B$1</definedName>
    <definedName name="名前" localSheetId="10">りくと!$B$1</definedName>
    <definedName name="名前" localSheetId="6">れんたろう!$B$1</definedName>
    <definedName name="名前" localSheetId="11">わさび!$B$1</definedName>
    <definedName name="名前" localSheetId="5">全体!$B$1</definedName>
    <definedName name="門前アガリ点" localSheetId="3">Template1!$B$28</definedName>
    <definedName name="門前アガリ点" localSheetId="9">だいち!$B$28</definedName>
    <definedName name="門前アガリ点" localSheetId="7">たかの!$B$28</definedName>
    <definedName name="門前アガリ点" localSheetId="8">ただ!$B$28</definedName>
    <definedName name="門前アガリ点" localSheetId="12">まっつん!$B$28</definedName>
    <definedName name="門前アガリ点" localSheetId="10">りくと!$B$28</definedName>
    <definedName name="門前アガリ点" localSheetId="6">れんたろう!$B$28</definedName>
    <definedName name="門前アガリ点" localSheetId="11">わさび!$B$28</definedName>
    <definedName name="門前アガリ点" localSheetId="5">全体!$B$28</definedName>
    <definedName name="連続アガリ" localSheetId="3">Template1!$B$31</definedName>
    <definedName name="連続アガリ" localSheetId="9">だいち!$B$31</definedName>
    <definedName name="連続アガリ" localSheetId="7">たかの!$B$31</definedName>
    <definedName name="連続アガリ" localSheetId="8">ただ!$B$31</definedName>
    <definedName name="連続アガリ" localSheetId="12">まっつん!$B$31</definedName>
    <definedName name="連続アガリ" localSheetId="10">りくと!$B$31</definedName>
    <definedName name="連続アガリ" localSheetId="6">れんたろう!$B$31</definedName>
    <definedName name="連続アガリ" localSheetId="11">わさび!$B$31</definedName>
    <definedName name="連続アガリ" localSheetId="5">全体!$B$31</definedName>
    <definedName name="連続無放銃" localSheetId="3">Template1!$B$32</definedName>
    <definedName name="連続無放銃" localSheetId="9">だいち!$B$32</definedName>
    <definedName name="連続無放銃" localSheetId="7">たかの!$B$32</definedName>
    <definedName name="連続無放銃" localSheetId="8">ただ!$B$32</definedName>
    <definedName name="連続無放銃" localSheetId="12">まっつん!$B$32</definedName>
    <definedName name="連続無放銃" localSheetId="10">りくと!$B$32</definedName>
    <definedName name="連続無放銃" localSheetId="6">れんたろう!$B$32</definedName>
    <definedName name="連続無放銃" localSheetId="11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6166" l="1"/>
  <c r="P17" i="6174"/>
  <c r="P16" i="6172" l="1"/>
  <c r="P16" i="6174"/>
  <c r="P17" i="6164"/>
  <c r="P16" i="6178"/>
  <c r="P15" i="6178"/>
  <c r="C35" i="6178"/>
  <c r="B30" i="6178"/>
  <c r="C21" i="6178"/>
  <c r="B20" i="6178"/>
  <c r="H52" i="6178" s="1"/>
  <c r="B19" i="6178"/>
  <c r="B29" i="6178" s="1"/>
  <c r="B18" i="6178"/>
  <c r="C18" i="6178" s="1"/>
  <c r="C17" i="6178"/>
  <c r="C16" i="6178"/>
  <c r="C15" i="6178"/>
  <c r="B13" i="6178"/>
  <c r="P12" i="6178"/>
  <c r="B12" i="6178"/>
  <c r="P11" i="6178"/>
  <c r="B11" i="6178"/>
  <c r="P10" i="6178"/>
  <c r="C10" i="6178"/>
  <c r="C9" i="6178"/>
  <c r="C8" i="6178"/>
  <c r="P7" i="6178"/>
  <c r="B7" i="6178"/>
  <c r="P6" i="6178"/>
  <c r="P5" i="6178"/>
  <c r="B5" i="6178"/>
  <c r="P4" i="6178"/>
  <c r="P3" i="6178"/>
  <c r="P2" i="6178"/>
  <c r="B14" i="6178" l="1"/>
  <c r="C19" i="6178"/>
  <c r="H5" i="6178"/>
  <c r="H22" i="6178"/>
  <c r="H46" i="6178"/>
  <c r="H50" i="6178"/>
  <c r="C22" i="6178"/>
  <c r="C26" i="6178"/>
  <c r="H42" i="6178"/>
  <c r="C20" i="6178"/>
  <c r="H2" i="6178"/>
  <c r="H38" i="6178"/>
  <c r="C24" i="6178"/>
  <c r="H35" i="6178"/>
  <c r="H3" i="6178"/>
  <c r="H18" i="6178"/>
  <c r="H21" i="6178"/>
  <c r="C25" i="6178"/>
  <c r="H41" i="6178"/>
  <c r="H45" i="6178"/>
  <c r="H49" i="6178"/>
  <c r="H7" i="6178"/>
  <c r="H9" i="6178"/>
  <c r="H20" i="6178"/>
  <c r="H23" i="6178"/>
  <c r="B28" i="6178"/>
  <c r="H40" i="6178"/>
  <c r="H48" i="6178"/>
  <c r="H6" i="6178"/>
  <c r="H15" i="6178"/>
  <c r="H24" i="6178"/>
  <c r="H26" i="6178"/>
  <c r="H29" i="6178"/>
  <c r="H14" i="6178"/>
  <c r="H37" i="6178"/>
  <c r="C40" i="6178"/>
  <c r="C44" i="6178"/>
  <c r="C48" i="6178"/>
  <c r="H4" i="6178"/>
  <c r="H12" i="6178"/>
  <c r="H19" i="6178"/>
  <c r="H27" i="6178"/>
  <c r="H30" i="6178"/>
  <c r="H32" i="6178"/>
  <c r="C37" i="6178"/>
  <c r="C41" i="6178"/>
  <c r="C45" i="6178"/>
  <c r="C49" i="6178"/>
  <c r="H8" i="6178"/>
  <c r="H13" i="6178"/>
  <c r="H11" i="6178"/>
  <c r="C23" i="6178"/>
  <c r="B27" i="6178"/>
  <c r="H33" i="6178"/>
  <c r="H39" i="6178"/>
  <c r="H43" i="6178"/>
  <c r="H47" i="6178"/>
  <c r="H51" i="6178"/>
  <c r="H28" i="6178"/>
  <c r="H10" i="6178"/>
  <c r="H34" i="6178"/>
  <c r="C38" i="6178"/>
  <c r="C42" i="6178"/>
  <c r="C46" i="6178"/>
  <c r="H17" i="6178"/>
  <c r="H44" i="6178"/>
  <c r="H25" i="6178"/>
  <c r="H16" i="6178"/>
  <c r="H31" i="6178"/>
  <c r="H36" i="6178"/>
  <c r="C39" i="6178"/>
  <c r="C43" i="6178"/>
  <c r="C47" i="6178"/>
  <c r="P19" i="6174" l="1"/>
  <c r="P15" i="6170"/>
  <c r="P16" i="6176" l="1"/>
  <c r="P15" i="6176"/>
  <c r="C35" i="6176"/>
  <c r="B30" i="6176"/>
  <c r="C21" i="6176"/>
  <c r="B20" i="6176"/>
  <c r="H52" i="6176" s="1"/>
  <c r="B19" i="6176"/>
  <c r="C19" i="6176" s="1"/>
  <c r="B18" i="6176"/>
  <c r="C18" i="6176" s="1"/>
  <c r="C17" i="6176"/>
  <c r="C16" i="6176"/>
  <c r="C15" i="6176"/>
  <c r="B13" i="6176"/>
  <c r="P12" i="6176"/>
  <c r="B12" i="6176"/>
  <c r="P11" i="6176"/>
  <c r="B11" i="6176"/>
  <c r="P10" i="6176"/>
  <c r="C10" i="6176"/>
  <c r="C9" i="6176"/>
  <c r="C8" i="6176"/>
  <c r="P7" i="6176"/>
  <c r="B7" i="6176"/>
  <c r="P6" i="6176"/>
  <c r="P5" i="6176"/>
  <c r="B5" i="6176"/>
  <c r="P4" i="6176"/>
  <c r="P3" i="6176"/>
  <c r="P2" i="6176"/>
  <c r="P17" i="6172"/>
  <c r="P15" i="6172"/>
  <c r="P16" i="6164"/>
  <c r="P15" i="6174"/>
  <c r="P18" i="6174"/>
  <c r="C35" i="6174"/>
  <c r="B30" i="6174"/>
  <c r="C21" i="6174"/>
  <c r="B20" i="6174"/>
  <c r="H52" i="6174" s="1"/>
  <c r="B19" i="6174"/>
  <c r="B29" i="6174" s="1"/>
  <c r="B18" i="6174"/>
  <c r="C18" i="6174" s="1"/>
  <c r="C17" i="6174"/>
  <c r="C16" i="6174"/>
  <c r="C15" i="6174"/>
  <c r="B13" i="6174"/>
  <c r="P12" i="6174"/>
  <c r="B12" i="6174"/>
  <c r="P11" i="6174"/>
  <c r="B11" i="6174"/>
  <c r="P10" i="6174"/>
  <c r="C10" i="6174"/>
  <c r="C9" i="6174"/>
  <c r="C8" i="6174"/>
  <c r="P7" i="6174"/>
  <c r="B7" i="6174"/>
  <c r="P6" i="6174"/>
  <c r="P5" i="6174"/>
  <c r="B5" i="6174"/>
  <c r="P4" i="6174"/>
  <c r="P3" i="6174"/>
  <c r="P2" i="6174"/>
  <c r="P15" i="6164"/>
  <c r="C19" i="6174" l="1"/>
  <c r="C22" i="6176"/>
  <c r="H15" i="6176"/>
  <c r="H6" i="6176"/>
  <c r="H18" i="6176"/>
  <c r="H14" i="6176"/>
  <c r="H2" i="6176"/>
  <c r="H41" i="6176"/>
  <c r="B14" i="6174"/>
  <c r="B14" i="6176"/>
  <c r="H10" i="6176"/>
  <c r="H20" i="6176"/>
  <c r="C41" i="6176"/>
  <c r="H13" i="6176"/>
  <c r="B28" i="6176"/>
  <c r="C23" i="6176"/>
  <c r="H42" i="6176"/>
  <c r="H7" i="6176"/>
  <c r="H16" i="6176"/>
  <c r="H24" i="6176"/>
  <c r="H31" i="6176"/>
  <c r="H17" i="6176"/>
  <c r="C24" i="6176"/>
  <c r="H36" i="6176"/>
  <c r="H43" i="6176"/>
  <c r="H8" i="6176"/>
  <c r="H21" i="6176"/>
  <c r="C26" i="6176"/>
  <c r="H37" i="6176"/>
  <c r="H46" i="6176"/>
  <c r="H28" i="6176"/>
  <c r="C37" i="6176"/>
  <c r="H47" i="6176"/>
  <c r="H3" i="6176"/>
  <c r="H11" i="6176"/>
  <c r="B27" i="6176"/>
  <c r="H38" i="6176"/>
  <c r="H48" i="6176"/>
  <c r="H9" i="6176"/>
  <c r="H23" i="6176"/>
  <c r="H30" i="6176"/>
  <c r="H39" i="6176"/>
  <c r="C48" i="6176"/>
  <c r="H44" i="6176"/>
  <c r="H49" i="6176"/>
  <c r="C44" i="6176"/>
  <c r="C49" i="6176"/>
  <c r="C25" i="6176"/>
  <c r="H32" i="6176"/>
  <c r="H40" i="6176"/>
  <c r="H45" i="6176"/>
  <c r="H50" i="6176"/>
  <c r="H5" i="6176"/>
  <c r="H19" i="6176"/>
  <c r="C20" i="6176"/>
  <c r="H27" i="6176"/>
  <c r="H34" i="6176"/>
  <c r="C40" i="6176"/>
  <c r="C45" i="6176"/>
  <c r="H4" i="6176"/>
  <c r="B29" i="6176"/>
  <c r="H25" i="6176"/>
  <c r="H12" i="6176"/>
  <c r="H33" i="6176"/>
  <c r="C38" i="6176"/>
  <c r="C42" i="6176"/>
  <c r="C46" i="6176"/>
  <c r="H51" i="6176"/>
  <c r="H22" i="6176"/>
  <c r="H26" i="6176"/>
  <c r="H29" i="6176"/>
  <c r="H35" i="6176"/>
  <c r="C39" i="6176"/>
  <c r="C43" i="6176"/>
  <c r="C47" i="6176"/>
  <c r="H19" i="6174"/>
  <c r="H5" i="6174"/>
  <c r="C25" i="6174"/>
  <c r="H18" i="6174"/>
  <c r="H24" i="6174"/>
  <c r="H10" i="6174"/>
  <c r="B27" i="6174"/>
  <c r="H23" i="6174"/>
  <c r="H15" i="6174"/>
  <c r="H31" i="6174"/>
  <c r="H32" i="6174"/>
  <c r="H12" i="6174"/>
  <c r="H22" i="6174"/>
  <c r="C23" i="6174"/>
  <c r="C37" i="6174"/>
  <c r="H6" i="6174"/>
  <c r="H3" i="6174"/>
  <c r="H30" i="6174"/>
  <c r="H40" i="6174"/>
  <c r="H38" i="6174"/>
  <c r="H44" i="6174"/>
  <c r="H25" i="6174"/>
  <c r="C20" i="6174"/>
  <c r="H48" i="6174"/>
  <c r="H7" i="6174"/>
  <c r="H11" i="6174"/>
  <c r="H26" i="6174"/>
  <c r="H17" i="6174"/>
  <c r="H29" i="6174"/>
  <c r="H21" i="6174"/>
  <c r="H36" i="6174"/>
  <c r="C40" i="6174"/>
  <c r="C44" i="6174"/>
  <c r="C48" i="6174"/>
  <c r="C22" i="6174"/>
  <c r="C26" i="6174"/>
  <c r="H37" i="6174"/>
  <c r="H41" i="6174"/>
  <c r="H45" i="6174"/>
  <c r="H49" i="6174"/>
  <c r="C41" i="6174"/>
  <c r="C45" i="6174"/>
  <c r="C49" i="6174"/>
  <c r="H42" i="6174"/>
  <c r="H46" i="6174"/>
  <c r="H50" i="6174"/>
  <c r="H28" i="6174"/>
  <c r="H9" i="6174"/>
  <c r="H33" i="6174"/>
  <c r="C38" i="6174"/>
  <c r="C42" i="6174"/>
  <c r="C46" i="6174"/>
  <c r="H51" i="6174"/>
  <c r="H2" i="6174"/>
  <c r="H8" i="6174"/>
  <c r="H16" i="6174"/>
  <c r="H13" i="6174"/>
  <c r="C24" i="6174"/>
  <c r="B28" i="6174"/>
  <c r="H34" i="6174"/>
  <c r="H39" i="6174"/>
  <c r="H43" i="6174"/>
  <c r="H47" i="6174"/>
  <c r="H4" i="6174"/>
  <c r="H27" i="6174"/>
  <c r="H14" i="6174"/>
  <c r="H20" i="6174"/>
  <c r="H35" i="6174"/>
  <c r="C39" i="6174"/>
  <c r="C43" i="6174"/>
  <c r="C47" i="6174"/>
  <c r="P20" i="6172" l="1"/>
  <c r="P16" i="6166"/>
  <c r="P16" i="6170"/>
  <c r="P17" i="6168"/>
  <c r="P20" i="6164"/>
  <c r="P18" i="6172"/>
  <c r="P19" i="6172"/>
  <c r="C35" i="6172"/>
  <c r="B30" i="6172"/>
  <c r="C21" i="6172"/>
  <c r="B20" i="6172"/>
  <c r="H52" i="6172" s="1"/>
  <c r="B19" i="6172"/>
  <c r="C19" i="6172" s="1"/>
  <c r="B18" i="6172"/>
  <c r="C18" i="6172" s="1"/>
  <c r="C17" i="6172"/>
  <c r="C16" i="6172"/>
  <c r="C15" i="6172"/>
  <c r="B13" i="6172"/>
  <c r="P12" i="6172"/>
  <c r="B12" i="6172"/>
  <c r="P11" i="6172"/>
  <c r="B11" i="6172"/>
  <c r="P10" i="6172"/>
  <c r="C10" i="6172"/>
  <c r="C9" i="6172"/>
  <c r="C8" i="6172"/>
  <c r="P7" i="6172"/>
  <c r="B7" i="6172"/>
  <c r="P6" i="6172"/>
  <c r="P5" i="6172"/>
  <c r="B5" i="6172"/>
  <c r="P4" i="6172"/>
  <c r="P3" i="6172"/>
  <c r="P2" i="6172"/>
  <c r="P18" i="6170"/>
  <c r="P17" i="6170"/>
  <c r="C35" i="6170"/>
  <c r="B30" i="6170"/>
  <c r="C21" i="6170"/>
  <c r="B20" i="6170"/>
  <c r="H52" i="6170" s="1"/>
  <c r="B19" i="6170"/>
  <c r="B29" i="6170" s="1"/>
  <c r="B18" i="6170"/>
  <c r="C18" i="6170" s="1"/>
  <c r="C17" i="6170"/>
  <c r="C16" i="6170"/>
  <c r="C15" i="6170"/>
  <c r="B13" i="6170"/>
  <c r="P12" i="6170"/>
  <c r="B12" i="6170"/>
  <c r="P11" i="6170"/>
  <c r="B11" i="6170"/>
  <c r="P10" i="6170"/>
  <c r="C10" i="6170"/>
  <c r="C9" i="6170"/>
  <c r="C8" i="6170"/>
  <c r="P7" i="6170"/>
  <c r="B7" i="6170"/>
  <c r="P6" i="6170"/>
  <c r="P5" i="6170"/>
  <c r="B5" i="6170"/>
  <c r="P4" i="6170"/>
  <c r="P3" i="6170"/>
  <c r="P2" i="6170"/>
  <c r="P15" i="6168"/>
  <c r="P16" i="6168"/>
  <c r="C35" i="6168"/>
  <c r="B30" i="6168"/>
  <c r="C21" i="6168"/>
  <c r="B20" i="6168"/>
  <c r="H52" i="6168" s="1"/>
  <c r="B19" i="6168"/>
  <c r="B29" i="6168" s="1"/>
  <c r="B18" i="6168"/>
  <c r="C18" i="6168" s="1"/>
  <c r="C17" i="6168"/>
  <c r="C16" i="6168"/>
  <c r="C15" i="6168"/>
  <c r="B13" i="6168"/>
  <c r="P12" i="6168"/>
  <c r="B12" i="6168"/>
  <c r="P11" i="6168"/>
  <c r="B11" i="6168"/>
  <c r="P10" i="6168"/>
  <c r="C10" i="6168"/>
  <c r="C9" i="6168"/>
  <c r="C8" i="6168"/>
  <c r="P7" i="6168"/>
  <c r="B7" i="6168"/>
  <c r="P6" i="6168"/>
  <c r="P5" i="6168"/>
  <c r="B5" i="6168"/>
  <c r="P4" i="6168"/>
  <c r="P3" i="6168"/>
  <c r="P2" i="6168"/>
  <c r="P19" i="6164"/>
  <c r="P17" i="6166"/>
  <c r="P18" i="6166"/>
  <c r="C35" i="6166"/>
  <c r="B30" i="6166"/>
  <c r="C21" i="6166"/>
  <c r="B20" i="6166"/>
  <c r="H52" i="6166" s="1"/>
  <c r="B19" i="6166"/>
  <c r="B29" i="6166" s="1"/>
  <c r="B18" i="6166"/>
  <c r="C18" i="6166" s="1"/>
  <c r="C17" i="6166"/>
  <c r="C16" i="6166"/>
  <c r="C15" i="6166"/>
  <c r="B13" i="6166"/>
  <c r="P12" i="6166"/>
  <c r="B12" i="6166"/>
  <c r="P11" i="6166"/>
  <c r="B11" i="6166"/>
  <c r="P10" i="6166"/>
  <c r="C10" i="6166"/>
  <c r="C9" i="6166"/>
  <c r="C8" i="6166"/>
  <c r="P7" i="6166"/>
  <c r="B7" i="6166"/>
  <c r="P6" i="6166"/>
  <c r="P5" i="6166"/>
  <c r="B5" i="6166"/>
  <c r="P4" i="6166"/>
  <c r="P3" i="6166"/>
  <c r="P2" i="6166"/>
  <c r="P18" i="6164"/>
  <c r="P21" i="6164"/>
  <c r="C35" i="6164"/>
  <c r="B30" i="6164"/>
  <c r="C21" i="6164"/>
  <c r="B20" i="6164"/>
  <c r="H52" i="6164" s="1"/>
  <c r="B19" i="6164"/>
  <c r="C19" i="6164" s="1"/>
  <c r="B18" i="6164"/>
  <c r="C18" i="6164" s="1"/>
  <c r="C17" i="6164"/>
  <c r="C16" i="6164"/>
  <c r="C15" i="6164"/>
  <c r="B13" i="6164"/>
  <c r="P12" i="6164"/>
  <c r="B12" i="6164"/>
  <c r="P11" i="6164"/>
  <c r="B11" i="6164"/>
  <c r="P10" i="6164"/>
  <c r="C10" i="6164"/>
  <c r="C9" i="6164"/>
  <c r="C8" i="6164"/>
  <c r="P7" i="6164"/>
  <c r="B7" i="6164"/>
  <c r="P6" i="6164"/>
  <c r="P5" i="6164"/>
  <c r="B5" i="6164"/>
  <c r="P4" i="6164"/>
  <c r="P3" i="6164"/>
  <c r="P2" i="6164"/>
  <c r="H40" i="6172" l="1"/>
  <c r="H13" i="6172"/>
  <c r="B14" i="6166"/>
  <c r="C19" i="6166"/>
  <c r="C19" i="6168"/>
  <c r="H3" i="6166"/>
  <c r="H24" i="6166"/>
  <c r="C48" i="6166"/>
  <c r="B14" i="6172"/>
  <c r="H26" i="6172"/>
  <c r="C37" i="6172"/>
  <c r="H7" i="6172"/>
  <c r="H2" i="6172"/>
  <c r="H17" i="6172"/>
  <c r="C22" i="6172"/>
  <c r="H10" i="6172"/>
  <c r="H8" i="6166"/>
  <c r="H26" i="6166"/>
  <c r="H15" i="6166"/>
  <c r="H7" i="6166"/>
  <c r="H49" i="6166"/>
  <c r="H34" i="6166"/>
  <c r="H6" i="6166"/>
  <c r="H11" i="6166"/>
  <c r="H2" i="6166"/>
  <c r="H4" i="6166"/>
  <c r="H12" i="6166"/>
  <c r="H21" i="6166"/>
  <c r="H41" i="6166"/>
  <c r="C19" i="6170"/>
  <c r="H13" i="6170"/>
  <c r="C22" i="6166"/>
  <c r="C40" i="6166"/>
  <c r="H27" i="6166"/>
  <c r="H31" i="6166"/>
  <c r="H42" i="6166"/>
  <c r="C44" i="6166"/>
  <c r="H50" i="6166"/>
  <c r="H17" i="6166"/>
  <c r="C25" i="6166"/>
  <c r="H45" i="6166"/>
  <c r="C26" i="6166"/>
  <c r="H38" i="6166"/>
  <c r="H46" i="6166"/>
  <c r="H23" i="6166"/>
  <c r="C20" i="6166"/>
  <c r="H32" i="6166"/>
  <c r="C37" i="6166"/>
  <c r="C45" i="6166"/>
  <c r="H25" i="6166"/>
  <c r="H28" i="6166"/>
  <c r="H30" i="6166"/>
  <c r="H19" i="6166"/>
  <c r="C41" i="6166"/>
  <c r="C49" i="6166"/>
  <c r="B14" i="6170"/>
  <c r="H24" i="6170"/>
  <c r="H6" i="6170"/>
  <c r="C22" i="6170"/>
  <c r="H5" i="6170"/>
  <c r="H36" i="6170"/>
  <c r="B14" i="6168"/>
  <c r="H4" i="6172"/>
  <c r="H30" i="6172"/>
  <c r="H44" i="6172"/>
  <c r="H3" i="6172"/>
  <c r="H9" i="6172"/>
  <c r="H16" i="6172"/>
  <c r="C25" i="6172"/>
  <c r="H45" i="6172"/>
  <c r="H22" i="6172"/>
  <c r="B28" i="6172"/>
  <c r="C26" i="6172"/>
  <c r="C45" i="6172"/>
  <c r="H25" i="6172"/>
  <c r="H48" i="6172"/>
  <c r="H5" i="6172"/>
  <c r="H11" i="6172"/>
  <c r="H27" i="6172"/>
  <c r="H14" i="6172"/>
  <c r="H36" i="6172"/>
  <c r="H6" i="6172"/>
  <c r="C24" i="6172"/>
  <c r="H39" i="6172"/>
  <c r="H46" i="6172"/>
  <c r="H33" i="6172"/>
  <c r="H41" i="6172"/>
  <c r="H49" i="6172"/>
  <c r="C20" i="6172"/>
  <c r="H42" i="6172"/>
  <c r="H50" i="6172"/>
  <c r="H15" i="6172"/>
  <c r="H20" i="6172"/>
  <c r="C41" i="6172"/>
  <c r="C49" i="6172"/>
  <c r="B29" i="6172"/>
  <c r="H28" i="6172"/>
  <c r="H18" i="6172"/>
  <c r="H32" i="6172"/>
  <c r="H19" i="6172"/>
  <c r="H38" i="6172"/>
  <c r="C40" i="6172"/>
  <c r="C44" i="6172"/>
  <c r="C48" i="6172"/>
  <c r="C23" i="6172"/>
  <c r="B27" i="6172"/>
  <c r="H21" i="6172"/>
  <c r="H23" i="6172"/>
  <c r="H43" i="6172"/>
  <c r="H47" i="6172"/>
  <c r="H51" i="6172"/>
  <c r="H31" i="6172"/>
  <c r="H8" i="6172"/>
  <c r="H35" i="6172"/>
  <c r="C38" i="6172"/>
  <c r="C42" i="6172"/>
  <c r="C46" i="6172"/>
  <c r="H24" i="6172"/>
  <c r="H29" i="6172"/>
  <c r="H12" i="6172"/>
  <c r="H34" i="6172"/>
  <c r="H37" i="6172"/>
  <c r="C39" i="6172"/>
  <c r="C43" i="6172"/>
  <c r="C47" i="6172"/>
  <c r="H26" i="6170"/>
  <c r="H28" i="6170"/>
  <c r="H37" i="6170"/>
  <c r="H3" i="6170"/>
  <c r="C40" i="6170"/>
  <c r="H22" i="6170"/>
  <c r="H19" i="6170"/>
  <c r="H2" i="6170"/>
  <c r="H10" i="6170"/>
  <c r="C26" i="6170"/>
  <c r="H41" i="6170"/>
  <c r="H30" i="6170"/>
  <c r="C44" i="6170"/>
  <c r="C20" i="6170"/>
  <c r="H20" i="6170"/>
  <c r="H45" i="6170"/>
  <c r="H7" i="6170"/>
  <c r="C48" i="6170"/>
  <c r="H8" i="6170"/>
  <c r="H18" i="6170"/>
  <c r="H14" i="6170"/>
  <c r="H49" i="6170"/>
  <c r="H17" i="6170"/>
  <c r="H23" i="6170"/>
  <c r="C25" i="6170"/>
  <c r="H40" i="6170"/>
  <c r="H44" i="6170"/>
  <c r="H48" i="6170"/>
  <c r="H32" i="6170"/>
  <c r="C37" i="6170"/>
  <c r="C41" i="6170"/>
  <c r="C45" i="6170"/>
  <c r="C49" i="6170"/>
  <c r="H9" i="6170"/>
  <c r="H15" i="6170"/>
  <c r="H16" i="6170"/>
  <c r="C23" i="6170"/>
  <c r="B27" i="6170"/>
  <c r="H33" i="6170"/>
  <c r="H38" i="6170"/>
  <c r="H42" i="6170"/>
  <c r="H46" i="6170"/>
  <c r="H50" i="6170"/>
  <c r="H29" i="6170"/>
  <c r="H11" i="6170"/>
  <c r="H21" i="6170"/>
  <c r="C38" i="6170"/>
  <c r="C42" i="6170"/>
  <c r="C46" i="6170"/>
  <c r="H51" i="6170"/>
  <c r="H25" i="6170"/>
  <c r="C24" i="6170"/>
  <c r="B28" i="6170"/>
  <c r="H34" i="6170"/>
  <c r="H39" i="6170"/>
  <c r="H43" i="6170"/>
  <c r="H47" i="6170"/>
  <c r="H4" i="6170"/>
  <c r="H27" i="6170"/>
  <c r="H12" i="6170"/>
  <c r="H31" i="6170"/>
  <c r="H35" i="6170"/>
  <c r="C39" i="6170"/>
  <c r="C43" i="6170"/>
  <c r="C47" i="6170"/>
  <c r="B14" i="6164"/>
  <c r="H34" i="6164"/>
  <c r="H3" i="6168"/>
  <c r="H4" i="6168"/>
  <c r="H21" i="6168"/>
  <c r="C22" i="6168"/>
  <c r="C26" i="6168"/>
  <c r="H37" i="6168"/>
  <c r="H41" i="6168"/>
  <c r="C20" i="6168"/>
  <c r="H45" i="6168"/>
  <c r="H49" i="6168"/>
  <c r="H16" i="6168"/>
  <c r="H20" i="6168"/>
  <c r="C25" i="6168"/>
  <c r="H40" i="6168"/>
  <c r="H44" i="6168"/>
  <c r="H48" i="6168"/>
  <c r="H8" i="6168"/>
  <c r="H12" i="6168"/>
  <c r="H23" i="6168"/>
  <c r="H13" i="6168"/>
  <c r="H27" i="6168"/>
  <c r="H30" i="6168"/>
  <c r="H36" i="6168"/>
  <c r="C40" i="6168"/>
  <c r="C44" i="6168"/>
  <c r="C48" i="6168"/>
  <c r="H6" i="6168"/>
  <c r="H10" i="6168"/>
  <c r="H17" i="6168"/>
  <c r="H25" i="6168"/>
  <c r="H28" i="6168"/>
  <c r="H31" i="6168"/>
  <c r="C37" i="6168"/>
  <c r="C41" i="6168"/>
  <c r="C45" i="6168"/>
  <c r="C49" i="6168"/>
  <c r="H7" i="6168"/>
  <c r="H18" i="6168"/>
  <c r="H14" i="6168"/>
  <c r="C23" i="6168"/>
  <c r="B27" i="6168"/>
  <c r="H32" i="6168"/>
  <c r="H38" i="6168"/>
  <c r="H42" i="6168"/>
  <c r="H46" i="6168"/>
  <c r="H50" i="6168"/>
  <c r="H26" i="6168"/>
  <c r="H11" i="6168"/>
  <c r="H33" i="6168"/>
  <c r="C38" i="6168"/>
  <c r="C42" i="6168"/>
  <c r="C46" i="6168"/>
  <c r="H51" i="6168"/>
  <c r="H2" i="6168"/>
  <c r="H9" i="6168"/>
  <c r="H19" i="6168"/>
  <c r="H22" i="6168"/>
  <c r="C24" i="6168"/>
  <c r="B28" i="6168"/>
  <c r="H34" i="6168"/>
  <c r="H39" i="6168"/>
  <c r="H43" i="6168"/>
  <c r="H47" i="6168"/>
  <c r="H5" i="6168"/>
  <c r="H24" i="6168"/>
  <c r="H15" i="6168"/>
  <c r="H29" i="6168"/>
  <c r="H35" i="6168"/>
  <c r="C39" i="6168"/>
  <c r="C43" i="6168"/>
  <c r="C47" i="6168"/>
  <c r="H32" i="6164"/>
  <c r="C37" i="6164"/>
  <c r="H10" i="6164"/>
  <c r="H15" i="6164"/>
  <c r="C41" i="6164"/>
  <c r="H17" i="6164"/>
  <c r="H26" i="6164"/>
  <c r="H44" i="6164"/>
  <c r="H11" i="6164"/>
  <c r="H37" i="6164"/>
  <c r="C45" i="6164"/>
  <c r="H18" i="6164"/>
  <c r="H48" i="6164"/>
  <c r="H7" i="6164"/>
  <c r="H25" i="6164"/>
  <c r="B28" i="6164"/>
  <c r="C48" i="6164"/>
  <c r="H4" i="6164"/>
  <c r="H19" i="6164"/>
  <c r="H35" i="6164"/>
  <c r="C22" i="6164"/>
  <c r="B27" i="6164"/>
  <c r="H39" i="6164"/>
  <c r="H43" i="6164"/>
  <c r="H49" i="6164"/>
  <c r="H3" i="6164"/>
  <c r="C23" i="6164"/>
  <c r="H33" i="6164"/>
  <c r="H45" i="6164"/>
  <c r="H50" i="6164"/>
  <c r="H6" i="6164"/>
  <c r="H12" i="6164"/>
  <c r="H23" i="6164"/>
  <c r="H16" i="6164"/>
  <c r="H14" i="6164"/>
  <c r="C24" i="6164"/>
  <c r="H21" i="6164"/>
  <c r="H40" i="6164"/>
  <c r="C44" i="6164"/>
  <c r="C49" i="6164"/>
  <c r="C25" i="6164"/>
  <c r="H24" i="6164"/>
  <c r="H41" i="6164"/>
  <c r="H46" i="6164"/>
  <c r="H51" i="6164"/>
  <c r="C20" i="6164"/>
  <c r="H28" i="6164"/>
  <c r="H31" i="6164"/>
  <c r="C40" i="6164"/>
  <c r="H5" i="6164"/>
  <c r="H2" i="6164"/>
  <c r="H8" i="6164"/>
  <c r="H20" i="6164"/>
  <c r="C26" i="6164"/>
  <c r="H42" i="6164"/>
  <c r="H47" i="6164"/>
  <c r="H9" i="6166"/>
  <c r="H14" i="6166"/>
  <c r="H16" i="6166"/>
  <c r="C23" i="6166"/>
  <c r="B27" i="6166"/>
  <c r="H35" i="6166"/>
  <c r="H39" i="6166"/>
  <c r="H43" i="6166"/>
  <c r="H47" i="6166"/>
  <c r="H51" i="6166"/>
  <c r="H18" i="6166"/>
  <c r="H10" i="6166"/>
  <c r="H36" i="6166"/>
  <c r="C38" i="6166"/>
  <c r="C42" i="6166"/>
  <c r="C46" i="6166"/>
  <c r="H22" i="6166"/>
  <c r="C24" i="6166"/>
  <c r="B28" i="6166"/>
  <c r="H20" i="6166"/>
  <c r="H40" i="6166"/>
  <c r="H44" i="6166"/>
  <c r="H48" i="6166"/>
  <c r="H5" i="6166"/>
  <c r="H29" i="6166"/>
  <c r="H13" i="6166"/>
  <c r="H33" i="6166"/>
  <c r="H37" i="6166"/>
  <c r="C39" i="6166"/>
  <c r="C43" i="6166"/>
  <c r="C47" i="6166"/>
  <c r="B29" i="6164"/>
  <c r="H27" i="6164"/>
  <c r="H9" i="6164"/>
  <c r="H30" i="6164"/>
  <c r="C38" i="6164"/>
  <c r="C42" i="6164"/>
  <c r="C46" i="6164"/>
  <c r="H22" i="6164"/>
  <c r="H36" i="6164"/>
  <c r="H13" i="6164"/>
  <c r="H29" i="6164"/>
  <c r="H38" i="6164"/>
  <c r="C39" i="6164"/>
  <c r="C43" i="6164"/>
  <c r="C47" i="6164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<sst xmlns="http://schemas.openxmlformats.org/spreadsheetml/2006/main" count="2202" uniqueCount="236">
  <si>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</si>
  <si>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</si>
  <si>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</si>
  <si>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</si>
  <si>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</si>
  <si>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</si>
  <si>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</si>
  <si>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</si>
  <si>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</si>
  <si>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</si>
  <si>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</si>
  <si>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</si>
  <si>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</si>
  <si>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</si>
  <si>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</si>
  <si>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</si>
  <si>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</si>
  <si>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</si>
  <si>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</si>
  <si>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</si>
  <si>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</si>
  <si>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</si>
  <si>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</si>
  <si>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</si>
  <si>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</si>
  <si>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</si>
  <si>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</si>
  <si>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</si>
  <si>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</si>
  <si>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</si>
  <si>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</si>
  <si>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</si>
  <si>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</si>
  <si>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</si>
  <si>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</si>
  <si>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</si>
  <si>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</si>
  <si>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</si>
  <si>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</si>
  <si>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</si>
  <si>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</si>
  <si>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</si>
  <si>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</si>
  <si>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</si>
  <si>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</si>
  <si>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</si>
  <si>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</si>
  <si>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</si>
  <si>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</si>
  <si>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</si>
  <si>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</si>
  <si>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</si>
  <si>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</si>
  <si>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</si>
  <si>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</si>
  <si>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</si>
  <si>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</si>
  <si>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</si>
  <si>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</si>
  <si>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</si>
  <si>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</si>
  <si>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</si>
  <si>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</si>
  <si>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</si>
  <si>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</si>
  <si>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</si>
  <si>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</si>
  <si>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</si>
  <si>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</si>
  <si>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</si>
  <si>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</si>
  <si>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</si>
  <si>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</si>
  <si>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</si>
  <si>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</si>
  <si>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</si>
  <si>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</si>
  <si>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</si>
  <si>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</si>
  <si>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</si>
  <si>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</si>
  <si>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</si>
  <si>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</si>
  <si>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</si>
  <si>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</si>
  <si>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</si>
  <si>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</si>
  <si>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</si>
  <si>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</si>
  <si>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</si>
  <si>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</si>
  <si>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</si>
  <si>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</si>
  <si>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</si>
  <si>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</si>
  <si>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</si>
  <si>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</si>
  <si>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</si>
  <si>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</si>
  <si>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</si>
  <si>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</si>
  <si>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</si>
  <si>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</si>
  <si>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</si>
  <si>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</si>
  <si>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</si>
  <si>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</si>
  <si>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</si>
  <si>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</si>
  <si>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</si>
  <si>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</si>
  <si>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</si>
  <si>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</si>
  <si>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</si>
  <si>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</si>
  <si>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</si>
  <si>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</si>
  <si>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</si>
  <si>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</si>
  <si>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</si>
  <si>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</si>
  <si>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</si>
  <si>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</si>
  <si>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</si>
  <si>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</si>
  <si>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</si>
  <si>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</si>
  <si>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</si>
  <si>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</si>
  <si>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</si>
  <si>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</si>
  <si>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</si>
  <si>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</si>
  <si>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</si>
  <si>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</si>
  <si>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</si>
  <si>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</si>
  <si>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</si>
  <si>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</si>
  <si>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</si>
  <si>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</si>
  <si>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</si>
  <si>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</si>
  <si>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</si>
  <si>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</si>
  <si>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</si>
  <si>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</si>
  <si>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</si>
  <si>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</si>
  <si>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</si>
  <si>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</si>
  <si>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</si>
  <si>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</si>
  <si>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</si>
  <si>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</si>
  <si>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</si>
  <si>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</si>
  <si>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</si>
  <si>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</si>
  <si>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</si>
  <si>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</si>
  <si>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</si>
  <si>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</si>
  <si>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</si>
  <si>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</si>
  <si>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</si>
  <si>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</si>
  <si>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</si>
  <si>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</si>
  <si>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</si>
  <si>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</si>
  <si>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</si>
  <si>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</si>
  <si>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</si>
  <si>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</si>
  <si>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</si>
  <si>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</si>
  <si>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</si>
  <si>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</si>
  <si>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</si>
  <si>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</si>
  <si>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</si>
  <si>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</si>
  <si>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</si>
  <si>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</si>
  <si>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</si>
  <si>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</si>
  <si>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たかの</t>
  </si>
  <si>
    <t>まっつん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</si>
  <si>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</si>
  <si>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</si>
  <si>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</si>
  <si>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</si>
  <si>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</si>
  <si>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</si>
  <si>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</si>
  <si>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</si>
  <si>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</si>
  <si>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</si>
  <si>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</si>
  <si>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</si>
  <si>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</si>
  <si>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</si>
  <si>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</si>
  <si>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</si>
  <si>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</si>
  <si>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</si>
  <si>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</si>
  <si>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</si>
  <si>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</si>
  <si>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</si>
  <si>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</si>
  <si>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</si>
  <si>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</si>
  <si>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</si>
  <si>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</si>
  <si>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</si>
  <si>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</si>
  <si>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</si>
  <si>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2024-08-13@Kohama.xlsm</t>
  </si>
  <si>
    <t>Sheet9</t>
  </si>
  <si>
    <t>Sheet10</t>
  </si>
  <si>
    <t>Sheet11</t>
  </si>
  <si>
    <t>Sheet12</t>
  </si>
  <si>
    <t>2023-03-04@Ina.xlsm</t>
  </si>
  <si>
    <t>Sheet13</t>
  </si>
  <si>
    <t>Sheet14</t>
  </si>
  <si>
    <t>Sheet15</t>
  </si>
  <si>
    <t>Sheet16</t>
  </si>
  <si>
    <t>Sheet17</t>
  </si>
  <si>
    <t>2023-05-02@AllStar.xlsm</t>
  </si>
  <si>
    <t>2023-08-13@Kohama.xlsm</t>
  </si>
  <si>
    <t>2023-10-22@Kohama.xlsm</t>
  </si>
  <si>
    <t>2024-01-04@Kohama.xlsm</t>
  </si>
  <si>
    <t>2024-04-28@Kohama.xlsm</t>
  </si>
  <si>
    <t>まっつん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</si>
</sst>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全体!$K$2:$K$227</c:f>
              <c:numCache>
                <c:formatCode>General</c:formatCode>
                <c:ptCount val="2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</c:numCache>
            </c:numRef>
          </c:xVal>
          <c:yVal>
            <c:numRef>
              <c:f>全体!$L$2:$L$227</c:f>
              <c:numCache>
                <c:formatCode>\+0.0;\-0.0;\±0</c:formatCode>
                <c:ptCount val="226"/>
                <c:pt idx="0">
                  <c:v>0</c:v>
                </c:pt>
                <c:pt idx="1">
                  <c:v>-58</c:v>
                </c:pt>
                <c:pt idx="2">
                  <c:v>-6.5</c:v>
                </c:pt>
                <c:pt idx="3">
                  <c:v>0</c:v>
                </c:pt>
                <c:pt idx="4">
                  <c:v>30.8</c:v>
                </c:pt>
                <c:pt idx="5">
                  <c:v>0.60000000000000142</c:v>
                </c:pt>
                <c:pt idx="6">
                  <c:v>1.4432899320127035E-15</c:v>
                </c:pt>
                <c:pt idx="7">
                  <c:v>44.3</c:v>
                </c:pt>
                <c:pt idx="8">
                  <c:v>-11.300000000000004</c:v>
                </c:pt>
                <c:pt idx="9">
                  <c:v>-3.5527136788005009E-15</c:v>
                </c:pt>
                <c:pt idx="10">
                  <c:v>21.599999999999998</c:v>
                </c:pt>
                <c:pt idx="11">
                  <c:v>20.999999999999996</c:v>
                </c:pt>
                <c:pt idx="12">
                  <c:v>-3.5527136788005009E-15</c:v>
                </c:pt>
                <c:pt idx="13">
                  <c:v>42.5</c:v>
                </c:pt>
                <c:pt idx="14">
                  <c:v>33.6</c:v>
                </c:pt>
                <c:pt idx="15">
                  <c:v>0</c:v>
                </c:pt>
                <c:pt idx="16">
                  <c:v>1.4</c:v>
                </c:pt>
                <c:pt idx="17">
                  <c:v>32.700000000000003</c:v>
                </c:pt>
                <c:pt idx="18">
                  <c:v>0</c:v>
                </c:pt>
                <c:pt idx="19">
                  <c:v>7.6</c:v>
                </c:pt>
                <c:pt idx="20">
                  <c:v>41.2</c:v>
                </c:pt>
                <c:pt idx="21">
                  <c:v>0</c:v>
                </c:pt>
                <c:pt idx="22">
                  <c:v>-38.700000000000003</c:v>
                </c:pt>
                <c:pt idx="23">
                  <c:v>-7.8000000000000043</c:v>
                </c:pt>
                <c:pt idx="24">
                  <c:v>-4.4408920985006262E-15</c:v>
                </c:pt>
                <c:pt idx="25">
                  <c:v>61.399999999999991</c:v>
                </c:pt>
                <c:pt idx="26">
                  <c:v>6.3999999999999915</c:v>
                </c:pt>
                <c:pt idx="27">
                  <c:v>-8.8817841970012523E-15</c:v>
                </c:pt>
                <c:pt idx="28">
                  <c:v>-0.80000000000000893</c:v>
                </c:pt>
                <c:pt idx="29">
                  <c:v>45.999999999999986</c:v>
                </c:pt>
                <c:pt idx="30">
                  <c:v>-1.4210854715202004E-14</c:v>
                </c:pt>
                <c:pt idx="31">
                  <c:v>-14.700000000000014</c:v>
                </c:pt>
                <c:pt idx="32">
                  <c:v>57.59999999999998</c:v>
                </c:pt>
                <c:pt idx="33">
                  <c:v>-2.1316282072803006E-14</c:v>
                </c:pt>
                <c:pt idx="34">
                  <c:v>31.299999999999979</c:v>
                </c:pt>
                <c:pt idx="35">
                  <c:v>5.2999999999999794</c:v>
                </c:pt>
                <c:pt idx="36">
                  <c:v>-2.042810365310288E-14</c:v>
                </c:pt>
                <c:pt idx="37">
                  <c:v>-58.90000000000002</c:v>
                </c:pt>
                <c:pt idx="38">
                  <c:v>10.699999999999974</c:v>
                </c:pt>
                <c:pt idx="39">
                  <c:v>-2.4868995751603507E-14</c:v>
                </c:pt>
                <c:pt idx="40">
                  <c:v>-45.40000000000002</c:v>
                </c:pt>
                <c:pt idx="41">
                  <c:v>-51.800000000000018</c:v>
                </c:pt>
                <c:pt idx="42">
                  <c:v>-2.1316282072803006E-14</c:v>
                </c:pt>
                <c:pt idx="43">
                  <c:v>4.4999999999999787</c:v>
                </c:pt>
                <c:pt idx="44">
                  <c:v>36.999999999999979</c:v>
                </c:pt>
                <c:pt idx="45">
                  <c:v>-2.1316282072803006E-14</c:v>
                </c:pt>
                <c:pt idx="46">
                  <c:v>-1.5000000000000213</c:v>
                </c:pt>
                <c:pt idx="47">
                  <c:v>-44.90000000000002</c:v>
                </c:pt>
                <c:pt idx="48">
                  <c:v>-2.1316282072803006E-14</c:v>
                </c:pt>
                <c:pt idx="49">
                  <c:v>5.6999999999999789</c:v>
                </c:pt>
                <c:pt idx="50">
                  <c:v>52.799999999999983</c:v>
                </c:pt>
                <c:pt idx="51">
                  <c:v>-1.4210854715202004E-14</c:v>
                </c:pt>
                <c:pt idx="52">
                  <c:v>4.9999999999999858</c:v>
                </c:pt>
                <c:pt idx="53">
                  <c:v>40.299999999999983</c:v>
                </c:pt>
                <c:pt idx="54">
                  <c:v>-1.4210854715202004E-14</c:v>
                </c:pt>
                <c:pt idx="55">
                  <c:v>-54.200000000000017</c:v>
                </c:pt>
                <c:pt idx="56">
                  <c:v>21.199999999999989</c:v>
                </c:pt>
                <c:pt idx="57">
                  <c:v>-1.0658141036401503E-14</c:v>
                </c:pt>
                <c:pt idx="58">
                  <c:v>-12.500000000000011</c:v>
                </c:pt>
                <c:pt idx="59">
                  <c:v>40.499999999999986</c:v>
                </c:pt>
                <c:pt idx="60">
                  <c:v>-1.4210854715202004E-14</c:v>
                </c:pt>
                <c:pt idx="61">
                  <c:v>12.099999999999985</c:v>
                </c:pt>
                <c:pt idx="62">
                  <c:v>45.999999999999986</c:v>
                </c:pt>
                <c:pt idx="63">
                  <c:v>-1.4210854715202004E-14</c:v>
                </c:pt>
                <c:pt idx="64">
                  <c:v>-1.8000000000000143</c:v>
                </c:pt>
                <c:pt idx="65">
                  <c:v>-32.600000000000016</c:v>
                </c:pt>
                <c:pt idx="66">
                  <c:v>-1.4210854715202004E-14</c:v>
                </c:pt>
                <c:pt idx="67">
                  <c:v>-55.500000000000014</c:v>
                </c:pt>
                <c:pt idx="68">
                  <c:v>-4.5000000000000142</c:v>
                </c:pt>
                <c:pt idx="69">
                  <c:v>-1.4210854715202004E-14</c:v>
                </c:pt>
                <c:pt idx="70">
                  <c:v>3.4999999999999858</c:v>
                </c:pt>
                <c:pt idx="71">
                  <c:v>32.499999999999986</c:v>
                </c:pt>
                <c:pt idx="72">
                  <c:v>-1.4210854715202004E-14</c:v>
                </c:pt>
                <c:pt idx="73">
                  <c:v>40.599999999999987</c:v>
                </c:pt>
                <c:pt idx="74">
                  <c:v>60.299999999999983</c:v>
                </c:pt>
                <c:pt idx="75">
                  <c:v>-1.4210854715202004E-14</c:v>
                </c:pt>
                <c:pt idx="76">
                  <c:v>34.199999999999989</c:v>
                </c:pt>
                <c:pt idx="77">
                  <c:v>41.399999999999991</c:v>
                </c:pt>
                <c:pt idx="78">
                  <c:v>-7.1054273576010019E-15</c:v>
                </c:pt>
                <c:pt idx="79">
                  <c:v>-10.200000000000006</c:v>
                </c:pt>
                <c:pt idx="80">
                  <c:v>57.399999999999991</c:v>
                </c:pt>
                <c:pt idx="81">
                  <c:v>-7.1054273576010019E-15</c:v>
                </c:pt>
                <c:pt idx="82">
                  <c:v>-33.000000000000007</c:v>
                </c:pt>
                <c:pt idx="83">
                  <c:v>-34.20000000000001</c:v>
                </c:pt>
                <c:pt idx="84">
                  <c:v>-7.1054273576010019E-15</c:v>
                </c:pt>
                <c:pt idx="85">
                  <c:v>2.3999999999999928</c:v>
                </c:pt>
                <c:pt idx="86">
                  <c:v>48.099999999999994</c:v>
                </c:pt>
                <c:pt idx="87">
                  <c:v>-7.1054273576010019E-15</c:v>
                </c:pt>
                <c:pt idx="88">
                  <c:v>61.399999999999991</c:v>
                </c:pt>
                <c:pt idx="89">
                  <c:v>9.7999999999999901</c:v>
                </c:pt>
                <c:pt idx="90">
                  <c:v>-1.0658141036401503E-14</c:v>
                </c:pt>
                <c:pt idx="91">
                  <c:v>-9.7000000000000099</c:v>
                </c:pt>
                <c:pt idx="92">
                  <c:v>-49.800000000000011</c:v>
                </c:pt>
                <c:pt idx="93">
                  <c:v>-1.4210854715202004E-14</c:v>
                </c:pt>
                <c:pt idx="94">
                  <c:v>-45.100000000000016</c:v>
                </c:pt>
                <c:pt idx="95">
                  <c:v>-54.200000000000017</c:v>
                </c:pt>
                <c:pt idx="96">
                  <c:v>-1.4210854715202004E-14</c:v>
                </c:pt>
                <c:pt idx="97">
                  <c:v>-44.100000000000016</c:v>
                </c:pt>
                <c:pt idx="98">
                  <c:v>22.999999999999979</c:v>
                </c:pt>
                <c:pt idx="99">
                  <c:v>-2.1316282072803006E-14</c:v>
                </c:pt>
                <c:pt idx="100">
                  <c:v>31.499999999999979</c:v>
                </c:pt>
                <c:pt idx="101">
                  <c:v>-8.9000000000000199</c:v>
                </c:pt>
                <c:pt idx="102">
                  <c:v>-1.9539925233402755E-14</c:v>
                </c:pt>
                <c:pt idx="103">
                  <c:v>30.199999999999982</c:v>
                </c:pt>
                <c:pt idx="104">
                  <c:v>26.499999999999982</c:v>
                </c:pt>
                <c:pt idx="105">
                  <c:v>-1.7763568394002505E-14</c:v>
                </c:pt>
                <c:pt idx="106">
                  <c:v>-33.800000000000011</c:v>
                </c:pt>
                <c:pt idx="107">
                  <c:v>-6.6000000000000121</c:v>
                </c:pt>
                <c:pt idx="108">
                  <c:v>-1.2434497875801753E-14</c:v>
                </c:pt>
                <c:pt idx="109">
                  <c:v>68.399999999999991</c:v>
                </c:pt>
                <c:pt idx="110">
                  <c:v>55.79999999999999</c:v>
                </c:pt>
                <c:pt idx="111">
                  <c:v>-7.1054273576010019E-15</c:v>
                </c:pt>
                <c:pt idx="112">
                  <c:v>-45.300000000000004</c:v>
                </c:pt>
                <c:pt idx="113">
                  <c:v>-40.6</c:v>
                </c:pt>
                <c:pt idx="114">
                  <c:v>0</c:v>
                </c:pt>
                <c:pt idx="115">
                  <c:v>-30.1</c:v>
                </c:pt>
                <c:pt idx="116">
                  <c:v>-36.1</c:v>
                </c:pt>
                <c:pt idx="117">
                  <c:v>0</c:v>
                </c:pt>
                <c:pt idx="118">
                  <c:v>34</c:v>
                </c:pt>
                <c:pt idx="119">
                  <c:v>0.89999999999999858</c:v>
                </c:pt>
                <c:pt idx="120">
                  <c:v>-1.4432899320127035E-15</c:v>
                </c:pt>
                <c:pt idx="121">
                  <c:v>-32</c:v>
                </c:pt>
                <c:pt idx="122">
                  <c:v>-29.2</c:v>
                </c:pt>
                <c:pt idx="123">
                  <c:v>0</c:v>
                </c:pt>
                <c:pt idx="124">
                  <c:v>7.2</c:v>
                </c:pt>
                <c:pt idx="125">
                  <c:v>-49.599999999999994</c:v>
                </c:pt>
                <c:pt idx="126">
                  <c:v>7.1054273576010019E-15</c:v>
                </c:pt>
                <c:pt idx="127">
                  <c:v>16.300000000000008</c:v>
                </c:pt>
                <c:pt idx="128">
                  <c:v>59.900000000000006</c:v>
                </c:pt>
                <c:pt idx="129">
                  <c:v>7.1054273576010019E-15</c:v>
                </c:pt>
                <c:pt idx="130">
                  <c:v>-30.799999999999994</c:v>
                </c:pt>
                <c:pt idx="131">
                  <c:v>-38.399999999999991</c:v>
                </c:pt>
                <c:pt idx="132">
                  <c:v>7.1054273576010019E-15</c:v>
                </c:pt>
                <c:pt idx="133">
                  <c:v>-99.4</c:v>
                </c:pt>
                <c:pt idx="134">
                  <c:v>-129.30000000000001</c:v>
                </c:pt>
                <c:pt idx="135">
                  <c:v>0</c:v>
                </c:pt>
                <c:pt idx="136">
                  <c:v>-58.1</c:v>
                </c:pt>
                <c:pt idx="137">
                  <c:v>7.6000000000000014</c:v>
                </c:pt>
                <c:pt idx="138">
                  <c:v>1.7763568394002505E-15</c:v>
                </c:pt>
                <c:pt idx="139">
                  <c:v>1.0000000000000018</c:v>
                </c:pt>
                <c:pt idx="140">
                  <c:v>35.299999999999997</c:v>
                </c:pt>
                <c:pt idx="141">
                  <c:v>0</c:v>
                </c:pt>
                <c:pt idx="142">
                  <c:v>-48</c:v>
                </c:pt>
                <c:pt idx="143">
                  <c:v>-1.2000000000000028</c:v>
                </c:pt>
                <c:pt idx="144">
                  <c:v>-2.886579864025407E-15</c:v>
                </c:pt>
                <c:pt idx="145">
                  <c:v>-0.40000000000000291</c:v>
                </c:pt>
                <c:pt idx="146">
                  <c:v>37.799999999999997</c:v>
                </c:pt>
                <c:pt idx="147">
                  <c:v>0</c:v>
                </c:pt>
                <c:pt idx="148">
                  <c:v>-5.8</c:v>
                </c:pt>
                <c:pt idx="149">
                  <c:v>52.7</c:v>
                </c:pt>
                <c:pt idx="150">
                  <c:v>0</c:v>
                </c:pt>
                <c:pt idx="151">
                  <c:v>-2.5</c:v>
                </c:pt>
                <c:pt idx="152">
                  <c:v>-26.4</c:v>
                </c:pt>
                <c:pt idx="153">
                  <c:v>0</c:v>
                </c:pt>
                <c:pt idx="154">
                  <c:v>61.8</c:v>
                </c:pt>
                <c:pt idx="155">
                  <c:v>-12</c:v>
                </c:pt>
                <c:pt idx="156">
                  <c:v>0</c:v>
                </c:pt>
                <c:pt idx="157">
                  <c:v>-27.1</c:v>
                </c:pt>
                <c:pt idx="158">
                  <c:v>-29.700000000000003</c:v>
                </c:pt>
                <c:pt idx="159">
                  <c:v>-3.5527136788005009E-15</c:v>
                </c:pt>
                <c:pt idx="160">
                  <c:v>-27.500000000000004</c:v>
                </c:pt>
                <c:pt idx="161">
                  <c:v>-27.600000000000005</c:v>
                </c:pt>
                <c:pt idx="162">
                  <c:v>-3.5527136788005009E-15</c:v>
                </c:pt>
                <c:pt idx="163">
                  <c:v>45.7</c:v>
                </c:pt>
                <c:pt idx="164">
                  <c:v>-17.699999999999996</c:v>
                </c:pt>
                <c:pt idx="165">
                  <c:v>3.5527136788005009E-15</c:v>
                </c:pt>
                <c:pt idx="166">
                  <c:v>-40.799999999999997</c:v>
                </c:pt>
                <c:pt idx="167">
                  <c:v>-47.5</c:v>
                </c:pt>
                <c:pt idx="168">
                  <c:v>0</c:v>
                </c:pt>
                <c:pt idx="169">
                  <c:v>-2.2999999999999998</c:v>
                </c:pt>
                <c:pt idx="170">
                  <c:v>-59</c:v>
                </c:pt>
                <c:pt idx="171">
                  <c:v>0</c:v>
                </c:pt>
                <c:pt idx="172">
                  <c:v>-10.9</c:v>
                </c:pt>
                <c:pt idx="173">
                  <c:v>-58.9</c:v>
                </c:pt>
                <c:pt idx="174">
                  <c:v>0</c:v>
                </c:pt>
                <c:pt idx="175">
                  <c:v>68.7</c:v>
                </c:pt>
                <c:pt idx="176">
                  <c:v>68.2</c:v>
                </c:pt>
                <c:pt idx="177">
                  <c:v>0</c:v>
                </c:pt>
                <c:pt idx="178">
                  <c:v>26.5</c:v>
                </c:pt>
                <c:pt idx="179">
                  <c:v>26</c:v>
                </c:pt>
                <c:pt idx="180">
                  <c:v>0</c:v>
                </c:pt>
                <c:pt idx="181">
                  <c:v>-21.6</c:v>
                </c:pt>
                <c:pt idx="182">
                  <c:v>-87.199999999999989</c:v>
                </c:pt>
                <c:pt idx="183">
                  <c:v>1.4210854715202004E-14</c:v>
                </c:pt>
                <c:pt idx="184">
                  <c:v>-24.799999999999986</c:v>
                </c:pt>
                <c:pt idx="185">
                  <c:v>3.6000000000000121</c:v>
                </c:pt>
                <c:pt idx="186">
                  <c:v>1.1990408665951691E-14</c:v>
                </c:pt>
                <c:pt idx="187">
                  <c:v>-61.099999999999987</c:v>
                </c:pt>
                <c:pt idx="188">
                  <c:v>25.20000000000001</c:v>
                </c:pt>
                <c:pt idx="189">
                  <c:v>1.0658141036401503E-14</c:v>
                </c:pt>
                <c:pt idx="190">
                  <c:v>44.200000000000017</c:v>
                </c:pt>
                <c:pt idx="191">
                  <c:v>-19.499999999999986</c:v>
                </c:pt>
                <c:pt idx="192">
                  <c:v>1.4210854715202004E-14</c:v>
                </c:pt>
                <c:pt idx="193">
                  <c:v>-30.599999999999987</c:v>
                </c:pt>
                <c:pt idx="194">
                  <c:v>-35.599999999999987</c:v>
                </c:pt>
                <c:pt idx="195">
                  <c:v>1.4210854715202004E-14</c:v>
                </c:pt>
                <c:pt idx="196">
                  <c:v>37.700000000000017</c:v>
                </c:pt>
                <c:pt idx="197">
                  <c:v>4.5000000000000142</c:v>
                </c:pt>
                <c:pt idx="198">
                  <c:v>1.4210854715202004E-14</c:v>
                </c:pt>
                <c:pt idx="199">
                  <c:v>95.000000000000014</c:v>
                </c:pt>
                <c:pt idx="200">
                  <c:v>72.900000000000006</c:v>
                </c:pt>
                <c:pt idx="201">
                  <c:v>0</c:v>
                </c:pt>
                <c:pt idx="202">
                  <c:v>-44.4</c:v>
                </c:pt>
                <c:pt idx="203">
                  <c:v>-61</c:v>
                </c:pt>
                <c:pt idx="204">
                  <c:v>0</c:v>
                </c:pt>
                <c:pt idx="205">
                  <c:v>4.3</c:v>
                </c:pt>
                <c:pt idx="206">
                  <c:v>30.1</c:v>
                </c:pt>
                <c:pt idx="207">
                  <c:v>0</c:v>
                </c:pt>
                <c:pt idx="208">
                  <c:v>-12.6</c:v>
                </c:pt>
                <c:pt idx="209">
                  <c:v>-47.5</c:v>
                </c:pt>
                <c:pt idx="210">
                  <c:v>0</c:v>
                </c:pt>
                <c:pt idx="211">
                  <c:v>39.200000000000003</c:v>
                </c:pt>
                <c:pt idx="212">
                  <c:v>4</c:v>
                </c:pt>
                <c:pt idx="213">
                  <c:v>0</c:v>
                </c:pt>
                <c:pt idx="214">
                  <c:v>91</c:v>
                </c:pt>
                <c:pt idx="215">
                  <c:v>26.900000000000006</c:v>
                </c:pt>
                <c:pt idx="216">
                  <c:v>7.1054273576010019E-15</c:v>
                </c:pt>
                <c:pt idx="217">
                  <c:v>-10.999999999999993</c:v>
                </c:pt>
                <c:pt idx="218">
                  <c:v>59.000000000000007</c:v>
                </c:pt>
                <c:pt idx="219">
                  <c:v>7.1054273576010019E-15</c:v>
                </c:pt>
                <c:pt idx="220">
                  <c:v>28.800000000000008</c:v>
                </c:pt>
                <c:pt idx="221">
                  <c:v>2.9000000000000092</c:v>
                </c:pt>
                <c:pt idx="222">
                  <c:v>9.3258734068513149E-15</c:v>
                </c:pt>
                <c:pt idx="223">
                  <c:v>-58.199999999999996</c:v>
                </c:pt>
                <c:pt idx="224">
                  <c:v>-17.099999999999994</c:v>
                </c:pt>
                <c:pt idx="225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9-4C4A-94C2-437432D6C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-22.222222222222221</c:v>
                </c:pt>
                <c:pt idx="1">
                  <c:v>0</c:v>
                </c:pt>
                <c:pt idx="2">
                  <c:v>9.2592592592592595</c:v>
                </c:pt>
                <c:pt idx="3">
                  <c:v>0</c:v>
                </c:pt>
                <c:pt idx="4">
                  <c:v>-26.041666666666668</c:v>
                </c:pt>
                <c:pt idx="5">
                  <c:v>47.61904761904762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51-49B6-AF6C-08F0E824F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31</c:v>
                </c:pt>
                <c:pt idx="1">
                  <c:v>91</c:v>
                </c:pt>
                <c:pt idx="2">
                  <c:v>101</c:v>
                </c:pt>
                <c:pt idx="3">
                  <c:v>109</c:v>
                </c:pt>
                <c:pt idx="4">
                  <c:v>84</c:v>
                </c:pt>
                <c:pt idx="5">
                  <c:v>58</c:v>
                </c:pt>
                <c:pt idx="6">
                  <c:v>34</c:v>
                </c:pt>
                <c:pt idx="7">
                  <c:v>21</c:v>
                </c:pt>
                <c:pt idx="8">
                  <c:v>6</c:v>
                </c:pt>
                <c:pt idx="9">
                  <c:v>5</c:v>
                </c:pt>
                <c:pt idx="10">
                  <c:v>2</c:v>
                </c:pt>
                <c:pt idx="11">
                  <c:v>0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23-4572-83E0-7AEE05E48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全体!$K$2:$K$227</c:f>
              <c:numCache>
                <c:formatCode>General</c:formatCode>
                <c:ptCount val="2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</c:numCache>
            </c:numRef>
          </c:xVal>
          <c:yVal>
            <c:numRef>
              <c:f>全体!$M$2:$M$227</c:f>
              <c:numCache>
                <c:formatCode>0</c:formatCode>
                <c:ptCount val="226"/>
                <c:pt idx="0">
                  <c:v>1614.2957512011271</c:v>
                </c:pt>
                <c:pt idx="1">
                  <c:v>1603.1699766939203</c:v>
                </c:pt>
                <c:pt idx="2">
                  <c:v>1611.8209568337568</c:v>
                </c:pt>
                <c:pt idx="3">
                  <c:v>1612.3200310927543</c:v>
                </c:pt>
                <c:pt idx="4">
                  <c:v>1617.2321109061977</c:v>
                </c:pt>
                <c:pt idx="5">
                  <c:v>1611.1347182407605</c:v>
                </c:pt>
                <c:pt idx="6">
                  <c:v>1610.4019099313159</c:v>
                </c:pt>
                <c:pt idx="7">
                  <c:v>1617.911498471728</c:v>
                </c:pt>
                <c:pt idx="8">
                  <c:v>1607.3940294808976</c:v>
                </c:pt>
                <c:pt idx="9">
                  <c:v>1608.9816653040123</c:v>
                </c:pt>
                <c:pt idx="10">
                  <c:v>1613.0137753121883</c:v>
                </c:pt>
                <c:pt idx="11">
                  <c:v>1613.0256926603151</c:v>
                </c:pt>
                <c:pt idx="12">
                  <c:v>1609.3655385043533</c:v>
                </c:pt>
                <c:pt idx="13">
                  <c:v>1616.5693452733271</c:v>
                </c:pt>
                <c:pt idx="14">
                  <c:v>1614.4779292016872</c:v>
                </c:pt>
                <c:pt idx="15">
                  <c:v>1607.9530616264772</c:v>
                </c:pt>
                <c:pt idx="16">
                  <c:v>1608.3733432567183</c:v>
                </c:pt>
                <c:pt idx="17">
                  <c:v>1614.1731031971779</c:v>
                </c:pt>
                <c:pt idx="18">
                  <c:v>1608.4180645779948</c:v>
                </c:pt>
                <c:pt idx="19">
                  <c:v>1609.3575561905268</c:v>
                </c:pt>
                <c:pt idx="20">
                  <c:v>1614.9714108533835</c:v>
                </c:pt>
                <c:pt idx="21">
                  <c:v>1607.0875823882632</c:v>
                </c:pt>
                <c:pt idx="22">
                  <c:v>1600.1750568939335</c:v>
                </c:pt>
                <c:pt idx="23">
                  <c:v>1605.83200655257</c:v>
                </c:pt>
                <c:pt idx="24">
                  <c:v>1607.2970145132545</c:v>
                </c:pt>
                <c:pt idx="25">
                  <c:v>1618.5032324261749</c:v>
                </c:pt>
                <c:pt idx="26">
                  <c:v>1608.6902130316178</c:v>
                </c:pt>
                <c:pt idx="27">
                  <c:v>1607.684071753428</c:v>
                </c:pt>
                <c:pt idx="28">
                  <c:v>1607.6079673229074</c:v>
                </c:pt>
                <c:pt idx="29">
                  <c:v>1616.1003195189699</c:v>
                </c:pt>
                <c:pt idx="30">
                  <c:v>1607.837717601856</c:v>
                </c:pt>
                <c:pt idx="31">
                  <c:v>1605.4986912962447</c:v>
                </c:pt>
                <c:pt idx="32">
                  <c:v>1618.8336991484673</c:v>
                </c:pt>
                <c:pt idx="33">
                  <c:v>1608.7066969535765</c:v>
                </c:pt>
                <c:pt idx="34">
                  <c:v>1614.4924567718551</c:v>
                </c:pt>
                <c:pt idx="35">
                  <c:v>1609.929502031224</c:v>
                </c:pt>
                <c:pt idx="36">
                  <c:v>1609.1199250190366</c:v>
                </c:pt>
                <c:pt idx="37">
                  <c:v>1598.0912054689225</c:v>
                </c:pt>
                <c:pt idx="38">
                  <c:v>1610.2586582361089</c:v>
                </c:pt>
                <c:pt idx="39">
                  <c:v>1607.8991062866921</c:v>
                </c:pt>
                <c:pt idx="40">
                  <c:v>1599.901711648972</c:v>
                </c:pt>
                <c:pt idx="41">
                  <c:v>1598.9723013790781</c:v>
                </c:pt>
                <c:pt idx="42">
                  <c:v>1608.5244675708036</c:v>
                </c:pt>
                <c:pt idx="43">
                  <c:v>1609.6133207653788</c:v>
                </c:pt>
                <c:pt idx="44">
                  <c:v>1615.7356408407866</c:v>
                </c:pt>
                <c:pt idx="45">
                  <c:v>1609.3112269957419</c:v>
                </c:pt>
                <c:pt idx="46">
                  <c:v>1609.1173596337674</c:v>
                </c:pt>
                <c:pt idx="47">
                  <c:v>1601.3826554759648</c:v>
                </c:pt>
                <c:pt idx="48">
                  <c:v>1609.5883595431089</c:v>
                </c:pt>
                <c:pt idx="49">
                  <c:v>1610.1668293858502</c:v>
                </c:pt>
                <c:pt idx="50">
                  <c:v>1618.1938284095352</c:v>
                </c:pt>
                <c:pt idx="51">
                  <c:v>1608.190665439078</c:v>
                </c:pt>
                <c:pt idx="52">
                  <c:v>1609.1375214464435</c:v>
                </c:pt>
                <c:pt idx="53">
                  <c:v>1615.5326963177649</c:v>
                </c:pt>
                <c:pt idx="54">
                  <c:v>1608.2815001398583</c:v>
                </c:pt>
                <c:pt idx="55">
                  <c:v>1598.3138111390192</c:v>
                </c:pt>
                <c:pt idx="56">
                  <c:v>1611.733928272185</c:v>
                </c:pt>
                <c:pt idx="57">
                  <c:v>1607.6855247025519</c:v>
                </c:pt>
                <c:pt idx="58">
                  <c:v>1605.2274115543366</c:v>
                </c:pt>
                <c:pt idx="59">
                  <c:v>1614.5740470850105</c:v>
                </c:pt>
                <c:pt idx="60">
                  <c:v>1607.0346028025006</c:v>
                </c:pt>
                <c:pt idx="61">
                  <c:v>1609.0083951856855</c:v>
                </c:pt>
                <c:pt idx="62">
                  <c:v>1614.8943448145712</c:v>
                </c:pt>
                <c:pt idx="63">
                  <c:v>1606.3629787456839</c:v>
                </c:pt>
                <c:pt idx="64">
                  <c:v>1605.8388008732097</c:v>
                </c:pt>
                <c:pt idx="65">
                  <c:v>1600.0977680679705</c:v>
                </c:pt>
                <c:pt idx="66">
                  <c:v>1605.8031814595627</c:v>
                </c:pt>
                <c:pt idx="67">
                  <c:v>1595.6163623708053</c:v>
                </c:pt>
                <c:pt idx="68">
                  <c:v>1604.6606641965805</c:v>
                </c:pt>
                <c:pt idx="69">
                  <c:v>1605.2807002114009</c:v>
                </c:pt>
                <c:pt idx="70">
                  <c:v>1605.7170160101325</c:v>
                </c:pt>
                <c:pt idx="71">
                  <c:v>1610.7407139140716</c:v>
                </c:pt>
                <c:pt idx="72">
                  <c:v>1604.6642696305871</c:v>
                </c:pt>
                <c:pt idx="73">
                  <c:v>1611.7822840128035</c:v>
                </c:pt>
                <c:pt idx="74">
                  <c:v>1615.0955903087267</c:v>
                </c:pt>
                <c:pt idx="75">
                  <c:v>1603.9890167668743</c:v>
                </c:pt>
                <c:pt idx="76">
                  <c:v>1609.9530826662731</c:v>
                </c:pt>
                <c:pt idx="77">
                  <c:v>1611.0213641702755</c:v>
                </c:pt>
                <c:pt idx="78">
                  <c:v>1603.3352359852538</c:v>
                </c:pt>
                <c:pt idx="79">
                  <c:v>1601.4492245693423</c:v>
                </c:pt>
                <c:pt idx="80">
                  <c:v>1613.5785292219261</c:v>
                </c:pt>
                <c:pt idx="81">
                  <c:v>1603.1350580465946</c:v>
                </c:pt>
                <c:pt idx="82">
                  <c:v>1597.1462476983152</c:v>
                </c:pt>
                <c:pt idx="83">
                  <c:v>1596.9173702121252</c:v>
                </c:pt>
                <c:pt idx="84">
                  <c:v>1603.0618659908525</c:v>
                </c:pt>
                <c:pt idx="85">
                  <c:v>1603.4454947949075</c:v>
                </c:pt>
                <c:pt idx="86">
                  <c:v>1611.6208218261381</c:v>
                </c:pt>
                <c:pt idx="87">
                  <c:v>1602.8630968951813</c:v>
                </c:pt>
                <c:pt idx="88">
                  <c:v>1613.8739183138102</c:v>
                </c:pt>
                <c:pt idx="89">
                  <c:v>1604.4786748039273</c:v>
                </c:pt>
                <c:pt idx="90">
                  <c:v>1602.6638027551037</c:v>
                </c:pt>
                <c:pt idx="91">
                  <c:v>1600.871819938573</c:v>
                </c:pt>
                <c:pt idx="92">
                  <c:v>1593.6185890189415</c:v>
                </c:pt>
                <c:pt idx="93">
                  <c:v>1602.5908774848278</c:v>
                </c:pt>
                <c:pt idx="94">
                  <c:v>1594.4333322199188</c:v>
                </c:pt>
                <c:pt idx="95">
                  <c:v>1592.8047322265993</c:v>
                </c:pt>
                <c:pt idx="96">
                  <c:v>1602.5799038332398</c:v>
                </c:pt>
                <c:pt idx="97">
                  <c:v>1594.6024244102402</c:v>
                </c:pt>
                <c:pt idx="98">
                  <c:v>1606.6888098637787</c:v>
                </c:pt>
                <c:pt idx="99">
                  <c:v>1602.4846770045961</c:v>
                </c:pt>
                <c:pt idx="100">
                  <c:v>1608.4757689425685</c:v>
                </c:pt>
                <c:pt idx="101">
                  <c:v>1601.4889143289131</c:v>
                </c:pt>
                <c:pt idx="102">
                  <c:v>1603.4179808429396</c:v>
                </c:pt>
                <c:pt idx="103">
                  <c:v>1609.1694729578819</c:v>
                </c:pt>
                <c:pt idx="104">
                  <c:v>1608.7844561201346</c:v>
                </c:pt>
                <c:pt idx="105">
                  <c:v>1604.2977493834137</c:v>
                </c:pt>
                <c:pt idx="106">
                  <c:v>1598.5239628871132</c:v>
                </c:pt>
                <c:pt idx="107">
                  <c:v>1603.7648191097906</c:v>
                </c:pt>
                <c:pt idx="108">
                  <c:v>1605.2662301951318</c:v>
                </c:pt>
                <c:pt idx="109">
                  <c:v>1617.882632813961</c:v>
                </c:pt>
                <c:pt idx="110">
                  <c:v>1615.8433370170771</c:v>
                </c:pt>
                <c:pt idx="111">
                  <c:v>1606.0402769949746</c:v>
                </c:pt>
                <c:pt idx="112">
                  <c:v>1598.1860353330048</c:v>
                </c:pt>
                <c:pt idx="113">
                  <c:v>1599.3789191210069</c:v>
                </c:pt>
                <c:pt idx="114">
                  <c:v>1607.0266456062809</c:v>
                </c:pt>
                <c:pt idx="115">
                  <c:v>1601.9024857326433</c:v>
                </c:pt>
                <c:pt idx="116">
                  <c:v>1601.1470708182474</c:v>
                </c:pt>
                <c:pt idx="117">
                  <c:v>1607.974188393338</c:v>
                </c:pt>
                <c:pt idx="118">
                  <c:v>1614.3823432629779</c:v>
                </c:pt>
                <c:pt idx="119">
                  <c:v>1608.6740492034</c:v>
                </c:pt>
                <c:pt idx="120">
                  <c:v>1608.7960049081796</c:v>
                </c:pt>
                <c:pt idx="121">
                  <c:v>1603.3192288787304</c:v>
                </c:pt>
                <c:pt idx="122">
                  <c:v>1604.1393135054579</c:v>
                </c:pt>
                <c:pt idx="123">
                  <c:v>1609.7064776244251</c:v>
                </c:pt>
                <c:pt idx="124">
                  <c:v>1611.2802387586785</c:v>
                </c:pt>
                <c:pt idx="125">
                  <c:v>1601.3245573261265</c:v>
                </c:pt>
                <c:pt idx="126">
                  <c:v>1610.5806099821698</c:v>
                </c:pt>
                <c:pt idx="127">
                  <c:v>1613.7871263222767</c:v>
                </c:pt>
                <c:pt idx="128">
                  <c:v>1621.888403564343</c:v>
                </c:pt>
                <c:pt idx="129">
                  <c:v>1611.311073142957</c:v>
                </c:pt>
                <c:pt idx="130">
                  <c:v>1606.0352067040992</c:v>
                </c:pt>
                <c:pt idx="131">
                  <c:v>1604.9669954638746</c:v>
                </c:pt>
                <c:pt idx="132">
                  <c:v>1612.1851934910912</c:v>
                </c:pt>
                <c:pt idx="133">
                  <c:v>1594.1600823301446</c:v>
                </c:pt>
                <c:pt idx="134">
                  <c:v>1588.7531218361637</c:v>
                </c:pt>
                <c:pt idx="135">
                  <c:v>1612.0346031051467</c:v>
                </c:pt>
                <c:pt idx="136">
                  <c:v>1601.4443954865158</c:v>
                </c:pt>
                <c:pt idx="137">
                  <c:v>1613.2017291135967</c:v>
                </c:pt>
                <c:pt idx="138">
                  <c:v>1611.6945187389151</c:v>
                </c:pt>
                <c:pt idx="139">
                  <c:v>1611.7443516264816</c:v>
                </c:pt>
                <c:pt idx="140">
                  <c:v>1617.7878855167228</c:v>
                </c:pt>
                <c:pt idx="141">
                  <c:v>1611.2671582036226</c:v>
                </c:pt>
                <c:pt idx="142">
                  <c:v>1602.4995552544008</c:v>
                </c:pt>
                <c:pt idx="143">
                  <c:v>1610.8485579228743</c:v>
                </c:pt>
                <c:pt idx="144">
                  <c:v>1610.9394665753371</c:v>
                </c:pt>
                <c:pt idx="145">
                  <c:v>1610.741829775885</c:v>
                </c:pt>
                <c:pt idx="146">
                  <c:v>1617.4933787972298</c:v>
                </c:pt>
                <c:pt idx="147">
                  <c:v>1610.5244185244464</c:v>
                </c:pt>
                <c:pt idx="148">
                  <c:v>1609.3512720132999</c:v>
                </c:pt>
                <c:pt idx="149">
                  <c:v>1619.75916438122</c:v>
                </c:pt>
                <c:pt idx="150">
                  <c:v>1610.0886093949327</c:v>
                </c:pt>
                <c:pt idx="151">
                  <c:v>1609.5180777385631</c:v>
                </c:pt>
                <c:pt idx="152">
                  <c:v>1605.0989692721316</c:v>
                </c:pt>
                <c:pt idx="153">
                  <c:v>1609.7603754564989</c:v>
                </c:pt>
                <c:pt idx="154">
                  <c:v>1620.62181320376</c:v>
                </c:pt>
                <c:pt idx="155">
                  <c:v>1607.0100823245375</c:v>
                </c:pt>
                <c:pt idx="156">
                  <c:v>1608.9240218305904</c:v>
                </c:pt>
                <c:pt idx="157">
                  <c:v>1603.8904776996069</c:v>
                </c:pt>
                <c:pt idx="158">
                  <c:v>1603.2971348334092</c:v>
                </c:pt>
                <c:pt idx="159">
                  <c:v>1608.5213520244088</c:v>
                </c:pt>
                <c:pt idx="160">
                  <c:v>1603.4182239122624</c:v>
                </c:pt>
                <c:pt idx="161">
                  <c:v>1603.277714568789</c:v>
                </c:pt>
                <c:pt idx="162">
                  <c:v>1608.1240482813762</c:v>
                </c:pt>
                <c:pt idx="163">
                  <c:v>1616.1993039916879</c:v>
                </c:pt>
                <c:pt idx="164">
                  <c:v>1604.5881081677378</c:v>
                </c:pt>
                <c:pt idx="165">
                  <c:v>1607.6445795187315</c:v>
                </c:pt>
                <c:pt idx="166">
                  <c:v>1600.152712041619</c:v>
                </c:pt>
                <c:pt idx="167">
                  <c:v>1598.8437957693693</c:v>
                </c:pt>
                <c:pt idx="168">
                  <c:v>1607.298732994753</c:v>
                </c:pt>
                <c:pt idx="169">
                  <c:v>1606.7389405967845</c:v>
                </c:pt>
                <c:pt idx="170">
                  <c:v>1596.3905069532038</c:v>
                </c:pt>
                <c:pt idx="171">
                  <c:v>1606.9301639114847</c:v>
                </c:pt>
                <c:pt idx="172">
                  <c:v>1604.8245829280158</c:v>
                </c:pt>
                <c:pt idx="173">
                  <c:v>1596.0536354304477</c:v>
                </c:pt>
                <c:pt idx="174">
                  <c:v>1606.577313617865</c:v>
                </c:pt>
                <c:pt idx="175">
                  <c:v>1618.8018497361579</c:v>
                </c:pt>
                <c:pt idx="176">
                  <c:v>1618.4970386377411</c:v>
                </c:pt>
                <c:pt idx="177">
                  <c:v>1606.0080564059147</c:v>
                </c:pt>
                <c:pt idx="178">
                  <c:v>1610.6400080674791</c:v>
                </c:pt>
                <c:pt idx="179">
                  <c:v>1610.3841680190742</c:v>
                </c:pt>
                <c:pt idx="180">
                  <c:v>1605.5398630109598</c:v>
                </c:pt>
                <c:pt idx="181">
                  <c:v>1601.5166238328941</c:v>
                </c:pt>
                <c:pt idx="182">
                  <c:v>1589.5975240898968</c:v>
                </c:pt>
                <c:pt idx="183">
                  <c:v>1605.2539389453573</c:v>
                </c:pt>
                <c:pt idx="184">
                  <c:v>1600.6564153116851</c:v>
                </c:pt>
                <c:pt idx="185">
                  <c:v>1605.6624768198151</c:v>
                </c:pt>
                <c:pt idx="186">
                  <c:v>1604.8785019588961</c:v>
                </c:pt>
                <c:pt idx="187">
                  <c:v>1593.7492309471427</c:v>
                </c:pt>
                <c:pt idx="188">
                  <c:v>1609.2187355614599</c:v>
                </c:pt>
                <c:pt idx="189">
                  <c:v>1604.525423148091</c:v>
                </c:pt>
                <c:pt idx="190">
                  <c:v>1612.4302706092026</c:v>
                </c:pt>
                <c:pt idx="191">
                  <c:v>1600.8656889855474</c:v>
                </c:pt>
                <c:pt idx="192">
                  <c:v>1604.3464948516341</c:v>
                </c:pt>
                <c:pt idx="193">
                  <c:v>1598.7884158825243</c:v>
                </c:pt>
                <c:pt idx="194">
                  <c:v>1597.8716853872293</c:v>
                </c:pt>
                <c:pt idx="195">
                  <c:v>1604.2684552749058</c:v>
                </c:pt>
                <c:pt idx="196">
                  <c:v>1611.0048445432565</c:v>
                </c:pt>
                <c:pt idx="197">
                  <c:v>1604.938815475997</c:v>
                </c:pt>
                <c:pt idx="198">
                  <c:v>1604.075182583141</c:v>
                </c:pt>
                <c:pt idx="199">
                  <c:v>1621.1267314876422</c:v>
                </c:pt>
                <c:pt idx="200">
                  <c:v>1616.9979710987163</c:v>
                </c:pt>
                <c:pt idx="201">
                  <c:v>1603.7499832721239</c:v>
                </c:pt>
                <c:pt idx="202">
                  <c:v>1595.7114833724911</c:v>
                </c:pt>
                <c:pt idx="203">
                  <c:v>1592.7252144722561</c:v>
                </c:pt>
                <c:pt idx="204">
                  <c:v>1603.7248631854225</c:v>
                </c:pt>
                <c:pt idx="205">
                  <c:v>1604.45851400631</c:v>
                </c:pt>
                <c:pt idx="206">
                  <c:v>1609.0577629222721</c:v>
                </c:pt>
                <c:pt idx="207">
                  <c:v>1603.5674163447384</c:v>
                </c:pt>
                <c:pt idx="208">
                  <c:v>1601.25401184667</c:v>
                </c:pt>
                <c:pt idx="209">
                  <c:v>1594.9404877755899</c:v>
                </c:pt>
                <c:pt idx="210">
                  <c:v>1603.4968448489362</c:v>
                </c:pt>
                <c:pt idx="211">
                  <c:v>1610.5078637798426</c:v>
                </c:pt>
                <c:pt idx="212">
                  <c:v>1604.0848165971636</c:v>
                </c:pt>
                <c:pt idx="213">
                  <c:v>1603.3163076975807</c:v>
                </c:pt>
                <c:pt idx="214">
                  <c:v>1619.6524098513951</c:v>
                </c:pt>
                <c:pt idx="215">
                  <c:v>1607.9724953922866</c:v>
                </c:pt>
                <c:pt idx="216">
                  <c:v>1603.0586604199329</c:v>
                </c:pt>
                <c:pt idx="217">
                  <c:v>1601.0363084574133</c:v>
                </c:pt>
                <c:pt idx="218">
                  <c:v>1613.6060906066689</c:v>
                </c:pt>
                <c:pt idx="219">
                  <c:v>1602.8804540630288</c:v>
                </c:pt>
                <c:pt idx="220">
                  <c:v>1608.0231713386506</c:v>
                </c:pt>
                <c:pt idx="221">
                  <c:v>1603.2890323106187</c:v>
                </c:pt>
                <c:pt idx="222">
                  <c:v>1602.7232981167549</c:v>
                </c:pt>
                <c:pt idx="223">
                  <c:v>1592.2069583280543</c:v>
                </c:pt>
                <c:pt idx="224">
                  <c:v>1599.6277165780859</c:v>
                </c:pt>
                <c:pt idx="225">
                  <c:v>1602.6839502786174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B-44F7-94E1-3DDAD2260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れんたろう!$L$2:$L$38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-58</c:v>
                </c:pt>
                <c:pt idx="2">
                  <c:v>-13.700000000000003</c:v>
                </c:pt>
                <c:pt idx="3">
                  <c:v>7.8999999999999986</c:v>
                </c:pt>
                <c:pt idx="4">
                  <c:v>50.4</c:v>
                </c:pt>
                <c:pt idx="5">
                  <c:v>81.7</c:v>
                </c:pt>
                <c:pt idx="6">
                  <c:v>40.5</c:v>
                </c:pt>
                <c:pt idx="7">
                  <c:v>-14.5</c:v>
                </c:pt>
                <c:pt idx="8">
                  <c:v>-29.2</c:v>
                </c:pt>
                <c:pt idx="9">
                  <c:v>-55.2</c:v>
                </c:pt>
                <c:pt idx="10">
                  <c:v>-65.900000000000006</c:v>
                </c:pt>
                <c:pt idx="11">
                  <c:v>-72.300000000000011</c:v>
                </c:pt>
                <c:pt idx="12">
                  <c:v>-67.800000000000011</c:v>
                </c:pt>
                <c:pt idx="13">
                  <c:v>-120.60000000000001</c:v>
                </c:pt>
                <c:pt idx="14">
                  <c:v>-111.7</c:v>
                </c:pt>
                <c:pt idx="15">
                  <c:v>-138.19999999999999</c:v>
                </c:pt>
                <c:pt idx="16">
                  <c:v>-131.6</c:v>
                </c:pt>
                <c:pt idx="17">
                  <c:v>-187.39999999999998</c:v>
                </c:pt>
                <c:pt idx="18">
                  <c:v>-146.79999999999998</c:v>
                </c:pt>
                <c:pt idx="19">
                  <c:v>-110.69999999999999</c:v>
                </c:pt>
                <c:pt idx="20">
                  <c:v>-111.6</c:v>
                </c:pt>
                <c:pt idx="21">
                  <c:v>-82.399999999999991</c:v>
                </c:pt>
                <c:pt idx="22">
                  <c:v>-32.79999999999999</c:v>
                </c:pt>
                <c:pt idx="23">
                  <c:v>-92.699999999999989</c:v>
                </c:pt>
                <c:pt idx="24">
                  <c:v>-54.29999999999999</c:v>
                </c:pt>
                <c:pt idx="25">
                  <c:v>-34.79999999999999</c:v>
                </c:pt>
                <c:pt idx="26">
                  <c:v>0.80000000000001137</c:v>
                </c:pt>
                <c:pt idx="27">
                  <c:v>-32.399999999999991</c:v>
                </c:pt>
                <c:pt idx="28">
                  <c:v>62.600000000000009</c:v>
                </c:pt>
                <c:pt idx="29">
                  <c:v>46.000000000000007</c:v>
                </c:pt>
                <c:pt idx="30">
                  <c:v>15.900000000000006</c:v>
                </c:pt>
                <c:pt idx="31">
                  <c:v>63.400000000000006</c:v>
                </c:pt>
                <c:pt idx="32">
                  <c:v>28.200000000000003</c:v>
                </c:pt>
                <c:pt idx="33">
                  <c:v>119.2</c:v>
                </c:pt>
                <c:pt idx="34">
                  <c:v>189.2</c:v>
                </c:pt>
                <c:pt idx="35">
                  <c:v>163.29999999999998</c:v>
                </c:pt>
                <c:pt idx="36">
                  <c:v>105.09999999999998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B-4183-92D4-4896AFE9D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352.77777777777777</c:v>
                </c:pt>
                <c:pt idx="1">
                  <c:v>-828.57142857142856</c:v>
                </c:pt>
                <c:pt idx="2">
                  <c:v>-967.64705882352939</c:v>
                </c:pt>
                <c:pt idx="3">
                  <c:v>-196.875</c:v>
                </c:pt>
                <c:pt idx="4">
                  <c:v>3935.483870967742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C5-4E33-9252-A2BA5B3B7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</c:v>
                </c:pt>
                <c:pt idx="1">
                  <c:v>14</c:v>
                </c:pt>
                <c:pt idx="2">
                  <c:v>14</c:v>
                </c:pt>
                <c:pt idx="3">
                  <c:v>17</c:v>
                </c:pt>
                <c:pt idx="4">
                  <c:v>12</c:v>
                </c:pt>
                <c:pt idx="5">
                  <c:v>12</c:v>
                </c:pt>
                <c:pt idx="6">
                  <c:v>7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2D-4AA2-89B3-1D104110F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れんたろう!$M$2:$M$38</c:f>
              <c:numCache>
                <c:formatCode>0</c:formatCode>
                <c:ptCount val="37"/>
                <c:pt idx="0">
                  <c:v>1595.6213709809917</c:v>
                </c:pt>
                <c:pt idx="1">
                  <c:v>1584.6076427551059</c:v>
                </c:pt>
                <c:pt idx="2">
                  <c:v>1592.2719968985753</c:v>
                </c:pt>
                <c:pt idx="3">
                  <c:v>1596.4043649171838</c:v>
                </c:pt>
                <c:pt idx="4">
                  <c:v>1603.6859387276807</c:v>
                </c:pt>
                <c:pt idx="5">
                  <c:v>1609.5138230953146</c:v>
                </c:pt>
                <c:pt idx="6">
                  <c:v>1601.6627401567428</c:v>
                </c:pt>
                <c:pt idx="7">
                  <c:v>1591.9507637158024</c:v>
                </c:pt>
                <c:pt idx="8">
                  <c:v>1589.7070591335075</c:v>
                </c:pt>
                <c:pt idx="9">
                  <c:v>1585.2928167787065</c:v>
                </c:pt>
                <c:pt idx="10">
                  <c:v>1583.0830598780342</c:v>
                </c:pt>
                <c:pt idx="11">
                  <c:v>1582.254561518766</c:v>
                </c:pt>
                <c:pt idx="12">
                  <c:v>1583.5010341496534</c:v>
                </c:pt>
                <c:pt idx="13">
                  <c:v>1573.7060279447555</c:v>
                </c:pt>
                <c:pt idx="14">
                  <c:v>1575.8017917770869</c:v>
                </c:pt>
                <c:pt idx="15">
                  <c:v>1571.5129810264243</c:v>
                </c:pt>
                <c:pt idx="16">
                  <c:v>1573.2079031402657</c:v>
                </c:pt>
                <c:pt idx="17">
                  <c:v>1563.6606557214241</c:v>
                </c:pt>
                <c:pt idx="18">
                  <c:v>1571.5226917870955</c:v>
                </c:pt>
                <c:pt idx="19">
                  <c:v>1578.5275556363729</c:v>
                </c:pt>
                <c:pt idx="20">
                  <c:v>1578.8303903025546</c:v>
                </c:pt>
                <c:pt idx="21">
                  <c:v>1584.5494079607392</c:v>
                </c:pt>
                <c:pt idx="22">
                  <c:v>1593.9061115129748</c:v>
                </c:pt>
                <c:pt idx="23">
                  <c:v>1583.4966748438969</c:v>
                </c:pt>
                <c:pt idx="24">
                  <c:v>1590.8436947948335</c:v>
                </c:pt>
                <c:pt idx="25">
                  <c:v>1594.3846326260646</c:v>
                </c:pt>
                <c:pt idx="26">
                  <c:v>1600.8023248303082</c:v>
                </c:pt>
                <c:pt idx="27">
                  <c:v>1594.7975108813264</c:v>
                </c:pt>
                <c:pt idx="28">
                  <c:v>1611.9047258160385</c:v>
                </c:pt>
                <c:pt idx="29">
                  <c:v>1608.8212974611422</c:v>
                </c:pt>
                <c:pt idx="30">
                  <c:v>1603.3323696763753</c:v>
                </c:pt>
                <c:pt idx="31">
                  <c:v>1611.8383754583169</c:v>
                </c:pt>
                <c:pt idx="32">
                  <c:v>1605.407345205567</c:v>
                </c:pt>
                <c:pt idx="33">
                  <c:v>1621.7309011343336</c:v>
                </c:pt>
                <c:pt idx="34">
                  <c:v>1634.1765157275277</c:v>
                </c:pt>
                <c:pt idx="35">
                  <c:v>1629.2854566331625</c:v>
                </c:pt>
                <c:pt idx="36">
                  <c:v>1618.6097438933637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23-4EDA-8E79-8E6F9DF6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51.5</c:v>
                </c:pt>
                <c:pt idx="2">
                  <c:v>21.3</c:v>
                </c:pt>
                <c:pt idx="3">
                  <c:v>-34.299999999999997</c:v>
                </c:pt>
                <c:pt idx="4">
                  <c:v>-34.9</c:v>
                </c:pt>
                <c:pt idx="5">
                  <c:v>-43.8</c:v>
                </c:pt>
                <c:pt idx="6">
                  <c:v>-42.4</c:v>
                </c:pt>
                <c:pt idx="7">
                  <c:v>-8.7999999999999972</c:v>
                </c:pt>
                <c:pt idx="8">
                  <c:v>-0.99999999999999734</c:v>
                </c:pt>
                <c:pt idx="9">
                  <c:v>60.4</c:v>
                </c:pt>
                <c:pt idx="10">
                  <c:v>14.399999999999999</c:v>
                </c:pt>
                <c:pt idx="11">
                  <c:v>45.7</c:v>
                </c:pt>
                <c:pt idx="12">
                  <c:v>115.3</c:v>
                </c:pt>
                <c:pt idx="13">
                  <c:v>69.900000000000006</c:v>
                </c:pt>
                <c:pt idx="14">
                  <c:v>114.80000000000001</c:v>
                </c:pt>
                <c:pt idx="15">
                  <c:v>161.9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40-493F-97E2-F9B3188FC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1526.6666666666667</c:v>
                </c:pt>
                <c:pt idx="1">
                  <c:v>-660</c:v>
                </c:pt>
                <c:pt idx="2">
                  <c:v>-273.33333333333331</c:v>
                </c:pt>
                <c:pt idx="3">
                  <c:v>2400</c:v>
                </c:pt>
                <c:pt idx="4">
                  <c:v>-900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4-4434-B6B9-24A642821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5</c:v>
                </c:pt>
                <c:pt idx="1">
                  <c:v>8</c:v>
                </c:pt>
                <c:pt idx="2">
                  <c:v>7</c:v>
                </c:pt>
                <c:pt idx="3">
                  <c:v>12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8-47F8-9249-F18A2185A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たかの!$M$2:$M$17</c:f>
              <c:numCache>
                <c:formatCode>0</c:formatCode>
                <c:ptCount val="16"/>
                <c:pt idx="0">
                  <c:v>1463.3989422821498</c:v>
                </c:pt>
                <c:pt idx="1">
                  <c:v>1472.8885486284569</c:v>
                </c:pt>
                <c:pt idx="2">
                  <c:v>1467.6572173366862</c:v>
                </c:pt>
                <c:pt idx="3">
                  <c:v>1458.041274032666</c:v>
                </c:pt>
                <c:pt idx="4">
                  <c:v>1458.9830263884701</c:v>
                </c:pt>
                <c:pt idx="5">
                  <c:v>1457.8371282301393</c:v>
                </c:pt>
                <c:pt idx="6">
                  <c:v>1459.1581054607584</c:v>
                </c:pt>
                <c:pt idx="7">
                  <c:v>1465.6731568279938</c:v>
                </c:pt>
                <c:pt idx="8">
                  <c:v>1467.979117887026</c:v>
                </c:pt>
                <c:pt idx="9">
                  <c:v>1480.0212431797038</c:v>
                </c:pt>
                <c:pt idx="10">
                  <c:v>1472.5751157206255</c:v>
                </c:pt>
                <c:pt idx="11">
                  <c:v>1479.1776650263018</c:v>
                </c:pt>
                <c:pt idx="12">
                  <c:v>1492.058599036144</c:v>
                </c:pt>
                <c:pt idx="13">
                  <c:v>1484.7562474419271</c:v>
                </c:pt>
                <c:pt idx="14">
                  <c:v>1493.6617099572757</c:v>
                </c:pt>
                <c:pt idx="15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5-44FE-A0A8-B36461BF9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ただ!$L$2:$L$39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6.5</c:v>
                </c:pt>
                <c:pt idx="2">
                  <c:v>5.9</c:v>
                </c:pt>
                <c:pt idx="3">
                  <c:v>17.200000000000003</c:v>
                </c:pt>
                <c:pt idx="4">
                  <c:v>-16.399999999999999</c:v>
                </c:pt>
                <c:pt idx="5">
                  <c:v>-8.7999999999999989</c:v>
                </c:pt>
                <c:pt idx="6">
                  <c:v>22.1</c:v>
                </c:pt>
                <c:pt idx="7">
                  <c:v>68.900000000000006</c:v>
                </c:pt>
                <c:pt idx="8">
                  <c:v>11.300000000000004</c:v>
                </c:pt>
                <c:pt idx="9">
                  <c:v>-47.599999999999994</c:v>
                </c:pt>
                <c:pt idx="10">
                  <c:v>-84.6</c:v>
                </c:pt>
                <c:pt idx="11">
                  <c:v>-128</c:v>
                </c:pt>
                <c:pt idx="12">
                  <c:v>-122.3</c:v>
                </c:pt>
                <c:pt idx="13">
                  <c:v>-132.5</c:v>
                </c:pt>
                <c:pt idx="14">
                  <c:v>-165.5</c:v>
                </c:pt>
                <c:pt idx="15">
                  <c:v>-119.8</c:v>
                </c:pt>
                <c:pt idx="16">
                  <c:v>-171.4</c:v>
                </c:pt>
                <c:pt idx="17">
                  <c:v>-211.5</c:v>
                </c:pt>
                <c:pt idx="18">
                  <c:v>-220.6</c:v>
                </c:pt>
                <c:pt idx="19">
                  <c:v>-153.5</c:v>
                </c:pt>
                <c:pt idx="20">
                  <c:v>-122</c:v>
                </c:pt>
                <c:pt idx="21">
                  <c:v>-91.8</c:v>
                </c:pt>
                <c:pt idx="22">
                  <c:v>-125.6</c:v>
                </c:pt>
                <c:pt idx="23">
                  <c:v>-57.199999999999989</c:v>
                </c:pt>
                <c:pt idx="24">
                  <c:v>-102.49999999999999</c:v>
                </c:pt>
                <c:pt idx="25">
                  <c:v>-132.6</c:v>
                </c:pt>
                <c:pt idx="26">
                  <c:v>-98.6</c:v>
                </c:pt>
                <c:pt idx="27">
                  <c:v>-130.6</c:v>
                </c:pt>
                <c:pt idx="28">
                  <c:v>-123.39999999999999</c:v>
                </c:pt>
                <c:pt idx="29">
                  <c:v>-107.1</c:v>
                </c:pt>
                <c:pt idx="30">
                  <c:v>-137.9</c:v>
                </c:pt>
                <c:pt idx="31">
                  <c:v>-167.8</c:v>
                </c:pt>
                <c:pt idx="32">
                  <c:v>-102.10000000000001</c:v>
                </c:pt>
                <c:pt idx="33">
                  <c:v>-67.800000000000011</c:v>
                </c:pt>
                <c:pt idx="34">
                  <c:v>-21.000000000000014</c:v>
                </c:pt>
                <c:pt idx="35">
                  <c:v>17.199999999999989</c:v>
                </c:pt>
                <c:pt idx="36">
                  <c:v>75.699999999999989</c:v>
                </c:pt>
                <c:pt idx="37">
                  <c:v>51.79999999999999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4C-46D4-B82E-FCC92653E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-332.43243243243245</c:v>
                </c:pt>
                <c:pt idx="1">
                  <c:v>2263.8888888888887</c:v>
                </c:pt>
                <c:pt idx="2">
                  <c:v>-744.44444444444446</c:v>
                </c:pt>
                <c:pt idx="3">
                  <c:v>3760</c:v>
                </c:pt>
                <c:pt idx="4">
                  <c:v>-2343.75</c:v>
                </c:pt>
                <c:pt idx="5">
                  <c:v>-628.57142857142856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A3-475C-9FB9-D65EE437C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5</c:v>
                </c:pt>
                <c:pt idx="1">
                  <c:v>21</c:v>
                </c:pt>
                <c:pt idx="2">
                  <c:v>32</c:v>
                </c:pt>
                <c:pt idx="3">
                  <c:v>19</c:v>
                </c:pt>
                <c:pt idx="4">
                  <c:v>17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6-44AA-8AB2-866C89144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ただ!$M$2:$M$39</c:f>
              <c:numCache>
                <c:formatCode>0</c:formatCode>
                <c:ptCount val="38"/>
                <c:pt idx="0">
                  <c:v>1546.9221135131666</c:v>
                </c:pt>
                <c:pt idx="1">
                  <c:v>1547.8105808320875</c:v>
                </c:pt>
                <c:pt idx="2">
                  <c:v>1547.457717347095</c:v>
                </c:pt>
                <c:pt idx="3">
                  <c:v>1549.4049710430124</c:v>
                </c:pt>
                <c:pt idx="4">
                  <c:v>1543.2705412167543</c:v>
                </c:pt>
                <c:pt idx="5">
                  <c:v>1544.6009179694538</c:v>
                </c:pt>
                <c:pt idx="6">
                  <c:v>1550.591312461637</c:v>
                </c:pt>
                <c:pt idx="7">
                  <c:v>1559.4257645868672</c:v>
                </c:pt>
                <c:pt idx="8">
                  <c:v>1549.655209999346</c:v>
                </c:pt>
                <c:pt idx="9">
                  <c:v>1538.98327873935</c:v>
                </c:pt>
                <c:pt idx="10">
                  <c:v>1533.0193790669139</c:v>
                </c:pt>
                <c:pt idx="11">
                  <c:v>1525.7412627925123</c:v>
                </c:pt>
                <c:pt idx="12">
                  <c:v>1526.8228152157571</c:v>
                </c:pt>
                <c:pt idx="13">
                  <c:v>1525.3958783244625</c:v>
                </c:pt>
                <c:pt idx="14">
                  <c:v>1519.8735030545158</c:v>
                </c:pt>
                <c:pt idx="15">
                  <c:v>1528.5502620361888</c:v>
                </c:pt>
                <c:pt idx="16">
                  <c:v>1519.6669604639717</c:v>
                </c:pt>
                <c:pt idx="17">
                  <c:v>1512.9009587011878</c:v>
                </c:pt>
                <c:pt idx="18">
                  <c:v>1511.7615529489808</c:v>
                </c:pt>
                <c:pt idx="19">
                  <c:v>1524.3449836312868</c:v>
                </c:pt>
                <c:pt idx="20">
                  <c:v>1530.804913729499</c:v>
                </c:pt>
                <c:pt idx="21">
                  <c:v>1536.992084247122</c:v>
                </c:pt>
                <c:pt idx="22">
                  <c:v>1531.6221317416391</c:v>
                </c:pt>
                <c:pt idx="23">
                  <c:v>1544.6803989511893</c:v>
                </c:pt>
                <c:pt idx="24">
                  <c:v>1537.1943165574821</c:v>
                </c:pt>
                <c:pt idx="25">
                  <c:v>1532.4891506581373</c:v>
                </c:pt>
                <c:pt idx="26">
                  <c:v>1539.3502157541884</c:v>
                </c:pt>
                <c:pt idx="27">
                  <c:v>1534.2901144596633</c:v>
                </c:pt>
                <c:pt idx="28">
                  <c:v>1536.3163737729053</c:v>
                </c:pt>
                <c:pt idx="29">
                  <c:v>1539.9684755302678</c:v>
                </c:pt>
                <c:pt idx="30">
                  <c:v>1535.1206646770863</c:v>
                </c:pt>
                <c:pt idx="31">
                  <c:v>1530.0679406890238</c:v>
                </c:pt>
                <c:pt idx="32">
                  <c:v>1542.2535330448895</c:v>
                </c:pt>
                <c:pt idx="33">
                  <c:v>1548.7140118466202</c:v>
                </c:pt>
                <c:pt idx="34">
                  <c:v>1557.3857277755405</c:v>
                </c:pt>
                <c:pt idx="35">
                  <c:v>1564.4574134088873</c:v>
                </c:pt>
                <c:pt idx="36">
                  <c:v>1575.1346689284339</c:v>
                </c:pt>
                <c:pt idx="37">
                  <c:v>1570.9218609148634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F-48D1-8B22-15B35646D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だいち!$L$2:$L$71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30.8</c:v>
                </c:pt>
                <c:pt idx="2">
                  <c:v>9.8000000000000007</c:v>
                </c:pt>
                <c:pt idx="3">
                  <c:v>-22.900000000000002</c:v>
                </c:pt>
                <c:pt idx="4">
                  <c:v>-61.600000000000009</c:v>
                </c:pt>
                <c:pt idx="5">
                  <c:v>-68.000000000000014</c:v>
                </c:pt>
                <c:pt idx="6">
                  <c:v>-68.800000000000011</c:v>
                </c:pt>
                <c:pt idx="7">
                  <c:v>3.4999999999999858</c:v>
                </c:pt>
                <c:pt idx="8">
                  <c:v>-1.800000000000014</c:v>
                </c:pt>
                <c:pt idx="9">
                  <c:v>49.999999999999986</c:v>
                </c:pt>
                <c:pt idx="10">
                  <c:v>82.499999999999986</c:v>
                </c:pt>
                <c:pt idx="11">
                  <c:v>80.999999999999986</c:v>
                </c:pt>
                <c:pt idx="12">
                  <c:v>116.29999999999998</c:v>
                </c:pt>
                <c:pt idx="13">
                  <c:v>191.7</c:v>
                </c:pt>
                <c:pt idx="14">
                  <c:v>244.7</c:v>
                </c:pt>
                <c:pt idx="15">
                  <c:v>278.59999999999997</c:v>
                </c:pt>
                <c:pt idx="16">
                  <c:v>247.79999999999995</c:v>
                </c:pt>
                <c:pt idx="17">
                  <c:v>298.79999999999995</c:v>
                </c:pt>
                <c:pt idx="18">
                  <c:v>327.79999999999995</c:v>
                </c:pt>
                <c:pt idx="19">
                  <c:v>347.49999999999994</c:v>
                </c:pt>
                <c:pt idx="20">
                  <c:v>354.69999999999993</c:v>
                </c:pt>
                <c:pt idx="21">
                  <c:v>297.29999999999995</c:v>
                </c:pt>
                <c:pt idx="22">
                  <c:v>331.49999999999994</c:v>
                </c:pt>
                <c:pt idx="23">
                  <c:v>283.39999999999992</c:v>
                </c:pt>
                <c:pt idx="24">
                  <c:v>273.59999999999991</c:v>
                </c:pt>
                <c:pt idx="25">
                  <c:v>323.39999999999992</c:v>
                </c:pt>
                <c:pt idx="26">
                  <c:v>377.59999999999991</c:v>
                </c:pt>
                <c:pt idx="27">
                  <c:v>354.59999999999991</c:v>
                </c:pt>
                <c:pt idx="28">
                  <c:v>314.19999999999993</c:v>
                </c:pt>
                <c:pt idx="29">
                  <c:v>310.49999999999994</c:v>
                </c:pt>
                <c:pt idx="30">
                  <c:v>337.69999999999993</c:v>
                </c:pt>
                <c:pt idx="31">
                  <c:v>325.09999999999991</c:v>
                </c:pt>
                <c:pt idx="32">
                  <c:v>329.7999999999999</c:v>
                </c:pt>
                <c:pt idx="33">
                  <c:v>323.7999999999999</c:v>
                </c:pt>
                <c:pt idx="34">
                  <c:v>290.69999999999987</c:v>
                </c:pt>
                <c:pt idx="35">
                  <c:v>293.49999999999989</c:v>
                </c:pt>
                <c:pt idx="36">
                  <c:v>236.69999999999987</c:v>
                </c:pt>
                <c:pt idx="37">
                  <c:v>280.2999999999999</c:v>
                </c:pt>
                <c:pt idx="38">
                  <c:v>272.69999999999987</c:v>
                </c:pt>
                <c:pt idx="39">
                  <c:v>401.99999999999989</c:v>
                </c:pt>
                <c:pt idx="40">
                  <c:v>394.39999999999986</c:v>
                </c:pt>
                <c:pt idx="41">
                  <c:v>359.09999999999985</c:v>
                </c:pt>
                <c:pt idx="42">
                  <c:v>360.29999999999984</c:v>
                </c:pt>
                <c:pt idx="43">
                  <c:v>322.49999999999983</c:v>
                </c:pt>
                <c:pt idx="44">
                  <c:v>269.79999999999984</c:v>
                </c:pt>
                <c:pt idx="45">
                  <c:v>296.19999999999982</c:v>
                </c:pt>
                <c:pt idx="46">
                  <c:v>308.19999999999982</c:v>
                </c:pt>
                <c:pt idx="47">
                  <c:v>337.89999999999981</c:v>
                </c:pt>
                <c:pt idx="48">
                  <c:v>365.49999999999983</c:v>
                </c:pt>
                <c:pt idx="49">
                  <c:v>383.19999999999982</c:v>
                </c:pt>
                <c:pt idx="50">
                  <c:v>430.69999999999982</c:v>
                </c:pt>
                <c:pt idx="51">
                  <c:v>489.69999999999982</c:v>
                </c:pt>
                <c:pt idx="52">
                  <c:v>548.5999999999998</c:v>
                </c:pt>
                <c:pt idx="53">
                  <c:v>480.39999999999981</c:v>
                </c:pt>
                <c:pt idx="54">
                  <c:v>454.39999999999981</c:v>
                </c:pt>
                <c:pt idx="55">
                  <c:v>541.5999999999998</c:v>
                </c:pt>
                <c:pt idx="56">
                  <c:v>537.99999999999977</c:v>
                </c:pt>
                <c:pt idx="57">
                  <c:v>512.79999999999973</c:v>
                </c:pt>
                <c:pt idx="58">
                  <c:v>449.09999999999974</c:v>
                </c:pt>
                <c:pt idx="59">
                  <c:v>418.49999999999972</c:v>
                </c:pt>
                <c:pt idx="60">
                  <c:v>456.1999999999997</c:v>
                </c:pt>
                <c:pt idx="61">
                  <c:v>434.09999999999968</c:v>
                </c:pt>
                <c:pt idx="62">
                  <c:v>389.6999999999997</c:v>
                </c:pt>
                <c:pt idx="63">
                  <c:v>393.99999999999972</c:v>
                </c:pt>
                <c:pt idx="64">
                  <c:v>381.39999999999969</c:v>
                </c:pt>
                <c:pt idx="65">
                  <c:v>420.59999999999968</c:v>
                </c:pt>
                <c:pt idx="66">
                  <c:v>356.49999999999966</c:v>
                </c:pt>
                <c:pt idx="67">
                  <c:v>345.49999999999966</c:v>
                </c:pt>
                <c:pt idx="68">
                  <c:v>374.29999999999967</c:v>
                </c:pt>
                <c:pt idx="69">
                  <c:v>415.39999999999969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9-4271-A4BA-16EAD483C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471.01449275362319</c:v>
                </c:pt>
                <c:pt idx="1">
                  <c:v>1170.5882352941176</c:v>
                </c:pt>
                <c:pt idx="2">
                  <c:v>1066.6666666666667</c:v>
                </c:pt>
                <c:pt idx="3">
                  <c:v>855.55555555555554</c:v>
                </c:pt>
                <c:pt idx="4">
                  <c:v>255.17241379310346</c:v>
                </c:pt>
                <c:pt idx="5">
                  <c:v>-67.307692307692307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3-49CC-AB09-92E7A5407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19</c:v>
                </c:pt>
                <c:pt idx="2">
                  <c:v>31</c:v>
                </c:pt>
                <c:pt idx="3">
                  <c:v>24</c:v>
                </c:pt>
                <c:pt idx="4">
                  <c:v>24</c:v>
                </c:pt>
                <c:pt idx="5">
                  <c:v>26</c:v>
                </c:pt>
                <c:pt idx="6">
                  <c:v>13</c:v>
                </c:pt>
                <c:pt idx="7">
                  <c:v>9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78-4F3E-8AF1-DD0000D4E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だいち!$M$2:$M$71</c:f>
              <c:numCache>
                <c:formatCode>0</c:formatCode>
                <c:ptCount val="70"/>
                <c:pt idx="0">
                  <c:v>1846.5755924228188</c:v>
                </c:pt>
                <c:pt idx="1">
                  <c:v>1850.0821388682818</c:v>
                </c:pt>
                <c:pt idx="2">
                  <c:v>1844.9996460350721</c:v>
                </c:pt>
                <c:pt idx="3">
                  <c:v>1837.8596481588618</c:v>
                </c:pt>
                <c:pt idx="4">
                  <c:v>1829.5624902699085</c:v>
                </c:pt>
                <c:pt idx="5">
                  <c:v>1827.231115328289</c:v>
                </c:pt>
                <c:pt idx="6">
                  <c:v>1825.8377286363193</c:v>
                </c:pt>
                <c:pt idx="7">
                  <c:v>1837.8507022645015</c:v>
                </c:pt>
                <c:pt idx="8">
                  <c:v>1835.6735980509145</c:v>
                </c:pt>
                <c:pt idx="9">
                  <c:v>1843.805556462609</c:v>
                </c:pt>
                <c:pt idx="10">
                  <c:v>1848.5227231238334</c:v>
                </c:pt>
                <c:pt idx="11">
                  <c:v>1846.8935867850905</c:v>
                </c:pt>
                <c:pt idx="12">
                  <c:v>1851.86222526438</c:v>
                </c:pt>
                <c:pt idx="13">
                  <c:v>1863.7610519127936</c:v>
                </c:pt>
                <c:pt idx="14">
                  <c:v>1871.5564856013168</c:v>
                </c:pt>
                <c:pt idx="15">
                  <c:v>1875.867146687709</c:v>
                </c:pt>
                <c:pt idx="16">
                  <c:v>1868.5059438075828</c:v>
                </c:pt>
                <c:pt idx="17">
                  <c:v>1875.9129081447372</c:v>
                </c:pt>
                <c:pt idx="18">
                  <c:v>1879.3154306958688</c:v>
                </c:pt>
                <c:pt idx="19">
                  <c:v>1881.0235381116936</c:v>
                </c:pt>
                <c:pt idx="20">
                  <c:v>1880.4653968830235</c:v>
                </c:pt>
                <c:pt idx="21">
                  <c:v>1868.4206045017254</c:v>
                </c:pt>
                <c:pt idx="22">
                  <c:v>1872.9360808747151</c:v>
                </c:pt>
                <c:pt idx="23">
                  <c:v>1862.6104643894669</c:v>
                </c:pt>
                <c:pt idx="24">
                  <c:v>1859.2468016031301</c:v>
                </c:pt>
                <c:pt idx="25">
                  <c:v>1866.6253207935113</c:v>
                </c:pt>
                <c:pt idx="26">
                  <c:v>1874.7575688687502</c:v>
                </c:pt>
                <c:pt idx="27">
                  <c:v>1868.9450234555377</c:v>
                </c:pt>
                <c:pt idx="28">
                  <c:v>1860.3953533148044</c:v>
                </c:pt>
                <c:pt idx="29">
                  <c:v>1858.5029811949155</c:v>
                </c:pt>
                <c:pt idx="30">
                  <c:v>1862.1839633077459</c:v>
                </c:pt>
                <c:pt idx="31">
                  <c:v>1858.6788595278995</c:v>
                </c:pt>
                <c:pt idx="32">
                  <c:v>1858.3087863707322</c:v>
                </c:pt>
                <c:pt idx="33">
                  <c:v>1856.0149336525078</c:v>
                </c:pt>
                <c:pt idx="34">
                  <c:v>1848.8568440505928</c:v>
                </c:pt>
                <c:pt idx="35">
                  <c:v>1848.2037029862893</c:v>
                </c:pt>
                <c:pt idx="36">
                  <c:v>1836.8264807683715</c:v>
                </c:pt>
                <c:pt idx="37">
                  <c:v>1843.5895218837613</c:v>
                </c:pt>
                <c:pt idx="38">
                  <c:v>1841.0959847524587</c:v>
                </c:pt>
                <c:pt idx="39">
                  <c:v>1862.8634088439439</c:v>
                </c:pt>
                <c:pt idx="40">
                  <c:v>1859.8582283908802</c:v>
                </c:pt>
                <c:pt idx="41">
                  <c:v>1851.8850790205349</c:v>
                </c:pt>
                <c:pt idx="42">
                  <c:v>1850.5297685464118</c:v>
                </c:pt>
                <c:pt idx="43">
                  <c:v>1842.1625899351334</c:v>
                </c:pt>
                <c:pt idx="44">
                  <c:v>1831.1576143955226</c:v>
                </c:pt>
                <c:pt idx="45">
                  <c:v>1834.4626687091495</c:v>
                </c:pt>
                <c:pt idx="46">
                  <c:v>1835.0118926968946</c:v>
                </c:pt>
                <c:pt idx="47">
                  <c:v>1838.8458213407132</c:v>
                </c:pt>
                <c:pt idx="48">
                  <c:v>1842.2787464126689</c:v>
                </c:pt>
                <c:pt idx="49">
                  <c:v>1843.9090739341927</c:v>
                </c:pt>
                <c:pt idx="50">
                  <c:v>1850.8936194905875</c:v>
                </c:pt>
                <c:pt idx="51">
                  <c:v>1859.906257773644</c:v>
                </c:pt>
                <c:pt idx="52">
                  <c:v>1868.8468202270021</c:v>
                </c:pt>
                <c:pt idx="53">
                  <c:v>1854.8557393056401</c:v>
                </c:pt>
                <c:pt idx="54">
                  <c:v>1848.5446048698063</c:v>
                </c:pt>
                <c:pt idx="55">
                  <c:v>1862.6473372405876</c:v>
                </c:pt>
                <c:pt idx="56">
                  <c:v>1860.3214532171442</c:v>
                </c:pt>
                <c:pt idx="57">
                  <c:v>1854.1215244978414</c:v>
                </c:pt>
                <c:pt idx="58">
                  <c:v>1841.1067953508543</c:v>
                </c:pt>
                <c:pt idx="59">
                  <c:v>1834.1281545787492</c:v>
                </c:pt>
                <c:pt idx="60">
                  <c:v>1839.4853856512768</c:v>
                </c:pt>
                <c:pt idx="61">
                  <c:v>1834.0464733373692</c:v>
                </c:pt>
                <c:pt idx="62">
                  <c:v>1824.6261944973451</c:v>
                </c:pt>
                <c:pt idx="63">
                  <c:v>1824.034437330361</c:v>
                </c:pt>
                <c:pt idx="64">
                  <c:v>1820.3982307063789</c:v>
                </c:pt>
                <c:pt idx="65">
                  <c:v>1826.1078413221405</c:v>
                </c:pt>
                <c:pt idx="66">
                  <c:v>1813.1891942742077</c:v>
                </c:pt>
                <c:pt idx="67">
                  <c:v>1809.9060591085624</c:v>
                </c:pt>
                <c:pt idx="68">
                  <c:v>1813.8066227539111</c:v>
                </c:pt>
                <c:pt idx="69">
                  <c:v>1819.8977830173876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C-4CD4-9FB9-06AD1D6B2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  <c:pt idx="10">
                  <c:v>38.999999999999993</c:v>
                </c:pt>
                <c:pt idx="11">
                  <c:v>37.79999999999999</c:v>
                </c:pt>
                <c:pt idx="12">
                  <c:v>40.199999999999989</c:v>
                </c:pt>
                <c:pt idx="13">
                  <c:v>101.6</c:v>
                </c:pt>
                <c:pt idx="14">
                  <c:v>91.899999999999991</c:v>
                </c:pt>
                <c:pt idx="15">
                  <c:v>46.79999999999999</c:v>
                </c:pt>
                <c:pt idx="16">
                  <c:v>2.6999999999999886</c:v>
                </c:pt>
                <c:pt idx="17">
                  <c:v>-96.700000000000017</c:v>
                </c:pt>
                <c:pt idx="18">
                  <c:v>-154.80000000000001</c:v>
                </c:pt>
                <c:pt idx="19">
                  <c:v>-153.80000000000001</c:v>
                </c:pt>
                <c:pt idx="20">
                  <c:v>-201.8</c:v>
                </c:pt>
                <c:pt idx="21">
                  <c:v>-202.20000000000002</c:v>
                </c:pt>
                <c:pt idx="22">
                  <c:v>-208.00000000000003</c:v>
                </c:pt>
                <c:pt idx="23">
                  <c:v>-210.50000000000003</c:v>
                </c:pt>
                <c:pt idx="24">
                  <c:v>-284.3</c:v>
                </c:pt>
                <c:pt idx="25">
                  <c:v>-286.90000000000003</c:v>
                </c:pt>
                <c:pt idx="26">
                  <c:v>-287.00000000000006</c:v>
                </c:pt>
                <c:pt idx="27">
                  <c:v>-350.40000000000003</c:v>
                </c:pt>
                <c:pt idx="28">
                  <c:v>-357.1</c:v>
                </c:pt>
                <c:pt idx="29">
                  <c:v>-413.8</c:v>
                </c:pt>
                <c:pt idx="30">
                  <c:v>-461.8</c:v>
                </c:pt>
                <c:pt idx="31">
                  <c:v>-462.3</c:v>
                </c:pt>
                <c:pt idx="32">
                  <c:v>-462.8</c:v>
                </c:pt>
                <c:pt idx="33">
                  <c:v>-528.4</c:v>
                </c:pt>
                <c:pt idx="34">
                  <c:v>-500</c:v>
                </c:pt>
                <c:pt idx="35">
                  <c:v>-413.7</c:v>
                </c:pt>
                <c:pt idx="36">
                  <c:v>-369.5</c:v>
                </c:pt>
                <c:pt idx="37">
                  <c:v>-374.5</c:v>
                </c:pt>
                <c:pt idx="38">
                  <c:v>-379</c:v>
                </c:pt>
                <c:pt idx="39">
                  <c:v>-451.9</c:v>
                </c:pt>
                <c:pt idx="40">
                  <c:v>-390.9</c:v>
                </c:pt>
                <c:pt idx="41">
                  <c:v>-365.09999999999997</c:v>
                </c:pt>
                <c:pt idx="42">
                  <c:v>-399.99999999999994</c:v>
                </c:pt>
                <c:pt idx="43">
                  <c:v>-403.99999999999994</c:v>
                </c:pt>
                <c:pt idx="44">
                  <c:v>-430.89999999999992</c:v>
                </c:pt>
                <c:pt idx="45">
                  <c:v>-489.89999999999992</c:v>
                </c:pt>
                <c:pt idx="46">
                  <c:v>-492.7999999999999</c:v>
                </c:pt>
                <c:pt idx="47">
                  <c:v>-475.69999999999987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A-42FA-A641-A0EE7F986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-1457.4468085106382</c:v>
                </c:pt>
                <c:pt idx="1">
                  <c:v>-1478.7234042553191</c:v>
                </c:pt>
                <c:pt idx="2">
                  <c:v>1386.6666666666667</c:v>
                </c:pt>
                <c:pt idx="3">
                  <c:v>-4904.6511627906975</c:v>
                </c:pt>
                <c:pt idx="4">
                  <c:v>-2661.5384615384614</c:v>
                </c:pt>
                <c:pt idx="5">
                  <c:v>-767.64705882352939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AF-4069-A1B1-5CDDA9441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4</c:v>
                </c:pt>
                <c:pt idx="1">
                  <c:v>20</c:v>
                </c:pt>
                <c:pt idx="2">
                  <c:v>13</c:v>
                </c:pt>
                <c:pt idx="3">
                  <c:v>29</c:v>
                </c:pt>
                <c:pt idx="4">
                  <c:v>19</c:v>
                </c:pt>
                <c:pt idx="5">
                  <c:v>5</c:v>
                </c:pt>
                <c:pt idx="6">
                  <c:v>7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F9-4328-A7EB-1FC003564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りくと!$M$2:$M$49</c:f>
              <c:numCache>
                <c:formatCode>0</c:formatCode>
                <c:ptCount val="48"/>
                <c:pt idx="0">
                  <c:v>1372.5824902185618</c:v>
                </c:pt>
                <c:pt idx="1">
                  <c:v>1374.9429952772505</c:v>
                </c:pt>
                <c:pt idx="2">
                  <c:v>1366.375337305587</c:v>
                </c:pt>
                <c:pt idx="3">
                  <c:v>1365.3650852817534</c:v>
                </c:pt>
                <c:pt idx="4">
                  <c:v>1368.7888947700628</c:v>
                </c:pt>
                <c:pt idx="5">
                  <c:v>1369.6901614014425</c:v>
                </c:pt>
                <c:pt idx="6">
                  <c:v>1360.9200204330339</c:v>
                </c:pt>
                <c:pt idx="7">
                  <c:v>1362.8225003104358</c:v>
                </c:pt>
                <c:pt idx="8">
                  <c:v>1371.3915653085733</c:v>
                </c:pt>
                <c:pt idx="9">
                  <c:v>1378.7512159167218</c:v>
                </c:pt>
                <c:pt idx="10">
                  <c:v>1392.2167086212214</c:v>
                </c:pt>
                <c:pt idx="11">
                  <c:v>1393.217408369494</c:v>
                </c:pt>
                <c:pt idx="12">
                  <c:v>1394.860103919277</c:v>
                </c:pt>
                <c:pt idx="13">
                  <c:v>1407.1189432957613</c:v>
                </c:pt>
                <c:pt idx="14">
                  <c:v>1406.5002296359867</c:v>
                </c:pt>
                <c:pt idx="15">
                  <c:v>1399.5192282581706</c:v>
                </c:pt>
                <c:pt idx="16">
                  <c:v>1392.7601128886215</c:v>
                </c:pt>
                <c:pt idx="17">
                  <c:v>1376.0515522112898</c:v>
                </c:pt>
                <c:pt idx="18">
                  <c:v>1366.8772428980221</c:v>
                </c:pt>
                <c:pt idx="19">
                  <c:v>1368.3959794406339</c:v>
                </c:pt>
                <c:pt idx="20">
                  <c:v>1361.0856035639902</c:v>
                </c:pt>
                <c:pt idx="21">
                  <c:v>1362.3870899426063</c:v>
                </c:pt>
                <c:pt idx="22">
                  <c:v>1362.7027674029507</c:v>
                </c:pt>
                <c:pt idx="23">
                  <c:v>1363.6165507985329</c:v>
                </c:pt>
                <c:pt idx="24">
                  <c:v>1351.5468514937418</c:v>
                </c:pt>
                <c:pt idx="25">
                  <c:v>1352.4675703847793</c:v>
                </c:pt>
                <c:pt idx="26">
                  <c:v>1353.8327649624705</c:v>
                </c:pt>
                <c:pt idx="27">
                  <c:v>1343.7957683726956</c:v>
                </c:pt>
                <c:pt idx="28">
                  <c:v>1344.0249937624594</c:v>
                </c:pt>
                <c:pt idx="29">
                  <c:v>1335.2528437998847</c:v>
                </c:pt>
                <c:pt idx="30">
                  <c:v>1328.0993267370854</c:v>
                </c:pt>
                <c:pt idx="31">
                  <c:v>1329.538730776663</c:v>
                </c:pt>
                <c:pt idx="32">
                  <c:v>1330.9694983920031</c:v>
                </c:pt>
                <c:pt idx="33">
                  <c:v>1320.673681401651</c:v>
                </c:pt>
                <c:pt idx="34">
                  <c:v>1327.3596393132411</c:v>
                </c:pt>
                <c:pt idx="35">
                  <c:v>1344.4274814773617</c:v>
                </c:pt>
                <c:pt idx="36">
                  <c:v>1353.8929165884974</c:v>
                </c:pt>
                <c:pt idx="37">
                  <c:v>1354.4455590889665</c:v>
                </c:pt>
                <c:pt idx="38">
                  <c:v>1355.0848857344326</c:v>
                </c:pt>
                <c:pt idx="39">
                  <c:v>1343.4083764200261</c:v>
                </c:pt>
                <c:pt idx="40">
                  <c:v>1355.903926161506</c:v>
                </c:pt>
                <c:pt idx="41">
                  <c:v>1361.994502604537</c:v>
                </c:pt>
                <c:pt idx="42">
                  <c:v>1357.1165355889098</c:v>
                </c:pt>
                <c:pt idx="43">
                  <c:v>1357.8298363753763</c:v>
                </c:pt>
                <c:pt idx="44">
                  <c:v>1354.4168573571242</c:v>
                </c:pt>
                <c:pt idx="45">
                  <c:v>1345.2463562129815</c:v>
                </c:pt>
                <c:pt idx="46">
                  <c:v>1346.2288780757035</c:v>
                </c:pt>
                <c:pt idx="47">
                  <c:v>1350.8055048072492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7E-46BA-AE72-5046C1FFD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わさび!$L$2:$L$11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-40.299999999999997</c:v>
                </c:pt>
                <c:pt idx="2">
                  <c:v>-61.5</c:v>
                </c:pt>
                <c:pt idx="3">
                  <c:v>-102</c:v>
                </c:pt>
                <c:pt idx="4">
                  <c:v>-148</c:v>
                </c:pt>
                <c:pt idx="5">
                  <c:v>-115.4</c:v>
                </c:pt>
                <c:pt idx="6">
                  <c:v>-110.9</c:v>
                </c:pt>
                <c:pt idx="7">
                  <c:v>-143.4</c:v>
                </c:pt>
                <c:pt idx="8">
                  <c:v>-203.7</c:v>
                </c:pt>
                <c:pt idx="9">
                  <c:v>-245.1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88-4E18-960B-89161617E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-1177.7777777777778</c:v>
                </c:pt>
                <c:pt idx="1">
                  <c:v>-2933.3333333333335</c:v>
                </c:pt>
                <c:pt idx="2">
                  <c:v>-4550</c:v>
                </c:pt>
                <c:pt idx="3">
                  <c:v>-1771.4285714285713</c:v>
                </c:pt>
                <c:pt idx="4">
                  <c:v>-6942.8571428571431</c:v>
                </c:pt>
                <c:pt idx="5">
                  <c:v>-1528.5714285714287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B0-460B-9A97-51E3AADA6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6D-49B3-A62A-4326A1A07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わさび!$M$2:$M$11</c:f>
              <c:numCache>
                <c:formatCode>0</c:formatCode>
                <c:ptCount val="10"/>
                <c:pt idx="0">
                  <c:v>1497.379788</c:v>
                </c:pt>
                <c:pt idx="1">
                  <c:v>1490.837509272</c:v>
                </c:pt>
                <c:pt idx="2">
                  <c:v>1487.5144842163681</c:v>
                </c:pt>
                <c:pt idx="3">
                  <c:v>1480.73739731107</c:v>
                </c:pt>
                <c:pt idx="4">
                  <c:v>1473.0109729272035</c:v>
                </c:pt>
                <c:pt idx="5">
                  <c:v>1479.4789070896402</c:v>
                </c:pt>
                <c:pt idx="6">
                  <c:v>1480.8500336471022</c:v>
                </c:pt>
                <c:pt idx="7">
                  <c:v>1475.5529334452197</c:v>
                </c:pt>
                <c:pt idx="8">
                  <c:v>1465.2836158445484</c:v>
                </c:pt>
                <c:pt idx="9">
                  <c:v>1458.4719141494811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1-42EB-A360-8D4BE3867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61.8</c:v>
                </c:pt>
                <c:pt idx="2">
                  <c:v>34.699999999999996</c:v>
                </c:pt>
                <c:pt idx="3">
                  <c:v>7.1999999999999957</c:v>
                </c:pt>
                <c:pt idx="4">
                  <c:v>52.9</c:v>
                </c:pt>
                <c:pt idx="5">
                  <c:v>12.100000000000001</c:v>
                </c:pt>
                <c:pt idx="6">
                  <c:v>9.8000000000000007</c:v>
                </c:pt>
                <c:pt idx="7">
                  <c:v>-1.0999999999999996</c:v>
                </c:pt>
                <c:pt idx="8">
                  <c:v>67.600000000000009</c:v>
                </c:pt>
                <c:pt idx="9">
                  <c:v>94.100000000000009</c:v>
                </c:pt>
                <c:pt idx="10">
                  <c:v>72.5</c:v>
                </c:pt>
                <c:pt idx="11">
                  <c:v>47.7</c:v>
                </c:pt>
                <c:pt idx="12">
                  <c:v>-13.399999999999999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D0-4AB9-8FD6-6DFEF311C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1525</c:v>
                </c:pt>
                <c:pt idx="1">
                  <c:v>-2191.6666666666665</c:v>
                </c:pt>
                <c:pt idx="2">
                  <c:v>-2550</c:v>
                </c:pt>
                <c:pt idx="3">
                  <c:v>675</c:v>
                </c:pt>
                <c:pt idx="4">
                  <c:v>9910</c:v>
                </c:pt>
                <c:pt idx="5">
                  <c:v>-1528.5714285714287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AC-409A-8523-CFB8C2B9B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22-4546-A792-0AFF5D210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まっつん!$M$2:$M$14</c:f>
              <c:numCache>
                <c:formatCode>0</c:formatCode>
                <c:ptCount val="13"/>
                <c:pt idx="0">
                  <c:v>1551.4699038276274</c:v>
                </c:pt>
                <c:pt idx="1">
                  <c:v>1562.6810844046615</c:v>
                </c:pt>
                <c:pt idx="2">
                  <c:v>1557.9249978982336</c:v>
                </c:pt>
                <c:pt idx="3">
                  <c:v>1553.1254479108443</c:v>
                </c:pt>
                <c:pt idx="4">
                  <c:v>1561.5306952233793</c:v>
                </c:pt>
                <c:pt idx="5">
                  <c:v>1554.315511052039</c:v>
                </c:pt>
                <c:pt idx="6">
                  <c:v>1554.0736179857267</c:v>
                </c:pt>
                <c:pt idx="7">
                  <c:v>1552.2851762778123</c:v>
                </c:pt>
                <c:pt idx="8">
                  <c:v>1564.8354652201454</c:v>
                </c:pt>
                <c:pt idx="9">
                  <c:v>1569.7144524288244</c:v>
                </c:pt>
                <c:pt idx="10">
                  <c:v>1565.9061657142515</c:v>
                </c:pt>
                <c:pt idx="11">
                  <c:v>1561.5447287199661</c:v>
                </c:pt>
                <c:pt idx="12">
                  <c:v>1550.6754603476463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8-40A3-953F-8F2341338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りくと2!$B$3:$B$50</c:f>
              <c:numCache>
                <c:formatCode>\+0.0;\-0.0;\±0</c:formatCode>
                <c:ptCount val="48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  <c:pt idx="10">
                  <c:v>38.999999999999993</c:v>
                </c:pt>
                <c:pt idx="11">
                  <c:v>37.79999999999999</c:v>
                </c:pt>
                <c:pt idx="12">
                  <c:v>40.199999999999989</c:v>
                </c:pt>
                <c:pt idx="13">
                  <c:v>101.6</c:v>
                </c:pt>
                <c:pt idx="14">
                  <c:v>91.899999999999991</c:v>
                </c:pt>
                <c:pt idx="15">
                  <c:v>46.79999999999999</c:v>
                </c:pt>
                <c:pt idx="16">
                  <c:v>2.6999999999999886</c:v>
                </c:pt>
                <c:pt idx="17">
                  <c:v>-96.700000000000017</c:v>
                </c:pt>
                <c:pt idx="18">
                  <c:v>-154.80000000000001</c:v>
                </c:pt>
                <c:pt idx="19">
                  <c:v>-153.80000000000001</c:v>
                </c:pt>
                <c:pt idx="20">
                  <c:v>-201.8</c:v>
                </c:pt>
                <c:pt idx="21">
                  <c:v>-202.20000000000002</c:v>
                </c:pt>
                <c:pt idx="22">
                  <c:v>-208.00000000000003</c:v>
                </c:pt>
                <c:pt idx="23">
                  <c:v>-210.50000000000003</c:v>
                </c:pt>
                <c:pt idx="24">
                  <c:v>-284.3</c:v>
                </c:pt>
                <c:pt idx="25">
                  <c:v>-286.90000000000003</c:v>
                </c:pt>
                <c:pt idx="26">
                  <c:v>-287.00000000000006</c:v>
                </c:pt>
                <c:pt idx="27">
                  <c:v>-350.40000000000003</c:v>
                </c:pt>
                <c:pt idx="28">
                  <c:v>-357.1</c:v>
                </c:pt>
                <c:pt idx="29">
                  <c:v>-413.8</c:v>
                </c:pt>
                <c:pt idx="30">
                  <c:v>-461.8</c:v>
                </c:pt>
                <c:pt idx="31">
                  <c:v>-462.3</c:v>
                </c:pt>
                <c:pt idx="32">
                  <c:v>-462.8</c:v>
                </c:pt>
                <c:pt idx="33">
                  <c:v>-528.4</c:v>
                </c:pt>
                <c:pt idx="34">
                  <c:v>-500</c:v>
                </c:pt>
                <c:pt idx="35">
                  <c:v>-413.7</c:v>
                </c:pt>
                <c:pt idx="36">
                  <c:v>-369.5</c:v>
                </c:pt>
                <c:pt idx="37">
                  <c:v>-374.5</c:v>
                </c:pt>
                <c:pt idx="38">
                  <c:v>-379</c:v>
                </c:pt>
                <c:pt idx="39">
                  <c:v>-451.9</c:v>
                </c:pt>
                <c:pt idx="40">
                  <c:v>-390.9</c:v>
                </c:pt>
                <c:pt idx="41">
                  <c:v>-365.09999999999997</c:v>
                </c:pt>
                <c:pt idx="42">
                  <c:v>-399.99999999999994</c:v>
                </c:pt>
                <c:pt idx="43">
                  <c:v>-403.99999999999994</c:v>
                </c:pt>
                <c:pt idx="44">
                  <c:v>-430.89999999999992</c:v>
                </c:pt>
                <c:pt idx="45">
                  <c:v>-489.89999999999992</c:v>
                </c:pt>
                <c:pt idx="46">
                  <c:v>-492.7999999999999</c:v>
                </c:pt>
                <c:pt idx="47">
                  <c:v>-475.69999999999987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りくと2!$B$1:$B$2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通算スコア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7168"/>
        <c:axId val="-1152537712"/>
      </c:scatterChart>
      <c:valAx>
        <c:axId val="-11525371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712"/>
        <c:crossesAt val="7.1054273576010019E-15"/>
        <c:crossBetween val="midCat"/>
      </c:valAx>
      <c:valAx>
        <c:axId val="-115253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りくと2!$C$3:$C$50</c:f>
              <c:numCache>
                <c:formatCode>\+0.0;\-0.0;\±0</c:formatCode>
                <c:ptCount val="48"/>
                <c:pt idx="1">
                  <c:v>5</c:v>
                </c:pt>
                <c:pt idx="2">
                  <c:v>-24.6</c:v>
                </c:pt>
                <c:pt idx="3">
                  <c:v>-20.566666666666666</c:v>
                </c:pt>
                <c:pt idx="4">
                  <c:v>-12.4</c:v>
                </c:pt>
                <c:pt idx="5">
                  <c:v>-10.28</c:v>
                </c:pt>
                <c:pt idx="6">
                  <c:v>-17.816666666666666</c:v>
                </c:pt>
                <c:pt idx="7">
                  <c:v>-14.771428571428572</c:v>
                </c:pt>
                <c:pt idx="8">
                  <c:v>-7.8500000000000005</c:v>
                </c:pt>
                <c:pt idx="9">
                  <c:v>-3.177777777777778</c:v>
                </c:pt>
                <c:pt idx="10">
                  <c:v>3.8999999999999995</c:v>
                </c:pt>
                <c:pt idx="11">
                  <c:v>3.4363636363636356</c:v>
                </c:pt>
                <c:pt idx="12">
                  <c:v>3.3499999999999992</c:v>
                </c:pt>
                <c:pt idx="13">
                  <c:v>7.8153846153846152</c:v>
                </c:pt>
                <c:pt idx="14">
                  <c:v>6.5642857142857141</c:v>
                </c:pt>
                <c:pt idx="15">
                  <c:v>3.1199999999999992</c:v>
                </c:pt>
                <c:pt idx="16">
                  <c:v>0.16874999999999929</c:v>
                </c:pt>
                <c:pt idx="17">
                  <c:v>-5.6882352941176482</c:v>
                </c:pt>
                <c:pt idx="18">
                  <c:v>-8.6000000000000014</c:v>
                </c:pt>
                <c:pt idx="19">
                  <c:v>-8.094736842105263</c:v>
                </c:pt>
                <c:pt idx="20">
                  <c:v>-10.09</c:v>
                </c:pt>
                <c:pt idx="21">
                  <c:v>-9.6285714285714299</c:v>
                </c:pt>
                <c:pt idx="22">
                  <c:v>-9.454545454545455</c:v>
                </c:pt>
                <c:pt idx="23">
                  <c:v>-9.1521739130434803</c:v>
                </c:pt>
                <c:pt idx="24">
                  <c:v>-11.845833333333333</c:v>
                </c:pt>
                <c:pt idx="25">
                  <c:v>-11.476000000000001</c:v>
                </c:pt>
                <c:pt idx="26">
                  <c:v>-11.03846153846154</c:v>
                </c:pt>
                <c:pt idx="27">
                  <c:v>-12.97777777777778</c:v>
                </c:pt>
                <c:pt idx="28">
                  <c:v>-12.75357142857143</c:v>
                </c:pt>
                <c:pt idx="29">
                  <c:v>-14.26896551724138</c:v>
                </c:pt>
                <c:pt idx="30">
                  <c:v>-15.393333333333334</c:v>
                </c:pt>
                <c:pt idx="31">
                  <c:v>-14.912903225806453</c:v>
                </c:pt>
                <c:pt idx="32">
                  <c:v>-14.4625</c:v>
                </c:pt>
                <c:pt idx="33">
                  <c:v>-16.012121212121212</c:v>
                </c:pt>
                <c:pt idx="34">
                  <c:v>-14.705882352941176</c:v>
                </c:pt>
                <c:pt idx="35">
                  <c:v>-11.82</c:v>
                </c:pt>
                <c:pt idx="36">
                  <c:v>-10.263888888888889</c:v>
                </c:pt>
                <c:pt idx="37">
                  <c:v>-10.121621621621621</c:v>
                </c:pt>
                <c:pt idx="38">
                  <c:v>-9.973684210526315</c:v>
                </c:pt>
                <c:pt idx="39">
                  <c:v>-11.587179487179487</c:v>
                </c:pt>
                <c:pt idx="40">
                  <c:v>-9.7724999999999991</c:v>
                </c:pt>
                <c:pt idx="41">
                  <c:v>-8.9048780487804873</c:v>
                </c:pt>
                <c:pt idx="42">
                  <c:v>-9.5238095238095219</c:v>
                </c:pt>
                <c:pt idx="43">
                  <c:v>-9.3953488372093013</c:v>
                </c:pt>
                <c:pt idx="44">
                  <c:v>-9.7931818181818162</c:v>
                </c:pt>
                <c:pt idx="45">
                  <c:v>-10.886666666666665</c:v>
                </c:pt>
                <c:pt idx="46">
                  <c:v>-10.713043478260868</c:v>
                </c:pt>
                <c:pt idx="47">
                  <c:v>-10.121276595744678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りくと2!$C$1:$C$2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0976"/>
        <c:axId val="-1152543696"/>
      </c:scatterChart>
      <c:valAx>
        <c:axId val="-115254097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696"/>
        <c:crossesAt val="3.1579677144893342E-17"/>
        <c:crossBetween val="midCat"/>
      </c:valAx>
      <c:valAx>
        <c:axId val="-115254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りくと2!$D$3:$D$50</c:f>
              <c:numCache>
                <c:formatCode>0.00\ "位"</c:formatCode>
                <c:ptCount val="48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</c:v>
                </c:pt>
                <c:pt idx="10">
                  <c:v>1.9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1.9333333333333333</c:v>
                </c:pt>
                <c:pt idx="16">
                  <c:v>2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2.1428571428571428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2.16</c:v>
                </c:pt>
                <c:pt idx="26">
                  <c:v>2.1538461538461537</c:v>
                </c:pt>
                <c:pt idx="27">
                  <c:v>2.1851851851851851</c:v>
                </c:pt>
                <c:pt idx="28">
                  <c:v>2.1785714285714284</c:v>
                </c:pt>
                <c:pt idx="29">
                  <c:v>2.2068965517241379</c:v>
                </c:pt>
                <c:pt idx="30">
                  <c:v>2.2333333333333334</c:v>
                </c:pt>
                <c:pt idx="31">
                  <c:v>2.225806451612903</c:v>
                </c:pt>
                <c:pt idx="32">
                  <c:v>2.21875</c:v>
                </c:pt>
                <c:pt idx="33">
                  <c:v>2.2424242424242422</c:v>
                </c:pt>
                <c:pt idx="34">
                  <c:v>2.2058823529411766</c:v>
                </c:pt>
                <c:pt idx="35">
                  <c:v>2.1714285714285713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2.1538461538461537</c:v>
                </c:pt>
                <c:pt idx="40">
                  <c:v>2.125</c:v>
                </c:pt>
                <c:pt idx="41">
                  <c:v>2.0975609756097562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2.1136363636363638</c:v>
                </c:pt>
                <c:pt idx="45">
                  <c:v>2.1333333333333333</c:v>
                </c:pt>
                <c:pt idx="46">
                  <c:v>2.1304347826086958</c:v>
                </c:pt>
                <c:pt idx="47">
                  <c:v>2.1276595744680851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りくと2!$D$1:$D$2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平均順位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8256"/>
        <c:axId val="-1152538800"/>
      </c:scatterChart>
      <c:valAx>
        <c:axId val="-1152538256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800"/>
        <c:crossesAt val="2"/>
        <c:crossBetween val="midCat"/>
      </c:valAx>
      <c:valAx>
        <c:axId val="-1152538800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25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りくと2!$E$3:$E$50</c:f>
              <c:numCache>
                <c:formatCode>0.0%</c:formatCode>
                <c:ptCount val="4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0.14705882352941177</c:v>
                </c:pt>
                <c:pt idx="35">
                  <c:v>0.17142857142857143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0.2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りくと2!$E$1:$E$2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トップ率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888"/>
        <c:axId val="-1152533904"/>
      </c:scatterChart>
      <c:valAx>
        <c:axId val="-115253988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904"/>
        <c:crossesAt val="0.33333333333333331"/>
        <c:crossBetween val="midCat"/>
      </c:valAx>
      <c:valAx>
        <c:axId val="-115253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りくと2!$F$3:$F$50</c:f>
              <c:numCache>
                <c:formatCode>0.0%</c:formatCode>
                <c:ptCount val="4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0.32432432432432434</c:v>
                </c:pt>
                <c:pt idx="38">
                  <c:v>0.31578947368421051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りくと2!$F$1:$F$2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3152"/>
        <c:axId val="-1152542608"/>
      </c:scatterChart>
      <c:valAx>
        <c:axId val="-115254315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608"/>
        <c:crossesAt val="0.33333333333333331"/>
        <c:crossBetween val="midCat"/>
      </c:valAx>
      <c:valAx>
        <c:axId val="-115254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りくと2!$G$3:$G$50</c:f>
              <c:numCache>
                <c:formatCode>0.0%</c:formatCode>
                <c:ptCount val="48"/>
                <c:pt idx="1">
                  <c:v>0.375</c:v>
                </c:pt>
                <c:pt idx="2">
                  <c:v>0.22222222222222221</c:v>
                </c:pt>
                <c:pt idx="3">
                  <c:v>0.21428571428571427</c:v>
                </c:pt>
                <c:pt idx="4">
                  <c:v>0.24324324324324326</c:v>
                </c:pt>
                <c:pt idx="5">
                  <c:v>0.25</c:v>
                </c:pt>
                <c:pt idx="6">
                  <c:v>0.23404255319148937</c:v>
                </c:pt>
                <c:pt idx="7">
                  <c:v>0.22222222222222221</c:v>
                </c:pt>
                <c:pt idx="8">
                  <c:v>0.25</c:v>
                </c:pt>
                <c:pt idx="9">
                  <c:v>0.27777777777777779</c:v>
                </c:pt>
                <c:pt idx="10">
                  <c:v>0.29113924050632911</c:v>
                </c:pt>
                <c:pt idx="11">
                  <c:v>0.2857142857142857</c:v>
                </c:pt>
                <c:pt idx="12">
                  <c:v>0.27551020408163263</c:v>
                </c:pt>
                <c:pt idx="13">
                  <c:v>0.28703703703703703</c:v>
                </c:pt>
                <c:pt idx="14">
                  <c:v>0.29565217391304349</c:v>
                </c:pt>
                <c:pt idx="15">
                  <c:v>0.28799999999999998</c:v>
                </c:pt>
                <c:pt idx="16">
                  <c:v>0.2857142857142857</c:v>
                </c:pt>
                <c:pt idx="17">
                  <c:v>0.28260869565217389</c:v>
                </c:pt>
                <c:pt idx="18">
                  <c:v>0.26845637583892618</c:v>
                </c:pt>
                <c:pt idx="19">
                  <c:v>0.26874999999999999</c:v>
                </c:pt>
                <c:pt idx="20">
                  <c:v>0.25882352941176473</c:v>
                </c:pt>
                <c:pt idx="21">
                  <c:v>0.26815642458100558</c:v>
                </c:pt>
                <c:pt idx="22">
                  <c:v>0.27127659574468083</c:v>
                </c:pt>
                <c:pt idx="23">
                  <c:v>0.27179487179487177</c:v>
                </c:pt>
                <c:pt idx="24">
                  <c:v>0.26470588235294118</c:v>
                </c:pt>
                <c:pt idx="25">
                  <c:v>0.26066350710900477</c:v>
                </c:pt>
                <c:pt idx="26">
                  <c:v>0.26146788990825687</c:v>
                </c:pt>
                <c:pt idx="27">
                  <c:v>0.25221238938053098</c:v>
                </c:pt>
                <c:pt idx="28">
                  <c:v>0.25862068965517243</c:v>
                </c:pt>
                <c:pt idx="29">
                  <c:v>0.25738396624472576</c:v>
                </c:pt>
                <c:pt idx="30">
                  <c:v>0.25819672131147542</c:v>
                </c:pt>
                <c:pt idx="31">
                  <c:v>0.26587301587301587</c:v>
                </c:pt>
                <c:pt idx="32">
                  <c:v>0.26356589147286824</c:v>
                </c:pt>
                <c:pt idx="33">
                  <c:v>0.26515151515151514</c:v>
                </c:pt>
                <c:pt idx="34">
                  <c:v>0.26838235294117646</c:v>
                </c:pt>
                <c:pt idx="35">
                  <c:v>0.28169014084507044</c:v>
                </c:pt>
                <c:pt idx="36">
                  <c:v>0.2857142857142857</c:v>
                </c:pt>
                <c:pt idx="37">
                  <c:v>0.2814569536423841</c:v>
                </c:pt>
                <c:pt idx="38">
                  <c:v>0.27476038338658149</c:v>
                </c:pt>
                <c:pt idx="39">
                  <c:v>0.26959247648902823</c:v>
                </c:pt>
                <c:pt idx="40">
                  <c:v>0.27828746177370028</c:v>
                </c:pt>
                <c:pt idx="41">
                  <c:v>0.27976190476190477</c:v>
                </c:pt>
                <c:pt idx="42">
                  <c:v>0.27906976744186046</c:v>
                </c:pt>
                <c:pt idx="43">
                  <c:v>0.27887323943661974</c:v>
                </c:pt>
                <c:pt idx="44">
                  <c:v>0.27397260273972601</c:v>
                </c:pt>
                <c:pt idx="45">
                  <c:v>0.27247956403269757</c:v>
                </c:pt>
                <c:pt idx="46">
                  <c:v>0.27345844504021449</c:v>
                </c:pt>
                <c:pt idx="47">
                  <c:v>0.27368421052631581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りくと2!$G$1:$G$2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アガリ率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344"/>
        <c:axId val="-1152536624"/>
      </c:scatterChart>
      <c:valAx>
        <c:axId val="-11525393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624"/>
        <c:crossesAt val="0.2944621938232162"/>
        <c:crossBetween val="midCat"/>
      </c:valAx>
      <c:valAx>
        <c:axId val="-11525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りくと2!$H$3:$H$50</c:f>
              <c:numCache>
                <c:formatCode>0.0%</c:formatCode>
                <c:ptCount val="48"/>
                <c:pt idx="1">
                  <c:v>0.25</c:v>
                </c:pt>
                <c:pt idx="2">
                  <c:v>0.22222222222222221</c:v>
                </c:pt>
                <c:pt idx="3">
                  <c:v>0.17857142857142858</c:v>
                </c:pt>
                <c:pt idx="4">
                  <c:v>0.16216216216216217</c:v>
                </c:pt>
                <c:pt idx="5">
                  <c:v>0.13636363636363635</c:v>
                </c:pt>
                <c:pt idx="6">
                  <c:v>0.1702127659574468</c:v>
                </c:pt>
                <c:pt idx="7">
                  <c:v>0.14814814814814814</c:v>
                </c:pt>
                <c:pt idx="8">
                  <c:v>0.13333333333333333</c:v>
                </c:pt>
                <c:pt idx="9">
                  <c:v>0.1388888888888889</c:v>
                </c:pt>
                <c:pt idx="10">
                  <c:v>0.12658227848101267</c:v>
                </c:pt>
                <c:pt idx="11">
                  <c:v>0.12087912087912088</c:v>
                </c:pt>
                <c:pt idx="12">
                  <c:v>0.12244897959183673</c:v>
                </c:pt>
                <c:pt idx="13">
                  <c:v>0.1111111111111111</c:v>
                </c:pt>
                <c:pt idx="14">
                  <c:v>0.11304347826086956</c:v>
                </c:pt>
                <c:pt idx="15">
                  <c:v>0.128</c:v>
                </c:pt>
                <c:pt idx="16">
                  <c:v>0.15037593984962405</c:v>
                </c:pt>
                <c:pt idx="17">
                  <c:v>0.16666666666666666</c:v>
                </c:pt>
                <c:pt idx="18">
                  <c:v>0.18791946308724833</c:v>
                </c:pt>
                <c:pt idx="19">
                  <c:v>0.19375000000000001</c:v>
                </c:pt>
                <c:pt idx="20">
                  <c:v>0.2</c:v>
                </c:pt>
                <c:pt idx="21">
                  <c:v>0.2011173184357542</c:v>
                </c:pt>
                <c:pt idx="22">
                  <c:v>0.20212765957446807</c:v>
                </c:pt>
                <c:pt idx="23">
                  <c:v>0.2</c:v>
                </c:pt>
                <c:pt idx="24">
                  <c:v>0.20588235294117646</c:v>
                </c:pt>
                <c:pt idx="25">
                  <c:v>0.20853080568720378</c:v>
                </c:pt>
                <c:pt idx="26">
                  <c:v>0.20642201834862386</c:v>
                </c:pt>
                <c:pt idx="27">
                  <c:v>0.20353982300884957</c:v>
                </c:pt>
                <c:pt idx="28">
                  <c:v>0.20258620689655171</c:v>
                </c:pt>
                <c:pt idx="29">
                  <c:v>0.20253164556962025</c:v>
                </c:pt>
                <c:pt idx="30">
                  <c:v>0.20901639344262296</c:v>
                </c:pt>
                <c:pt idx="31">
                  <c:v>0.20238095238095238</c:v>
                </c:pt>
                <c:pt idx="32">
                  <c:v>0.19767441860465115</c:v>
                </c:pt>
                <c:pt idx="33">
                  <c:v>0.19696969696969696</c:v>
                </c:pt>
                <c:pt idx="34">
                  <c:v>0.19485294117647059</c:v>
                </c:pt>
                <c:pt idx="35">
                  <c:v>0.19366197183098591</c:v>
                </c:pt>
                <c:pt idx="36">
                  <c:v>0.19047619047619047</c:v>
                </c:pt>
                <c:pt idx="37">
                  <c:v>0.18543046357615894</c:v>
                </c:pt>
                <c:pt idx="38">
                  <c:v>0.18210862619808307</c:v>
                </c:pt>
                <c:pt idx="39">
                  <c:v>0.18808777429467086</c:v>
                </c:pt>
                <c:pt idx="40">
                  <c:v>0.1834862385321101</c:v>
                </c:pt>
                <c:pt idx="41">
                  <c:v>0.17857142857142858</c:v>
                </c:pt>
                <c:pt idx="42">
                  <c:v>0.18023255813953487</c:v>
                </c:pt>
                <c:pt idx="43">
                  <c:v>0.17464788732394365</c:v>
                </c:pt>
                <c:pt idx="44">
                  <c:v>0.17260273972602741</c:v>
                </c:pt>
                <c:pt idx="45">
                  <c:v>0.17438692098092642</c:v>
                </c:pt>
                <c:pt idx="46">
                  <c:v>0.17158176943699732</c:v>
                </c:pt>
                <c:pt idx="47">
                  <c:v>0.17105263157894737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りくと2!$H$1:$H$2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放銃率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2272"/>
        <c:axId val="-1152533360"/>
      </c:scatterChart>
      <c:valAx>
        <c:axId val="-115253227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360"/>
        <c:crossesAt val="0.15708200212992546"/>
        <c:crossBetween val="midCat"/>
      </c:valAx>
      <c:valAx>
        <c:axId val="-115253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りくと2!$I$3:$I$50</c:f>
              <c:numCache>
                <c:formatCode>0</c:formatCode>
                <c:ptCount val="48"/>
                <c:pt idx="1">
                  <c:v>7300</c:v>
                </c:pt>
                <c:pt idx="2">
                  <c:v>6775</c:v>
                </c:pt>
                <c:pt idx="3">
                  <c:v>7166.666666666667</c:v>
                </c:pt>
                <c:pt idx="4">
                  <c:v>6677.7777777777774</c:v>
                </c:pt>
                <c:pt idx="5">
                  <c:v>7281.818181818182</c:v>
                </c:pt>
                <c:pt idx="6">
                  <c:v>7281.818181818182</c:v>
                </c:pt>
                <c:pt idx="7">
                  <c:v>7675</c:v>
                </c:pt>
                <c:pt idx="8">
                  <c:v>7846.666666666667</c:v>
                </c:pt>
                <c:pt idx="9">
                  <c:v>7515</c:v>
                </c:pt>
                <c:pt idx="10">
                  <c:v>8708.6956521739139</c:v>
                </c:pt>
                <c:pt idx="11">
                  <c:v>8603.8461538461543</c:v>
                </c:pt>
                <c:pt idx="12">
                  <c:v>8581.4814814814818</c:v>
                </c:pt>
                <c:pt idx="13">
                  <c:v>8935.4838709677424</c:v>
                </c:pt>
                <c:pt idx="14">
                  <c:v>8735.2941176470595</c:v>
                </c:pt>
                <c:pt idx="15">
                  <c:v>9250</c:v>
                </c:pt>
                <c:pt idx="16">
                  <c:v>9078.9473684210534</c:v>
                </c:pt>
                <c:pt idx="17">
                  <c:v>8946.1538461538457</c:v>
                </c:pt>
                <c:pt idx="18">
                  <c:v>9012.5</c:v>
                </c:pt>
                <c:pt idx="19">
                  <c:v>8969.7674418604656</c:v>
                </c:pt>
                <c:pt idx="20">
                  <c:v>8825</c:v>
                </c:pt>
                <c:pt idx="21">
                  <c:v>8591.6666666666661</c:v>
                </c:pt>
                <c:pt idx="22">
                  <c:v>8503.9215686274511</c:v>
                </c:pt>
                <c:pt idx="23">
                  <c:v>8388.6792452830196</c:v>
                </c:pt>
                <c:pt idx="24">
                  <c:v>8455.5555555555547</c:v>
                </c:pt>
                <c:pt idx="25">
                  <c:v>8520</c:v>
                </c:pt>
                <c:pt idx="26">
                  <c:v>8431.5789473684217</c:v>
                </c:pt>
                <c:pt idx="27">
                  <c:v>8431.5789473684217</c:v>
                </c:pt>
                <c:pt idx="28">
                  <c:v>8220</c:v>
                </c:pt>
                <c:pt idx="29">
                  <c:v>8172.1311475409839</c:v>
                </c:pt>
                <c:pt idx="30">
                  <c:v>7979.3650793650795</c:v>
                </c:pt>
                <c:pt idx="31">
                  <c:v>8129.8507462686566</c:v>
                </c:pt>
                <c:pt idx="32">
                  <c:v>8245.5882352941171</c:v>
                </c:pt>
                <c:pt idx="33">
                  <c:v>8218.5714285714294</c:v>
                </c:pt>
                <c:pt idx="34">
                  <c:v>8205.4794520547948</c:v>
                </c:pt>
                <c:pt idx="35">
                  <c:v>8502.5</c:v>
                </c:pt>
                <c:pt idx="36">
                  <c:v>8547.6190476190477</c:v>
                </c:pt>
                <c:pt idx="37">
                  <c:v>8471.7647058823532</c:v>
                </c:pt>
                <c:pt idx="38">
                  <c:v>8384.8837209302328</c:v>
                </c:pt>
                <c:pt idx="39">
                  <c:v>8384.8837209302328</c:v>
                </c:pt>
                <c:pt idx="40">
                  <c:v>8440.6593406593402</c:v>
                </c:pt>
                <c:pt idx="41">
                  <c:v>8456.3829787234044</c:v>
                </c:pt>
                <c:pt idx="42">
                  <c:v>8422.9166666666661</c:v>
                </c:pt>
                <c:pt idx="43">
                  <c:v>8339.3939393939399</c:v>
                </c:pt>
                <c:pt idx="44">
                  <c:v>8376</c:v>
                </c:pt>
                <c:pt idx="45">
                  <c:v>8376</c:v>
                </c:pt>
                <c:pt idx="46">
                  <c:v>8342.1568627450979</c:v>
                </c:pt>
                <c:pt idx="47">
                  <c:v>8335.5769230769238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りくと2!$I$1:$I$2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平均アガリ点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6080"/>
        <c:axId val="-1152531728"/>
      </c:scatterChart>
      <c:valAx>
        <c:axId val="-11525360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728"/>
        <c:crossesAt val="8921.518987341773"/>
        <c:crossBetween val="midCat"/>
      </c:valAx>
      <c:valAx>
        <c:axId val="-115253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りくと2!$J$3:$J$50</c:f>
              <c:numCache>
                <c:formatCode>0</c:formatCode>
                <c:ptCount val="48"/>
                <c:pt idx="1">
                  <c:v>-8400</c:v>
                </c:pt>
                <c:pt idx="2">
                  <c:v>-10200</c:v>
                </c:pt>
                <c:pt idx="3">
                  <c:v>-10560</c:v>
                </c:pt>
                <c:pt idx="4">
                  <c:v>-10133.333333333334</c:v>
                </c:pt>
                <c:pt idx="5">
                  <c:v>-10133.333333333334</c:v>
                </c:pt>
                <c:pt idx="6">
                  <c:v>-10850</c:v>
                </c:pt>
                <c:pt idx="7">
                  <c:v>-10850</c:v>
                </c:pt>
                <c:pt idx="8">
                  <c:v>-10850</c:v>
                </c:pt>
                <c:pt idx="9">
                  <c:v>-9140</c:v>
                </c:pt>
                <c:pt idx="10">
                  <c:v>-9140</c:v>
                </c:pt>
                <c:pt idx="11">
                  <c:v>-8663.636363636364</c:v>
                </c:pt>
                <c:pt idx="12">
                  <c:v>-8158.333333333333</c:v>
                </c:pt>
                <c:pt idx="13">
                  <c:v>-8158.333333333333</c:v>
                </c:pt>
                <c:pt idx="14">
                  <c:v>-8146.1538461538457</c:v>
                </c:pt>
                <c:pt idx="15">
                  <c:v>-7937.5</c:v>
                </c:pt>
                <c:pt idx="16">
                  <c:v>-7555</c:v>
                </c:pt>
                <c:pt idx="17">
                  <c:v>-9060.8695652173919</c:v>
                </c:pt>
                <c:pt idx="18">
                  <c:v>-8664.2857142857138</c:v>
                </c:pt>
                <c:pt idx="19">
                  <c:v>-8283.8709677419356</c:v>
                </c:pt>
                <c:pt idx="20">
                  <c:v>-8097.0588235294117</c:v>
                </c:pt>
                <c:pt idx="21">
                  <c:v>-8036.1111111111113</c:v>
                </c:pt>
                <c:pt idx="22">
                  <c:v>-7918.4210526315792</c:v>
                </c:pt>
                <c:pt idx="23">
                  <c:v>-7782.0512820512822</c:v>
                </c:pt>
                <c:pt idx="24">
                  <c:v>-8411.9047619047615</c:v>
                </c:pt>
                <c:pt idx="25">
                  <c:v>-8347.7272727272721</c:v>
                </c:pt>
                <c:pt idx="26">
                  <c:v>-8220</c:v>
                </c:pt>
                <c:pt idx="27">
                  <c:v>-8302.173913043478</c:v>
                </c:pt>
                <c:pt idx="28">
                  <c:v>-8508.510638297872</c:v>
                </c:pt>
                <c:pt idx="29">
                  <c:v>-8581.25</c:v>
                </c:pt>
                <c:pt idx="30">
                  <c:v>-8698.0392156862745</c:v>
                </c:pt>
                <c:pt idx="31">
                  <c:v>-8698.0392156862745</c:v>
                </c:pt>
                <c:pt idx="32">
                  <c:v>-8698.0392156862745</c:v>
                </c:pt>
                <c:pt idx="33">
                  <c:v>-9453.8461538461543</c:v>
                </c:pt>
                <c:pt idx="34">
                  <c:v>-9313.2075471698117</c:v>
                </c:pt>
                <c:pt idx="35">
                  <c:v>-9372.7272727272721</c:v>
                </c:pt>
                <c:pt idx="36">
                  <c:v>-9228.5714285714294</c:v>
                </c:pt>
                <c:pt idx="37">
                  <c:v>-9228.5714285714294</c:v>
                </c:pt>
                <c:pt idx="38">
                  <c:v>-9101.7543859649122</c:v>
                </c:pt>
                <c:pt idx="39">
                  <c:v>-9186.6666666666661</c:v>
                </c:pt>
                <c:pt idx="40">
                  <c:v>-9186.6666666666661</c:v>
                </c:pt>
                <c:pt idx="41">
                  <c:v>-9186.6666666666661</c:v>
                </c:pt>
                <c:pt idx="42">
                  <c:v>-9243.5483870967746</c:v>
                </c:pt>
                <c:pt idx="43">
                  <c:v>-9243.5483870967746</c:v>
                </c:pt>
                <c:pt idx="44">
                  <c:v>-9287.3015873015866</c:v>
                </c:pt>
                <c:pt idx="45">
                  <c:v>-9642.1875</c:v>
                </c:pt>
                <c:pt idx="46">
                  <c:v>-9642.1875</c:v>
                </c:pt>
                <c:pt idx="47">
                  <c:v>-9538.461538461539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りくと2!$J$1:$J$2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平均放銃点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1184"/>
        <c:axId val="-1161176208"/>
      </c:scatterChart>
      <c:valAx>
        <c:axId val="-115253118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76208"/>
        <c:crossesAt val="-8455.2542372881362"/>
        <c:crossBetween val="midCat"/>
      </c:valAx>
      <c:valAx>
        <c:axId val="-11611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りくと2!$K$3:$K$50</c:f>
              <c:numCache>
                <c:formatCode>0.0%</c:formatCode>
                <c:ptCount val="4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0.11764705882352941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0.18181818181818182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りくと2!$K$1:$K$2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ふっとび率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61184368"/>
        <c:axId val="-1149411488"/>
      </c:scatterChart>
      <c:valAx>
        <c:axId val="-11611843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1488"/>
        <c:crossesAt val="0.10222222222222223"/>
        <c:crossBetween val="midCat"/>
      </c:valAx>
      <c:valAx>
        <c:axId val="-11494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8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りくと2!$L$3:$L$50</c:f>
              <c:numCache>
                <c:formatCode>0.0%</c:formatCode>
                <c:ptCount val="48"/>
                <c:pt idx="1">
                  <c:v>0.375</c:v>
                </c:pt>
                <c:pt idx="2">
                  <c:v>0.3888888888888889</c:v>
                </c:pt>
                <c:pt idx="3">
                  <c:v>0.32142857142857145</c:v>
                </c:pt>
                <c:pt idx="4">
                  <c:v>0.27027027027027029</c:v>
                </c:pt>
                <c:pt idx="5">
                  <c:v>0.31818181818181818</c:v>
                </c:pt>
                <c:pt idx="6">
                  <c:v>0.31914893617021278</c:v>
                </c:pt>
                <c:pt idx="7">
                  <c:v>0.35185185185185186</c:v>
                </c:pt>
                <c:pt idx="8">
                  <c:v>0.35</c:v>
                </c:pt>
                <c:pt idx="9">
                  <c:v>0.3611111111111111</c:v>
                </c:pt>
                <c:pt idx="10">
                  <c:v>0.379746835443038</c:v>
                </c:pt>
                <c:pt idx="11">
                  <c:v>0.38461538461538464</c:v>
                </c:pt>
                <c:pt idx="12">
                  <c:v>0.35714285714285715</c:v>
                </c:pt>
                <c:pt idx="13">
                  <c:v>0.35185185185185186</c:v>
                </c:pt>
                <c:pt idx="14">
                  <c:v>0.35652173913043478</c:v>
                </c:pt>
                <c:pt idx="15">
                  <c:v>0.36</c:v>
                </c:pt>
                <c:pt idx="16">
                  <c:v>0.36090225563909772</c:v>
                </c:pt>
                <c:pt idx="17">
                  <c:v>0.35507246376811596</c:v>
                </c:pt>
                <c:pt idx="18">
                  <c:v>0.33557046979865773</c:v>
                </c:pt>
                <c:pt idx="19">
                  <c:v>0.31874999999999998</c:v>
                </c:pt>
                <c:pt idx="20">
                  <c:v>0.31176470588235294</c:v>
                </c:pt>
                <c:pt idx="21">
                  <c:v>0.32402234636871508</c:v>
                </c:pt>
                <c:pt idx="22">
                  <c:v>0.32446808510638298</c:v>
                </c:pt>
                <c:pt idx="23">
                  <c:v>0.32307692307692309</c:v>
                </c:pt>
                <c:pt idx="24">
                  <c:v>0.32843137254901961</c:v>
                </c:pt>
                <c:pt idx="25">
                  <c:v>0.32227488151658767</c:v>
                </c:pt>
                <c:pt idx="26">
                  <c:v>0.32110091743119268</c:v>
                </c:pt>
                <c:pt idx="27">
                  <c:v>0.31415929203539822</c:v>
                </c:pt>
                <c:pt idx="28">
                  <c:v>0.31896551724137934</c:v>
                </c:pt>
                <c:pt idx="29">
                  <c:v>0.31645569620253167</c:v>
                </c:pt>
                <c:pt idx="30">
                  <c:v>0.31147540983606559</c:v>
                </c:pt>
                <c:pt idx="31">
                  <c:v>0.31349206349206349</c:v>
                </c:pt>
                <c:pt idx="32">
                  <c:v>0.30620155038759689</c:v>
                </c:pt>
                <c:pt idx="33">
                  <c:v>0.30303030303030304</c:v>
                </c:pt>
                <c:pt idx="34">
                  <c:v>0.3014705882352941</c:v>
                </c:pt>
                <c:pt idx="35">
                  <c:v>0.29929577464788731</c:v>
                </c:pt>
                <c:pt idx="36">
                  <c:v>0.29591836734693877</c:v>
                </c:pt>
                <c:pt idx="37">
                  <c:v>0.28807947019867547</c:v>
                </c:pt>
                <c:pt idx="38">
                  <c:v>0.28115015974440893</c:v>
                </c:pt>
                <c:pt idx="39">
                  <c:v>0.27899686520376177</c:v>
                </c:pt>
                <c:pt idx="40">
                  <c:v>0.27828746177370028</c:v>
                </c:pt>
                <c:pt idx="41">
                  <c:v>0.27976190476190477</c:v>
                </c:pt>
                <c:pt idx="42">
                  <c:v>0.27616279069767441</c:v>
                </c:pt>
                <c:pt idx="43">
                  <c:v>0.27042253521126758</c:v>
                </c:pt>
                <c:pt idx="44">
                  <c:v>0.26575342465753427</c:v>
                </c:pt>
                <c:pt idx="45">
                  <c:v>0.2670299727520436</c:v>
                </c:pt>
                <c:pt idx="46">
                  <c:v>0.26809651474530832</c:v>
                </c:pt>
                <c:pt idx="47">
                  <c:v>0.26315789473684209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りくと2!$L$1:$L$2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リーチ率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960"/>
        <c:axId val="-1149410400"/>
      </c:scatterChart>
      <c:valAx>
        <c:axId val="-114940496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400"/>
        <c:crossesAt val="0.31256656017039403"/>
        <c:crossBetween val="midCat"/>
      </c:valAx>
      <c:valAx>
        <c:axId val="-11494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りくと2!$M$3:$M$50</c:f>
              <c:numCache>
                <c:formatCode>0.0%</c:formatCode>
                <c:ptCount val="48"/>
                <c:pt idx="1">
                  <c:v>0.125</c:v>
                </c:pt>
                <c:pt idx="2">
                  <c:v>0.1111111111111111</c:v>
                </c:pt>
                <c:pt idx="3">
                  <c:v>0.14285714285714285</c:v>
                </c:pt>
                <c:pt idx="4">
                  <c:v>0.13513513513513514</c:v>
                </c:pt>
                <c:pt idx="5">
                  <c:v>0.13636363636363635</c:v>
                </c:pt>
                <c:pt idx="6">
                  <c:v>0.1276595744680851</c:v>
                </c:pt>
                <c:pt idx="7">
                  <c:v>0.1111111111111111</c:v>
                </c:pt>
                <c:pt idx="8">
                  <c:v>0.11666666666666667</c:v>
                </c:pt>
                <c:pt idx="9">
                  <c:v>0.15277777777777779</c:v>
                </c:pt>
                <c:pt idx="10">
                  <c:v>0.13924050632911392</c:v>
                </c:pt>
                <c:pt idx="11">
                  <c:v>0.13186813186813187</c:v>
                </c:pt>
                <c:pt idx="12">
                  <c:v>0.16326530612244897</c:v>
                </c:pt>
                <c:pt idx="13">
                  <c:v>0.17592592592592593</c:v>
                </c:pt>
                <c:pt idx="14">
                  <c:v>0.17391304347826086</c:v>
                </c:pt>
                <c:pt idx="15">
                  <c:v>0.16</c:v>
                </c:pt>
                <c:pt idx="16">
                  <c:v>0.16541353383458646</c:v>
                </c:pt>
                <c:pt idx="17">
                  <c:v>0.16666666666666666</c:v>
                </c:pt>
                <c:pt idx="18">
                  <c:v>0.17449664429530201</c:v>
                </c:pt>
                <c:pt idx="19">
                  <c:v>0.16250000000000001</c:v>
                </c:pt>
                <c:pt idx="20">
                  <c:v>0.15294117647058825</c:v>
                </c:pt>
                <c:pt idx="21">
                  <c:v>0.16201117318435754</c:v>
                </c:pt>
                <c:pt idx="22">
                  <c:v>0.15957446808510639</c:v>
                </c:pt>
                <c:pt idx="23">
                  <c:v>0.1641025641025641</c:v>
                </c:pt>
                <c:pt idx="24">
                  <c:v>0.16176470588235295</c:v>
                </c:pt>
                <c:pt idx="25">
                  <c:v>0.15639810426540285</c:v>
                </c:pt>
                <c:pt idx="26">
                  <c:v>0.15596330275229359</c:v>
                </c:pt>
                <c:pt idx="27">
                  <c:v>0.16814159292035399</c:v>
                </c:pt>
                <c:pt idx="28">
                  <c:v>0.16379310344827586</c:v>
                </c:pt>
                <c:pt idx="29">
                  <c:v>0.16455696202531644</c:v>
                </c:pt>
                <c:pt idx="30">
                  <c:v>0.16393442622950818</c:v>
                </c:pt>
                <c:pt idx="31">
                  <c:v>0.17063492063492064</c:v>
                </c:pt>
                <c:pt idx="32">
                  <c:v>0.17829457364341086</c:v>
                </c:pt>
                <c:pt idx="33">
                  <c:v>0.18560606060606061</c:v>
                </c:pt>
                <c:pt idx="34">
                  <c:v>0.18382352941176472</c:v>
                </c:pt>
                <c:pt idx="35">
                  <c:v>0.18309859154929578</c:v>
                </c:pt>
                <c:pt idx="36">
                  <c:v>0.1870748299319728</c:v>
                </c:pt>
                <c:pt idx="37">
                  <c:v>0.18543046357615894</c:v>
                </c:pt>
                <c:pt idx="38">
                  <c:v>0.1853035143769968</c:v>
                </c:pt>
                <c:pt idx="39">
                  <c:v>0.18495297805642633</c:v>
                </c:pt>
                <c:pt idx="40">
                  <c:v>0.18654434250764526</c:v>
                </c:pt>
                <c:pt idx="41">
                  <c:v>0.18452380952380953</c:v>
                </c:pt>
                <c:pt idx="42">
                  <c:v>0.19186046511627908</c:v>
                </c:pt>
                <c:pt idx="43">
                  <c:v>0.18873239436619718</c:v>
                </c:pt>
                <c:pt idx="44">
                  <c:v>0.18904109589041096</c:v>
                </c:pt>
                <c:pt idx="45">
                  <c:v>0.18801089918256131</c:v>
                </c:pt>
                <c:pt idx="46">
                  <c:v>0.18498659517426275</c:v>
                </c:pt>
                <c:pt idx="47">
                  <c:v>0.18684210526315789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りくと2!$M$1:$M$2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副露率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8768"/>
        <c:axId val="-1149406592"/>
      </c:scatterChart>
      <c:valAx>
        <c:axId val="-11494087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592"/>
        <c:crossesAt val="0.18317358892438765"/>
        <c:crossBetween val="midCat"/>
      </c:valAx>
      <c:valAx>
        <c:axId val="-114940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りくと2!$N$3:$N$50</c:f>
              <c:numCache>
                <c:formatCode>0.0%</c:formatCode>
                <c:ptCount val="48"/>
                <c:pt idx="1">
                  <c:v>0.66666666666666663</c:v>
                </c:pt>
                <c:pt idx="2">
                  <c:v>0.42857142857142855</c:v>
                </c:pt>
                <c:pt idx="3">
                  <c:v>0.44444444444444442</c:v>
                </c:pt>
                <c:pt idx="4">
                  <c:v>0.5</c:v>
                </c:pt>
                <c:pt idx="5">
                  <c:v>0.5</c:v>
                </c:pt>
                <c:pt idx="6">
                  <c:v>0.46666666666666667</c:v>
                </c:pt>
                <c:pt idx="7">
                  <c:v>0.42105263157894735</c:v>
                </c:pt>
                <c:pt idx="8">
                  <c:v>0.47619047619047616</c:v>
                </c:pt>
                <c:pt idx="9">
                  <c:v>0.46153846153846156</c:v>
                </c:pt>
                <c:pt idx="10">
                  <c:v>0.5</c:v>
                </c:pt>
                <c:pt idx="11">
                  <c:v>0.51428571428571423</c:v>
                </c:pt>
                <c:pt idx="12">
                  <c:v>0.51428571428571423</c:v>
                </c:pt>
                <c:pt idx="13">
                  <c:v>0.52631578947368418</c:v>
                </c:pt>
                <c:pt idx="14">
                  <c:v>0.51219512195121952</c:v>
                </c:pt>
                <c:pt idx="15">
                  <c:v>0.51111111111111107</c:v>
                </c:pt>
                <c:pt idx="16">
                  <c:v>0.52083333333333337</c:v>
                </c:pt>
                <c:pt idx="17">
                  <c:v>0.51020408163265307</c:v>
                </c:pt>
                <c:pt idx="18">
                  <c:v>0.52</c:v>
                </c:pt>
                <c:pt idx="19">
                  <c:v>0.52941176470588236</c:v>
                </c:pt>
                <c:pt idx="20">
                  <c:v>0.50943396226415094</c:v>
                </c:pt>
                <c:pt idx="21">
                  <c:v>0.5</c:v>
                </c:pt>
                <c:pt idx="22">
                  <c:v>0.49180327868852458</c:v>
                </c:pt>
                <c:pt idx="23">
                  <c:v>0.49206349206349204</c:v>
                </c:pt>
                <c:pt idx="24">
                  <c:v>0.47761194029850745</c:v>
                </c:pt>
                <c:pt idx="25">
                  <c:v>0.48529411764705882</c:v>
                </c:pt>
                <c:pt idx="26">
                  <c:v>0.48571428571428571</c:v>
                </c:pt>
                <c:pt idx="27">
                  <c:v>0.47887323943661969</c:v>
                </c:pt>
                <c:pt idx="28">
                  <c:v>0.48648648648648651</c:v>
                </c:pt>
                <c:pt idx="29">
                  <c:v>0.49333333333333335</c:v>
                </c:pt>
                <c:pt idx="30">
                  <c:v>0.48684210526315791</c:v>
                </c:pt>
                <c:pt idx="31">
                  <c:v>0.48101265822784811</c:v>
                </c:pt>
                <c:pt idx="32">
                  <c:v>0.48101265822784811</c:v>
                </c:pt>
                <c:pt idx="33">
                  <c:v>0.47499999999999998</c:v>
                </c:pt>
                <c:pt idx="34">
                  <c:v>0.47560975609756095</c:v>
                </c:pt>
                <c:pt idx="35">
                  <c:v>0.49411764705882355</c:v>
                </c:pt>
                <c:pt idx="36">
                  <c:v>0.50574712643678166</c:v>
                </c:pt>
                <c:pt idx="37">
                  <c:v>0.50574712643678166</c:v>
                </c:pt>
                <c:pt idx="38">
                  <c:v>0.5</c:v>
                </c:pt>
                <c:pt idx="39">
                  <c:v>0.4943820224719101</c:v>
                </c:pt>
                <c:pt idx="40">
                  <c:v>0.50549450549450547</c:v>
                </c:pt>
                <c:pt idx="41">
                  <c:v>0.51063829787234039</c:v>
                </c:pt>
                <c:pt idx="42">
                  <c:v>0.51578947368421058</c:v>
                </c:pt>
                <c:pt idx="43">
                  <c:v>0.51041666666666663</c:v>
                </c:pt>
                <c:pt idx="44">
                  <c:v>0.50515463917525771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りくと2!$N$1:$N$2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リーチ成功率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7680"/>
        <c:axId val="-1149409312"/>
      </c:scatterChart>
      <c:valAx>
        <c:axId val="-11494076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9312"/>
        <c:crossesAt val="0.54003407155025551"/>
        <c:crossBetween val="midCat"/>
      </c:valAx>
      <c:valAx>
        <c:axId val="-11494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りくと2!$O$3:$O$50</c:f>
              <c:numCache>
                <c:formatCode>0.0%</c:formatCode>
                <c:ptCount val="48"/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0.63636363636363635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</c:v>
                </c:pt>
                <c:pt idx="13">
                  <c:v>0.52631578947368418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0.5</c:v>
                </c:pt>
                <c:pt idx="17">
                  <c:v>0.52173913043478259</c:v>
                </c:pt>
                <c:pt idx="18">
                  <c:v>0.46153846153846156</c:v>
                </c:pt>
                <c:pt idx="19">
                  <c:v>0.46153846153846156</c:v>
                </c:pt>
                <c:pt idx="20">
                  <c:v>0.46153846153846156</c:v>
                </c:pt>
                <c:pt idx="21">
                  <c:v>0.48275862068965519</c:v>
                </c:pt>
                <c:pt idx="22">
                  <c:v>0.5</c:v>
                </c:pt>
                <c:pt idx="23">
                  <c:v>0.5</c:v>
                </c:pt>
                <c:pt idx="24">
                  <c:v>0.48484848484848486</c:v>
                </c:pt>
                <c:pt idx="25">
                  <c:v>0.48484848484848486</c:v>
                </c:pt>
                <c:pt idx="26">
                  <c:v>0.5</c:v>
                </c:pt>
                <c:pt idx="27">
                  <c:v>0.44736842105263158</c:v>
                </c:pt>
                <c:pt idx="28">
                  <c:v>0.44736842105263158</c:v>
                </c:pt>
                <c:pt idx="29">
                  <c:v>0.4358974358974359</c:v>
                </c:pt>
                <c:pt idx="30">
                  <c:v>0.42499999999999999</c:v>
                </c:pt>
                <c:pt idx="31">
                  <c:v>0.44186046511627908</c:v>
                </c:pt>
                <c:pt idx="32">
                  <c:v>0.43478260869565216</c:v>
                </c:pt>
                <c:pt idx="33">
                  <c:v>0.42857142857142855</c:v>
                </c:pt>
                <c:pt idx="34">
                  <c:v>0.44</c:v>
                </c:pt>
                <c:pt idx="35">
                  <c:v>0.44230769230769229</c:v>
                </c:pt>
                <c:pt idx="36">
                  <c:v>0.45454545454545453</c:v>
                </c:pt>
                <c:pt idx="37">
                  <c:v>0.4642857142857143</c:v>
                </c:pt>
                <c:pt idx="38">
                  <c:v>0.46551724137931033</c:v>
                </c:pt>
                <c:pt idx="39">
                  <c:v>0.4576271186440678</c:v>
                </c:pt>
                <c:pt idx="40">
                  <c:v>0.47540983606557374</c:v>
                </c:pt>
                <c:pt idx="41">
                  <c:v>0.4838709677419355</c:v>
                </c:pt>
                <c:pt idx="42">
                  <c:v>0.46969696969696972</c:v>
                </c:pt>
                <c:pt idx="43">
                  <c:v>0.47761194029850745</c:v>
                </c:pt>
                <c:pt idx="44">
                  <c:v>0.47826086956521741</c:v>
                </c:pt>
                <c:pt idx="45">
                  <c:v>0.47826086956521741</c:v>
                </c:pt>
                <c:pt idx="46">
                  <c:v>0.47826086956521741</c:v>
                </c:pt>
                <c:pt idx="47">
                  <c:v>0.47887323943661969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りくと2!$O$1:$O$2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副露成功率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16928"/>
        <c:axId val="-1149410944"/>
      </c:scatterChart>
      <c:valAx>
        <c:axId val="-114941692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944"/>
        <c:crossesAt val="0.40406976744186046"/>
        <c:crossBetween val="midCat"/>
      </c:valAx>
      <c:valAx>
        <c:axId val="-11494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りくと2!$P$3:$P$50</c:f>
              <c:numCache>
                <c:formatCode>0.0%</c:formatCode>
                <c:ptCount val="48"/>
                <c:pt idx="1">
                  <c:v>0.66666666666666663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0.41666666666666669</c:v>
                </c:pt>
                <c:pt idx="8">
                  <c:v>0.46666666666666667</c:v>
                </c:pt>
                <c:pt idx="9">
                  <c:v>0.45</c:v>
                </c:pt>
                <c:pt idx="10">
                  <c:v>0.43478260869565216</c:v>
                </c:pt>
                <c:pt idx="11">
                  <c:v>0.42307692307692307</c:v>
                </c:pt>
                <c:pt idx="12">
                  <c:v>0.44444444444444442</c:v>
                </c:pt>
                <c:pt idx="13">
                  <c:v>0.41935483870967744</c:v>
                </c:pt>
                <c:pt idx="14">
                  <c:v>0.41176470588235292</c:v>
                </c:pt>
                <c:pt idx="15">
                  <c:v>0.41666666666666669</c:v>
                </c:pt>
                <c:pt idx="16">
                  <c:v>0.42105263157894735</c:v>
                </c:pt>
                <c:pt idx="17">
                  <c:v>0.41025641025641024</c:v>
                </c:pt>
                <c:pt idx="18">
                  <c:v>0.4</c:v>
                </c:pt>
                <c:pt idx="19">
                  <c:v>0.41860465116279072</c:v>
                </c:pt>
                <c:pt idx="20">
                  <c:v>0.40909090909090912</c:v>
                </c:pt>
                <c:pt idx="21">
                  <c:v>0.41666666666666669</c:v>
                </c:pt>
                <c:pt idx="22">
                  <c:v>0.41176470588235292</c:v>
                </c:pt>
                <c:pt idx="23">
                  <c:v>0.41509433962264153</c:v>
                </c:pt>
                <c:pt idx="24">
                  <c:v>0.40740740740740738</c:v>
                </c:pt>
                <c:pt idx="25">
                  <c:v>0.41818181818181815</c:v>
                </c:pt>
                <c:pt idx="26">
                  <c:v>0.43859649122807015</c:v>
                </c:pt>
                <c:pt idx="27">
                  <c:v>0.43859649122807015</c:v>
                </c:pt>
                <c:pt idx="28">
                  <c:v>0.46666666666666667</c:v>
                </c:pt>
                <c:pt idx="29">
                  <c:v>0.47540983606557374</c:v>
                </c:pt>
                <c:pt idx="30">
                  <c:v>0.49206349206349204</c:v>
                </c:pt>
                <c:pt idx="31">
                  <c:v>0.5074626865671642</c:v>
                </c:pt>
                <c:pt idx="32">
                  <c:v>0.51470588235294112</c:v>
                </c:pt>
                <c:pt idx="33">
                  <c:v>0.51428571428571423</c:v>
                </c:pt>
                <c:pt idx="34">
                  <c:v>0.52054794520547942</c:v>
                </c:pt>
                <c:pt idx="35">
                  <c:v>0.52500000000000002</c:v>
                </c:pt>
                <c:pt idx="36">
                  <c:v>0.51190476190476186</c:v>
                </c:pt>
                <c:pt idx="37">
                  <c:v>0.51764705882352946</c:v>
                </c:pt>
                <c:pt idx="38">
                  <c:v>0.51162790697674421</c:v>
                </c:pt>
                <c:pt idx="39">
                  <c:v>0.51162790697674421</c:v>
                </c:pt>
                <c:pt idx="40">
                  <c:v>0.49450549450549453</c:v>
                </c:pt>
                <c:pt idx="41">
                  <c:v>0.5</c:v>
                </c:pt>
                <c:pt idx="42">
                  <c:v>0.5</c:v>
                </c:pt>
                <c:pt idx="43">
                  <c:v>0.49494949494949497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0.49038461538461536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りくと2!$P$1:$P$2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ツモ率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416"/>
        <c:axId val="-1149406048"/>
      </c:scatterChart>
      <c:valAx>
        <c:axId val="-114940441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048"/>
        <c:crossesAt val="0.46292947558770342"/>
        <c:crossBetween val="midCat"/>
      </c:valAx>
      <c:valAx>
        <c:axId val="-11494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3E84DF3-00C4-48DE-BF9D-5C0F50856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6682729-78AA-4E21-AFFA-D9E965EB9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EC1D5B2-520F-47CF-BA7B-D445D8172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026457C-94D4-4E2E-84EB-4153690388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31CE09-E520-4DAD-B84C-44500286B9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04F8C3-0067-4E33-BD96-4249B77E0F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5886A17-9744-4B7D-94E7-CA6F32C40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9ABBE5A-F1DB-4CDE-BA4E-C4FC583C66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B2A566-3EA9-44B1-B08D-0EA37AC3FA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5D40C7F-C6D8-4B9F-8CBD-489A09A1A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FFF3CE1-1A5A-4DC0-8661-88BB660A65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E78BFDB-487A-4990-89CD-6A915923C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685BB76-A6FE-4AC0-95CF-024B651AEF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51512D7-CF9E-4698-9B0D-FC12B5E016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FE7FEB1-37DD-44B3-B51B-9BE2BEFEC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7CB57DF-BB05-4A30-9EFC-2C563FB49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DBC316E-F7C8-44F1-86EF-13E00185F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1D6B570-0BB0-4262-919A-CC41F3348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F962E0-DC5F-4FD6-8A60-8A3570882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CA68E96-9F6B-49DF-8C6A-B72158071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528DD7-6D0E-40B6-B674-EA6311CAB5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B29FBC-A330-43F8-9CF2-A18D86A3D8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5DE8A58-9B79-469A-80C4-ACB6B1A538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25983B3-2079-4ED6-BAC5-10F8C099D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E05FD7E-E8FD-4EDE-912A-2D77582D7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A07EA0-FB7E-455B-ABF8-F5E865600D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F448B89-144A-4AFE-8C3A-F92DAE012D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F96D619-B988-4C20-8EDC-52B1B015D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BF6603-D55E-4BA1-83F9-81D329D539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C5D1931-230F-4493-9868-0BF58043F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5DF37D8-4710-484B-A08E-3FD855B31A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345E89-E54E-48D8-81A4-574F135209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S8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9" x14ac:dyDescent="0.4">
      <c r="A1" s="1">
        <v>32874</v>
      </c>
      <c r="B1" s="1">
        <v>2958465</v>
      </c>
    </row>
    <row r="2" spans="1:19" x14ac:dyDescent="0.4">
      <c r="A2" s="2" t="s">
        <v>224</v>
      </c>
      <c r="B2" s="3">
        <v>44990.226365740738</v>
      </c>
      <c r="C2" s="2" t="s">
        <v>211</v>
      </c>
      <c r="D2" s="2" t="s">
        <v>212</v>
      </c>
      <c r="E2" s="2" t="s">
        <v>213</v>
      </c>
      <c r="F2" s="2" t="s">
        <v>214</v>
      </c>
      <c r="G2" s="2" t="s">
        <v>215</v>
      </c>
      <c r="H2" s="2" t="s">
        <v>216</v>
      </c>
      <c r="I2" s="2" t="s">
        <v>217</v>
      </c>
      <c r="J2" s="2" t="s">
        <v>218</v>
      </c>
      <c r="K2" s="2" t="s">
        <v>220</v>
      </c>
      <c r="L2" s="2" t="s">
        <v>221</v>
      </c>
      <c r="M2" s="2" t="s">
        <v>222</v>
      </c>
      <c r="N2" s="2" t="s">
        <v>223</v>
      </c>
      <c r="O2" s="2" t="s">
        <v>225</v>
      </c>
      <c r="P2" s="2" t="s">
        <v>226</v>
      </c>
      <c r="Q2" s="2" t="s">
        <v>227</v>
      </c>
      <c r="R2" s="2" t="s">
        <v>228</v>
      </c>
      <c r="S2" s="2" t="s">
        <v>229</v>
      </c>
    </row>
    <row r="3" spans="1:19" x14ac:dyDescent="0.4">
      <c r="A3" s="2" t="s">
        <v>230</v>
      </c>
      <c r="B3" s="3">
        <v>45048.836782407408</v>
      </c>
      <c r="C3" s="2" t="s">
        <v>211</v>
      </c>
      <c r="D3" s="2" t="s">
        <v>212</v>
      </c>
      <c r="E3" s="2" t="s">
        <v>213</v>
      </c>
      <c r="F3" s="2" t="s">
        <v>214</v>
      </c>
      <c r="G3" s="2" t="s">
        <v>215</v>
      </c>
      <c r="H3" s="2" t="s">
        <v>216</v>
      </c>
      <c r="I3" s="2" t="s">
        <v>217</v>
      </c>
      <c r="J3" s="2" t="s">
        <v>218</v>
      </c>
      <c r="K3" s="2" t="s">
        <v>220</v>
      </c>
    </row>
    <row r="4" spans="1:19" x14ac:dyDescent="0.4">
      <c r="A4" s="2" t="s">
        <v>231</v>
      </c>
      <c r="B4" s="3">
        <v>45152.133379629631</v>
      </c>
      <c r="C4" s="2" t="s">
        <v>211</v>
      </c>
      <c r="D4" s="2" t="s">
        <v>212</v>
      </c>
      <c r="E4" s="2" t="s">
        <v>213</v>
      </c>
      <c r="F4" s="2" t="s">
        <v>214</v>
      </c>
      <c r="G4" s="2" t="s">
        <v>215</v>
      </c>
      <c r="H4" s="2" t="s">
        <v>216</v>
      </c>
      <c r="I4" s="2" t="s">
        <v>217</v>
      </c>
    </row>
    <row r="5" spans="1:19" x14ac:dyDescent="0.4">
      <c r="A5" s="2" t="s">
        <v>232</v>
      </c>
      <c r="B5" s="3">
        <v>45221.872974537036</v>
      </c>
      <c r="C5" s="2" t="s">
        <v>211</v>
      </c>
      <c r="D5" s="2" t="s">
        <v>212</v>
      </c>
      <c r="E5" s="2" t="s">
        <v>213</v>
      </c>
      <c r="F5" s="2" t="s">
        <v>214</v>
      </c>
      <c r="G5" s="2" t="s">
        <v>215</v>
      </c>
      <c r="H5" s="2" t="s">
        <v>216</v>
      </c>
      <c r="I5" s="2" t="s">
        <v>217</v>
      </c>
      <c r="J5" s="2" t="s">
        <v>218</v>
      </c>
      <c r="K5" s="2" t="s">
        <v>220</v>
      </c>
      <c r="L5" s="2" t="s">
        <v>221</v>
      </c>
      <c r="M5" s="2" t="s">
        <v>222</v>
      </c>
    </row>
    <row r="6" spans="1:19" x14ac:dyDescent="0.4">
      <c r="A6" s="2" t="s">
        <v>233</v>
      </c>
      <c r="B6" s="3">
        <v>45295.739537037036</v>
      </c>
      <c r="C6" s="2" t="s">
        <v>211</v>
      </c>
      <c r="D6" s="2" t="s">
        <v>212</v>
      </c>
      <c r="E6" s="2" t="s">
        <v>213</v>
      </c>
      <c r="F6" s="2" t="s">
        <v>214</v>
      </c>
      <c r="G6" s="2" t="s">
        <v>215</v>
      </c>
      <c r="H6" s="2" t="s">
        <v>216</v>
      </c>
      <c r="I6" s="2" t="s">
        <v>217</v>
      </c>
    </row>
    <row r="7" spans="1:19" x14ac:dyDescent="0.4">
      <c r="A7" s="2" t="s">
        <v>234</v>
      </c>
      <c r="B7" s="3">
        <v>45410.748402777775</v>
      </c>
      <c r="C7" s="2" t="s">
        <v>211</v>
      </c>
      <c r="D7" s="2" t="s">
        <v>212</v>
      </c>
      <c r="E7" s="2" t="s">
        <v>213</v>
      </c>
      <c r="F7" s="2" t="s">
        <v>214</v>
      </c>
      <c r="G7" s="2" t="s">
        <v>215</v>
      </c>
      <c r="H7" s="2" t="s">
        <v>216</v>
      </c>
      <c r="I7" s="2" t="s">
        <v>217</v>
      </c>
      <c r="J7" s="2" t="s">
        <v>218</v>
      </c>
      <c r="K7" s="2" t="s">
        <v>220</v>
      </c>
      <c r="L7" s="2" t="s">
        <v>221</v>
      </c>
      <c r="M7" s="2" t="s">
        <v>222</v>
      </c>
      <c r="N7" s="2" t="s">
        <v>223</v>
      </c>
    </row>
    <row r="8" spans="1:19" x14ac:dyDescent="0.4">
      <c r="A8" s="2" t="s">
        <v>219</v>
      </c>
      <c r="B8" s="3">
        <v>45517.879363425927</v>
      </c>
      <c r="C8" s="2" t="s">
        <v>211</v>
      </c>
      <c r="D8" s="2" t="s">
        <v>212</v>
      </c>
      <c r="E8" s="2" t="s">
        <v>213</v>
      </c>
      <c r="F8" s="2" t="s">
        <v>214</v>
      </c>
      <c r="G8" s="2" t="s">
        <v>215</v>
      </c>
      <c r="H8" s="2" t="s">
        <v>216</v>
      </c>
      <c r="I8" s="2" t="s">
        <v>217</v>
      </c>
      <c r="J8" s="2" t="s">
        <v>218</v>
      </c>
      <c r="K8" s="2" t="s">
        <v>220</v>
      </c>
      <c r="L8" s="2" t="s">
        <v>221</v>
      </c>
      <c r="M8" s="2" t="s">
        <v>222</v>
      </c>
      <c r="N8" s="2" t="s">
        <v>223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235</v>
      </c>
    </row>
    <row r="2" spans="1:3" x14ac:dyDescent="0.4">
      <c r="A2" t="s">
        <v>126</v>
      </c>
      <c r="B2" s="120">
        <v>69</v>
      </c>
      <c r="C2" s="120">
        <v>1846.5755924228188</v>
      </c>
    </row>
    <row r="3" spans="1:3" x14ac:dyDescent="0.4">
      <c r="A3" t="s">
        <v>138</v>
      </c>
      <c r="B3" s="120">
        <v>225</v>
      </c>
      <c r="C3" s="120">
        <v>1614.2957512011271</v>
      </c>
    </row>
    <row r="4" spans="1:3" x14ac:dyDescent="0.4">
      <c r="A4" t="s">
        <v>162</v>
      </c>
      <c r="B4" s="120">
        <v>36</v>
      </c>
      <c r="C4" s="120">
        <v>1595.6213709809917</v>
      </c>
    </row>
    <row r="5" spans="1:3" x14ac:dyDescent="0.4">
      <c r="A5" t="s">
        <v>188</v>
      </c>
      <c r="B5" s="120">
        <v>12</v>
      </c>
      <c r="C5" s="120">
        <v>1551.4699038276274</v>
      </c>
    </row>
    <row r="6" spans="1:3" x14ac:dyDescent="0.4">
      <c r="A6" t="s">
        <v>189</v>
      </c>
      <c r="B6" s="120">
        <v>37</v>
      </c>
      <c r="C6" s="120">
        <v>1546.9221135131666</v>
      </c>
    </row>
    <row r="7" spans="1:3" x14ac:dyDescent="0.4">
      <c r="A7" t="s">
        <v>207</v>
      </c>
      <c r="C7" s="120">
        <v>1541.223654027415</v>
      </c>
    </row>
    <row r="8" spans="1:3" x14ac:dyDescent="0.4">
      <c r="A8" t="s">
        <v>200</v>
      </c>
      <c r="C8" s="120">
        <v>1519.3079580555725</v>
      </c>
    </row>
    <row r="9" spans="1:3" x14ac:dyDescent="0.4">
      <c r="A9" t="s">
        <v>196</v>
      </c>
      <c r="C9" s="120">
        <v>1519.2052586122145</v>
      </c>
    </row>
    <row r="10" spans="1:3" x14ac:dyDescent="0.4">
      <c r="A10" t="s">
        <v>199</v>
      </c>
      <c r="C10" s="120">
        <v>1503.1020000000001</v>
      </c>
    </row>
    <row r="11" spans="1:3" x14ac:dyDescent="0.4">
      <c r="A11" t="s">
        <v>209</v>
      </c>
      <c r="B11" s="120">
        <v>9</v>
      </c>
      <c r="C11" s="120">
        <v>1497.379788</v>
      </c>
    </row>
    <row r="12" spans="1:3" x14ac:dyDescent="0.4">
      <c r="A12" t="s">
        <v>210</v>
      </c>
      <c r="C12" s="120">
        <v>1493.0891304000002</v>
      </c>
    </row>
    <row r="13" spans="1:3" x14ac:dyDescent="0.4">
      <c r="A13" t="s">
        <v>198</v>
      </c>
      <c r="C13" s="120">
        <v>1491.5152195648213</v>
      </c>
    </row>
    <row r="14" spans="1:3" x14ac:dyDescent="0.4">
      <c r="A14" t="s">
        <v>201</v>
      </c>
      <c r="C14" s="120">
        <v>1489.2889468180317</v>
      </c>
    </row>
    <row r="15" spans="1:3" x14ac:dyDescent="0.4">
      <c r="A15" t="s">
        <v>208</v>
      </c>
      <c r="C15" s="120">
        <v>1488.9447185272431</v>
      </c>
    </row>
    <row r="16" spans="1:3" x14ac:dyDescent="0.4">
      <c r="A16" t="s">
        <v>203</v>
      </c>
      <c r="C16" s="120">
        <v>1484.6521503082251</v>
      </c>
    </row>
    <row r="17" spans="1:8" x14ac:dyDescent="0.4">
      <c r="A17" t="s">
        <v>205</v>
      </c>
      <c r="C17" s="120">
        <v>1484.4200922656562</v>
      </c>
      <c r="G17" s="120"/>
      <c r="H17" s="120"/>
    </row>
    <row r="18" spans="1:8" x14ac:dyDescent="0.4">
      <c r="A18" t="s">
        <v>206</v>
      </c>
      <c r="C18" s="120">
        <v>1483.0119085897741</v>
      </c>
      <c r="G18" s="120"/>
      <c r="H18" s="120"/>
    </row>
    <row r="19" spans="1:8" x14ac:dyDescent="0.4">
      <c r="A19" t="s">
        <v>197</v>
      </c>
      <c r="C19" s="120">
        <v>1476.9680701642462</v>
      </c>
      <c r="G19" s="120"/>
      <c r="H19" s="120"/>
    </row>
    <row r="20" spans="1:8" x14ac:dyDescent="0.4">
      <c r="A20" t="s">
        <v>202</v>
      </c>
      <c r="C20" s="120">
        <v>1476.2954110473599</v>
      </c>
      <c r="G20" s="120"/>
      <c r="H20" s="120"/>
    </row>
    <row r="21" spans="1:8" x14ac:dyDescent="0.4">
      <c r="A21" t="s">
        <v>187</v>
      </c>
      <c r="B21" s="120">
        <v>15</v>
      </c>
      <c r="C21" s="120">
        <v>1463.3989422821498</v>
      </c>
      <c r="G21" s="120"/>
      <c r="H21" s="120"/>
    </row>
    <row r="22" spans="1:8" x14ac:dyDescent="0.4">
      <c r="A22" t="s">
        <v>194</v>
      </c>
      <c r="C22" s="120">
        <v>1445.1125193047092</v>
      </c>
      <c r="G22" s="120"/>
      <c r="H22" s="120"/>
    </row>
    <row r="23" spans="1:8" x14ac:dyDescent="0.4">
      <c r="A23" t="s">
        <v>195</v>
      </c>
      <c r="C23" s="120">
        <v>1384.1908394993188</v>
      </c>
    </row>
    <row r="24" spans="1:8" x14ac:dyDescent="0.4">
      <c r="A24" t="s">
        <v>191</v>
      </c>
      <c r="B24" s="120">
        <v>47</v>
      </c>
      <c r="C24" s="120">
        <v>1372.5824902185618</v>
      </c>
    </row>
    <row r="25" spans="1:8" x14ac:dyDescent="0.4">
      <c r="A25" t="s">
        <v>190</v>
      </c>
      <c r="C25" s="120">
        <v>1340.228259602879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153</v>
      </c>
      <c r="F1" s="100" t="s">
        <v>115</v>
      </c>
      <c r="G1" s="99" t="s">
        <v>116</v>
      </c>
      <c r="H1" s="86" t="s">
        <v>117</v>
      </c>
      <c r="I1" s="100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127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128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129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130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192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131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132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150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183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151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184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152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185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182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180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181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164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165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163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156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157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135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179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170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166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167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168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169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171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172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173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174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175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176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177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178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154</v>
      </c>
      <c r="F50" s="24" t="s">
        <v>155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158</v>
      </c>
      <c r="F51" s="92" t="s">
        <v>159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160</v>
      </c>
      <c r="F52" s="25" t="s">
        <v>161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1"/>
  <dimension ref="A1:AK10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192</v>
      </c>
      <c r="I1" s="148"/>
      <c r="J1" s="141" t="s">
        <v>15</v>
      </c>
      <c r="K1" s="142"/>
      <c r="L1" s="141" t="s">
        <v>14</v>
      </c>
      <c r="M1" s="142"/>
      <c r="N1" s="141" t="s">
        <v>148</v>
      </c>
      <c r="O1" s="142"/>
      <c r="P1" s="141" t="s">
        <v>142</v>
      </c>
      <c r="Q1" s="142"/>
      <c r="R1" s="141" t="s">
        <v>143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144</v>
      </c>
      <c r="AG1" s="142"/>
      <c r="AH1" s="141" t="s">
        <v>137</v>
      </c>
      <c r="AI1" s="142"/>
      <c r="AJ1" s="141" t="s">
        <v>179</v>
      </c>
      <c r="AK1" s="142"/>
    </row>
    <row r="2" spans="1:37" x14ac:dyDescent="0.4">
      <c r="A2" s="36" t="s">
        <v>204</v>
      </c>
      <c r="B2" s="143">
        <v>0.47653751579542092</v>
      </c>
      <c r="C2" s="144"/>
      <c r="D2" s="143">
        <v>0.90228049029517254</v>
      </c>
      <c r="E2" s="144"/>
      <c r="F2" s="143">
        <v>0.58328604362373715</v>
      </c>
      <c r="G2" s="144"/>
      <c r="H2" s="145"/>
      <c r="I2" s="146"/>
      <c r="J2" s="143">
        <v>0.51846498124144358</v>
      </c>
      <c r="K2" s="144"/>
      <c r="L2" s="143">
        <v>0.55943225708256361</v>
      </c>
      <c r="M2" s="144"/>
      <c r="N2" s="143">
        <v>0.22260750280594963</v>
      </c>
      <c r="O2" s="144"/>
      <c r="P2" s="143">
        <v>-4.1756977746494554E-2</v>
      </c>
      <c r="Q2" s="144"/>
      <c r="R2" s="143">
        <v>0.50060724222070863</v>
      </c>
      <c r="S2" s="144"/>
      <c r="T2" s="143">
        <v>0.56744406069340203</v>
      </c>
      <c r="U2" s="144"/>
      <c r="V2" s="143">
        <v>0.41789039025236779</v>
      </c>
      <c r="W2" s="144"/>
      <c r="X2" s="143">
        <v>0.61803355346121724</v>
      </c>
      <c r="Y2" s="144"/>
      <c r="Z2" s="143">
        <v>0.52066044659163324</v>
      </c>
      <c r="AA2" s="144"/>
      <c r="AB2" s="143">
        <v>-0.38555740668046756</v>
      </c>
      <c r="AC2" s="144"/>
      <c r="AD2" s="143">
        <v>-0.15018182204033781</v>
      </c>
      <c r="AE2" s="144"/>
      <c r="AF2" s="143">
        <v>-0.23040611017244855</v>
      </c>
      <c r="AG2" s="144"/>
      <c r="AH2" s="143">
        <v>-0.35398042669000096</v>
      </c>
      <c r="AI2" s="144"/>
      <c r="AJ2" s="143">
        <v>0.69077984151163296</v>
      </c>
      <c r="AK2" s="144"/>
    </row>
    <row r="3" spans="1:37" x14ac:dyDescent="0.4">
      <c r="A3" s="38">
        <v>1</v>
      </c>
      <c r="B3" s="41" t="s">
        <v>138</v>
      </c>
      <c r="C3" s="113">
        <v>75</v>
      </c>
      <c r="D3" s="39" t="s">
        <v>126</v>
      </c>
      <c r="E3" s="40">
        <v>415.39999999999969</v>
      </c>
      <c r="F3" s="41" t="s">
        <v>187</v>
      </c>
      <c r="G3" s="60">
        <v>10.793333333333333</v>
      </c>
      <c r="H3" s="41" t="s">
        <v>126</v>
      </c>
      <c r="I3" s="45">
        <v>1819.8977830173876</v>
      </c>
      <c r="J3" s="41" t="s">
        <v>187</v>
      </c>
      <c r="K3" s="42">
        <v>1.8</v>
      </c>
      <c r="L3" s="41" t="s">
        <v>187</v>
      </c>
      <c r="M3" s="43">
        <v>0.46666666666666667</v>
      </c>
      <c r="N3" s="41" t="s">
        <v>126</v>
      </c>
      <c r="O3" s="43">
        <v>0.2608695652173913</v>
      </c>
      <c r="P3" s="41" t="s">
        <v>187</v>
      </c>
      <c r="Q3" s="44">
        <v>0.34090909090909088</v>
      </c>
      <c r="R3" s="41" t="s">
        <v>189</v>
      </c>
      <c r="S3" s="44">
        <v>0.1388888888888889</v>
      </c>
      <c r="T3" s="41" t="s">
        <v>188</v>
      </c>
      <c r="U3" s="45">
        <v>10159.259259259259</v>
      </c>
      <c r="V3" s="41" t="s">
        <v>187</v>
      </c>
      <c r="W3" s="45">
        <v>-7010.5263157894733</v>
      </c>
      <c r="X3" s="41" t="s">
        <v>189</v>
      </c>
      <c r="Y3" s="43">
        <v>5.4054054054054057E-2</v>
      </c>
      <c r="Z3" s="41" t="s">
        <v>162</v>
      </c>
      <c r="AA3" s="44">
        <v>0.39144736842105265</v>
      </c>
      <c r="AB3" s="41" t="s">
        <v>187</v>
      </c>
      <c r="AC3" s="44">
        <v>0.23484848484848486</v>
      </c>
      <c r="AD3" s="41" t="s">
        <v>187</v>
      </c>
      <c r="AE3" s="44">
        <v>0.72222222222222221</v>
      </c>
      <c r="AF3" s="41" t="s">
        <v>189</v>
      </c>
      <c r="AG3" s="44">
        <v>0.4861111111111111</v>
      </c>
      <c r="AH3" s="41" t="s">
        <v>209</v>
      </c>
      <c r="AI3" s="44">
        <v>0.66666666666666663</v>
      </c>
      <c r="AJ3" s="41" t="s">
        <v>126</v>
      </c>
      <c r="AK3" s="55">
        <v>144300</v>
      </c>
    </row>
    <row r="4" spans="1:37" x14ac:dyDescent="0.4">
      <c r="A4" s="46">
        <v>2</v>
      </c>
      <c r="B4" s="49" t="s">
        <v>126</v>
      </c>
      <c r="C4" s="114">
        <v>69</v>
      </c>
      <c r="D4" s="47" t="s">
        <v>187</v>
      </c>
      <c r="E4" s="48">
        <v>161.9</v>
      </c>
      <c r="F4" s="49" t="s">
        <v>126</v>
      </c>
      <c r="G4" s="61">
        <v>6.0202898550724591</v>
      </c>
      <c r="H4" s="49" t="s">
        <v>162</v>
      </c>
      <c r="I4" s="53">
        <v>1618.6097438933637</v>
      </c>
      <c r="J4" s="49" t="s">
        <v>126</v>
      </c>
      <c r="K4" s="50">
        <v>1.8695652173913044</v>
      </c>
      <c r="L4" s="49" t="s">
        <v>126</v>
      </c>
      <c r="M4" s="51">
        <v>0.39130434782608697</v>
      </c>
      <c r="N4" s="49" t="s">
        <v>187</v>
      </c>
      <c r="O4" s="51">
        <v>0.26666666666666666</v>
      </c>
      <c r="P4" s="49" t="s">
        <v>189</v>
      </c>
      <c r="Q4" s="52">
        <v>0.33333333333333331</v>
      </c>
      <c r="R4" s="49" t="s">
        <v>187</v>
      </c>
      <c r="S4" s="52">
        <v>0.14393939393939395</v>
      </c>
      <c r="T4" s="49" t="s">
        <v>126</v>
      </c>
      <c r="U4" s="53">
        <v>10107.272727272728</v>
      </c>
      <c r="V4" s="49" t="s">
        <v>126</v>
      </c>
      <c r="W4" s="53">
        <v>-7983.7209302325582</v>
      </c>
      <c r="X4" s="49" t="s">
        <v>187</v>
      </c>
      <c r="Y4" s="51">
        <v>6.6666666666666666E-2</v>
      </c>
      <c r="Z4" s="49" t="s">
        <v>188</v>
      </c>
      <c r="AA4" s="52">
        <v>0.3707865168539326</v>
      </c>
      <c r="AB4" s="49" t="s">
        <v>189</v>
      </c>
      <c r="AC4" s="52">
        <v>0.22222222222222221</v>
      </c>
      <c r="AD4" s="49" t="s">
        <v>189</v>
      </c>
      <c r="AE4" s="52">
        <v>0.65151515151515149</v>
      </c>
      <c r="AF4" s="49" t="s">
        <v>191</v>
      </c>
      <c r="AG4" s="52">
        <v>0.47887323943661969</v>
      </c>
      <c r="AH4" s="49" t="s">
        <v>188</v>
      </c>
      <c r="AI4" s="52">
        <v>0.55555555555555558</v>
      </c>
      <c r="AJ4" s="49" t="s">
        <v>138</v>
      </c>
      <c r="AK4" s="56">
        <v>144300</v>
      </c>
    </row>
    <row r="5" spans="1:37" x14ac:dyDescent="0.4">
      <c r="A5" s="46">
        <v>3</v>
      </c>
      <c r="B5" s="49" t="s">
        <v>191</v>
      </c>
      <c r="C5" s="114">
        <v>47</v>
      </c>
      <c r="D5" s="47" t="s">
        <v>162</v>
      </c>
      <c r="E5" s="48">
        <v>105.09999999999998</v>
      </c>
      <c r="F5" s="49" t="s">
        <v>162</v>
      </c>
      <c r="G5" s="61">
        <v>2.9194444444444438</v>
      </c>
      <c r="H5" s="49" t="s">
        <v>138</v>
      </c>
      <c r="I5" s="53">
        <v>1602.6839502786174</v>
      </c>
      <c r="J5" s="49" t="s">
        <v>162</v>
      </c>
      <c r="K5" s="50">
        <v>1.9722222222222223</v>
      </c>
      <c r="L5" s="49" t="s">
        <v>162</v>
      </c>
      <c r="M5" s="51">
        <v>0.3888888888888889</v>
      </c>
      <c r="N5" s="49" t="s">
        <v>191</v>
      </c>
      <c r="O5" s="51">
        <v>0.31914893617021278</v>
      </c>
      <c r="P5" s="49" t="s">
        <v>188</v>
      </c>
      <c r="Q5" s="52">
        <v>0.30337078651685395</v>
      </c>
      <c r="R5" s="49" t="s">
        <v>126</v>
      </c>
      <c r="S5" s="52">
        <v>0.14904679376083188</v>
      </c>
      <c r="T5" s="49" t="s">
        <v>162</v>
      </c>
      <c r="U5" s="53">
        <v>9653.9325842696635</v>
      </c>
      <c r="V5" s="49" t="s">
        <v>162</v>
      </c>
      <c r="W5" s="53">
        <v>-8263.8297872340427</v>
      </c>
      <c r="X5" s="49" t="s">
        <v>126</v>
      </c>
      <c r="Y5" s="51">
        <v>7.2463768115942032E-2</v>
      </c>
      <c r="Z5" s="49" t="s">
        <v>126</v>
      </c>
      <c r="AA5" s="52">
        <v>0.36915077989601386</v>
      </c>
      <c r="AB5" s="49" t="s">
        <v>209</v>
      </c>
      <c r="AC5" s="52">
        <v>0.22222222222222221</v>
      </c>
      <c r="AD5" s="49" t="s">
        <v>138</v>
      </c>
      <c r="AE5" s="52">
        <v>0.54003407155025551</v>
      </c>
      <c r="AF5" s="49" t="s">
        <v>188</v>
      </c>
      <c r="AG5" s="52">
        <v>0.41666666666666669</v>
      </c>
      <c r="AH5" s="49" t="s">
        <v>162</v>
      </c>
      <c r="AI5" s="52">
        <v>0.5168539325842697</v>
      </c>
      <c r="AJ5" s="49" t="s">
        <v>162</v>
      </c>
      <c r="AK5" s="56">
        <v>110000</v>
      </c>
    </row>
    <row r="6" spans="1:37" x14ac:dyDescent="0.4">
      <c r="A6" s="46">
        <v>4</v>
      </c>
      <c r="B6" s="49" t="s">
        <v>189</v>
      </c>
      <c r="C6" s="114">
        <v>37</v>
      </c>
      <c r="D6" s="47" t="s">
        <v>189</v>
      </c>
      <c r="E6" s="48">
        <v>51.79999999999999</v>
      </c>
      <c r="F6" s="49" t="s">
        <v>189</v>
      </c>
      <c r="G6" s="61">
        <v>1.3999999999999997</v>
      </c>
      <c r="H6" s="49" t="s">
        <v>189</v>
      </c>
      <c r="I6" s="53">
        <v>1570.9218609148634</v>
      </c>
      <c r="J6" s="49" t="s">
        <v>138</v>
      </c>
      <c r="K6" s="50">
        <v>2</v>
      </c>
      <c r="L6" s="49" t="s">
        <v>189</v>
      </c>
      <c r="M6" s="51">
        <v>0.35135135135135137</v>
      </c>
      <c r="N6" s="49" t="s">
        <v>138</v>
      </c>
      <c r="O6" s="51">
        <v>0.33333333333333331</v>
      </c>
      <c r="P6" s="49" t="s">
        <v>138</v>
      </c>
      <c r="Q6" s="52">
        <v>0.2944621938232162</v>
      </c>
      <c r="R6" s="49" t="s">
        <v>162</v>
      </c>
      <c r="S6" s="52">
        <v>0.15460526315789475</v>
      </c>
      <c r="T6" s="49" t="s">
        <v>138</v>
      </c>
      <c r="U6" s="53">
        <v>8921.518987341773</v>
      </c>
      <c r="V6" s="49" t="s">
        <v>189</v>
      </c>
      <c r="W6" s="53">
        <v>-8264.4444444444453</v>
      </c>
      <c r="X6" s="49" t="s">
        <v>188</v>
      </c>
      <c r="Y6" s="51">
        <v>8.3333333333333329E-2</v>
      </c>
      <c r="Z6" s="49" t="s">
        <v>138</v>
      </c>
      <c r="AA6" s="52">
        <v>0.31256656017039403</v>
      </c>
      <c r="AB6" s="49" t="s">
        <v>191</v>
      </c>
      <c r="AC6" s="52">
        <v>0.18684210526315789</v>
      </c>
      <c r="AD6" s="49" t="s">
        <v>162</v>
      </c>
      <c r="AE6" s="52">
        <v>0.52100840336134457</v>
      </c>
      <c r="AF6" s="49" t="s">
        <v>126</v>
      </c>
      <c r="AG6" s="52">
        <v>0.41379310344827586</v>
      </c>
      <c r="AH6" s="49" t="s">
        <v>191</v>
      </c>
      <c r="AI6" s="52">
        <v>0.49038461538461536</v>
      </c>
      <c r="AJ6" s="49" t="s">
        <v>191</v>
      </c>
      <c r="AK6" s="56">
        <v>101300</v>
      </c>
    </row>
    <row r="7" spans="1:37" x14ac:dyDescent="0.4">
      <c r="A7" s="46">
        <v>5</v>
      </c>
      <c r="B7" s="49" t="s">
        <v>162</v>
      </c>
      <c r="C7" s="114">
        <v>36</v>
      </c>
      <c r="D7" s="47" t="s">
        <v>138</v>
      </c>
      <c r="E7" s="48">
        <v>7.1054273576010019E-15</v>
      </c>
      <c r="F7" s="49" t="s">
        <v>138</v>
      </c>
      <c r="G7" s="61">
        <v>3.1579677144893342E-17</v>
      </c>
      <c r="H7" s="49" t="s">
        <v>188</v>
      </c>
      <c r="I7" s="53">
        <v>1550.6754603476463</v>
      </c>
      <c r="J7" s="49" t="s">
        <v>189</v>
      </c>
      <c r="K7" s="50">
        <v>2.0270270270270272</v>
      </c>
      <c r="L7" s="49" t="s">
        <v>188</v>
      </c>
      <c r="M7" s="51">
        <v>0.33333333333333331</v>
      </c>
      <c r="N7" s="49" t="s">
        <v>162</v>
      </c>
      <c r="O7" s="51">
        <v>0.3611111111111111</v>
      </c>
      <c r="P7" s="49" t="s">
        <v>162</v>
      </c>
      <c r="Q7" s="52">
        <v>0.29276315789473684</v>
      </c>
      <c r="R7" s="49" t="s">
        <v>138</v>
      </c>
      <c r="S7" s="52">
        <v>0.15708200212992546</v>
      </c>
      <c r="T7" s="49" t="s">
        <v>191</v>
      </c>
      <c r="U7" s="53">
        <v>8335.5769230769238</v>
      </c>
      <c r="V7" s="49" t="s">
        <v>138</v>
      </c>
      <c r="W7" s="53">
        <v>-8455.2542372881362</v>
      </c>
      <c r="X7" s="49" t="s">
        <v>138</v>
      </c>
      <c r="Y7" s="51">
        <v>0.10222222222222223</v>
      </c>
      <c r="Z7" s="49" t="s">
        <v>209</v>
      </c>
      <c r="AA7" s="52">
        <v>0.27777777777777779</v>
      </c>
      <c r="AB7" s="49" t="s">
        <v>138</v>
      </c>
      <c r="AC7" s="52">
        <v>0.18317358892438765</v>
      </c>
      <c r="AD7" s="49" t="s">
        <v>188</v>
      </c>
      <c r="AE7" s="52">
        <v>0.51515151515151514</v>
      </c>
      <c r="AF7" s="49" t="s">
        <v>138</v>
      </c>
      <c r="AG7" s="52">
        <v>0.40406976744186046</v>
      </c>
      <c r="AH7" s="49" t="s">
        <v>187</v>
      </c>
      <c r="AI7" s="52">
        <v>0.48888888888888887</v>
      </c>
      <c r="AJ7" s="49" t="s">
        <v>187</v>
      </c>
      <c r="AK7" s="56">
        <v>84600</v>
      </c>
    </row>
    <row r="8" spans="1:37" x14ac:dyDescent="0.4">
      <c r="A8" s="46">
        <v>6</v>
      </c>
      <c r="B8" s="49" t="s">
        <v>187</v>
      </c>
      <c r="C8" s="114">
        <v>15</v>
      </c>
      <c r="D8" s="47" t="s">
        <v>188</v>
      </c>
      <c r="E8" s="48">
        <v>-13.399999999999999</v>
      </c>
      <c r="F8" s="49" t="s">
        <v>188</v>
      </c>
      <c r="G8" s="61">
        <v>-1.1166666666666665</v>
      </c>
      <c r="H8" s="49" t="s">
        <v>187</v>
      </c>
      <c r="I8" s="53">
        <v>1502.387739697532</v>
      </c>
      <c r="J8" s="49" t="s">
        <v>188</v>
      </c>
      <c r="K8" s="50">
        <v>2.0833333333333335</v>
      </c>
      <c r="L8" s="49" t="s">
        <v>138</v>
      </c>
      <c r="M8" s="51">
        <v>0.33333333333333331</v>
      </c>
      <c r="N8" s="49" t="s">
        <v>189</v>
      </c>
      <c r="O8" s="51">
        <v>0.3783783783783784</v>
      </c>
      <c r="P8" s="49" t="s">
        <v>126</v>
      </c>
      <c r="Q8" s="52">
        <v>0.28596187175043325</v>
      </c>
      <c r="R8" s="49" t="s">
        <v>188</v>
      </c>
      <c r="S8" s="52">
        <v>0.15730337078651685</v>
      </c>
      <c r="T8" s="49" t="s">
        <v>187</v>
      </c>
      <c r="U8" s="53">
        <v>7735.5555555555557</v>
      </c>
      <c r="V8" s="49" t="s">
        <v>209</v>
      </c>
      <c r="W8" s="53">
        <v>-8863.1578947368416</v>
      </c>
      <c r="X8" s="49" t="s">
        <v>162</v>
      </c>
      <c r="Y8" s="51">
        <v>0.1111111111111111</v>
      </c>
      <c r="Z8" s="49" t="s">
        <v>187</v>
      </c>
      <c r="AA8" s="52">
        <v>0.27272727272727271</v>
      </c>
      <c r="AB8" s="49" t="s">
        <v>162</v>
      </c>
      <c r="AC8" s="52">
        <v>0.18092105263157895</v>
      </c>
      <c r="AD8" s="49" t="s">
        <v>126</v>
      </c>
      <c r="AE8" s="52">
        <v>0.51173708920187788</v>
      </c>
      <c r="AF8" s="49" t="s">
        <v>187</v>
      </c>
      <c r="AG8" s="52">
        <v>0.32258064516129031</v>
      </c>
      <c r="AH8" s="49" t="s">
        <v>138</v>
      </c>
      <c r="AI8" s="52">
        <v>0.46292947558770342</v>
      </c>
      <c r="AJ8" s="49" t="s">
        <v>188</v>
      </c>
      <c r="AK8" s="56">
        <v>83700</v>
      </c>
    </row>
    <row r="9" spans="1:37" x14ac:dyDescent="0.4">
      <c r="A9" s="46">
        <v>7</v>
      </c>
      <c r="B9" s="49" t="s">
        <v>188</v>
      </c>
      <c r="C9" s="114">
        <v>12</v>
      </c>
      <c r="D9" s="47" t="s">
        <v>209</v>
      </c>
      <c r="E9" s="48">
        <v>-245.1</v>
      </c>
      <c r="F9" s="49" t="s">
        <v>191</v>
      </c>
      <c r="G9" s="61">
        <v>-10.121276595744678</v>
      </c>
      <c r="H9" s="49" t="s">
        <v>209</v>
      </c>
      <c r="I9" s="53">
        <v>1458.4719141494811</v>
      </c>
      <c r="J9" s="49" t="s">
        <v>191</v>
      </c>
      <c r="K9" s="50">
        <v>2.1276595744680851</v>
      </c>
      <c r="L9" s="49" t="s">
        <v>191</v>
      </c>
      <c r="M9" s="51">
        <v>0.19148936170212766</v>
      </c>
      <c r="N9" s="49" t="s">
        <v>188</v>
      </c>
      <c r="O9" s="51">
        <v>0.41666666666666669</v>
      </c>
      <c r="P9" s="49" t="s">
        <v>191</v>
      </c>
      <c r="Q9" s="52">
        <v>0.27368421052631581</v>
      </c>
      <c r="R9" s="49" t="s">
        <v>191</v>
      </c>
      <c r="S9" s="52">
        <v>0.17105263157894737</v>
      </c>
      <c r="T9" s="49" t="s">
        <v>189</v>
      </c>
      <c r="U9" s="53">
        <v>7587.0370370370374</v>
      </c>
      <c r="V9" s="49" t="s">
        <v>188</v>
      </c>
      <c r="W9" s="53">
        <v>-8985.7142857142862</v>
      </c>
      <c r="X9" s="49" t="s">
        <v>209</v>
      </c>
      <c r="Y9" s="51">
        <v>0.1111111111111111</v>
      </c>
      <c r="Z9" s="49" t="s">
        <v>191</v>
      </c>
      <c r="AA9" s="52">
        <v>0.26315789473684209</v>
      </c>
      <c r="AB9" s="49" t="s">
        <v>126</v>
      </c>
      <c r="AC9" s="52">
        <v>0.15077989601386482</v>
      </c>
      <c r="AD9" s="49" t="s">
        <v>191</v>
      </c>
      <c r="AE9" s="52">
        <v>0.5</v>
      </c>
      <c r="AF9" s="49" t="s">
        <v>162</v>
      </c>
      <c r="AG9" s="52">
        <v>0.29090909090909089</v>
      </c>
      <c r="AH9" s="49" t="s">
        <v>126</v>
      </c>
      <c r="AI9" s="52">
        <v>0.42424242424242425</v>
      </c>
      <c r="AJ9" s="49" t="s">
        <v>189</v>
      </c>
      <c r="AK9" s="56">
        <v>83400</v>
      </c>
    </row>
    <row r="10" spans="1:37" x14ac:dyDescent="0.4">
      <c r="A10" s="46">
        <v>8</v>
      </c>
      <c r="B10" s="49" t="s">
        <v>209</v>
      </c>
      <c r="C10" s="114">
        <v>9</v>
      </c>
      <c r="D10" s="47" t="s">
        <v>191</v>
      </c>
      <c r="E10" s="48">
        <v>-475.69999999999987</v>
      </c>
      <c r="F10" s="49" t="s">
        <v>209</v>
      </c>
      <c r="G10" s="61">
        <v>-27.233333333333334</v>
      </c>
      <c r="H10" s="49" t="s">
        <v>191</v>
      </c>
      <c r="I10" s="53">
        <v>1350.8055048072492</v>
      </c>
      <c r="J10" s="49" t="s">
        <v>209</v>
      </c>
      <c r="K10" s="50">
        <v>2.5555555555555554</v>
      </c>
      <c r="L10" s="49" t="s">
        <v>209</v>
      </c>
      <c r="M10" s="51">
        <v>0.1111111111111111</v>
      </c>
      <c r="N10" s="49" t="s">
        <v>209</v>
      </c>
      <c r="O10" s="51">
        <v>0.66666666666666663</v>
      </c>
      <c r="P10" s="49" t="s">
        <v>209</v>
      </c>
      <c r="Q10" s="52">
        <v>0.20833333333333334</v>
      </c>
      <c r="R10" s="49" t="s">
        <v>209</v>
      </c>
      <c r="S10" s="52">
        <v>0.2638888888888889</v>
      </c>
      <c r="T10" s="49" t="s">
        <v>209</v>
      </c>
      <c r="U10" s="53">
        <v>6533.333333333333</v>
      </c>
      <c r="V10" s="49" t="s">
        <v>191</v>
      </c>
      <c r="W10" s="53">
        <v>-9538.461538461539</v>
      </c>
      <c r="X10" s="49" t="s">
        <v>191</v>
      </c>
      <c r="Y10" s="51">
        <v>0.19148936170212766</v>
      </c>
      <c r="Z10" s="49" t="s">
        <v>189</v>
      </c>
      <c r="AA10" s="52">
        <v>0.20370370370370369</v>
      </c>
      <c r="AB10" s="49" t="s">
        <v>188</v>
      </c>
      <c r="AC10" s="52">
        <v>0.1348314606741573</v>
      </c>
      <c r="AD10" s="49" t="s">
        <v>209</v>
      </c>
      <c r="AE10" s="52">
        <v>0.5</v>
      </c>
      <c r="AF10" s="49" t="s">
        <v>209</v>
      </c>
      <c r="AG10" s="52">
        <v>0.1875</v>
      </c>
      <c r="AH10" s="49" t="s">
        <v>189</v>
      </c>
      <c r="AI10" s="52">
        <v>0.3888888888888889</v>
      </c>
      <c r="AJ10" s="49" t="s">
        <v>209</v>
      </c>
      <c r="AK10" s="56">
        <v>47600</v>
      </c>
    </row>
  </sheetData>
  <sortState xmlns:xlrd2="http://schemas.microsoft.com/office/spreadsheetml/2017/richdata2" ref="AJ3:AK55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6E07-A799-4DD2-9C9B-640ECCDAC4B5}">
  <sheetPr codeName="Sheet4"/>
  <dimension ref="A1:R22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138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225</v>
      </c>
      <c r="C2" s="134"/>
      <c r="E2" s="26" t="s">
        <v>66</v>
      </c>
      <c r="F2" s="23" t="s">
        <v>22</v>
      </c>
      <c r="G2" s="11">
        <v>365</v>
      </c>
      <c r="H2" s="87">
        <f>IF(B$20=0,0,G2/B$20)</f>
        <v>0.66003616636528029</v>
      </c>
      <c r="I2" s="57">
        <v>4</v>
      </c>
      <c r="K2" s="73">
        <v>0</v>
      </c>
      <c r="L2" s="118">
        <v>0</v>
      </c>
      <c r="M2" s="116">
        <v>1614.2957512011271</v>
      </c>
      <c r="O2" s="73" t="s">
        <v>127</v>
      </c>
      <c r="P2" s="79">
        <f t="shared" ref="P2:P7" si="0">IF(Q2=0,0,R2/Q2)</f>
        <v>-22.222222222222221</v>
      </c>
      <c r="Q2" s="76">
        <v>225</v>
      </c>
      <c r="R2" s="63">
        <v>-5000</v>
      </c>
    </row>
    <row r="3" spans="1:18" x14ac:dyDescent="0.4">
      <c r="A3" s="19" t="s">
        <v>8</v>
      </c>
      <c r="B3" s="135">
        <v>1878</v>
      </c>
      <c r="C3" s="136"/>
      <c r="E3" s="27" t="s">
        <v>64</v>
      </c>
      <c r="F3" s="24" t="s">
        <v>20</v>
      </c>
      <c r="G3" s="12">
        <v>316</v>
      </c>
      <c r="H3" s="88">
        <f>IF(B$20=0,0,G3/B$20)</f>
        <v>0.5714285714285714</v>
      </c>
      <c r="I3" s="58">
        <v>6</v>
      </c>
      <c r="K3" s="74">
        <v>1</v>
      </c>
      <c r="L3" s="119">
        <v>-58</v>
      </c>
      <c r="M3" s="117">
        <v>1603.1699766939203</v>
      </c>
      <c r="O3" s="74" t="s">
        <v>128</v>
      </c>
      <c r="P3" s="80">
        <f t="shared" si="0"/>
        <v>0</v>
      </c>
      <c r="Q3" s="77">
        <v>222</v>
      </c>
      <c r="R3" s="64">
        <v>0</v>
      </c>
    </row>
    <row r="4" spans="1:18" x14ac:dyDescent="0.4">
      <c r="A4" s="19" t="s">
        <v>6</v>
      </c>
      <c r="B4" s="137">
        <v>7.1054273576010019E-15</v>
      </c>
      <c r="C4" s="138"/>
      <c r="E4" s="27" t="s">
        <v>72</v>
      </c>
      <c r="F4" s="24" t="s">
        <v>27</v>
      </c>
      <c r="G4" s="12">
        <v>277</v>
      </c>
      <c r="H4" s="88">
        <f>IF(B$20=0,0,G4/B$20)</f>
        <v>0.50090415913200725</v>
      </c>
      <c r="I4" s="58">
        <v>3</v>
      </c>
      <c r="K4" s="74">
        <v>2</v>
      </c>
      <c r="L4" s="119">
        <v>-6.5</v>
      </c>
      <c r="M4" s="117">
        <v>1611.8209568337568</v>
      </c>
      <c r="O4" s="74" t="s">
        <v>129</v>
      </c>
      <c r="P4" s="80">
        <f t="shared" si="0"/>
        <v>9.2592592592592595</v>
      </c>
      <c r="Q4" s="77">
        <v>216</v>
      </c>
      <c r="R4" s="64">
        <v>2000</v>
      </c>
    </row>
    <row r="5" spans="1:18" x14ac:dyDescent="0.4">
      <c r="A5" s="19" t="s">
        <v>7</v>
      </c>
      <c r="B5" s="125">
        <f>IF(B$2=0,0,B$4/B$2)</f>
        <v>3.1579677144893342E-17</v>
      </c>
      <c r="C5" s="126"/>
      <c r="E5" s="27" t="s">
        <v>158</v>
      </c>
      <c r="F5" s="24" t="s">
        <v>159</v>
      </c>
      <c r="G5" s="12">
        <v>247</v>
      </c>
      <c r="H5" s="88">
        <f>IF(B$20=0,0,G5/B$20)</f>
        <v>0.44665461121157324</v>
      </c>
      <c r="I5" s="58">
        <v>4</v>
      </c>
      <c r="K5" s="74">
        <v>3</v>
      </c>
      <c r="L5" s="119">
        <v>0</v>
      </c>
      <c r="M5" s="117">
        <v>1612.3200310927543</v>
      </c>
      <c r="O5" s="74" t="s">
        <v>130</v>
      </c>
      <c r="P5" s="80">
        <f t="shared" si="0"/>
        <v>0</v>
      </c>
      <c r="Q5" s="77">
        <v>207</v>
      </c>
      <c r="R5" s="64">
        <v>0</v>
      </c>
    </row>
    <row r="6" spans="1:18" x14ac:dyDescent="0.4">
      <c r="A6" s="19" t="s">
        <v>192</v>
      </c>
      <c r="B6" s="129">
        <v>1602.6839502786174</v>
      </c>
      <c r="C6" s="130"/>
      <c r="E6" s="27" t="s">
        <v>68</v>
      </c>
      <c r="F6" s="24" t="s">
        <v>12</v>
      </c>
      <c r="G6" s="12">
        <v>197</v>
      </c>
      <c r="H6" s="88">
        <f>IF(B$20=0,0,G6/B$20)</f>
        <v>0.3562386980108499</v>
      </c>
      <c r="I6" s="58">
        <v>4</v>
      </c>
      <c r="K6" s="74">
        <v>4</v>
      </c>
      <c r="L6" s="119">
        <v>30.8</v>
      </c>
      <c r="M6" s="117">
        <v>1617.2321109061977</v>
      </c>
      <c r="O6" s="74" t="s">
        <v>131</v>
      </c>
      <c r="P6" s="80">
        <f t="shared" si="0"/>
        <v>-26.041666666666668</v>
      </c>
      <c r="Q6" s="77">
        <v>192</v>
      </c>
      <c r="R6" s="64">
        <v>-5000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168</v>
      </c>
      <c r="H7" s="88">
        <f>IF(B$20=0,0,G7/B$20)</f>
        <v>0.30379746835443039</v>
      </c>
      <c r="I7" s="58">
        <v>5</v>
      </c>
      <c r="K7" s="74">
        <v>5</v>
      </c>
      <c r="L7" s="119">
        <v>0.60000000000000142</v>
      </c>
      <c r="M7" s="117">
        <v>1611.1347182407605</v>
      </c>
      <c r="O7" s="75" t="s">
        <v>132</v>
      </c>
      <c r="P7" s="81">
        <f t="shared" si="0"/>
        <v>47.61904761904762</v>
      </c>
      <c r="Q7" s="78">
        <v>168</v>
      </c>
      <c r="R7" s="65">
        <v>8000</v>
      </c>
    </row>
    <row r="8" spans="1:18" x14ac:dyDescent="0.4">
      <c r="A8" s="19" t="s">
        <v>2</v>
      </c>
      <c r="B8" s="12">
        <v>75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89</v>
      </c>
      <c r="H8" s="88">
        <f>IF(B$20=0,0,G8/B$20)</f>
        <v>0.16094032549728751</v>
      </c>
      <c r="I8" s="58">
        <v>4</v>
      </c>
      <c r="K8" s="74">
        <v>6</v>
      </c>
      <c r="L8" s="119">
        <v>1.4432899320127035E-15</v>
      </c>
      <c r="M8" s="117">
        <v>1610.4019099313159</v>
      </c>
      <c r="O8" s="107"/>
      <c r="P8" s="85"/>
      <c r="Q8" s="108"/>
      <c r="R8" s="70"/>
    </row>
    <row r="9" spans="1:18" x14ac:dyDescent="0.4">
      <c r="A9" s="19" t="s">
        <v>3</v>
      </c>
      <c r="B9" s="12">
        <v>75</v>
      </c>
      <c r="C9" s="6">
        <f t="shared" si="1"/>
        <v>0.33333333333333331</v>
      </c>
      <c r="E9" s="27" t="s">
        <v>89</v>
      </c>
      <c r="F9" s="24" t="s">
        <v>44</v>
      </c>
      <c r="G9" s="12">
        <v>78</v>
      </c>
      <c r="H9" s="88">
        <f>IF(B$20=0,0,G9/B$20)</f>
        <v>0.1410488245931284</v>
      </c>
      <c r="I9" s="58">
        <v>4</v>
      </c>
      <c r="K9" s="74">
        <v>7</v>
      </c>
      <c r="L9" s="119">
        <v>44.3</v>
      </c>
      <c r="M9" s="117">
        <v>1617.911498471728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75</v>
      </c>
      <c r="C10" s="7">
        <f t="shared" si="1"/>
        <v>0.33333333333333331</v>
      </c>
      <c r="E10" s="27" t="s">
        <v>65</v>
      </c>
      <c r="F10" s="24" t="s">
        <v>21</v>
      </c>
      <c r="G10" s="12">
        <v>75</v>
      </c>
      <c r="H10" s="88">
        <f>IF(B$20=0,0,G10/B$20)</f>
        <v>0.13562386980108498</v>
      </c>
      <c r="I10" s="58">
        <v>3</v>
      </c>
      <c r="K10" s="74">
        <v>8</v>
      </c>
      <c r="L10" s="119">
        <v>-11.300000000000004</v>
      </c>
      <c r="M10" s="117">
        <v>1607.3940294808976</v>
      </c>
      <c r="O10" s="73" t="s">
        <v>150</v>
      </c>
      <c r="P10" s="82">
        <f>IF(Q10=0,0,R10/Q10)</f>
        <v>-9.7920000000000016</v>
      </c>
      <c r="Q10" s="76">
        <v>75</v>
      </c>
      <c r="R10" s="67">
        <v>-734.40000000000009</v>
      </c>
    </row>
    <row r="11" spans="1:18" x14ac:dyDescent="0.4">
      <c r="A11" s="20" t="s">
        <v>183</v>
      </c>
      <c r="B11" s="109">
        <f>IF(B8=0,0,C11/B8)</f>
        <v>47.751999999999988</v>
      </c>
      <c r="C11" s="110">
        <v>3581.3999999999992</v>
      </c>
      <c r="E11" s="27" t="s">
        <v>70</v>
      </c>
      <c r="F11" s="24" t="s">
        <v>25</v>
      </c>
      <c r="G11" s="12">
        <v>60</v>
      </c>
      <c r="H11" s="88">
        <f>IF(B$20=0,0,G11/B$20)</f>
        <v>0.10849909584086799</v>
      </c>
      <c r="I11" s="58">
        <v>5</v>
      </c>
      <c r="K11" s="74">
        <v>9</v>
      </c>
      <c r="L11" s="119">
        <v>-3.5527136788005009E-15</v>
      </c>
      <c r="M11" s="117">
        <v>1608.9816653040123</v>
      </c>
      <c r="O11" s="74" t="s">
        <v>151</v>
      </c>
      <c r="P11" s="83">
        <f>IF(Q11=0,0,R11/Q11)</f>
        <v>1.9253333333333333</v>
      </c>
      <c r="Q11" s="77">
        <v>75</v>
      </c>
      <c r="R11" s="68">
        <v>144.4</v>
      </c>
    </row>
    <row r="12" spans="1:18" x14ac:dyDescent="0.4">
      <c r="A12" s="20" t="s">
        <v>184</v>
      </c>
      <c r="B12" s="109">
        <f>IF(B9=0,0,C12/B9)</f>
        <v>-2.5666666666666664</v>
      </c>
      <c r="C12" s="110">
        <v>-192.49999999999997</v>
      </c>
      <c r="E12" s="27" t="s">
        <v>71</v>
      </c>
      <c r="F12" s="24" t="s">
        <v>26</v>
      </c>
      <c r="G12" s="12">
        <v>39</v>
      </c>
      <c r="H12" s="88">
        <f>IF(B$20=0,0,G12/B$20)</f>
        <v>7.0524412296564198E-2</v>
      </c>
      <c r="I12" s="58">
        <v>5</v>
      </c>
      <c r="K12" s="74">
        <v>10</v>
      </c>
      <c r="L12" s="119">
        <v>21.599999999999998</v>
      </c>
      <c r="M12" s="117">
        <v>1613.0137753121883</v>
      </c>
      <c r="O12" s="75" t="s">
        <v>152</v>
      </c>
      <c r="P12" s="84">
        <f>IF(Q12=0,0,R12/Q12)</f>
        <v>7.8666666666666636</v>
      </c>
      <c r="Q12" s="78">
        <v>75</v>
      </c>
      <c r="R12" s="69">
        <v>589.99999999999977</v>
      </c>
    </row>
    <row r="13" spans="1:18" x14ac:dyDescent="0.4">
      <c r="A13" s="20" t="s">
        <v>185</v>
      </c>
      <c r="B13" s="109">
        <f>IF(B10=0,0,C13/B10)</f>
        <v>-45.185333333333325</v>
      </c>
      <c r="C13" s="110">
        <v>-3388.8999999999992</v>
      </c>
      <c r="E13" s="27" t="s">
        <v>86</v>
      </c>
      <c r="F13" s="24" t="s">
        <v>41</v>
      </c>
      <c r="G13" s="12">
        <v>35</v>
      </c>
      <c r="H13" s="88">
        <f>IF(B$20=0,0,G13/B$20)</f>
        <v>6.3291139240506333E-2</v>
      </c>
      <c r="I13" s="58">
        <v>4</v>
      </c>
      <c r="K13" s="74">
        <v>11</v>
      </c>
      <c r="L13" s="119">
        <v>20.999999999999996</v>
      </c>
      <c r="M13" s="117">
        <v>1613.0256926603151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81</v>
      </c>
      <c r="F14" s="24" t="s">
        <v>36</v>
      </c>
      <c r="G14" s="12">
        <v>19</v>
      </c>
      <c r="H14" s="88">
        <f>IF(B$20=0,0,G14/B$20)</f>
        <v>3.4358047016274866E-2</v>
      </c>
      <c r="I14" s="58">
        <v>3</v>
      </c>
      <c r="K14" s="74">
        <v>12</v>
      </c>
      <c r="L14" s="119">
        <v>-3.5527136788005009E-15</v>
      </c>
      <c r="M14" s="117">
        <v>1609.3655385043533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23</v>
      </c>
      <c r="C15" s="9">
        <f t="shared" si="1"/>
        <v>0.10222222222222223</v>
      </c>
      <c r="E15" s="27" t="s">
        <v>83</v>
      </c>
      <c r="F15" s="24" t="s">
        <v>38</v>
      </c>
      <c r="G15" s="12">
        <v>16</v>
      </c>
      <c r="H15" s="88">
        <f>IF(B$20=0,0,G15/B$20)</f>
        <v>2.8933092224231464E-2</v>
      </c>
      <c r="I15" s="58">
        <v>4</v>
      </c>
      <c r="K15" s="74">
        <v>13</v>
      </c>
      <c r="L15" s="119">
        <v>42.5</v>
      </c>
      <c r="M15" s="117">
        <v>1616.5693452733271</v>
      </c>
      <c r="O15" s="73" t="s">
        <v>209</v>
      </c>
      <c r="P15" s="82">
        <f>IF(Q15=0,0,R15/Q15)</f>
        <v>40.849999999999994</v>
      </c>
      <c r="Q15" s="76">
        <v>18</v>
      </c>
      <c r="R15" s="67">
        <v>735.3</v>
      </c>
    </row>
    <row r="16" spans="1:18" x14ac:dyDescent="0.4">
      <c r="A16" s="22" t="s">
        <v>121</v>
      </c>
      <c r="B16" s="15">
        <v>587</v>
      </c>
      <c r="C16" s="10">
        <f>IF(B$3=0,0,B16/B$3)</f>
        <v>0.31256656017039403</v>
      </c>
      <c r="E16" s="27" t="s">
        <v>78</v>
      </c>
      <c r="F16" s="24" t="s">
        <v>33</v>
      </c>
      <c r="G16" s="12">
        <v>13</v>
      </c>
      <c r="H16" s="88">
        <f>IF(B$20=0,0,G16/B$20)</f>
        <v>2.3508137432188065E-2</v>
      </c>
      <c r="I16" s="58">
        <v>4</v>
      </c>
      <c r="K16" s="74">
        <v>14</v>
      </c>
      <c r="L16" s="119">
        <v>33.6</v>
      </c>
      <c r="M16" s="117">
        <v>1614.4779292016872</v>
      </c>
      <c r="O16" s="74" t="s">
        <v>191</v>
      </c>
      <c r="P16" s="83">
        <f>IF(Q16=0,0,R16/Q16)</f>
        <v>15.181914893617035</v>
      </c>
      <c r="Q16" s="77">
        <v>94</v>
      </c>
      <c r="R16" s="68">
        <v>1427.1000000000013</v>
      </c>
    </row>
    <row r="17" spans="1:18" x14ac:dyDescent="0.4">
      <c r="A17" s="19" t="s">
        <v>118</v>
      </c>
      <c r="B17" s="12">
        <v>344</v>
      </c>
      <c r="C17" s="6">
        <f>IF(B$3=0,0,B17/B$3)</f>
        <v>0.18317358892438765</v>
      </c>
      <c r="E17" s="27" t="s">
        <v>79</v>
      </c>
      <c r="F17" s="24" t="s">
        <v>34</v>
      </c>
      <c r="G17" s="12">
        <v>8</v>
      </c>
      <c r="H17" s="88">
        <f>IF(B$20=0,0,G17/B$20)</f>
        <v>1.4466546112115732E-2</v>
      </c>
      <c r="I17" s="58">
        <v>3</v>
      </c>
      <c r="K17" s="74">
        <v>15</v>
      </c>
      <c r="L17" s="119">
        <v>0</v>
      </c>
      <c r="M17" s="117">
        <v>1607.9530616264772</v>
      </c>
      <c r="O17" s="74" t="s">
        <v>188</v>
      </c>
      <c r="P17" s="83">
        <f>IF(Q17=0,0,R17/Q17)</f>
        <v>1.6750000000000025</v>
      </c>
      <c r="Q17" s="77">
        <v>24</v>
      </c>
      <c r="R17" s="68">
        <v>40.20000000000006</v>
      </c>
    </row>
    <row r="18" spans="1:18" x14ac:dyDescent="0.4">
      <c r="A18" s="18" t="s">
        <v>123</v>
      </c>
      <c r="B18" s="11">
        <f>B24</f>
        <v>317</v>
      </c>
      <c r="C18" s="5">
        <f>IF(B$16=0,0,B18/B$16)</f>
        <v>0.54003407155025551</v>
      </c>
      <c r="E18" s="27" t="s">
        <v>91</v>
      </c>
      <c r="F18" s="24" t="s">
        <v>46</v>
      </c>
      <c r="G18" s="12">
        <v>7</v>
      </c>
      <c r="H18" s="88">
        <f>IF(B$20=0,0,G18/B$20)</f>
        <v>1.2658227848101266E-2</v>
      </c>
      <c r="I18" s="58">
        <v>3</v>
      </c>
      <c r="K18" s="74">
        <v>16</v>
      </c>
      <c r="L18" s="119">
        <v>1.4</v>
      </c>
      <c r="M18" s="117">
        <v>1608.3733432567183</v>
      </c>
      <c r="O18" s="74" t="s">
        <v>189</v>
      </c>
      <c r="P18" s="83">
        <f>IF(Q18=0,0,R18/Q18)</f>
        <v>-2.1</v>
      </c>
      <c r="Q18" s="77">
        <v>74</v>
      </c>
      <c r="R18" s="68">
        <v>-155.4</v>
      </c>
    </row>
    <row r="19" spans="1:18" x14ac:dyDescent="0.4">
      <c r="A19" s="18" t="s">
        <v>124</v>
      </c>
      <c r="B19" s="11">
        <f>B25</f>
        <v>139</v>
      </c>
      <c r="C19" s="5">
        <f>IF(B$17=0,0,B19/B$17)</f>
        <v>0.40406976744186046</v>
      </c>
      <c r="E19" s="27" t="s">
        <v>73</v>
      </c>
      <c r="F19" s="24" t="s">
        <v>28</v>
      </c>
      <c r="G19" s="12">
        <v>6</v>
      </c>
      <c r="H19" s="88">
        <f>IF(B$20=0,0,G19/B$20)</f>
        <v>1.0849909584086799E-2</v>
      </c>
      <c r="I19" s="58">
        <v>4</v>
      </c>
      <c r="K19" s="74">
        <v>17</v>
      </c>
      <c r="L19" s="119">
        <v>32.700000000000003</v>
      </c>
      <c r="M19" s="117">
        <v>1614.1731031971779</v>
      </c>
      <c r="O19" s="74" t="s">
        <v>162</v>
      </c>
      <c r="P19" s="83">
        <f>IF(Q19=0,0,R19/Q19)</f>
        <v>-4.3791666666666726</v>
      </c>
      <c r="Q19" s="77">
        <v>72</v>
      </c>
      <c r="R19" s="68">
        <v>-315.30000000000041</v>
      </c>
    </row>
    <row r="20" spans="1:18" x14ac:dyDescent="0.4">
      <c r="A20" s="18" t="s">
        <v>10</v>
      </c>
      <c r="B20" s="11">
        <f>B23+B22</f>
        <v>553</v>
      </c>
      <c r="C20" s="5">
        <f>IF(B$3=0,0,B20/B$3)</f>
        <v>0.2944621938232162</v>
      </c>
      <c r="E20" s="27" t="s">
        <v>75</v>
      </c>
      <c r="F20" s="24" t="s">
        <v>30</v>
      </c>
      <c r="G20" s="12">
        <v>5</v>
      </c>
      <c r="H20" s="88">
        <f>IF(B$20=0,0,G20/B$20)</f>
        <v>9.0415913200723331E-3</v>
      </c>
      <c r="I20" s="58">
        <v>3</v>
      </c>
      <c r="K20" s="74">
        <v>18</v>
      </c>
      <c r="L20" s="119">
        <v>0</v>
      </c>
      <c r="M20" s="117">
        <v>1608.4180645779948</v>
      </c>
      <c r="O20" s="74" t="s">
        <v>126</v>
      </c>
      <c r="P20" s="83">
        <f>IF(Q20=0,0,R20/Q20)</f>
        <v>-9.0304347826087028</v>
      </c>
      <c r="Q20" s="77">
        <v>138</v>
      </c>
      <c r="R20" s="68">
        <v>-1246.200000000001</v>
      </c>
    </row>
    <row r="21" spans="1:18" x14ac:dyDescent="0.4">
      <c r="A21" s="19" t="s">
        <v>13</v>
      </c>
      <c r="B21" s="12">
        <v>295</v>
      </c>
      <c r="C21" s="6">
        <f>IF(B$3=0,0,B21/B$3)</f>
        <v>0.15708200212992546</v>
      </c>
      <c r="E21" s="27" t="s">
        <v>92</v>
      </c>
      <c r="F21" s="24" t="s">
        <v>47</v>
      </c>
      <c r="G21" s="12">
        <v>3</v>
      </c>
      <c r="H21" s="88">
        <f>IF(B$20=0,0,G21/B$20)</f>
        <v>5.4249547920433997E-3</v>
      </c>
      <c r="I21" s="58">
        <v>3</v>
      </c>
      <c r="K21" s="74">
        <v>19</v>
      </c>
      <c r="L21" s="119">
        <v>7.6</v>
      </c>
      <c r="M21" s="117">
        <v>1609.3575561905268</v>
      </c>
      <c r="O21" s="74" t="s">
        <v>187</v>
      </c>
      <c r="P21" s="83">
        <f>IF(Q21=0,0,R21/Q21)</f>
        <v>-16.190000000000001</v>
      </c>
      <c r="Q21" s="77">
        <v>30</v>
      </c>
      <c r="R21" s="68">
        <v>-485.7</v>
      </c>
    </row>
    <row r="22" spans="1:18" x14ac:dyDescent="0.4">
      <c r="A22" s="19" t="s">
        <v>12</v>
      </c>
      <c r="B22" s="12">
        <v>256</v>
      </c>
      <c r="C22" s="6">
        <f>IF(B$20=0,0,B22/B$20)</f>
        <v>0.46292947558770342</v>
      </c>
      <c r="E22" s="27" t="s">
        <v>154</v>
      </c>
      <c r="F22" s="24" t="s">
        <v>155</v>
      </c>
      <c r="G22" s="12">
        <v>3</v>
      </c>
      <c r="H22" s="88">
        <f>IF(B$20=0,0,G22/B$20)</f>
        <v>5.4249547920433997E-3</v>
      </c>
      <c r="I22" s="58">
        <v>4</v>
      </c>
      <c r="K22" s="74">
        <v>20</v>
      </c>
      <c r="L22" s="119">
        <v>41.2</v>
      </c>
      <c r="M22" s="117">
        <v>1614.9714108533835</v>
      </c>
    </row>
    <row r="23" spans="1:18" x14ac:dyDescent="0.4">
      <c r="A23" s="19" t="s">
        <v>11</v>
      </c>
      <c r="B23" s="12">
        <v>297</v>
      </c>
      <c r="C23" s="6">
        <f>IF(B$20=0,0,B23/B$20)</f>
        <v>0.53707052441229652</v>
      </c>
      <c r="E23" s="27" t="s">
        <v>74</v>
      </c>
      <c r="F23" s="24" t="s">
        <v>29</v>
      </c>
      <c r="G23" s="12">
        <v>2</v>
      </c>
      <c r="H23" s="88">
        <f>IF(B$20=0,0,G23/B$20)</f>
        <v>3.616636528028933E-3</v>
      </c>
      <c r="I23" s="58">
        <v>3</v>
      </c>
      <c r="K23" s="74">
        <v>21</v>
      </c>
      <c r="L23" s="119">
        <v>0</v>
      </c>
      <c r="M23" s="117">
        <v>1607.0875823882632</v>
      </c>
    </row>
    <row r="24" spans="1:18" x14ac:dyDescent="0.4">
      <c r="A24" s="19" t="s">
        <v>182</v>
      </c>
      <c r="B24" s="12">
        <v>317</v>
      </c>
      <c r="C24" s="6">
        <f>IF(B$20=0,0,B24/B$20)</f>
        <v>0.5732368896925859</v>
      </c>
      <c r="E24" s="27" t="s">
        <v>93</v>
      </c>
      <c r="F24" s="24" t="s">
        <v>48</v>
      </c>
      <c r="G24" s="12">
        <v>2</v>
      </c>
      <c r="H24" s="88">
        <f>IF(B$20=0,0,G24/B$20)</f>
        <v>3.616636528028933E-3</v>
      </c>
      <c r="I24" s="58">
        <v>2</v>
      </c>
      <c r="K24" s="74">
        <v>22</v>
      </c>
      <c r="L24" s="119">
        <v>-38.700000000000003</v>
      </c>
      <c r="M24" s="117">
        <v>1600.1750568939335</v>
      </c>
    </row>
    <row r="25" spans="1:18" x14ac:dyDescent="0.4">
      <c r="A25" s="19" t="s">
        <v>180</v>
      </c>
      <c r="B25" s="12">
        <v>139</v>
      </c>
      <c r="C25" s="6">
        <f>IF(B$20=0,0,B25/B$20)</f>
        <v>0.25135623869801083</v>
      </c>
      <c r="E25" s="27" t="s">
        <v>76</v>
      </c>
      <c r="F25" s="24" t="s">
        <v>31</v>
      </c>
      <c r="G25" s="12">
        <v>1</v>
      </c>
      <c r="H25" s="88">
        <f>IF(B$20=0,0,G25/B$20)</f>
        <v>1.8083182640144665E-3</v>
      </c>
      <c r="I25" s="58">
        <v>2</v>
      </c>
      <c r="K25" s="74">
        <v>23</v>
      </c>
      <c r="L25" s="119">
        <v>-7.8000000000000043</v>
      </c>
      <c r="M25" s="117">
        <v>1605.83200655257</v>
      </c>
    </row>
    <row r="26" spans="1:18" x14ac:dyDescent="0.4">
      <c r="A26" s="19" t="s">
        <v>181</v>
      </c>
      <c r="B26" s="12">
        <v>97</v>
      </c>
      <c r="C26" s="6">
        <f>IF(B$20=0,0,B26/B$20)</f>
        <v>0.17540687160940324</v>
      </c>
      <c r="E26" s="27" t="s">
        <v>84</v>
      </c>
      <c r="F26" s="24" t="s">
        <v>39</v>
      </c>
      <c r="G26" s="12">
        <v>1</v>
      </c>
      <c r="H26" s="88">
        <f>IF(B$20=0,0,G26/B$20)</f>
        <v>1.8083182640144665E-3</v>
      </c>
      <c r="I26" s="58">
        <v>2</v>
      </c>
      <c r="K26" s="74">
        <v>24</v>
      </c>
      <c r="L26" s="119">
        <v>-4.4408920985006262E-15</v>
      </c>
      <c r="M26" s="117">
        <v>1607.2970145132545</v>
      </c>
    </row>
    <row r="27" spans="1:18" x14ac:dyDescent="0.4">
      <c r="A27" s="19" t="s">
        <v>5</v>
      </c>
      <c r="B27" s="16">
        <f>IF(B$20=0,0,C27/B$20)</f>
        <v>8921.518987341773</v>
      </c>
      <c r="C27" s="8">
        <v>4933600</v>
      </c>
      <c r="E27" s="27" t="s">
        <v>85</v>
      </c>
      <c r="F27" s="24" t="s">
        <v>40</v>
      </c>
      <c r="G27" s="12">
        <v>1</v>
      </c>
      <c r="H27" s="88">
        <f>IF(B$20=0,0,G27/B$20)</f>
        <v>1.8083182640144665E-3</v>
      </c>
      <c r="I27" s="58">
        <v>2</v>
      </c>
      <c r="K27" s="74">
        <v>25</v>
      </c>
      <c r="L27" s="119">
        <v>61.399999999999991</v>
      </c>
      <c r="M27" s="117">
        <v>1618.5032324261749</v>
      </c>
    </row>
    <row r="28" spans="1:18" x14ac:dyDescent="0.4">
      <c r="A28" s="20" t="s">
        <v>164</v>
      </c>
      <c r="B28" s="95">
        <f>IF($B$20-B$19=0,0,C28/($B$20-B$19))</f>
        <v>9290.579710144928</v>
      </c>
      <c r="C28" s="96">
        <v>3846300</v>
      </c>
      <c r="E28" s="27" t="s">
        <v>87</v>
      </c>
      <c r="F28" s="24" t="s">
        <v>42</v>
      </c>
      <c r="G28" s="12">
        <v>1</v>
      </c>
      <c r="H28" s="88">
        <f>IF(B$20=0,0,G28/B$20)</f>
        <v>1.8083182640144665E-3</v>
      </c>
      <c r="I28" s="58">
        <v>2</v>
      </c>
      <c r="K28" s="74">
        <v>26</v>
      </c>
      <c r="L28" s="119">
        <v>6.3999999999999915</v>
      </c>
      <c r="M28" s="117">
        <v>1608.6902130316178</v>
      </c>
    </row>
    <row r="29" spans="1:18" x14ac:dyDescent="0.4">
      <c r="A29" s="20" t="s">
        <v>165</v>
      </c>
      <c r="B29" s="95">
        <f>IF(B$19=0,0,C29/B$19)</f>
        <v>7822.3021582733809</v>
      </c>
      <c r="C29" s="96">
        <v>1087300</v>
      </c>
      <c r="E29" s="27" t="s">
        <v>90</v>
      </c>
      <c r="F29" s="24" t="s">
        <v>45</v>
      </c>
      <c r="G29" s="12">
        <v>1</v>
      </c>
      <c r="H29" s="88">
        <f>IF(B$20=0,0,G29/B$20)</f>
        <v>1.8083182640144665E-3</v>
      </c>
      <c r="I29" s="58">
        <v>2</v>
      </c>
      <c r="K29" s="74">
        <v>27</v>
      </c>
      <c r="L29" s="119">
        <v>-8.8817841970012523E-15</v>
      </c>
      <c r="M29" s="117">
        <v>1607.684071753428</v>
      </c>
    </row>
    <row r="30" spans="1:18" x14ac:dyDescent="0.4">
      <c r="A30" s="20" t="s">
        <v>163</v>
      </c>
      <c r="B30" s="95">
        <f>IF(B$21=0,0,C30/B$21)</f>
        <v>-8455.2542372881362</v>
      </c>
      <c r="C30" s="96">
        <v>-2494300</v>
      </c>
      <c r="E30" s="27" t="s">
        <v>94</v>
      </c>
      <c r="F30" s="24" t="s">
        <v>49</v>
      </c>
      <c r="G30" s="12">
        <v>1</v>
      </c>
      <c r="H30" s="88">
        <f>IF(B$20=0,0,G30/B$20)</f>
        <v>1.8083182640144665E-3</v>
      </c>
      <c r="I30" s="58">
        <v>2</v>
      </c>
      <c r="K30" s="74">
        <v>28</v>
      </c>
      <c r="L30" s="119">
        <v>-0.80000000000000893</v>
      </c>
      <c r="M30" s="117">
        <v>1607.6079673229074</v>
      </c>
    </row>
    <row r="31" spans="1:18" x14ac:dyDescent="0.4">
      <c r="A31" s="19" t="s">
        <v>156</v>
      </c>
      <c r="B31" s="12">
        <v>5</v>
      </c>
      <c r="C31" s="90">
        <v>1</v>
      </c>
      <c r="E31" s="27" t="s">
        <v>95</v>
      </c>
      <c r="F31" s="24" t="s">
        <v>50</v>
      </c>
      <c r="G31" s="12">
        <v>1</v>
      </c>
      <c r="H31" s="88">
        <f>IF(B$20=0,0,G31/B$20)</f>
        <v>1.8083182640144665E-3</v>
      </c>
      <c r="I31" s="58">
        <v>2</v>
      </c>
      <c r="K31" s="74">
        <v>29</v>
      </c>
      <c r="L31" s="119">
        <v>45.999999999999986</v>
      </c>
      <c r="M31" s="117">
        <v>1616.1003195189699</v>
      </c>
    </row>
    <row r="32" spans="1:18" x14ac:dyDescent="0.4">
      <c r="A32" s="19" t="s">
        <v>157</v>
      </c>
      <c r="B32" s="12">
        <v>43</v>
      </c>
      <c r="C32" s="90">
        <v>5</v>
      </c>
      <c r="E32" s="27" t="s">
        <v>97</v>
      </c>
      <c r="F32" s="24" t="s">
        <v>52</v>
      </c>
      <c r="G32" s="12">
        <v>1</v>
      </c>
      <c r="H32" s="88">
        <f>IF(B$20=0,0,G32/B$20)</f>
        <v>1.8083182640144665E-3</v>
      </c>
      <c r="I32" s="58">
        <v>2</v>
      </c>
      <c r="K32" s="74">
        <v>30</v>
      </c>
      <c r="L32" s="119">
        <v>-1.4210854715202004E-14</v>
      </c>
      <c r="M32" s="117">
        <v>1607.837717601856</v>
      </c>
    </row>
    <row r="33" spans="1:13" x14ac:dyDescent="0.4">
      <c r="A33" s="54" t="s">
        <v>135</v>
      </c>
      <c r="B33" s="127">
        <v>6</v>
      </c>
      <c r="C33" s="128"/>
      <c r="E33" s="27" t="s">
        <v>99</v>
      </c>
      <c r="F33" s="24" t="s">
        <v>54</v>
      </c>
      <c r="G33" s="12">
        <v>1</v>
      </c>
      <c r="H33" s="88">
        <f>IF(B$20=0,0,G33/B$20)</f>
        <v>1.8083182640144665E-3</v>
      </c>
      <c r="I33" s="58">
        <v>2</v>
      </c>
      <c r="K33" s="74">
        <v>31</v>
      </c>
      <c r="L33" s="119">
        <v>-14.700000000000014</v>
      </c>
      <c r="M33" s="117">
        <v>1605.4986912962447</v>
      </c>
    </row>
    <row r="34" spans="1:13" x14ac:dyDescent="0.4">
      <c r="A34" s="22" t="s">
        <v>179</v>
      </c>
      <c r="B34" s="129">
        <v>144300</v>
      </c>
      <c r="C34" s="130"/>
      <c r="E34" s="27" t="s">
        <v>77</v>
      </c>
      <c r="F34" s="24" t="s">
        <v>32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57.59999999999998</v>
      </c>
      <c r="M34" s="117">
        <v>1618.8336991484673</v>
      </c>
    </row>
    <row r="35" spans="1:13" x14ac:dyDescent="0.4">
      <c r="A35" s="21" t="s">
        <v>136</v>
      </c>
      <c r="B35" s="29">
        <v>3</v>
      </c>
      <c r="C35" s="9">
        <f>IF(B$3=0,0,B35/B$3)</f>
        <v>1.5974440894568689E-3</v>
      </c>
      <c r="E35" s="27" t="s">
        <v>80</v>
      </c>
      <c r="F35" s="24" t="s">
        <v>35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-2.1316282072803006E-14</v>
      </c>
      <c r="M35" s="117">
        <v>1608.7066969535765</v>
      </c>
    </row>
    <row r="36" spans="1:13" x14ac:dyDescent="0.4">
      <c r="E36" s="27" t="s">
        <v>82</v>
      </c>
      <c r="F36" s="24" t="s">
        <v>37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31.299999999999979</v>
      </c>
      <c r="M36" s="117">
        <v>1614.4924567718551</v>
      </c>
    </row>
    <row r="37" spans="1:13" x14ac:dyDescent="0.4">
      <c r="A37" s="54" t="s">
        <v>170</v>
      </c>
      <c r="B37" s="123">
        <v>31</v>
      </c>
      <c r="C37" s="98">
        <f t="shared" ref="C37:C49" si="2">IF(B$20=0,0,B37/B$20)</f>
        <v>5.6057866184448461E-2</v>
      </c>
      <c r="E37" s="27" t="s">
        <v>88</v>
      </c>
      <c r="F37" s="24" t="s">
        <v>43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5.2999999999999794</v>
      </c>
      <c r="M37" s="117">
        <v>1609.929502031224</v>
      </c>
    </row>
    <row r="38" spans="1:13" x14ac:dyDescent="0.4">
      <c r="A38" s="19" t="s">
        <v>166</v>
      </c>
      <c r="B38" s="12">
        <v>91</v>
      </c>
      <c r="C38" s="6">
        <f t="shared" si="2"/>
        <v>0.16455696202531644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-2.042810365310288E-14</v>
      </c>
      <c r="M38" s="117">
        <v>1609.1199250190366</v>
      </c>
    </row>
    <row r="39" spans="1:13" x14ac:dyDescent="0.4">
      <c r="A39" s="19" t="s">
        <v>167</v>
      </c>
      <c r="B39" s="124">
        <v>101</v>
      </c>
      <c r="C39" s="6">
        <f t="shared" si="2"/>
        <v>0.18264014466546113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-58.90000000000002</v>
      </c>
      <c r="M39" s="117">
        <v>1598.0912054689225</v>
      </c>
    </row>
    <row r="40" spans="1:13" x14ac:dyDescent="0.4">
      <c r="A40" s="19" t="s">
        <v>168</v>
      </c>
      <c r="B40" s="124">
        <v>109</v>
      </c>
      <c r="C40" s="6">
        <f t="shared" si="2"/>
        <v>0.19710669077757687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10.699999999999974</v>
      </c>
      <c r="M40" s="117">
        <v>1610.2586582361089</v>
      </c>
    </row>
    <row r="41" spans="1:13" x14ac:dyDescent="0.4">
      <c r="A41" s="19" t="s">
        <v>169</v>
      </c>
      <c r="B41" s="124">
        <v>84</v>
      </c>
      <c r="C41" s="6">
        <f t="shared" si="2"/>
        <v>0.15189873417721519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-2.4868995751603507E-14</v>
      </c>
      <c r="M41" s="117">
        <v>1607.8991062866921</v>
      </c>
    </row>
    <row r="42" spans="1:13" x14ac:dyDescent="0.4">
      <c r="A42" s="19" t="s">
        <v>171</v>
      </c>
      <c r="B42" s="124">
        <v>58</v>
      </c>
      <c r="C42" s="6">
        <f t="shared" si="2"/>
        <v>0.10488245931283906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-45.40000000000002</v>
      </c>
      <c r="M42" s="117">
        <v>1599.901711648972</v>
      </c>
    </row>
    <row r="43" spans="1:13" x14ac:dyDescent="0.4">
      <c r="A43" s="19" t="s">
        <v>172</v>
      </c>
      <c r="B43" s="124">
        <v>34</v>
      </c>
      <c r="C43" s="6">
        <f t="shared" si="2"/>
        <v>6.148282097649186E-2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-51.800000000000018</v>
      </c>
      <c r="M43" s="117">
        <v>1598.9723013790781</v>
      </c>
    </row>
    <row r="44" spans="1:13" x14ac:dyDescent="0.4">
      <c r="A44" s="19" t="s">
        <v>173</v>
      </c>
      <c r="B44" s="124">
        <v>21</v>
      </c>
      <c r="C44" s="6">
        <f t="shared" si="2"/>
        <v>3.7974683544303799E-2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-2.1316282072803006E-14</v>
      </c>
      <c r="M44" s="117">
        <v>1608.5244675708036</v>
      </c>
    </row>
    <row r="45" spans="1:13" x14ac:dyDescent="0.4">
      <c r="A45" s="19" t="s">
        <v>174</v>
      </c>
      <c r="B45" s="124">
        <v>6</v>
      </c>
      <c r="C45" s="6">
        <f t="shared" si="2"/>
        <v>1.0849909584086799E-2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4.4999999999999787</v>
      </c>
      <c r="M45" s="117">
        <v>1609.6133207653788</v>
      </c>
    </row>
    <row r="46" spans="1:13" x14ac:dyDescent="0.4">
      <c r="A46" s="19" t="s">
        <v>175</v>
      </c>
      <c r="B46" s="124">
        <v>5</v>
      </c>
      <c r="C46" s="6">
        <f t="shared" si="2"/>
        <v>9.0415913200723331E-3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36.999999999999979</v>
      </c>
      <c r="M46" s="117">
        <v>1615.7356408407866</v>
      </c>
    </row>
    <row r="47" spans="1:13" x14ac:dyDescent="0.4">
      <c r="A47" s="19" t="s">
        <v>176</v>
      </c>
      <c r="B47" s="124">
        <v>2</v>
      </c>
      <c r="C47" s="6">
        <f t="shared" si="2"/>
        <v>3.616636528028933E-3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-2.1316282072803006E-14</v>
      </c>
      <c r="M47" s="117">
        <v>1609.3112269957419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-1.5000000000000213</v>
      </c>
      <c r="M48" s="117">
        <v>1609.1173596337674</v>
      </c>
    </row>
    <row r="49" spans="1:13" x14ac:dyDescent="0.4">
      <c r="A49" s="21" t="s">
        <v>178</v>
      </c>
      <c r="B49" s="97">
        <v>11</v>
      </c>
      <c r="C49" s="9">
        <f t="shared" si="2"/>
        <v>1.9891500904159132E-2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-44.90000000000002</v>
      </c>
      <c r="M49" s="117">
        <v>1601.3826554759648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-2.1316282072803006E-14</v>
      </c>
      <c r="M50" s="117">
        <v>1609.5883595431089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5.6999999999999789</v>
      </c>
      <c r="M51" s="117">
        <v>1610.1668293858502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52.799999999999983</v>
      </c>
      <c r="M52" s="117">
        <v>1618.1938284095352</v>
      </c>
    </row>
    <row r="53" spans="1:13" x14ac:dyDescent="0.4">
      <c r="K53" s="74">
        <v>51</v>
      </c>
      <c r="L53" s="119">
        <v>-1.4210854715202004E-14</v>
      </c>
      <c r="M53" s="117">
        <v>1608.190665439078</v>
      </c>
    </row>
    <row r="54" spans="1:13" x14ac:dyDescent="0.4">
      <c r="K54" s="74">
        <v>52</v>
      </c>
      <c r="L54" s="119">
        <v>4.9999999999999858</v>
      </c>
      <c r="M54" s="117">
        <v>1609.1375214464435</v>
      </c>
    </row>
    <row r="55" spans="1:13" x14ac:dyDescent="0.4">
      <c r="K55" s="74">
        <v>53</v>
      </c>
      <c r="L55" s="119">
        <v>40.299999999999983</v>
      </c>
      <c r="M55" s="117">
        <v>1615.5326963177649</v>
      </c>
    </row>
    <row r="56" spans="1:13" x14ac:dyDescent="0.4">
      <c r="K56" s="74">
        <v>54</v>
      </c>
      <c r="L56" s="119">
        <v>-1.4210854715202004E-14</v>
      </c>
      <c r="M56" s="117">
        <v>1608.2815001398583</v>
      </c>
    </row>
    <row r="57" spans="1:13" x14ac:dyDescent="0.4">
      <c r="K57" s="74">
        <v>55</v>
      </c>
      <c r="L57" s="119">
        <v>-54.200000000000017</v>
      </c>
      <c r="M57" s="117">
        <v>1598.3138111390192</v>
      </c>
    </row>
    <row r="58" spans="1:13" x14ac:dyDescent="0.4">
      <c r="K58" s="74">
        <v>56</v>
      </c>
      <c r="L58" s="119">
        <v>21.199999999999989</v>
      </c>
      <c r="M58" s="117">
        <v>1611.733928272185</v>
      </c>
    </row>
    <row r="59" spans="1:13" x14ac:dyDescent="0.4">
      <c r="K59" s="74">
        <v>57</v>
      </c>
      <c r="L59" s="119">
        <v>-1.0658141036401503E-14</v>
      </c>
      <c r="M59" s="117">
        <v>1607.6855247025519</v>
      </c>
    </row>
    <row r="60" spans="1:13" x14ac:dyDescent="0.4">
      <c r="K60" s="74">
        <v>58</v>
      </c>
      <c r="L60" s="119">
        <v>-12.500000000000011</v>
      </c>
      <c r="M60" s="117">
        <v>1605.2274115543366</v>
      </c>
    </row>
    <row r="61" spans="1:13" x14ac:dyDescent="0.4">
      <c r="K61" s="74">
        <v>59</v>
      </c>
      <c r="L61" s="119">
        <v>40.499999999999986</v>
      </c>
      <c r="M61" s="117">
        <v>1614.5740470850105</v>
      </c>
    </row>
    <row r="62" spans="1:13" x14ac:dyDescent="0.4">
      <c r="K62" s="74">
        <v>60</v>
      </c>
      <c r="L62" s="119">
        <v>-1.4210854715202004E-14</v>
      </c>
      <c r="M62" s="117">
        <v>1607.0346028025006</v>
      </c>
    </row>
    <row r="63" spans="1:13" x14ac:dyDescent="0.4">
      <c r="K63" s="74">
        <v>61</v>
      </c>
      <c r="L63" s="119">
        <v>12.099999999999985</v>
      </c>
      <c r="M63" s="117">
        <v>1609.0083951856855</v>
      </c>
    </row>
    <row r="64" spans="1:13" x14ac:dyDescent="0.4">
      <c r="K64" s="74">
        <v>62</v>
      </c>
      <c r="L64" s="119">
        <v>45.999999999999986</v>
      </c>
      <c r="M64" s="117">
        <v>1614.8943448145712</v>
      </c>
    </row>
    <row r="65" spans="11:13" x14ac:dyDescent="0.4">
      <c r="K65" s="74">
        <v>63</v>
      </c>
      <c r="L65" s="119">
        <v>-1.4210854715202004E-14</v>
      </c>
      <c r="M65" s="117">
        <v>1606.3629787456839</v>
      </c>
    </row>
    <row r="66" spans="11:13" x14ac:dyDescent="0.4">
      <c r="K66" s="74">
        <v>64</v>
      </c>
      <c r="L66" s="119">
        <v>-1.8000000000000143</v>
      </c>
      <c r="M66" s="117">
        <v>1605.8388008732097</v>
      </c>
    </row>
    <row r="67" spans="11:13" x14ac:dyDescent="0.4">
      <c r="K67" s="74">
        <v>65</v>
      </c>
      <c r="L67" s="119">
        <v>-32.600000000000016</v>
      </c>
      <c r="M67" s="117">
        <v>1600.0977680679705</v>
      </c>
    </row>
    <row r="68" spans="11:13" x14ac:dyDescent="0.4">
      <c r="K68" s="74">
        <v>66</v>
      </c>
      <c r="L68" s="119">
        <v>-1.4210854715202004E-14</v>
      </c>
      <c r="M68" s="117">
        <v>1605.8031814595627</v>
      </c>
    </row>
    <row r="69" spans="11:13" x14ac:dyDescent="0.4">
      <c r="K69" s="74">
        <v>67</v>
      </c>
      <c r="L69" s="119">
        <v>-55.500000000000014</v>
      </c>
      <c r="M69" s="117">
        <v>1595.6163623708053</v>
      </c>
    </row>
    <row r="70" spans="11:13" x14ac:dyDescent="0.4">
      <c r="K70" s="74">
        <v>68</v>
      </c>
      <c r="L70" s="119">
        <v>-4.5000000000000142</v>
      </c>
      <c r="M70" s="117">
        <v>1604.6606641965805</v>
      </c>
    </row>
    <row r="71" spans="11:13" x14ac:dyDescent="0.4">
      <c r="K71" s="74">
        <v>69</v>
      </c>
      <c r="L71" s="119">
        <v>-1.4210854715202004E-14</v>
      </c>
      <c r="M71" s="117">
        <v>1605.2807002114009</v>
      </c>
    </row>
    <row r="72" spans="11:13" x14ac:dyDescent="0.4">
      <c r="K72" s="74">
        <v>70</v>
      </c>
      <c r="L72" s="119">
        <v>3.4999999999999858</v>
      </c>
      <c r="M72" s="117">
        <v>1605.7170160101325</v>
      </c>
    </row>
    <row r="73" spans="11:13" x14ac:dyDescent="0.4">
      <c r="K73" s="74">
        <v>71</v>
      </c>
      <c r="L73" s="119">
        <v>32.499999999999986</v>
      </c>
      <c r="M73" s="117">
        <v>1610.7407139140716</v>
      </c>
    </row>
    <row r="74" spans="11:13" x14ac:dyDescent="0.4">
      <c r="K74" s="74">
        <v>72</v>
      </c>
      <c r="L74" s="119">
        <v>-1.4210854715202004E-14</v>
      </c>
      <c r="M74" s="117">
        <v>1604.6642696305871</v>
      </c>
    </row>
    <row r="75" spans="11:13" x14ac:dyDescent="0.4">
      <c r="K75" s="74">
        <v>73</v>
      </c>
      <c r="L75" s="119">
        <v>40.599999999999987</v>
      </c>
      <c r="M75" s="117">
        <v>1611.7822840128035</v>
      </c>
    </row>
    <row r="76" spans="11:13" x14ac:dyDescent="0.4">
      <c r="K76" s="74">
        <v>74</v>
      </c>
      <c r="L76" s="119">
        <v>60.299999999999983</v>
      </c>
      <c r="M76" s="117">
        <v>1615.0955903087267</v>
      </c>
    </row>
    <row r="77" spans="11:13" x14ac:dyDescent="0.4">
      <c r="K77" s="74">
        <v>75</v>
      </c>
      <c r="L77" s="119">
        <v>-1.4210854715202004E-14</v>
      </c>
      <c r="M77" s="117">
        <v>1603.9890167668743</v>
      </c>
    </row>
    <row r="78" spans="11:13" x14ac:dyDescent="0.4">
      <c r="K78" s="74">
        <v>76</v>
      </c>
      <c r="L78" s="119">
        <v>34.199999999999989</v>
      </c>
      <c r="M78" s="117">
        <v>1609.9530826662731</v>
      </c>
    </row>
    <row r="79" spans="11:13" x14ac:dyDescent="0.4">
      <c r="K79" s="74">
        <v>77</v>
      </c>
      <c r="L79" s="119">
        <v>41.399999999999991</v>
      </c>
      <c r="M79" s="117">
        <v>1611.0213641702755</v>
      </c>
    </row>
    <row r="80" spans="11:13" x14ac:dyDescent="0.4">
      <c r="K80" s="74">
        <v>78</v>
      </c>
      <c r="L80" s="119">
        <v>-7.1054273576010019E-15</v>
      </c>
      <c r="M80" s="117">
        <v>1603.3352359852538</v>
      </c>
    </row>
    <row r="81" spans="11:13" x14ac:dyDescent="0.4">
      <c r="K81" s="74">
        <v>79</v>
      </c>
      <c r="L81" s="119">
        <v>-10.200000000000006</v>
      </c>
      <c r="M81" s="117">
        <v>1601.4492245693423</v>
      </c>
    </row>
    <row r="82" spans="11:13" x14ac:dyDescent="0.4">
      <c r="K82" s="74">
        <v>80</v>
      </c>
      <c r="L82" s="119">
        <v>57.399999999999991</v>
      </c>
      <c r="M82" s="117">
        <v>1613.5785292219261</v>
      </c>
    </row>
    <row r="83" spans="11:13" x14ac:dyDescent="0.4">
      <c r="K83" s="74">
        <v>81</v>
      </c>
      <c r="L83" s="119">
        <v>-7.1054273576010019E-15</v>
      </c>
      <c r="M83" s="117">
        <v>1603.1350580465946</v>
      </c>
    </row>
    <row r="84" spans="11:13" x14ac:dyDescent="0.4">
      <c r="K84" s="74">
        <v>82</v>
      </c>
      <c r="L84" s="119">
        <v>-33.000000000000007</v>
      </c>
      <c r="M84" s="117">
        <v>1597.1462476983152</v>
      </c>
    </row>
    <row r="85" spans="11:13" x14ac:dyDescent="0.4">
      <c r="K85" s="74">
        <v>83</v>
      </c>
      <c r="L85" s="119">
        <v>-34.20000000000001</v>
      </c>
      <c r="M85" s="117">
        <v>1596.9173702121252</v>
      </c>
    </row>
    <row r="86" spans="11:13" x14ac:dyDescent="0.4">
      <c r="K86" s="74">
        <v>84</v>
      </c>
      <c r="L86" s="119">
        <v>-7.1054273576010019E-15</v>
      </c>
      <c r="M86" s="117">
        <v>1603.0618659908525</v>
      </c>
    </row>
    <row r="87" spans="11:13" x14ac:dyDescent="0.4">
      <c r="K87" s="74">
        <v>85</v>
      </c>
      <c r="L87" s="119">
        <v>2.3999999999999928</v>
      </c>
      <c r="M87" s="117">
        <v>1603.4454947949075</v>
      </c>
    </row>
    <row r="88" spans="11:13" x14ac:dyDescent="0.4">
      <c r="K88" s="74">
        <v>86</v>
      </c>
      <c r="L88" s="119">
        <v>48.099999999999994</v>
      </c>
      <c r="M88" s="117">
        <v>1611.6208218261381</v>
      </c>
    </row>
    <row r="89" spans="11:13" x14ac:dyDescent="0.4">
      <c r="K89" s="74">
        <v>87</v>
      </c>
      <c r="L89" s="119">
        <v>-7.1054273576010019E-15</v>
      </c>
      <c r="M89" s="117">
        <v>1602.8630968951813</v>
      </c>
    </row>
    <row r="90" spans="11:13" x14ac:dyDescent="0.4">
      <c r="K90" s="74">
        <v>88</v>
      </c>
      <c r="L90" s="119">
        <v>61.399999999999991</v>
      </c>
      <c r="M90" s="117">
        <v>1613.8739183138102</v>
      </c>
    </row>
    <row r="91" spans="11:13" x14ac:dyDescent="0.4">
      <c r="K91" s="74">
        <v>89</v>
      </c>
      <c r="L91" s="119">
        <v>9.7999999999999901</v>
      </c>
      <c r="M91" s="117">
        <v>1604.4786748039273</v>
      </c>
    </row>
    <row r="92" spans="11:13" x14ac:dyDescent="0.4">
      <c r="K92" s="74">
        <v>90</v>
      </c>
      <c r="L92" s="119">
        <v>-1.0658141036401503E-14</v>
      </c>
      <c r="M92" s="117">
        <v>1602.6638027551037</v>
      </c>
    </row>
    <row r="93" spans="11:13" x14ac:dyDescent="0.4">
      <c r="K93" s="74">
        <v>91</v>
      </c>
      <c r="L93" s="119">
        <v>-9.7000000000000099</v>
      </c>
      <c r="M93" s="117">
        <v>1600.871819938573</v>
      </c>
    </row>
    <row r="94" spans="11:13" x14ac:dyDescent="0.4">
      <c r="K94" s="74">
        <v>92</v>
      </c>
      <c r="L94" s="119">
        <v>-49.800000000000011</v>
      </c>
      <c r="M94" s="117">
        <v>1593.6185890189415</v>
      </c>
    </row>
    <row r="95" spans="11:13" x14ac:dyDescent="0.4">
      <c r="K95" s="74">
        <v>93</v>
      </c>
      <c r="L95" s="119">
        <v>-1.4210854715202004E-14</v>
      </c>
      <c r="M95" s="117">
        <v>1602.5908774848278</v>
      </c>
    </row>
    <row r="96" spans="11:13" x14ac:dyDescent="0.4">
      <c r="K96" s="74">
        <v>94</v>
      </c>
      <c r="L96" s="119">
        <v>-45.100000000000016</v>
      </c>
      <c r="M96" s="117">
        <v>1594.4333322199188</v>
      </c>
    </row>
    <row r="97" spans="11:13" x14ac:dyDescent="0.4">
      <c r="K97" s="74">
        <v>95</v>
      </c>
      <c r="L97" s="119">
        <v>-54.200000000000017</v>
      </c>
      <c r="M97" s="117">
        <v>1592.8047322265993</v>
      </c>
    </row>
    <row r="98" spans="11:13" x14ac:dyDescent="0.4">
      <c r="K98" s="74">
        <v>96</v>
      </c>
      <c r="L98" s="119">
        <v>-1.4210854715202004E-14</v>
      </c>
      <c r="M98" s="117">
        <v>1602.5799038332398</v>
      </c>
    </row>
    <row r="99" spans="11:13" x14ac:dyDescent="0.4">
      <c r="K99" s="74">
        <v>97</v>
      </c>
      <c r="L99" s="119">
        <v>-44.100000000000016</v>
      </c>
      <c r="M99" s="117">
        <v>1594.6024244102402</v>
      </c>
    </row>
    <row r="100" spans="11:13" x14ac:dyDescent="0.4">
      <c r="K100" s="74">
        <v>98</v>
      </c>
      <c r="L100" s="119">
        <v>22.999999999999979</v>
      </c>
      <c r="M100" s="117">
        <v>1606.6888098637787</v>
      </c>
    </row>
    <row r="101" spans="11:13" x14ac:dyDescent="0.4">
      <c r="K101" s="74">
        <v>99</v>
      </c>
      <c r="L101" s="119">
        <v>-2.1316282072803006E-14</v>
      </c>
      <c r="M101" s="117">
        <v>1602.4846770045961</v>
      </c>
    </row>
    <row r="102" spans="11:13" x14ac:dyDescent="0.4">
      <c r="K102" s="74">
        <v>100</v>
      </c>
      <c r="L102" s="119">
        <v>31.499999999999979</v>
      </c>
      <c r="M102" s="117">
        <v>1608.4757689425685</v>
      </c>
    </row>
    <row r="103" spans="11:13" x14ac:dyDescent="0.4">
      <c r="K103" s="74">
        <v>101</v>
      </c>
      <c r="L103" s="119">
        <v>-8.9000000000000199</v>
      </c>
      <c r="M103" s="117">
        <v>1601.4889143289131</v>
      </c>
    </row>
    <row r="104" spans="11:13" x14ac:dyDescent="0.4">
      <c r="K104" s="74">
        <v>102</v>
      </c>
      <c r="L104" s="119">
        <v>-1.9539925233402755E-14</v>
      </c>
      <c r="M104" s="117">
        <v>1603.4179808429396</v>
      </c>
    </row>
    <row r="105" spans="11:13" x14ac:dyDescent="0.4">
      <c r="K105" s="74">
        <v>103</v>
      </c>
      <c r="L105" s="119">
        <v>30.199999999999982</v>
      </c>
      <c r="M105" s="117">
        <v>1609.1694729578819</v>
      </c>
    </row>
    <row r="106" spans="11:13" x14ac:dyDescent="0.4">
      <c r="K106" s="74">
        <v>104</v>
      </c>
      <c r="L106" s="119">
        <v>26.499999999999982</v>
      </c>
      <c r="M106" s="117">
        <v>1608.7844561201346</v>
      </c>
    </row>
    <row r="107" spans="11:13" x14ac:dyDescent="0.4">
      <c r="K107" s="74">
        <v>105</v>
      </c>
      <c r="L107" s="119">
        <v>-1.7763568394002505E-14</v>
      </c>
      <c r="M107" s="117">
        <v>1604.2977493834137</v>
      </c>
    </row>
    <row r="108" spans="11:13" x14ac:dyDescent="0.4">
      <c r="K108" s="74">
        <v>106</v>
      </c>
      <c r="L108" s="119">
        <v>-33.800000000000011</v>
      </c>
      <c r="M108" s="117">
        <v>1598.5239628871132</v>
      </c>
    </row>
    <row r="109" spans="11:13" x14ac:dyDescent="0.4">
      <c r="K109" s="74">
        <v>107</v>
      </c>
      <c r="L109" s="119">
        <v>-6.6000000000000121</v>
      </c>
      <c r="M109" s="117">
        <v>1603.7648191097906</v>
      </c>
    </row>
    <row r="110" spans="11:13" x14ac:dyDescent="0.4">
      <c r="K110" s="74">
        <v>108</v>
      </c>
      <c r="L110" s="119">
        <v>-1.2434497875801753E-14</v>
      </c>
      <c r="M110" s="117">
        <v>1605.2662301951318</v>
      </c>
    </row>
    <row r="111" spans="11:13" x14ac:dyDescent="0.4">
      <c r="K111" s="74">
        <v>109</v>
      </c>
      <c r="L111" s="119">
        <v>68.399999999999991</v>
      </c>
      <c r="M111" s="117">
        <v>1617.882632813961</v>
      </c>
    </row>
    <row r="112" spans="11:13" x14ac:dyDescent="0.4">
      <c r="K112" s="74">
        <v>110</v>
      </c>
      <c r="L112" s="119">
        <v>55.79999999999999</v>
      </c>
      <c r="M112" s="117">
        <v>1615.8433370170771</v>
      </c>
    </row>
    <row r="113" spans="11:13" x14ac:dyDescent="0.4">
      <c r="K113" s="74">
        <v>111</v>
      </c>
      <c r="L113" s="119">
        <v>-7.1054273576010019E-15</v>
      </c>
      <c r="M113" s="117">
        <v>1606.0402769949746</v>
      </c>
    </row>
    <row r="114" spans="11:13" x14ac:dyDescent="0.4">
      <c r="K114" s="74">
        <v>112</v>
      </c>
      <c r="L114" s="119">
        <v>-45.300000000000004</v>
      </c>
      <c r="M114" s="117">
        <v>1598.1860353330048</v>
      </c>
    </row>
    <row r="115" spans="11:13" x14ac:dyDescent="0.4">
      <c r="K115" s="74">
        <v>113</v>
      </c>
      <c r="L115" s="119">
        <v>-40.6</v>
      </c>
      <c r="M115" s="117">
        <v>1599.3789191210069</v>
      </c>
    </row>
    <row r="116" spans="11:13" x14ac:dyDescent="0.4">
      <c r="K116" s="74">
        <v>114</v>
      </c>
      <c r="L116" s="119">
        <v>0</v>
      </c>
      <c r="M116" s="117">
        <v>1607.0266456062809</v>
      </c>
    </row>
    <row r="117" spans="11:13" x14ac:dyDescent="0.4">
      <c r="K117" s="74">
        <v>115</v>
      </c>
      <c r="L117" s="119">
        <v>-30.1</v>
      </c>
      <c r="M117" s="117">
        <v>1601.9024857326433</v>
      </c>
    </row>
    <row r="118" spans="11:13" x14ac:dyDescent="0.4">
      <c r="K118" s="74">
        <v>116</v>
      </c>
      <c r="L118" s="119">
        <v>-36.1</v>
      </c>
      <c r="M118" s="117">
        <v>1601.1470708182474</v>
      </c>
    </row>
    <row r="119" spans="11:13" x14ac:dyDescent="0.4">
      <c r="K119" s="74">
        <v>117</v>
      </c>
      <c r="L119" s="119">
        <v>0</v>
      </c>
      <c r="M119" s="117">
        <v>1607.974188393338</v>
      </c>
    </row>
    <row r="120" spans="11:13" x14ac:dyDescent="0.4">
      <c r="K120" s="74">
        <v>118</v>
      </c>
      <c r="L120" s="119">
        <v>34</v>
      </c>
      <c r="M120" s="117">
        <v>1614.3823432629779</v>
      </c>
    </row>
    <row r="121" spans="11:13" x14ac:dyDescent="0.4">
      <c r="K121" s="74">
        <v>119</v>
      </c>
      <c r="L121" s="119">
        <v>0.89999999999999858</v>
      </c>
      <c r="M121" s="117">
        <v>1608.6740492034</v>
      </c>
    </row>
    <row r="122" spans="11:13" x14ac:dyDescent="0.4">
      <c r="K122" s="74">
        <v>120</v>
      </c>
      <c r="L122" s="119">
        <v>-1.4432899320127035E-15</v>
      </c>
      <c r="M122" s="117">
        <v>1608.7960049081796</v>
      </c>
    </row>
    <row r="123" spans="11:13" x14ac:dyDescent="0.4">
      <c r="K123" s="74">
        <v>121</v>
      </c>
      <c r="L123" s="119">
        <v>-32</v>
      </c>
      <c r="M123" s="117">
        <v>1603.3192288787304</v>
      </c>
    </row>
    <row r="124" spans="11:13" x14ac:dyDescent="0.4">
      <c r="K124" s="74">
        <v>122</v>
      </c>
      <c r="L124" s="119">
        <v>-29.2</v>
      </c>
      <c r="M124" s="117">
        <v>1604.1393135054579</v>
      </c>
    </row>
    <row r="125" spans="11:13" x14ac:dyDescent="0.4">
      <c r="K125" s="74">
        <v>123</v>
      </c>
      <c r="L125" s="119">
        <v>0</v>
      </c>
      <c r="M125" s="117">
        <v>1609.7064776244251</v>
      </c>
    </row>
    <row r="126" spans="11:13" x14ac:dyDescent="0.4">
      <c r="K126" s="74">
        <v>124</v>
      </c>
      <c r="L126" s="119">
        <v>7.2</v>
      </c>
      <c r="M126" s="117">
        <v>1611.2802387586785</v>
      </c>
    </row>
    <row r="127" spans="11:13" x14ac:dyDescent="0.4">
      <c r="K127" s="74">
        <v>125</v>
      </c>
      <c r="L127" s="119">
        <v>-49.599999999999994</v>
      </c>
      <c r="M127" s="117">
        <v>1601.3245573261265</v>
      </c>
    </row>
    <row r="128" spans="11:13" x14ac:dyDescent="0.4">
      <c r="K128" s="74">
        <v>126</v>
      </c>
      <c r="L128" s="119">
        <v>7.1054273576010019E-15</v>
      </c>
      <c r="M128" s="117">
        <v>1610.5806099821698</v>
      </c>
    </row>
    <row r="129" spans="11:13" x14ac:dyDescent="0.4">
      <c r="K129" s="74">
        <v>127</v>
      </c>
      <c r="L129" s="119">
        <v>16.300000000000008</v>
      </c>
      <c r="M129" s="117">
        <v>1613.7871263222767</v>
      </c>
    </row>
    <row r="130" spans="11:13" x14ac:dyDescent="0.4">
      <c r="K130" s="74">
        <v>128</v>
      </c>
      <c r="L130" s="119">
        <v>59.900000000000006</v>
      </c>
      <c r="M130" s="117">
        <v>1621.888403564343</v>
      </c>
    </row>
    <row r="131" spans="11:13" x14ac:dyDescent="0.4">
      <c r="K131" s="74">
        <v>129</v>
      </c>
      <c r="L131" s="119">
        <v>7.1054273576010019E-15</v>
      </c>
      <c r="M131" s="117">
        <v>1611.311073142957</v>
      </c>
    </row>
    <row r="132" spans="11:13" x14ac:dyDescent="0.4">
      <c r="K132" s="74">
        <v>130</v>
      </c>
      <c r="L132" s="119">
        <v>-30.799999999999994</v>
      </c>
      <c r="M132" s="117">
        <v>1606.0352067040992</v>
      </c>
    </row>
    <row r="133" spans="11:13" x14ac:dyDescent="0.4">
      <c r="K133" s="74">
        <v>131</v>
      </c>
      <c r="L133" s="119">
        <v>-38.399999999999991</v>
      </c>
      <c r="M133" s="117">
        <v>1604.9669954638746</v>
      </c>
    </row>
    <row r="134" spans="11:13" x14ac:dyDescent="0.4">
      <c r="K134" s="74">
        <v>132</v>
      </c>
      <c r="L134" s="119">
        <v>7.1054273576010019E-15</v>
      </c>
      <c r="M134" s="117">
        <v>1612.1851934910912</v>
      </c>
    </row>
    <row r="135" spans="11:13" x14ac:dyDescent="0.4">
      <c r="K135" s="74">
        <v>133</v>
      </c>
      <c r="L135" s="119">
        <v>-99.4</v>
      </c>
      <c r="M135" s="117">
        <v>1594.1600823301446</v>
      </c>
    </row>
    <row r="136" spans="11:13" x14ac:dyDescent="0.4">
      <c r="K136" s="74">
        <v>134</v>
      </c>
      <c r="L136" s="119">
        <v>-129.30000000000001</v>
      </c>
      <c r="M136" s="117">
        <v>1588.7531218361637</v>
      </c>
    </row>
    <row r="137" spans="11:13" x14ac:dyDescent="0.4">
      <c r="K137" s="74">
        <v>135</v>
      </c>
      <c r="L137" s="119">
        <v>0</v>
      </c>
      <c r="M137" s="117">
        <v>1612.0346031051467</v>
      </c>
    </row>
    <row r="138" spans="11:13" x14ac:dyDescent="0.4">
      <c r="K138" s="74">
        <v>136</v>
      </c>
      <c r="L138" s="119">
        <v>-58.1</v>
      </c>
      <c r="M138" s="117">
        <v>1601.4443954865158</v>
      </c>
    </row>
    <row r="139" spans="11:13" x14ac:dyDescent="0.4">
      <c r="K139" s="74">
        <v>137</v>
      </c>
      <c r="L139" s="119">
        <v>7.6000000000000014</v>
      </c>
      <c r="M139" s="117">
        <v>1613.2017291135967</v>
      </c>
    </row>
    <row r="140" spans="11:13" x14ac:dyDescent="0.4">
      <c r="K140" s="74">
        <v>138</v>
      </c>
      <c r="L140" s="119">
        <v>1.7763568394002505E-15</v>
      </c>
      <c r="M140" s="117">
        <v>1611.6945187389151</v>
      </c>
    </row>
    <row r="141" spans="11:13" x14ac:dyDescent="0.4">
      <c r="K141" s="74">
        <v>139</v>
      </c>
      <c r="L141" s="119">
        <v>1.0000000000000018</v>
      </c>
      <c r="M141" s="117">
        <v>1611.7443516264816</v>
      </c>
    </row>
    <row r="142" spans="11:13" x14ac:dyDescent="0.4">
      <c r="K142" s="74">
        <v>140</v>
      </c>
      <c r="L142" s="119">
        <v>35.299999999999997</v>
      </c>
      <c r="M142" s="117">
        <v>1617.7878855167228</v>
      </c>
    </row>
    <row r="143" spans="11:13" x14ac:dyDescent="0.4">
      <c r="K143" s="74">
        <v>141</v>
      </c>
      <c r="L143" s="119">
        <v>0</v>
      </c>
      <c r="M143" s="117">
        <v>1611.2671582036226</v>
      </c>
    </row>
    <row r="144" spans="11:13" x14ac:dyDescent="0.4">
      <c r="K144" s="74">
        <v>142</v>
      </c>
      <c r="L144" s="119">
        <v>-48</v>
      </c>
      <c r="M144" s="117">
        <v>1602.4995552544008</v>
      </c>
    </row>
    <row r="145" spans="11:13" x14ac:dyDescent="0.4">
      <c r="K145" s="74">
        <v>143</v>
      </c>
      <c r="L145" s="119">
        <v>-1.2000000000000028</v>
      </c>
      <c r="M145" s="117">
        <v>1610.8485579228743</v>
      </c>
    </row>
    <row r="146" spans="11:13" x14ac:dyDescent="0.4">
      <c r="K146" s="74">
        <v>144</v>
      </c>
      <c r="L146" s="119">
        <v>-2.886579864025407E-15</v>
      </c>
      <c r="M146" s="117">
        <v>1610.9394665753371</v>
      </c>
    </row>
    <row r="147" spans="11:13" x14ac:dyDescent="0.4">
      <c r="K147" s="74">
        <v>145</v>
      </c>
      <c r="L147" s="119">
        <v>-0.40000000000000291</v>
      </c>
      <c r="M147" s="117">
        <v>1610.741829775885</v>
      </c>
    </row>
    <row r="148" spans="11:13" x14ac:dyDescent="0.4">
      <c r="K148" s="74">
        <v>146</v>
      </c>
      <c r="L148" s="119">
        <v>37.799999999999997</v>
      </c>
      <c r="M148" s="117">
        <v>1617.4933787972298</v>
      </c>
    </row>
    <row r="149" spans="11:13" x14ac:dyDescent="0.4">
      <c r="K149" s="74">
        <v>147</v>
      </c>
      <c r="L149" s="119">
        <v>0</v>
      </c>
      <c r="M149" s="117">
        <v>1610.5244185244464</v>
      </c>
    </row>
    <row r="150" spans="11:13" x14ac:dyDescent="0.4">
      <c r="K150" s="74">
        <v>148</v>
      </c>
      <c r="L150" s="119">
        <v>-5.8</v>
      </c>
      <c r="M150" s="117">
        <v>1609.3512720132999</v>
      </c>
    </row>
    <row r="151" spans="11:13" x14ac:dyDescent="0.4">
      <c r="K151" s="74">
        <v>149</v>
      </c>
      <c r="L151" s="119">
        <v>52.7</v>
      </c>
      <c r="M151" s="117">
        <v>1619.75916438122</v>
      </c>
    </row>
    <row r="152" spans="11:13" x14ac:dyDescent="0.4">
      <c r="K152" s="74">
        <v>150</v>
      </c>
      <c r="L152" s="119">
        <v>0</v>
      </c>
      <c r="M152" s="117">
        <v>1610.0886093949327</v>
      </c>
    </row>
    <row r="153" spans="11:13" x14ac:dyDescent="0.4">
      <c r="K153" s="74">
        <v>151</v>
      </c>
      <c r="L153" s="119">
        <v>-2.5</v>
      </c>
      <c r="M153" s="117">
        <v>1609.5180777385631</v>
      </c>
    </row>
    <row r="154" spans="11:13" x14ac:dyDescent="0.4">
      <c r="K154" s="74">
        <v>152</v>
      </c>
      <c r="L154" s="119">
        <v>-26.4</v>
      </c>
      <c r="M154" s="117">
        <v>1605.0989692721316</v>
      </c>
    </row>
    <row r="155" spans="11:13" x14ac:dyDescent="0.4">
      <c r="K155" s="74">
        <v>153</v>
      </c>
      <c r="L155" s="119">
        <v>0</v>
      </c>
      <c r="M155" s="117">
        <v>1609.7603754564989</v>
      </c>
    </row>
    <row r="156" spans="11:13" x14ac:dyDescent="0.4">
      <c r="K156" s="74">
        <v>154</v>
      </c>
      <c r="L156" s="119">
        <v>61.8</v>
      </c>
      <c r="M156" s="117">
        <v>1620.62181320376</v>
      </c>
    </row>
    <row r="157" spans="11:13" x14ac:dyDescent="0.4">
      <c r="K157" s="74">
        <v>155</v>
      </c>
      <c r="L157" s="119">
        <v>-12</v>
      </c>
      <c r="M157" s="117">
        <v>1607.0100823245375</v>
      </c>
    </row>
    <row r="158" spans="11:13" x14ac:dyDescent="0.4">
      <c r="K158" s="74">
        <v>156</v>
      </c>
      <c r="L158" s="119">
        <v>0</v>
      </c>
      <c r="M158" s="117">
        <v>1608.9240218305904</v>
      </c>
    </row>
    <row r="159" spans="11:13" x14ac:dyDescent="0.4">
      <c r="K159" s="74">
        <v>157</v>
      </c>
      <c r="L159" s="119">
        <v>-27.1</v>
      </c>
      <c r="M159" s="117">
        <v>1603.8904776996069</v>
      </c>
    </row>
    <row r="160" spans="11:13" x14ac:dyDescent="0.4">
      <c r="K160" s="74">
        <v>158</v>
      </c>
      <c r="L160" s="119">
        <v>-29.700000000000003</v>
      </c>
      <c r="M160" s="117">
        <v>1603.2971348334092</v>
      </c>
    </row>
    <row r="161" spans="11:13" x14ac:dyDescent="0.4">
      <c r="K161" s="74">
        <v>159</v>
      </c>
      <c r="L161" s="119">
        <v>-3.5527136788005009E-15</v>
      </c>
      <c r="M161" s="117">
        <v>1608.5213520244088</v>
      </c>
    </row>
    <row r="162" spans="11:13" x14ac:dyDescent="0.4">
      <c r="K162" s="74">
        <v>160</v>
      </c>
      <c r="L162" s="119">
        <v>-27.500000000000004</v>
      </c>
      <c r="M162" s="117">
        <v>1603.4182239122624</v>
      </c>
    </row>
    <row r="163" spans="11:13" x14ac:dyDescent="0.4">
      <c r="K163" s="74">
        <v>161</v>
      </c>
      <c r="L163" s="119">
        <v>-27.600000000000005</v>
      </c>
      <c r="M163" s="117">
        <v>1603.277714568789</v>
      </c>
    </row>
    <row r="164" spans="11:13" x14ac:dyDescent="0.4">
      <c r="K164" s="74">
        <v>162</v>
      </c>
      <c r="L164" s="119">
        <v>-3.5527136788005009E-15</v>
      </c>
      <c r="M164" s="117">
        <v>1608.1240482813762</v>
      </c>
    </row>
    <row r="165" spans="11:13" x14ac:dyDescent="0.4">
      <c r="K165" s="74">
        <v>163</v>
      </c>
      <c r="L165" s="119">
        <v>45.7</v>
      </c>
      <c r="M165" s="117">
        <v>1616.1993039916879</v>
      </c>
    </row>
    <row r="166" spans="11:13" x14ac:dyDescent="0.4">
      <c r="K166" s="74">
        <v>164</v>
      </c>
      <c r="L166" s="119">
        <v>-17.699999999999996</v>
      </c>
      <c r="M166" s="117">
        <v>1604.5881081677378</v>
      </c>
    </row>
    <row r="167" spans="11:13" x14ac:dyDescent="0.4">
      <c r="K167" s="74">
        <v>165</v>
      </c>
      <c r="L167" s="119">
        <v>3.5527136788005009E-15</v>
      </c>
      <c r="M167" s="117">
        <v>1607.6445795187315</v>
      </c>
    </row>
    <row r="168" spans="11:13" x14ac:dyDescent="0.4">
      <c r="K168" s="74">
        <v>166</v>
      </c>
      <c r="L168" s="119">
        <v>-40.799999999999997</v>
      </c>
      <c r="M168" s="117">
        <v>1600.152712041619</v>
      </c>
    </row>
    <row r="169" spans="11:13" x14ac:dyDescent="0.4">
      <c r="K169" s="74">
        <v>167</v>
      </c>
      <c r="L169" s="119">
        <v>-47.5</v>
      </c>
      <c r="M169" s="117">
        <v>1598.8437957693693</v>
      </c>
    </row>
    <row r="170" spans="11:13" x14ac:dyDescent="0.4">
      <c r="K170" s="74">
        <v>168</v>
      </c>
      <c r="L170" s="119">
        <v>0</v>
      </c>
      <c r="M170" s="117">
        <v>1607.298732994753</v>
      </c>
    </row>
    <row r="171" spans="11:13" x14ac:dyDescent="0.4">
      <c r="K171" s="74">
        <v>169</v>
      </c>
      <c r="L171" s="119">
        <v>-2.2999999999999998</v>
      </c>
      <c r="M171" s="117">
        <v>1606.7389405967845</v>
      </c>
    </row>
    <row r="172" spans="11:13" x14ac:dyDescent="0.4">
      <c r="K172" s="74">
        <v>170</v>
      </c>
      <c r="L172" s="119">
        <v>-59</v>
      </c>
      <c r="M172" s="117">
        <v>1596.3905069532038</v>
      </c>
    </row>
    <row r="173" spans="11:13" x14ac:dyDescent="0.4">
      <c r="K173" s="74">
        <v>171</v>
      </c>
      <c r="L173" s="119">
        <v>0</v>
      </c>
      <c r="M173" s="117">
        <v>1606.9301639114847</v>
      </c>
    </row>
    <row r="174" spans="11:13" x14ac:dyDescent="0.4">
      <c r="K174" s="74">
        <v>172</v>
      </c>
      <c r="L174" s="119">
        <v>-10.9</v>
      </c>
      <c r="M174" s="117">
        <v>1604.8245829280158</v>
      </c>
    </row>
    <row r="175" spans="11:13" x14ac:dyDescent="0.4">
      <c r="K175" s="74">
        <v>173</v>
      </c>
      <c r="L175" s="119">
        <v>-58.9</v>
      </c>
      <c r="M175" s="117">
        <v>1596.0536354304477</v>
      </c>
    </row>
    <row r="176" spans="11:13" x14ac:dyDescent="0.4">
      <c r="K176" s="74">
        <v>174</v>
      </c>
      <c r="L176" s="119">
        <v>0</v>
      </c>
      <c r="M176" s="117">
        <v>1606.577313617865</v>
      </c>
    </row>
    <row r="177" spans="11:13" x14ac:dyDescent="0.4">
      <c r="K177" s="74">
        <v>175</v>
      </c>
      <c r="L177" s="119">
        <v>68.7</v>
      </c>
      <c r="M177" s="117">
        <v>1618.8018497361579</v>
      </c>
    </row>
    <row r="178" spans="11:13" x14ac:dyDescent="0.4">
      <c r="K178" s="74">
        <v>176</v>
      </c>
      <c r="L178" s="119">
        <v>68.2</v>
      </c>
      <c r="M178" s="117">
        <v>1618.4970386377411</v>
      </c>
    </row>
    <row r="179" spans="11:13" x14ac:dyDescent="0.4">
      <c r="K179" s="74">
        <v>177</v>
      </c>
      <c r="L179" s="119">
        <v>0</v>
      </c>
      <c r="M179" s="117">
        <v>1606.0080564059147</v>
      </c>
    </row>
    <row r="180" spans="11:13" x14ac:dyDescent="0.4">
      <c r="K180" s="74">
        <v>178</v>
      </c>
      <c r="L180" s="119">
        <v>26.5</v>
      </c>
      <c r="M180" s="117">
        <v>1610.6400080674791</v>
      </c>
    </row>
    <row r="181" spans="11:13" x14ac:dyDescent="0.4">
      <c r="K181" s="74">
        <v>179</v>
      </c>
      <c r="L181" s="119">
        <v>26</v>
      </c>
      <c r="M181" s="117">
        <v>1610.3841680190742</v>
      </c>
    </row>
    <row r="182" spans="11:13" x14ac:dyDescent="0.4">
      <c r="K182" s="74">
        <v>180</v>
      </c>
      <c r="L182" s="119">
        <v>0</v>
      </c>
      <c r="M182" s="117">
        <v>1605.5398630109598</v>
      </c>
    </row>
    <row r="183" spans="11:13" x14ac:dyDescent="0.4">
      <c r="K183" s="74">
        <v>181</v>
      </c>
      <c r="L183" s="119">
        <v>-21.6</v>
      </c>
      <c r="M183" s="117">
        <v>1601.5166238328941</v>
      </c>
    </row>
    <row r="184" spans="11:13" x14ac:dyDescent="0.4">
      <c r="K184" s="74">
        <v>182</v>
      </c>
      <c r="L184" s="119">
        <v>-87.199999999999989</v>
      </c>
      <c r="M184" s="117">
        <v>1589.5975240898968</v>
      </c>
    </row>
    <row r="185" spans="11:13" x14ac:dyDescent="0.4">
      <c r="K185" s="74">
        <v>183</v>
      </c>
      <c r="L185" s="119">
        <v>1.4210854715202004E-14</v>
      </c>
      <c r="M185" s="117">
        <v>1605.2539389453573</v>
      </c>
    </row>
    <row r="186" spans="11:13" x14ac:dyDescent="0.4">
      <c r="K186" s="74">
        <v>184</v>
      </c>
      <c r="L186" s="119">
        <v>-24.799999999999986</v>
      </c>
      <c r="M186" s="117">
        <v>1600.6564153116851</v>
      </c>
    </row>
    <row r="187" spans="11:13" x14ac:dyDescent="0.4">
      <c r="K187" s="74">
        <v>185</v>
      </c>
      <c r="L187" s="119">
        <v>3.6000000000000121</v>
      </c>
      <c r="M187" s="117">
        <v>1605.6624768198151</v>
      </c>
    </row>
    <row r="188" spans="11:13" x14ac:dyDescent="0.4">
      <c r="K188" s="74">
        <v>186</v>
      </c>
      <c r="L188" s="119">
        <v>1.1990408665951691E-14</v>
      </c>
      <c r="M188" s="117">
        <v>1604.8785019588961</v>
      </c>
    </row>
    <row r="189" spans="11:13" x14ac:dyDescent="0.4">
      <c r="K189" s="74">
        <v>187</v>
      </c>
      <c r="L189" s="119">
        <v>-61.099999999999987</v>
      </c>
      <c r="M189" s="117">
        <v>1593.7492309471427</v>
      </c>
    </row>
    <row r="190" spans="11:13" x14ac:dyDescent="0.4">
      <c r="K190" s="74">
        <v>188</v>
      </c>
      <c r="L190" s="119">
        <v>25.20000000000001</v>
      </c>
      <c r="M190" s="117">
        <v>1609.2187355614599</v>
      </c>
    </row>
    <row r="191" spans="11:13" x14ac:dyDescent="0.4">
      <c r="K191" s="74">
        <v>189</v>
      </c>
      <c r="L191" s="119">
        <v>1.0658141036401503E-14</v>
      </c>
      <c r="M191" s="117">
        <v>1604.525423148091</v>
      </c>
    </row>
    <row r="192" spans="11:13" x14ac:dyDescent="0.4">
      <c r="K192" s="74">
        <v>190</v>
      </c>
      <c r="L192" s="119">
        <v>44.200000000000017</v>
      </c>
      <c r="M192" s="117">
        <v>1612.4302706092026</v>
      </c>
    </row>
    <row r="193" spans="11:13" x14ac:dyDescent="0.4">
      <c r="K193" s="74">
        <v>191</v>
      </c>
      <c r="L193" s="119">
        <v>-19.499999999999986</v>
      </c>
      <c r="M193" s="117">
        <v>1600.8656889855474</v>
      </c>
    </row>
    <row r="194" spans="11:13" x14ac:dyDescent="0.4">
      <c r="K194" s="74">
        <v>192</v>
      </c>
      <c r="L194" s="119">
        <v>1.4210854715202004E-14</v>
      </c>
      <c r="M194" s="117">
        <v>1604.3464948516341</v>
      </c>
    </row>
    <row r="195" spans="11:13" x14ac:dyDescent="0.4">
      <c r="K195" s="74">
        <v>193</v>
      </c>
      <c r="L195" s="119">
        <v>-30.599999999999987</v>
      </c>
      <c r="M195" s="117">
        <v>1598.7884158825243</v>
      </c>
    </row>
    <row r="196" spans="11:13" x14ac:dyDescent="0.4">
      <c r="K196" s="74">
        <v>194</v>
      </c>
      <c r="L196" s="119">
        <v>-35.599999999999987</v>
      </c>
      <c r="M196" s="117">
        <v>1597.8716853872293</v>
      </c>
    </row>
    <row r="197" spans="11:13" x14ac:dyDescent="0.4">
      <c r="K197" s="74">
        <v>195</v>
      </c>
      <c r="L197" s="119">
        <v>1.4210854715202004E-14</v>
      </c>
      <c r="M197" s="117">
        <v>1604.2684552749058</v>
      </c>
    </row>
    <row r="198" spans="11:13" x14ac:dyDescent="0.4">
      <c r="K198" s="74">
        <v>196</v>
      </c>
      <c r="L198" s="119">
        <v>37.700000000000017</v>
      </c>
      <c r="M198" s="117">
        <v>1611.0048445432565</v>
      </c>
    </row>
    <row r="199" spans="11:13" x14ac:dyDescent="0.4">
      <c r="K199" s="74">
        <v>197</v>
      </c>
      <c r="L199" s="119">
        <v>4.5000000000000142</v>
      </c>
      <c r="M199" s="117">
        <v>1604.938815475997</v>
      </c>
    </row>
    <row r="200" spans="11:13" x14ac:dyDescent="0.4">
      <c r="K200" s="74">
        <v>198</v>
      </c>
      <c r="L200" s="119">
        <v>1.4210854715202004E-14</v>
      </c>
      <c r="M200" s="117">
        <v>1604.075182583141</v>
      </c>
    </row>
    <row r="201" spans="11:13" x14ac:dyDescent="0.4">
      <c r="K201" s="74">
        <v>199</v>
      </c>
      <c r="L201" s="119">
        <v>95.000000000000014</v>
      </c>
      <c r="M201" s="117">
        <v>1621.1267314876422</v>
      </c>
    </row>
    <row r="202" spans="11:13" x14ac:dyDescent="0.4">
      <c r="K202" s="74">
        <v>200</v>
      </c>
      <c r="L202" s="119">
        <v>72.900000000000006</v>
      </c>
      <c r="M202" s="117">
        <v>1616.9979710987163</v>
      </c>
    </row>
    <row r="203" spans="11:13" x14ac:dyDescent="0.4">
      <c r="K203" s="74">
        <v>201</v>
      </c>
      <c r="L203" s="119">
        <v>0</v>
      </c>
      <c r="M203" s="117">
        <v>1603.7499832721239</v>
      </c>
    </row>
    <row r="204" spans="11:13" x14ac:dyDescent="0.4">
      <c r="K204" s="74">
        <v>202</v>
      </c>
      <c r="L204" s="119">
        <v>-44.4</v>
      </c>
      <c r="M204" s="117">
        <v>1595.7114833724911</v>
      </c>
    </row>
    <row r="205" spans="11:13" x14ac:dyDescent="0.4">
      <c r="K205" s="74">
        <v>203</v>
      </c>
      <c r="L205" s="119">
        <v>-61</v>
      </c>
      <c r="M205" s="117">
        <v>1592.7252144722561</v>
      </c>
    </row>
    <row r="206" spans="11:13" x14ac:dyDescent="0.4">
      <c r="K206" s="74">
        <v>204</v>
      </c>
      <c r="L206" s="119">
        <v>0</v>
      </c>
      <c r="M206" s="117">
        <v>1603.7248631854225</v>
      </c>
    </row>
    <row r="207" spans="11:13" x14ac:dyDescent="0.4">
      <c r="K207" s="74">
        <v>205</v>
      </c>
      <c r="L207" s="119">
        <v>4.3</v>
      </c>
      <c r="M207" s="117">
        <v>1604.45851400631</v>
      </c>
    </row>
    <row r="208" spans="11:13" x14ac:dyDescent="0.4">
      <c r="K208" s="74">
        <v>206</v>
      </c>
      <c r="L208" s="119">
        <v>30.1</v>
      </c>
      <c r="M208" s="117">
        <v>1609.0577629222721</v>
      </c>
    </row>
    <row r="209" spans="11:13" x14ac:dyDescent="0.4">
      <c r="K209" s="74">
        <v>207</v>
      </c>
      <c r="L209" s="119">
        <v>0</v>
      </c>
      <c r="M209" s="117">
        <v>1603.5674163447384</v>
      </c>
    </row>
    <row r="210" spans="11:13" x14ac:dyDescent="0.4">
      <c r="K210" s="74">
        <v>208</v>
      </c>
      <c r="L210" s="119">
        <v>-12.6</v>
      </c>
      <c r="M210" s="117">
        <v>1601.25401184667</v>
      </c>
    </row>
    <row r="211" spans="11:13" x14ac:dyDescent="0.4">
      <c r="K211" s="74">
        <v>209</v>
      </c>
      <c r="L211" s="119">
        <v>-47.5</v>
      </c>
      <c r="M211" s="117">
        <v>1594.9404877755899</v>
      </c>
    </row>
    <row r="212" spans="11:13" x14ac:dyDescent="0.4">
      <c r="K212" s="74">
        <v>210</v>
      </c>
      <c r="L212" s="119">
        <v>0</v>
      </c>
      <c r="M212" s="117">
        <v>1603.4968448489362</v>
      </c>
    </row>
    <row r="213" spans="11:13" x14ac:dyDescent="0.4">
      <c r="K213" s="74">
        <v>211</v>
      </c>
      <c r="L213" s="119">
        <v>39.200000000000003</v>
      </c>
      <c r="M213" s="117">
        <v>1610.5078637798426</v>
      </c>
    </row>
    <row r="214" spans="11:13" x14ac:dyDescent="0.4">
      <c r="K214" s="74">
        <v>212</v>
      </c>
      <c r="L214" s="119">
        <v>4</v>
      </c>
      <c r="M214" s="117">
        <v>1604.0848165971636</v>
      </c>
    </row>
    <row r="215" spans="11:13" x14ac:dyDescent="0.4">
      <c r="K215" s="74">
        <v>213</v>
      </c>
      <c r="L215" s="119">
        <v>0</v>
      </c>
      <c r="M215" s="117">
        <v>1603.3163076975807</v>
      </c>
    </row>
    <row r="216" spans="11:13" x14ac:dyDescent="0.4">
      <c r="K216" s="74">
        <v>214</v>
      </c>
      <c r="L216" s="119">
        <v>91</v>
      </c>
      <c r="M216" s="117">
        <v>1619.6524098513951</v>
      </c>
    </row>
    <row r="217" spans="11:13" x14ac:dyDescent="0.4">
      <c r="K217" s="74">
        <v>215</v>
      </c>
      <c r="L217" s="119">
        <v>26.900000000000006</v>
      </c>
      <c r="M217" s="117">
        <v>1607.9724953922866</v>
      </c>
    </row>
    <row r="218" spans="11:13" x14ac:dyDescent="0.4">
      <c r="K218" s="74">
        <v>216</v>
      </c>
      <c r="L218" s="119">
        <v>7.1054273576010019E-15</v>
      </c>
      <c r="M218" s="117">
        <v>1603.0586604199329</v>
      </c>
    </row>
    <row r="219" spans="11:13" x14ac:dyDescent="0.4">
      <c r="K219" s="74">
        <v>217</v>
      </c>
      <c r="L219" s="119">
        <v>-10.999999999999993</v>
      </c>
      <c r="M219" s="117">
        <v>1601.0363084574133</v>
      </c>
    </row>
    <row r="220" spans="11:13" x14ac:dyDescent="0.4">
      <c r="K220" s="74">
        <v>218</v>
      </c>
      <c r="L220" s="119">
        <v>59.000000000000007</v>
      </c>
      <c r="M220" s="117">
        <v>1613.6060906066689</v>
      </c>
    </row>
    <row r="221" spans="11:13" x14ac:dyDescent="0.4">
      <c r="K221" s="74">
        <v>219</v>
      </c>
      <c r="L221" s="119">
        <v>7.1054273576010019E-15</v>
      </c>
      <c r="M221" s="117">
        <v>1602.8804540630288</v>
      </c>
    </row>
    <row r="222" spans="11:13" x14ac:dyDescent="0.4">
      <c r="K222" s="74">
        <v>220</v>
      </c>
      <c r="L222" s="119">
        <v>28.800000000000008</v>
      </c>
      <c r="M222" s="117">
        <v>1608.0231713386506</v>
      </c>
    </row>
    <row r="223" spans="11:13" x14ac:dyDescent="0.4">
      <c r="K223" s="74">
        <v>221</v>
      </c>
      <c r="L223" s="119">
        <v>2.9000000000000092</v>
      </c>
      <c r="M223" s="117">
        <v>1603.2890323106187</v>
      </c>
    </row>
    <row r="224" spans="11:13" x14ac:dyDescent="0.4">
      <c r="K224" s="74">
        <v>222</v>
      </c>
      <c r="L224" s="119">
        <v>9.3258734068513149E-15</v>
      </c>
      <c r="M224" s="117">
        <v>1602.7232981167549</v>
      </c>
    </row>
    <row r="225" spans="11:13" x14ac:dyDescent="0.4">
      <c r="K225" s="74">
        <v>223</v>
      </c>
      <c r="L225" s="119">
        <v>-58.199999999999996</v>
      </c>
      <c r="M225" s="117">
        <v>1592.2069583280543</v>
      </c>
    </row>
    <row r="226" spans="11:13" x14ac:dyDescent="0.4">
      <c r="K226" s="74">
        <v>224</v>
      </c>
      <c r="L226" s="119">
        <v>-17.099999999999994</v>
      </c>
      <c r="M226" s="117">
        <v>1599.6277165780859</v>
      </c>
    </row>
    <row r="227" spans="11:13" x14ac:dyDescent="0.4">
      <c r="K227" s="74">
        <v>225</v>
      </c>
      <c r="L227" s="119">
        <v>7.1054273576010019E-15</v>
      </c>
      <c r="M227" s="117">
        <v>1602.6839502786174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2C6C2-8312-4465-85DA-24FB686B9815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162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36</v>
      </c>
      <c r="C2" s="134"/>
      <c r="E2" s="26" t="s">
        <v>64</v>
      </c>
      <c r="F2" s="23" t="s">
        <v>20</v>
      </c>
      <c r="G2" s="11">
        <v>60</v>
      </c>
      <c r="H2" s="87">
        <f>IF(B$20=0,0,G2/B$20)</f>
        <v>0.6741573033707865</v>
      </c>
      <c r="I2" s="57">
        <v>1</v>
      </c>
      <c r="K2" s="73">
        <v>0</v>
      </c>
      <c r="L2" s="118">
        <v>0</v>
      </c>
      <c r="M2" s="116">
        <v>1595.6213709809917</v>
      </c>
      <c r="O2" s="73" t="s">
        <v>127</v>
      </c>
      <c r="P2" s="79">
        <f t="shared" ref="P2:P7" si="0">IF(Q2=0,0,R2/Q2)</f>
        <v>352.77777777777777</v>
      </c>
      <c r="Q2" s="76">
        <v>36</v>
      </c>
      <c r="R2" s="63">
        <v>12700</v>
      </c>
    </row>
    <row r="3" spans="1:18" x14ac:dyDescent="0.4">
      <c r="A3" s="19" t="s">
        <v>8</v>
      </c>
      <c r="B3" s="135">
        <v>304</v>
      </c>
      <c r="C3" s="136"/>
      <c r="E3" s="27" t="s">
        <v>66</v>
      </c>
      <c r="F3" s="24" t="s">
        <v>22</v>
      </c>
      <c r="G3" s="12">
        <v>49</v>
      </c>
      <c r="H3" s="88">
        <f>IF(B$20=0,0,G3/B$20)</f>
        <v>0.550561797752809</v>
      </c>
      <c r="I3" s="58">
        <v>6</v>
      </c>
      <c r="K3" s="74">
        <v>1</v>
      </c>
      <c r="L3" s="119">
        <v>-58</v>
      </c>
      <c r="M3" s="117">
        <v>1584.6076427551059</v>
      </c>
      <c r="O3" s="74" t="s">
        <v>128</v>
      </c>
      <c r="P3" s="80">
        <f t="shared" si="0"/>
        <v>-828.57142857142856</v>
      </c>
      <c r="Q3" s="77">
        <v>35</v>
      </c>
      <c r="R3" s="64">
        <v>-29000</v>
      </c>
    </row>
    <row r="4" spans="1:18" x14ac:dyDescent="0.4">
      <c r="A4" s="19" t="s">
        <v>6</v>
      </c>
      <c r="B4" s="137">
        <v>105.09999999999998</v>
      </c>
      <c r="C4" s="138"/>
      <c r="E4" s="27" t="s">
        <v>68</v>
      </c>
      <c r="F4" s="24" t="s">
        <v>12</v>
      </c>
      <c r="G4" s="12">
        <v>37</v>
      </c>
      <c r="H4" s="88">
        <f>IF(B$20=0,0,G4/B$20)</f>
        <v>0.4157303370786517</v>
      </c>
      <c r="I4" s="58">
        <v>3</v>
      </c>
      <c r="K4" s="74">
        <v>2</v>
      </c>
      <c r="L4" s="119">
        <v>-13.700000000000003</v>
      </c>
      <c r="M4" s="117">
        <v>1592.2719968985753</v>
      </c>
      <c r="O4" s="74" t="s">
        <v>129</v>
      </c>
      <c r="P4" s="80">
        <f t="shared" si="0"/>
        <v>-967.64705882352939</v>
      </c>
      <c r="Q4" s="77">
        <v>34</v>
      </c>
      <c r="R4" s="64">
        <v>-32900</v>
      </c>
    </row>
    <row r="5" spans="1:18" x14ac:dyDescent="0.4">
      <c r="A5" s="19" t="s">
        <v>7</v>
      </c>
      <c r="B5" s="125">
        <f>IF(B$2=0,0,B$4/B$2)</f>
        <v>2.9194444444444438</v>
      </c>
      <c r="C5" s="126"/>
      <c r="E5" s="27" t="s">
        <v>158</v>
      </c>
      <c r="F5" s="24" t="s">
        <v>159</v>
      </c>
      <c r="G5" s="12">
        <v>37</v>
      </c>
      <c r="H5" s="88">
        <f>IF(B$20=0,0,G5/B$20)</f>
        <v>0.4157303370786517</v>
      </c>
      <c r="I5" s="58">
        <v>6</v>
      </c>
      <c r="K5" s="74">
        <v>3</v>
      </c>
      <c r="L5" s="119">
        <v>7.8999999999999986</v>
      </c>
      <c r="M5" s="117">
        <v>1596.4043649171838</v>
      </c>
      <c r="O5" s="74" t="s">
        <v>130</v>
      </c>
      <c r="P5" s="80">
        <f t="shared" si="0"/>
        <v>-196.875</v>
      </c>
      <c r="Q5" s="77">
        <v>32</v>
      </c>
      <c r="R5" s="64">
        <v>-6300</v>
      </c>
    </row>
    <row r="6" spans="1:18" x14ac:dyDescent="0.4">
      <c r="A6" s="19" t="s">
        <v>192</v>
      </c>
      <c r="B6" s="129">
        <v>1618.6097438933637</v>
      </c>
      <c r="C6" s="130"/>
      <c r="E6" s="27" t="s">
        <v>67</v>
      </c>
      <c r="F6" s="24" t="s">
        <v>23</v>
      </c>
      <c r="G6" s="12">
        <v>31</v>
      </c>
      <c r="H6" s="88">
        <f>IF(B$20=0,0,G6/B$20)</f>
        <v>0.34831460674157305</v>
      </c>
      <c r="I6" s="58">
        <v>3</v>
      </c>
      <c r="K6" s="74">
        <v>4</v>
      </c>
      <c r="L6" s="119">
        <v>50.4</v>
      </c>
      <c r="M6" s="117">
        <v>1603.6859387276807</v>
      </c>
      <c r="O6" s="74" t="s">
        <v>131</v>
      </c>
      <c r="P6" s="80">
        <f t="shared" si="0"/>
        <v>3935.483870967742</v>
      </c>
      <c r="Q6" s="77">
        <v>31</v>
      </c>
      <c r="R6" s="64">
        <v>122000</v>
      </c>
    </row>
    <row r="7" spans="1:18" x14ac:dyDescent="0.4">
      <c r="A7" s="19" t="s">
        <v>1</v>
      </c>
      <c r="B7" s="139">
        <f>IF(B$2=0,0,(B$8*1+B$9*2+B$10*3)/B$2)</f>
        <v>1.9722222222222223</v>
      </c>
      <c r="C7" s="140"/>
      <c r="E7" s="27" t="s">
        <v>72</v>
      </c>
      <c r="F7" s="24" t="s">
        <v>27</v>
      </c>
      <c r="G7" s="12">
        <v>29</v>
      </c>
      <c r="H7" s="88">
        <f>IF(B$20=0,0,G7/B$20)</f>
        <v>0.3258426966292135</v>
      </c>
      <c r="I7" s="58">
        <v>8</v>
      </c>
      <c r="K7" s="74">
        <v>5</v>
      </c>
      <c r="L7" s="119">
        <v>81.7</v>
      </c>
      <c r="M7" s="117">
        <v>1609.5138230953146</v>
      </c>
      <c r="O7" s="75" t="s">
        <v>132</v>
      </c>
      <c r="P7" s="81">
        <f t="shared" si="0"/>
        <v>1633.3333333333333</v>
      </c>
      <c r="Q7" s="78">
        <v>27</v>
      </c>
      <c r="R7" s="65">
        <v>44100</v>
      </c>
    </row>
    <row r="8" spans="1:18" x14ac:dyDescent="0.4">
      <c r="A8" s="19" t="s">
        <v>2</v>
      </c>
      <c r="B8" s="12">
        <v>14</v>
      </c>
      <c r="C8" s="6">
        <f t="shared" ref="C8:C15" si="1">IF(B$2=0,0,B8/B$2)</f>
        <v>0.3888888888888889</v>
      </c>
      <c r="E8" s="27" t="s">
        <v>69</v>
      </c>
      <c r="F8" s="24" t="s">
        <v>24</v>
      </c>
      <c r="G8" s="12">
        <v>24</v>
      </c>
      <c r="H8" s="88">
        <f>IF(B$20=0,0,G8/B$20)</f>
        <v>0.2696629213483146</v>
      </c>
      <c r="I8" s="58">
        <v>1</v>
      </c>
      <c r="K8" s="74">
        <v>6</v>
      </c>
      <c r="L8" s="119">
        <v>40.5</v>
      </c>
      <c r="M8" s="117">
        <v>1601.6627401567428</v>
      </c>
      <c r="O8" s="107"/>
      <c r="P8" s="85"/>
      <c r="Q8" s="108"/>
      <c r="R8" s="70"/>
    </row>
    <row r="9" spans="1:18" x14ac:dyDescent="0.4">
      <c r="A9" s="19" t="s">
        <v>3</v>
      </c>
      <c r="B9" s="12">
        <v>9</v>
      </c>
      <c r="C9" s="6">
        <f t="shared" si="1"/>
        <v>0.25</v>
      </c>
      <c r="E9" s="27" t="s">
        <v>65</v>
      </c>
      <c r="F9" s="24" t="s">
        <v>21</v>
      </c>
      <c r="G9" s="12">
        <v>12</v>
      </c>
      <c r="H9" s="88">
        <f>IF(B$20=0,0,G9/B$20)</f>
        <v>0.1348314606741573</v>
      </c>
      <c r="I9" s="58">
        <v>4</v>
      </c>
      <c r="K9" s="74">
        <v>7</v>
      </c>
      <c r="L9" s="119">
        <v>-14.5</v>
      </c>
      <c r="M9" s="117">
        <v>1591.9507637158024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13</v>
      </c>
      <c r="C10" s="7">
        <f t="shared" si="1"/>
        <v>0.3611111111111111</v>
      </c>
      <c r="E10" s="27" t="s">
        <v>89</v>
      </c>
      <c r="F10" s="24" t="s">
        <v>44</v>
      </c>
      <c r="G10" s="12">
        <v>11</v>
      </c>
      <c r="H10" s="88">
        <f>IF(B$20=0,0,G10/B$20)</f>
        <v>0.12359550561797752</v>
      </c>
      <c r="I10" s="58">
        <v>6</v>
      </c>
      <c r="K10" s="74">
        <v>8</v>
      </c>
      <c r="L10" s="119">
        <v>-29.2</v>
      </c>
      <c r="M10" s="117">
        <v>1589.7070591335075</v>
      </c>
      <c r="O10" s="73" t="s">
        <v>150</v>
      </c>
      <c r="P10" s="82">
        <f>IF(Q10=0,0,R10/Q10)</f>
        <v>-6.7749999999999995</v>
      </c>
      <c r="Q10" s="76">
        <v>16</v>
      </c>
      <c r="R10" s="67">
        <v>-108.39999999999999</v>
      </c>
    </row>
    <row r="11" spans="1:18" x14ac:dyDescent="0.4">
      <c r="A11" s="20" t="s">
        <v>183</v>
      </c>
      <c r="B11" s="109">
        <f>IF(B8=0,0,C11/B8)</f>
        <v>48.050000000000004</v>
      </c>
      <c r="C11" s="110">
        <v>672.7</v>
      </c>
      <c r="E11" s="27" t="s">
        <v>70</v>
      </c>
      <c r="F11" s="24" t="s">
        <v>25</v>
      </c>
      <c r="G11" s="12">
        <v>10</v>
      </c>
      <c r="H11" s="88">
        <f>IF(B$20=0,0,G11/B$20)</f>
        <v>0.11235955056179775</v>
      </c>
      <c r="I11" s="58">
        <v>4</v>
      </c>
      <c r="K11" s="74">
        <v>9</v>
      </c>
      <c r="L11" s="119">
        <v>-55.2</v>
      </c>
      <c r="M11" s="117">
        <v>1585.2928167787065</v>
      </c>
      <c r="O11" s="74" t="s">
        <v>151</v>
      </c>
      <c r="P11" s="83">
        <f>IF(Q11=0,0,R11/Q11)</f>
        <v>1.8714285714285717</v>
      </c>
      <c r="Q11" s="77">
        <v>7</v>
      </c>
      <c r="R11" s="68">
        <v>13.100000000000001</v>
      </c>
    </row>
    <row r="12" spans="1:18" x14ac:dyDescent="0.4">
      <c r="A12" s="20" t="s">
        <v>184</v>
      </c>
      <c r="B12" s="109">
        <f>IF(B9=0,0,C12/B9)</f>
        <v>-1.088888888888889</v>
      </c>
      <c r="C12" s="110">
        <v>-9.8000000000000007</v>
      </c>
      <c r="E12" s="27" t="s">
        <v>71</v>
      </c>
      <c r="F12" s="24" t="s">
        <v>26</v>
      </c>
      <c r="G12" s="12">
        <v>8</v>
      </c>
      <c r="H12" s="88">
        <f>IF(B$20=0,0,G12/B$20)</f>
        <v>8.98876404494382E-2</v>
      </c>
      <c r="I12" s="58">
        <v>3</v>
      </c>
      <c r="K12" s="74">
        <v>10</v>
      </c>
      <c r="L12" s="119">
        <v>-65.900000000000006</v>
      </c>
      <c r="M12" s="117">
        <v>1583.0830598780342</v>
      </c>
      <c r="O12" s="75" t="s">
        <v>152</v>
      </c>
      <c r="P12" s="84">
        <f>IF(Q12=0,0,R12/Q12)</f>
        <v>15.415384615384617</v>
      </c>
      <c r="Q12" s="78">
        <v>13</v>
      </c>
      <c r="R12" s="69">
        <v>200.40000000000003</v>
      </c>
    </row>
    <row r="13" spans="1:18" x14ac:dyDescent="0.4">
      <c r="A13" s="20" t="s">
        <v>185</v>
      </c>
      <c r="B13" s="109">
        <f>IF(B10=0,0,C13/B10)</f>
        <v>-42.907692307692301</v>
      </c>
      <c r="C13" s="110">
        <v>-557.79999999999995</v>
      </c>
      <c r="E13" s="27" t="s">
        <v>86</v>
      </c>
      <c r="F13" s="24" t="s">
        <v>41</v>
      </c>
      <c r="G13" s="12">
        <v>6</v>
      </c>
      <c r="H13" s="88">
        <f>IF(B$20=0,0,G13/B$20)</f>
        <v>6.741573033707865E-2</v>
      </c>
      <c r="I13" s="58">
        <v>2</v>
      </c>
      <c r="K13" s="74">
        <v>11</v>
      </c>
      <c r="L13" s="119">
        <v>-72.300000000000011</v>
      </c>
      <c r="M13" s="117">
        <v>1582.254561518766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1.3511396011396049</v>
      </c>
      <c r="C14" s="126"/>
      <c r="E14" s="27" t="s">
        <v>78</v>
      </c>
      <c r="F14" s="24" t="s">
        <v>33</v>
      </c>
      <c r="G14" s="12">
        <v>4</v>
      </c>
      <c r="H14" s="88">
        <f>IF(B$20=0,0,G14/B$20)</f>
        <v>4.49438202247191E-2</v>
      </c>
      <c r="I14" s="58">
        <v>2</v>
      </c>
      <c r="K14" s="74">
        <v>12</v>
      </c>
      <c r="L14" s="119">
        <v>-67.800000000000011</v>
      </c>
      <c r="M14" s="117">
        <v>1583.5010341496534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4</v>
      </c>
      <c r="C15" s="9">
        <f t="shared" si="1"/>
        <v>0.1111111111111111</v>
      </c>
      <c r="E15" s="27" t="s">
        <v>83</v>
      </c>
      <c r="F15" s="24" t="s">
        <v>38</v>
      </c>
      <c r="G15" s="12">
        <v>4</v>
      </c>
      <c r="H15" s="88">
        <f>IF(B$20=0,0,G15/B$20)</f>
        <v>4.49438202247191E-2</v>
      </c>
      <c r="I15" s="58">
        <v>2</v>
      </c>
      <c r="K15" s="74">
        <v>13</v>
      </c>
      <c r="L15" s="119">
        <v>-120.60000000000001</v>
      </c>
      <c r="M15" s="117">
        <v>1573.7060279447555</v>
      </c>
      <c r="O15" s="73" t="s">
        <v>191</v>
      </c>
      <c r="P15" s="82">
        <f>IF(Q15=0,0,R15/Q15)</f>
        <v>18.450000000000006</v>
      </c>
      <c r="Q15" s="76">
        <v>12</v>
      </c>
      <c r="R15" s="67">
        <v>221.40000000000006</v>
      </c>
    </row>
    <row r="16" spans="1:18" x14ac:dyDescent="0.4">
      <c r="A16" s="22" t="s">
        <v>121</v>
      </c>
      <c r="B16" s="15">
        <v>119</v>
      </c>
      <c r="C16" s="10">
        <f>IF(B$3=0,0,B16/B$3)</f>
        <v>0.39144736842105265</v>
      </c>
      <c r="E16" s="27" t="s">
        <v>81</v>
      </c>
      <c r="F16" s="24" t="s">
        <v>36</v>
      </c>
      <c r="G16" s="12">
        <v>3</v>
      </c>
      <c r="H16" s="88">
        <f>IF(B$20=0,0,G16/B$20)</f>
        <v>3.3707865168539325E-2</v>
      </c>
      <c r="I16" s="58">
        <v>4</v>
      </c>
      <c r="K16" s="74">
        <v>14</v>
      </c>
      <c r="L16" s="119">
        <v>-111.7</v>
      </c>
      <c r="M16" s="117">
        <v>1575.8017917770869</v>
      </c>
      <c r="O16" s="74" t="s">
        <v>126</v>
      </c>
      <c r="P16" s="83">
        <f>IF(Q16=0,0,R16/Q16)</f>
        <v>8.9700000000000042</v>
      </c>
      <c r="Q16" s="77">
        <v>30</v>
      </c>
      <c r="R16" s="68">
        <v>269.10000000000014</v>
      </c>
    </row>
    <row r="17" spans="1:18" x14ac:dyDescent="0.4">
      <c r="A17" s="19" t="s">
        <v>118</v>
      </c>
      <c r="B17" s="12">
        <v>55</v>
      </c>
      <c r="C17" s="6">
        <f>IF(B$3=0,0,B17/B$3)</f>
        <v>0.18092105263157895</v>
      </c>
      <c r="E17" s="27" t="s">
        <v>73</v>
      </c>
      <c r="F17" s="24" t="s">
        <v>28</v>
      </c>
      <c r="G17" s="12">
        <v>2</v>
      </c>
      <c r="H17" s="88">
        <f>IF(B$20=0,0,G17/B$20)</f>
        <v>2.247191011235955E-2</v>
      </c>
      <c r="I17" s="58">
        <v>2</v>
      </c>
      <c r="K17" s="74">
        <v>15</v>
      </c>
      <c r="L17" s="119">
        <v>-138.19999999999999</v>
      </c>
      <c r="M17" s="117">
        <v>1571.5129810264243</v>
      </c>
      <c r="O17" s="74" t="s">
        <v>189</v>
      </c>
      <c r="P17" s="83">
        <f>IF(Q17=0,0,R17/Q17)</f>
        <v>6.3473684210526304</v>
      </c>
      <c r="Q17" s="77">
        <v>19</v>
      </c>
      <c r="R17" s="68">
        <v>120.59999999999998</v>
      </c>
    </row>
    <row r="18" spans="1:18" x14ac:dyDescent="0.4">
      <c r="A18" s="18" t="s">
        <v>123</v>
      </c>
      <c r="B18" s="11">
        <f>B24</f>
        <v>62</v>
      </c>
      <c r="C18" s="5">
        <f>IF(B$16=0,0,B18/B$16)</f>
        <v>0.52100840336134457</v>
      </c>
      <c r="E18" s="27" t="s">
        <v>85</v>
      </c>
      <c r="F18" s="24" t="s">
        <v>40</v>
      </c>
      <c r="G18" s="12">
        <v>1</v>
      </c>
      <c r="H18" s="88">
        <f>IF(B$20=0,0,G18/B$20)</f>
        <v>1.1235955056179775E-2</v>
      </c>
      <c r="I18" s="58">
        <v>1</v>
      </c>
      <c r="K18" s="74">
        <v>16</v>
      </c>
      <c r="L18" s="119">
        <v>-131.6</v>
      </c>
      <c r="M18" s="117">
        <v>1573.2079031402657</v>
      </c>
      <c r="O18" s="74" t="s">
        <v>187</v>
      </c>
      <c r="P18" s="83">
        <f>IF(Q18=0,0,R18/Q18)</f>
        <v>-26.890909090909091</v>
      </c>
      <c r="Q18" s="77">
        <v>11</v>
      </c>
      <c r="R18" s="68">
        <v>-295.8</v>
      </c>
    </row>
    <row r="19" spans="1:18" x14ac:dyDescent="0.4">
      <c r="A19" s="18" t="s">
        <v>124</v>
      </c>
      <c r="B19" s="11">
        <f>B25</f>
        <v>16</v>
      </c>
      <c r="C19" s="5">
        <f>IF(B$17=0,0,B19/B$17)</f>
        <v>0.29090909090909089</v>
      </c>
      <c r="E19" s="27" t="s">
        <v>92</v>
      </c>
      <c r="F19" s="24" t="s">
        <v>47</v>
      </c>
      <c r="G19" s="12">
        <v>1</v>
      </c>
      <c r="H19" s="88">
        <f>IF(B$20=0,0,G19/B$20)</f>
        <v>1.1235955056179775E-2</v>
      </c>
      <c r="I19" s="58">
        <v>2</v>
      </c>
      <c r="K19" s="74">
        <v>17</v>
      </c>
      <c r="L19" s="119">
        <v>-187.39999999999998</v>
      </c>
      <c r="M19" s="117">
        <v>1563.6606557214241</v>
      </c>
    </row>
    <row r="20" spans="1:18" x14ac:dyDescent="0.4">
      <c r="A20" s="18" t="s">
        <v>10</v>
      </c>
      <c r="B20" s="11">
        <f>B23+B22</f>
        <v>89</v>
      </c>
      <c r="C20" s="5">
        <f>IF(B$3=0,0,B20/B$3)</f>
        <v>0.29276315789473684</v>
      </c>
      <c r="E20" s="27" t="s">
        <v>95</v>
      </c>
      <c r="F20" s="24" t="s">
        <v>50</v>
      </c>
      <c r="G20" s="12">
        <v>1</v>
      </c>
      <c r="H20" s="88">
        <f>IF(B$20=0,0,G20/B$20)</f>
        <v>1.1235955056179775E-2</v>
      </c>
      <c r="I20" s="58">
        <v>1</v>
      </c>
      <c r="K20" s="74">
        <v>18</v>
      </c>
      <c r="L20" s="119">
        <v>-146.79999999999998</v>
      </c>
      <c r="M20" s="117">
        <v>1571.5226917870955</v>
      </c>
    </row>
    <row r="21" spans="1:18" x14ac:dyDescent="0.4">
      <c r="A21" s="19" t="s">
        <v>13</v>
      </c>
      <c r="B21" s="12">
        <v>47</v>
      </c>
      <c r="C21" s="6">
        <f>IF(B$3=0,0,B21/B$3)</f>
        <v>0.15460526315789475</v>
      </c>
      <c r="E21" s="27" t="s">
        <v>97</v>
      </c>
      <c r="F21" s="24" t="s">
        <v>52</v>
      </c>
      <c r="G21" s="12">
        <v>1</v>
      </c>
      <c r="H21" s="88">
        <f>IF(B$20=0,0,G21/B$20)</f>
        <v>1.1235955056179775E-2</v>
      </c>
      <c r="I21" s="58">
        <v>1</v>
      </c>
      <c r="K21" s="74">
        <v>19</v>
      </c>
      <c r="L21" s="119">
        <v>-110.69999999999999</v>
      </c>
      <c r="M21" s="117">
        <v>1578.5275556363729</v>
      </c>
    </row>
    <row r="22" spans="1:18" x14ac:dyDescent="0.4">
      <c r="A22" s="19" t="s">
        <v>12</v>
      </c>
      <c r="B22" s="12">
        <v>46</v>
      </c>
      <c r="C22" s="6">
        <f>IF(B$20=0,0,B22/B$20)</f>
        <v>0.5168539325842697</v>
      </c>
      <c r="E22" s="27" t="s">
        <v>154</v>
      </c>
      <c r="F22" s="24" t="s">
        <v>155</v>
      </c>
      <c r="G22" s="12">
        <v>1</v>
      </c>
      <c r="H22" s="88">
        <f>IF(B$20=0,0,G22/B$20)</f>
        <v>1.1235955056179775E-2</v>
      </c>
      <c r="I22" s="58">
        <v>2</v>
      </c>
      <c r="K22" s="74">
        <v>20</v>
      </c>
      <c r="L22" s="119">
        <v>-111.6</v>
      </c>
      <c r="M22" s="117">
        <v>1578.8303903025546</v>
      </c>
    </row>
    <row r="23" spans="1:18" x14ac:dyDescent="0.4">
      <c r="A23" s="19" t="s">
        <v>11</v>
      </c>
      <c r="B23" s="12">
        <v>43</v>
      </c>
      <c r="C23" s="6">
        <f>IF(B$20=0,0,B23/B$20)</f>
        <v>0.48314606741573035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-82.399999999999991</v>
      </c>
      <c r="M23" s="117">
        <v>1584.5494079607392</v>
      </c>
    </row>
    <row r="24" spans="1:18" x14ac:dyDescent="0.4">
      <c r="A24" s="19" t="s">
        <v>182</v>
      </c>
      <c r="B24" s="12">
        <v>62</v>
      </c>
      <c r="C24" s="6">
        <f>IF(B$20=0,0,B24/B$20)</f>
        <v>0.6966292134831461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-32.79999999999999</v>
      </c>
      <c r="M24" s="117">
        <v>1593.9061115129748</v>
      </c>
    </row>
    <row r="25" spans="1:18" x14ac:dyDescent="0.4">
      <c r="A25" s="19" t="s">
        <v>180</v>
      </c>
      <c r="B25" s="12">
        <v>16</v>
      </c>
      <c r="C25" s="6">
        <f>IF(B$20=0,0,B25/B$20)</f>
        <v>0.1797752808988764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-92.699999999999989</v>
      </c>
      <c r="M25" s="117">
        <v>1583.4966748438969</v>
      </c>
    </row>
    <row r="26" spans="1:18" x14ac:dyDescent="0.4">
      <c r="A26" s="19" t="s">
        <v>181</v>
      </c>
      <c r="B26" s="12">
        <v>11</v>
      </c>
      <c r="C26" s="6">
        <f>IF(B$20=0,0,B26/B$20)</f>
        <v>0.12359550561797752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-54.29999999999999</v>
      </c>
      <c r="M26" s="117">
        <v>1590.8436947948335</v>
      </c>
    </row>
    <row r="27" spans="1:18" x14ac:dyDescent="0.4">
      <c r="A27" s="19" t="s">
        <v>5</v>
      </c>
      <c r="B27" s="16">
        <f>IF(B$20=0,0,C27/B$20)</f>
        <v>9653.9325842696635</v>
      </c>
      <c r="C27" s="8">
        <v>859200</v>
      </c>
      <c r="E27" s="27" t="s">
        <v>79</v>
      </c>
      <c r="F27" s="24" t="s">
        <v>34</v>
      </c>
      <c r="G27" s="12">
        <v>0</v>
      </c>
      <c r="H27" s="88">
        <f>IF(B$20=0,0,G27/B$20)</f>
        <v>0</v>
      </c>
      <c r="I27" s="58">
        <v>4</v>
      </c>
      <c r="K27" s="74">
        <v>25</v>
      </c>
      <c r="L27" s="119">
        <v>-34.79999999999999</v>
      </c>
      <c r="M27" s="117">
        <v>1594.3846326260646</v>
      </c>
    </row>
    <row r="28" spans="1:18" x14ac:dyDescent="0.4">
      <c r="A28" s="20" t="s">
        <v>164</v>
      </c>
      <c r="B28" s="95">
        <f>IF($B$20-B$19=0,0,C28/($B$20-B$19))</f>
        <v>9498.6301369863013</v>
      </c>
      <c r="C28" s="96">
        <v>693400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0.80000000000001137</v>
      </c>
      <c r="M28" s="117">
        <v>1600.8023248303082</v>
      </c>
    </row>
    <row r="29" spans="1:18" x14ac:dyDescent="0.4">
      <c r="A29" s="20" t="s">
        <v>165</v>
      </c>
      <c r="B29" s="95">
        <f>IF(B$19=0,0,C29/B$19)</f>
        <v>10362.5</v>
      </c>
      <c r="C29" s="96">
        <v>165800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-32.399999999999991</v>
      </c>
      <c r="M29" s="117">
        <v>1594.7975108813264</v>
      </c>
    </row>
    <row r="30" spans="1:18" x14ac:dyDescent="0.4">
      <c r="A30" s="20" t="s">
        <v>163</v>
      </c>
      <c r="B30" s="95">
        <f>IF(B$21=0,0,C30/B$21)</f>
        <v>-8263.8297872340427</v>
      </c>
      <c r="C30" s="96">
        <v>-388400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62.600000000000009</v>
      </c>
      <c r="M30" s="117">
        <v>1611.9047258160385</v>
      </c>
    </row>
    <row r="31" spans="1:18" x14ac:dyDescent="0.4">
      <c r="A31" s="19" t="s">
        <v>156</v>
      </c>
      <c r="B31" s="12">
        <v>5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46.000000000000007</v>
      </c>
      <c r="M31" s="117">
        <v>1608.8212974611422</v>
      </c>
    </row>
    <row r="32" spans="1:18" x14ac:dyDescent="0.4">
      <c r="A32" s="19" t="s">
        <v>157</v>
      </c>
      <c r="B32" s="12">
        <v>26</v>
      </c>
      <c r="C32" s="90">
        <v>0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15.900000000000006</v>
      </c>
      <c r="M32" s="117">
        <v>1603.3323696763753</v>
      </c>
    </row>
    <row r="33" spans="1:13" x14ac:dyDescent="0.4">
      <c r="A33" s="54" t="s">
        <v>135</v>
      </c>
      <c r="B33" s="127">
        <v>5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63.400000000000006</v>
      </c>
      <c r="M33" s="117">
        <v>1611.8383754583169</v>
      </c>
    </row>
    <row r="34" spans="1:13" x14ac:dyDescent="0.4">
      <c r="A34" s="22" t="s">
        <v>179</v>
      </c>
      <c r="B34" s="129">
        <v>110000</v>
      </c>
      <c r="C34" s="130"/>
      <c r="E34" s="27" t="s">
        <v>91</v>
      </c>
      <c r="F34" s="24" t="s">
        <v>46</v>
      </c>
      <c r="G34" s="12">
        <v>0</v>
      </c>
      <c r="H34" s="88">
        <f>IF(B$20=0,0,G34/B$20)</f>
        <v>0</v>
      </c>
      <c r="I34" s="58">
        <v>6</v>
      </c>
      <c r="K34" s="74">
        <v>32</v>
      </c>
      <c r="L34" s="119">
        <v>28.200000000000003</v>
      </c>
      <c r="M34" s="117">
        <v>1605.407345205567</v>
      </c>
    </row>
    <row r="35" spans="1:13" x14ac:dyDescent="0.4">
      <c r="A35" s="21" t="s">
        <v>136</v>
      </c>
      <c r="B35" s="29">
        <v>0</v>
      </c>
      <c r="C35" s="9">
        <f>IF(B$3=0,0,B35/B$3)</f>
        <v>0</v>
      </c>
      <c r="E35" s="27" t="s">
        <v>93</v>
      </c>
      <c r="F35" s="24" t="s">
        <v>48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119.2</v>
      </c>
      <c r="M35" s="117">
        <v>1621.7309011343336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189.2</v>
      </c>
      <c r="M36" s="117">
        <v>1634.1765157275277</v>
      </c>
    </row>
    <row r="37" spans="1:13" x14ac:dyDescent="0.4">
      <c r="A37" s="54" t="s">
        <v>170</v>
      </c>
      <c r="B37" s="123">
        <v>5</v>
      </c>
      <c r="C37" s="98">
        <f t="shared" ref="C37:C49" si="2">IF(B$20=0,0,B37/B$20)</f>
        <v>5.6179775280898875E-2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163.29999999999998</v>
      </c>
      <c r="M37" s="117">
        <v>1629.2854566331625</v>
      </c>
    </row>
    <row r="38" spans="1:13" x14ac:dyDescent="0.4">
      <c r="A38" s="19" t="s">
        <v>166</v>
      </c>
      <c r="B38" s="12">
        <v>14</v>
      </c>
      <c r="C38" s="6">
        <f t="shared" si="2"/>
        <v>0.15730337078651685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105.09999999999998</v>
      </c>
      <c r="M38" s="117">
        <v>1618.6097438933637</v>
      </c>
    </row>
    <row r="39" spans="1:13" x14ac:dyDescent="0.4">
      <c r="A39" s="19" t="s">
        <v>167</v>
      </c>
      <c r="B39" s="124">
        <v>14</v>
      </c>
      <c r="C39" s="6">
        <f t="shared" si="2"/>
        <v>0.15730337078651685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3</v>
      </c>
    </row>
    <row r="40" spans="1:13" x14ac:dyDescent="0.4">
      <c r="A40" s="19" t="s">
        <v>168</v>
      </c>
      <c r="B40" s="124">
        <v>17</v>
      </c>
      <c r="C40" s="6">
        <f t="shared" si="2"/>
        <v>0.19101123595505617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169</v>
      </c>
      <c r="B41" s="124">
        <v>12</v>
      </c>
      <c r="C41" s="6">
        <f t="shared" si="2"/>
        <v>0.1348314606741573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13" x14ac:dyDescent="0.4">
      <c r="A42" s="19" t="s">
        <v>171</v>
      </c>
      <c r="B42" s="124">
        <v>12</v>
      </c>
      <c r="C42" s="6">
        <f t="shared" si="2"/>
        <v>0.1348314606741573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172</v>
      </c>
      <c r="B43" s="124">
        <v>7</v>
      </c>
      <c r="C43" s="6">
        <f t="shared" si="2"/>
        <v>7.8651685393258425E-2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173</v>
      </c>
      <c r="B44" s="124">
        <v>4</v>
      </c>
      <c r="C44" s="6">
        <f t="shared" si="2"/>
        <v>4.49438202247191E-2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174</v>
      </c>
      <c r="B45" s="124">
        <v>1</v>
      </c>
      <c r="C45" s="6">
        <f t="shared" si="2"/>
        <v>1.1235955056179775E-2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175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3</v>
      </c>
      <c r="C49" s="9">
        <f t="shared" si="2"/>
        <v>3.3707865168539325E-2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362B1-E2FC-4282-97B5-2E59FD4225AB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187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34</v>
      </c>
      <c r="H2" s="87">
        <f>IF(B$20=0,0,G2/B$20)</f>
        <v>0.75555555555555554</v>
      </c>
      <c r="I2" s="57">
        <v>2</v>
      </c>
      <c r="K2" s="73">
        <v>0</v>
      </c>
      <c r="L2" s="118">
        <v>0</v>
      </c>
      <c r="M2" s="116">
        <v>1463.3989422821498</v>
      </c>
      <c r="O2" s="73" t="s">
        <v>127</v>
      </c>
      <c r="P2" s="79">
        <f t="shared" ref="P2:P7" si="0">IF(Q2=0,0,R2/Q2)</f>
        <v>1526.6666666666667</v>
      </c>
      <c r="Q2" s="76">
        <v>15</v>
      </c>
      <c r="R2" s="63">
        <v>22900</v>
      </c>
    </row>
    <row r="3" spans="1:18" x14ac:dyDescent="0.4">
      <c r="A3" s="19" t="s">
        <v>8</v>
      </c>
      <c r="B3" s="135">
        <v>132</v>
      </c>
      <c r="C3" s="136"/>
      <c r="E3" s="27" t="s">
        <v>64</v>
      </c>
      <c r="F3" s="24" t="s">
        <v>20</v>
      </c>
      <c r="G3" s="12">
        <v>27</v>
      </c>
      <c r="H3" s="88">
        <f>IF(B$20=0,0,G3/B$20)</f>
        <v>0.6</v>
      </c>
      <c r="I3" s="58">
        <v>4</v>
      </c>
      <c r="K3" s="74">
        <v>1</v>
      </c>
      <c r="L3" s="119">
        <v>51.5</v>
      </c>
      <c r="M3" s="117">
        <v>1472.8885486284569</v>
      </c>
      <c r="O3" s="74" t="s">
        <v>128</v>
      </c>
      <c r="P3" s="80">
        <f t="shared" si="0"/>
        <v>-660</v>
      </c>
      <c r="Q3" s="77">
        <v>15</v>
      </c>
      <c r="R3" s="64">
        <v>-9900</v>
      </c>
    </row>
    <row r="4" spans="1:18" x14ac:dyDescent="0.4">
      <c r="A4" s="19" t="s">
        <v>6</v>
      </c>
      <c r="B4" s="137">
        <v>161.9</v>
      </c>
      <c r="C4" s="138"/>
      <c r="E4" s="27" t="s">
        <v>72</v>
      </c>
      <c r="F4" s="24" t="s">
        <v>27</v>
      </c>
      <c r="G4" s="12">
        <v>21</v>
      </c>
      <c r="H4" s="88">
        <f>IF(B$20=0,0,G4/B$20)</f>
        <v>0.46666666666666667</v>
      </c>
      <c r="I4" s="58">
        <v>5</v>
      </c>
      <c r="K4" s="74">
        <v>2</v>
      </c>
      <c r="L4" s="119">
        <v>21.3</v>
      </c>
      <c r="M4" s="117">
        <v>1467.6572173366862</v>
      </c>
      <c r="O4" s="74" t="s">
        <v>129</v>
      </c>
      <c r="P4" s="80">
        <f t="shared" si="0"/>
        <v>-273.33333333333331</v>
      </c>
      <c r="Q4" s="77">
        <v>15</v>
      </c>
      <c r="R4" s="64">
        <v>-4100</v>
      </c>
    </row>
    <row r="5" spans="1:18" x14ac:dyDescent="0.4">
      <c r="A5" s="19" t="s">
        <v>7</v>
      </c>
      <c r="B5" s="125">
        <f>IF(B$2=0,0,B$4/B$2)</f>
        <v>10.793333333333333</v>
      </c>
      <c r="C5" s="126"/>
      <c r="E5" s="27" t="s">
        <v>158</v>
      </c>
      <c r="F5" s="24" t="s">
        <v>159</v>
      </c>
      <c r="G5" s="12">
        <v>18</v>
      </c>
      <c r="H5" s="88">
        <f>IF(B$20=0,0,G5/B$20)</f>
        <v>0.4</v>
      </c>
      <c r="I5" s="58">
        <v>8</v>
      </c>
      <c r="K5" s="74">
        <v>3</v>
      </c>
      <c r="L5" s="119">
        <v>-34.299999999999997</v>
      </c>
      <c r="M5" s="117">
        <v>1458.041274032666</v>
      </c>
      <c r="O5" s="74" t="s">
        <v>130</v>
      </c>
      <c r="P5" s="80">
        <f t="shared" si="0"/>
        <v>2400</v>
      </c>
      <c r="Q5" s="77">
        <v>15</v>
      </c>
      <c r="R5" s="64">
        <v>36000</v>
      </c>
    </row>
    <row r="6" spans="1:18" x14ac:dyDescent="0.4">
      <c r="A6" s="19" t="s">
        <v>192</v>
      </c>
      <c r="B6" s="129">
        <v>1502.387739697532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0.31111111111111112</v>
      </c>
      <c r="I6" s="58">
        <v>7</v>
      </c>
      <c r="K6" s="74">
        <v>4</v>
      </c>
      <c r="L6" s="119">
        <v>-34.9</v>
      </c>
      <c r="M6" s="117">
        <v>1458.9830263884701</v>
      </c>
      <c r="O6" s="74" t="s">
        <v>131</v>
      </c>
      <c r="P6" s="80">
        <f t="shared" si="0"/>
        <v>-900</v>
      </c>
      <c r="Q6" s="77">
        <v>15</v>
      </c>
      <c r="R6" s="64">
        <v>-13500</v>
      </c>
    </row>
    <row r="7" spans="1:18" x14ac:dyDescent="0.4">
      <c r="A7" s="19" t="s">
        <v>1</v>
      </c>
      <c r="B7" s="139">
        <f>IF(B$2=0,0,(B$8*1+B$9*2+B$10*3)/B$2)</f>
        <v>1.8</v>
      </c>
      <c r="C7" s="140"/>
      <c r="E7" s="27" t="s">
        <v>65</v>
      </c>
      <c r="F7" s="24" t="s">
        <v>21</v>
      </c>
      <c r="G7" s="12">
        <v>9</v>
      </c>
      <c r="H7" s="88">
        <f>IF(B$20=0,0,G7/B$20)</f>
        <v>0.2</v>
      </c>
      <c r="I7" s="58">
        <v>2</v>
      </c>
      <c r="K7" s="74">
        <v>5</v>
      </c>
      <c r="L7" s="119">
        <v>-43.8</v>
      </c>
      <c r="M7" s="117">
        <v>1457.8371282301393</v>
      </c>
      <c r="O7" s="75" t="s">
        <v>132</v>
      </c>
      <c r="P7" s="81">
        <f t="shared" si="0"/>
        <v>2500</v>
      </c>
      <c r="Q7" s="78">
        <v>13</v>
      </c>
      <c r="R7" s="65">
        <v>32500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0.46666666666666667</v>
      </c>
      <c r="E8" s="27" t="s">
        <v>67</v>
      </c>
      <c r="F8" s="24" t="s">
        <v>23</v>
      </c>
      <c r="G8" s="12">
        <v>9</v>
      </c>
      <c r="H8" s="88">
        <f>IF(B$20=0,0,G8/B$20)</f>
        <v>0.2</v>
      </c>
      <c r="I8" s="58">
        <v>7</v>
      </c>
      <c r="K8" s="74">
        <v>6</v>
      </c>
      <c r="L8" s="119">
        <v>-42.4</v>
      </c>
      <c r="M8" s="117">
        <v>1459.1581054607584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1"/>
        <v>0.26666666666666666</v>
      </c>
      <c r="E9" s="27" t="s">
        <v>69</v>
      </c>
      <c r="F9" s="24" t="s">
        <v>24</v>
      </c>
      <c r="G9" s="12">
        <v>6</v>
      </c>
      <c r="H9" s="88">
        <f>IF(B$20=0,0,G9/B$20)</f>
        <v>0.13333333333333333</v>
      </c>
      <c r="I9" s="58">
        <v>6</v>
      </c>
      <c r="K9" s="74">
        <v>7</v>
      </c>
      <c r="L9" s="119">
        <v>-8.7999999999999972</v>
      </c>
      <c r="M9" s="117">
        <v>1465.6731568279938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4</v>
      </c>
      <c r="C10" s="7">
        <f t="shared" si="1"/>
        <v>0.26666666666666666</v>
      </c>
      <c r="E10" s="27" t="s">
        <v>71</v>
      </c>
      <c r="F10" s="24" t="s">
        <v>26</v>
      </c>
      <c r="G10" s="12">
        <v>5</v>
      </c>
      <c r="H10" s="88">
        <f>IF(B$20=0,0,G10/B$20)</f>
        <v>0.1111111111111111</v>
      </c>
      <c r="I10" s="58">
        <v>2</v>
      </c>
      <c r="K10" s="74">
        <v>8</v>
      </c>
      <c r="L10" s="119">
        <v>-0.99999999999999734</v>
      </c>
      <c r="M10" s="117">
        <v>1467.979117887026</v>
      </c>
      <c r="O10" s="73" t="s">
        <v>150</v>
      </c>
      <c r="P10" s="82">
        <f>IF(Q10=0,0,R10/Q10)</f>
        <v>-30.2</v>
      </c>
      <c r="Q10" s="76">
        <v>1</v>
      </c>
      <c r="R10" s="67">
        <v>-30.2</v>
      </c>
    </row>
    <row r="11" spans="1:18" x14ac:dyDescent="0.4">
      <c r="A11" s="20" t="s">
        <v>183</v>
      </c>
      <c r="B11" s="109">
        <f>IF(B8=0,0,C11/B8)</f>
        <v>48.485714285714288</v>
      </c>
      <c r="C11" s="110">
        <v>339.40000000000003</v>
      </c>
      <c r="E11" s="27" t="s">
        <v>89</v>
      </c>
      <c r="F11" s="24" t="s">
        <v>44</v>
      </c>
      <c r="G11" s="12">
        <v>5</v>
      </c>
      <c r="H11" s="88">
        <f>IF(B$20=0,0,G11/B$20)</f>
        <v>0.1111111111111111</v>
      </c>
      <c r="I11" s="58">
        <v>7</v>
      </c>
      <c r="K11" s="74">
        <v>9</v>
      </c>
      <c r="L11" s="119">
        <v>60.4</v>
      </c>
      <c r="M11" s="117">
        <v>1480.0212431797038</v>
      </c>
      <c r="O11" s="74" t="s">
        <v>151</v>
      </c>
      <c r="P11" s="83">
        <f>IF(Q11=0,0,R11/Q11)</f>
        <v>6.6749999999999989</v>
      </c>
      <c r="Q11" s="77">
        <v>8</v>
      </c>
      <c r="R11" s="68">
        <v>53.399999999999991</v>
      </c>
    </row>
    <row r="12" spans="1:18" x14ac:dyDescent="0.4">
      <c r="A12" s="20" t="s">
        <v>184</v>
      </c>
      <c r="B12" s="109">
        <f>IF(B9=0,0,C12/B9)</f>
        <v>-7.4999999999999956E-2</v>
      </c>
      <c r="C12" s="110">
        <v>-0.29999999999999982</v>
      </c>
      <c r="E12" s="27" t="s">
        <v>70</v>
      </c>
      <c r="F12" s="24" t="s">
        <v>25</v>
      </c>
      <c r="G12" s="12">
        <v>4</v>
      </c>
      <c r="H12" s="88">
        <f>IF(B$20=0,0,G12/B$20)</f>
        <v>8.8888888888888892E-2</v>
      </c>
      <c r="I12" s="58">
        <v>7</v>
      </c>
      <c r="K12" s="74">
        <v>10</v>
      </c>
      <c r="L12" s="119">
        <v>14.399999999999999</v>
      </c>
      <c r="M12" s="117">
        <v>1472.5751157206255</v>
      </c>
      <c r="O12" s="75" t="s">
        <v>152</v>
      </c>
      <c r="P12" s="84">
        <f>IF(Q12=0,0,R12/Q12)</f>
        <v>23.116666666666664</v>
      </c>
      <c r="Q12" s="78">
        <v>6</v>
      </c>
      <c r="R12" s="69">
        <v>138.69999999999999</v>
      </c>
    </row>
    <row r="13" spans="1:18" x14ac:dyDescent="0.4">
      <c r="A13" s="20" t="s">
        <v>185</v>
      </c>
      <c r="B13" s="109">
        <f>IF(B10=0,0,C13/B10)</f>
        <v>-44.300000000000004</v>
      </c>
      <c r="C13" s="110">
        <v>-177.20000000000002</v>
      </c>
      <c r="E13" s="27" t="s">
        <v>83</v>
      </c>
      <c r="F13" s="24" t="s">
        <v>38</v>
      </c>
      <c r="G13" s="12">
        <v>3</v>
      </c>
      <c r="H13" s="88">
        <f>IF(B$20=0,0,G13/B$20)</f>
        <v>6.6666666666666666E-2</v>
      </c>
      <c r="I13" s="58">
        <v>1</v>
      </c>
      <c r="K13" s="74">
        <v>11</v>
      </c>
      <c r="L13" s="119">
        <v>45.7</v>
      </c>
      <c r="M13" s="117">
        <v>1479.1776650263018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1.3702380952380935</v>
      </c>
      <c r="C14" s="126"/>
      <c r="E14" s="27" t="s">
        <v>81</v>
      </c>
      <c r="F14" s="24" t="s">
        <v>36</v>
      </c>
      <c r="G14" s="12">
        <v>2</v>
      </c>
      <c r="H14" s="88">
        <f>IF(B$20=0,0,G14/B$20)</f>
        <v>4.4444444444444446E-2</v>
      </c>
      <c r="I14" s="58">
        <v>2</v>
      </c>
      <c r="K14" s="74">
        <v>12</v>
      </c>
      <c r="L14" s="119">
        <v>115.3</v>
      </c>
      <c r="M14" s="117">
        <v>1492.058599036144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6.6666666666666666E-2</v>
      </c>
      <c r="E15" s="27" t="s">
        <v>86</v>
      </c>
      <c r="F15" s="24" t="s">
        <v>41</v>
      </c>
      <c r="G15" s="12">
        <v>2</v>
      </c>
      <c r="H15" s="88">
        <f>IF(B$20=0,0,G15/B$20)</f>
        <v>4.4444444444444446E-2</v>
      </c>
      <c r="I15" s="58">
        <v>5</v>
      </c>
      <c r="K15" s="74">
        <v>13</v>
      </c>
      <c r="L15" s="119">
        <v>69.900000000000006</v>
      </c>
      <c r="M15" s="117">
        <v>1484.7562474419271</v>
      </c>
      <c r="O15" s="73" t="s">
        <v>162</v>
      </c>
      <c r="P15" s="82">
        <f>IF(Q15=0,0,R15/Q15)</f>
        <v>26.890909090909087</v>
      </c>
      <c r="Q15" s="76">
        <v>11</v>
      </c>
      <c r="R15" s="67">
        <v>295.79999999999995</v>
      </c>
    </row>
    <row r="16" spans="1:18" x14ac:dyDescent="0.4">
      <c r="A16" s="22" t="s">
        <v>121</v>
      </c>
      <c r="B16" s="15">
        <v>36</v>
      </c>
      <c r="C16" s="10">
        <f>IF(B$3=0,0,B16/B$3)</f>
        <v>0.27272727272727271</v>
      </c>
      <c r="E16" s="27" t="s">
        <v>73</v>
      </c>
      <c r="F16" s="24" t="s">
        <v>28</v>
      </c>
      <c r="G16" s="12">
        <v>1</v>
      </c>
      <c r="H16" s="88">
        <f>IF(B$20=0,0,G16/B$20)</f>
        <v>2.2222222222222223E-2</v>
      </c>
      <c r="I16" s="58">
        <v>3</v>
      </c>
      <c r="K16" s="74">
        <v>14</v>
      </c>
      <c r="L16" s="119">
        <v>114.80000000000001</v>
      </c>
      <c r="M16" s="117">
        <v>1493.6617099572757</v>
      </c>
      <c r="O16" s="74" t="s">
        <v>189</v>
      </c>
      <c r="P16" s="83">
        <f>IF(Q16=0,0,R16/Q16)</f>
        <v>14.15</v>
      </c>
      <c r="Q16" s="77">
        <v>10</v>
      </c>
      <c r="R16" s="68">
        <v>141.5</v>
      </c>
    </row>
    <row r="17" spans="1:18" x14ac:dyDescent="0.4">
      <c r="A17" s="19" t="s">
        <v>118</v>
      </c>
      <c r="B17" s="12">
        <v>31</v>
      </c>
      <c r="C17" s="6">
        <f>IF(B$3=0,0,B17/B$3)</f>
        <v>0.23484848484848486</v>
      </c>
      <c r="E17" s="27" t="s">
        <v>74</v>
      </c>
      <c r="F17" s="24" t="s">
        <v>29</v>
      </c>
      <c r="G17" s="12">
        <v>1</v>
      </c>
      <c r="H17" s="88">
        <f>IF(B$20=0,0,G17/B$20)</f>
        <v>2.2222222222222223E-2</v>
      </c>
      <c r="I17" s="58">
        <v>1</v>
      </c>
      <c r="K17" s="74">
        <v>15</v>
      </c>
      <c r="L17" s="119">
        <v>161.9</v>
      </c>
      <c r="M17" s="117">
        <v>1502.387739697532</v>
      </c>
      <c r="O17" s="74" t="s">
        <v>126</v>
      </c>
      <c r="P17" s="83">
        <f>IF(Q17=0,0,R17/Q17)</f>
        <v>5.3777777777777782</v>
      </c>
      <c r="Q17" s="77">
        <v>9</v>
      </c>
      <c r="R17" s="68">
        <v>48.400000000000006</v>
      </c>
    </row>
    <row r="18" spans="1:18" x14ac:dyDescent="0.4">
      <c r="A18" s="18" t="s">
        <v>123</v>
      </c>
      <c r="B18" s="11">
        <f>B24</f>
        <v>26</v>
      </c>
      <c r="C18" s="5">
        <f>IF(B$16=0,0,B18/B$16)</f>
        <v>0.72222222222222221</v>
      </c>
      <c r="E18" s="27" t="s">
        <v>78</v>
      </c>
      <c r="F18" s="24" t="s">
        <v>33</v>
      </c>
      <c r="G18" s="12">
        <v>1</v>
      </c>
      <c r="H18" s="88">
        <f>IF(B$20=0,0,G18/B$20)</f>
        <v>2.2222222222222223E-2</v>
      </c>
      <c r="I18" s="58">
        <v>5</v>
      </c>
    </row>
    <row r="19" spans="1:18" x14ac:dyDescent="0.4">
      <c r="A19" s="18" t="s">
        <v>124</v>
      </c>
      <c r="B19" s="11">
        <f>B25</f>
        <v>10</v>
      </c>
      <c r="C19" s="5">
        <f>IF(B$17=0,0,B19/B$17)</f>
        <v>0.32258064516129031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</row>
    <row r="20" spans="1:18" x14ac:dyDescent="0.4">
      <c r="A20" s="18" t="s">
        <v>10</v>
      </c>
      <c r="B20" s="11">
        <f>B23+B22</f>
        <v>45</v>
      </c>
      <c r="C20" s="5">
        <f>IF(B$3=0,0,B20/B$3)</f>
        <v>0.34090909090909088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19</v>
      </c>
      <c r="C21" s="6">
        <f>IF(B$3=0,0,B21/B$3)</f>
        <v>0.14393939393939395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22</v>
      </c>
      <c r="C22" s="6">
        <f>IF(B$20=0,0,B22/B$20)</f>
        <v>0.48888888888888887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4</v>
      </c>
    </row>
    <row r="23" spans="1:18" x14ac:dyDescent="0.4">
      <c r="A23" s="19" t="s">
        <v>11</v>
      </c>
      <c r="B23" s="12">
        <v>23</v>
      </c>
      <c r="C23" s="6">
        <f>IF(B$20=0,0,B23/B$20)</f>
        <v>0.51111111111111107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26</v>
      </c>
      <c r="C24" s="6">
        <f>IF(B$20=0,0,B24/B$20)</f>
        <v>0.57777777777777772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10</v>
      </c>
      <c r="C25" s="6">
        <f>IF(B$20=0,0,B25/B$20)</f>
        <v>0.22222222222222221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3</v>
      </c>
    </row>
    <row r="26" spans="1:18" x14ac:dyDescent="0.4">
      <c r="A26" s="19" t="s">
        <v>181</v>
      </c>
      <c r="B26" s="12">
        <v>9</v>
      </c>
      <c r="C26" s="6">
        <f>IF(B$20=0,0,B26/B$20)</f>
        <v>0.2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7735.5555555555557</v>
      </c>
      <c r="C27" s="8">
        <v>348100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164</v>
      </c>
      <c r="B28" s="95">
        <f>IF($B$20-B$19=0,0,C28/($B$20-B$19))</f>
        <v>8117.1428571428569</v>
      </c>
      <c r="C28" s="96">
        <v>284100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6400</v>
      </c>
      <c r="C29" s="96">
        <v>64000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163</v>
      </c>
      <c r="B30" s="95">
        <f>IF(B$21=0,0,C30/B$21)</f>
        <v>-7010.5263157894733</v>
      </c>
      <c r="C30" s="96">
        <v>-133200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156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157</v>
      </c>
      <c r="B32" s="12">
        <v>15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135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84600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170</v>
      </c>
      <c r="B37" s="123">
        <v>5</v>
      </c>
      <c r="C37" s="98">
        <f t="shared" ref="C37:C49" si="2">IF(B$20=0,0,B37/B$20)</f>
        <v>0.1111111111111111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8</v>
      </c>
      <c r="C38" s="6">
        <f t="shared" si="2"/>
        <v>0.17777777777777778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7</v>
      </c>
      <c r="C39" s="6">
        <f t="shared" si="2"/>
        <v>0.15555555555555556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12</v>
      </c>
      <c r="C40" s="6">
        <f t="shared" si="2"/>
        <v>0.26666666666666666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3</v>
      </c>
      <c r="C41" s="6">
        <f t="shared" si="2"/>
        <v>6.6666666666666666E-2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4</v>
      </c>
      <c r="C42" s="6">
        <f t="shared" si="2"/>
        <v>8.8888888888888892E-2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6</v>
      </c>
      <c r="C44" s="6">
        <f t="shared" si="2"/>
        <v>0.13333333333333333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6A5E8-BC75-4059-9D72-E42F0C0084FD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37</v>
      </c>
      <c r="C2" s="134"/>
      <c r="E2" s="26" t="s">
        <v>66</v>
      </c>
      <c r="F2" s="23" t="s">
        <v>22</v>
      </c>
      <c r="G2" s="11">
        <v>87</v>
      </c>
      <c r="H2" s="87">
        <f>IF(B$20=0,0,G2/B$20)</f>
        <v>0.80555555555555558</v>
      </c>
      <c r="I2" s="57">
        <v>1</v>
      </c>
      <c r="K2" s="73">
        <v>0</v>
      </c>
      <c r="L2" s="118">
        <v>0</v>
      </c>
      <c r="M2" s="116">
        <v>1546.9221135131666</v>
      </c>
      <c r="O2" s="73" t="s">
        <v>127</v>
      </c>
      <c r="P2" s="79">
        <f t="shared" ref="P2:P7" si="0">IF(Q2=0,0,R2/Q2)</f>
        <v>-332.43243243243245</v>
      </c>
      <c r="Q2" s="76">
        <v>37</v>
      </c>
      <c r="R2" s="63">
        <v>-12300</v>
      </c>
    </row>
    <row r="3" spans="1:18" x14ac:dyDescent="0.4">
      <c r="A3" s="19" t="s">
        <v>8</v>
      </c>
      <c r="B3" s="135">
        <v>324</v>
      </c>
      <c r="C3" s="136"/>
      <c r="E3" s="27" t="s">
        <v>72</v>
      </c>
      <c r="F3" s="24" t="s">
        <v>27</v>
      </c>
      <c r="G3" s="12">
        <v>65</v>
      </c>
      <c r="H3" s="88">
        <f>IF(B$20=0,0,G3/B$20)</f>
        <v>0.60185185185185186</v>
      </c>
      <c r="I3" s="58">
        <v>2</v>
      </c>
      <c r="K3" s="74">
        <v>1</v>
      </c>
      <c r="L3" s="119">
        <v>6.5</v>
      </c>
      <c r="M3" s="117">
        <v>1547.8105808320875</v>
      </c>
      <c r="O3" s="74" t="s">
        <v>128</v>
      </c>
      <c r="P3" s="80">
        <f t="shared" si="0"/>
        <v>2263.8888888888887</v>
      </c>
      <c r="Q3" s="77">
        <v>36</v>
      </c>
      <c r="R3" s="64">
        <v>81500</v>
      </c>
    </row>
    <row r="4" spans="1:18" x14ac:dyDescent="0.4">
      <c r="A4" s="19" t="s">
        <v>6</v>
      </c>
      <c r="B4" s="137">
        <v>51.79999999999999</v>
      </c>
      <c r="C4" s="138"/>
      <c r="E4" s="27" t="s">
        <v>158</v>
      </c>
      <c r="F4" s="24" t="s">
        <v>159</v>
      </c>
      <c r="G4" s="12">
        <v>45</v>
      </c>
      <c r="H4" s="88">
        <f>IF(B$20=0,0,G4/B$20)</f>
        <v>0.41666666666666669</v>
      </c>
      <c r="I4" s="58">
        <v>5</v>
      </c>
      <c r="K4" s="74">
        <v>2</v>
      </c>
      <c r="L4" s="119">
        <v>5.9</v>
      </c>
      <c r="M4" s="117">
        <v>1547.457717347095</v>
      </c>
      <c r="O4" s="74" t="s">
        <v>129</v>
      </c>
      <c r="P4" s="80">
        <f t="shared" si="0"/>
        <v>-744.44444444444446</v>
      </c>
      <c r="Q4" s="77">
        <v>36</v>
      </c>
      <c r="R4" s="64">
        <v>-26800</v>
      </c>
    </row>
    <row r="5" spans="1:18" x14ac:dyDescent="0.4">
      <c r="A5" s="19" t="s">
        <v>7</v>
      </c>
      <c r="B5" s="125">
        <f>IF(B$2=0,0,B$4/B$2)</f>
        <v>1.3999999999999997</v>
      </c>
      <c r="C5" s="126"/>
      <c r="E5" s="27" t="s">
        <v>64</v>
      </c>
      <c r="F5" s="24" t="s">
        <v>20</v>
      </c>
      <c r="G5" s="12">
        <v>44</v>
      </c>
      <c r="H5" s="88">
        <f>IF(B$20=0,0,G5/B$20)</f>
        <v>0.40740740740740738</v>
      </c>
      <c r="I5" s="58">
        <v>8</v>
      </c>
      <c r="K5" s="74">
        <v>3</v>
      </c>
      <c r="L5" s="119">
        <v>17.200000000000003</v>
      </c>
      <c r="M5" s="117">
        <v>1549.4049710430124</v>
      </c>
      <c r="O5" s="74" t="s">
        <v>130</v>
      </c>
      <c r="P5" s="80">
        <f t="shared" si="0"/>
        <v>3760</v>
      </c>
      <c r="Q5" s="77">
        <v>35</v>
      </c>
      <c r="R5" s="64">
        <v>131600</v>
      </c>
    </row>
    <row r="6" spans="1:18" x14ac:dyDescent="0.4">
      <c r="A6" s="19" t="s">
        <v>192</v>
      </c>
      <c r="B6" s="129">
        <v>1570.9218609148634</v>
      </c>
      <c r="C6" s="130"/>
      <c r="E6" s="27" t="s">
        <v>68</v>
      </c>
      <c r="F6" s="24" t="s">
        <v>12</v>
      </c>
      <c r="G6" s="12">
        <v>30</v>
      </c>
      <c r="H6" s="88">
        <f>IF(B$20=0,0,G6/B$20)</f>
        <v>0.27777777777777779</v>
      </c>
      <c r="I6" s="58">
        <v>8</v>
      </c>
      <c r="K6" s="74">
        <v>4</v>
      </c>
      <c r="L6" s="119">
        <v>-16.399999999999999</v>
      </c>
      <c r="M6" s="117">
        <v>1543.2705412167543</v>
      </c>
      <c r="O6" s="74" t="s">
        <v>131</v>
      </c>
      <c r="P6" s="80">
        <f t="shared" si="0"/>
        <v>-2343.75</v>
      </c>
      <c r="Q6" s="77">
        <v>32</v>
      </c>
      <c r="R6" s="64">
        <v>-75000</v>
      </c>
    </row>
    <row r="7" spans="1:18" x14ac:dyDescent="0.4">
      <c r="A7" s="19" t="s">
        <v>1</v>
      </c>
      <c r="B7" s="139">
        <f>IF(B$2=0,0,(B$8*1+B$9*2+B$10*3)/B$2)</f>
        <v>2.0270270270270272</v>
      </c>
      <c r="C7" s="140"/>
      <c r="E7" s="27" t="s">
        <v>70</v>
      </c>
      <c r="F7" s="24" t="s">
        <v>25</v>
      </c>
      <c r="G7" s="12">
        <v>13</v>
      </c>
      <c r="H7" s="88">
        <f>IF(B$20=0,0,G7/B$20)</f>
        <v>0.12037037037037036</v>
      </c>
      <c r="I7" s="58">
        <v>2</v>
      </c>
      <c r="K7" s="74">
        <v>5</v>
      </c>
      <c r="L7" s="119">
        <v>-8.7999999999999989</v>
      </c>
      <c r="M7" s="117">
        <v>1544.6009179694538</v>
      </c>
      <c r="O7" s="75" t="s">
        <v>132</v>
      </c>
      <c r="P7" s="81">
        <f t="shared" si="0"/>
        <v>-628.57142857142856</v>
      </c>
      <c r="Q7" s="78">
        <v>28</v>
      </c>
      <c r="R7" s="65">
        <v>-17600</v>
      </c>
    </row>
    <row r="8" spans="1:18" x14ac:dyDescent="0.4">
      <c r="A8" s="19" t="s">
        <v>2</v>
      </c>
      <c r="B8" s="12">
        <v>13</v>
      </c>
      <c r="C8" s="6">
        <f t="shared" ref="C8:C15" si="1">IF(B$2=0,0,B8/B$2)</f>
        <v>0.35135135135135137</v>
      </c>
      <c r="E8" s="27" t="s">
        <v>67</v>
      </c>
      <c r="F8" s="24" t="s">
        <v>23</v>
      </c>
      <c r="G8" s="12">
        <v>12</v>
      </c>
      <c r="H8" s="88">
        <f>IF(B$20=0,0,G8/B$20)</f>
        <v>0.1111111111111111</v>
      </c>
      <c r="I8" s="58">
        <v>8</v>
      </c>
      <c r="K8" s="74">
        <v>6</v>
      </c>
      <c r="L8" s="119">
        <v>22.1</v>
      </c>
      <c r="M8" s="117">
        <v>1550.591312461637</v>
      </c>
      <c r="O8" s="107"/>
      <c r="P8" s="85"/>
      <c r="Q8" s="108"/>
      <c r="R8" s="70"/>
    </row>
    <row r="9" spans="1:18" x14ac:dyDescent="0.4">
      <c r="A9" s="19" t="s">
        <v>3</v>
      </c>
      <c r="B9" s="12">
        <v>10</v>
      </c>
      <c r="C9" s="6">
        <f t="shared" si="1"/>
        <v>0.27027027027027029</v>
      </c>
      <c r="E9" s="27" t="s">
        <v>65</v>
      </c>
      <c r="F9" s="24" t="s">
        <v>21</v>
      </c>
      <c r="G9" s="12">
        <v>11</v>
      </c>
      <c r="H9" s="88">
        <f>IF(B$20=0,0,G9/B$20)</f>
        <v>0.10185185185185185</v>
      </c>
      <c r="I9" s="58">
        <v>8</v>
      </c>
      <c r="K9" s="74">
        <v>7</v>
      </c>
      <c r="L9" s="119">
        <v>68.900000000000006</v>
      </c>
      <c r="M9" s="117">
        <v>1559.4257645868672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14</v>
      </c>
      <c r="C10" s="7">
        <f t="shared" si="1"/>
        <v>0.3783783783783784</v>
      </c>
      <c r="E10" s="27" t="s">
        <v>69</v>
      </c>
      <c r="F10" s="24" t="s">
        <v>24</v>
      </c>
      <c r="G10" s="12">
        <v>10</v>
      </c>
      <c r="H10" s="88">
        <f>IF(B$20=0,0,G10/B$20)</f>
        <v>9.2592592592592587E-2</v>
      </c>
      <c r="I10" s="58">
        <v>8</v>
      </c>
      <c r="K10" s="74">
        <v>8</v>
      </c>
      <c r="L10" s="119">
        <v>11.300000000000004</v>
      </c>
      <c r="M10" s="117">
        <v>1549.655209999346</v>
      </c>
      <c r="O10" s="73" t="s">
        <v>150</v>
      </c>
      <c r="P10" s="82">
        <f>IF(Q10=0,0,R10/Q10)</f>
        <v>-1.9833333333333318</v>
      </c>
      <c r="Q10" s="76">
        <v>12</v>
      </c>
      <c r="R10" s="67">
        <v>-23.799999999999983</v>
      </c>
    </row>
    <row r="11" spans="1:18" x14ac:dyDescent="0.4">
      <c r="A11" s="20" t="s">
        <v>183</v>
      </c>
      <c r="B11" s="109">
        <f>IF(B8=0,0,C11/B8)</f>
        <v>46.007692307692309</v>
      </c>
      <c r="C11" s="110">
        <v>598.1</v>
      </c>
      <c r="E11" s="27" t="s">
        <v>89</v>
      </c>
      <c r="F11" s="24" t="s">
        <v>44</v>
      </c>
      <c r="G11" s="12">
        <v>10</v>
      </c>
      <c r="H11" s="88">
        <f>IF(B$20=0,0,G11/B$20)</f>
        <v>9.2592592592592587E-2</v>
      </c>
      <c r="I11" s="58">
        <v>8</v>
      </c>
      <c r="K11" s="74">
        <v>9</v>
      </c>
      <c r="L11" s="119">
        <v>-47.599999999999994</v>
      </c>
      <c r="M11" s="117">
        <v>1538.98327873935</v>
      </c>
      <c r="O11" s="74" t="s">
        <v>151</v>
      </c>
      <c r="P11" s="83">
        <f>IF(Q11=0,0,R11/Q11)</f>
        <v>3.6066666666666669</v>
      </c>
      <c r="Q11" s="77">
        <v>15</v>
      </c>
      <c r="R11" s="68">
        <v>54.1</v>
      </c>
    </row>
    <row r="12" spans="1:18" x14ac:dyDescent="0.4">
      <c r="A12" s="20" t="s">
        <v>184</v>
      </c>
      <c r="B12" s="109">
        <f>IF(B9=0,0,C12/B9)</f>
        <v>0.48000000000000043</v>
      </c>
      <c r="C12" s="110">
        <v>4.8000000000000043</v>
      </c>
      <c r="E12" s="27" t="s">
        <v>86</v>
      </c>
      <c r="F12" s="24" t="s">
        <v>41</v>
      </c>
      <c r="G12" s="12">
        <v>7</v>
      </c>
      <c r="H12" s="88">
        <f>IF(B$20=0,0,G12/B$20)</f>
        <v>6.4814814814814811E-2</v>
      </c>
      <c r="I12" s="58">
        <v>3</v>
      </c>
      <c r="K12" s="74">
        <v>10</v>
      </c>
      <c r="L12" s="119">
        <v>-84.6</v>
      </c>
      <c r="M12" s="117">
        <v>1533.0193790669139</v>
      </c>
      <c r="O12" s="75" t="s">
        <v>152</v>
      </c>
      <c r="P12" s="84">
        <f>IF(Q12=0,0,R12/Q12)</f>
        <v>2.15</v>
      </c>
      <c r="Q12" s="78">
        <v>10</v>
      </c>
      <c r="R12" s="69">
        <v>21.5</v>
      </c>
    </row>
    <row r="13" spans="1:18" x14ac:dyDescent="0.4">
      <c r="A13" s="20" t="s">
        <v>185</v>
      </c>
      <c r="B13" s="109">
        <f>IF(B10=0,0,C13/B10)</f>
        <v>-39.364285714285714</v>
      </c>
      <c r="C13" s="110">
        <v>-551.1</v>
      </c>
      <c r="E13" s="27" t="s">
        <v>71</v>
      </c>
      <c r="F13" s="24" t="s">
        <v>26</v>
      </c>
      <c r="G13" s="12">
        <v>6</v>
      </c>
      <c r="H13" s="88">
        <f>IF(B$20=0,0,G13/B$20)</f>
        <v>5.5555555555555552E-2</v>
      </c>
      <c r="I13" s="58">
        <v>8</v>
      </c>
      <c r="K13" s="74">
        <v>11</v>
      </c>
      <c r="L13" s="119">
        <v>-128</v>
      </c>
      <c r="M13" s="117">
        <v>1525.7412627925123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2.3744688644688665</v>
      </c>
      <c r="C14" s="126"/>
      <c r="E14" s="27" t="s">
        <v>83</v>
      </c>
      <c r="F14" s="24" t="s">
        <v>38</v>
      </c>
      <c r="G14" s="12">
        <v>4</v>
      </c>
      <c r="H14" s="88">
        <f>IF(B$20=0,0,G14/B$20)</f>
        <v>3.7037037037037035E-2</v>
      </c>
      <c r="I14" s="58">
        <v>3</v>
      </c>
      <c r="K14" s="74">
        <v>12</v>
      </c>
      <c r="L14" s="119">
        <v>-122.3</v>
      </c>
      <c r="M14" s="117">
        <v>1526.8228152157571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78</v>
      </c>
      <c r="F15" s="24" t="s">
        <v>33</v>
      </c>
      <c r="G15" s="12">
        <v>3</v>
      </c>
      <c r="H15" s="88">
        <f>IF(B$20=0,0,G15/B$20)</f>
        <v>2.7777777777777776E-2</v>
      </c>
      <c r="I15" s="58">
        <v>3</v>
      </c>
      <c r="K15" s="74">
        <v>13</v>
      </c>
      <c r="L15" s="119">
        <v>-132.5</v>
      </c>
      <c r="M15" s="117">
        <v>1525.3958783244625</v>
      </c>
      <c r="O15" s="73" t="s">
        <v>191</v>
      </c>
      <c r="P15" s="82">
        <f>IF(Q15=0,0,R15/Q15)</f>
        <v>24.314285714285713</v>
      </c>
      <c r="Q15" s="76">
        <v>14</v>
      </c>
      <c r="R15" s="67">
        <v>340.4</v>
      </c>
    </row>
    <row r="16" spans="1:18" x14ac:dyDescent="0.4">
      <c r="A16" s="22" t="s">
        <v>121</v>
      </c>
      <c r="B16" s="15">
        <v>66</v>
      </c>
      <c r="C16" s="10">
        <f>IF(B$3=0,0,B16/B$3)</f>
        <v>0.20370370370370369</v>
      </c>
      <c r="E16" s="27" t="s">
        <v>81</v>
      </c>
      <c r="F16" s="24" t="s">
        <v>36</v>
      </c>
      <c r="G16" s="12">
        <v>3</v>
      </c>
      <c r="H16" s="88">
        <f>IF(B$20=0,0,G16/B$20)</f>
        <v>2.7777777777777776E-2</v>
      </c>
      <c r="I16" s="58">
        <v>7</v>
      </c>
      <c r="K16" s="74">
        <v>14</v>
      </c>
      <c r="L16" s="119">
        <v>-165.5</v>
      </c>
      <c r="M16" s="117">
        <v>1519.8735030545158</v>
      </c>
      <c r="O16" s="74" t="s">
        <v>126</v>
      </c>
      <c r="P16" s="83">
        <f>IF(Q16=0,0,R16/Q16)</f>
        <v>2.4870967741935464</v>
      </c>
      <c r="Q16" s="77">
        <v>31</v>
      </c>
      <c r="R16" s="68">
        <v>77.099999999999937</v>
      </c>
    </row>
    <row r="17" spans="1:18" x14ac:dyDescent="0.4">
      <c r="A17" s="19" t="s">
        <v>118</v>
      </c>
      <c r="B17" s="12">
        <v>72</v>
      </c>
      <c r="C17" s="6">
        <f>IF(B$3=0,0,B17/B$3)</f>
        <v>0.22222222222222221</v>
      </c>
      <c r="E17" s="27" t="s">
        <v>73</v>
      </c>
      <c r="F17" s="24" t="s">
        <v>28</v>
      </c>
      <c r="G17" s="12">
        <v>1</v>
      </c>
      <c r="H17" s="88">
        <f>IF(B$20=0,0,G17/B$20)</f>
        <v>9.2592592592592587E-3</v>
      </c>
      <c r="I17" s="58">
        <v>6</v>
      </c>
      <c r="K17" s="74">
        <v>15</v>
      </c>
      <c r="L17" s="119">
        <v>-119.8</v>
      </c>
      <c r="M17" s="117">
        <v>1528.5502620361888</v>
      </c>
      <c r="O17" s="74" t="s">
        <v>162</v>
      </c>
      <c r="P17" s="83">
        <f>IF(Q17=0,0,R17/Q17)</f>
        <v>-6.3473684210526296</v>
      </c>
      <c r="Q17" s="77">
        <v>19</v>
      </c>
      <c r="R17" s="68">
        <v>-120.59999999999997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0.65151515151515149</v>
      </c>
      <c r="E18" s="27" t="s">
        <v>74</v>
      </c>
      <c r="F18" s="24" t="s">
        <v>29</v>
      </c>
      <c r="G18" s="12">
        <v>1</v>
      </c>
      <c r="H18" s="88">
        <f>IF(B$20=0,0,G18/B$20)</f>
        <v>9.2592592592592587E-3</v>
      </c>
      <c r="I18" s="58">
        <v>2</v>
      </c>
      <c r="K18" s="74">
        <v>16</v>
      </c>
      <c r="L18" s="119">
        <v>-171.4</v>
      </c>
      <c r="M18" s="117">
        <v>1519.6669604639717</v>
      </c>
      <c r="O18" s="74" t="s">
        <v>187</v>
      </c>
      <c r="P18" s="83">
        <f>IF(Q18=0,0,R18/Q18)</f>
        <v>-14.15</v>
      </c>
      <c r="Q18" s="77">
        <v>10</v>
      </c>
      <c r="R18" s="68">
        <v>-141.5</v>
      </c>
    </row>
    <row r="19" spans="1:18" x14ac:dyDescent="0.4">
      <c r="A19" s="18" t="s">
        <v>124</v>
      </c>
      <c r="B19" s="11">
        <f>B25</f>
        <v>35</v>
      </c>
      <c r="C19" s="5">
        <f>IF(B$17=0,0,B19/B$17)</f>
        <v>0.4861111111111111</v>
      </c>
      <c r="E19" s="27" t="s">
        <v>87</v>
      </c>
      <c r="F19" s="24" t="s">
        <v>42</v>
      </c>
      <c r="G19" s="12">
        <v>1</v>
      </c>
      <c r="H19" s="88">
        <f>IF(B$20=0,0,G19/B$20)</f>
        <v>9.2592592592592587E-3</v>
      </c>
      <c r="I19" s="58">
        <v>1</v>
      </c>
      <c r="K19" s="74">
        <v>17</v>
      </c>
      <c r="L19" s="119">
        <v>-211.5</v>
      </c>
      <c r="M19" s="117">
        <v>1512.9009587011878</v>
      </c>
    </row>
    <row r="20" spans="1:18" x14ac:dyDescent="0.4">
      <c r="A20" s="18" t="s">
        <v>10</v>
      </c>
      <c r="B20" s="11">
        <f>B23+B22</f>
        <v>108</v>
      </c>
      <c r="C20" s="5">
        <f>IF(B$3=0,0,B20/B$3)</f>
        <v>0.33333333333333331</v>
      </c>
      <c r="E20" s="27" t="s">
        <v>91</v>
      </c>
      <c r="F20" s="24" t="s">
        <v>46</v>
      </c>
      <c r="G20" s="12">
        <v>1</v>
      </c>
      <c r="H20" s="88">
        <f>IF(B$20=0,0,G20/B$20)</f>
        <v>9.2592592592592587E-3</v>
      </c>
      <c r="I20" s="58">
        <v>5</v>
      </c>
      <c r="K20" s="74">
        <v>18</v>
      </c>
      <c r="L20" s="119">
        <v>-220.6</v>
      </c>
      <c r="M20" s="117">
        <v>1511.7615529489808</v>
      </c>
    </row>
    <row r="21" spans="1:18" x14ac:dyDescent="0.4">
      <c r="A21" s="19" t="s">
        <v>13</v>
      </c>
      <c r="B21" s="12">
        <v>45</v>
      </c>
      <c r="C21" s="6">
        <f>IF(B$3=0,0,B21/B$3)</f>
        <v>0.1388888888888889</v>
      </c>
      <c r="E21" s="27" t="s">
        <v>94</v>
      </c>
      <c r="F21" s="24" t="s">
        <v>49</v>
      </c>
      <c r="G21" s="12">
        <v>1</v>
      </c>
      <c r="H21" s="88">
        <f>IF(B$20=0,0,G21/B$20)</f>
        <v>9.2592592592592587E-3</v>
      </c>
      <c r="I21" s="58">
        <v>1</v>
      </c>
      <c r="K21" s="74">
        <v>19</v>
      </c>
      <c r="L21" s="119">
        <v>-153.5</v>
      </c>
      <c r="M21" s="117">
        <v>1524.3449836312868</v>
      </c>
    </row>
    <row r="22" spans="1:18" x14ac:dyDescent="0.4">
      <c r="A22" s="19" t="s">
        <v>12</v>
      </c>
      <c r="B22" s="12">
        <v>42</v>
      </c>
      <c r="C22" s="6">
        <f>IF(B$20=0,0,B22/B$20)</f>
        <v>0.3888888888888889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4</v>
      </c>
      <c r="K22" s="74">
        <v>20</v>
      </c>
      <c r="L22" s="119">
        <v>-122</v>
      </c>
      <c r="M22" s="117">
        <v>1530.804913729499</v>
      </c>
    </row>
    <row r="23" spans="1:18" x14ac:dyDescent="0.4">
      <c r="A23" s="19" t="s">
        <v>11</v>
      </c>
      <c r="B23" s="12">
        <v>66</v>
      </c>
      <c r="C23" s="6">
        <f>IF(B$20=0,0,B23/B$20)</f>
        <v>0.61111111111111116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-91.8</v>
      </c>
      <c r="M23" s="117">
        <v>1536.992084247122</v>
      </c>
    </row>
    <row r="24" spans="1:18" x14ac:dyDescent="0.4">
      <c r="A24" s="19" t="s">
        <v>182</v>
      </c>
      <c r="B24" s="12">
        <v>43</v>
      </c>
      <c r="C24" s="6">
        <f>IF(B$20=0,0,B24/B$20)</f>
        <v>0.39814814814814814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-125.6</v>
      </c>
      <c r="M24" s="117">
        <v>1531.6221317416391</v>
      </c>
    </row>
    <row r="25" spans="1:18" x14ac:dyDescent="0.4">
      <c r="A25" s="19" t="s">
        <v>180</v>
      </c>
      <c r="B25" s="12">
        <v>35</v>
      </c>
      <c r="C25" s="6">
        <f>IF(B$20=0,0,B25/B$20)</f>
        <v>0.32407407407407407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4</v>
      </c>
      <c r="K25" s="74">
        <v>23</v>
      </c>
      <c r="L25" s="119">
        <v>-57.199999999999989</v>
      </c>
      <c r="M25" s="117">
        <v>1544.6803989511893</v>
      </c>
    </row>
    <row r="26" spans="1:18" x14ac:dyDescent="0.4">
      <c r="A26" s="19" t="s">
        <v>181</v>
      </c>
      <c r="B26" s="12">
        <v>30</v>
      </c>
      <c r="C26" s="6">
        <f>IF(B$20=0,0,B26/B$20)</f>
        <v>0.27777777777777779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-102.49999999999999</v>
      </c>
      <c r="M26" s="117">
        <v>1537.1943165574821</v>
      </c>
    </row>
    <row r="27" spans="1:18" x14ac:dyDescent="0.4">
      <c r="A27" s="19" t="s">
        <v>5</v>
      </c>
      <c r="B27" s="16">
        <f>IF(B$20=0,0,C27/B$20)</f>
        <v>7587.0370370370374</v>
      </c>
      <c r="C27" s="8">
        <v>819400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-132.6</v>
      </c>
      <c r="M27" s="117">
        <v>1532.4891506581373</v>
      </c>
    </row>
    <row r="28" spans="1:18" x14ac:dyDescent="0.4">
      <c r="A28" s="20" t="s">
        <v>164</v>
      </c>
      <c r="B28" s="95">
        <f>IF($B$20-B$19=0,0,C28/($B$20-B$19))</f>
        <v>7434.2465753424658</v>
      </c>
      <c r="C28" s="96">
        <v>542700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-98.6</v>
      </c>
      <c r="M28" s="117">
        <v>1539.3502157541884</v>
      </c>
    </row>
    <row r="29" spans="1:18" x14ac:dyDescent="0.4">
      <c r="A29" s="20" t="s">
        <v>165</v>
      </c>
      <c r="B29" s="95">
        <f>IF(B$19=0,0,C29/B$19)</f>
        <v>7905.7142857142853</v>
      </c>
      <c r="C29" s="96">
        <v>276700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-130.6</v>
      </c>
      <c r="M29" s="117">
        <v>1534.2901144596633</v>
      </c>
    </row>
    <row r="30" spans="1:18" x14ac:dyDescent="0.4">
      <c r="A30" s="20" t="s">
        <v>163</v>
      </c>
      <c r="B30" s="95">
        <f>IF(B$21=0,0,C30/B$21)</f>
        <v>-8264.4444444444453</v>
      </c>
      <c r="C30" s="96">
        <v>-371900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-123.39999999999999</v>
      </c>
      <c r="M30" s="117">
        <v>1536.3163737729053</v>
      </c>
    </row>
    <row r="31" spans="1:18" x14ac:dyDescent="0.4">
      <c r="A31" s="19" t="s">
        <v>156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-107.1</v>
      </c>
      <c r="M31" s="117">
        <v>1539.9684755302678</v>
      </c>
    </row>
    <row r="32" spans="1:18" x14ac:dyDescent="0.4">
      <c r="A32" s="19" t="s">
        <v>157</v>
      </c>
      <c r="B32" s="12">
        <v>22</v>
      </c>
      <c r="C32" s="90">
        <v>20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-137.9</v>
      </c>
      <c r="M32" s="117">
        <v>1535.1206646770863</v>
      </c>
    </row>
    <row r="33" spans="1:13" x14ac:dyDescent="0.4">
      <c r="A33" s="54" t="s">
        <v>135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-167.8</v>
      </c>
      <c r="M33" s="117">
        <v>1530.0679406890238</v>
      </c>
    </row>
    <row r="34" spans="1:13" x14ac:dyDescent="0.4">
      <c r="A34" s="22" t="s">
        <v>179</v>
      </c>
      <c r="B34" s="129">
        <v>83400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-102.10000000000001</v>
      </c>
      <c r="M34" s="117">
        <v>1542.2535330448895</v>
      </c>
    </row>
    <row r="35" spans="1:13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-67.800000000000011</v>
      </c>
      <c r="M35" s="117">
        <v>1548.7140118466202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-21.000000000000014</v>
      </c>
      <c r="M36" s="117">
        <v>1557.3857277755405</v>
      </c>
    </row>
    <row r="37" spans="1:13" x14ac:dyDescent="0.4">
      <c r="A37" s="54" t="s">
        <v>170</v>
      </c>
      <c r="B37" s="123">
        <v>5</v>
      </c>
      <c r="C37" s="98">
        <f t="shared" ref="C37:C49" si="2">IF(B$20=0,0,B37/B$20)</f>
        <v>4.6296296296296294E-2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17.199999999999989</v>
      </c>
      <c r="M37" s="117">
        <v>1564.4574134088873</v>
      </c>
    </row>
    <row r="38" spans="1:13" x14ac:dyDescent="0.4">
      <c r="A38" s="19" t="s">
        <v>166</v>
      </c>
      <c r="B38" s="12">
        <v>21</v>
      </c>
      <c r="C38" s="6">
        <f t="shared" si="2"/>
        <v>0.19444444444444445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75.699999999999989</v>
      </c>
      <c r="M38" s="117">
        <v>1575.1346689284339</v>
      </c>
    </row>
    <row r="39" spans="1:13" x14ac:dyDescent="0.4">
      <c r="A39" s="19" t="s">
        <v>167</v>
      </c>
      <c r="B39" s="124">
        <v>32</v>
      </c>
      <c r="C39" s="6">
        <f t="shared" si="2"/>
        <v>0.29629629629629628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51.79999999999999</v>
      </c>
      <c r="M39" s="117">
        <v>1570.9218609148634</v>
      </c>
    </row>
    <row r="40" spans="1:13" x14ac:dyDescent="0.4">
      <c r="A40" s="19" t="s">
        <v>168</v>
      </c>
      <c r="B40" s="124">
        <v>19</v>
      </c>
      <c r="C40" s="6">
        <f t="shared" si="2"/>
        <v>0.17592592592592593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169</v>
      </c>
      <c r="B41" s="124">
        <v>17</v>
      </c>
      <c r="C41" s="6">
        <f t="shared" si="2"/>
        <v>0.15740740740740741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13" x14ac:dyDescent="0.4">
      <c r="A42" s="19" t="s">
        <v>171</v>
      </c>
      <c r="B42" s="124">
        <v>8</v>
      </c>
      <c r="C42" s="6">
        <f t="shared" si="2"/>
        <v>7.407407407407407E-2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172</v>
      </c>
      <c r="B43" s="124">
        <v>3</v>
      </c>
      <c r="C43" s="6">
        <f t="shared" si="2"/>
        <v>2.7777777777777776E-2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173</v>
      </c>
      <c r="B44" s="124">
        <v>1</v>
      </c>
      <c r="C44" s="6">
        <f t="shared" si="2"/>
        <v>9.2592592592592587E-3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175</v>
      </c>
      <c r="B46" s="124">
        <v>1</v>
      </c>
      <c r="C46" s="6">
        <f t="shared" si="2"/>
        <v>9.2592592592592587E-3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9.2592592592592587E-3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22E87-5A34-4231-8E3A-66980FA2C7E0}">
  <sheetPr codeName="Sheet13"/>
  <dimension ref="A1:R7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69</v>
      </c>
      <c r="C2" s="134"/>
      <c r="E2" s="26" t="s">
        <v>64</v>
      </c>
      <c r="F2" s="23" t="s">
        <v>20</v>
      </c>
      <c r="G2" s="11">
        <v>109</v>
      </c>
      <c r="H2" s="87">
        <f>IF(B$20=0,0,G2/B$20)</f>
        <v>0.66060606060606064</v>
      </c>
      <c r="I2" s="57">
        <v>3</v>
      </c>
      <c r="K2" s="73">
        <v>0</v>
      </c>
      <c r="L2" s="118">
        <v>0</v>
      </c>
      <c r="M2" s="116">
        <v>1846.5755924228188</v>
      </c>
      <c r="O2" s="73" t="s">
        <v>127</v>
      </c>
      <c r="P2" s="79">
        <f t="shared" ref="P2:P7" si="0">IF(Q2=0,0,R2/Q2)</f>
        <v>471.01449275362319</v>
      </c>
      <c r="Q2" s="76">
        <v>69</v>
      </c>
      <c r="R2" s="63">
        <v>32500</v>
      </c>
    </row>
    <row r="3" spans="1:18" x14ac:dyDescent="0.4">
      <c r="A3" s="19" t="s">
        <v>8</v>
      </c>
      <c r="B3" s="135">
        <v>577</v>
      </c>
      <c r="C3" s="136"/>
      <c r="E3" s="27" t="s">
        <v>66</v>
      </c>
      <c r="F3" s="24" t="s">
        <v>22</v>
      </c>
      <c r="G3" s="12">
        <v>103</v>
      </c>
      <c r="H3" s="88">
        <f>IF(B$20=0,0,G3/B$20)</f>
        <v>0.62424242424242427</v>
      </c>
      <c r="I3" s="58">
        <v>5</v>
      </c>
      <c r="K3" s="74">
        <v>1</v>
      </c>
      <c r="L3" s="119">
        <v>30.8</v>
      </c>
      <c r="M3" s="117">
        <v>1850.0821388682818</v>
      </c>
      <c r="O3" s="74" t="s">
        <v>128</v>
      </c>
      <c r="P3" s="80">
        <f t="shared" si="0"/>
        <v>1170.5882352941176</v>
      </c>
      <c r="Q3" s="77">
        <v>68</v>
      </c>
      <c r="R3" s="64">
        <v>79600</v>
      </c>
    </row>
    <row r="4" spans="1:18" x14ac:dyDescent="0.4">
      <c r="A4" s="19" t="s">
        <v>6</v>
      </c>
      <c r="B4" s="137">
        <v>415.39999999999969</v>
      </c>
      <c r="C4" s="138"/>
      <c r="E4" s="27" t="s">
        <v>72</v>
      </c>
      <c r="F4" s="24" t="s">
        <v>27</v>
      </c>
      <c r="G4" s="12">
        <v>77</v>
      </c>
      <c r="H4" s="88">
        <f>IF(B$20=0,0,G4/B$20)</f>
        <v>0.46666666666666667</v>
      </c>
      <c r="I4" s="58">
        <v>5</v>
      </c>
      <c r="K4" s="74">
        <v>2</v>
      </c>
      <c r="L4" s="119">
        <v>9.8000000000000007</v>
      </c>
      <c r="M4" s="117">
        <v>1844.9996460350721</v>
      </c>
      <c r="O4" s="74" t="s">
        <v>129</v>
      </c>
      <c r="P4" s="80">
        <f t="shared" si="0"/>
        <v>1066.6666666666667</v>
      </c>
      <c r="Q4" s="77">
        <v>66</v>
      </c>
      <c r="R4" s="64">
        <v>70400</v>
      </c>
    </row>
    <row r="5" spans="1:18" x14ac:dyDescent="0.4">
      <c r="A5" s="19" t="s">
        <v>7</v>
      </c>
      <c r="B5" s="125">
        <f>IF(B$2=0,0,B$4/B$2)</f>
        <v>6.0202898550724591</v>
      </c>
      <c r="C5" s="126"/>
      <c r="E5" s="27" t="s">
        <v>67</v>
      </c>
      <c r="F5" s="24" t="s">
        <v>23</v>
      </c>
      <c r="G5" s="12">
        <v>75</v>
      </c>
      <c r="H5" s="88">
        <f>IF(B$20=0,0,G5/B$20)</f>
        <v>0.45454545454545453</v>
      </c>
      <c r="I5" s="58">
        <v>1</v>
      </c>
      <c r="K5" s="74">
        <v>3</v>
      </c>
      <c r="L5" s="119">
        <v>-22.900000000000002</v>
      </c>
      <c r="M5" s="117">
        <v>1837.8596481588618</v>
      </c>
      <c r="O5" s="74" t="s">
        <v>130</v>
      </c>
      <c r="P5" s="80">
        <f t="shared" si="0"/>
        <v>855.55555555555554</v>
      </c>
      <c r="Q5" s="77">
        <v>63</v>
      </c>
      <c r="R5" s="64">
        <v>53900</v>
      </c>
    </row>
    <row r="6" spans="1:18" x14ac:dyDescent="0.4">
      <c r="A6" s="19" t="s">
        <v>192</v>
      </c>
      <c r="B6" s="129">
        <v>1819.8977830173876</v>
      </c>
      <c r="C6" s="130"/>
      <c r="E6" s="27" t="s">
        <v>158</v>
      </c>
      <c r="F6" s="24" t="s">
        <v>159</v>
      </c>
      <c r="G6" s="12">
        <v>67</v>
      </c>
      <c r="H6" s="88">
        <f>IF(B$20=0,0,G6/B$20)</f>
        <v>0.40606060606060607</v>
      </c>
      <c r="I6" s="58">
        <v>7</v>
      </c>
      <c r="K6" s="74">
        <v>4</v>
      </c>
      <c r="L6" s="119">
        <v>-61.600000000000009</v>
      </c>
      <c r="M6" s="117">
        <v>1829.5624902699085</v>
      </c>
      <c r="O6" s="74" t="s">
        <v>131</v>
      </c>
      <c r="P6" s="80">
        <f t="shared" si="0"/>
        <v>255.17241379310346</v>
      </c>
      <c r="Q6" s="77">
        <v>58</v>
      </c>
      <c r="R6" s="64">
        <v>14800</v>
      </c>
    </row>
    <row r="7" spans="1:18" x14ac:dyDescent="0.4">
      <c r="A7" s="19" t="s">
        <v>1</v>
      </c>
      <c r="B7" s="139">
        <f>IF(B$2=0,0,(B$8*1+B$9*2+B$10*3)/B$2)</f>
        <v>1.8695652173913044</v>
      </c>
      <c r="C7" s="140"/>
      <c r="E7" s="27" t="s">
        <v>68</v>
      </c>
      <c r="F7" s="24" t="s">
        <v>12</v>
      </c>
      <c r="G7" s="12">
        <v>56</v>
      </c>
      <c r="H7" s="88">
        <f>IF(B$20=0,0,G7/B$20)</f>
        <v>0.33939393939393941</v>
      </c>
      <c r="I7" s="58">
        <v>6</v>
      </c>
      <c r="K7" s="74">
        <v>5</v>
      </c>
      <c r="L7" s="119">
        <v>-68.000000000000014</v>
      </c>
      <c r="M7" s="117">
        <v>1827.231115328289</v>
      </c>
      <c r="O7" s="75" t="s">
        <v>132</v>
      </c>
      <c r="P7" s="81">
        <f t="shared" si="0"/>
        <v>-67.307692307692307</v>
      </c>
      <c r="Q7" s="78">
        <v>52</v>
      </c>
      <c r="R7" s="65">
        <v>-3500</v>
      </c>
    </row>
    <row r="8" spans="1:18" x14ac:dyDescent="0.4">
      <c r="A8" s="19" t="s">
        <v>2</v>
      </c>
      <c r="B8" s="12">
        <v>27</v>
      </c>
      <c r="C8" s="6">
        <f t="shared" ref="C8:C15" si="1">IF(B$2=0,0,B8/B$2)</f>
        <v>0.39130434782608697</v>
      </c>
      <c r="E8" s="27" t="s">
        <v>89</v>
      </c>
      <c r="F8" s="24" t="s">
        <v>44</v>
      </c>
      <c r="G8" s="12">
        <v>28</v>
      </c>
      <c r="H8" s="88">
        <f>IF(B$20=0,0,G8/B$20)</f>
        <v>0.16969696969696971</v>
      </c>
      <c r="I8" s="58">
        <v>2</v>
      </c>
      <c r="K8" s="74">
        <v>6</v>
      </c>
      <c r="L8" s="119">
        <v>-68.800000000000011</v>
      </c>
      <c r="M8" s="117">
        <v>1825.8377286363193</v>
      </c>
      <c r="O8" s="107"/>
      <c r="P8" s="85"/>
      <c r="Q8" s="108"/>
      <c r="R8" s="70"/>
    </row>
    <row r="9" spans="1:18" x14ac:dyDescent="0.4">
      <c r="A9" s="19" t="s">
        <v>3</v>
      </c>
      <c r="B9" s="12">
        <v>24</v>
      </c>
      <c r="C9" s="6">
        <f t="shared" si="1"/>
        <v>0.34782608695652173</v>
      </c>
      <c r="E9" s="27" t="s">
        <v>69</v>
      </c>
      <c r="F9" s="24" t="s">
        <v>24</v>
      </c>
      <c r="G9" s="12">
        <v>25</v>
      </c>
      <c r="H9" s="88">
        <f>IF(B$20=0,0,G9/B$20)</f>
        <v>0.15151515151515152</v>
      </c>
      <c r="I9" s="58">
        <v>5</v>
      </c>
      <c r="K9" s="74">
        <v>7</v>
      </c>
      <c r="L9" s="119">
        <v>3.4999999999999858</v>
      </c>
      <c r="M9" s="117">
        <v>1837.8507022645015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18</v>
      </c>
      <c r="C10" s="7">
        <f t="shared" si="1"/>
        <v>0.2608695652173913</v>
      </c>
      <c r="E10" s="27" t="s">
        <v>65</v>
      </c>
      <c r="F10" s="24" t="s">
        <v>21</v>
      </c>
      <c r="G10" s="12">
        <v>21</v>
      </c>
      <c r="H10" s="88">
        <f>IF(B$20=0,0,G10/B$20)</f>
        <v>0.12727272727272726</v>
      </c>
      <c r="I10" s="58">
        <v>7</v>
      </c>
      <c r="K10" s="74">
        <v>8</v>
      </c>
      <c r="L10" s="119">
        <v>-1.800000000000014</v>
      </c>
      <c r="M10" s="117">
        <v>1835.6735980509145</v>
      </c>
      <c r="O10" s="73" t="s">
        <v>150</v>
      </c>
      <c r="P10" s="82">
        <f>IF(Q10=0,0,R10/Q10)</f>
        <v>1.5681818181818181</v>
      </c>
      <c r="Q10" s="76">
        <v>22</v>
      </c>
      <c r="R10" s="67">
        <v>34.5</v>
      </c>
    </row>
    <row r="11" spans="1:18" x14ac:dyDescent="0.4">
      <c r="A11" s="20" t="s">
        <v>183</v>
      </c>
      <c r="B11" s="109">
        <f>IF(B8=0,0,C11/B8)</f>
        <v>47.644444444444453</v>
      </c>
      <c r="C11" s="110">
        <v>1286.4000000000003</v>
      </c>
      <c r="E11" s="27" t="s">
        <v>70</v>
      </c>
      <c r="F11" s="24" t="s">
        <v>25</v>
      </c>
      <c r="G11" s="12">
        <v>17</v>
      </c>
      <c r="H11" s="88">
        <f>IF(B$20=0,0,G11/B$20)</f>
        <v>0.10303030303030303</v>
      </c>
      <c r="I11" s="58">
        <v>6</v>
      </c>
      <c r="K11" s="74">
        <v>9</v>
      </c>
      <c r="L11" s="119">
        <v>49.999999999999986</v>
      </c>
      <c r="M11" s="117">
        <v>1843.805556462609</v>
      </c>
      <c r="O11" s="74" t="s">
        <v>151</v>
      </c>
      <c r="P11" s="83">
        <f>IF(Q11=0,0,R11/Q11)</f>
        <v>8.594736842105263</v>
      </c>
      <c r="Q11" s="77">
        <v>19</v>
      </c>
      <c r="R11" s="68">
        <v>163.30000000000001</v>
      </c>
    </row>
    <row r="12" spans="1:18" x14ac:dyDescent="0.4">
      <c r="A12" s="20" t="s">
        <v>184</v>
      </c>
      <c r="B12" s="109">
        <f>IF(B9=0,0,C12/B9)</f>
        <v>-3.7166666666666668</v>
      </c>
      <c r="C12" s="110">
        <v>-89.2</v>
      </c>
      <c r="E12" s="27" t="s">
        <v>86</v>
      </c>
      <c r="F12" s="24" t="s">
        <v>41</v>
      </c>
      <c r="G12" s="12">
        <v>15</v>
      </c>
      <c r="H12" s="88">
        <f>IF(B$20=0,0,G12/B$20)</f>
        <v>9.0909090909090912E-2</v>
      </c>
      <c r="I12" s="58">
        <v>1</v>
      </c>
      <c r="K12" s="74">
        <v>10</v>
      </c>
      <c r="L12" s="119">
        <v>82.499999999999986</v>
      </c>
      <c r="M12" s="117">
        <v>1848.5227231238334</v>
      </c>
      <c r="O12" s="75" t="s">
        <v>152</v>
      </c>
      <c r="P12" s="84">
        <f>IF(Q12=0,0,R12/Q12)</f>
        <v>7.7714285714285714</v>
      </c>
      <c r="Q12" s="78">
        <v>28</v>
      </c>
      <c r="R12" s="69">
        <v>217.6</v>
      </c>
    </row>
    <row r="13" spans="1:18" x14ac:dyDescent="0.4">
      <c r="A13" s="20" t="s">
        <v>185</v>
      </c>
      <c r="B13" s="109">
        <f>IF(B10=0,0,C13/B10)</f>
        <v>-43.433333333333337</v>
      </c>
      <c r="C13" s="110">
        <v>-781.80000000000007</v>
      </c>
      <c r="E13" s="27" t="s">
        <v>71</v>
      </c>
      <c r="F13" s="24" t="s">
        <v>26</v>
      </c>
      <c r="G13" s="12">
        <v>10</v>
      </c>
      <c r="H13" s="88">
        <f>IF(B$20=0,0,G13/B$20)</f>
        <v>6.0606060606060608E-2</v>
      </c>
      <c r="I13" s="58">
        <v>6</v>
      </c>
      <c r="K13" s="74">
        <v>11</v>
      </c>
      <c r="L13" s="119">
        <v>80.999999999999986</v>
      </c>
      <c r="M13" s="117">
        <v>1846.8935867850905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0.16481481481481572</v>
      </c>
      <c r="C14" s="126"/>
      <c r="E14" s="27" t="s">
        <v>81</v>
      </c>
      <c r="F14" s="24" t="s">
        <v>36</v>
      </c>
      <c r="G14" s="12">
        <v>5</v>
      </c>
      <c r="H14" s="88">
        <f>IF(B$20=0,0,G14/B$20)</f>
        <v>3.0303030303030304E-2</v>
      </c>
      <c r="I14" s="58">
        <v>5</v>
      </c>
      <c r="K14" s="74">
        <v>12</v>
      </c>
      <c r="L14" s="119">
        <v>116.29999999999998</v>
      </c>
      <c r="M14" s="117">
        <v>1851.86222526438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5</v>
      </c>
      <c r="C15" s="9">
        <f t="shared" si="1"/>
        <v>7.2463768115942032E-2</v>
      </c>
      <c r="E15" s="27" t="s">
        <v>79</v>
      </c>
      <c r="F15" s="24" t="s">
        <v>34</v>
      </c>
      <c r="G15" s="12">
        <v>4</v>
      </c>
      <c r="H15" s="88">
        <f>IF(B$20=0,0,G15/B$20)</f>
        <v>2.4242424242424242E-2</v>
      </c>
      <c r="I15" s="58">
        <v>2</v>
      </c>
      <c r="K15" s="74">
        <v>13</v>
      </c>
      <c r="L15" s="119">
        <v>191.7</v>
      </c>
      <c r="M15" s="117">
        <v>1863.7610519127936</v>
      </c>
      <c r="O15" s="73" t="s">
        <v>209</v>
      </c>
      <c r="P15" s="82">
        <f>IF(Q15=0,0,R15/Q15)</f>
        <v>57.644444444444439</v>
      </c>
      <c r="Q15" s="76">
        <v>9</v>
      </c>
      <c r="R15" s="67">
        <v>518.79999999999995</v>
      </c>
    </row>
    <row r="16" spans="1:18" x14ac:dyDescent="0.4">
      <c r="A16" s="22" t="s">
        <v>121</v>
      </c>
      <c r="B16" s="15">
        <v>213</v>
      </c>
      <c r="C16" s="10">
        <f>IF(B$3=0,0,B16/B$3)</f>
        <v>0.36915077989601386</v>
      </c>
      <c r="E16" s="27" t="s">
        <v>75</v>
      </c>
      <c r="F16" s="24" t="s">
        <v>30</v>
      </c>
      <c r="G16" s="12">
        <v>3</v>
      </c>
      <c r="H16" s="88">
        <f>IF(B$20=0,0,G16/B$20)</f>
        <v>1.8181818181818181E-2</v>
      </c>
      <c r="I16" s="58">
        <v>2</v>
      </c>
      <c r="K16" s="74">
        <v>14</v>
      </c>
      <c r="L16" s="119">
        <v>244.7</v>
      </c>
      <c r="M16" s="117">
        <v>1871.5564856013168</v>
      </c>
      <c r="O16" s="74" t="s">
        <v>188</v>
      </c>
      <c r="P16" s="83">
        <f>IF(Q16=0,0,R16/Q16)</f>
        <v>19.166666666666668</v>
      </c>
      <c r="Q16" s="77">
        <v>12</v>
      </c>
      <c r="R16" s="68">
        <v>230.00000000000003</v>
      </c>
    </row>
    <row r="17" spans="1:18" x14ac:dyDescent="0.4">
      <c r="A17" s="19" t="s">
        <v>118</v>
      </c>
      <c r="B17" s="12">
        <v>87</v>
      </c>
      <c r="C17" s="6">
        <f>IF(B$3=0,0,B17/B$3)</f>
        <v>0.15077989601386482</v>
      </c>
      <c r="E17" s="27" t="s">
        <v>78</v>
      </c>
      <c r="F17" s="24" t="s">
        <v>33</v>
      </c>
      <c r="G17" s="12">
        <v>3</v>
      </c>
      <c r="H17" s="88">
        <f>IF(B$20=0,0,G17/B$20)</f>
        <v>1.8181818181818181E-2</v>
      </c>
      <c r="I17" s="58">
        <v>6</v>
      </c>
      <c r="K17" s="74">
        <v>15</v>
      </c>
      <c r="L17" s="119">
        <v>278.59999999999997</v>
      </c>
      <c r="M17" s="117">
        <v>1875.867146687709</v>
      </c>
      <c r="O17" s="74" t="s">
        <v>191</v>
      </c>
      <c r="P17" s="83">
        <f>IF(Q17=0,0,R17/Q17)</f>
        <v>18.978723404255316</v>
      </c>
      <c r="Q17" s="77">
        <v>47</v>
      </c>
      <c r="R17" s="68">
        <v>891.99999999999989</v>
      </c>
    </row>
    <row r="18" spans="1:18" x14ac:dyDescent="0.4">
      <c r="A18" s="18" t="s">
        <v>123</v>
      </c>
      <c r="B18" s="11">
        <f>B24</f>
        <v>109</v>
      </c>
      <c r="C18" s="5">
        <f>IF(B$16=0,0,B18/B$16)</f>
        <v>0.51173708920187788</v>
      </c>
      <c r="E18" s="27" t="s">
        <v>83</v>
      </c>
      <c r="F18" s="24" t="s">
        <v>38</v>
      </c>
      <c r="G18" s="12">
        <v>3</v>
      </c>
      <c r="H18" s="88">
        <f>IF(B$20=0,0,G18/B$20)</f>
        <v>1.8181818181818181E-2</v>
      </c>
      <c r="I18" s="58">
        <v>6</v>
      </c>
      <c r="K18" s="74">
        <v>16</v>
      </c>
      <c r="L18" s="119">
        <v>247.79999999999995</v>
      </c>
      <c r="M18" s="117">
        <v>1868.5059438075828</v>
      </c>
      <c r="O18" s="74" t="s">
        <v>189</v>
      </c>
      <c r="P18" s="83">
        <f>IF(Q18=0,0,R18/Q18)</f>
        <v>-2.4870967741935464</v>
      </c>
      <c r="Q18" s="77">
        <v>31</v>
      </c>
      <c r="R18" s="68">
        <v>-77.099999999999937</v>
      </c>
    </row>
    <row r="19" spans="1:18" x14ac:dyDescent="0.4">
      <c r="A19" s="18" t="s">
        <v>124</v>
      </c>
      <c r="B19" s="11">
        <f>B25</f>
        <v>36</v>
      </c>
      <c r="C19" s="5">
        <f>IF(B$17=0,0,B19/B$17)</f>
        <v>0.41379310344827586</v>
      </c>
      <c r="E19" s="27" t="s">
        <v>91</v>
      </c>
      <c r="F19" s="24" t="s">
        <v>46</v>
      </c>
      <c r="G19" s="12">
        <v>3</v>
      </c>
      <c r="H19" s="88">
        <f>IF(B$20=0,0,G19/B$20)</f>
        <v>1.8181818181818181E-2</v>
      </c>
      <c r="I19" s="58">
        <v>2</v>
      </c>
      <c r="K19" s="74">
        <v>17</v>
      </c>
      <c r="L19" s="119">
        <v>298.79999999999995</v>
      </c>
      <c r="M19" s="117">
        <v>1875.9129081447372</v>
      </c>
      <c r="O19" s="74" t="s">
        <v>187</v>
      </c>
      <c r="P19" s="83">
        <f>IF(Q19=0,0,R19/Q19)</f>
        <v>-5.3777777777777764</v>
      </c>
      <c r="Q19" s="77">
        <v>9</v>
      </c>
      <c r="R19" s="68">
        <v>-48.399999999999991</v>
      </c>
    </row>
    <row r="20" spans="1:18" x14ac:dyDescent="0.4">
      <c r="A20" s="18" t="s">
        <v>10</v>
      </c>
      <c r="B20" s="11">
        <f>B23+B22</f>
        <v>165</v>
      </c>
      <c r="C20" s="5">
        <f>IF(B$3=0,0,B20/B$3)</f>
        <v>0.28596187175043325</v>
      </c>
      <c r="E20" s="27" t="s">
        <v>92</v>
      </c>
      <c r="F20" s="24" t="s">
        <v>47</v>
      </c>
      <c r="G20" s="12">
        <v>2</v>
      </c>
      <c r="H20" s="88">
        <f>IF(B$20=0,0,G20/B$20)</f>
        <v>1.2121212121212121E-2</v>
      </c>
      <c r="I20" s="58">
        <v>1</v>
      </c>
      <c r="K20" s="74">
        <v>18</v>
      </c>
      <c r="L20" s="119">
        <v>327.79999999999995</v>
      </c>
      <c r="M20" s="117">
        <v>1879.3154306958688</v>
      </c>
      <c r="O20" s="74" t="s">
        <v>162</v>
      </c>
      <c r="P20" s="83">
        <f>IF(Q20=0,0,R20/Q20)</f>
        <v>-8.9700000000000006</v>
      </c>
      <c r="Q20" s="77">
        <v>30</v>
      </c>
      <c r="R20" s="68">
        <v>-269.10000000000002</v>
      </c>
    </row>
    <row r="21" spans="1:18" x14ac:dyDescent="0.4">
      <c r="A21" s="19" t="s">
        <v>13</v>
      </c>
      <c r="B21" s="12">
        <v>86</v>
      </c>
      <c r="C21" s="6">
        <f>IF(B$3=0,0,B21/B$3)</f>
        <v>0.14904679376083188</v>
      </c>
      <c r="E21" s="27" t="s">
        <v>93</v>
      </c>
      <c r="F21" s="24" t="s">
        <v>48</v>
      </c>
      <c r="G21" s="12">
        <v>2</v>
      </c>
      <c r="H21" s="88">
        <f>IF(B$20=0,0,G21/B$20)</f>
        <v>1.2121212121212121E-2</v>
      </c>
      <c r="I21" s="58">
        <v>1</v>
      </c>
      <c r="K21" s="74">
        <v>19</v>
      </c>
      <c r="L21" s="119">
        <v>347.49999999999994</v>
      </c>
      <c r="M21" s="117">
        <v>1881.0235381116936</v>
      </c>
    </row>
    <row r="22" spans="1:18" x14ac:dyDescent="0.4">
      <c r="A22" s="19" t="s">
        <v>12</v>
      </c>
      <c r="B22" s="12">
        <v>70</v>
      </c>
      <c r="C22" s="6">
        <f>IF(B$20=0,0,B22/B$20)</f>
        <v>0.42424242424242425</v>
      </c>
      <c r="E22" s="27" t="s">
        <v>76</v>
      </c>
      <c r="F22" s="24" t="s">
        <v>31</v>
      </c>
      <c r="G22" s="12">
        <v>1</v>
      </c>
      <c r="H22" s="88">
        <f>IF(B$20=0,0,G22/B$20)</f>
        <v>6.0606060606060606E-3</v>
      </c>
      <c r="I22" s="58">
        <v>1</v>
      </c>
      <c r="K22" s="74">
        <v>20</v>
      </c>
      <c r="L22" s="119">
        <v>354.69999999999993</v>
      </c>
      <c r="M22" s="117">
        <v>1880.4653968830235</v>
      </c>
    </row>
    <row r="23" spans="1:18" x14ac:dyDescent="0.4">
      <c r="A23" s="19" t="s">
        <v>11</v>
      </c>
      <c r="B23" s="12">
        <v>95</v>
      </c>
      <c r="C23" s="6">
        <f>IF(B$20=0,0,B23/B$20)</f>
        <v>0.5757575757575758</v>
      </c>
      <c r="E23" s="27" t="s">
        <v>99</v>
      </c>
      <c r="F23" s="24" t="s">
        <v>54</v>
      </c>
      <c r="G23" s="12">
        <v>1</v>
      </c>
      <c r="H23" s="88">
        <f>IF(B$20=0,0,G23/B$20)</f>
        <v>6.0606060606060606E-3</v>
      </c>
      <c r="I23" s="58">
        <v>1</v>
      </c>
      <c r="K23" s="74">
        <v>21</v>
      </c>
      <c r="L23" s="119">
        <v>297.29999999999995</v>
      </c>
      <c r="M23" s="117">
        <v>1868.4206045017254</v>
      </c>
    </row>
    <row r="24" spans="1:18" x14ac:dyDescent="0.4">
      <c r="A24" s="19" t="s">
        <v>182</v>
      </c>
      <c r="B24" s="12">
        <v>109</v>
      </c>
      <c r="C24" s="6">
        <f>IF(B$20=0,0,B24/B$20)</f>
        <v>0.66060606060606064</v>
      </c>
      <c r="E24" s="27" t="s">
        <v>154</v>
      </c>
      <c r="F24" s="24" t="s">
        <v>155</v>
      </c>
      <c r="G24" s="12">
        <v>1</v>
      </c>
      <c r="H24" s="88">
        <f>IF(B$20=0,0,G24/B$20)</f>
        <v>6.0606060606060606E-3</v>
      </c>
      <c r="I24" s="58">
        <v>3</v>
      </c>
      <c r="K24" s="74">
        <v>22</v>
      </c>
      <c r="L24" s="119">
        <v>331.49999999999994</v>
      </c>
      <c r="M24" s="117">
        <v>1872.9360808747151</v>
      </c>
    </row>
    <row r="25" spans="1:18" x14ac:dyDescent="0.4">
      <c r="A25" s="19" t="s">
        <v>180</v>
      </c>
      <c r="B25" s="12">
        <v>36</v>
      </c>
      <c r="C25" s="6">
        <f>IF(B$20=0,0,B25/B$20)</f>
        <v>0.21818181818181817</v>
      </c>
      <c r="E25" s="27" t="s">
        <v>73</v>
      </c>
      <c r="F25" s="24" t="s">
        <v>28</v>
      </c>
      <c r="G25" s="12">
        <v>0</v>
      </c>
      <c r="H25" s="88">
        <f>IF(B$20=0,0,G25/B$20)</f>
        <v>0</v>
      </c>
      <c r="I25" s="58">
        <v>7</v>
      </c>
      <c r="K25" s="74">
        <v>23</v>
      </c>
      <c r="L25" s="119">
        <v>283.39999999999992</v>
      </c>
      <c r="M25" s="117">
        <v>1862.6104643894669</v>
      </c>
    </row>
    <row r="26" spans="1:18" x14ac:dyDescent="0.4">
      <c r="A26" s="19" t="s">
        <v>181</v>
      </c>
      <c r="B26" s="12">
        <v>20</v>
      </c>
      <c r="C26" s="6">
        <f>IF(B$20=0,0,B26/B$20)</f>
        <v>0.12121212121212122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273.59999999999991</v>
      </c>
      <c r="M26" s="117">
        <v>1859.2468016031301</v>
      </c>
    </row>
    <row r="27" spans="1:18" x14ac:dyDescent="0.4">
      <c r="A27" s="19" t="s">
        <v>5</v>
      </c>
      <c r="B27" s="16">
        <f>IF(B$20=0,0,C27/B$20)</f>
        <v>10107.272727272728</v>
      </c>
      <c r="C27" s="8">
        <v>1667700</v>
      </c>
      <c r="E27" s="27" t="s">
        <v>77</v>
      </c>
      <c r="F27" s="24" t="s">
        <v>32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323.39999999999992</v>
      </c>
      <c r="M27" s="117">
        <v>1866.6253207935113</v>
      </c>
    </row>
    <row r="28" spans="1:18" x14ac:dyDescent="0.4">
      <c r="A28" s="20" t="s">
        <v>164</v>
      </c>
      <c r="B28" s="95">
        <f>IF($B$20-B$19=0,0,C28/($B$20-B$19))</f>
        <v>10767.441860465116</v>
      </c>
      <c r="C28" s="96">
        <v>1389000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377.59999999999991</v>
      </c>
      <c r="M28" s="117">
        <v>1874.7575688687502</v>
      </c>
    </row>
    <row r="29" spans="1:18" x14ac:dyDescent="0.4">
      <c r="A29" s="20" t="s">
        <v>165</v>
      </c>
      <c r="B29" s="95">
        <f>IF(B$19=0,0,C29/B$19)</f>
        <v>7741.666666666667</v>
      </c>
      <c r="C29" s="96">
        <v>278700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354.59999999999991</v>
      </c>
      <c r="M29" s="117">
        <v>1868.9450234555377</v>
      </c>
    </row>
    <row r="30" spans="1:18" x14ac:dyDescent="0.4">
      <c r="A30" s="20" t="s">
        <v>163</v>
      </c>
      <c r="B30" s="95">
        <f>IF(B$21=0,0,C30/B$21)</f>
        <v>-7983.7209302325582</v>
      </c>
      <c r="C30" s="96">
        <v>-686600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314.19999999999993</v>
      </c>
      <c r="M30" s="117">
        <v>1860.3953533148044</v>
      </c>
    </row>
    <row r="31" spans="1:18" x14ac:dyDescent="0.4">
      <c r="A31" s="19" t="s">
        <v>156</v>
      </c>
      <c r="B31" s="12">
        <v>5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310.49999999999994</v>
      </c>
      <c r="M31" s="117">
        <v>1858.5029811949155</v>
      </c>
    </row>
    <row r="32" spans="1:18" x14ac:dyDescent="0.4">
      <c r="A32" s="19" t="s">
        <v>157</v>
      </c>
      <c r="B32" s="12">
        <v>47</v>
      </c>
      <c r="C32" s="90">
        <v>3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337.69999999999993</v>
      </c>
      <c r="M32" s="117">
        <v>1862.1839633077459</v>
      </c>
    </row>
    <row r="33" spans="1:13" x14ac:dyDescent="0.4">
      <c r="A33" s="54" t="s">
        <v>135</v>
      </c>
      <c r="B33" s="127">
        <v>6</v>
      </c>
      <c r="C33" s="128"/>
      <c r="E33" s="27" t="s">
        <v>88</v>
      </c>
      <c r="F33" s="24" t="s">
        <v>43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325.09999999999991</v>
      </c>
      <c r="M33" s="117">
        <v>1858.6788595278995</v>
      </c>
    </row>
    <row r="34" spans="1:13" x14ac:dyDescent="0.4">
      <c r="A34" s="22" t="s">
        <v>179</v>
      </c>
      <c r="B34" s="129">
        <v>144300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329.7999999999999</v>
      </c>
      <c r="M34" s="117">
        <v>1858.3087863707322</v>
      </c>
    </row>
    <row r="35" spans="1:13" x14ac:dyDescent="0.4">
      <c r="A35" s="21" t="s">
        <v>136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323.7999999999999</v>
      </c>
      <c r="M35" s="117">
        <v>1856.0149336525078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290.69999999999987</v>
      </c>
      <c r="M36" s="117">
        <v>1848.8568440505928</v>
      </c>
    </row>
    <row r="37" spans="1:13" x14ac:dyDescent="0.4">
      <c r="A37" s="54" t="s">
        <v>170</v>
      </c>
      <c r="B37" s="123">
        <v>10</v>
      </c>
      <c r="C37" s="98">
        <f t="shared" ref="C37:C49" si="2">IF(B$20=0,0,B37/B$20)</f>
        <v>6.0606060606060608E-2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293.49999999999989</v>
      </c>
      <c r="M37" s="117">
        <v>1848.2037029862893</v>
      </c>
    </row>
    <row r="38" spans="1:13" x14ac:dyDescent="0.4">
      <c r="A38" s="19" t="s">
        <v>166</v>
      </c>
      <c r="B38" s="12">
        <v>19</v>
      </c>
      <c r="C38" s="6">
        <f t="shared" si="2"/>
        <v>0.11515151515151516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236.69999999999987</v>
      </c>
      <c r="M38" s="117">
        <v>1836.8264807683715</v>
      </c>
    </row>
    <row r="39" spans="1:13" x14ac:dyDescent="0.4">
      <c r="A39" s="19" t="s">
        <v>167</v>
      </c>
      <c r="B39" s="124">
        <v>31</v>
      </c>
      <c r="C39" s="6">
        <f t="shared" si="2"/>
        <v>0.18787878787878787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280.2999999999999</v>
      </c>
      <c r="M39" s="117">
        <v>1843.5895218837613</v>
      </c>
    </row>
    <row r="40" spans="1:13" x14ac:dyDescent="0.4">
      <c r="A40" s="19" t="s">
        <v>168</v>
      </c>
      <c r="B40" s="124">
        <v>24</v>
      </c>
      <c r="C40" s="6">
        <f t="shared" si="2"/>
        <v>0.14545454545454545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272.69999999999987</v>
      </c>
      <c r="M40" s="117">
        <v>1841.0959847524587</v>
      </c>
    </row>
    <row r="41" spans="1:13" x14ac:dyDescent="0.4">
      <c r="A41" s="19" t="s">
        <v>169</v>
      </c>
      <c r="B41" s="124">
        <v>24</v>
      </c>
      <c r="C41" s="6">
        <f t="shared" si="2"/>
        <v>0.14545454545454545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401.99999999999989</v>
      </c>
      <c r="M41" s="117">
        <v>1862.8634088439439</v>
      </c>
    </row>
    <row r="42" spans="1:13" x14ac:dyDescent="0.4">
      <c r="A42" s="19" t="s">
        <v>171</v>
      </c>
      <c r="B42" s="124">
        <v>26</v>
      </c>
      <c r="C42" s="6">
        <f t="shared" si="2"/>
        <v>0.15757575757575756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394.39999999999986</v>
      </c>
      <c r="M42" s="117">
        <v>1859.8582283908802</v>
      </c>
    </row>
    <row r="43" spans="1:13" x14ac:dyDescent="0.4">
      <c r="A43" s="19" t="s">
        <v>172</v>
      </c>
      <c r="B43" s="124">
        <v>13</v>
      </c>
      <c r="C43" s="6">
        <f t="shared" si="2"/>
        <v>7.8787878787878782E-2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359.09999999999985</v>
      </c>
      <c r="M43" s="117">
        <v>1851.8850790205349</v>
      </c>
    </row>
    <row r="44" spans="1:13" x14ac:dyDescent="0.4">
      <c r="A44" s="19" t="s">
        <v>173</v>
      </c>
      <c r="B44" s="124">
        <v>9</v>
      </c>
      <c r="C44" s="6">
        <f t="shared" si="2"/>
        <v>5.4545454545454543E-2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360.29999999999984</v>
      </c>
      <c r="M44" s="117">
        <v>1850.5297685464118</v>
      </c>
    </row>
    <row r="45" spans="1:13" x14ac:dyDescent="0.4">
      <c r="A45" s="19" t="s">
        <v>174</v>
      </c>
      <c r="B45" s="124">
        <v>2</v>
      </c>
      <c r="C45" s="6">
        <f t="shared" si="2"/>
        <v>1.2121212121212121E-2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322.49999999999983</v>
      </c>
      <c r="M45" s="117">
        <v>1842.1625899351334</v>
      </c>
    </row>
    <row r="46" spans="1:13" x14ac:dyDescent="0.4">
      <c r="A46" s="19" t="s">
        <v>175</v>
      </c>
      <c r="B46" s="124">
        <v>1</v>
      </c>
      <c r="C46" s="6">
        <f t="shared" si="2"/>
        <v>6.0606060606060606E-3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269.79999999999984</v>
      </c>
      <c r="M46" s="117">
        <v>1831.1576143955226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296.19999999999982</v>
      </c>
      <c r="M47" s="117">
        <v>1834.4626687091495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308.19999999999982</v>
      </c>
      <c r="M48" s="117">
        <v>1835.0118926968946</v>
      </c>
    </row>
    <row r="49" spans="1:13" x14ac:dyDescent="0.4">
      <c r="A49" s="21" t="s">
        <v>178</v>
      </c>
      <c r="B49" s="97">
        <v>6</v>
      </c>
      <c r="C49" s="9">
        <f t="shared" si="2"/>
        <v>3.6363636363636362E-2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337.89999999999981</v>
      </c>
      <c r="M49" s="117">
        <v>1838.8458213407132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365.49999999999983</v>
      </c>
      <c r="M50" s="117">
        <v>1842.2787464126689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383.19999999999982</v>
      </c>
      <c r="M51" s="117">
        <v>1843.9090739341927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430.69999999999982</v>
      </c>
      <c r="M52" s="117">
        <v>1850.8936194905875</v>
      </c>
    </row>
    <row r="53" spans="1:13" x14ac:dyDescent="0.4">
      <c r="K53" s="74">
        <v>51</v>
      </c>
      <c r="L53" s="119">
        <v>489.69999999999982</v>
      </c>
      <c r="M53" s="117">
        <v>1859.906257773644</v>
      </c>
    </row>
    <row r="54" spans="1:13" x14ac:dyDescent="0.4">
      <c r="K54" s="74">
        <v>52</v>
      </c>
      <c r="L54" s="119">
        <v>548.5999999999998</v>
      </c>
      <c r="M54" s="117">
        <v>1868.8468202270021</v>
      </c>
    </row>
    <row r="55" spans="1:13" x14ac:dyDescent="0.4">
      <c r="K55" s="74">
        <v>53</v>
      </c>
      <c r="L55" s="119">
        <v>480.39999999999981</v>
      </c>
      <c r="M55" s="117">
        <v>1854.8557393056401</v>
      </c>
    </row>
    <row r="56" spans="1:13" x14ac:dyDescent="0.4">
      <c r="K56" s="74">
        <v>54</v>
      </c>
      <c r="L56" s="119">
        <v>454.39999999999981</v>
      </c>
      <c r="M56" s="117">
        <v>1848.5446048698063</v>
      </c>
    </row>
    <row r="57" spans="1:13" x14ac:dyDescent="0.4">
      <c r="K57" s="74">
        <v>55</v>
      </c>
      <c r="L57" s="119">
        <v>541.5999999999998</v>
      </c>
      <c r="M57" s="117">
        <v>1862.6473372405876</v>
      </c>
    </row>
    <row r="58" spans="1:13" x14ac:dyDescent="0.4">
      <c r="K58" s="74">
        <v>56</v>
      </c>
      <c r="L58" s="119">
        <v>537.99999999999977</v>
      </c>
      <c r="M58" s="117">
        <v>1860.3214532171442</v>
      </c>
    </row>
    <row r="59" spans="1:13" x14ac:dyDescent="0.4">
      <c r="K59" s="74">
        <v>57</v>
      </c>
      <c r="L59" s="119">
        <v>512.79999999999973</v>
      </c>
      <c r="M59" s="117">
        <v>1854.1215244978414</v>
      </c>
    </row>
    <row r="60" spans="1:13" x14ac:dyDescent="0.4">
      <c r="K60" s="74">
        <v>58</v>
      </c>
      <c r="L60" s="119">
        <v>449.09999999999974</v>
      </c>
      <c r="M60" s="117">
        <v>1841.1067953508543</v>
      </c>
    </row>
    <row r="61" spans="1:13" x14ac:dyDescent="0.4">
      <c r="K61" s="74">
        <v>59</v>
      </c>
      <c r="L61" s="119">
        <v>418.49999999999972</v>
      </c>
      <c r="M61" s="117">
        <v>1834.1281545787492</v>
      </c>
    </row>
    <row r="62" spans="1:13" x14ac:dyDescent="0.4">
      <c r="K62" s="74">
        <v>60</v>
      </c>
      <c r="L62" s="119">
        <v>456.1999999999997</v>
      </c>
      <c r="M62" s="117">
        <v>1839.4853856512768</v>
      </c>
    </row>
    <row r="63" spans="1:13" x14ac:dyDescent="0.4">
      <c r="K63" s="74">
        <v>61</v>
      </c>
      <c r="L63" s="119">
        <v>434.09999999999968</v>
      </c>
      <c r="M63" s="117">
        <v>1834.0464733373692</v>
      </c>
    </row>
    <row r="64" spans="1:13" x14ac:dyDescent="0.4">
      <c r="K64" s="74">
        <v>62</v>
      </c>
      <c r="L64" s="119">
        <v>389.6999999999997</v>
      </c>
      <c r="M64" s="117">
        <v>1824.6261944973451</v>
      </c>
    </row>
    <row r="65" spans="11:13" x14ac:dyDescent="0.4">
      <c r="K65" s="74">
        <v>63</v>
      </c>
      <c r="L65" s="119">
        <v>393.99999999999972</v>
      </c>
      <c r="M65" s="117">
        <v>1824.034437330361</v>
      </c>
    </row>
    <row r="66" spans="11:13" x14ac:dyDescent="0.4">
      <c r="K66" s="74">
        <v>64</v>
      </c>
      <c r="L66" s="119">
        <v>381.39999999999969</v>
      </c>
      <c r="M66" s="117">
        <v>1820.3982307063789</v>
      </c>
    </row>
    <row r="67" spans="11:13" x14ac:dyDescent="0.4">
      <c r="K67" s="74">
        <v>65</v>
      </c>
      <c r="L67" s="119">
        <v>420.59999999999968</v>
      </c>
      <c r="M67" s="117">
        <v>1826.1078413221405</v>
      </c>
    </row>
    <row r="68" spans="11:13" x14ac:dyDescent="0.4">
      <c r="K68" s="74">
        <v>66</v>
      </c>
      <c r="L68" s="119">
        <v>356.49999999999966</v>
      </c>
      <c r="M68" s="117">
        <v>1813.1891942742077</v>
      </c>
    </row>
    <row r="69" spans="11:13" x14ac:dyDescent="0.4">
      <c r="K69" s="74">
        <v>67</v>
      </c>
      <c r="L69" s="119">
        <v>345.49999999999966</v>
      </c>
      <c r="M69" s="117">
        <v>1809.9060591085624</v>
      </c>
    </row>
    <row r="70" spans="11:13" x14ac:dyDescent="0.4">
      <c r="K70" s="74">
        <v>68</v>
      </c>
      <c r="L70" s="119">
        <v>374.29999999999967</v>
      </c>
      <c r="M70" s="117">
        <v>1813.8066227539111</v>
      </c>
    </row>
    <row r="71" spans="11:13" x14ac:dyDescent="0.4">
      <c r="K71" s="74">
        <v>69</v>
      </c>
      <c r="L71" s="119">
        <v>415.39999999999969</v>
      </c>
      <c r="M71" s="117">
        <v>1819.8977830173876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7200D-2AE0-4057-93D3-35D36A5B2EFC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191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47</v>
      </c>
      <c r="C2" s="134"/>
      <c r="E2" s="26" t="s">
        <v>66</v>
      </c>
      <c r="F2" s="23" t="s">
        <v>22</v>
      </c>
      <c r="G2" s="11">
        <v>77</v>
      </c>
      <c r="H2" s="87">
        <f>IF(B$20=0,0,G2/B$20)</f>
        <v>0.74038461538461542</v>
      </c>
      <c r="I2" s="57">
        <v>3</v>
      </c>
      <c r="K2" s="73">
        <v>0</v>
      </c>
      <c r="L2" s="118">
        <v>0</v>
      </c>
      <c r="M2" s="116">
        <v>1372.5824902185618</v>
      </c>
      <c r="O2" s="73" t="s">
        <v>127</v>
      </c>
      <c r="P2" s="79">
        <f t="shared" ref="P2:P7" si="0">IF(Q2=0,0,R2/Q2)</f>
        <v>-1457.4468085106382</v>
      </c>
      <c r="Q2" s="76">
        <v>47</v>
      </c>
      <c r="R2" s="63">
        <v>-68500</v>
      </c>
    </row>
    <row r="3" spans="1:18" x14ac:dyDescent="0.4">
      <c r="A3" s="19" t="s">
        <v>8</v>
      </c>
      <c r="B3" s="135">
        <v>380</v>
      </c>
      <c r="C3" s="136"/>
      <c r="E3" s="27" t="s">
        <v>72</v>
      </c>
      <c r="F3" s="24" t="s">
        <v>27</v>
      </c>
      <c r="G3" s="12">
        <v>66</v>
      </c>
      <c r="H3" s="88">
        <f>IF(B$20=0,0,G3/B$20)</f>
        <v>0.63461538461538458</v>
      </c>
      <c r="I3" s="58">
        <v>1</v>
      </c>
      <c r="K3" s="74">
        <v>1</v>
      </c>
      <c r="L3" s="119">
        <v>5</v>
      </c>
      <c r="M3" s="117">
        <v>1374.9429952772505</v>
      </c>
      <c r="O3" s="74" t="s">
        <v>128</v>
      </c>
      <c r="P3" s="80">
        <f t="shared" si="0"/>
        <v>-1478.7234042553191</v>
      </c>
      <c r="Q3" s="77">
        <v>47</v>
      </c>
      <c r="R3" s="64">
        <v>-69500</v>
      </c>
    </row>
    <row r="4" spans="1:18" x14ac:dyDescent="0.4">
      <c r="A4" s="19" t="s">
        <v>6</v>
      </c>
      <c r="B4" s="137">
        <v>-475.69999999999987</v>
      </c>
      <c r="C4" s="138"/>
      <c r="E4" s="27" t="s">
        <v>158</v>
      </c>
      <c r="F4" s="24" t="s">
        <v>159</v>
      </c>
      <c r="G4" s="12">
        <v>58</v>
      </c>
      <c r="H4" s="88">
        <f>IF(B$20=0,0,G4/B$20)</f>
        <v>0.55769230769230771</v>
      </c>
      <c r="I4" s="58">
        <v>1</v>
      </c>
      <c r="K4" s="74">
        <v>2</v>
      </c>
      <c r="L4" s="119">
        <v>-49.2</v>
      </c>
      <c r="M4" s="117">
        <v>1366.375337305587</v>
      </c>
      <c r="O4" s="74" t="s">
        <v>129</v>
      </c>
      <c r="P4" s="80">
        <f t="shared" si="0"/>
        <v>1386.6666666666667</v>
      </c>
      <c r="Q4" s="77">
        <v>45</v>
      </c>
      <c r="R4" s="64">
        <v>62400</v>
      </c>
    </row>
    <row r="5" spans="1:18" x14ac:dyDescent="0.4">
      <c r="A5" s="19" t="s">
        <v>7</v>
      </c>
      <c r="B5" s="125">
        <f>IF(B$2=0,0,B$4/B$2)</f>
        <v>-10.121276595744678</v>
      </c>
      <c r="C5" s="126"/>
      <c r="E5" s="27" t="s">
        <v>64</v>
      </c>
      <c r="F5" s="24" t="s">
        <v>20</v>
      </c>
      <c r="G5" s="12">
        <v>50</v>
      </c>
      <c r="H5" s="88">
        <f>IF(B$20=0,0,G5/B$20)</f>
        <v>0.48076923076923078</v>
      </c>
      <c r="I5" s="58">
        <v>7</v>
      </c>
      <c r="K5" s="74">
        <v>3</v>
      </c>
      <c r="L5" s="119">
        <v>-61.7</v>
      </c>
      <c r="M5" s="117">
        <v>1365.3650852817534</v>
      </c>
      <c r="O5" s="74" t="s">
        <v>130</v>
      </c>
      <c r="P5" s="80">
        <f t="shared" si="0"/>
        <v>-4904.6511627906975</v>
      </c>
      <c r="Q5" s="77">
        <v>43</v>
      </c>
      <c r="R5" s="64">
        <v>-210900</v>
      </c>
    </row>
    <row r="6" spans="1:18" x14ac:dyDescent="0.4">
      <c r="A6" s="19" t="s">
        <v>192</v>
      </c>
      <c r="B6" s="129">
        <v>1350.8055048072492</v>
      </c>
      <c r="C6" s="130"/>
      <c r="E6" s="27" t="s">
        <v>68</v>
      </c>
      <c r="F6" s="24" t="s">
        <v>12</v>
      </c>
      <c r="G6" s="12">
        <v>37</v>
      </c>
      <c r="H6" s="88">
        <f>IF(B$20=0,0,G6/B$20)</f>
        <v>0.35576923076923078</v>
      </c>
      <c r="I6" s="58">
        <v>5</v>
      </c>
      <c r="K6" s="74">
        <v>4</v>
      </c>
      <c r="L6" s="119">
        <v>-49.6</v>
      </c>
      <c r="M6" s="117">
        <v>1368.7888947700628</v>
      </c>
      <c r="O6" s="74" t="s">
        <v>131</v>
      </c>
      <c r="P6" s="80">
        <f t="shared" si="0"/>
        <v>-2661.5384615384614</v>
      </c>
      <c r="Q6" s="77">
        <v>39</v>
      </c>
      <c r="R6" s="64">
        <v>-103800</v>
      </c>
    </row>
    <row r="7" spans="1:18" x14ac:dyDescent="0.4">
      <c r="A7" s="19" t="s">
        <v>1</v>
      </c>
      <c r="B7" s="139">
        <f>IF(B$2=0,0,(B$8*1+B$9*2+B$10*3)/B$2)</f>
        <v>2.1276595744680851</v>
      </c>
      <c r="C7" s="140"/>
      <c r="E7" s="27" t="s">
        <v>67</v>
      </c>
      <c r="F7" s="24" t="s">
        <v>23</v>
      </c>
      <c r="G7" s="12">
        <v>24</v>
      </c>
      <c r="H7" s="88">
        <f>IF(B$20=0,0,G7/B$20)</f>
        <v>0.23076923076923078</v>
      </c>
      <c r="I7" s="58">
        <v>6</v>
      </c>
      <c r="K7" s="74">
        <v>5</v>
      </c>
      <c r="L7" s="119">
        <v>-51.4</v>
      </c>
      <c r="M7" s="117">
        <v>1369.6901614014425</v>
      </c>
      <c r="O7" s="75" t="s">
        <v>132</v>
      </c>
      <c r="P7" s="81">
        <f t="shared" si="0"/>
        <v>-767.64705882352939</v>
      </c>
      <c r="Q7" s="78">
        <v>34</v>
      </c>
      <c r="R7" s="65">
        <v>-26100</v>
      </c>
    </row>
    <row r="8" spans="1:18" x14ac:dyDescent="0.4">
      <c r="A8" s="19" t="s">
        <v>2</v>
      </c>
      <c r="B8" s="12">
        <v>9</v>
      </c>
      <c r="C8" s="6">
        <f t="shared" ref="C8:C15" si="1">IF(B$2=0,0,B8/B$2)</f>
        <v>0.19148936170212766</v>
      </c>
      <c r="E8" s="27" t="s">
        <v>69</v>
      </c>
      <c r="F8" s="24" t="s">
        <v>24</v>
      </c>
      <c r="G8" s="12">
        <v>17</v>
      </c>
      <c r="H8" s="88">
        <f>IF(B$20=0,0,G8/B$20)</f>
        <v>0.16346153846153846</v>
      </c>
      <c r="I8" s="58">
        <v>3</v>
      </c>
      <c r="K8" s="74">
        <v>6</v>
      </c>
      <c r="L8" s="119">
        <v>-106.9</v>
      </c>
      <c r="M8" s="117">
        <v>1360.9200204330339</v>
      </c>
      <c r="O8" s="107"/>
      <c r="P8" s="85"/>
      <c r="Q8" s="108"/>
      <c r="R8" s="70"/>
    </row>
    <row r="9" spans="1:18" x14ac:dyDescent="0.4">
      <c r="A9" s="19" t="s">
        <v>3</v>
      </c>
      <c r="B9" s="12">
        <v>23</v>
      </c>
      <c r="C9" s="6">
        <f t="shared" si="1"/>
        <v>0.48936170212765956</v>
      </c>
      <c r="E9" s="27" t="s">
        <v>89</v>
      </c>
      <c r="F9" s="24" t="s">
        <v>44</v>
      </c>
      <c r="G9" s="12">
        <v>17</v>
      </c>
      <c r="H9" s="88">
        <f>IF(B$20=0,0,G9/B$20)</f>
        <v>0.16346153846153846</v>
      </c>
      <c r="I9" s="58">
        <v>3</v>
      </c>
      <c r="K9" s="74">
        <v>7</v>
      </c>
      <c r="L9" s="119">
        <v>-103.4</v>
      </c>
      <c r="M9" s="117">
        <v>1362.8225003104358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15</v>
      </c>
      <c r="C10" s="7">
        <f t="shared" si="1"/>
        <v>0.31914893617021278</v>
      </c>
      <c r="E10" s="27" t="s">
        <v>65</v>
      </c>
      <c r="F10" s="24" t="s">
        <v>21</v>
      </c>
      <c r="G10" s="12">
        <v>14</v>
      </c>
      <c r="H10" s="88">
        <f>IF(B$20=0,0,G10/B$20)</f>
        <v>0.13461538461538461</v>
      </c>
      <c r="I10" s="58">
        <v>5</v>
      </c>
      <c r="K10" s="74">
        <v>8</v>
      </c>
      <c r="L10" s="119">
        <v>-62.800000000000004</v>
      </c>
      <c r="M10" s="117">
        <v>1371.3915653085733</v>
      </c>
      <c r="O10" s="73" t="s">
        <v>150</v>
      </c>
      <c r="P10" s="82">
        <f>IF(Q10=0,0,R10/Q10)</f>
        <v>-22.778571428571428</v>
      </c>
      <c r="Q10" s="76">
        <v>14</v>
      </c>
      <c r="R10" s="67">
        <v>-318.89999999999998</v>
      </c>
    </row>
    <row r="11" spans="1:18" x14ac:dyDescent="0.4">
      <c r="A11" s="20" t="s">
        <v>183</v>
      </c>
      <c r="B11" s="109">
        <f>IF(B8=0,0,C11/B8)</f>
        <v>49.944444444444443</v>
      </c>
      <c r="C11" s="110">
        <v>449.5</v>
      </c>
      <c r="E11" s="27" t="s">
        <v>70</v>
      </c>
      <c r="F11" s="24" t="s">
        <v>25</v>
      </c>
      <c r="G11" s="12">
        <v>12</v>
      </c>
      <c r="H11" s="88">
        <f>IF(B$20=0,0,G11/B$20)</f>
        <v>0.11538461538461539</v>
      </c>
      <c r="I11" s="58">
        <v>3</v>
      </c>
      <c r="K11" s="74">
        <v>9</v>
      </c>
      <c r="L11" s="119">
        <v>-28.6</v>
      </c>
      <c r="M11" s="117">
        <v>1378.7512159167218</v>
      </c>
      <c r="O11" s="74" t="s">
        <v>151</v>
      </c>
      <c r="P11" s="83">
        <f>IF(Q11=0,0,R11/Q11)</f>
        <v>-8.6285714285714281</v>
      </c>
      <c r="Q11" s="77">
        <v>21</v>
      </c>
      <c r="R11" s="68">
        <v>-181.2</v>
      </c>
    </row>
    <row r="12" spans="1:18" x14ac:dyDescent="0.4">
      <c r="A12" s="20" t="s">
        <v>184</v>
      </c>
      <c r="B12" s="109">
        <f>IF(B9=0,0,C12/B9)</f>
        <v>-2.0217391304347823</v>
      </c>
      <c r="C12" s="110">
        <v>-46.499999999999993</v>
      </c>
      <c r="E12" s="27" t="s">
        <v>71</v>
      </c>
      <c r="F12" s="24" t="s">
        <v>26</v>
      </c>
      <c r="G12" s="12">
        <v>6</v>
      </c>
      <c r="H12" s="88">
        <f>IF(B$20=0,0,G12/B$20)</f>
        <v>5.7692307692307696E-2</v>
      </c>
      <c r="I12" s="58">
        <v>7</v>
      </c>
      <c r="K12" s="74">
        <v>10</v>
      </c>
      <c r="L12" s="119">
        <v>38.999999999999993</v>
      </c>
      <c r="M12" s="117">
        <v>1392.2167086212214</v>
      </c>
      <c r="O12" s="75" t="s">
        <v>152</v>
      </c>
      <c r="P12" s="84">
        <f>IF(Q12=0,0,R12/Q12)</f>
        <v>2.0333333333333337</v>
      </c>
      <c r="Q12" s="78">
        <v>12</v>
      </c>
      <c r="R12" s="69">
        <v>24.400000000000002</v>
      </c>
    </row>
    <row r="13" spans="1:18" x14ac:dyDescent="0.4">
      <c r="A13" s="20" t="s">
        <v>185</v>
      </c>
      <c r="B13" s="109">
        <f>IF(B10=0,0,C13/B10)</f>
        <v>-58.580000000000005</v>
      </c>
      <c r="C13" s="110">
        <v>-878.7</v>
      </c>
      <c r="E13" s="27" t="s">
        <v>79</v>
      </c>
      <c r="F13" s="24" t="s">
        <v>34</v>
      </c>
      <c r="G13" s="12">
        <v>4</v>
      </c>
      <c r="H13" s="88">
        <f>IF(B$20=0,0,G13/B$20)</f>
        <v>3.8461538461538464E-2</v>
      </c>
      <c r="I13" s="58">
        <v>1</v>
      </c>
      <c r="K13" s="74">
        <v>11</v>
      </c>
      <c r="L13" s="119">
        <v>37.79999999999999</v>
      </c>
      <c r="M13" s="117">
        <v>1393.217408369494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-3.5524315619967815</v>
      </c>
      <c r="C14" s="126"/>
      <c r="E14" s="27" t="s">
        <v>86</v>
      </c>
      <c r="F14" s="24" t="s">
        <v>41</v>
      </c>
      <c r="G14" s="12">
        <v>4</v>
      </c>
      <c r="H14" s="88">
        <f>IF(B$20=0,0,G14/B$20)</f>
        <v>3.8461538461538464E-2</v>
      </c>
      <c r="I14" s="58">
        <v>6</v>
      </c>
      <c r="K14" s="74">
        <v>12</v>
      </c>
      <c r="L14" s="119">
        <v>40.199999999999989</v>
      </c>
      <c r="M14" s="117">
        <v>1394.860103919277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9</v>
      </c>
      <c r="C15" s="9">
        <f t="shared" si="1"/>
        <v>0.19148936170212766</v>
      </c>
      <c r="E15" s="27" t="s">
        <v>81</v>
      </c>
      <c r="F15" s="24" t="s">
        <v>36</v>
      </c>
      <c r="G15" s="12">
        <v>3</v>
      </c>
      <c r="H15" s="88">
        <f>IF(B$20=0,0,G15/B$20)</f>
        <v>2.8846153846153848E-2</v>
      </c>
      <c r="I15" s="58">
        <v>6</v>
      </c>
      <c r="K15" s="74">
        <v>13</v>
      </c>
      <c r="L15" s="119">
        <v>101.6</v>
      </c>
      <c r="M15" s="117">
        <v>1407.1189432957613</v>
      </c>
      <c r="O15" s="73" t="s">
        <v>209</v>
      </c>
      <c r="P15" s="82">
        <f>IF(Q15=0,0,R15/Q15)</f>
        <v>24.055555555555554</v>
      </c>
      <c r="Q15" s="76">
        <v>9</v>
      </c>
      <c r="R15" s="67">
        <v>216.49999999999997</v>
      </c>
    </row>
    <row r="16" spans="1:18" x14ac:dyDescent="0.4">
      <c r="A16" s="22" t="s">
        <v>121</v>
      </c>
      <c r="B16" s="15">
        <v>100</v>
      </c>
      <c r="C16" s="10">
        <f>IF(B$3=0,0,B16/B$3)</f>
        <v>0.26315789473684209</v>
      </c>
      <c r="E16" s="27" t="s">
        <v>75</v>
      </c>
      <c r="F16" s="24" t="s">
        <v>30</v>
      </c>
      <c r="G16" s="12">
        <v>2</v>
      </c>
      <c r="H16" s="88">
        <f>IF(B$20=0,0,G16/B$20)</f>
        <v>1.9230769230769232E-2</v>
      </c>
      <c r="I16" s="58">
        <v>1</v>
      </c>
      <c r="K16" s="74">
        <v>14</v>
      </c>
      <c r="L16" s="119">
        <v>91.899999999999991</v>
      </c>
      <c r="M16" s="117">
        <v>1406.5002296359867</v>
      </c>
      <c r="O16" s="74" t="s">
        <v>188</v>
      </c>
      <c r="P16" s="83">
        <f>IF(Q16=0,0,R16/Q16)</f>
        <v>-15.816666666666665</v>
      </c>
      <c r="Q16" s="77">
        <v>12</v>
      </c>
      <c r="R16" s="68">
        <v>-189.79999999999998</v>
      </c>
    </row>
    <row r="17" spans="1:18" x14ac:dyDescent="0.4">
      <c r="A17" s="19" t="s">
        <v>118</v>
      </c>
      <c r="B17" s="12">
        <v>71</v>
      </c>
      <c r="C17" s="6">
        <f>IF(B$3=0,0,B17/B$3)</f>
        <v>0.18684210526315789</v>
      </c>
      <c r="E17" s="27" t="s">
        <v>83</v>
      </c>
      <c r="F17" s="24" t="s">
        <v>38</v>
      </c>
      <c r="G17" s="12">
        <v>2</v>
      </c>
      <c r="H17" s="88">
        <f>IF(B$20=0,0,G17/B$20)</f>
        <v>1.9230769230769232E-2</v>
      </c>
      <c r="I17" s="58">
        <v>5</v>
      </c>
      <c r="K17" s="74">
        <v>15</v>
      </c>
      <c r="L17" s="119">
        <v>46.79999999999999</v>
      </c>
      <c r="M17" s="117">
        <v>1399.5192282581706</v>
      </c>
      <c r="O17" s="74" t="s">
        <v>162</v>
      </c>
      <c r="P17" s="83">
        <f>IF(Q17=0,0,R17/Q17)</f>
        <v>-18.45</v>
      </c>
      <c r="Q17" s="77">
        <v>12</v>
      </c>
      <c r="R17" s="68">
        <v>-221.39999999999998</v>
      </c>
    </row>
    <row r="18" spans="1:18" x14ac:dyDescent="0.4">
      <c r="A18" s="18" t="s">
        <v>123</v>
      </c>
      <c r="B18" s="11">
        <f>B24</f>
        <v>50</v>
      </c>
      <c r="C18" s="5">
        <f>IF(B$16=0,0,B18/B$16)</f>
        <v>0.5</v>
      </c>
      <c r="E18" s="27" t="s">
        <v>73</v>
      </c>
      <c r="F18" s="24" t="s">
        <v>28</v>
      </c>
      <c r="G18" s="12">
        <v>1</v>
      </c>
      <c r="H18" s="88">
        <f>IF(B$20=0,0,G18/B$20)</f>
        <v>9.6153846153846159E-3</v>
      </c>
      <c r="I18" s="58">
        <v>5</v>
      </c>
      <c r="K18" s="74">
        <v>16</v>
      </c>
      <c r="L18" s="119">
        <v>2.6999999999999886</v>
      </c>
      <c r="M18" s="117">
        <v>1392.7601128886215</v>
      </c>
      <c r="O18" s="74" t="s">
        <v>126</v>
      </c>
      <c r="P18" s="83">
        <f>IF(Q18=0,0,R18/Q18)</f>
        <v>-18.978723404255323</v>
      </c>
      <c r="Q18" s="77">
        <v>47</v>
      </c>
      <c r="R18" s="68">
        <v>-892.00000000000011</v>
      </c>
    </row>
    <row r="19" spans="1:18" x14ac:dyDescent="0.4">
      <c r="A19" s="18" t="s">
        <v>124</v>
      </c>
      <c r="B19" s="11">
        <f>B25</f>
        <v>34</v>
      </c>
      <c r="C19" s="5">
        <f>IF(B$17=0,0,B19/B$17)</f>
        <v>0.47887323943661969</v>
      </c>
      <c r="E19" s="27" t="s">
        <v>84</v>
      </c>
      <c r="F19" s="24" t="s">
        <v>39</v>
      </c>
      <c r="G19" s="12">
        <v>1</v>
      </c>
      <c r="H19" s="88">
        <f>IF(B$20=0,0,G19/B$20)</f>
        <v>9.6153846153846159E-3</v>
      </c>
      <c r="I19" s="58">
        <v>1</v>
      </c>
      <c r="K19" s="74">
        <v>17</v>
      </c>
      <c r="L19" s="119">
        <v>-96.700000000000017</v>
      </c>
      <c r="M19" s="117">
        <v>1376.0515522112898</v>
      </c>
      <c r="O19" s="74" t="s">
        <v>189</v>
      </c>
      <c r="P19" s="83">
        <f>IF(Q19=0,0,R19/Q19)</f>
        <v>-24.314285714285717</v>
      </c>
      <c r="Q19" s="77">
        <v>14</v>
      </c>
      <c r="R19" s="68">
        <v>-340.40000000000003</v>
      </c>
    </row>
    <row r="20" spans="1:18" x14ac:dyDescent="0.4">
      <c r="A20" s="18" t="s">
        <v>10</v>
      </c>
      <c r="B20" s="11">
        <f>B23+B22</f>
        <v>104</v>
      </c>
      <c r="C20" s="5">
        <f>IF(B$3=0,0,B20/B$3)</f>
        <v>0.27368421052631581</v>
      </c>
      <c r="E20" s="27" t="s">
        <v>90</v>
      </c>
      <c r="F20" s="24" t="s">
        <v>45</v>
      </c>
      <c r="G20" s="12">
        <v>1</v>
      </c>
      <c r="H20" s="88">
        <f>IF(B$20=0,0,G20/B$20)</f>
        <v>9.6153846153846159E-3</v>
      </c>
      <c r="I20" s="58">
        <v>1</v>
      </c>
      <c r="K20" s="74">
        <v>18</v>
      </c>
      <c r="L20" s="119">
        <v>-154.80000000000001</v>
      </c>
      <c r="M20" s="117">
        <v>1366.8772428980221</v>
      </c>
    </row>
    <row r="21" spans="1:18" x14ac:dyDescent="0.4">
      <c r="A21" s="19" t="s">
        <v>13</v>
      </c>
      <c r="B21" s="12">
        <v>65</v>
      </c>
      <c r="C21" s="6">
        <f>IF(B$3=0,0,B21/B$3)</f>
        <v>0.17105263157894737</v>
      </c>
      <c r="E21" s="27" t="s">
        <v>91</v>
      </c>
      <c r="F21" s="24" t="s">
        <v>46</v>
      </c>
      <c r="G21" s="12">
        <v>1</v>
      </c>
      <c r="H21" s="88">
        <f>IF(B$20=0,0,G21/B$20)</f>
        <v>9.6153846153846159E-3</v>
      </c>
      <c r="I21" s="58">
        <v>4</v>
      </c>
      <c r="K21" s="74">
        <v>19</v>
      </c>
      <c r="L21" s="119">
        <v>-153.80000000000001</v>
      </c>
      <c r="M21" s="117">
        <v>1368.3959794406339</v>
      </c>
    </row>
    <row r="22" spans="1:18" x14ac:dyDescent="0.4">
      <c r="A22" s="19" t="s">
        <v>12</v>
      </c>
      <c r="B22" s="12">
        <v>51</v>
      </c>
      <c r="C22" s="6">
        <f>IF(B$20=0,0,B22/B$20)</f>
        <v>0.49038461538461536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4</v>
      </c>
      <c r="K22" s="74">
        <v>20</v>
      </c>
      <c r="L22" s="119">
        <v>-201.8</v>
      </c>
      <c r="M22" s="117">
        <v>1361.0856035639902</v>
      </c>
    </row>
    <row r="23" spans="1:18" x14ac:dyDescent="0.4">
      <c r="A23" s="19" t="s">
        <v>11</v>
      </c>
      <c r="B23" s="12">
        <v>53</v>
      </c>
      <c r="C23" s="6">
        <f>IF(B$20=0,0,B23/B$20)</f>
        <v>0.50961538461538458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-202.20000000000002</v>
      </c>
      <c r="M23" s="117">
        <v>1362.3870899426063</v>
      </c>
    </row>
    <row r="24" spans="1:18" x14ac:dyDescent="0.4">
      <c r="A24" s="19" t="s">
        <v>182</v>
      </c>
      <c r="B24" s="12">
        <v>50</v>
      </c>
      <c r="C24" s="6">
        <f>IF(B$20=0,0,B24/B$20)</f>
        <v>0.48076923076923078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-208.00000000000003</v>
      </c>
      <c r="M24" s="117">
        <v>1362.7027674029507</v>
      </c>
    </row>
    <row r="25" spans="1:18" x14ac:dyDescent="0.4">
      <c r="A25" s="19" t="s">
        <v>180</v>
      </c>
      <c r="B25" s="12">
        <v>34</v>
      </c>
      <c r="C25" s="6">
        <f>IF(B$20=0,0,B25/B$20)</f>
        <v>0.32692307692307693</v>
      </c>
      <c r="E25" s="27" t="s">
        <v>78</v>
      </c>
      <c r="F25" s="24" t="s">
        <v>33</v>
      </c>
      <c r="G25" s="12">
        <v>0</v>
      </c>
      <c r="H25" s="88">
        <f>IF(B$20=0,0,G25/B$20)</f>
        <v>0</v>
      </c>
      <c r="I25" s="58">
        <v>7</v>
      </c>
      <c r="K25" s="74">
        <v>23</v>
      </c>
      <c r="L25" s="119">
        <v>-210.50000000000003</v>
      </c>
      <c r="M25" s="117">
        <v>1363.6165507985329</v>
      </c>
    </row>
    <row r="26" spans="1:18" x14ac:dyDescent="0.4">
      <c r="A26" s="19" t="s">
        <v>181</v>
      </c>
      <c r="B26" s="12">
        <v>20</v>
      </c>
      <c r="C26" s="6">
        <f>IF(B$20=0,0,B26/B$20)</f>
        <v>0.19230769230769232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-284.3</v>
      </c>
      <c r="M26" s="117">
        <v>1351.5468514937418</v>
      </c>
    </row>
    <row r="27" spans="1:18" x14ac:dyDescent="0.4">
      <c r="A27" s="19" t="s">
        <v>5</v>
      </c>
      <c r="B27" s="16">
        <f>IF(B$20=0,0,C27/B$20)</f>
        <v>8335.5769230769238</v>
      </c>
      <c r="C27" s="8">
        <v>866900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-286.90000000000003</v>
      </c>
      <c r="M27" s="117">
        <v>1352.4675703847793</v>
      </c>
    </row>
    <row r="28" spans="1:18" x14ac:dyDescent="0.4">
      <c r="A28" s="20" t="s">
        <v>164</v>
      </c>
      <c r="B28" s="95">
        <f>IF($B$20-B$19=0,0,C28/($B$20-B$19))</f>
        <v>8648.5714285714294</v>
      </c>
      <c r="C28" s="96">
        <v>605400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-287.00000000000006</v>
      </c>
      <c r="M28" s="117">
        <v>1353.8327649624705</v>
      </c>
    </row>
    <row r="29" spans="1:18" x14ac:dyDescent="0.4">
      <c r="A29" s="20" t="s">
        <v>165</v>
      </c>
      <c r="B29" s="95">
        <f>IF(B$19=0,0,C29/B$19)</f>
        <v>7691.1764705882351</v>
      </c>
      <c r="C29" s="96">
        <v>261500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-350.40000000000003</v>
      </c>
      <c r="M29" s="117">
        <v>1343.7957683726956</v>
      </c>
    </row>
    <row r="30" spans="1:18" x14ac:dyDescent="0.4">
      <c r="A30" s="20" t="s">
        <v>163</v>
      </c>
      <c r="B30" s="95">
        <f>IF(B$21=0,0,C30/B$21)</f>
        <v>-9538.461538461539</v>
      </c>
      <c r="C30" s="96">
        <v>-620000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-357.1</v>
      </c>
      <c r="M30" s="117">
        <v>1344.0249937624594</v>
      </c>
    </row>
    <row r="31" spans="1:18" x14ac:dyDescent="0.4">
      <c r="A31" s="19" t="s">
        <v>156</v>
      </c>
      <c r="B31" s="12">
        <v>4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-413.8</v>
      </c>
      <c r="M31" s="117">
        <v>1335.2528437998847</v>
      </c>
    </row>
    <row r="32" spans="1:18" x14ac:dyDescent="0.4">
      <c r="A32" s="19" t="s">
        <v>157</v>
      </c>
      <c r="B32" s="12">
        <v>21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-461.8</v>
      </c>
      <c r="M32" s="117">
        <v>1328.0993267370854</v>
      </c>
    </row>
    <row r="33" spans="1:13" x14ac:dyDescent="0.4">
      <c r="A33" s="54" t="s">
        <v>135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-462.3</v>
      </c>
      <c r="M33" s="117">
        <v>1329.538730776663</v>
      </c>
    </row>
    <row r="34" spans="1:13" x14ac:dyDescent="0.4">
      <c r="A34" s="22" t="s">
        <v>179</v>
      </c>
      <c r="B34" s="129">
        <v>101300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-462.8</v>
      </c>
      <c r="M34" s="117">
        <v>1330.9694983920031</v>
      </c>
    </row>
    <row r="35" spans="1:13" x14ac:dyDescent="0.4">
      <c r="A35" s="21" t="s">
        <v>136</v>
      </c>
      <c r="B35" s="29">
        <v>2</v>
      </c>
      <c r="C35" s="9">
        <f>IF(B$3=0,0,B35/B$3)</f>
        <v>5.263157894736842E-3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-528.4</v>
      </c>
      <c r="M35" s="117">
        <v>1320.673681401651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-500</v>
      </c>
      <c r="M36" s="117">
        <v>1327.3596393132411</v>
      </c>
    </row>
    <row r="37" spans="1:13" x14ac:dyDescent="0.4">
      <c r="A37" s="54" t="s">
        <v>170</v>
      </c>
      <c r="B37" s="123">
        <v>4</v>
      </c>
      <c r="C37" s="98">
        <f t="shared" ref="C37:C49" si="2">IF(B$20=0,0,B37/B$20)</f>
        <v>3.8461538461538464E-2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-413.7</v>
      </c>
      <c r="M37" s="117">
        <v>1344.4274814773617</v>
      </c>
    </row>
    <row r="38" spans="1:13" x14ac:dyDescent="0.4">
      <c r="A38" s="19" t="s">
        <v>166</v>
      </c>
      <c r="B38" s="12">
        <v>20</v>
      </c>
      <c r="C38" s="6">
        <f t="shared" si="2"/>
        <v>0.19230769230769232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-369.5</v>
      </c>
      <c r="M38" s="117">
        <v>1353.8929165884974</v>
      </c>
    </row>
    <row r="39" spans="1:13" x14ac:dyDescent="0.4">
      <c r="A39" s="19" t="s">
        <v>167</v>
      </c>
      <c r="B39" s="124">
        <v>13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-374.5</v>
      </c>
      <c r="M39" s="117">
        <v>1354.4455590889665</v>
      </c>
    </row>
    <row r="40" spans="1:13" x14ac:dyDescent="0.4">
      <c r="A40" s="19" t="s">
        <v>168</v>
      </c>
      <c r="B40" s="124">
        <v>29</v>
      </c>
      <c r="C40" s="6">
        <f t="shared" si="2"/>
        <v>0.27884615384615385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-379</v>
      </c>
      <c r="M40" s="117">
        <v>1355.0848857344326</v>
      </c>
    </row>
    <row r="41" spans="1:13" x14ac:dyDescent="0.4">
      <c r="A41" s="19" t="s">
        <v>169</v>
      </c>
      <c r="B41" s="124">
        <v>19</v>
      </c>
      <c r="C41" s="6">
        <f t="shared" si="2"/>
        <v>0.18269230769230768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-451.9</v>
      </c>
      <c r="M41" s="117">
        <v>1343.4083764200261</v>
      </c>
    </row>
    <row r="42" spans="1:13" x14ac:dyDescent="0.4">
      <c r="A42" s="19" t="s">
        <v>171</v>
      </c>
      <c r="B42" s="124">
        <v>5</v>
      </c>
      <c r="C42" s="6">
        <f t="shared" si="2"/>
        <v>4.807692307692308E-2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-390.9</v>
      </c>
      <c r="M42" s="117">
        <v>1355.903926161506</v>
      </c>
    </row>
    <row r="43" spans="1:13" x14ac:dyDescent="0.4">
      <c r="A43" s="19" t="s">
        <v>172</v>
      </c>
      <c r="B43" s="124">
        <v>7</v>
      </c>
      <c r="C43" s="6">
        <f t="shared" si="2"/>
        <v>6.7307692307692304E-2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-365.09999999999997</v>
      </c>
      <c r="M43" s="117">
        <v>1361.994502604537</v>
      </c>
    </row>
    <row r="44" spans="1:13" x14ac:dyDescent="0.4">
      <c r="A44" s="19" t="s">
        <v>173</v>
      </c>
      <c r="B44" s="124">
        <v>1</v>
      </c>
      <c r="C44" s="6">
        <f t="shared" si="2"/>
        <v>9.6153846153846159E-3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-399.99999999999994</v>
      </c>
      <c r="M44" s="117">
        <v>1357.1165355889098</v>
      </c>
    </row>
    <row r="45" spans="1:13" x14ac:dyDescent="0.4">
      <c r="A45" s="19" t="s">
        <v>174</v>
      </c>
      <c r="B45" s="124">
        <v>3</v>
      </c>
      <c r="C45" s="6">
        <f t="shared" si="2"/>
        <v>2.8846153846153848E-2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-403.99999999999994</v>
      </c>
      <c r="M45" s="117">
        <v>1357.8298363753763</v>
      </c>
    </row>
    <row r="46" spans="1:13" x14ac:dyDescent="0.4">
      <c r="A46" s="19" t="s">
        <v>175</v>
      </c>
      <c r="B46" s="124">
        <v>3</v>
      </c>
      <c r="C46" s="6">
        <f t="shared" si="2"/>
        <v>2.8846153846153848E-2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-430.89999999999992</v>
      </c>
      <c r="M46" s="117">
        <v>1354.4168573571242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-489.89999999999992</v>
      </c>
      <c r="M47" s="117">
        <v>1345.2463562129815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-492.7999999999999</v>
      </c>
      <c r="M48" s="117">
        <v>1346.2288780757035</v>
      </c>
    </row>
    <row r="49" spans="1:13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-475.69999999999987</v>
      </c>
      <c r="M49" s="117">
        <v>1350.8055048072492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13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5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ED685-7E5E-48C2-BF6A-C48DFE94A814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9</v>
      </c>
      <c r="C2" s="134"/>
      <c r="E2" s="26" t="s">
        <v>64</v>
      </c>
      <c r="F2" s="23" t="s">
        <v>20</v>
      </c>
      <c r="G2" s="11">
        <v>10</v>
      </c>
      <c r="H2" s="87">
        <f>IF(B$20=0,0,G2/B$20)</f>
        <v>0.66666666666666663</v>
      </c>
      <c r="I2" s="57">
        <v>2</v>
      </c>
      <c r="K2" s="73">
        <v>0</v>
      </c>
      <c r="L2" s="118">
        <v>0</v>
      </c>
      <c r="M2" s="116">
        <v>1497.379788</v>
      </c>
      <c r="O2" s="73" t="s">
        <v>127</v>
      </c>
      <c r="P2" s="79">
        <f t="shared" ref="P2:P7" si="0">IF(Q2=0,0,R2/Q2)</f>
        <v>-1177.7777777777778</v>
      </c>
      <c r="Q2" s="76">
        <v>9</v>
      </c>
      <c r="R2" s="63">
        <v>-10600</v>
      </c>
    </row>
    <row r="3" spans="1:18" x14ac:dyDescent="0.4">
      <c r="A3" s="19" t="s">
        <v>8</v>
      </c>
      <c r="B3" s="135">
        <v>72</v>
      </c>
      <c r="C3" s="136"/>
      <c r="E3" s="27" t="s">
        <v>68</v>
      </c>
      <c r="F3" s="24" t="s">
        <v>12</v>
      </c>
      <c r="G3" s="12">
        <v>9</v>
      </c>
      <c r="H3" s="88">
        <f>IF(B$20=0,0,G3/B$20)</f>
        <v>0.6</v>
      </c>
      <c r="I3" s="58">
        <v>1</v>
      </c>
      <c r="K3" s="74">
        <v>1</v>
      </c>
      <c r="L3" s="119">
        <v>-40.299999999999997</v>
      </c>
      <c r="M3" s="117">
        <v>1490.837509272</v>
      </c>
      <c r="O3" s="74" t="s">
        <v>128</v>
      </c>
      <c r="P3" s="80">
        <f t="shared" si="0"/>
        <v>-2933.3333333333335</v>
      </c>
      <c r="Q3" s="77">
        <v>9</v>
      </c>
      <c r="R3" s="64">
        <v>-26400</v>
      </c>
    </row>
    <row r="4" spans="1:18" x14ac:dyDescent="0.4">
      <c r="A4" s="19" t="s">
        <v>6</v>
      </c>
      <c r="B4" s="137">
        <v>-245.1</v>
      </c>
      <c r="C4" s="138"/>
      <c r="E4" s="27" t="s">
        <v>158</v>
      </c>
      <c r="F4" s="24" t="s">
        <v>159</v>
      </c>
      <c r="G4" s="12">
        <v>7</v>
      </c>
      <c r="H4" s="88">
        <f>IF(B$20=0,0,G4/B$20)</f>
        <v>0.46666666666666667</v>
      </c>
      <c r="I4" s="58">
        <v>3</v>
      </c>
      <c r="K4" s="74">
        <v>2</v>
      </c>
      <c r="L4" s="119">
        <v>-61.5</v>
      </c>
      <c r="M4" s="117">
        <v>1487.5144842163681</v>
      </c>
      <c r="O4" s="74" t="s">
        <v>129</v>
      </c>
      <c r="P4" s="80">
        <f t="shared" si="0"/>
        <v>-4550</v>
      </c>
      <c r="Q4" s="77">
        <v>8</v>
      </c>
      <c r="R4" s="64">
        <v>-36400</v>
      </c>
    </row>
    <row r="5" spans="1:18" x14ac:dyDescent="0.4">
      <c r="A5" s="19" t="s">
        <v>7</v>
      </c>
      <c r="B5" s="125">
        <f>IF(B$2=0,0,B$4/B$2)</f>
        <v>-27.233333333333334</v>
      </c>
      <c r="C5" s="126"/>
      <c r="E5" s="27" t="s">
        <v>72</v>
      </c>
      <c r="F5" s="24" t="s">
        <v>27</v>
      </c>
      <c r="G5" s="12">
        <v>6</v>
      </c>
      <c r="H5" s="88">
        <f>IF(B$20=0,0,G5/B$20)</f>
        <v>0.4</v>
      </c>
      <c r="I5" s="58">
        <v>7</v>
      </c>
      <c r="K5" s="74">
        <v>3</v>
      </c>
      <c r="L5" s="119">
        <v>-102</v>
      </c>
      <c r="M5" s="117">
        <v>1480.73739731107</v>
      </c>
      <c r="O5" s="74" t="s">
        <v>130</v>
      </c>
      <c r="P5" s="80">
        <f t="shared" si="0"/>
        <v>-1771.4285714285713</v>
      </c>
      <c r="Q5" s="77">
        <v>7</v>
      </c>
      <c r="R5" s="64">
        <v>-12400</v>
      </c>
    </row>
    <row r="6" spans="1:18" x14ac:dyDescent="0.4">
      <c r="A6" s="19" t="s">
        <v>192</v>
      </c>
      <c r="B6" s="129">
        <v>1458.4719141494811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0.33333333333333331</v>
      </c>
      <c r="I6" s="58">
        <v>4</v>
      </c>
      <c r="K6" s="74">
        <v>4</v>
      </c>
      <c r="L6" s="119">
        <v>-148</v>
      </c>
      <c r="M6" s="117">
        <v>1473.0109729272035</v>
      </c>
      <c r="O6" s="74" t="s">
        <v>131</v>
      </c>
      <c r="P6" s="80">
        <f t="shared" si="0"/>
        <v>-6942.8571428571431</v>
      </c>
      <c r="Q6" s="77">
        <v>7</v>
      </c>
      <c r="R6" s="64">
        <v>-48600</v>
      </c>
    </row>
    <row r="7" spans="1:18" x14ac:dyDescent="0.4">
      <c r="A7" s="19" t="s">
        <v>1</v>
      </c>
      <c r="B7" s="139">
        <f>IF(B$2=0,0,(B$8*1+B$9*2+B$10*3)/B$2)</f>
        <v>2.5555555555555554</v>
      </c>
      <c r="C7" s="140"/>
      <c r="E7" s="27" t="s">
        <v>66</v>
      </c>
      <c r="F7" s="24" t="s">
        <v>22</v>
      </c>
      <c r="G7" s="12">
        <v>4</v>
      </c>
      <c r="H7" s="88">
        <f>IF(B$20=0,0,G7/B$20)</f>
        <v>0.26666666666666666</v>
      </c>
      <c r="I7" s="58">
        <v>8</v>
      </c>
      <c r="K7" s="74">
        <v>5</v>
      </c>
      <c r="L7" s="119">
        <v>-115.4</v>
      </c>
      <c r="M7" s="117">
        <v>1479.4789070896402</v>
      </c>
      <c r="O7" s="75" t="s">
        <v>132</v>
      </c>
      <c r="P7" s="81">
        <f t="shared" si="0"/>
        <v>-1528.5714285714287</v>
      </c>
      <c r="Q7" s="78">
        <v>7</v>
      </c>
      <c r="R7" s="65">
        <v>-10700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0.1111111111111111</v>
      </c>
      <c r="E8" s="27" t="s">
        <v>70</v>
      </c>
      <c r="F8" s="24" t="s">
        <v>25</v>
      </c>
      <c r="G8" s="12">
        <v>3</v>
      </c>
      <c r="H8" s="88">
        <f>IF(B$20=0,0,G8/B$20)</f>
        <v>0.2</v>
      </c>
      <c r="I8" s="58">
        <v>1</v>
      </c>
      <c r="K8" s="74">
        <v>6</v>
      </c>
      <c r="L8" s="119">
        <v>-110.9</v>
      </c>
      <c r="M8" s="117">
        <v>1480.8500336471022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0.22222222222222221</v>
      </c>
      <c r="E9" s="27" t="s">
        <v>65</v>
      </c>
      <c r="F9" s="24" t="s">
        <v>21</v>
      </c>
      <c r="G9" s="12">
        <v>2</v>
      </c>
      <c r="H9" s="88">
        <f>IF(B$20=0,0,G9/B$20)</f>
        <v>0.13333333333333333</v>
      </c>
      <c r="I9" s="58">
        <v>6</v>
      </c>
      <c r="K9" s="74">
        <v>7</v>
      </c>
      <c r="L9" s="119">
        <v>-143.4</v>
      </c>
      <c r="M9" s="117">
        <v>1475.5529334452197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6</v>
      </c>
      <c r="C10" s="7">
        <f t="shared" si="1"/>
        <v>0.66666666666666663</v>
      </c>
      <c r="E10" s="27" t="s">
        <v>69</v>
      </c>
      <c r="F10" s="24" t="s">
        <v>24</v>
      </c>
      <c r="G10" s="12">
        <v>2</v>
      </c>
      <c r="H10" s="88">
        <f>IF(B$20=0,0,G10/B$20)</f>
        <v>0.13333333333333333</v>
      </c>
      <c r="I10" s="58">
        <v>6</v>
      </c>
      <c r="K10" s="74">
        <v>8</v>
      </c>
      <c r="L10" s="119">
        <v>-203.7</v>
      </c>
      <c r="M10" s="117">
        <v>1465.2836158445484</v>
      </c>
      <c r="O10" s="73" t="s">
        <v>150</v>
      </c>
      <c r="P10" s="82">
        <f>IF(Q10=0,0,R10/Q10)</f>
        <v>-39.14</v>
      </c>
      <c r="Q10" s="76">
        <v>5</v>
      </c>
      <c r="R10" s="67">
        <v>-195.70000000000002</v>
      </c>
    </row>
    <row r="11" spans="1:18" x14ac:dyDescent="0.4">
      <c r="A11" s="20" t="s">
        <v>183</v>
      </c>
      <c r="B11" s="109">
        <f>IF(B8=0,0,C11/B8)</f>
        <v>32.6</v>
      </c>
      <c r="C11" s="110">
        <v>32.6</v>
      </c>
      <c r="E11" s="27" t="s">
        <v>71</v>
      </c>
      <c r="F11" s="24" t="s">
        <v>26</v>
      </c>
      <c r="G11" s="12">
        <v>2</v>
      </c>
      <c r="H11" s="88">
        <f>IF(B$20=0,0,G11/B$20)</f>
        <v>0.13333333333333333</v>
      </c>
      <c r="I11" s="58">
        <v>1</v>
      </c>
      <c r="K11" s="74">
        <v>9</v>
      </c>
      <c r="L11" s="119">
        <v>-245.1</v>
      </c>
      <c r="M11" s="117">
        <v>1458.4719141494811</v>
      </c>
      <c r="O11" s="74" t="s">
        <v>151</v>
      </c>
      <c r="P11" s="83">
        <f>IF(Q11=0,0,R11/Q11)</f>
        <v>-43.25</v>
      </c>
      <c r="Q11" s="77">
        <v>2</v>
      </c>
      <c r="R11" s="68">
        <v>-86.5</v>
      </c>
    </row>
    <row r="12" spans="1:18" x14ac:dyDescent="0.4">
      <c r="A12" s="20" t="s">
        <v>184</v>
      </c>
      <c r="B12" s="109">
        <f>IF(B9=0,0,C12/B9)</f>
        <v>-8.35</v>
      </c>
      <c r="C12" s="110">
        <v>-16.7</v>
      </c>
      <c r="E12" s="27" t="s">
        <v>89</v>
      </c>
      <c r="F12" s="24" t="s">
        <v>44</v>
      </c>
      <c r="G12" s="12">
        <v>2</v>
      </c>
      <c r="H12" s="88">
        <f>IF(B$20=0,0,G12/B$20)</f>
        <v>0.13333333333333333</v>
      </c>
      <c r="I12" s="58">
        <v>5</v>
      </c>
      <c r="O12" s="75" t="s">
        <v>152</v>
      </c>
      <c r="P12" s="84">
        <f>IF(Q12=0,0,R12/Q12)</f>
        <v>18.55</v>
      </c>
      <c r="Q12" s="78">
        <v>2</v>
      </c>
      <c r="R12" s="69">
        <v>37.1</v>
      </c>
    </row>
    <row r="13" spans="1:18" x14ac:dyDescent="0.4">
      <c r="A13" s="20" t="s">
        <v>185</v>
      </c>
      <c r="B13" s="109">
        <f>IF(B10=0,0,C13/B10)</f>
        <v>-43.5</v>
      </c>
      <c r="C13" s="110">
        <v>-261</v>
      </c>
      <c r="E13" s="27" t="s">
        <v>73</v>
      </c>
      <c r="F13" s="24" t="s">
        <v>28</v>
      </c>
      <c r="G13" s="12">
        <v>1</v>
      </c>
      <c r="H13" s="88">
        <f>IF(B$20=0,0,G13/B$20)</f>
        <v>6.6666666666666666E-2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-6.416666666666667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0.1111111111111111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4</v>
      </c>
      <c r="O15" s="73" t="s">
        <v>191</v>
      </c>
      <c r="P15" s="82">
        <f>IF(Q15=0,0,R15/Q15)</f>
        <v>-24.055555555555557</v>
      </c>
      <c r="Q15" s="76">
        <v>9</v>
      </c>
      <c r="R15" s="67">
        <v>-216.5</v>
      </c>
    </row>
    <row r="16" spans="1:18" x14ac:dyDescent="0.4">
      <c r="A16" s="22" t="s">
        <v>121</v>
      </c>
      <c r="B16" s="15">
        <v>20</v>
      </c>
      <c r="C16" s="10">
        <f>IF(B$3=0,0,B16/B$3)</f>
        <v>0.27777777777777779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-57.644444444444439</v>
      </c>
      <c r="Q16" s="77">
        <v>9</v>
      </c>
      <c r="R16" s="68">
        <v>-518.79999999999995</v>
      </c>
    </row>
    <row r="17" spans="1:9" x14ac:dyDescent="0.4">
      <c r="A17" s="19" t="s">
        <v>118</v>
      </c>
      <c r="B17" s="12">
        <v>16</v>
      </c>
      <c r="C17" s="6">
        <f>IF(B$3=0,0,B17/B$3)</f>
        <v>0.22222222222222221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10</v>
      </c>
      <c r="C18" s="5">
        <f>IF(B$16=0,0,B18/B$16)</f>
        <v>0.5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7</v>
      </c>
    </row>
    <row r="19" spans="1:9" x14ac:dyDescent="0.4">
      <c r="A19" s="18" t="s">
        <v>124</v>
      </c>
      <c r="B19" s="11">
        <f>B25</f>
        <v>3</v>
      </c>
      <c r="C19" s="5">
        <f>IF(B$17=0,0,B19/B$17)</f>
        <v>0.1875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4</v>
      </c>
    </row>
    <row r="20" spans="1:9" x14ac:dyDescent="0.4">
      <c r="A20" s="18" t="s">
        <v>10</v>
      </c>
      <c r="B20" s="11">
        <f>B23+B22</f>
        <v>15</v>
      </c>
      <c r="C20" s="5">
        <f>IF(B$3=0,0,B20/B$3)</f>
        <v>0.20833333333333334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19</v>
      </c>
      <c r="C21" s="6">
        <f>IF(B$3=0,0,B21/B$3)</f>
        <v>0.2638888888888889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8</v>
      </c>
    </row>
    <row r="22" spans="1:9" x14ac:dyDescent="0.4">
      <c r="A22" s="19" t="s">
        <v>12</v>
      </c>
      <c r="B22" s="12">
        <v>10</v>
      </c>
      <c r="C22" s="6">
        <f>IF(B$20=0,0,B22/B$20)</f>
        <v>0.66666666666666663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5</v>
      </c>
      <c r="C23" s="6">
        <f>IF(B$20=0,0,B23/B$20)</f>
        <v>0.33333333333333331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7</v>
      </c>
    </row>
    <row r="24" spans="1:9" x14ac:dyDescent="0.4">
      <c r="A24" s="19" t="s">
        <v>182</v>
      </c>
      <c r="B24" s="12">
        <v>10</v>
      </c>
      <c r="C24" s="6">
        <f>IF(B$20=0,0,B24/B$20)</f>
        <v>0.66666666666666663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9" x14ac:dyDescent="0.4">
      <c r="A25" s="19" t="s">
        <v>180</v>
      </c>
      <c r="B25" s="12">
        <v>3</v>
      </c>
      <c r="C25" s="6">
        <f>IF(B$20=0,0,B25/B$20)</f>
        <v>0.2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3</v>
      </c>
    </row>
    <row r="26" spans="1:9" x14ac:dyDescent="0.4">
      <c r="A26" s="19" t="s">
        <v>181</v>
      </c>
      <c r="B26" s="12">
        <v>2</v>
      </c>
      <c r="C26" s="6">
        <f>IF(B$20=0,0,B26/B$20)</f>
        <v>0.13333333333333333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9" x14ac:dyDescent="0.4">
      <c r="A27" s="19" t="s">
        <v>5</v>
      </c>
      <c r="B27" s="16">
        <f>IF(B$20=0,0,C27/B$20)</f>
        <v>6533.333333333333</v>
      </c>
      <c r="C27" s="8">
        <v>98000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164</v>
      </c>
      <c r="B28" s="95">
        <f>IF($B$20-B$19=0,0,C28/($B$20-B$19))</f>
        <v>6666.666666666667</v>
      </c>
      <c r="C28" s="96">
        <v>80000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165</v>
      </c>
      <c r="B29" s="95">
        <f>IF(B$19=0,0,C29/B$19)</f>
        <v>6000</v>
      </c>
      <c r="C29" s="96">
        <v>18000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163</v>
      </c>
      <c r="B30" s="95">
        <f>IF(B$21=0,0,C30/B$21)</f>
        <v>-8863.1578947368416</v>
      </c>
      <c r="C30" s="96">
        <v>-168400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9" x14ac:dyDescent="0.4">
      <c r="A31" s="19" t="s">
        <v>156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9" x14ac:dyDescent="0.4">
      <c r="A32" s="19" t="s">
        <v>157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135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47600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136</v>
      </c>
      <c r="B35" s="29">
        <v>1</v>
      </c>
      <c r="C35" s="9">
        <f>IF(B$3=0,0,B35/B$3)</f>
        <v>1.3888888888888888E-2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6.6666666666666666E-2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3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1</v>
      </c>
      <c r="C39" s="6">
        <f t="shared" si="2"/>
        <v>6.6666666666666666E-2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5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5</v>
      </c>
      <c r="C41" s="6">
        <f t="shared" si="2"/>
        <v>0.33333333333333331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0DAA9-0D1B-4EE4-9EE3-94144D1597CA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188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12</v>
      </c>
      <c r="C2" s="134"/>
      <c r="E2" s="26" t="s">
        <v>64</v>
      </c>
      <c r="F2" s="23" t="s">
        <v>20</v>
      </c>
      <c r="G2" s="11">
        <v>16</v>
      </c>
      <c r="H2" s="87">
        <f>IF(B$20=0,0,G2/B$20)</f>
        <v>0.59259259259259256</v>
      </c>
      <c r="I2" s="57">
        <v>5</v>
      </c>
      <c r="K2" s="73">
        <v>0</v>
      </c>
      <c r="L2" s="118">
        <v>0</v>
      </c>
      <c r="M2" s="116">
        <v>1551.4699038276274</v>
      </c>
      <c r="O2" s="73" t="s">
        <v>127</v>
      </c>
      <c r="P2" s="79">
        <f t="shared" ref="P2:P7" si="0">IF(Q2=0,0,R2/Q2)</f>
        <v>1525</v>
      </c>
      <c r="Q2" s="76">
        <v>12</v>
      </c>
      <c r="R2" s="63">
        <v>18300</v>
      </c>
    </row>
    <row r="3" spans="1:18" x14ac:dyDescent="0.4">
      <c r="A3" s="19" t="s">
        <v>8</v>
      </c>
      <c r="B3" s="135">
        <v>89</v>
      </c>
      <c r="C3" s="136"/>
      <c r="E3" s="27" t="s">
        <v>158</v>
      </c>
      <c r="F3" s="24" t="s">
        <v>159</v>
      </c>
      <c r="G3" s="12">
        <v>15</v>
      </c>
      <c r="H3" s="88">
        <f>IF(B$20=0,0,G3/B$20)</f>
        <v>0.55555555555555558</v>
      </c>
      <c r="I3" s="58">
        <v>2</v>
      </c>
      <c r="K3" s="74">
        <v>1</v>
      </c>
      <c r="L3" s="119">
        <v>61.8</v>
      </c>
      <c r="M3" s="117">
        <v>1562.6810844046615</v>
      </c>
      <c r="O3" s="74" t="s">
        <v>128</v>
      </c>
      <c r="P3" s="80">
        <f t="shared" si="0"/>
        <v>-2191.6666666666665</v>
      </c>
      <c r="Q3" s="77">
        <v>12</v>
      </c>
      <c r="R3" s="64">
        <v>-26300</v>
      </c>
    </row>
    <row r="4" spans="1:18" x14ac:dyDescent="0.4">
      <c r="A4" s="19" t="s">
        <v>6</v>
      </c>
      <c r="B4" s="137">
        <v>-13.399999999999999</v>
      </c>
      <c r="C4" s="138"/>
      <c r="E4" s="27" t="s">
        <v>68</v>
      </c>
      <c r="F4" s="24" t="s">
        <v>12</v>
      </c>
      <c r="G4" s="12">
        <v>14</v>
      </c>
      <c r="H4" s="88">
        <f>IF(B$20=0,0,G4/B$20)</f>
        <v>0.51851851851851849</v>
      </c>
      <c r="I4" s="58">
        <v>2</v>
      </c>
      <c r="K4" s="74">
        <v>2</v>
      </c>
      <c r="L4" s="119">
        <v>34.699999999999996</v>
      </c>
      <c r="M4" s="117">
        <v>1557.9249978982336</v>
      </c>
      <c r="O4" s="74" t="s">
        <v>129</v>
      </c>
      <c r="P4" s="80">
        <f t="shared" si="0"/>
        <v>-2550</v>
      </c>
      <c r="Q4" s="77">
        <v>12</v>
      </c>
      <c r="R4" s="64">
        <v>-30600</v>
      </c>
    </row>
    <row r="5" spans="1:18" x14ac:dyDescent="0.4">
      <c r="A5" s="19" t="s">
        <v>7</v>
      </c>
      <c r="B5" s="125">
        <f>IF(B$2=0,0,B$4/B$2)</f>
        <v>-1.1166666666666665</v>
      </c>
      <c r="C5" s="126"/>
      <c r="E5" s="27" t="s">
        <v>72</v>
      </c>
      <c r="F5" s="24" t="s">
        <v>27</v>
      </c>
      <c r="G5" s="12">
        <v>13</v>
      </c>
      <c r="H5" s="88">
        <f>IF(B$20=0,0,G5/B$20)</f>
        <v>0.48148148148148145</v>
      </c>
      <c r="I5" s="58">
        <v>4</v>
      </c>
      <c r="K5" s="74">
        <v>3</v>
      </c>
      <c r="L5" s="119">
        <v>7.1999999999999957</v>
      </c>
      <c r="M5" s="117">
        <v>1553.1254479108443</v>
      </c>
      <c r="O5" s="74" t="s">
        <v>130</v>
      </c>
      <c r="P5" s="80">
        <f t="shared" si="0"/>
        <v>675</v>
      </c>
      <c r="Q5" s="77">
        <v>12</v>
      </c>
      <c r="R5" s="64">
        <v>8100</v>
      </c>
    </row>
    <row r="6" spans="1:18" x14ac:dyDescent="0.4">
      <c r="A6" s="19" t="s">
        <v>192</v>
      </c>
      <c r="B6" s="129">
        <v>1550.6754603476463</v>
      </c>
      <c r="C6" s="130"/>
      <c r="E6" s="27" t="s">
        <v>67</v>
      </c>
      <c r="F6" s="24" t="s">
        <v>23</v>
      </c>
      <c r="G6" s="12">
        <v>12</v>
      </c>
      <c r="H6" s="88">
        <f>IF(B$20=0,0,G6/B$20)</f>
        <v>0.44444444444444442</v>
      </c>
      <c r="I6" s="58">
        <v>2</v>
      </c>
      <c r="K6" s="74">
        <v>4</v>
      </c>
      <c r="L6" s="119">
        <v>52.9</v>
      </c>
      <c r="M6" s="117">
        <v>1561.5306952233793</v>
      </c>
      <c r="O6" s="74" t="s">
        <v>131</v>
      </c>
      <c r="P6" s="80">
        <f t="shared" si="0"/>
        <v>9910</v>
      </c>
      <c r="Q6" s="77">
        <v>10</v>
      </c>
      <c r="R6" s="64">
        <v>99100</v>
      </c>
    </row>
    <row r="7" spans="1:18" x14ac:dyDescent="0.4">
      <c r="A7" s="19" t="s">
        <v>1</v>
      </c>
      <c r="B7" s="139">
        <f>IF(B$2=0,0,(B$8*1+B$9*2+B$10*3)/B$2)</f>
        <v>2.0833333333333335</v>
      </c>
      <c r="C7" s="140"/>
      <c r="E7" s="27" t="s">
        <v>66</v>
      </c>
      <c r="F7" s="24" t="s">
        <v>22</v>
      </c>
      <c r="G7" s="12">
        <v>11</v>
      </c>
      <c r="H7" s="88">
        <f>IF(B$20=0,0,G7/B$20)</f>
        <v>0.40740740740740738</v>
      </c>
      <c r="I7" s="58">
        <v>7</v>
      </c>
      <c r="K7" s="74">
        <v>5</v>
      </c>
      <c r="L7" s="119">
        <v>12.100000000000001</v>
      </c>
      <c r="M7" s="117">
        <v>1554.315511052039</v>
      </c>
      <c r="O7" s="75" t="s">
        <v>132</v>
      </c>
      <c r="P7" s="81">
        <f t="shared" si="0"/>
        <v>-1528.5714285714287</v>
      </c>
      <c r="Q7" s="78">
        <v>7</v>
      </c>
      <c r="R7" s="65">
        <v>-10700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0.33333333333333331</v>
      </c>
      <c r="E8" s="27" t="s">
        <v>65</v>
      </c>
      <c r="F8" s="24" t="s">
        <v>21</v>
      </c>
      <c r="G8" s="12">
        <v>6</v>
      </c>
      <c r="H8" s="88">
        <f>IF(B$20=0,0,G8/B$20)</f>
        <v>0.22222222222222221</v>
      </c>
      <c r="I8" s="58">
        <v>1</v>
      </c>
      <c r="K8" s="74">
        <v>6</v>
      </c>
      <c r="L8" s="119">
        <v>9.8000000000000007</v>
      </c>
      <c r="M8" s="117">
        <v>1554.0736179857267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0.25</v>
      </c>
      <c r="E9" s="27" t="s">
        <v>69</v>
      </c>
      <c r="F9" s="24" t="s">
        <v>24</v>
      </c>
      <c r="G9" s="12">
        <v>5</v>
      </c>
      <c r="H9" s="88">
        <f>IF(B$20=0,0,G9/B$20)</f>
        <v>0.18518518518518517</v>
      </c>
      <c r="I9" s="58">
        <v>2</v>
      </c>
      <c r="K9" s="74">
        <v>7</v>
      </c>
      <c r="L9" s="119">
        <v>-1.0999999999999996</v>
      </c>
      <c r="M9" s="117">
        <v>1552.2851762778123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89</v>
      </c>
      <c r="F10" s="24" t="s">
        <v>44</v>
      </c>
      <c r="G10" s="12">
        <v>5</v>
      </c>
      <c r="H10" s="88">
        <f>IF(B$20=0,0,G10/B$20)</f>
        <v>0.18518518518518517</v>
      </c>
      <c r="I10" s="58">
        <v>1</v>
      </c>
      <c r="K10" s="74">
        <v>8</v>
      </c>
      <c r="L10" s="119">
        <v>67.600000000000009</v>
      </c>
      <c r="M10" s="117">
        <v>1564.8354652201454</v>
      </c>
      <c r="O10" s="73" t="s">
        <v>150</v>
      </c>
      <c r="P10" s="82">
        <f>IF(Q10=0,0,R10/Q10)</f>
        <v>-18.380000000000003</v>
      </c>
      <c r="Q10" s="76">
        <v>5</v>
      </c>
      <c r="R10" s="67">
        <v>-91.9</v>
      </c>
    </row>
    <row r="11" spans="1:18" x14ac:dyDescent="0.4">
      <c r="A11" s="20" t="s">
        <v>183</v>
      </c>
      <c r="B11" s="109">
        <f>IF(B8=0,0,C11/B8)</f>
        <v>50.674999999999997</v>
      </c>
      <c r="C11" s="110">
        <v>202.7</v>
      </c>
      <c r="E11" s="27" t="s">
        <v>81</v>
      </c>
      <c r="F11" s="24" t="s">
        <v>36</v>
      </c>
      <c r="G11" s="12">
        <v>3</v>
      </c>
      <c r="H11" s="88">
        <f>IF(B$20=0,0,G11/B$20)</f>
        <v>0.1111111111111111</v>
      </c>
      <c r="I11" s="58">
        <v>1</v>
      </c>
      <c r="K11" s="74">
        <v>9</v>
      </c>
      <c r="L11" s="119">
        <v>94.100000000000009</v>
      </c>
      <c r="M11" s="117">
        <v>1569.7144524288244</v>
      </c>
      <c r="O11" s="74" t="s">
        <v>151</v>
      </c>
      <c r="P11" s="83">
        <f>IF(Q11=0,0,R11/Q11)</f>
        <v>42.733333333333327</v>
      </c>
      <c r="Q11" s="77">
        <v>3</v>
      </c>
      <c r="R11" s="68">
        <v>128.19999999999999</v>
      </c>
    </row>
    <row r="12" spans="1:18" x14ac:dyDescent="0.4">
      <c r="A12" s="20" t="s">
        <v>184</v>
      </c>
      <c r="B12" s="109">
        <f>IF(B9=0,0,C12/B9)</f>
        <v>-11.6</v>
      </c>
      <c r="C12" s="110">
        <v>-34.799999999999997</v>
      </c>
      <c r="E12" s="27" t="s">
        <v>71</v>
      </c>
      <c r="F12" s="24" t="s">
        <v>26</v>
      </c>
      <c r="G12" s="12">
        <v>2</v>
      </c>
      <c r="H12" s="88">
        <f>IF(B$20=0,0,G12/B$20)</f>
        <v>7.407407407407407E-2</v>
      </c>
      <c r="I12" s="58">
        <v>4</v>
      </c>
      <c r="K12" s="74">
        <v>10</v>
      </c>
      <c r="L12" s="119">
        <v>72.5</v>
      </c>
      <c r="M12" s="117">
        <v>1565.9061657142515</v>
      </c>
      <c r="O12" s="75" t="s">
        <v>152</v>
      </c>
      <c r="P12" s="84">
        <f>IF(Q12=0,0,R12/Q12)</f>
        <v>-12.425000000000001</v>
      </c>
      <c r="Q12" s="78">
        <v>4</v>
      </c>
      <c r="R12" s="69">
        <v>-49.7</v>
      </c>
    </row>
    <row r="13" spans="1:18" x14ac:dyDescent="0.4">
      <c r="A13" s="20" t="s">
        <v>185</v>
      </c>
      <c r="B13" s="109">
        <f>IF(B10=0,0,C13/B10)</f>
        <v>-36.260000000000005</v>
      </c>
      <c r="C13" s="110">
        <v>-181.3</v>
      </c>
      <c r="E13" s="27" t="s">
        <v>78</v>
      </c>
      <c r="F13" s="24" t="s">
        <v>33</v>
      </c>
      <c r="G13" s="12">
        <v>2</v>
      </c>
      <c r="H13" s="88">
        <f>IF(B$20=0,0,G13/B$20)</f>
        <v>7.407407407407407E-2</v>
      </c>
      <c r="I13" s="58">
        <v>1</v>
      </c>
      <c r="K13" s="74">
        <v>11</v>
      </c>
      <c r="L13" s="119">
        <v>47.7</v>
      </c>
      <c r="M13" s="117">
        <v>1561.5447287199661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0.93833333333333024</v>
      </c>
      <c r="C14" s="126"/>
      <c r="E14" s="27" t="s">
        <v>91</v>
      </c>
      <c r="F14" s="24" t="s">
        <v>46</v>
      </c>
      <c r="G14" s="12">
        <v>2</v>
      </c>
      <c r="H14" s="88">
        <f>IF(B$20=0,0,G14/B$20)</f>
        <v>7.407407407407407E-2</v>
      </c>
      <c r="I14" s="58">
        <v>1</v>
      </c>
      <c r="K14" s="74">
        <v>12</v>
      </c>
      <c r="L14" s="119">
        <v>-13.399999999999999</v>
      </c>
      <c r="M14" s="117">
        <v>1550.6754603476463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8.3333333333333329E-2</v>
      </c>
      <c r="E15" s="27" t="s">
        <v>70</v>
      </c>
      <c r="F15" s="24" t="s">
        <v>25</v>
      </c>
      <c r="G15" s="12">
        <v>1</v>
      </c>
      <c r="H15" s="88">
        <f>IF(B$20=0,0,G15/B$20)</f>
        <v>3.7037037037037035E-2</v>
      </c>
      <c r="I15" s="58">
        <v>8</v>
      </c>
      <c r="O15" s="73" t="s">
        <v>191</v>
      </c>
      <c r="P15" s="82">
        <f>IF(Q15=0,0,R15/Q15)</f>
        <v>15.816666666666663</v>
      </c>
      <c r="Q15" s="76">
        <v>12</v>
      </c>
      <c r="R15" s="67">
        <v>189.79999999999995</v>
      </c>
    </row>
    <row r="16" spans="1:18" x14ac:dyDescent="0.4">
      <c r="A16" s="22" t="s">
        <v>121</v>
      </c>
      <c r="B16" s="15">
        <v>33</v>
      </c>
      <c r="C16" s="10">
        <f>IF(B$3=0,0,B16/B$3)</f>
        <v>0.3707865168539326</v>
      </c>
      <c r="E16" s="27" t="s">
        <v>86</v>
      </c>
      <c r="F16" s="24" t="s">
        <v>41</v>
      </c>
      <c r="G16" s="12">
        <v>1</v>
      </c>
      <c r="H16" s="88">
        <f>IF(B$20=0,0,G16/B$20)</f>
        <v>3.7037037037037035E-2</v>
      </c>
      <c r="I16" s="58">
        <v>7</v>
      </c>
      <c r="O16" s="74" t="s">
        <v>126</v>
      </c>
      <c r="P16" s="83">
        <f>IF(Q16=0,0,R16/Q16)</f>
        <v>-19.166666666666671</v>
      </c>
      <c r="Q16" s="77">
        <v>12</v>
      </c>
      <c r="R16" s="68">
        <v>-230.00000000000006</v>
      </c>
    </row>
    <row r="17" spans="1:9" x14ac:dyDescent="0.4">
      <c r="A17" s="19" t="s">
        <v>118</v>
      </c>
      <c r="B17" s="12">
        <v>12</v>
      </c>
      <c r="C17" s="6">
        <f>IF(B$3=0,0,B17/B$3)</f>
        <v>0.1348314606741573</v>
      </c>
      <c r="E17" s="27" t="s">
        <v>154</v>
      </c>
      <c r="F17" s="24" t="s">
        <v>155</v>
      </c>
      <c r="G17" s="12">
        <v>1</v>
      </c>
      <c r="H17" s="88">
        <f>IF(B$20=0,0,G17/B$20)</f>
        <v>3.7037037037037035E-2</v>
      </c>
      <c r="I17" s="58">
        <v>1</v>
      </c>
    </row>
    <row r="18" spans="1:9" x14ac:dyDescent="0.4">
      <c r="A18" s="18" t="s">
        <v>123</v>
      </c>
      <c r="B18" s="11">
        <f>B24</f>
        <v>17</v>
      </c>
      <c r="C18" s="5">
        <f>IF(B$16=0,0,B18/B$16)</f>
        <v>0.51515151515151514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7</v>
      </c>
    </row>
    <row r="19" spans="1:9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4</v>
      </c>
    </row>
    <row r="20" spans="1:9" x14ac:dyDescent="0.4">
      <c r="A20" s="18" t="s">
        <v>10</v>
      </c>
      <c r="B20" s="11">
        <f>B23+B22</f>
        <v>27</v>
      </c>
      <c r="C20" s="5">
        <f>IF(B$3=0,0,B20/B$3)</f>
        <v>0.30337078651685395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4</v>
      </c>
    </row>
    <row r="21" spans="1:9" x14ac:dyDescent="0.4">
      <c r="A21" s="19" t="s">
        <v>13</v>
      </c>
      <c r="B21" s="12">
        <v>14</v>
      </c>
      <c r="C21" s="6">
        <f>IF(B$3=0,0,B21/B$3)</f>
        <v>0.15730337078651685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15</v>
      </c>
      <c r="C22" s="6">
        <f>IF(B$20=0,0,B22/B$20)</f>
        <v>0.55555555555555558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12</v>
      </c>
      <c r="C23" s="6">
        <f>IF(B$20=0,0,B23/B$20)</f>
        <v>0.44444444444444442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4</v>
      </c>
    </row>
    <row r="24" spans="1:9" x14ac:dyDescent="0.4">
      <c r="A24" s="19" t="s">
        <v>182</v>
      </c>
      <c r="B24" s="12">
        <v>17</v>
      </c>
      <c r="C24" s="6">
        <f>IF(B$20=0,0,B24/B$20)</f>
        <v>0.62962962962962965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5</v>
      </c>
      <c r="C25" s="6">
        <f>IF(B$20=0,0,B25/B$20)</f>
        <v>0.18518518518518517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5</v>
      </c>
      <c r="C26" s="6">
        <f>IF(B$20=0,0,B26/B$20)</f>
        <v>0.18518518518518517</v>
      </c>
      <c r="E26" s="27" t="s">
        <v>83</v>
      </c>
      <c r="F26" s="24" t="s">
        <v>38</v>
      </c>
      <c r="G26" s="12">
        <v>0</v>
      </c>
      <c r="H26" s="88">
        <f>IF(B$20=0,0,G26/B$20)</f>
        <v>0</v>
      </c>
      <c r="I26" s="58">
        <v>7</v>
      </c>
    </row>
    <row r="27" spans="1:9" x14ac:dyDescent="0.4">
      <c r="A27" s="19" t="s">
        <v>5</v>
      </c>
      <c r="B27" s="16">
        <f>IF(B$20=0,0,C27/B$20)</f>
        <v>10159.259259259259</v>
      </c>
      <c r="C27" s="8">
        <v>274300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164</v>
      </c>
      <c r="B28" s="95">
        <f>IF($B$20-B$19=0,0,C28/($B$20-B$19))</f>
        <v>11440.90909090909</v>
      </c>
      <c r="C28" s="96">
        <v>251700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3</v>
      </c>
    </row>
    <row r="29" spans="1:9" x14ac:dyDescent="0.4">
      <c r="A29" s="20" t="s">
        <v>165</v>
      </c>
      <c r="B29" s="95">
        <f>IF(B$19=0,0,C29/B$19)</f>
        <v>4520</v>
      </c>
      <c r="C29" s="96">
        <v>22600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163</v>
      </c>
      <c r="B30" s="95">
        <f>IF(B$21=0,0,C30/B$21)</f>
        <v>-8985.7142857142862</v>
      </c>
      <c r="C30" s="96">
        <v>-125800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156</v>
      </c>
      <c r="B31" s="12">
        <v>3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</row>
    <row r="32" spans="1:9" x14ac:dyDescent="0.4">
      <c r="A32" s="19" t="s">
        <v>157</v>
      </c>
      <c r="B32" s="12">
        <v>15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135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83700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3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3.7037037037037035E-2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166</v>
      </c>
      <c r="B38" s="12">
        <v>6</v>
      </c>
      <c r="C38" s="6">
        <f t="shared" si="2"/>
        <v>0.22222222222222221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3</v>
      </c>
      <c r="C39" s="6">
        <f t="shared" si="2"/>
        <v>0.1111111111111111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3</v>
      </c>
    </row>
    <row r="40" spans="1:9" x14ac:dyDescent="0.4">
      <c r="A40" s="19" t="s">
        <v>168</v>
      </c>
      <c r="B40" s="124">
        <v>3</v>
      </c>
      <c r="C40" s="6">
        <f t="shared" si="2"/>
        <v>0.1111111111111111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4</v>
      </c>
      <c r="C41" s="6">
        <f t="shared" si="2"/>
        <v>0.14814814814814814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3</v>
      </c>
      <c r="C42" s="6">
        <f t="shared" si="2"/>
        <v>0.1111111111111111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4</v>
      </c>
      <c r="C43" s="6">
        <f t="shared" si="2"/>
        <v>0.14814814814814814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2</v>
      </c>
      <c r="C47" s="6">
        <f t="shared" si="2"/>
        <v>7.407407407407407E-2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3.7037037037037035E-2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50D10-E87F-43F3-8D53-642F8EC6F0C6}">
  <sheetPr codeName="Sheet20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188</v>
      </c>
      <c r="B1" s="34" t="s">
        <v>188</v>
      </c>
      <c r="C1" s="34" t="s">
        <v>188</v>
      </c>
      <c r="D1" s="35" t="s">
        <v>188</v>
      </c>
      <c r="E1" s="34" t="s">
        <v>188</v>
      </c>
      <c r="F1" s="34" t="s">
        <v>188</v>
      </c>
      <c r="G1" s="34" t="s">
        <v>188</v>
      </c>
      <c r="H1" s="34" t="s">
        <v>188</v>
      </c>
      <c r="I1" s="34" t="s">
        <v>188</v>
      </c>
      <c r="J1" s="34" t="s">
        <v>188</v>
      </c>
      <c r="K1" s="34" t="s">
        <v>188</v>
      </c>
      <c r="L1" s="34" t="s">
        <v>188</v>
      </c>
      <c r="M1" s="34" t="s">
        <v>188</v>
      </c>
      <c r="N1" s="34" t="s">
        <v>188</v>
      </c>
      <c r="O1" s="34" t="s">
        <v>188</v>
      </c>
      <c r="P1" s="34" t="s">
        <v>188</v>
      </c>
      <c r="Q1" s="34" t="s">
        <v>188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61.8</v>
      </c>
      <c r="C4" s="30">
        <v>61.8</v>
      </c>
      <c r="D4" s="35">
        <v>1</v>
      </c>
      <c r="E4" s="31">
        <v>1</v>
      </c>
      <c r="F4" s="31">
        <v>0</v>
      </c>
      <c r="G4" s="31">
        <v>0.55555555555555558</v>
      </c>
      <c r="H4" s="31">
        <v>0.22222222222222221</v>
      </c>
      <c r="I4" s="32">
        <v>12360</v>
      </c>
      <c r="J4" s="32">
        <v>-10000</v>
      </c>
      <c r="K4" s="31">
        <v>0</v>
      </c>
      <c r="L4" s="31">
        <v>0.33333333333333331</v>
      </c>
      <c r="M4" s="31">
        <v>0.22222222222222221</v>
      </c>
      <c r="N4" s="31">
        <v>1</v>
      </c>
      <c r="O4" s="31">
        <v>0.5</v>
      </c>
      <c r="P4" s="31">
        <v>0.4</v>
      </c>
    </row>
    <row r="5" spans="1:17" x14ac:dyDescent="0.4">
      <c r="A5" s="33">
        <v>2</v>
      </c>
      <c r="B5" s="30">
        <v>34.699999999999996</v>
      </c>
      <c r="C5" s="30">
        <v>17.349999999999998</v>
      </c>
      <c r="D5" s="35">
        <v>2</v>
      </c>
      <c r="E5" s="31">
        <v>0.5</v>
      </c>
      <c r="F5" s="31">
        <v>0.5</v>
      </c>
      <c r="G5" s="31">
        <v>0.5</v>
      </c>
      <c r="H5" s="31">
        <v>0.25</v>
      </c>
      <c r="I5" s="32">
        <v>9162.5</v>
      </c>
      <c r="J5" s="32">
        <v>-7900</v>
      </c>
      <c r="K5" s="31">
        <v>0</v>
      </c>
      <c r="L5" s="31">
        <v>0.25</v>
      </c>
      <c r="M5" s="31">
        <v>0.3125</v>
      </c>
      <c r="N5" s="31">
        <v>0.75</v>
      </c>
      <c r="O5" s="31">
        <v>0.6</v>
      </c>
      <c r="P5" s="31">
        <v>0.375</v>
      </c>
    </row>
    <row r="6" spans="1:17" x14ac:dyDescent="0.4">
      <c r="A6" s="33">
        <v>3</v>
      </c>
      <c r="B6" s="30">
        <v>7.1999999999999957</v>
      </c>
      <c r="C6" s="30">
        <v>2.3999999999999986</v>
      </c>
      <c r="D6" s="35">
        <v>2.3333333333333335</v>
      </c>
      <c r="E6" s="31">
        <v>0.33333333333333331</v>
      </c>
      <c r="F6" s="31">
        <v>0.66666666666666663</v>
      </c>
      <c r="G6" s="31">
        <v>0.47826086956521741</v>
      </c>
      <c r="H6" s="31">
        <v>0.2608695652173913</v>
      </c>
      <c r="I6" s="32">
        <v>8354.545454545454</v>
      </c>
      <c r="J6" s="32">
        <v>-9200</v>
      </c>
      <c r="K6" s="31">
        <v>0</v>
      </c>
      <c r="L6" s="31">
        <v>0.34782608695652173</v>
      </c>
      <c r="M6" s="31">
        <v>0.21739130434782608</v>
      </c>
      <c r="N6" s="31">
        <v>0.75</v>
      </c>
      <c r="O6" s="31">
        <v>0.6</v>
      </c>
      <c r="P6" s="31">
        <v>0.45454545454545453</v>
      </c>
    </row>
    <row r="7" spans="1:17" x14ac:dyDescent="0.4">
      <c r="A7" s="33">
        <v>4</v>
      </c>
      <c r="B7" s="30">
        <v>52.9</v>
      </c>
      <c r="C7" s="30">
        <v>13.225</v>
      </c>
      <c r="D7" s="35">
        <v>2</v>
      </c>
      <c r="E7" s="31">
        <v>0.5</v>
      </c>
      <c r="F7" s="31">
        <v>0.5</v>
      </c>
      <c r="G7" s="31">
        <v>0.4838709677419355</v>
      </c>
      <c r="H7" s="31">
        <v>0.19354838709677419</v>
      </c>
      <c r="I7" s="32">
        <v>8706.6666666666661</v>
      </c>
      <c r="J7" s="32">
        <v>-9200</v>
      </c>
      <c r="K7" s="31">
        <v>0</v>
      </c>
      <c r="L7" s="31">
        <v>0.35483870967741937</v>
      </c>
      <c r="M7" s="31">
        <v>0.19354838709677419</v>
      </c>
      <c r="N7" s="31">
        <v>0.72727272727272729</v>
      </c>
      <c r="O7" s="31">
        <v>0.66666666666666663</v>
      </c>
      <c r="P7" s="31">
        <v>0.53333333333333333</v>
      </c>
    </row>
    <row r="8" spans="1:17" x14ac:dyDescent="0.4">
      <c r="A8" s="33">
        <v>5</v>
      </c>
      <c r="B8" s="30">
        <v>12.100000000000001</v>
      </c>
      <c r="C8" s="30">
        <v>2.4200000000000004</v>
      </c>
      <c r="D8" s="35">
        <v>2.2000000000000002</v>
      </c>
      <c r="E8" s="31">
        <v>0.4</v>
      </c>
      <c r="F8" s="31">
        <v>0.6</v>
      </c>
      <c r="G8" s="31">
        <v>0.43243243243243246</v>
      </c>
      <c r="H8" s="31">
        <v>0.1891891891891892</v>
      </c>
      <c r="I8" s="32">
        <v>8293.75</v>
      </c>
      <c r="J8" s="32">
        <v>-10171.428571428571</v>
      </c>
      <c r="K8" s="31">
        <v>0</v>
      </c>
      <c r="L8" s="31">
        <v>0.3783783783783784</v>
      </c>
      <c r="M8" s="31">
        <v>0.1891891891891892</v>
      </c>
      <c r="N8" s="31">
        <v>0.6428571428571429</v>
      </c>
      <c r="O8" s="31">
        <v>0.5714285714285714</v>
      </c>
      <c r="P8" s="31">
        <v>0.5625</v>
      </c>
    </row>
    <row r="9" spans="1:17" x14ac:dyDescent="0.4">
      <c r="A9" s="33">
        <v>6</v>
      </c>
      <c r="B9" s="30">
        <v>9.8000000000000007</v>
      </c>
      <c r="C9" s="30">
        <v>1.6333333333333335</v>
      </c>
      <c r="D9" s="35">
        <v>2.1666666666666665</v>
      </c>
      <c r="E9" s="31">
        <v>0.33333333333333331</v>
      </c>
      <c r="F9" s="31">
        <v>0.5</v>
      </c>
      <c r="G9" s="31">
        <v>0.40476190476190477</v>
      </c>
      <c r="H9" s="31">
        <v>0.19047619047619047</v>
      </c>
      <c r="I9" s="32">
        <v>8511.7647058823532</v>
      </c>
      <c r="J9" s="32">
        <v>-9062.5</v>
      </c>
      <c r="K9" s="31">
        <v>0</v>
      </c>
      <c r="L9" s="31">
        <v>0.40476190476190477</v>
      </c>
      <c r="M9" s="31">
        <v>0.16666666666666666</v>
      </c>
      <c r="N9" s="31">
        <v>0.58823529411764708</v>
      </c>
      <c r="O9" s="31">
        <v>0.5714285714285714</v>
      </c>
      <c r="P9" s="31">
        <v>0.52941176470588236</v>
      </c>
    </row>
    <row r="10" spans="1:17" x14ac:dyDescent="0.4">
      <c r="A10" s="33">
        <v>7</v>
      </c>
      <c r="B10" s="30">
        <v>-1.0999999999999996</v>
      </c>
      <c r="C10" s="30">
        <v>-0.15714285714285708</v>
      </c>
      <c r="D10" s="35">
        <v>2.1428571428571428</v>
      </c>
      <c r="E10" s="31">
        <v>0.2857142857142857</v>
      </c>
      <c r="F10" s="31">
        <v>0.42857142857142855</v>
      </c>
      <c r="G10" s="31">
        <v>0.36734693877551022</v>
      </c>
      <c r="H10" s="31">
        <v>0.18367346938775511</v>
      </c>
      <c r="I10" s="32">
        <v>8466.6666666666661</v>
      </c>
      <c r="J10" s="32">
        <v>-9833.3333333333339</v>
      </c>
      <c r="K10" s="31">
        <v>0</v>
      </c>
      <c r="L10" s="31">
        <v>0.40816326530612246</v>
      </c>
      <c r="M10" s="31">
        <v>0.14285714285714285</v>
      </c>
      <c r="N10" s="31">
        <v>0.55000000000000004</v>
      </c>
      <c r="O10" s="31">
        <v>0.5714285714285714</v>
      </c>
      <c r="P10" s="31">
        <v>0.5</v>
      </c>
    </row>
    <row r="11" spans="1:17" x14ac:dyDescent="0.4">
      <c r="A11" s="33">
        <v>8</v>
      </c>
      <c r="B11" s="30">
        <v>67.600000000000009</v>
      </c>
      <c r="C11" s="30">
        <v>8.4500000000000011</v>
      </c>
      <c r="D11" s="35">
        <v>2</v>
      </c>
      <c r="E11" s="31">
        <v>0.375</v>
      </c>
      <c r="F11" s="31">
        <v>0.375</v>
      </c>
      <c r="G11" s="31">
        <v>0.35087719298245612</v>
      </c>
      <c r="H11" s="31">
        <v>0.17543859649122806</v>
      </c>
      <c r="I11" s="32">
        <v>10620</v>
      </c>
      <c r="J11" s="32">
        <v>-9050</v>
      </c>
      <c r="K11" s="31">
        <v>0</v>
      </c>
      <c r="L11" s="31">
        <v>0.42105263157894735</v>
      </c>
      <c r="M11" s="31">
        <v>0.12280701754385964</v>
      </c>
      <c r="N11" s="31">
        <v>0.54166666666666663</v>
      </c>
      <c r="O11" s="31">
        <v>0.5714285714285714</v>
      </c>
      <c r="P11" s="31">
        <v>0.55000000000000004</v>
      </c>
    </row>
    <row r="12" spans="1:17" x14ac:dyDescent="0.4">
      <c r="A12" s="33">
        <v>9</v>
      </c>
      <c r="B12" s="30">
        <v>94.100000000000009</v>
      </c>
      <c r="C12" s="30">
        <v>10.455555555555556</v>
      </c>
      <c r="D12" s="35">
        <v>1.8888888888888888</v>
      </c>
      <c r="E12" s="31">
        <v>0.44444444444444442</v>
      </c>
      <c r="F12" s="31">
        <v>0.33333333333333331</v>
      </c>
      <c r="G12" s="31">
        <v>0.34920634920634919</v>
      </c>
      <c r="H12" s="31">
        <v>0.15873015873015872</v>
      </c>
      <c r="I12" s="32">
        <v>10563.636363636364</v>
      </c>
      <c r="J12" s="32">
        <v>-9050</v>
      </c>
      <c r="K12" s="31">
        <v>0</v>
      </c>
      <c r="L12" s="31">
        <v>0.3968253968253968</v>
      </c>
      <c r="M12" s="31">
        <v>0.1111111111111111</v>
      </c>
      <c r="N12" s="31">
        <v>0.56000000000000005</v>
      </c>
      <c r="O12" s="31">
        <v>0.5714285714285714</v>
      </c>
      <c r="P12" s="31">
        <v>0.59090909090909094</v>
      </c>
    </row>
    <row r="13" spans="1:17" x14ac:dyDescent="0.4">
      <c r="A13" s="33">
        <v>10</v>
      </c>
      <c r="B13" s="30">
        <v>72.5</v>
      </c>
      <c r="C13" s="30">
        <v>7.25</v>
      </c>
      <c r="D13" s="35">
        <v>1.9</v>
      </c>
      <c r="E13" s="31">
        <v>0.4</v>
      </c>
      <c r="F13" s="31">
        <v>0.3</v>
      </c>
      <c r="G13" s="31">
        <v>0.3188405797101449</v>
      </c>
      <c r="H13" s="31">
        <v>0.15942028985507245</v>
      </c>
      <c r="I13" s="32">
        <v>10563.636363636364</v>
      </c>
      <c r="J13" s="32">
        <v>-8463.636363636364</v>
      </c>
      <c r="K13" s="31">
        <v>0</v>
      </c>
      <c r="L13" s="31">
        <v>0.37681159420289856</v>
      </c>
      <c r="M13" s="31">
        <v>0.11594202898550725</v>
      </c>
      <c r="N13" s="31">
        <v>0.53846153846153844</v>
      </c>
      <c r="O13" s="31">
        <v>0.5</v>
      </c>
      <c r="P13" s="31">
        <v>0.59090909090909094</v>
      </c>
    </row>
    <row r="14" spans="1:17" x14ac:dyDescent="0.4">
      <c r="A14" s="33">
        <v>11</v>
      </c>
      <c r="B14" s="30">
        <v>47.7</v>
      </c>
      <c r="C14" s="30">
        <v>4.3363636363636369</v>
      </c>
      <c r="D14" s="35">
        <v>2</v>
      </c>
      <c r="E14" s="31">
        <v>0.36363636363636365</v>
      </c>
      <c r="F14" s="31">
        <v>0.36363636363636365</v>
      </c>
      <c r="G14" s="31">
        <v>0.31168831168831168</v>
      </c>
      <c r="H14" s="31">
        <v>0.14285714285714285</v>
      </c>
      <c r="I14" s="32">
        <v>10266.666666666666</v>
      </c>
      <c r="J14" s="32">
        <v>-8463.636363636364</v>
      </c>
      <c r="K14" s="31">
        <v>0</v>
      </c>
      <c r="L14" s="31">
        <v>0.36363636363636365</v>
      </c>
      <c r="M14" s="31">
        <v>0.11688311688311688</v>
      </c>
      <c r="N14" s="31">
        <v>0.5357142857142857</v>
      </c>
      <c r="O14" s="31">
        <v>0.44444444444444442</v>
      </c>
      <c r="P14" s="31">
        <v>0.58333333333333337</v>
      </c>
    </row>
    <row r="15" spans="1:17" x14ac:dyDescent="0.4">
      <c r="A15" s="33">
        <v>12</v>
      </c>
      <c r="B15" s="30">
        <v>-13.399999999999999</v>
      </c>
      <c r="C15" s="30">
        <v>-1.1166666666666665</v>
      </c>
      <c r="D15" s="35">
        <v>2.0833333333333335</v>
      </c>
      <c r="E15" s="31">
        <v>0.33333333333333331</v>
      </c>
      <c r="F15" s="31">
        <v>0.41666666666666669</v>
      </c>
      <c r="G15" s="31">
        <v>0.30337078651685395</v>
      </c>
      <c r="H15" s="31">
        <v>0.15730337078651685</v>
      </c>
      <c r="I15" s="32">
        <v>10159.259259259259</v>
      </c>
      <c r="J15" s="32">
        <v>-8985.7142857142862</v>
      </c>
      <c r="K15" s="31">
        <v>8.3333333333333329E-2</v>
      </c>
      <c r="L15" s="31">
        <v>0.3707865168539326</v>
      </c>
      <c r="M15" s="31">
        <v>0.1348314606741573</v>
      </c>
      <c r="N15" s="31">
        <v>0.51515151515151514</v>
      </c>
      <c r="O15" s="31">
        <v>0.41666666666666669</v>
      </c>
      <c r="P15" s="31">
        <v>0.55555555555555558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09CBC-83D3-49ED-8C82-A539384C2F42}">
  <sheetPr codeName="Sheet18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209</v>
      </c>
      <c r="B1" s="34" t="s">
        <v>209</v>
      </c>
      <c r="C1" s="34" t="s">
        <v>209</v>
      </c>
      <c r="D1" s="35" t="s">
        <v>209</v>
      </c>
      <c r="E1" s="34" t="s">
        <v>209</v>
      </c>
      <c r="F1" s="34" t="s">
        <v>209</v>
      </c>
      <c r="G1" s="34" t="s">
        <v>209</v>
      </c>
      <c r="H1" s="34" t="s">
        <v>209</v>
      </c>
      <c r="I1" s="34" t="s">
        <v>209</v>
      </c>
      <c r="J1" s="34" t="s">
        <v>209</v>
      </c>
      <c r="K1" s="34" t="s">
        <v>209</v>
      </c>
      <c r="L1" s="34" t="s">
        <v>209</v>
      </c>
      <c r="M1" s="34" t="s">
        <v>209</v>
      </c>
      <c r="N1" s="34" t="s">
        <v>209</v>
      </c>
      <c r="O1" s="34" t="s">
        <v>209</v>
      </c>
      <c r="P1" s="34" t="s">
        <v>209</v>
      </c>
      <c r="Q1" s="34" t="s">
        <v>209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-40.299999999999997</v>
      </c>
      <c r="C4" s="30">
        <v>-40.299999999999997</v>
      </c>
      <c r="D4" s="35">
        <v>3</v>
      </c>
      <c r="E4" s="31">
        <v>0</v>
      </c>
      <c r="F4" s="31">
        <v>1</v>
      </c>
      <c r="G4" s="31">
        <v>0.25</v>
      </c>
      <c r="H4" s="31">
        <v>0.375</v>
      </c>
      <c r="I4" s="32">
        <v>7200</v>
      </c>
      <c r="J4" s="32">
        <v>-9333.3333333333339</v>
      </c>
      <c r="K4" s="31">
        <v>0</v>
      </c>
      <c r="L4" s="31">
        <v>0.25</v>
      </c>
      <c r="M4" s="31">
        <v>0.125</v>
      </c>
      <c r="N4" s="31">
        <v>0.5</v>
      </c>
      <c r="O4" s="31">
        <v>0</v>
      </c>
      <c r="P4" s="31">
        <v>0.5</v>
      </c>
    </row>
    <row r="5" spans="1:17" x14ac:dyDescent="0.4">
      <c r="A5" s="33">
        <v>2</v>
      </c>
      <c r="B5" s="30">
        <v>-61.5</v>
      </c>
      <c r="C5" s="30">
        <v>-30.75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0.27777777777777779</v>
      </c>
      <c r="I5" s="32">
        <v>6225</v>
      </c>
      <c r="J5" s="32">
        <v>-11440</v>
      </c>
      <c r="K5" s="31">
        <v>0</v>
      </c>
      <c r="L5" s="31">
        <v>0.27777777777777779</v>
      </c>
      <c r="M5" s="31">
        <v>0.1111111111111111</v>
      </c>
      <c r="N5" s="31">
        <v>0.6</v>
      </c>
      <c r="O5" s="31">
        <v>0</v>
      </c>
      <c r="P5" s="31">
        <v>0.75</v>
      </c>
    </row>
    <row r="6" spans="1:17" x14ac:dyDescent="0.4">
      <c r="A6" s="33">
        <v>3</v>
      </c>
      <c r="B6" s="30">
        <v>-102</v>
      </c>
      <c r="C6" s="30">
        <v>-34</v>
      </c>
      <c r="D6" s="35">
        <v>2.6666666666666665</v>
      </c>
      <c r="E6" s="31">
        <v>0</v>
      </c>
      <c r="F6" s="31">
        <v>0.66666666666666663</v>
      </c>
      <c r="G6" s="31">
        <v>0.21428571428571427</v>
      </c>
      <c r="H6" s="31">
        <v>0.25</v>
      </c>
      <c r="I6" s="32">
        <v>5700</v>
      </c>
      <c r="J6" s="32">
        <v>-10442.857142857143</v>
      </c>
      <c r="K6" s="31">
        <v>0</v>
      </c>
      <c r="L6" s="31">
        <v>0.39285714285714285</v>
      </c>
      <c r="M6" s="31">
        <v>0.10714285714285714</v>
      </c>
      <c r="N6" s="31">
        <v>0.45454545454545453</v>
      </c>
      <c r="O6" s="31">
        <v>0</v>
      </c>
      <c r="P6" s="31">
        <v>0.66666666666666663</v>
      </c>
    </row>
    <row r="7" spans="1:17" x14ac:dyDescent="0.4">
      <c r="A7" s="33">
        <v>4</v>
      </c>
      <c r="B7" s="30">
        <v>-148</v>
      </c>
      <c r="C7" s="30">
        <v>-37</v>
      </c>
      <c r="D7" s="35">
        <v>2.75</v>
      </c>
      <c r="E7" s="31">
        <v>0</v>
      </c>
      <c r="F7" s="31">
        <v>0.75</v>
      </c>
      <c r="G7" s="31">
        <v>0.1891891891891892</v>
      </c>
      <c r="H7" s="31">
        <v>0.27027027027027029</v>
      </c>
      <c r="I7" s="32">
        <v>6028.5714285714284</v>
      </c>
      <c r="J7" s="32">
        <v>-9080</v>
      </c>
      <c r="K7" s="31">
        <v>0</v>
      </c>
      <c r="L7" s="31">
        <v>0.35135135135135137</v>
      </c>
      <c r="M7" s="31">
        <v>0.13513513513513514</v>
      </c>
      <c r="N7" s="31">
        <v>0.38461538461538464</v>
      </c>
      <c r="O7" s="31">
        <v>0.2</v>
      </c>
      <c r="P7" s="31">
        <v>0.5714285714285714</v>
      </c>
    </row>
    <row r="8" spans="1:17" x14ac:dyDescent="0.4">
      <c r="A8" s="33">
        <v>5</v>
      </c>
      <c r="B8" s="30">
        <v>-115.4</v>
      </c>
      <c r="C8" s="30">
        <v>-23.080000000000002</v>
      </c>
      <c r="D8" s="35">
        <v>2.4</v>
      </c>
      <c r="E8" s="31">
        <v>0.2</v>
      </c>
      <c r="F8" s="31">
        <v>0.6</v>
      </c>
      <c r="G8" s="31">
        <v>0.22727272727272727</v>
      </c>
      <c r="H8" s="31">
        <v>0.25</v>
      </c>
      <c r="I8" s="32">
        <v>6430</v>
      </c>
      <c r="J8" s="32">
        <v>-8981.818181818182</v>
      </c>
      <c r="K8" s="31">
        <v>0</v>
      </c>
      <c r="L8" s="31">
        <v>0.34090909090909088</v>
      </c>
      <c r="M8" s="31">
        <v>0.13636363636363635</v>
      </c>
      <c r="N8" s="31">
        <v>0.46666666666666667</v>
      </c>
      <c r="O8" s="31">
        <v>0.16666666666666666</v>
      </c>
      <c r="P8" s="31">
        <v>0.7</v>
      </c>
    </row>
    <row r="9" spans="1:17" x14ac:dyDescent="0.4">
      <c r="A9" s="33">
        <v>6</v>
      </c>
      <c r="B9" s="30">
        <v>-110.9</v>
      </c>
      <c r="C9" s="30">
        <v>-18.483333333333334</v>
      </c>
      <c r="D9" s="35">
        <v>2.3333333333333335</v>
      </c>
      <c r="E9" s="31">
        <v>0.16666666666666666</v>
      </c>
      <c r="F9" s="31">
        <v>0.5</v>
      </c>
      <c r="G9" s="31">
        <v>0.23404255319148937</v>
      </c>
      <c r="H9" s="31">
        <v>0.23404255319148937</v>
      </c>
      <c r="I9" s="32">
        <v>6572.727272727273</v>
      </c>
      <c r="J9" s="32">
        <v>-8981.818181818182</v>
      </c>
      <c r="K9" s="31">
        <v>0</v>
      </c>
      <c r="L9" s="31">
        <v>0.34042553191489361</v>
      </c>
      <c r="M9" s="31">
        <v>0.1702127659574468</v>
      </c>
      <c r="N9" s="31">
        <v>0.5</v>
      </c>
      <c r="O9" s="31">
        <v>0.125</v>
      </c>
      <c r="P9" s="31">
        <v>0.63636363636363635</v>
      </c>
    </row>
    <row r="10" spans="1:17" x14ac:dyDescent="0.4">
      <c r="A10" s="33">
        <v>7</v>
      </c>
      <c r="B10" s="30">
        <v>-143.4</v>
      </c>
      <c r="C10" s="30">
        <v>-20.485714285714288</v>
      </c>
      <c r="D10" s="35">
        <v>2.4285714285714284</v>
      </c>
      <c r="E10" s="31">
        <v>0.14285714285714285</v>
      </c>
      <c r="F10" s="31">
        <v>0.5714285714285714</v>
      </c>
      <c r="G10" s="31">
        <v>0.22222222222222221</v>
      </c>
      <c r="H10" s="31">
        <v>0.25925925925925924</v>
      </c>
      <c r="I10" s="32">
        <v>6691.666666666667</v>
      </c>
      <c r="J10" s="32">
        <v>-8628.5714285714294</v>
      </c>
      <c r="K10" s="31">
        <v>0</v>
      </c>
      <c r="L10" s="31">
        <v>0.29629629629629628</v>
      </c>
      <c r="M10" s="31">
        <v>0.20370370370370369</v>
      </c>
      <c r="N10" s="31">
        <v>0.5</v>
      </c>
      <c r="O10" s="31">
        <v>0.18181818181818182</v>
      </c>
      <c r="P10" s="31">
        <v>0.66666666666666663</v>
      </c>
    </row>
    <row r="11" spans="1:17" x14ac:dyDescent="0.4">
      <c r="A11" s="33">
        <v>8</v>
      </c>
      <c r="B11" s="30">
        <v>-203.7</v>
      </c>
      <c r="C11" s="30">
        <v>-25.462499999999999</v>
      </c>
      <c r="D11" s="35">
        <v>2.5</v>
      </c>
      <c r="E11" s="31">
        <v>0.125</v>
      </c>
      <c r="F11" s="31">
        <v>0.625</v>
      </c>
      <c r="G11" s="31">
        <v>0.2</v>
      </c>
      <c r="H11" s="31">
        <v>0.26666666666666666</v>
      </c>
      <c r="I11" s="32">
        <v>6691.666666666667</v>
      </c>
      <c r="J11" s="32">
        <v>-9050</v>
      </c>
      <c r="K11" s="31">
        <v>0.125</v>
      </c>
      <c r="L11" s="31">
        <v>0.28333333333333333</v>
      </c>
      <c r="M11" s="31">
        <v>0.21666666666666667</v>
      </c>
      <c r="N11" s="31">
        <v>0.47058823529411764</v>
      </c>
      <c r="O11" s="31">
        <v>0.15384615384615385</v>
      </c>
      <c r="P11" s="31">
        <v>0.66666666666666663</v>
      </c>
    </row>
    <row r="12" spans="1:17" x14ac:dyDescent="0.4">
      <c r="A12" s="33">
        <v>9</v>
      </c>
      <c r="B12" s="30">
        <v>-245.1</v>
      </c>
      <c r="C12" s="30">
        <v>-27.233333333333334</v>
      </c>
      <c r="D12" s="35">
        <v>2.5555555555555554</v>
      </c>
      <c r="E12" s="31">
        <v>0.1111111111111111</v>
      </c>
      <c r="F12" s="31">
        <v>0.66666666666666663</v>
      </c>
      <c r="G12" s="31">
        <v>0.20833333333333334</v>
      </c>
      <c r="H12" s="31">
        <v>0.2638888888888889</v>
      </c>
      <c r="I12" s="32">
        <v>6533.333333333333</v>
      </c>
      <c r="J12" s="32">
        <v>-8863.1578947368416</v>
      </c>
      <c r="K12" s="31">
        <v>0.1111111111111111</v>
      </c>
      <c r="L12" s="31">
        <v>0.27777777777777779</v>
      </c>
      <c r="M12" s="31">
        <v>0.22222222222222221</v>
      </c>
      <c r="N12" s="31">
        <v>0.5</v>
      </c>
      <c r="O12" s="31">
        <v>0.1875</v>
      </c>
      <c r="P12" s="31">
        <v>0.66666666666666663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D8507-D25F-41FC-8B13-CCEE0E80FFD6}">
  <sheetPr codeName="Sheet16"/>
  <dimension ref="A1:Q5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191</v>
      </c>
      <c r="B1" s="34" t="s">
        <v>191</v>
      </c>
      <c r="C1" s="34" t="s">
        <v>191</v>
      </c>
      <c r="D1" s="35" t="s">
        <v>191</v>
      </c>
      <c r="E1" s="34" t="s">
        <v>191</v>
      </c>
      <c r="F1" s="34" t="s">
        <v>191</v>
      </c>
      <c r="G1" s="34" t="s">
        <v>191</v>
      </c>
      <c r="H1" s="34" t="s">
        <v>191</v>
      </c>
      <c r="I1" s="34" t="s">
        <v>191</v>
      </c>
      <c r="J1" s="34" t="s">
        <v>191</v>
      </c>
      <c r="K1" s="34" t="s">
        <v>191</v>
      </c>
      <c r="L1" s="34" t="s">
        <v>191</v>
      </c>
      <c r="M1" s="34" t="s">
        <v>191</v>
      </c>
      <c r="N1" s="34" t="s">
        <v>191</v>
      </c>
      <c r="O1" s="34" t="s">
        <v>191</v>
      </c>
      <c r="P1" s="34" t="s">
        <v>191</v>
      </c>
      <c r="Q1" s="34" t="s">
        <v>191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</v>
      </c>
      <c r="C4" s="30">
        <v>5</v>
      </c>
      <c r="D4" s="35">
        <v>2</v>
      </c>
      <c r="E4" s="31">
        <v>0</v>
      </c>
      <c r="F4" s="31">
        <v>0</v>
      </c>
      <c r="G4" s="31">
        <v>0.375</v>
      </c>
      <c r="H4" s="31">
        <v>0.25</v>
      </c>
      <c r="I4" s="32">
        <v>7300</v>
      </c>
      <c r="J4" s="32">
        <v>-8400</v>
      </c>
      <c r="K4" s="31">
        <v>0</v>
      </c>
      <c r="L4" s="31">
        <v>0.375</v>
      </c>
      <c r="M4" s="31">
        <v>0.125</v>
      </c>
      <c r="N4" s="31">
        <v>0.66666666666666663</v>
      </c>
      <c r="O4" s="31">
        <v>1</v>
      </c>
      <c r="P4" s="31">
        <v>0.66666666666666663</v>
      </c>
    </row>
    <row r="5" spans="1:17" x14ac:dyDescent="0.4">
      <c r="A5" s="33">
        <v>2</v>
      </c>
      <c r="B5" s="30">
        <v>-49.2</v>
      </c>
      <c r="C5" s="30">
        <v>-24.6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0.22222222222222221</v>
      </c>
      <c r="I5" s="32">
        <v>6775</v>
      </c>
      <c r="J5" s="32">
        <v>-10200</v>
      </c>
      <c r="K5" s="31">
        <v>0</v>
      </c>
      <c r="L5" s="31">
        <v>0.3888888888888889</v>
      </c>
      <c r="M5" s="31">
        <v>0.1111111111111111</v>
      </c>
      <c r="N5" s="31">
        <v>0.42857142857142855</v>
      </c>
      <c r="O5" s="31">
        <v>0.5</v>
      </c>
      <c r="P5" s="31">
        <v>0.5</v>
      </c>
    </row>
    <row r="6" spans="1:17" x14ac:dyDescent="0.4">
      <c r="A6" s="33">
        <v>3</v>
      </c>
      <c r="B6" s="30">
        <v>-61.7</v>
      </c>
      <c r="C6" s="30">
        <v>-20.566666666666666</v>
      </c>
      <c r="D6" s="35">
        <v>2.3333333333333335</v>
      </c>
      <c r="E6" s="31">
        <v>0</v>
      </c>
      <c r="F6" s="31">
        <v>0.33333333333333331</v>
      </c>
      <c r="G6" s="31">
        <v>0.21428571428571427</v>
      </c>
      <c r="H6" s="31">
        <v>0.17857142857142858</v>
      </c>
      <c r="I6" s="32">
        <v>7166.666666666667</v>
      </c>
      <c r="J6" s="32">
        <v>-10560</v>
      </c>
      <c r="K6" s="31">
        <v>0</v>
      </c>
      <c r="L6" s="31">
        <v>0.32142857142857145</v>
      </c>
      <c r="M6" s="31">
        <v>0.14285714285714285</v>
      </c>
      <c r="N6" s="31">
        <v>0.44444444444444442</v>
      </c>
      <c r="O6" s="31">
        <v>0.5</v>
      </c>
      <c r="P6" s="31">
        <v>0.33333333333333331</v>
      </c>
    </row>
    <row r="7" spans="1:17" x14ac:dyDescent="0.4">
      <c r="A7" s="33">
        <v>4</v>
      </c>
      <c r="B7" s="30">
        <v>-49.6</v>
      </c>
      <c r="C7" s="30">
        <v>-12.4</v>
      </c>
      <c r="D7" s="35">
        <v>2.25</v>
      </c>
      <c r="E7" s="31">
        <v>0</v>
      </c>
      <c r="F7" s="31">
        <v>0.25</v>
      </c>
      <c r="G7" s="31">
        <v>0.24324324324324326</v>
      </c>
      <c r="H7" s="31">
        <v>0.16216216216216217</v>
      </c>
      <c r="I7" s="32">
        <v>6677.7777777777774</v>
      </c>
      <c r="J7" s="32">
        <v>-10133.333333333334</v>
      </c>
      <c r="K7" s="31">
        <v>0</v>
      </c>
      <c r="L7" s="31">
        <v>0.27027027027027029</v>
      </c>
      <c r="M7" s="31">
        <v>0.13513513513513514</v>
      </c>
      <c r="N7" s="31">
        <v>0.5</v>
      </c>
      <c r="O7" s="31">
        <v>0.6</v>
      </c>
      <c r="P7" s="31">
        <v>0.55555555555555558</v>
      </c>
    </row>
    <row r="8" spans="1:17" x14ac:dyDescent="0.4">
      <c r="A8" s="33">
        <v>5</v>
      </c>
      <c r="B8" s="30">
        <v>-51.4</v>
      </c>
      <c r="C8" s="30">
        <v>-10.28</v>
      </c>
      <c r="D8" s="35">
        <v>2.2000000000000002</v>
      </c>
      <c r="E8" s="31">
        <v>0</v>
      </c>
      <c r="F8" s="31">
        <v>0.2</v>
      </c>
      <c r="G8" s="31">
        <v>0.25</v>
      </c>
      <c r="H8" s="31">
        <v>0.13636363636363635</v>
      </c>
      <c r="I8" s="32">
        <v>7281.818181818182</v>
      </c>
      <c r="J8" s="32">
        <v>-10133.333333333334</v>
      </c>
      <c r="K8" s="31">
        <v>0</v>
      </c>
      <c r="L8" s="31">
        <v>0.31818181818181818</v>
      </c>
      <c r="M8" s="31">
        <v>0.13636363636363635</v>
      </c>
      <c r="N8" s="31">
        <v>0.5</v>
      </c>
      <c r="O8" s="31">
        <v>0.5</v>
      </c>
      <c r="P8" s="31">
        <v>0.45454545454545453</v>
      </c>
    </row>
    <row r="9" spans="1:17" x14ac:dyDescent="0.4">
      <c r="A9" s="33">
        <v>6</v>
      </c>
      <c r="B9" s="30">
        <v>-106.9</v>
      </c>
      <c r="C9" s="30">
        <v>-17.816666666666666</v>
      </c>
      <c r="D9" s="35">
        <v>2.3333333333333335</v>
      </c>
      <c r="E9" s="31">
        <v>0</v>
      </c>
      <c r="F9" s="31">
        <v>0.33333333333333331</v>
      </c>
      <c r="G9" s="31">
        <v>0.23404255319148937</v>
      </c>
      <c r="H9" s="31">
        <v>0.1702127659574468</v>
      </c>
      <c r="I9" s="32">
        <v>7281.818181818182</v>
      </c>
      <c r="J9" s="32">
        <v>-10850</v>
      </c>
      <c r="K9" s="31">
        <v>0.16666666666666666</v>
      </c>
      <c r="L9" s="31">
        <v>0.31914893617021278</v>
      </c>
      <c r="M9" s="31">
        <v>0.1276595744680851</v>
      </c>
      <c r="N9" s="31">
        <v>0.46666666666666667</v>
      </c>
      <c r="O9" s="31">
        <v>0.5</v>
      </c>
      <c r="P9" s="31">
        <v>0.45454545454545453</v>
      </c>
    </row>
    <row r="10" spans="1:17" x14ac:dyDescent="0.4">
      <c r="A10" s="33">
        <v>7</v>
      </c>
      <c r="B10" s="30">
        <v>-103.4</v>
      </c>
      <c r="C10" s="30">
        <v>-14.771428571428572</v>
      </c>
      <c r="D10" s="35">
        <v>2.2857142857142856</v>
      </c>
      <c r="E10" s="31">
        <v>0</v>
      </c>
      <c r="F10" s="31">
        <v>0.2857142857142857</v>
      </c>
      <c r="G10" s="31">
        <v>0.22222222222222221</v>
      </c>
      <c r="H10" s="31">
        <v>0.14814814814814814</v>
      </c>
      <c r="I10" s="32">
        <v>7675</v>
      </c>
      <c r="J10" s="32">
        <v>-10850</v>
      </c>
      <c r="K10" s="31">
        <v>0.14285714285714285</v>
      </c>
      <c r="L10" s="31">
        <v>0.35185185185185186</v>
      </c>
      <c r="M10" s="31">
        <v>0.1111111111111111</v>
      </c>
      <c r="N10" s="31">
        <v>0.42105263157894735</v>
      </c>
      <c r="O10" s="31">
        <v>0.5</v>
      </c>
      <c r="P10" s="31">
        <v>0.41666666666666669</v>
      </c>
    </row>
    <row r="11" spans="1:17" x14ac:dyDescent="0.4">
      <c r="A11" s="33">
        <v>8</v>
      </c>
      <c r="B11" s="30">
        <v>-62.800000000000004</v>
      </c>
      <c r="C11" s="30">
        <v>-7.8500000000000005</v>
      </c>
      <c r="D11" s="35">
        <v>2.125</v>
      </c>
      <c r="E11" s="31">
        <v>0.125</v>
      </c>
      <c r="F11" s="31">
        <v>0.25</v>
      </c>
      <c r="G11" s="31">
        <v>0.25</v>
      </c>
      <c r="H11" s="31">
        <v>0.13333333333333333</v>
      </c>
      <c r="I11" s="32">
        <v>7846.666666666667</v>
      </c>
      <c r="J11" s="32">
        <v>-10850</v>
      </c>
      <c r="K11" s="31">
        <v>0.125</v>
      </c>
      <c r="L11" s="31">
        <v>0.35</v>
      </c>
      <c r="M11" s="31">
        <v>0.11666666666666667</v>
      </c>
      <c r="N11" s="31">
        <v>0.47619047619047616</v>
      </c>
      <c r="O11" s="31">
        <v>0.5714285714285714</v>
      </c>
      <c r="P11" s="31">
        <v>0.46666666666666667</v>
      </c>
    </row>
    <row r="12" spans="1:17" x14ac:dyDescent="0.4">
      <c r="A12" s="33">
        <v>9</v>
      </c>
      <c r="B12" s="30">
        <v>-28.6</v>
      </c>
      <c r="C12" s="30">
        <v>-3.177777777777778</v>
      </c>
      <c r="D12" s="35">
        <v>2</v>
      </c>
      <c r="E12" s="31">
        <v>0.22222222222222221</v>
      </c>
      <c r="F12" s="31">
        <v>0.22222222222222221</v>
      </c>
      <c r="G12" s="31">
        <v>0.27777777777777779</v>
      </c>
      <c r="H12" s="31">
        <v>0.1388888888888889</v>
      </c>
      <c r="I12" s="32">
        <v>7515</v>
      </c>
      <c r="J12" s="32">
        <v>-9140</v>
      </c>
      <c r="K12" s="31">
        <v>0.1111111111111111</v>
      </c>
      <c r="L12" s="31">
        <v>0.3611111111111111</v>
      </c>
      <c r="M12" s="31">
        <v>0.15277777777777779</v>
      </c>
      <c r="N12" s="31">
        <v>0.46153846153846156</v>
      </c>
      <c r="O12" s="31">
        <v>0.63636363636363635</v>
      </c>
      <c r="P12" s="31">
        <v>0.45</v>
      </c>
    </row>
    <row r="13" spans="1:17" x14ac:dyDescent="0.4">
      <c r="A13" s="33">
        <v>10</v>
      </c>
      <c r="B13" s="30">
        <v>38.999999999999993</v>
      </c>
      <c r="C13" s="30">
        <v>3.8999999999999995</v>
      </c>
      <c r="D13" s="35">
        <v>1.9</v>
      </c>
      <c r="E13" s="31">
        <v>0.3</v>
      </c>
      <c r="F13" s="31">
        <v>0.2</v>
      </c>
      <c r="G13" s="31">
        <v>0.29113924050632911</v>
      </c>
      <c r="H13" s="31">
        <v>0.12658227848101267</v>
      </c>
      <c r="I13" s="32">
        <v>8708.6956521739139</v>
      </c>
      <c r="J13" s="32">
        <v>-9140</v>
      </c>
      <c r="K13" s="31">
        <v>0.1</v>
      </c>
      <c r="L13" s="31">
        <v>0.379746835443038</v>
      </c>
      <c r="M13" s="31">
        <v>0.13924050632911392</v>
      </c>
      <c r="N13" s="31">
        <v>0.5</v>
      </c>
      <c r="O13" s="31">
        <v>0.63636363636363635</v>
      </c>
      <c r="P13" s="31">
        <v>0.43478260869565216</v>
      </c>
    </row>
    <row r="14" spans="1:17" x14ac:dyDescent="0.4">
      <c r="A14" s="33">
        <v>11</v>
      </c>
      <c r="B14" s="30">
        <v>37.79999999999999</v>
      </c>
      <c r="C14" s="30">
        <v>3.4363636363636356</v>
      </c>
      <c r="D14" s="35">
        <v>1.9090909090909092</v>
      </c>
      <c r="E14" s="31">
        <v>0.27272727272727271</v>
      </c>
      <c r="F14" s="31">
        <v>0.18181818181818182</v>
      </c>
      <c r="G14" s="31">
        <v>0.2857142857142857</v>
      </c>
      <c r="H14" s="31">
        <v>0.12087912087912088</v>
      </c>
      <c r="I14" s="32">
        <v>8603.8461538461543</v>
      </c>
      <c r="J14" s="32">
        <v>-8663.636363636364</v>
      </c>
      <c r="K14" s="31">
        <v>9.0909090909090912E-2</v>
      </c>
      <c r="L14" s="31">
        <v>0.38461538461538464</v>
      </c>
      <c r="M14" s="31">
        <v>0.13186813186813187</v>
      </c>
      <c r="N14" s="31">
        <v>0.51428571428571423</v>
      </c>
      <c r="O14" s="31">
        <v>0.58333333333333337</v>
      </c>
      <c r="P14" s="31">
        <v>0.42307692307692307</v>
      </c>
    </row>
    <row r="15" spans="1:17" x14ac:dyDescent="0.4">
      <c r="A15" s="33">
        <v>12</v>
      </c>
      <c r="B15" s="30">
        <v>40.199999999999989</v>
      </c>
      <c r="C15" s="30">
        <v>3.3499999999999992</v>
      </c>
      <c r="D15" s="35">
        <v>1.9166666666666667</v>
      </c>
      <c r="E15" s="31">
        <v>0.25</v>
      </c>
      <c r="F15" s="31">
        <v>0.16666666666666666</v>
      </c>
      <c r="G15" s="31">
        <v>0.27551020408163263</v>
      </c>
      <c r="H15" s="31">
        <v>0.12244897959183673</v>
      </c>
      <c r="I15" s="32">
        <v>8581.4814814814818</v>
      </c>
      <c r="J15" s="32">
        <v>-8158.333333333333</v>
      </c>
      <c r="K15" s="31">
        <v>8.3333333333333329E-2</v>
      </c>
      <c r="L15" s="31">
        <v>0.35714285714285715</v>
      </c>
      <c r="M15" s="31">
        <v>0.16326530612244897</v>
      </c>
      <c r="N15" s="31">
        <v>0.51428571428571423</v>
      </c>
      <c r="O15" s="31">
        <v>0.5</v>
      </c>
      <c r="P15" s="31">
        <v>0.44444444444444442</v>
      </c>
    </row>
    <row r="16" spans="1:17" x14ac:dyDescent="0.4">
      <c r="A16" s="33">
        <v>13</v>
      </c>
      <c r="B16" s="30">
        <v>101.6</v>
      </c>
      <c r="C16" s="30">
        <v>7.8153846153846152</v>
      </c>
      <c r="D16" s="35">
        <v>1.8461538461538463</v>
      </c>
      <c r="E16" s="31">
        <v>0.30769230769230771</v>
      </c>
      <c r="F16" s="31">
        <v>0.15384615384615385</v>
      </c>
      <c r="G16" s="31">
        <v>0.28703703703703703</v>
      </c>
      <c r="H16" s="31">
        <v>0.1111111111111111</v>
      </c>
      <c r="I16" s="32">
        <v>8935.4838709677424</v>
      </c>
      <c r="J16" s="32">
        <v>-8158.333333333333</v>
      </c>
      <c r="K16" s="31">
        <v>7.6923076923076927E-2</v>
      </c>
      <c r="L16" s="31">
        <v>0.35185185185185186</v>
      </c>
      <c r="M16" s="31">
        <v>0.17592592592592593</v>
      </c>
      <c r="N16" s="31">
        <v>0.52631578947368418</v>
      </c>
      <c r="O16" s="31">
        <v>0.52631578947368418</v>
      </c>
      <c r="P16" s="31">
        <v>0.41935483870967744</v>
      </c>
    </row>
    <row r="17" spans="1:16" x14ac:dyDescent="0.4">
      <c r="A17" s="33">
        <v>14</v>
      </c>
      <c r="B17" s="30">
        <v>91.899999999999991</v>
      </c>
      <c r="C17" s="30">
        <v>6.5642857142857141</v>
      </c>
      <c r="D17" s="35">
        <v>1.8571428571428572</v>
      </c>
      <c r="E17" s="31">
        <v>0.2857142857142857</v>
      </c>
      <c r="F17" s="31">
        <v>0.14285714285714285</v>
      </c>
      <c r="G17" s="31">
        <v>0.29565217391304349</v>
      </c>
      <c r="H17" s="31">
        <v>0.11304347826086956</v>
      </c>
      <c r="I17" s="32">
        <v>8735.2941176470595</v>
      </c>
      <c r="J17" s="32">
        <v>-8146.1538461538457</v>
      </c>
      <c r="K17" s="31">
        <v>7.1428571428571425E-2</v>
      </c>
      <c r="L17" s="31">
        <v>0.35652173913043478</v>
      </c>
      <c r="M17" s="31">
        <v>0.17391304347826086</v>
      </c>
      <c r="N17" s="31">
        <v>0.51219512195121952</v>
      </c>
      <c r="O17" s="31">
        <v>0.55000000000000004</v>
      </c>
      <c r="P17" s="31">
        <v>0.41176470588235292</v>
      </c>
    </row>
    <row r="18" spans="1:16" x14ac:dyDescent="0.4">
      <c r="A18" s="33">
        <v>15</v>
      </c>
      <c r="B18" s="30">
        <v>46.79999999999999</v>
      </c>
      <c r="C18" s="30">
        <v>3.1199999999999992</v>
      </c>
      <c r="D18" s="35">
        <v>1.9333333333333333</v>
      </c>
      <c r="E18" s="31">
        <v>0.26666666666666666</v>
      </c>
      <c r="F18" s="31">
        <v>0.2</v>
      </c>
      <c r="G18" s="31">
        <v>0.28799999999999998</v>
      </c>
      <c r="H18" s="31">
        <v>0.128</v>
      </c>
      <c r="I18" s="32">
        <v>9250</v>
      </c>
      <c r="J18" s="32">
        <v>-7937.5</v>
      </c>
      <c r="K18" s="31">
        <v>6.6666666666666666E-2</v>
      </c>
      <c r="L18" s="31">
        <v>0.36</v>
      </c>
      <c r="M18" s="31">
        <v>0.16</v>
      </c>
      <c r="N18" s="31">
        <v>0.51111111111111107</v>
      </c>
      <c r="O18" s="31">
        <v>0.55000000000000004</v>
      </c>
      <c r="P18" s="31">
        <v>0.41666666666666669</v>
      </c>
    </row>
    <row r="19" spans="1:16" x14ac:dyDescent="0.4">
      <c r="A19" s="33">
        <v>16</v>
      </c>
      <c r="B19" s="30">
        <v>2.6999999999999886</v>
      </c>
      <c r="C19" s="30">
        <v>0.16874999999999929</v>
      </c>
      <c r="D19" s="35">
        <v>2</v>
      </c>
      <c r="E19" s="31">
        <v>0.25</v>
      </c>
      <c r="F19" s="31">
        <v>0.25</v>
      </c>
      <c r="G19" s="31">
        <v>0.2857142857142857</v>
      </c>
      <c r="H19" s="31">
        <v>0.15037593984962405</v>
      </c>
      <c r="I19" s="32">
        <v>9078.9473684210534</v>
      </c>
      <c r="J19" s="32">
        <v>-7555</v>
      </c>
      <c r="K19" s="31">
        <v>6.25E-2</v>
      </c>
      <c r="L19" s="31">
        <v>0.36090225563909772</v>
      </c>
      <c r="M19" s="31">
        <v>0.16541353383458646</v>
      </c>
      <c r="N19" s="31">
        <v>0.52083333333333337</v>
      </c>
      <c r="O19" s="31">
        <v>0.5</v>
      </c>
      <c r="P19" s="31">
        <v>0.42105263157894735</v>
      </c>
    </row>
    <row r="20" spans="1:16" x14ac:dyDescent="0.4">
      <c r="A20" s="33">
        <v>17</v>
      </c>
      <c r="B20" s="30">
        <v>-96.700000000000017</v>
      </c>
      <c r="C20" s="30">
        <v>-5.6882352941176482</v>
      </c>
      <c r="D20" s="35">
        <v>2.0588235294117645</v>
      </c>
      <c r="E20" s="31">
        <v>0.23529411764705882</v>
      </c>
      <c r="F20" s="31">
        <v>0.29411764705882354</v>
      </c>
      <c r="G20" s="31">
        <v>0.28260869565217389</v>
      </c>
      <c r="H20" s="31">
        <v>0.16666666666666666</v>
      </c>
      <c r="I20" s="32">
        <v>8946.1538461538457</v>
      </c>
      <c r="J20" s="32">
        <v>-9060.8695652173919</v>
      </c>
      <c r="K20" s="31">
        <v>0.11764705882352941</v>
      </c>
      <c r="L20" s="31">
        <v>0.35507246376811596</v>
      </c>
      <c r="M20" s="31">
        <v>0.16666666666666666</v>
      </c>
      <c r="N20" s="31">
        <v>0.51020408163265307</v>
      </c>
      <c r="O20" s="31">
        <v>0.52173913043478259</v>
      </c>
      <c r="P20" s="31">
        <v>0.41025641025641024</v>
      </c>
    </row>
    <row r="21" spans="1:16" x14ac:dyDescent="0.4">
      <c r="A21" s="33">
        <v>18</v>
      </c>
      <c r="B21" s="30">
        <v>-154.80000000000001</v>
      </c>
      <c r="C21" s="30">
        <v>-8.6000000000000014</v>
      </c>
      <c r="D21" s="35">
        <v>2.1111111111111112</v>
      </c>
      <c r="E21" s="31">
        <v>0.22222222222222221</v>
      </c>
      <c r="F21" s="31">
        <v>0.33333333333333331</v>
      </c>
      <c r="G21" s="31">
        <v>0.26845637583892618</v>
      </c>
      <c r="H21" s="31">
        <v>0.18791946308724833</v>
      </c>
      <c r="I21" s="32">
        <v>9012.5</v>
      </c>
      <c r="J21" s="32">
        <v>-8664.2857142857138</v>
      </c>
      <c r="K21" s="31">
        <v>0.16666666666666666</v>
      </c>
      <c r="L21" s="31">
        <v>0.33557046979865773</v>
      </c>
      <c r="M21" s="31">
        <v>0.17449664429530201</v>
      </c>
      <c r="N21" s="31">
        <v>0.52</v>
      </c>
      <c r="O21" s="31">
        <v>0.46153846153846156</v>
      </c>
      <c r="P21" s="31">
        <v>0.4</v>
      </c>
    </row>
    <row r="22" spans="1:16" x14ac:dyDescent="0.4">
      <c r="A22" s="33">
        <v>19</v>
      </c>
      <c r="B22" s="30">
        <v>-153.80000000000001</v>
      </c>
      <c r="C22" s="30">
        <v>-8.094736842105263</v>
      </c>
      <c r="D22" s="35">
        <v>2.1052631578947367</v>
      </c>
      <c r="E22" s="31">
        <v>0.21052631578947367</v>
      </c>
      <c r="F22" s="31">
        <v>0.31578947368421051</v>
      </c>
      <c r="G22" s="31">
        <v>0.26874999999999999</v>
      </c>
      <c r="H22" s="31">
        <v>0.19375000000000001</v>
      </c>
      <c r="I22" s="32">
        <v>8969.7674418604656</v>
      </c>
      <c r="J22" s="32">
        <v>-8283.8709677419356</v>
      </c>
      <c r="K22" s="31">
        <v>0.15789473684210525</v>
      </c>
      <c r="L22" s="31">
        <v>0.31874999999999998</v>
      </c>
      <c r="M22" s="31">
        <v>0.16250000000000001</v>
      </c>
      <c r="N22" s="31">
        <v>0.52941176470588236</v>
      </c>
      <c r="O22" s="31">
        <v>0.46153846153846156</v>
      </c>
      <c r="P22" s="31">
        <v>0.41860465116279072</v>
      </c>
    </row>
    <row r="23" spans="1:16" x14ac:dyDescent="0.4">
      <c r="A23" s="33">
        <v>20</v>
      </c>
      <c r="B23" s="30">
        <v>-201.8</v>
      </c>
      <c r="C23" s="30">
        <v>-10.09</v>
      </c>
      <c r="D23" s="35">
        <v>2.15</v>
      </c>
      <c r="E23" s="31">
        <v>0.2</v>
      </c>
      <c r="F23" s="31">
        <v>0.35</v>
      </c>
      <c r="G23" s="31">
        <v>0.25882352941176473</v>
      </c>
      <c r="H23" s="31">
        <v>0.2</v>
      </c>
      <c r="I23" s="32">
        <v>8825</v>
      </c>
      <c r="J23" s="32">
        <v>-8097.0588235294117</v>
      </c>
      <c r="K23" s="31">
        <v>0.15</v>
      </c>
      <c r="L23" s="31">
        <v>0.31176470588235294</v>
      </c>
      <c r="M23" s="31">
        <v>0.15294117647058825</v>
      </c>
      <c r="N23" s="31">
        <v>0.50943396226415094</v>
      </c>
      <c r="O23" s="31">
        <v>0.46153846153846156</v>
      </c>
      <c r="P23" s="31">
        <v>0.40909090909090912</v>
      </c>
    </row>
    <row r="24" spans="1:16" x14ac:dyDescent="0.4">
      <c r="A24" s="33">
        <v>21</v>
      </c>
      <c r="B24" s="30">
        <v>-202.20000000000002</v>
      </c>
      <c r="C24" s="30">
        <v>-9.6285714285714299</v>
      </c>
      <c r="D24" s="35">
        <v>2.1428571428571428</v>
      </c>
      <c r="E24" s="31">
        <v>0.19047619047619047</v>
      </c>
      <c r="F24" s="31">
        <v>0.33333333333333331</v>
      </c>
      <c r="G24" s="31">
        <v>0.26815642458100558</v>
      </c>
      <c r="H24" s="31">
        <v>0.2011173184357542</v>
      </c>
      <c r="I24" s="32">
        <v>8591.6666666666661</v>
      </c>
      <c r="J24" s="32">
        <v>-8036.1111111111113</v>
      </c>
      <c r="K24" s="31">
        <v>0.14285714285714285</v>
      </c>
      <c r="L24" s="31">
        <v>0.32402234636871508</v>
      </c>
      <c r="M24" s="31">
        <v>0.16201117318435754</v>
      </c>
      <c r="N24" s="31">
        <v>0.5</v>
      </c>
      <c r="O24" s="31">
        <v>0.48275862068965519</v>
      </c>
      <c r="P24" s="31">
        <v>0.41666666666666669</v>
      </c>
    </row>
    <row r="25" spans="1:16" x14ac:dyDescent="0.4">
      <c r="A25" s="33">
        <v>22</v>
      </c>
      <c r="B25" s="30">
        <v>-208.00000000000003</v>
      </c>
      <c r="C25" s="30">
        <v>-9.454545454545455</v>
      </c>
      <c r="D25" s="35">
        <v>2.1363636363636362</v>
      </c>
      <c r="E25" s="31">
        <v>0.18181818181818182</v>
      </c>
      <c r="F25" s="31">
        <v>0.31818181818181818</v>
      </c>
      <c r="G25" s="31">
        <v>0.27127659574468083</v>
      </c>
      <c r="H25" s="31">
        <v>0.20212765957446807</v>
      </c>
      <c r="I25" s="32">
        <v>8503.9215686274511</v>
      </c>
      <c r="J25" s="32">
        <v>-7918.4210526315792</v>
      </c>
      <c r="K25" s="31">
        <v>0.13636363636363635</v>
      </c>
      <c r="L25" s="31">
        <v>0.32446808510638298</v>
      </c>
      <c r="M25" s="31">
        <v>0.15957446808510639</v>
      </c>
      <c r="N25" s="31">
        <v>0.49180327868852458</v>
      </c>
      <c r="O25" s="31">
        <v>0.5</v>
      </c>
      <c r="P25" s="31">
        <v>0.41176470588235292</v>
      </c>
    </row>
    <row r="26" spans="1:16" x14ac:dyDescent="0.4">
      <c r="A26" s="33">
        <v>23</v>
      </c>
      <c r="B26" s="30">
        <v>-210.50000000000003</v>
      </c>
      <c r="C26" s="30">
        <v>-9.1521739130434803</v>
      </c>
      <c r="D26" s="35">
        <v>2.1304347826086958</v>
      </c>
      <c r="E26" s="31">
        <v>0.17391304347826086</v>
      </c>
      <c r="F26" s="31">
        <v>0.30434782608695654</v>
      </c>
      <c r="G26" s="31">
        <v>0.27179487179487177</v>
      </c>
      <c r="H26" s="31">
        <v>0.2</v>
      </c>
      <c r="I26" s="32">
        <v>8388.6792452830196</v>
      </c>
      <c r="J26" s="32">
        <v>-7782.0512820512822</v>
      </c>
      <c r="K26" s="31">
        <v>0.13043478260869565</v>
      </c>
      <c r="L26" s="31">
        <v>0.32307692307692309</v>
      </c>
      <c r="M26" s="31">
        <v>0.1641025641025641</v>
      </c>
      <c r="N26" s="31">
        <v>0.49206349206349204</v>
      </c>
      <c r="O26" s="31">
        <v>0.5</v>
      </c>
      <c r="P26" s="31">
        <v>0.41509433962264153</v>
      </c>
    </row>
    <row r="27" spans="1:16" x14ac:dyDescent="0.4">
      <c r="A27" s="33">
        <v>24</v>
      </c>
      <c r="B27" s="30">
        <v>-284.3</v>
      </c>
      <c r="C27" s="30">
        <v>-11.845833333333333</v>
      </c>
      <c r="D27" s="35">
        <v>2.1666666666666665</v>
      </c>
      <c r="E27" s="31">
        <v>0.16666666666666666</v>
      </c>
      <c r="F27" s="31">
        <v>0.33333333333333331</v>
      </c>
      <c r="G27" s="31">
        <v>0.26470588235294118</v>
      </c>
      <c r="H27" s="31">
        <v>0.20588235294117646</v>
      </c>
      <c r="I27" s="32">
        <v>8455.5555555555547</v>
      </c>
      <c r="J27" s="32">
        <v>-8411.9047619047615</v>
      </c>
      <c r="K27" s="31">
        <v>0.16666666666666666</v>
      </c>
      <c r="L27" s="31">
        <v>0.32843137254901961</v>
      </c>
      <c r="M27" s="31">
        <v>0.16176470588235295</v>
      </c>
      <c r="N27" s="31">
        <v>0.47761194029850745</v>
      </c>
      <c r="O27" s="31">
        <v>0.48484848484848486</v>
      </c>
      <c r="P27" s="31">
        <v>0.40740740740740738</v>
      </c>
    </row>
    <row r="28" spans="1:16" x14ac:dyDescent="0.4">
      <c r="A28" s="33">
        <v>25</v>
      </c>
      <c r="B28" s="30">
        <v>-286.90000000000003</v>
      </c>
      <c r="C28" s="30">
        <v>-11.476000000000001</v>
      </c>
      <c r="D28" s="35">
        <v>2.16</v>
      </c>
      <c r="E28" s="31">
        <v>0.16</v>
      </c>
      <c r="F28" s="31">
        <v>0.32</v>
      </c>
      <c r="G28" s="31">
        <v>0.26066350710900477</v>
      </c>
      <c r="H28" s="31">
        <v>0.20853080568720378</v>
      </c>
      <c r="I28" s="32">
        <v>8520</v>
      </c>
      <c r="J28" s="32">
        <v>-8347.7272727272721</v>
      </c>
      <c r="K28" s="31">
        <v>0.16</v>
      </c>
      <c r="L28" s="31">
        <v>0.32227488151658767</v>
      </c>
      <c r="M28" s="31">
        <v>0.15639810426540285</v>
      </c>
      <c r="N28" s="31">
        <v>0.48529411764705882</v>
      </c>
      <c r="O28" s="31">
        <v>0.48484848484848486</v>
      </c>
      <c r="P28" s="31">
        <v>0.41818181818181815</v>
      </c>
    </row>
    <row r="29" spans="1:16" x14ac:dyDescent="0.4">
      <c r="A29" s="33">
        <v>26</v>
      </c>
      <c r="B29" s="30">
        <v>-287.00000000000006</v>
      </c>
      <c r="C29" s="30">
        <v>-11.03846153846154</v>
      </c>
      <c r="D29" s="35">
        <v>2.1538461538461537</v>
      </c>
      <c r="E29" s="31">
        <v>0.15384615384615385</v>
      </c>
      <c r="F29" s="31">
        <v>0.30769230769230771</v>
      </c>
      <c r="G29" s="31">
        <v>0.26146788990825687</v>
      </c>
      <c r="H29" s="31">
        <v>0.20642201834862386</v>
      </c>
      <c r="I29" s="32">
        <v>8431.5789473684217</v>
      </c>
      <c r="J29" s="32">
        <v>-8220</v>
      </c>
      <c r="K29" s="31">
        <v>0.15384615384615385</v>
      </c>
      <c r="L29" s="31">
        <v>0.32110091743119268</v>
      </c>
      <c r="M29" s="31">
        <v>0.15596330275229359</v>
      </c>
      <c r="N29" s="31">
        <v>0.48571428571428571</v>
      </c>
      <c r="O29" s="31">
        <v>0.5</v>
      </c>
      <c r="P29" s="31">
        <v>0.43859649122807015</v>
      </c>
    </row>
    <row r="30" spans="1:16" x14ac:dyDescent="0.4">
      <c r="A30" s="33">
        <v>27</v>
      </c>
      <c r="B30" s="30">
        <v>-350.40000000000003</v>
      </c>
      <c r="C30" s="30">
        <v>-12.97777777777778</v>
      </c>
      <c r="D30" s="35">
        <v>2.1851851851851851</v>
      </c>
      <c r="E30" s="31">
        <v>0.14814814814814814</v>
      </c>
      <c r="F30" s="31">
        <v>0.33333333333333331</v>
      </c>
      <c r="G30" s="31">
        <v>0.25221238938053098</v>
      </c>
      <c r="H30" s="31">
        <v>0.20353982300884957</v>
      </c>
      <c r="I30" s="32">
        <v>8431.5789473684217</v>
      </c>
      <c r="J30" s="32">
        <v>-8302.173913043478</v>
      </c>
      <c r="K30" s="31">
        <v>0.18518518518518517</v>
      </c>
      <c r="L30" s="31">
        <v>0.31415929203539822</v>
      </c>
      <c r="M30" s="31">
        <v>0.16814159292035399</v>
      </c>
      <c r="N30" s="31">
        <v>0.47887323943661969</v>
      </c>
      <c r="O30" s="31">
        <v>0.44736842105263158</v>
      </c>
      <c r="P30" s="31">
        <v>0.43859649122807015</v>
      </c>
    </row>
    <row r="31" spans="1:16" x14ac:dyDescent="0.4">
      <c r="A31" s="33">
        <v>28</v>
      </c>
      <c r="B31" s="30">
        <v>-357.1</v>
      </c>
      <c r="C31" s="30">
        <v>-12.75357142857143</v>
      </c>
      <c r="D31" s="35">
        <v>2.1785714285714284</v>
      </c>
      <c r="E31" s="31">
        <v>0.14285714285714285</v>
      </c>
      <c r="F31" s="31">
        <v>0.32142857142857145</v>
      </c>
      <c r="G31" s="31">
        <v>0.25862068965517243</v>
      </c>
      <c r="H31" s="31">
        <v>0.20258620689655171</v>
      </c>
      <c r="I31" s="32">
        <v>8220</v>
      </c>
      <c r="J31" s="32">
        <v>-8508.510638297872</v>
      </c>
      <c r="K31" s="31">
        <v>0.17857142857142858</v>
      </c>
      <c r="L31" s="31">
        <v>0.31896551724137934</v>
      </c>
      <c r="M31" s="31">
        <v>0.16379310344827586</v>
      </c>
      <c r="N31" s="31">
        <v>0.48648648648648651</v>
      </c>
      <c r="O31" s="31">
        <v>0.44736842105263158</v>
      </c>
      <c r="P31" s="31">
        <v>0.46666666666666667</v>
      </c>
    </row>
    <row r="32" spans="1:16" x14ac:dyDescent="0.4">
      <c r="A32" s="33">
        <v>29</v>
      </c>
      <c r="B32" s="30">
        <v>-413.8</v>
      </c>
      <c r="C32" s="30">
        <v>-14.26896551724138</v>
      </c>
      <c r="D32" s="35">
        <v>2.2068965517241379</v>
      </c>
      <c r="E32" s="31">
        <v>0.13793103448275862</v>
      </c>
      <c r="F32" s="31">
        <v>0.34482758620689657</v>
      </c>
      <c r="G32" s="31">
        <v>0.25738396624472576</v>
      </c>
      <c r="H32" s="31">
        <v>0.20253164556962025</v>
      </c>
      <c r="I32" s="32">
        <v>8172.1311475409839</v>
      </c>
      <c r="J32" s="32">
        <v>-8581.25</v>
      </c>
      <c r="K32" s="31">
        <v>0.20689655172413793</v>
      </c>
      <c r="L32" s="31">
        <v>0.31645569620253167</v>
      </c>
      <c r="M32" s="31">
        <v>0.16455696202531644</v>
      </c>
      <c r="N32" s="31">
        <v>0.49333333333333335</v>
      </c>
      <c r="O32" s="31">
        <v>0.4358974358974359</v>
      </c>
      <c r="P32" s="31">
        <v>0.47540983606557374</v>
      </c>
    </row>
    <row r="33" spans="1:16" x14ac:dyDescent="0.4">
      <c r="A33" s="33">
        <v>30</v>
      </c>
      <c r="B33" s="30">
        <v>-461.8</v>
      </c>
      <c r="C33" s="30">
        <v>-15.393333333333334</v>
      </c>
      <c r="D33" s="35">
        <v>2.2333333333333334</v>
      </c>
      <c r="E33" s="31">
        <v>0.13333333333333333</v>
      </c>
      <c r="F33" s="31">
        <v>0.36666666666666664</v>
      </c>
      <c r="G33" s="31">
        <v>0.25819672131147542</v>
      </c>
      <c r="H33" s="31">
        <v>0.20901639344262296</v>
      </c>
      <c r="I33" s="32">
        <v>7979.3650793650795</v>
      </c>
      <c r="J33" s="32">
        <v>-8698.0392156862745</v>
      </c>
      <c r="K33" s="31">
        <v>0.2</v>
      </c>
      <c r="L33" s="31">
        <v>0.31147540983606559</v>
      </c>
      <c r="M33" s="31">
        <v>0.16393442622950818</v>
      </c>
      <c r="N33" s="31">
        <v>0.48684210526315791</v>
      </c>
      <c r="O33" s="31">
        <v>0.42499999999999999</v>
      </c>
      <c r="P33" s="31">
        <v>0.49206349206349204</v>
      </c>
    </row>
    <row r="34" spans="1:16" x14ac:dyDescent="0.4">
      <c r="A34" s="33">
        <v>31</v>
      </c>
      <c r="B34" s="30">
        <v>-462.3</v>
      </c>
      <c r="C34" s="30">
        <v>-14.912903225806453</v>
      </c>
      <c r="D34" s="35">
        <v>2.225806451612903</v>
      </c>
      <c r="E34" s="31">
        <v>0.12903225806451613</v>
      </c>
      <c r="F34" s="31">
        <v>0.35483870967741937</v>
      </c>
      <c r="G34" s="31">
        <v>0.26587301587301587</v>
      </c>
      <c r="H34" s="31">
        <v>0.20238095238095238</v>
      </c>
      <c r="I34" s="32">
        <v>8129.8507462686566</v>
      </c>
      <c r="J34" s="32">
        <v>-8698.0392156862745</v>
      </c>
      <c r="K34" s="31">
        <v>0.19354838709677419</v>
      </c>
      <c r="L34" s="31">
        <v>0.31349206349206349</v>
      </c>
      <c r="M34" s="31">
        <v>0.17063492063492064</v>
      </c>
      <c r="N34" s="31">
        <v>0.48101265822784811</v>
      </c>
      <c r="O34" s="31">
        <v>0.44186046511627908</v>
      </c>
      <c r="P34" s="31">
        <v>0.5074626865671642</v>
      </c>
    </row>
    <row r="35" spans="1:16" x14ac:dyDescent="0.4">
      <c r="A35" s="33">
        <v>32</v>
      </c>
      <c r="B35" s="30">
        <v>-462.8</v>
      </c>
      <c r="C35" s="30">
        <v>-14.4625</v>
      </c>
      <c r="D35" s="35">
        <v>2.21875</v>
      </c>
      <c r="E35" s="31">
        <v>0.125</v>
      </c>
      <c r="F35" s="31">
        <v>0.34375</v>
      </c>
      <c r="G35" s="31">
        <v>0.26356589147286824</v>
      </c>
      <c r="H35" s="31">
        <v>0.19767441860465115</v>
      </c>
      <c r="I35" s="32">
        <v>8245.5882352941171</v>
      </c>
      <c r="J35" s="32">
        <v>-8698.0392156862745</v>
      </c>
      <c r="K35" s="31">
        <v>0.1875</v>
      </c>
      <c r="L35" s="31">
        <v>0.30620155038759689</v>
      </c>
      <c r="M35" s="31">
        <v>0.17829457364341086</v>
      </c>
      <c r="N35" s="31">
        <v>0.48101265822784811</v>
      </c>
      <c r="O35" s="31">
        <v>0.43478260869565216</v>
      </c>
      <c r="P35" s="31">
        <v>0.51470588235294112</v>
      </c>
    </row>
    <row r="36" spans="1:16" x14ac:dyDescent="0.4">
      <c r="A36" s="33">
        <v>33</v>
      </c>
      <c r="B36" s="30">
        <v>-528.4</v>
      </c>
      <c r="C36" s="30">
        <v>-16.012121212121212</v>
      </c>
      <c r="D36" s="35">
        <v>2.2424242424242422</v>
      </c>
      <c r="E36" s="31">
        <v>0.12121212121212122</v>
      </c>
      <c r="F36" s="31">
        <v>0.36363636363636365</v>
      </c>
      <c r="G36" s="31">
        <v>0.26515151515151514</v>
      </c>
      <c r="H36" s="31">
        <v>0.19696969696969696</v>
      </c>
      <c r="I36" s="32">
        <v>8218.5714285714294</v>
      </c>
      <c r="J36" s="32">
        <v>-9453.8461538461543</v>
      </c>
      <c r="K36" s="31">
        <v>0.21212121212121213</v>
      </c>
      <c r="L36" s="31">
        <v>0.30303030303030304</v>
      </c>
      <c r="M36" s="31">
        <v>0.18560606060606061</v>
      </c>
      <c r="N36" s="31">
        <v>0.47499999999999998</v>
      </c>
      <c r="O36" s="31">
        <v>0.42857142857142855</v>
      </c>
      <c r="P36" s="31">
        <v>0.51428571428571423</v>
      </c>
    </row>
    <row r="37" spans="1:16" x14ac:dyDescent="0.4">
      <c r="A37" s="33">
        <v>34</v>
      </c>
      <c r="B37" s="30">
        <v>-500</v>
      </c>
      <c r="C37" s="30">
        <v>-14.705882352941176</v>
      </c>
      <c r="D37" s="35">
        <v>2.2058823529411766</v>
      </c>
      <c r="E37" s="31">
        <v>0.14705882352941177</v>
      </c>
      <c r="F37" s="31">
        <v>0.35294117647058826</v>
      </c>
      <c r="G37" s="31">
        <v>0.26838235294117646</v>
      </c>
      <c r="H37" s="31">
        <v>0.19485294117647059</v>
      </c>
      <c r="I37" s="32">
        <v>8205.4794520547948</v>
      </c>
      <c r="J37" s="32">
        <v>-9313.2075471698117</v>
      </c>
      <c r="K37" s="31">
        <v>0.20588235294117646</v>
      </c>
      <c r="L37" s="31">
        <v>0.3014705882352941</v>
      </c>
      <c r="M37" s="31">
        <v>0.18382352941176472</v>
      </c>
      <c r="N37" s="31">
        <v>0.47560975609756095</v>
      </c>
      <c r="O37" s="31">
        <v>0.44</v>
      </c>
      <c r="P37" s="31">
        <v>0.52054794520547942</v>
      </c>
    </row>
    <row r="38" spans="1:16" x14ac:dyDescent="0.4">
      <c r="A38" s="33">
        <v>35</v>
      </c>
      <c r="B38" s="30">
        <v>-413.7</v>
      </c>
      <c r="C38" s="30">
        <v>-11.82</v>
      </c>
      <c r="D38" s="35">
        <v>2.1714285714285713</v>
      </c>
      <c r="E38" s="31">
        <v>0.17142857142857143</v>
      </c>
      <c r="F38" s="31">
        <v>0.34285714285714286</v>
      </c>
      <c r="G38" s="31">
        <v>0.28169014084507044</v>
      </c>
      <c r="H38" s="31">
        <v>0.19366197183098591</v>
      </c>
      <c r="I38" s="32">
        <v>8502.5</v>
      </c>
      <c r="J38" s="32">
        <v>-9372.7272727272721</v>
      </c>
      <c r="K38" s="31">
        <v>0.2</v>
      </c>
      <c r="L38" s="31">
        <v>0.29929577464788731</v>
      </c>
      <c r="M38" s="31">
        <v>0.18309859154929578</v>
      </c>
      <c r="N38" s="31">
        <v>0.49411764705882355</v>
      </c>
      <c r="O38" s="31">
        <v>0.44230769230769229</v>
      </c>
      <c r="P38" s="31">
        <v>0.52500000000000002</v>
      </c>
    </row>
    <row r="39" spans="1:16" x14ac:dyDescent="0.4">
      <c r="A39" s="33">
        <v>36</v>
      </c>
      <c r="B39" s="30">
        <v>-369.5</v>
      </c>
      <c r="C39" s="30">
        <v>-10.263888888888889</v>
      </c>
      <c r="D39" s="35">
        <v>2.1388888888888888</v>
      </c>
      <c r="E39" s="31">
        <v>0.19444444444444445</v>
      </c>
      <c r="F39" s="31">
        <v>0.33333333333333331</v>
      </c>
      <c r="G39" s="31">
        <v>0.2857142857142857</v>
      </c>
      <c r="H39" s="31">
        <v>0.19047619047619047</v>
      </c>
      <c r="I39" s="32">
        <v>8547.6190476190477</v>
      </c>
      <c r="J39" s="32">
        <v>-9228.5714285714294</v>
      </c>
      <c r="K39" s="31">
        <v>0.19444444444444445</v>
      </c>
      <c r="L39" s="31">
        <v>0.29591836734693877</v>
      </c>
      <c r="M39" s="31">
        <v>0.1870748299319728</v>
      </c>
      <c r="N39" s="31">
        <v>0.50574712643678166</v>
      </c>
      <c r="O39" s="31">
        <v>0.45454545454545453</v>
      </c>
      <c r="P39" s="31">
        <v>0.51190476190476186</v>
      </c>
    </row>
    <row r="40" spans="1:16" x14ac:dyDescent="0.4">
      <c r="A40" s="33">
        <v>37</v>
      </c>
      <c r="B40" s="30">
        <v>-374.5</v>
      </c>
      <c r="C40" s="30">
        <v>-10.121621621621621</v>
      </c>
      <c r="D40" s="35">
        <v>2.1351351351351351</v>
      </c>
      <c r="E40" s="31">
        <v>0.1891891891891892</v>
      </c>
      <c r="F40" s="31">
        <v>0.32432432432432434</v>
      </c>
      <c r="G40" s="31">
        <v>0.2814569536423841</v>
      </c>
      <c r="H40" s="31">
        <v>0.18543046357615894</v>
      </c>
      <c r="I40" s="32">
        <v>8471.7647058823532</v>
      </c>
      <c r="J40" s="32">
        <v>-9228.5714285714294</v>
      </c>
      <c r="K40" s="31">
        <v>0.1891891891891892</v>
      </c>
      <c r="L40" s="31">
        <v>0.28807947019867547</v>
      </c>
      <c r="M40" s="31">
        <v>0.18543046357615894</v>
      </c>
      <c r="N40" s="31">
        <v>0.50574712643678166</v>
      </c>
      <c r="O40" s="31">
        <v>0.4642857142857143</v>
      </c>
      <c r="P40" s="31">
        <v>0.51764705882352946</v>
      </c>
    </row>
    <row r="41" spans="1:16" x14ac:dyDescent="0.4">
      <c r="A41" s="33">
        <v>38</v>
      </c>
      <c r="B41" s="30">
        <v>-379</v>
      </c>
      <c r="C41" s="30">
        <v>-9.973684210526315</v>
      </c>
      <c r="D41" s="35">
        <v>2.1315789473684212</v>
      </c>
      <c r="E41" s="31">
        <v>0.18421052631578946</v>
      </c>
      <c r="F41" s="31">
        <v>0.31578947368421051</v>
      </c>
      <c r="G41" s="31">
        <v>0.27476038338658149</v>
      </c>
      <c r="H41" s="31">
        <v>0.18210862619808307</v>
      </c>
      <c r="I41" s="32">
        <v>8384.8837209302328</v>
      </c>
      <c r="J41" s="32">
        <v>-9101.7543859649122</v>
      </c>
      <c r="K41" s="31">
        <v>0.18421052631578946</v>
      </c>
      <c r="L41" s="31">
        <v>0.28115015974440893</v>
      </c>
      <c r="M41" s="31">
        <v>0.1853035143769968</v>
      </c>
      <c r="N41" s="31">
        <v>0.5</v>
      </c>
      <c r="O41" s="31">
        <v>0.46551724137931033</v>
      </c>
      <c r="P41" s="31">
        <v>0.51162790697674421</v>
      </c>
    </row>
    <row r="42" spans="1:16" x14ac:dyDescent="0.4">
      <c r="A42" s="33">
        <v>39</v>
      </c>
      <c r="B42" s="30">
        <v>-451.9</v>
      </c>
      <c r="C42" s="30">
        <v>-11.587179487179487</v>
      </c>
      <c r="D42" s="35">
        <v>2.1538461538461537</v>
      </c>
      <c r="E42" s="31">
        <v>0.17948717948717949</v>
      </c>
      <c r="F42" s="31">
        <v>0.33333333333333331</v>
      </c>
      <c r="G42" s="31">
        <v>0.26959247648902823</v>
      </c>
      <c r="H42" s="31">
        <v>0.18808777429467086</v>
      </c>
      <c r="I42" s="32">
        <v>8384.8837209302328</v>
      </c>
      <c r="J42" s="32">
        <v>-9186.6666666666661</v>
      </c>
      <c r="K42" s="31">
        <v>0.20512820512820512</v>
      </c>
      <c r="L42" s="31">
        <v>0.27899686520376177</v>
      </c>
      <c r="M42" s="31">
        <v>0.18495297805642633</v>
      </c>
      <c r="N42" s="31">
        <v>0.4943820224719101</v>
      </c>
      <c r="O42" s="31">
        <v>0.4576271186440678</v>
      </c>
      <c r="P42" s="31">
        <v>0.51162790697674421</v>
      </c>
    </row>
    <row r="43" spans="1:16" x14ac:dyDescent="0.4">
      <c r="A43" s="33">
        <v>40</v>
      </c>
      <c r="B43" s="30">
        <v>-390.9</v>
      </c>
      <c r="C43" s="30">
        <v>-9.7724999999999991</v>
      </c>
      <c r="D43" s="35">
        <v>2.125</v>
      </c>
      <c r="E43" s="31">
        <v>0.2</v>
      </c>
      <c r="F43" s="31">
        <v>0.32500000000000001</v>
      </c>
      <c r="G43" s="31">
        <v>0.27828746177370028</v>
      </c>
      <c r="H43" s="31">
        <v>0.1834862385321101</v>
      </c>
      <c r="I43" s="32">
        <v>8440.6593406593402</v>
      </c>
      <c r="J43" s="32">
        <v>-9186.6666666666661</v>
      </c>
      <c r="K43" s="31">
        <v>0.2</v>
      </c>
      <c r="L43" s="31">
        <v>0.27828746177370028</v>
      </c>
      <c r="M43" s="31">
        <v>0.18654434250764526</v>
      </c>
      <c r="N43" s="31">
        <v>0.50549450549450547</v>
      </c>
      <c r="O43" s="31">
        <v>0.47540983606557374</v>
      </c>
      <c r="P43" s="31">
        <v>0.49450549450549453</v>
      </c>
    </row>
    <row r="44" spans="1:16" x14ac:dyDescent="0.4">
      <c r="A44" s="33">
        <v>41</v>
      </c>
      <c r="B44" s="30">
        <v>-365.09999999999997</v>
      </c>
      <c r="C44" s="30">
        <v>-8.9048780487804873</v>
      </c>
      <c r="D44" s="35">
        <v>2.0975609756097562</v>
      </c>
      <c r="E44" s="31">
        <v>0.21951219512195122</v>
      </c>
      <c r="F44" s="31">
        <v>0.31707317073170732</v>
      </c>
      <c r="G44" s="31">
        <v>0.27976190476190477</v>
      </c>
      <c r="H44" s="31">
        <v>0.17857142857142858</v>
      </c>
      <c r="I44" s="32">
        <v>8456.3829787234044</v>
      </c>
      <c r="J44" s="32">
        <v>-9186.6666666666661</v>
      </c>
      <c r="K44" s="31">
        <v>0.1951219512195122</v>
      </c>
      <c r="L44" s="31">
        <v>0.27976190476190477</v>
      </c>
      <c r="M44" s="31">
        <v>0.18452380952380953</v>
      </c>
      <c r="N44" s="31">
        <v>0.51063829787234039</v>
      </c>
      <c r="O44" s="31">
        <v>0.4838709677419355</v>
      </c>
      <c r="P44" s="31">
        <v>0.5</v>
      </c>
    </row>
    <row r="45" spans="1:16" x14ac:dyDescent="0.4">
      <c r="A45" s="33">
        <v>42</v>
      </c>
      <c r="B45" s="30">
        <v>-399.99999999999994</v>
      </c>
      <c r="C45" s="30">
        <v>-9.5238095238095219</v>
      </c>
      <c r="D45" s="35">
        <v>2.1190476190476191</v>
      </c>
      <c r="E45" s="31">
        <v>0.21428571428571427</v>
      </c>
      <c r="F45" s="31">
        <v>0.33333333333333331</v>
      </c>
      <c r="G45" s="31">
        <v>0.27906976744186046</v>
      </c>
      <c r="H45" s="31">
        <v>0.18023255813953487</v>
      </c>
      <c r="I45" s="32">
        <v>8422.9166666666661</v>
      </c>
      <c r="J45" s="32">
        <v>-9243.5483870967746</v>
      </c>
      <c r="K45" s="31">
        <v>0.19047619047619047</v>
      </c>
      <c r="L45" s="31">
        <v>0.27616279069767441</v>
      </c>
      <c r="M45" s="31">
        <v>0.19186046511627908</v>
      </c>
      <c r="N45" s="31">
        <v>0.51578947368421058</v>
      </c>
      <c r="O45" s="31">
        <v>0.46969696969696972</v>
      </c>
      <c r="P45" s="31">
        <v>0.5</v>
      </c>
    </row>
    <row r="46" spans="1:16" x14ac:dyDescent="0.4">
      <c r="A46" s="33">
        <v>43</v>
      </c>
      <c r="B46" s="30">
        <v>-403.99999999999994</v>
      </c>
      <c r="C46" s="30">
        <v>-9.3953488372093013</v>
      </c>
      <c r="D46" s="35">
        <v>2.1162790697674421</v>
      </c>
      <c r="E46" s="31">
        <v>0.20930232558139536</v>
      </c>
      <c r="F46" s="31">
        <v>0.32558139534883723</v>
      </c>
      <c r="G46" s="31">
        <v>0.27887323943661974</v>
      </c>
      <c r="H46" s="31">
        <v>0.17464788732394365</v>
      </c>
      <c r="I46" s="32">
        <v>8339.3939393939399</v>
      </c>
      <c r="J46" s="32">
        <v>-9243.5483870967746</v>
      </c>
      <c r="K46" s="31">
        <v>0.18604651162790697</v>
      </c>
      <c r="L46" s="31">
        <v>0.27042253521126758</v>
      </c>
      <c r="M46" s="31">
        <v>0.18873239436619718</v>
      </c>
      <c r="N46" s="31">
        <v>0.51041666666666663</v>
      </c>
      <c r="O46" s="31">
        <v>0.47761194029850745</v>
      </c>
      <c r="P46" s="31">
        <v>0.49494949494949497</v>
      </c>
    </row>
    <row r="47" spans="1:16" x14ac:dyDescent="0.4">
      <c r="A47" s="33">
        <v>44</v>
      </c>
      <c r="B47" s="30">
        <v>-430.89999999999992</v>
      </c>
      <c r="C47" s="30">
        <v>-9.7931818181818162</v>
      </c>
      <c r="D47" s="35">
        <v>2.1136363636363638</v>
      </c>
      <c r="E47" s="31">
        <v>0.20454545454545456</v>
      </c>
      <c r="F47" s="31">
        <v>0.31818181818181818</v>
      </c>
      <c r="G47" s="31">
        <v>0.27397260273972601</v>
      </c>
      <c r="H47" s="31">
        <v>0.17260273972602741</v>
      </c>
      <c r="I47" s="32">
        <v>8376</v>
      </c>
      <c r="J47" s="32">
        <v>-9287.3015873015866</v>
      </c>
      <c r="K47" s="31">
        <v>0.18181818181818182</v>
      </c>
      <c r="L47" s="31">
        <v>0.26575342465753427</v>
      </c>
      <c r="M47" s="31">
        <v>0.18904109589041096</v>
      </c>
      <c r="N47" s="31">
        <v>0.50515463917525771</v>
      </c>
      <c r="O47" s="31">
        <v>0.47826086956521741</v>
      </c>
      <c r="P47" s="31">
        <v>0.5</v>
      </c>
    </row>
    <row r="48" spans="1:16" x14ac:dyDescent="0.4">
      <c r="A48" s="33">
        <v>45</v>
      </c>
      <c r="B48" s="30">
        <v>-489.89999999999992</v>
      </c>
      <c r="C48" s="30">
        <v>-10.886666666666665</v>
      </c>
      <c r="D48" s="35">
        <v>2.1333333333333333</v>
      </c>
      <c r="E48" s="31">
        <v>0.2</v>
      </c>
      <c r="F48" s="31">
        <v>0.33333333333333331</v>
      </c>
      <c r="G48" s="31">
        <v>0.27247956403269757</v>
      </c>
      <c r="H48" s="31">
        <v>0.17438692098092642</v>
      </c>
      <c r="I48" s="32">
        <v>8376</v>
      </c>
      <c r="J48" s="32">
        <v>-9642.1875</v>
      </c>
      <c r="K48" s="31">
        <v>0.2</v>
      </c>
      <c r="L48" s="31">
        <v>0.2670299727520436</v>
      </c>
      <c r="M48" s="31">
        <v>0.18801089918256131</v>
      </c>
      <c r="N48" s="31">
        <v>0.5</v>
      </c>
      <c r="O48" s="31">
        <v>0.47826086956521741</v>
      </c>
      <c r="P48" s="31">
        <v>0.5</v>
      </c>
    </row>
    <row r="49" spans="1:16" x14ac:dyDescent="0.4">
      <c r="A49" s="33">
        <v>46</v>
      </c>
      <c r="B49" s="30">
        <v>-492.7999999999999</v>
      </c>
      <c r="C49" s="30">
        <v>-10.713043478260868</v>
      </c>
      <c r="D49" s="35">
        <v>2.1304347826086958</v>
      </c>
      <c r="E49" s="31">
        <v>0.19565217391304349</v>
      </c>
      <c r="F49" s="31">
        <v>0.32608695652173914</v>
      </c>
      <c r="G49" s="31">
        <v>0.27345844504021449</v>
      </c>
      <c r="H49" s="31">
        <v>0.17158176943699732</v>
      </c>
      <c r="I49" s="32">
        <v>8342.1568627450979</v>
      </c>
      <c r="J49" s="32">
        <v>-9642.1875</v>
      </c>
      <c r="K49" s="31">
        <v>0.19565217391304349</v>
      </c>
      <c r="L49" s="31">
        <v>0.26809651474530832</v>
      </c>
      <c r="M49" s="31">
        <v>0.18498659517426275</v>
      </c>
      <c r="N49" s="31">
        <v>0.5</v>
      </c>
      <c r="O49" s="31">
        <v>0.47826086956521741</v>
      </c>
      <c r="P49" s="31">
        <v>0.5</v>
      </c>
    </row>
    <row r="50" spans="1:16" x14ac:dyDescent="0.4">
      <c r="A50" s="33">
        <v>47</v>
      </c>
      <c r="B50" s="30">
        <v>-475.69999999999987</v>
      </c>
      <c r="C50" s="30">
        <v>-10.121276595744678</v>
      </c>
      <c r="D50" s="35">
        <v>2.1276595744680851</v>
      </c>
      <c r="E50" s="31">
        <v>0.19148936170212766</v>
      </c>
      <c r="F50" s="31">
        <v>0.31914893617021278</v>
      </c>
      <c r="G50" s="31">
        <v>0.27368421052631581</v>
      </c>
      <c r="H50" s="31">
        <v>0.17105263157894737</v>
      </c>
      <c r="I50" s="32">
        <v>8335.5769230769238</v>
      </c>
      <c r="J50" s="32">
        <v>-9538.461538461539</v>
      </c>
      <c r="K50" s="31">
        <v>0.19148936170212766</v>
      </c>
      <c r="L50" s="31">
        <v>0.26315789473684209</v>
      </c>
      <c r="M50" s="31">
        <v>0.18684210526315789</v>
      </c>
      <c r="N50" s="31">
        <v>0.5</v>
      </c>
      <c r="O50" s="31">
        <v>0.47887323943661969</v>
      </c>
      <c r="P50" s="31">
        <v>0.49038461538461536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F5A12-AA34-472C-82E5-A07033586F0F}">
  <sheetPr codeName="Sheet14"/>
  <dimension ref="A1:Q7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30.8</v>
      </c>
      <c r="C4" s="30">
        <v>30.8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0.16666666666666666</v>
      </c>
      <c r="I4" s="32">
        <v>7950</v>
      </c>
      <c r="J4" s="32">
        <v>-2600</v>
      </c>
      <c r="K4" s="31">
        <v>0</v>
      </c>
      <c r="L4" s="31">
        <v>0.33333333333333331</v>
      </c>
      <c r="M4" s="31">
        <v>0.16666666666666666</v>
      </c>
      <c r="N4" s="31">
        <v>0.5</v>
      </c>
      <c r="O4" s="31">
        <v>1</v>
      </c>
      <c r="P4" s="31">
        <v>0</v>
      </c>
    </row>
    <row r="5" spans="1:17" x14ac:dyDescent="0.4">
      <c r="A5" s="33">
        <v>2</v>
      </c>
      <c r="B5" s="30">
        <v>9.8000000000000007</v>
      </c>
      <c r="C5" s="30">
        <v>4.9000000000000004</v>
      </c>
      <c r="D5" s="35">
        <v>2</v>
      </c>
      <c r="E5" s="31">
        <v>0.5</v>
      </c>
      <c r="F5" s="31">
        <v>0.5</v>
      </c>
      <c r="G5" s="31">
        <v>0.33333333333333331</v>
      </c>
      <c r="H5" s="31">
        <v>0.16666666666666666</v>
      </c>
      <c r="I5" s="32">
        <v>6225</v>
      </c>
      <c r="J5" s="32">
        <v>-5300</v>
      </c>
      <c r="K5" s="31">
        <v>0</v>
      </c>
      <c r="L5" s="31">
        <v>0.16666666666666666</v>
      </c>
      <c r="M5" s="31">
        <v>0.25</v>
      </c>
      <c r="N5" s="31">
        <v>0.5</v>
      </c>
      <c r="O5" s="31">
        <v>1</v>
      </c>
      <c r="P5" s="31">
        <v>0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7380</v>
      </c>
      <c r="J6" s="32">
        <v>-4950</v>
      </c>
      <c r="K6" s="31">
        <v>0</v>
      </c>
      <c r="L6" s="31">
        <v>0.38095238095238093</v>
      </c>
      <c r="M6" s="31">
        <v>0.19047619047619047</v>
      </c>
      <c r="N6" s="31">
        <v>0.25</v>
      </c>
      <c r="O6" s="31">
        <v>0.75</v>
      </c>
      <c r="P6" s="31">
        <v>0.2</v>
      </c>
    </row>
    <row r="7" spans="1:17" x14ac:dyDescent="0.4">
      <c r="A7" s="33">
        <v>4</v>
      </c>
      <c r="B7" s="30">
        <v>-61.600000000000009</v>
      </c>
      <c r="C7" s="30">
        <v>-15.400000000000002</v>
      </c>
      <c r="D7" s="35">
        <v>2.5</v>
      </c>
      <c r="E7" s="31">
        <v>0.25</v>
      </c>
      <c r="F7" s="31">
        <v>0.75</v>
      </c>
      <c r="G7" s="31">
        <v>0.19354838709677419</v>
      </c>
      <c r="H7" s="31">
        <v>0.22580645161290322</v>
      </c>
      <c r="I7" s="32">
        <v>8150</v>
      </c>
      <c r="J7" s="32">
        <v>-6142.8571428571431</v>
      </c>
      <c r="K7" s="31">
        <v>0</v>
      </c>
      <c r="L7" s="31">
        <v>0.41935483870967744</v>
      </c>
      <c r="M7" s="31">
        <v>0.12903225806451613</v>
      </c>
      <c r="N7" s="31">
        <v>0.23076923076923078</v>
      </c>
      <c r="O7" s="31">
        <v>0.75</v>
      </c>
      <c r="P7" s="31">
        <v>0.33333333333333331</v>
      </c>
    </row>
    <row r="8" spans="1:17" x14ac:dyDescent="0.4">
      <c r="A8" s="33">
        <v>5</v>
      </c>
      <c r="B8" s="30">
        <v>-68.000000000000014</v>
      </c>
      <c r="C8" s="30">
        <v>-13.600000000000003</v>
      </c>
      <c r="D8" s="35">
        <v>2.4</v>
      </c>
      <c r="E8" s="31">
        <v>0.2</v>
      </c>
      <c r="F8" s="31">
        <v>0.6</v>
      </c>
      <c r="G8" s="31">
        <v>0.19047619047619047</v>
      </c>
      <c r="H8" s="31">
        <v>0.16666666666666666</v>
      </c>
      <c r="I8" s="32">
        <v>8812.5</v>
      </c>
      <c r="J8" s="32">
        <v>-6142.8571428571431</v>
      </c>
      <c r="K8" s="31">
        <v>0</v>
      </c>
      <c r="L8" s="31">
        <v>0.40476190476190477</v>
      </c>
      <c r="M8" s="31">
        <v>0.11904761904761904</v>
      </c>
      <c r="N8" s="31">
        <v>0.23529411764705882</v>
      </c>
      <c r="O8" s="31">
        <v>0.6</v>
      </c>
      <c r="P8" s="31">
        <v>0.25</v>
      </c>
    </row>
    <row r="9" spans="1:17" x14ac:dyDescent="0.4">
      <c r="A9" s="33">
        <v>6</v>
      </c>
      <c r="B9" s="30">
        <v>-68.800000000000011</v>
      </c>
      <c r="C9" s="30">
        <v>-11.466666666666669</v>
      </c>
      <c r="D9" s="35">
        <v>2.3333333333333335</v>
      </c>
      <c r="E9" s="31">
        <v>0.16666666666666666</v>
      </c>
      <c r="F9" s="31">
        <v>0.5</v>
      </c>
      <c r="G9" s="31">
        <v>0.21428571428571427</v>
      </c>
      <c r="H9" s="31">
        <v>0.17857142857142858</v>
      </c>
      <c r="I9" s="32">
        <v>8983.3333333333339</v>
      </c>
      <c r="J9" s="32">
        <v>-6010</v>
      </c>
      <c r="K9" s="31">
        <v>0</v>
      </c>
      <c r="L9" s="31">
        <v>0.39285714285714285</v>
      </c>
      <c r="M9" s="31">
        <v>0.10714285714285714</v>
      </c>
      <c r="N9" s="31">
        <v>0.36363636363636365</v>
      </c>
      <c r="O9" s="31">
        <v>0.5</v>
      </c>
      <c r="P9" s="31">
        <v>0.25</v>
      </c>
    </row>
    <row r="10" spans="1:17" x14ac:dyDescent="0.4">
      <c r="A10" s="33">
        <v>7</v>
      </c>
      <c r="B10" s="30">
        <v>3.4999999999999858</v>
      </c>
      <c r="C10" s="30">
        <v>0.49999999999999795</v>
      </c>
      <c r="D10" s="35">
        <v>2.1428571428571428</v>
      </c>
      <c r="E10" s="31">
        <v>0.2857142857142857</v>
      </c>
      <c r="F10" s="31">
        <v>0.42857142857142855</v>
      </c>
      <c r="G10" s="31">
        <v>0.25806451612903225</v>
      </c>
      <c r="H10" s="31">
        <v>0.16129032258064516</v>
      </c>
      <c r="I10" s="32">
        <v>9537.5</v>
      </c>
      <c r="J10" s="32">
        <v>-6010</v>
      </c>
      <c r="K10" s="31">
        <v>0</v>
      </c>
      <c r="L10" s="31">
        <v>0.43548387096774194</v>
      </c>
      <c r="M10" s="31">
        <v>9.6774193548387094E-2</v>
      </c>
      <c r="N10" s="31">
        <v>0.40740740740740738</v>
      </c>
      <c r="O10" s="31">
        <v>0.5</v>
      </c>
      <c r="P10" s="31">
        <v>0.4375</v>
      </c>
    </row>
    <row r="11" spans="1:17" x14ac:dyDescent="0.4">
      <c r="A11" s="33">
        <v>8</v>
      </c>
      <c r="B11" s="30">
        <v>-1.800000000000014</v>
      </c>
      <c r="C11" s="30">
        <v>-0.22500000000000175</v>
      </c>
      <c r="D11" s="35">
        <v>2.125</v>
      </c>
      <c r="E11" s="31">
        <v>0.25</v>
      </c>
      <c r="F11" s="31">
        <v>0.375</v>
      </c>
      <c r="G11" s="31">
        <v>0.26027397260273971</v>
      </c>
      <c r="H11" s="31">
        <v>0.17808219178082191</v>
      </c>
      <c r="I11" s="32">
        <v>9052.6315789473683</v>
      </c>
      <c r="J11" s="32">
        <v>-5946.1538461538457</v>
      </c>
      <c r="K11" s="31">
        <v>0</v>
      </c>
      <c r="L11" s="31">
        <v>0.43835616438356162</v>
      </c>
      <c r="M11" s="31">
        <v>9.5890410958904104E-2</v>
      </c>
      <c r="N11" s="31">
        <v>0.40625</v>
      </c>
      <c r="O11" s="31">
        <v>0.42857142857142855</v>
      </c>
      <c r="P11" s="31">
        <v>0.42105263157894735</v>
      </c>
    </row>
    <row r="12" spans="1:17" x14ac:dyDescent="0.4">
      <c r="A12" s="33">
        <v>9</v>
      </c>
      <c r="B12" s="30">
        <v>49.999999999999986</v>
      </c>
      <c r="C12" s="30">
        <v>5.5555555555555536</v>
      </c>
      <c r="D12" s="35">
        <v>2</v>
      </c>
      <c r="E12" s="31">
        <v>0.33333333333333331</v>
      </c>
      <c r="F12" s="31">
        <v>0.33333333333333331</v>
      </c>
      <c r="G12" s="31">
        <v>0.27160493827160492</v>
      </c>
      <c r="H12" s="31">
        <v>0.16049382716049382</v>
      </c>
      <c r="I12" s="32">
        <v>9690.9090909090901</v>
      </c>
      <c r="J12" s="32">
        <v>-5946.1538461538457</v>
      </c>
      <c r="K12" s="31">
        <v>0</v>
      </c>
      <c r="L12" s="31">
        <v>0.41975308641975306</v>
      </c>
      <c r="M12" s="31">
        <v>8.6419753086419748E-2</v>
      </c>
      <c r="N12" s="31">
        <v>0.44117647058823528</v>
      </c>
      <c r="O12" s="31">
        <v>0.42857142857142855</v>
      </c>
      <c r="P12" s="31">
        <v>0.40909090909090912</v>
      </c>
    </row>
    <row r="13" spans="1:17" x14ac:dyDescent="0.4">
      <c r="A13" s="33">
        <v>10</v>
      </c>
      <c r="B13" s="30">
        <v>82.499999999999986</v>
      </c>
      <c r="C13" s="30">
        <v>8.2499999999999982</v>
      </c>
      <c r="D13" s="35">
        <v>1.9</v>
      </c>
      <c r="E13" s="31">
        <v>0.4</v>
      </c>
      <c r="F13" s="31">
        <v>0.3</v>
      </c>
      <c r="G13" s="31">
        <v>0.28735632183908044</v>
      </c>
      <c r="H13" s="31">
        <v>0.16091954022988506</v>
      </c>
      <c r="I13" s="32">
        <v>9268</v>
      </c>
      <c r="J13" s="32">
        <v>-6092.8571428571431</v>
      </c>
      <c r="K13" s="31">
        <v>0</v>
      </c>
      <c r="L13" s="31">
        <v>0.41379310344827586</v>
      </c>
      <c r="M13" s="31">
        <v>9.1954022988505746E-2</v>
      </c>
      <c r="N13" s="31">
        <v>0.47222222222222221</v>
      </c>
      <c r="O13" s="31">
        <v>0.5</v>
      </c>
      <c r="P13" s="31">
        <v>0.4</v>
      </c>
    </row>
    <row r="14" spans="1:17" x14ac:dyDescent="0.4">
      <c r="A14" s="33">
        <v>11</v>
      </c>
      <c r="B14" s="30">
        <v>80.999999999999986</v>
      </c>
      <c r="C14" s="30">
        <v>7.3636363636363624</v>
      </c>
      <c r="D14" s="35">
        <v>1.9090909090909092</v>
      </c>
      <c r="E14" s="31">
        <v>0.36363636363636365</v>
      </c>
      <c r="F14" s="31">
        <v>0.27272727272727271</v>
      </c>
      <c r="G14" s="31">
        <v>0.28421052631578947</v>
      </c>
      <c r="H14" s="31">
        <v>0.16842105263157894</v>
      </c>
      <c r="I14" s="32">
        <v>10062.962962962964</v>
      </c>
      <c r="J14" s="32">
        <v>-6956.25</v>
      </c>
      <c r="K14" s="31">
        <v>0</v>
      </c>
      <c r="L14" s="31">
        <v>0.4</v>
      </c>
      <c r="M14" s="31">
        <v>0.10526315789473684</v>
      </c>
      <c r="N14" s="31">
        <v>0.44736842105263158</v>
      </c>
      <c r="O14" s="31">
        <v>0.6</v>
      </c>
      <c r="P14" s="31">
        <v>0.37037037037037035</v>
      </c>
    </row>
    <row r="15" spans="1:17" x14ac:dyDescent="0.4">
      <c r="A15" s="33">
        <v>12</v>
      </c>
      <c r="B15" s="30">
        <v>116.29999999999998</v>
      </c>
      <c r="C15" s="30">
        <v>9.6916666666666647</v>
      </c>
      <c r="D15" s="35">
        <v>1.8333333333333333</v>
      </c>
      <c r="E15" s="31">
        <v>0.41666666666666669</v>
      </c>
      <c r="F15" s="31">
        <v>0.25</v>
      </c>
      <c r="G15" s="31">
        <v>0.29126213592233008</v>
      </c>
      <c r="H15" s="31">
        <v>0.1553398058252427</v>
      </c>
      <c r="I15" s="32">
        <v>9763.3333333333339</v>
      </c>
      <c r="J15" s="32">
        <v>-6956.25</v>
      </c>
      <c r="K15" s="31">
        <v>0</v>
      </c>
      <c r="L15" s="31">
        <v>0.41747572815533979</v>
      </c>
      <c r="M15" s="31">
        <v>9.7087378640776698E-2</v>
      </c>
      <c r="N15" s="31">
        <v>0.46511627906976744</v>
      </c>
      <c r="O15" s="31">
        <v>0.6</v>
      </c>
      <c r="P15" s="31">
        <v>0.33333333333333331</v>
      </c>
    </row>
    <row r="16" spans="1:17" x14ac:dyDescent="0.4">
      <c r="A16" s="33">
        <v>13</v>
      </c>
      <c r="B16" s="30">
        <v>191.7</v>
      </c>
      <c r="C16" s="30">
        <v>14.746153846153845</v>
      </c>
      <c r="D16" s="35">
        <v>1.7692307692307692</v>
      </c>
      <c r="E16" s="31">
        <v>0.46153846153846156</v>
      </c>
      <c r="F16" s="31">
        <v>0.23076923076923078</v>
      </c>
      <c r="G16" s="31">
        <v>0.30088495575221241</v>
      </c>
      <c r="H16" s="31">
        <v>0.1415929203539823</v>
      </c>
      <c r="I16" s="32">
        <v>10261.764705882353</v>
      </c>
      <c r="J16" s="32">
        <v>-6956.25</v>
      </c>
      <c r="K16" s="31">
        <v>0</v>
      </c>
      <c r="L16" s="31">
        <v>0.4247787610619469</v>
      </c>
      <c r="M16" s="31">
        <v>9.7345132743362831E-2</v>
      </c>
      <c r="N16" s="31">
        <v>0.5</v>
      </c>
      <c r="O16" s="31">
        <v>0.54545454545454541</v>
      </c>
      <c r="P16" s="31">
        <v>0.3235294117647059</v>
      </c>
    </row>
    <row r="17" spans="1:16" x14ac:dyDescent="0.4">
      <c r="A17" s="33">
        <v>14</v>
      </c>
      <c r="B17" s="30">
        <v>244.7</v>
      </c>
      <c r="C17" s="30">
        <v>17.478571428571428</v>
      </c>
      <c r="D17" s="35">
        <v>1.7142857142857142</v>
      </c>
      <c r="E17" s="31">
        <v>0.5</v>
      </c>
      <c r="F17" s="31">
        <v>0.21428571428571427</v>
      </c>
      <c r="G17" s="31">
        <v>0.30894308943089432</v>
      </c>
      <c r="H17" s="31">
        <v>0.13821138211382114</v>
      </c>
      <c r="I17" s="32">
        <v>10071.052631578947</v>
      </c>
      <c r="J17" s="32">
        <v>-6623.5294117647063</v>
      </c>
      <c r="K17" s="31">
        <v>0</v>
      </c>
      <c r="L17" s="31">
        <v>0.42276422764227645</v>
      </c>
      <c r="M17" s="31">
        <v>0.12195121951219512</v>
      </c>
      <c r="N17" s="31">
        <v>0.48076923076923078</v>
      </c>
      <c r="O17" s="31">
        <v>0.6</v>
      </c>
      <c r="P17" s="31">
        <v>0.36842105263157893</v>
      </c>
    </row>
    <row r="18" spans="1:16" x14ac:dyDescent="0.4">
      <c r="A18" s="33">
        <v>15</v>
      </c>
      <c r="B18" s="30">
        <v>278.59999999999997</v>
      </c>
      <c r="C18" s="30">
        <v>18.573333333333331</v>
      </c>
      <c r="D18" s="35">
        <v>1.6666666666666667</v>
      </c>
      <c r="E18" s="31">
        <v>0.53333333333333333</v>
      </c>
      <c r="F18" s="31">
        <v>0.2</v>
      </c>
      <c r="G18" s="31">
        <v>0.31060606060606061</v>
      </c>
      <c r="H18" s="31">
        <v>0.12878787878787878</v>
      </c>
      <c r="I18" s="32">
        <v>9765.8536585365855</v>
      </c>
      <c r="J18" s="32">
        <v>-6623.5294117647063</v>
      </c>
      <c r="K18" s="31">
        <v>0</v>
      </c>
      <c r="L18" s="31">
        <v>0.41666666666666669</v>
      </c>
      <c r="M18" s="31">
        <v>0.12121212121212122</v>
      </c>
      <c r="N18" s="31">
        <v>0.49090909090909091</v>
      </c>
      <c r="O18" s="31">
        <v>0.625</v>
      </c>
      <c r="P18" s="31">
        <v>0.34146341463414637</v>
      </c>
    </row>
    <row r="19" spans="1:16" x14ac:dyDescent="0.4">
      <c r="A19" s="33">
        <v>16</v>
      </c>
      <c r="B19" s="30">
        <v>247.79999999999995</v>
      </c>
      <c r="C19" s="30">
        <v>15.487499999999997</v>
      </c>
      <c r="D19" s="35">
        <v>1.75</v>
      </c>
      <c r="E19" s="31">
        <v>0.5</v>
      </c>
      <c r="F19" s="31">
        <v>0.25</v>
      </c>
      <c r="G19" s="31">
        <v>0.30215827338129497</v>
      </c>
      <c r="H19" s="31">
        <v>0.12949640287769784</v>
      </c>
      <c r="I19" s="32">
        <v>9819.0476190476184</v>
      </c>
      <c r="J19" s="32">
        <v>-6922.2222222222226</v>
      </c>
      <c r="K19" s="31">
        <v>0</v>
      </c>
      <c r="L19" s="31">
        <v>0.41726618705035973</v>
      </c>
      <c r="M19" s="31">
        <v>0.11510791366906475</v>
      </c>
      <c r="N19" s="31">
        <v>0.48275862068965519</v>
      </c>
      <c r="O19" s="31">
        <v>0.625</v>
      </c>
      <c r="P19" s="31">
        <v>0.35714285714285715</v>
      </c>
    </row>
    <row r="20" spans="1:16" x14ac:dyDescent="0.4">
      <c r="A20" s="33">
        <v>17</v>
      </c>
      <c r="B20" s="30">
        <v>298.79999999999995</v>
      </c>
      <c r="C20" s="30">
        <v>17.576470588235292</v>
      </c>
      <c r="D20" s="35">
        <v>1.7058823529411764</v>
      </c>
      <c r="E20" s="31">
        <v>0.52941176470588236</v>
      </c>
      <c r="F20" s="31">
        <v>0.23529411764705882</v>
      </c>
      <c r="G20" s="31">
        <v>0.30985915492957744</v>
      </c>
      <c r="H20" s="31">
        <v>0.12676056338028169</v>
      </c>
      <c r="I20" s="32">
        <v>10054.545454545454</v>
      </c>
      <c r="J20" s="32">
        <v>-6922.2222222222226</v>
      </c>
      <c r="K20" s="31">
        <v>0</v>
      </c>
      <c r="L20" s="31">
        <v>0.41549295774647887</v>
      </c>
      <c r="M20" s="31">
        <v>0.11971830985915492</v>
      </c>
      <c r="N20" s="31">
        <v>0.49152542372881358</v>
      </c>
      <c r="O20" s="31">
        <v>0.6470588235294118</v>
      </c>
      <c r="P20" s="31">
        <v>0.36363636363636365</v>
      </c>
    </row>
    <row r="21" spans="1:16" x14ac:dyDescent="0.4">
      <c r="A21" s="33">
        <v>18</v>
      </c>
      <c r="B21" s="30">
        <v>327.79999999999995</v>
      </c>
      <c r="C21" s="30">
        <v>18.211111111111109</v>
      </c>
      <c r="D21" s="35">
        <v>1.6666666666666667</v>
      </c>
      <c r="E21" s="31">
        <v>0.55555555555555558</v>
      </c>
      <c r="F21" s="31">
        <v>0.22222222222222221</v>
      </c>
      <c r="G21" s="31">
        <v>0.31543624161073824</v>
      </c>
      <c r="H21" s="31">
        <v>0.12080536912751678</v>
      </c>
      <c r="I21" s="32">
        <v>9710.6382978723395</v>
      </c>
      <c r="J21" s="32">
        <v>-6922.2222222222226</v>
      </c>
      <c r="K21" s="31">
        <v>0</v>
      </c>
      <c r="L21" s="31">
        <v>0.41610738255033558</v>
      </c>
      <c r="M21" s="31">
        <v>0.12751677852348994</v>
      </c>
      <c r="N21" s="31">
        <v>0.5</v>
      </c>
      <c r="O21" s="31">
        <v>0.57894736842105265</v>
      </c>
      <c r="P21" s="31">
        <v>0.36170212765957449</v>
      </c>
    </row>
    <row r="22" spans="1:16" x14ac:dyDescent="0.4">
      <c r="A22" s="33">
        <v>19</v>
      </c>
      <c r="B22" s="30">
        <v>347.49999999999994</v>
      </c>
      <c r="C22" s="30">
        <v>18.289473684210524</v>
      </c>
      <c r="D22" s="35">
        <v>1.6842105263157894</v>
      </c>
      <c r="E22" s="31">
        <v>0.52631578947368418</v>
      </c>
      <c r="F22" s="31">
        <v>0.21052631578947367</v>
      </c>
      <c r="G22" s="31">
        <v>0.32258064516129031</v>
      </c>
      <c r="H22" s="31">
        <v>0.11612903225806452</v>
      </c>
      <c r="I22" s="32">
        <v>9608</v>
      </c>
      <c r="J22" s="32">
        <v>-6922.2222222222226</v>
      </c>
      <c r="K22" s="31">
        <v>0</v>
      </c>
      <c r="L22" s="31">
        <v>0.41935483870967744</v>
      </c>
      <c r="M22" s="31">
        <v>0.12903225806451613</v>
      </c>
      <c r="N22" s="31">
        <v>0.52307692307692311</v>
      </c>
      <c r="O22" s="31">
        <v>0.55000000000000004</v>
      </c>
      <c r="P22" s="31">
        <v>0.38</v>
      </c>
    </row>
    <row r="23" spans="1:16" x14ac:dyDescent="0.4">
      <c r="A23" s="33">
        <v>20</v>
      </c>
      <c r="B23" s="30">
        <v>354.69999999999993</v>
      </c>
      <c r="C23" s="30">
        <v>17.734999999999996</v>
      </c>
      <c r="D23" s="35">
        <v>1.7</v>
      </c>
      <c r="E23" s="31">
        <v>0.5</v>
      </c>
      <c r="F23" s="31">
        <v>0.2</v>
      </c>
      <c r="G23" s="31">
        <v>0.31736526946107785</v>
      </c>
      <c r="H23" s="31">
        <v>0.11377245508982035</v>
      </c>
      <c r="I23" s="32">
        <v>9566.0377358490568</v>
      </c>
      <c r="J23" s="32">
        <v>-7189.4736842105267</v>
      </c>
      <c r="K23" s="31">
        <v>0</v>
      </c>
      <c r="L23" s="31">
        <v>0.41916167664670656</v>
      </c>
      <c r="M23" s="31">
        <v>0.1317365269461078</v>
      </c>
      <c r="N23" s="31">
        <v>0.52857142857142858</v>
      </c>
      <c r="O23" s="31">
        <v>0.5</v>
      </c>
      <c r="P23" s="31">
        <v>0.37735849056603776</v>
      </c>
    </row>
    <row r="24" spans="1:16" x14ac:dyDescent="0.4">
      <c r="A24" s="33">
        <v>21</v>
      </c>
      <c r="B24" s="30">
        <v>297.29999999999995</v>
      </c>
      <c r="C24" s="30">
        <v>14.157142857142855</v>
      </c>
      <c r="D24" s="35">
        <v>1.7619047619047619</v>
      </c>
      <c r="E24" s="31">
        <v>0.47619047619047616</v>
      </c>
      <c r="F24" s="31">
        <v>0.23809523809523808</v>
      </c>
      <c r="G24" s="31">
        <v>0.31034482758620691</v>
      </c>
      <c r="H24" s="31">
        <v>0.11494252873563218</v>
      </c>
      <c r="I24" s="32">
        <v>9461.1111111111113</v>
      </c>
      <c r="J24" s="32">
        <v>-8030</v>
      </c>
      <c r="K24" s="31">
        <v>4.7619047619047616E-2</v>
      </c>
      <c r="L24" s="31">
        <v>0.40804597701149425</v>
      </c>
      <c r="M24" s="31">
        <v>0.13218390804597702</v>
      </c>
      <c r="N24" s="31">
        <v>0.52112676056338025</v>
      </c>
      <c r="O24" s="31">
        <v>0.52173913043478259</v>
      </c>
      <c r="P24" s="31">
        <v>0.37037037037037035</v>
      </c>
    </row>
    <row r="25" spans="1:16" x14ac:dyDescent="0.4">
      <c r="A25" s="33">
        <v>22</v>
      </c>
      <c r="B25" s="30">
        <v>331.49999999999994</v>
      </c>
      <c r="C25" s="30">
        <v>15.068181818181815</v>
      </c>
      <c r="D25" s="35">
        <v>1.7272727272727273</v>
      </c>
      <c r="E25" s="31">
        <v>0.5</v>
      </c>
      <c r="F25" s="31">
        <v>0.22727272727272727</v>
      </c>
      <c r="G25" s="31">
        <v>0.31182795698924731</v>
      </c>
      <c r="H25" s="31">
        <v>0.11827956989247312</v>
      </c>
      <c r="I25" s="32">
        <v>9524.1379310344819</v>
      </c>
      <c r="J25" s="32">
        <v>-7886.363636363636</v>
      </c>
      <c r="K25" s="31">
        <v>4.5454545454545456E-2</v>
      </c>
      <c r="L25" s="31">
        <v>0.40322580645161288</v>
      </c>
      <c r="M25" s="31">
        <v>0.13440860215053763</v>
      </c>
      <c r="N25" s="31">
        <v>0.52</v>
      </c>
      <c r="O25" s="31">
        <v>0.52</v>
      </c>
      <c r="P25" s="31">
        <v>0.37931034482758619</v>
      </c>
    </row>
    <row r="26" spans="1:16" x14ac:dyDescent="0.4">
      <c r="A26" s="33">
        <v>23</v>
      </c>
      <c r="B26" s="30">
        <v>283.39999999999992</v>
      </c>
      <c r="C26" s="30">
        <v>12.321739130434779</v>
      </c>
      <c r="D26" s="35">
        <v>1.7826086956521738</v>
      </c>
      <c r="E26" s="31">
        <v>0.47826086956521741</v>
      </c>
      <c r="F26" s="31">
        <v>0.2608695652173913</v>
      </c>
      <c r="G26" s="31">
        <v>0.31088082901554404</v>
      </c>
      <c r="H26" s="31">
        <v>0.12435233160621761</v>
      </c>
      <c r="I26" s="32">
        <v>9338.3333333333339</v>
      </c>
      <c r="J26" s="32">
        <v>-8395.8333333333339</v>
      </c>
      <c r="K26" s="31">
        <v>4.3478260869565216E-2</v>
      </c>
      <c r="L26" s="31">
        <v>0.40932642487046633</v>
      </c>
      <c r="M26" s="31">
        <v>0.12953367875647667</v>
      </c>
      <c r="N26" s="31">
        <v>0.51898734177215189</v>
      </c>
      <c r="O26" s="31">
        <v>0.52</v>
      </c>
      <c r="P26" s="31">
        <v>0.38333333333333336</v>
      </c>
    </row>
    <row r="27" spans="1:16" x14ac:dyDescent="0.4">
      <c r="A27" s="33">
        <v>24</v>
      </c>
      <c r="B27" s="30">
        <v>273.59999999999991</v>
      </c>
      <c r="C27" s="30">
        <v>11.399999999999997</v>
      </c>
      <c r="D27" s="35">
        <v>1.7916666666666667</v>
      </c>
      <c r="E27" s="31">
        <v>0.45833333333333331</v>
      </c>
      <c r="F27" s="31">
        <v>0.25</v>
      </c>
      <c r="G27" s="31">
        <v>0.31527093596059114</v>
      </c>
      <c r="H27" s="31">
        <v>0.13300492610837439</v>
      </c>
      <c r="I27" s="32">
        <v>9254.6875</v>
      </c>
      <c r="J27" s="32">
        <v>-8844.4444444444453</v>
      </c>
      <c r="K27" s="31">
        <v>4.1666666666666664E-2</v>
      </c>
      <c r="L27" s="31">
        <v>0.39408866995073893</v>
      </c>
      <c r="M27" s="31">
        <v>0.13793103448275862</v>
      </c>
      <c r="N27" s="31">
        <v>0.51249999999999996</v>
      </c>
      <c r="O27" s="31">
        <v>0.5357142857142857</v>
      </c>
      <c r="P27" s="31">
        <v>0.390625</v>
      </c>
    </row>
    <row r="28" spans="1:16" x14ac:dyDescent="0.4">
      <c r="A28" s="33">
        <v>25</v>
      </c>
      <c r="B28" s="30">
        <v>323.39999999999992</v>
      </c>
      <c r="C28" s="30">
        <v>12.935999999999996</v>
      </c>
      <c r="D28" s="35">
        <v>1.76</v>
      </c>
      <c r="E28" s="31">
        <v>0.48</v>
      </c>
      <c r="F28" s="31">
        <v>0.24</v>
      </c>
      <c r="G28" s="31">
        <v>0.32380952380952382</v>
      </c>
      <c r="H28" s="31">
        <v>0.1380952380952381</v>
      </c>
      <c r="I28" s="32">
        <v>9369.1176470588234</v>
      </c>
      <c r="J28" s="32">
        <v>-8786.2068965517246</v>
      </c>
      <c r="K28" s="31">
        <v>0.04</v>
      </c>
      <c r="L28" s="31">
        <v>0.39047619047619048</v>
      </c>
      <c r="M28" s="31">
        <v>0.14761904761904762</v>
      </c>
      <c r="N28" s="31">
        <v>0.52439024390243905</v>
      </c>
      <c r="O28" s="31">
        <v>0.54838709677419351</v>
      </c>
      <c r="P28" s="31">
        <v>0.41176470588235292</v>
      </c>
    </row>
    <row r="29" spans="1:16" x14ac:dyDescent="0.4">
      <c r="A29" s="33">
        <v>26</v>
      </c>
      <c r="B29" s="30">
        <v>377.59999999999991</v>
      </c>
      <c r="C29" s="30">
        <v>14.523076923076919</v>
      </c>
      <c r="D29" s="35">
        <v>1.7307692307692308</v>
      </c>
      <c r="E29" s="31">
        <v>0.5</v>
      </c>
      <c r="F29" s="31">
        <v>0.23076923076923078</v>
      </c>
      <c r="G29" s="31">
        <v>0.32727272727272727</v>
      </c>
      <c r="H29" s="31">
        <v>0.13181818181818181</v>
      </c>
      <c r="I29" s="32">
        <v>9504.1666666666661</v>
      </c>
      <c r="J29" s="32">
        <v>-8786.2068965517246</v>
      </c>
      <c r="K29" s="31">
        <v>3.8461538461538464E-2</v>
      </c>
      <c r="L29" s="31">
        <v>0.38636363636363635</v>
      </c>
      <c r="M29" s="31">
        <v>0.15</v>
      </c>
      <c r="N29" s="31">
        <v>0.54117647058823526</v>
      </c>
      <c r="O29" s="31">
        <v>0.54545454545454541</v>
      </c>
      <c r="P29" s="31">
        <v>0.43055555555555558</v>
      </c>
    </row>
    <row r="30" spans="1:16" x14ac:dyDescent="0.4">
      <c r="A30" s="33">
        <v>27</v>
      </c>
      <c r="B30" s="30">
        <v>354.59999999999991</v>
      </c>
      <c r="C30" s="30">
        <v>13.133333333333329</v>
      </c>
      <c r="D30" s="35">
        <v>1.7407407407407407</v>
      </c>
      <c r="E30" s="31">
        <v>0.48148148148148145</v>
      </c>
      <c r="F30" s="31">
        <v>0.22222222222222221</v>
      </c>
      <c r="G30" s="31">
        <v>0.31578947368421051</v>
      </c>
      <c r="H30" s="31">
        <v>0.13157894736842105</v>
      </c>
      <c r="I30" s="32">
        <v>9504.1666666666661</v>
      </c>
      <c r="J30" s="32">
        <v>-8760</v>
      </c>
      <c r="K30" s="31">
        <v>3.7037037037037035E-2</v>
      </c>
      <c r="L30" s="31">
        <v>0.37719298245614036</v>
      </c>
      <c r="M30" s="31">
        <v>0.14473684210526316</v>
      </c>
      <c r="N30" s="31">
        <v>0.53488372093023251</v>
      </c>
      <c r="O30" s="31">
        <v>0.54545454545454541</v>
      </c>
      <c r="P30" s="31">
        <v>0.43055555555555558</v>
      </c>
    </row>
    <row r="31" spans="1:16" x14ac:dyDescent="0.4">
      <c r="A31" s="33">
        <v>28</v>
      </c>
      <c r="B31" s="30">
        <v>314.19999999999993</v>
      </c>
      <c r="C31" s="30">
        <v>11.22142857142857</v>
      </c>
      <c r="D31" s="35">
        <v>1.7857142857142858</v>
      </c>
      <c r="E31" s="31">
        <v>0.4642857142857143</v>
      </c>
      <c r="F31" s="31">
        <v>0.25</v>
      </c>
      <c r="G31" s="31">
        <v>0.31063829787234043</v>
      </c>
      <c r="H31" s="31">
        <v>0.13617021276595745</v>
      </c>
      <c r="I31" s="32">
        <v>9427.3972602739723</v>
      </c>
      <c r="J31" s="32">
        <v>-8650</v>
      </c>
      <c r="K31" s="31">
        <v>3.5714285714285712E-2</v>
      </c>
      <c r="L31" s="31">
        <v>0.38297872340425532</v>
      </c>
      <c r="M31" s="31">
        <v>0.14468085106382977</v>
      </c>
      <c r="N31" s="31">
        <v>0.52222222222222225</v>
      </c>
      <c r="O31" s="31">
        <v>0.52941176470588236</v>
      </c>
      <c r="P31" s="31">
        <v>0.42465753424657532</v>
      </c>
    </row>
    <row r="32" spans="1:16" x14ac:dyDescent="0.4">
      <c r="A32" s="33">
        <v>29</v>
      </c>
      <c r="B32" s="30">
        <v>310.49999999999994</v>
      </c>
      <c r="C32" s="30">
        <v>10.706896551724135</v>
      </c>
      <c r="D32" s="35">
        <v>1.7931034482758621</v>
      </c>
      <c r="E32" s="31">
        <v>0.44827586206896552</v>
      </c>
      <c r="F32" s="31">
        <v>0.2413793103448276</v>
      </c>
      <c r="G32" s="31">
        <v>0.3048780487804878</v>
      </c>
      <c r="H32" s="31">
        <v>0.13821138211382114</v>
      </c>
      <c r="I32" s="32">
        <v>9442.6666666666661</v>
      </c>
      <c r="J32" s="32">
        <v>-8588.2352941176468</v>
      </c>
      <c r="K32" s="31">
        <v>3.4482758620689655E-2</v>
      </c>
      <c r="L32" s="31">
        <v>0.38211382113821141</v>
      </c>
      <c r="M32" s="31">
        <v>0.13821138211382114</v>
      </c>
      <c r="N32" s="31">
        <v>0.52127659574468088</v>
      </c>
      <c r="O32" s="31">
        <v>0.52941176470588236</v>
      </c>
      <c r="P32" s="31">
        <v>0.44</v>
      </c>
    </row>
    <row r="33" spans="1:16" x14ac:dyDescent="0.4">
      <c r="A33" s="33">
        <v>30</v>
      </c>
      <c r="B33" s="30">
        <v>337.69999999999993</v>
      </c>
      <c r="C33" s="30">
        <v>11.256666666666664</v>
      </c>
      <c r="D33" s="35">
        <v>1.7666666666666666</v>
      </c>
      <c r="E33" s="31">
        <v>0.46666666666666667</v>
      </c>
      <c r="F33" s="31">
        <v>0.23333333333333334</v>
      </c>
      <c r="G33" s="31">
        <v>0.3046875</v>
      </c>
      <c r="H33" s="31">
        <v>0.1328125</v>
      </c>
      <c r="I33" s="32">
        <v>9496.1538461538457</v>
      </c>
      <c r="J33" s="32">
        <v>-8588.2352941176468</v>
      </c>
      <c r="K33" s="31">
        <v>3.3333333333333333E-2</v>
      </c>
      <c r="L33" s="31">
        <v>0.38671875</v>
      </c>
      <c r="M33" s="31">
        <v>0.13671875</v>
      </c>
      <c r="N33" s="31">
        <v>0.51515151515151514</v>
      </c>
      <c r="O33" s="31">
        <v>0.54285714285714282</v>
      </c>
      <c r="P33" s="31">
        <v>0.44871794871794873</v>
      </c>
    </row>
    <row r="34" spans="1:16" x14ac:dyDescent="0.4">
      <c r="A34" s="33">
        <v>31</v>
      </c>
      <c r="B34" s="30">
        <v>325.09999999999991</v>
      </c>
      <c r="C34" s="30">
        <v>10.487096774193546</v>
      </c>
      <c r="D34" s="35">
        <v>1.7741935483870968</v>
      </c>
      <c r="E34" s="31">
        <v>0.45161290322580644</v>
      </c>
      <c r="F34" s="31">
        <v>0.22580645161290322</v>
      </c>
      <c r="G34" s="31">
        <v>0.30188679245283018</v>
      </c>
      <c r="H34" s="31">
        <v>0.13962264150943396</v>
      </c>
      <c r="I34" s="32">
        <v>9458.75</v>
      </c>
      <c r="J34" s="32">
        <v>-8421.6216216216217</v>
      </c>
      <c r="K34" s="31">
        <v>3.2258064516129031E-2</v>
      </c>
      <c r="L34" s="31">
        <v>0.38867924528301889</v>
      </c>
      <c r="M34" s="31">
        <v>0.13584905660377358</v>
      </c>
      <c r="N34" s="31">
        <v>0.5145631067961165</v>
      </c>
      <c r="O34" s="31">
        <v>0.52777777777777779</v>
      </c>
      <c r="P34" s="31">
        <v>0.45</v>
      </c>
    </row>
    <row r="35" spans="1:16" x14ac:dyDescent="0.4">
      <c r="A35" s="33">
        <v>32</v>
      </c>
      <c r="B35" s="30">
        <v>329.7999999999999</v>
      </c>
      <c r="C35" s="30">
        <v>10.306249999999997</v>
      </c>
      <c r="D35" s="35">
        <v>1.78125</v>
      </c>
      <c r="E35" s="31">
        <v>0.4375</v>
      </c>
      <c r="F35" s="31">
        <v>0.21875</v>
      </c>
      <c r="G35" s="31">
        <v>0.30656934306569344</v>
      </c>
      <c r="H35" s="31">
        <v>0.13868613138686131</v>
      </c>
      <c r="I35" s="32">
        <v>9555.9523809523816</v>
      </c>
      <c r="J35" s="32">
        <v>-8515.78947368421</v>
      </c>
      <c r="K35" s="31">
        <v>3.125E-2</v>
      </c>
      <c r="L35" s="31">
        <v>0.3978102189781022</v>
      </c>
      <c r="M35" s="31">
        <v>0.13503649635036497</v>
      </c>
      <c r="N35" s="31">
        <v>0.52293577981651373</v>
      </c>
      <c r="O35" s="31">
        <v>0.51351351351351349</v>
      </c>
      <c r="P35" s="31">
        <v>0.4642857142857143</v>
      </c>
    </row>
    <row r="36" spans="1:16" x14ac:dyDescent="0.4">
      <c r="A36" s="33">
        <v>33</v>
      </c>
      <c r="B36" s="30">
        <v>323.7999999999999</v>
      </c>
      <c r="C36" s="30">
        <v>9.8121212121212089</v>
      </c>
      <c r="D36" s="35">
        <v>1.7878787878787878</v>
      </c>
      <c r="E36" s="31">
        <v>0.42424242424242425</v>
      </c>
      <c r="F36" s="31">
        <v>0.21212121212121213</v>
      </c>
      <c r="G36" s="31">
        <v>0.30175438596491228</v>
      </c>
      <c r="H36" s="31">
        <v>0.14736842105263157</v>
      </c>
      <c r="I36" s="32">
        <v>9612.790697674418</v>
      </c>
      <c r="J36" s="32">
        <v>-8104.7619047619046</v>
      </c>
      <c r="K36" s="31">
        <v>3.0303030303030304E-2</v>
      </c>
      <c r="L36" s="31">
        <v>0.40350877192982454</v>
      </c>
      <c r="M36" s="31">
        <v>0.14035087719298245</v>
      </c>
      <c r="N36" s="31">
        <v>0.5130434782608696</v>
      </c>
      <c r="O36" s="31">
        <v>0.47499999999999998</v>
      </c>
      <c r="P36" s="31">
        <v>0.46511627906976744</v>
      </c>
    </row>
    <row r="37" spans="1:16" x14ac:dyDescent="0.4">
      <c r="A37" s="33">
        <v>34</v>
      </c>
      <c r="B37" s="30">
        <v>290.69999999999987</v>
      </c>
      <c r="C37" s="30">
        <v>8.5499999999999972</v>
      </c>
      <c r="D37" s="35">
        <v>1.8235294117647058</v>
      </c>
      <c r="E37" s="31">
        <v>0.41176470588235292</v>
      </c>
      <c r="F37" s="31">
        <v>0.23529411764705882</v>
      </c>
      <c r="G37" s="31">
        <v>0.30303030303030304</v>
      </c>
      <c r="H37" s="31">
        <v>0.14814814814814814</v>
      </c>
      <c r="I37" s="32">
        <v>9450</v>
      </c>
      <c r="J37" s="32">
        <v>-8000</v>
      </c>
      <c r="K37" s="31">
        <v>2.9411764705882353E-2</v>
      </c>
      <c r="L37" s="31">
        <v>0.40067340067340068</v>
      </c>
      <c r="M37" s="31">
        <v>0.13804713804713806</v>
      </c>
      <c r="N37" s="31">
        <v>0.52100840336134457</v>
      </c>
      <c r="O37" s="31">
        <v>0.46341463414634149</v>
      </c>
      <c r="P37" s="31">
        <v>0.46666666666666667</v>
      </c>
    </row>
    <row r="38" spans="1:16" x14ac:dyDescent="0.4">
      <c r="A38" s="33">
        <v>35</v>
      </c>
      <c r="B38" s="30">
        <v>293.49999999999989</v>
      </c>
      <c r="C38" s="30">
        <v>8.3857142857142826</v>
      </c>
      <c r="D38" s="35">
        <v>1.8285714285714285</v>
      </c>
      <c r="E38" s="31">
        <v>0.4</v>
      </c>
      <c r="F38" s="31">
        <v>0.22857142857142856</v>
      </c>
      <c r="G38" s="31">
        <v>0.29870129870129869</v>
      </c>
      <c r="H38" s="31">
        <v>0.14935064935064934</v>
      </c>
      <c r="I38" s="32">
        <v>9570.652173913044</v>
      </c>
      <c r="J38" s="32">
        <v>-7976.086956521739</v>
      </c>
      <c r="K38" s="31">
        <v>2.8571428571428571E-2</v>
      </c>
      <c r="L38" s="31">
        <v>0.39610389610389612</v>
      </c>
      <c r="M38" s="31">
        <v>0.13636363636363635</v>
      </c>
      <c r="N38" s="31">
        <v>0.51639344262295084</v>
      </c>
      <c r="O38" s="31">
        <v>0.47619047619047616</v>
      </c>
      <c r="P38" s="31">
        <v>0.45652173913043476</v>
      </c>
    </row>
    <row r="39" spans="1:16" x14ac:dyDescent="0.4">
      <c r="A39" s="33">
        <v>36</v>
      </c>
      <c r="B39" s="30">
        <v>236.69999999999987</v>
      </c>
      <c r="C39" s="30">
        <v>6.5749999999999966</v>
      </c>
      <c r="D39" s="35">
        <v>1.8611111111111112</v>
      </c>
      <c r="E39" s="31">
        <v>0.3888888888888889</v>
      </c>
      <c r="F39" s="31">
        <v>0.25</v>
      </c>
      <c r="G39" s="31">
        <v>0.29581993569131831</v>
      </c>
      <c r="H39" s="31">
        <v>0.15755627009646303</v>
      </c>
      <c r="I39" s="32">
        <v>9570.652173913044</v>
      </c>
      <c r="J39" s="32">
        <v>-8157.1428571428569</v>
      </c>
      <c r="K39" s="31">
        <v>5.5555555555555552E-2</v>
      </c>
      <c r="L39" s="31">
        <v>0.39549839228295819</v>
      </c>
      <c r="M39" s="31">
        <v>0.13504823151125403</v>
      </c>
      <c r="N39" s="31">
        <v>0.51219512195121952</v>
      </c>
      <c r="O39" s="31">
        <v>0.47619047619047616</v>
      </c>
      <c r="P39" s="31">
        <v>0.45652173913043476</v>
      </c>
    </row>
    <row r="40" spans="1:16" x14ac:dyDescent="0.4">
      <c r="A40" s="33">
        <v>37</v>
      </c>
      <c r="B40" s="30">
        <v>280.2999999999999</v>
      </c>
      <c r="C40" s="30">
        <v>7.5756756756756731</v>
      </c>
      <c r="D40" s="35">
        <v>1.8378378378378379</v>
      </c>
      <c r="E40" s="31">
        <v>0.40540540540540543</v>
      </c>
      <c r="F40" s="31">
        <v>0.24324324324324326</v>
      </c>
      <c r="G40" s="31">
        <v>0.29375000000000001</v>
      </c>
      <c r="H40" s="31">
        <v>0.15625</v>
      </c>
      <c r="I40" s="32">
        <v>9762.7659574468089</v>
      </c>
      <c r="J40" s="32">
        <v>-8046</v>
      </c>
      <c r="K40" s="31">
        <v>5.4054054054054057E-2</v>
      </c>
      <c r="L40" s="31">
        <v>0.39374999999999999</v>
      </c>
      <c r="M40" s="31">
        <v>0.13437499999999999</v>
      </c>
      <c r="N40" s="31">
        <v>0.51587301587301593</v>
      </c>
      <c r="O40" s="31">
        <v>0.46511627906976744</v>
      </c>
      <c r="P40" s="31">
        <v>0.45744680851063829</v>
      </c>
    </row>
    <row r="41" spans="1:16" x14ac:dyDescent="0.4">
      <c r="A41" s="33">
        <v>38</v>
      </c>
      <c r="B41" s="30">
        <v>272.69999999999987</v>
      </c>
      <c r="C41" s="30">
        <v>7.1763157894736809</v>
      </c>
      <c r="D41" s="35">
        <v>1.8421052631578947</v>
      </c>
      <c r="E41" s="31">
        <v>0.39473684210526316</v>
      </c>
      <c r="F41" s="31">
        <v>0.23684210526315788</v>
      </c>
      <c r="G41" s="31">
        <v>0.29090909090909089</v>
      </c>
      <c r="H41" s="31">
        <v>0.15757575757575756</v>
      </c>
      <c r="I41" s="32">
        <v>9663.5416666666661</v>
      </c>
      <c r="J41" s="32">
        <v>-7886.5384615384619</v>
      </c>
      <c r="K41" s="31">
        <v>5.2631578947368418E-2</v>
      </c>
      <c r="L41" s="31">
        <v>0.39090909090909093</v>
      </c>
      <c r="M41" s="31">
        <v>0.13636363636363635</v>
      </c>
      <c r="N41" s="31">
        <v>0.51162790697674421</v>
      </c>
      <c r="O41" s="31">
        <v>0.46666666666666667</v>
      </c>
      <c r="P41" s="31">
        <v>0.44791666666666669</v>
      </c>
    </row>
    <row r="42" spans="1:16" x14ac:dyDescent="0.4">
      <c r="A42" s="33">
        <v>39</v>
      </c>
      <c r="B42" s="30">
        <v>401.99999999999989</v>
      </c>
      <c r="C42" s="30">
        <v>10.307692307692305</v>
      </c>
      <c r="D42" s="35">
        <v>1.8205128205128205</v>
      </c>
      <c r="E42" s="31">
        <v>0.41025641025641024</v>
      </c>
      <c r="F42" s="31">
        <v>0.23076923076923078</v>
      </c>
      <c r="G42" s="31">
        <v>0.29850746268656714</v>
      </c>
      <c r="H42" s="31">
        <v>0.15522388059701492</v>
      </c>
      <c r="I42" s="32">
        <v>10330</v>
      </c>
      <c r="J42" s="32">
        <v>-7886.5384615384619</v>
      </c>
      <c r="K42" s="31">
        <v>5.128205128205128E-2</v>
      </c>
      <c r="L42" s="31">
        <v>0.39402985074626867</v>
      </c>
      <c r="M42" s="31">
        <v>0.13432835820895522</v>
      </c>
      <c r="N42" s="31">
        <v>0.52272727272727271</v>
      </c>
      <c r="O42" s="31">
        <v>0.46666666666666667</v>
      </c>
      <c r="P42" s="31">
        <v>0.44</v>
      </c>
    </row>
    <row r="43" spans="1:16" x14ac:dyDescent="0.4">
      <c r="A43" s="33">
        <v>40</v>
      </c>
      <c r="B43" s="30">
        <v>394.39999999999986</v>
      </c>
      <c r="C43" s="30">
        <v>9.8599999999999959</v>
      </c>
      <c r="D43" s="35">
        <v>1.825</v>
      </c>
      <c r="E43" s="31">
        <v>0.4</v>
      </c>
      <c r="F43" s="31">
        <v>0.22500000000000001</v>
      </c>
      <c r="G43" s="31">
        <v>0.2947976878612717</v>
      </c>
      <c r="H43" s="31">
        <v>0.15895953757225434</v>
      </c>
      <c r="I43" s="32">
        <v>10296.078431372549</v>
      </c>
      <c r="J43" s="32">
        <v>-7825.454545454545</v>
      </c>
      <c r="K43" s="31">
        <v>0.05</v>
      </c>
      <c r="L43" s="31">
        <v>0.40173410404624277</v>
      </c>
      <c r="M43" s="31">
        <v>0.13294797687861271</v>
      </c>
      <c r="N43" s="31">
        <v>0.51079136690647486</v>
      </c>
      <c r="O43" s="31">
        <v>0.45652173913043476</v>
      </c>
      <c r="P43" s="31">
        <v>0.43137254901960786</v>
      </c>
    </row>
    <row r="44" spans="1:16" x14ac:dyDescent="0.4">
      <c r="A44" s="33">
        <v>41</v>
      </c>
      <c r="B44" s="30">
        <v>359.09999999999985</v>
      </c>
      <c r="C44" s="30">
        <v>8.7585365853658494</v>
      </c>
      <c r="D44" s="35">
        <v>1.8536585365853659</v>
      </c>
      <c r="E44" s="31">
        <v>0.3902439024390244</v>
      </c>
      <c r="F44" s="31">
        <v>0.24390243902439024</v>
      </c>
      <c r="G44" s="31">
        <v>0.29971988795518206</v>
      </c>
      <c r="H44" s="31">
        <v>0.15966386554621848</v>
      </c>
      <c r="I44" s="32">
        <v>9984.1121495327097</v>
      </c>
      <c r="J44" s="32">
        <v>-7838.5964912280706</v>
      </c>
      <c r="K44" s="31">
        <v>4.878048780487805E-2</v>
      </c>
      <c r="L44" s="31">
        <v>0.39775910364145656</v>
      </c>
      <c r="M44" s="31">
        <v>0.13445378151260504</v>
      </c>
      <c r="N44" s="31">
        <v>0.52112676056338025</v>
      </c>
      <c r="O44" s="31">
        <v>0.45833333333333331</v>
      </c>
      <c r="P44" s="31">
        <v>0.41121495327102803</v>
      </c>
    </row>
    <row r="45" spans="1:16" x14ac:dyDescent="0.4">
      <c r="A45" s="33">
        <v>42</v>
      </c>
      <c r="B45" s="30">
        <v>360.29999999999984</v>
      </c>
      <c r="C45" s="30">
        <v>8.5785714285714256</v>
      </c>
      <c r="D45" s="35">
        <v>1.8571428571428572</v>
      </c>
      <c r="E45" s="31">
        <v>0.38095238095238093</v>
      </c>
      <c r="F45" s="31">
        <v>0.23809523809523808</v>
      </c>
      <c r="G45" s="31">
        <v>0.29972752043596729</v>
      </c>
      <c r="H45" s="31">
        <v>0.15803814713896458</v>
      </c>
      <c r="I45" s="32">
        <v>9771.818181818182</v>
      </c>
      <c r="J45" s="32">
        <v>-7748.2758620689656</v>
      </c>
      <c r="K45" s="31">
        <v>4.7619047619047616E-2</v>
      </c>
      <c r="L45" s="31">
        <v>0.39509536784741145</v>
      </c>
      <c r="M45" s="31">
        <v>0.14168937329700274</v>
      </c>
      <c r="N45" s="31">
        <v>0.51724137931034486</v>
      </c>
      <c r="O45" s="31">
        <v>0.46153846153846156</v>
      </c>
      <c r="P45" s="31">
        <v>0.41818181818181815</v>
      </c>
    </row>
    <row r="46" spans="1:16" x14ac:dyDescent="0.4">
      <c r="A46" s="33">
        <v>43</v>
      </c>
      <c r="B46" s="30">
        <v>322.49999999999983</v>
      </c>
      <c r="C46" s="30">
        <v>7.4999999999999964</v>
      </c>
      <c r="D46" s="35">
        <v>1.8837209302325582</v>
      </c>
      <c r="E46" s="31">
        <v>0.37209302325581395</v>
      </c>
      <c r="F46" s="31">
        <v>0.2558139534883721</v>
      </c>
      <c r="G46" s="31">
        <v>0.29521276595744683</v>
      </c>
      <c r="H46" s="31">
        <v>0.15691489361702127</v>
      </c>
      <c r="I46" s="32">
        <v>9727.0270270270266</v>
      </c>
      <c r="J46" s="32">
        <v>-7752.5423728813557</v>
      </c>
      <c r="K46" s="31">
        <v>4.6511627906976744E-2</v>
      </c>
      <c r="L46" s="31">
        <v>0.39893617021276595</v>
      </c>
      <c r="M46" s="31">
        <v>0.14095744680851063</v>
      </c>
      <c r="N46" s="31">
        <v>0.50666666666666671</v>
      </c>
      <c r="O46" s="31">
        <v>0.45283018867924529</v>
      </c>
      <c r="P46" s="31">
        <v>0.4144144144144144</v>
      </c>
    </row>
    <row r="47" spans="1:16" x14ac:dyDescent="0.4">
      <c r="A47" s="33">
        <v>44</v>
      </c>
      <c r="B47" s="30">
        <v>269.79999999999984</v>
      </c>
      <c r="C47" s="30">
        <v>6.1318181818181783</v>
      </c>
      <c r="D47" s="35">
        <v>1.9090909090909092</v>
      </c>
      <c r="E47" s="31">
        <v>0.36363636363636365</v>
      </c>
      <c r="F47" s="31">
        <v>0.27272727272727271</v>
      </c>
      <c r="G47" s="31">
        <v>0.29090909090909089</v>
      </c>
      <c r="H47" s="31">
        <v>0.15844155844155844</v>
      </c>
      <c r="I47" s="32">
        <v>9691.9642857142862</v>
      </c>
      <c r="J47" s="32">
        <v>-7821.311475409836</v>
      </c>
      <c r="K47" s="31">
        <v>4.5454545454545456E-2</v>
      </c>
      <c r="L47" s="31">
        <v>0.40259740259740262</v>
      </c>
      <c r="M47" s="31">
        <v>0.14285714285714285</v>
      </c>
      <c r="N47" s="31">
        <v>0.49032258064516127</v>
      </c>
      <c r="O47" s="31">
        <v>0.45454545454545453</v>
      </c>
      <c r="P47" s="31">
        <v>0.4107142857142857</v>
      </c>
    </row>
    <row r="48" spans="1:16" x14ac:dyDescent="0.4">
      <c r="A48" s="33">
        <v>45</v>
      </c>
      <c r="B48" s="30">
        <v>296.19999999999982</v>
      </c>
      <c r="C48" s="30">
        <v>6.5822222222222182</v>
      </c>
      <c r="D48" s="35">
        <v>1.8888888888888888</v>
      </c>
      <c r="E48" s="31">
        <v>0.37777777777777777</v>
      </c>
      <c r="F48" s="31">
        <v>0.26666666666666666</v>
      </c>
      <c r="G48" s="31">
        <v>0.29336734693877553</v>
      </c>
      <c r="H48" s="31">
        <v>0.16326530612244897</v>
      </c>
      <c r="I48" s="32">
        <v>9636.5217391304341</v>
      </c>
      <c r="J48" s="32">
        <v>-7662.5</v>
      </c>
      <c r="K48" s="31">
        <v>4.4444444444444446E-2</v>
      </c>
      <c r="L48" s="31">
        <v>0.40561224489795916</v>
      </c>
      <c r="M48" s="31">
        <v>0.14030612244897958</v>
      </c>
      <c r="N48" s="31">
        <v>0.49056603773584906</v>
      </c>
      <c r="O48" s="31">
        <v>0.45454545454545453</v>
      </c>
      <c r="P48" s="31">
        <v>0.41739130434782606</v>
      </c>
    </row>
    <row r="49" spans="1:16" x14ac:dyDescent="0.4">
      <c r="A49" s="33">
        <v>46</v>
      </c>
      <c r="B49" s="30">
        <v>308.19999999999982</v>
      </c>
      <c r="C49" s="30">
        <v>6.6999999999999957</v>
      </c>
      <c r="D49" s="35">
        <v>1.8913043478260869</v>
      </c>
      <c r="E49" s="31">
        <v>0.36956521739130432</v>
      </c>
      <c r="F49" s="31">
        <v>0.2608695652173913</v>
      </c>
      <c r="G49" s="31">
        <v>0.29177057356608477</v>
      </c>
      <c r="H49" s="31">
        <v>0.16209476309226933</v>
      </c>
      <c r="I49" s="32">
        <v>9813.6752136752129</v>
      </c>
      <c r="J49" s="32">
        <v>-7667.6923076923076</v>
      </c>
      <c r="K49" s="31">
        <v>4.3478260869565216E-2</v>
      </c>
      <c r="L49" s="31">
        <v>0.40648379052369077</v>
      </c>
      <c r="M49" s="31">
        <v>0.13715710723192021</v>
      </c>
      <c r="N49" s="31">
        <v>0.48466257668711654</v>
      </c>
      <c r="O49" s="31">
        <v>0.45454545454545453</v>
      </c>
      <c r="P49" s="31">
        <v>0.41025641025641024</v>
      </c>
    </row>
    <row r="50" spans="1:16" x14ac:dyDescent="0.4">
      <c r="A50" s="33">
        <v>47</v>
      </c>
      <c r="B50" s="30">
        <v>337.89999999999981</v>
      </c>
      <c r="C50" s="30">
        <v>7.1893617021276555</v>
      </c>
      <c r="D50" s="35">
        <v>1.8723404255319149</v>
      </c>
      <c r="E50" s="31">
        <v>0.38297872340425532</v>
      </c>
      <c r="F50" s="31">
        <v>0.25531914893617019</v>
      </c>
      <c r="G50" s="31">
        <v>0.29411764705882354</v>
      </c>
      <c r="H50" s="31">
        <v>0.16176470588235295</v>
      </c>
      <c r="I50" s="32">
        <v>9765</v>
      </c>
      <c r="J50" s="32">
        <v>-7672.727272727273</v>
      </c>
      <c r="K50" s="31">
        <v>4.2553191489361701E-2</v>
      </c>
      <c r="L50" s="31">
        <v>0.40686274509803921</v>
      </c>
      <c r="M50" s="31">
        <v>0.13725490196078433</v>
      </c>
      <c r="N50" s="31">
        <v>0.48795180722891568</v>
      </c>
      <c r="O50" s="31">
        <v>0.44642857142857145</v>
      </c>
      <c r="P50" s="31">
        <v>0.4</v>
      </c>
    </row>
    <row r="51" spans="1:16" x14ac:dyDescent="0.4">
      <c r="A51" s="33">
        <v>48</v>
      </c>
      <c r="B51" s="30">
        <v>365.49999999999983</v>
      </c>
      <c r="C51" s="30">
        <v>7.6145833333333295</v>
      </c>
      <c r="D51" s="35">
        <v>1.8541666666666667</v>
      </c>
      <c r="E51" s="31">
        <v>0.39583333333333331</v>
      </c>
      <c r="F51" s="31">
        <v>0.25</v>
      </c>
      <c r="G51" s="31">
        <v>0.29397590361445786</v>
      </c>
      <c r="H51" s="31">
        <v>0.15903614457831325</v>
      </c>
      <c r="I51" s="32">
        <v>9798.3606557377043</v>
      </c>
      <c r="J51" s="32">
        <v>-7672.727272727273</v>
      </c>
      <c r="K51" s="31">
        <v>4.1666666666666664E-2</v>
      </c>
      <c r="L51" s="31">
        <v>0.40722891566265063</v>
      </c>
      <c r="M51" s="31">
        <v>0.14216867469879518</v>
      </c>
      <c r="N51" s="31">
        <v>0.48520710059171596</v>
      </c>
      <c r="O51" s="31">
        <v>0.44067796610169491</v>
      </c>
      <c r="P51" s="31">
        <v>0.39344262295081966</v>
      </c>
    </row>
    <row r="52" spans="1:16" x14ac:dyDescent="0.4">
      <c r="A52" s="33">
        <v>49</v>
      </c>
      <c r="B52" s="30">
        <v>383.19999999999982</v>
      </c>
      <c r="C52" s="30">
        <v>7.8204081632653022</v>
      </c>
      <c r="D52" s="35">
        <v>1.8571428571428572</v>
      </c>
      <c r="E52" s="31">
        <v>0.38775510204081631</v>
      </c>
      <c r="F52" s="31">
        <v>0.24489795918367346</v>
      </c>
      <c r="G52" s="31">
        <v>0.29550827423167847</v>
      </c>
      <c r="H52" s="31">
        <v>0.15839243498817968</v>
      </c>
      <c r="I52" s="32">
        <v>9835.2000000000007</v>
      </c>
      <c r="J52" s="32">
        <v>-7601.4925373134329</v>
      </c>
      <c r="K52" s="31">
        <v>4.0816326530612242E-2</v>
      </c>
      <c r="L52" s="31">
        <v>0.40661938534278957</v>
      </c>
      <c r="M52" s="31">
        <v>0.14657210401891252</v>
      </c>
      <c r="N52" s="31">
        <v>0.48837209302325579</v>
      </c>
      <c r="O52" s="31">
        <v>0.43548387096774194</v>
      </c>
      <c r="P52" s="31">
        <v>0.4</v>
      </c>
    </row>
    <row r="53" spans="1:16" x14ac:dyDescent="0.4">
      <c r="A53" s="33">
        <v>50</v>
      </c>
      <c r="B53" s="30">
        <v>430.69999999999982</v>
      </c>
      <c r="C53" s="30">
        <v>8.6139999999999972</v>
      </c>
      <c r="D53" s="35">
        <v>1.84</v>
      </c>
      <c r="E53" s="31">
        <v>0.4</v>
      </c>
      <c r="F53" s="31">
        <v>0.24</v>
      </c>
      <c r="G53" s="31">
        <v>0.29603729603729606</v>
      </c>
      <c r="H53" s="31">
        <v>0.15617715617715619</v>
      </c>
      <c r="I53" s="32">
        <v>9948.031496062993</v>
      </c>
      <c r="J53" s="32">
        <v>-7601.4925373134329</v>
      </c>
      <c r="K53" s="31">
        <v>0.04</v>
      </c>
      <c r="L53" s="31">
        <v>0.40559440559440557</v>
      </c>
      <c r="M53" s="31">
        <v>0.14685314685314685</v>
      </c>
      <c r="N53" s="31">
        <v>0.4942528735632184</v>
      </c>
      <c r="O53" s="31">
        <v>0.42857142857142855</v>
      </c>
      <c r="P53" s="31">
        <v>0.39370078740157483</v>
      </c>
    </row>
    <row r="54" spans="1:16" x14ac:dyDescent="0.4">
      <c r="A54" s="33">
        <v>51</v>
      </c>
      <c r="B54" s="30">
        <v>489.69999999999982</v>
      </c>
      <c r="C54" s="30">
        <v>9.6019607843137216</v>
      </c>
      <c r="D54" s="35">
        <v>1.8235294117647058</v>
      </c>
      <c r="E54" s="31">
        <v>0.41176470588235292</v>
      </c>
      <c r="F54" s="31">
        <v>0.23529411764705882</v>
      </c>
      <c r="G54" s="31">
        <v>0.29953917050691242</v>
      </c>
      <c r="H54" s="31">
        <v>0.15437788018433179</v>
      </c>
      <c r="I54" s="32">
        <v>9990</v>
      </c>
      <c r="J54" s="32">
        <v>-7601.4925373134329</v>
      </c>
      <c r="K54" s="31">
        <v>3.9215686274509803E-2</v>
      </c>
      <c r="L54" s="31">
        <v>0.40783410138248849</v>
      </c>
      <c r="M54" s="31">
        <v>0.14516129032258066</v>
      </c>
      <c r="N54" s="31">
        <v>0.50282485875706218</v>
      </c>
      <c r="O54" s="31">
        <v>0.42857142857142855</v>
      </c>
      <c r="P54" s="31">
        <v>0.4</v>
      </c>
    </row>
    <row r="55" spans="1:16" x14ac:dyDescent="0.4">
      <c r="A55" s="33">
        <v>52</v>
      </c>
      <c r="B55" s="30">
        <v>548.5999999999998</v>
      </c>
      <c r="C55" s="30">
        <v>10.549999999999995</v>
      </c>
      <c r="D55" s="35">
        <v>1.8076923076923077</v>
      </c>
      <c r="E55" s="31">
        <v>0.42307692307692307</v>
      </c>
      <c r="F55" s="31">
        <v>0.23076923076923078</v>
      </c>
      <c r="G55" s="31">
        <v>0.30158730158730157</v>
      </c>
      <c r="H55" s="31">
        <v>0.15192743764172337</v>
      </c>
      <c r="I55" s="32">
        <v>10065.413533834586</v>
      </c>
      <c r="J55" s="32">
        <v>-7601.4925373134329</v>
      </c>
      <c r="K55" s="31">
        <v>3.8461538461538464E-2</v>
      </c>
      <c r="L55" s="31">
        <v>0.40362811791383219</v>
      </c>
      <c r="M55" s="31">
        <v>0.14512471655328799</v>
      </c>
      <c r="N55" s="31">
        <v>0.5056179775280899</v>
      </c>
      <c r="O55" s="31">
        <v>0.4375</v>
      </c>
      <c r="P55" s="31">
        <v>0.39097744360902253</v>
      </c>
    </row>
    <row r="56" spans="1:16" x14ac:dyDescent="0.4">
      <c r="A56" s="33">
        <v>53</v>
      </c>
      <c r="B56" s="30">
        <v>480.39999999999981</v>
      </c>
      <c r="C56" s="30">
        <v>9.0641509433962231</v>
      </c>
      <c r="D56" s="35">
        <v>1.8301886792452831</v>
      </c>
      <c r="E56" s="31">
        <v>0.41509433962264153</v>
      </c>
      <c r="F56" s="31">
        <v>0.24528301886792453</v>
      </c>
      <c r="G56" s="31">
        <v>0.2984409799554566</v>
      </c>
      <c r="H56" s="31">
        <v>0.1492204899777283</v>
      </c>
      <c r="I56" s="32">
        <v>10029.850746268658</v>
      </c>
      <c r="J56" s="32">
        <v>-7601.4925373134329</v>
      </c>
      <c r="K56" s="31">
        <v>5.6603773584905662E-2</v>
      </c>
      <c r="L56" s="31">
        <v>0.40311804008908686</v>
      </c>
      <c r="M56" s="31">
        <v>0.14253897550111358</v>
      </c>
      <c r="N56" s="31">
        <v>0.50276243093922657</v>
      </c>
      <c r="O56" s="31">
        <v>0.4375</v>
      </c>
      <c r="P56" s="31">
        <v>0.39552238805970147</v>
      </c>
    </row>
    <row r="57" spans="1:16" x14ac:dyDescent="0.4">
      <c r="A57" s="33">
        <v>54</v>
      </c>
      <c r="B57" s="30">
        <v>454.39999999999981</v>
      </c>
      <c r="C57" s="30">
        <v>8.414814814814811</v>
      </c>
      <c r="D57" s="35">
        <v>1.8518518518518519</v>
      </c>
      <c r="E57" s="31">
        <v>0.40740740740740738</v>
      </c>
      <c r="F57" s="31">
        <v>0.25925925925925924</v>
      </c>
      <c r="G57" s="31">
        <v>0.29890109890109889</v>
      </c>
      <c r="H57" s="31">
        <v>0.14725274725274726</v>
      </c>
      <c r="I57" s="32">
        <v>10000</v>
      </c>
      <c r="J57" s="32">
        <v>-7601.4925373134329</v>
      </c>
      <c r="K57" s="31">
        <v>5.5555555555555552E-2</v>
      </c>
      <c r="L57" s="31">
        <v>0.4</v>
      </c>
      <c r="M57" s="31">
        <v>0.14505494505494507</v>
      </c>
      <c r="N57" s="31">
        <v>0.5</v>
      </c>
      <c r="O57" s="31">
        <v>0.43939393939393939</v>
      </c>
      <c r="P57" s="31">
        <v>0.40441176470588236</v>
      </c>
    </row>
    <row r="58" spans="1:16" x14ac:dyDescent="0.4">
      <c r="A58" s="33">
        <v>55</v>
      </c>
      <c r="B58" s="30">
        <v>541.5999999999998</v>
      </c>
      <c r="C58" s="30">
        <v>9.8472727272727241</v>
      </c>
      <c r="D58" s="35">
        <v>1.8363636363636364</v>
      </c>
      <c r="E58" s="31">
        <v>0.41818181818181815</v>
      </c>
      <c r="F58" s="31">
        <v>0.25454545454545452</v>
      </c>
      <c r="G58" s="31">
        <v>0.30151843817787416</v>
      </c>
      <c r="H58" s="31">
        <v>0.14533622559652928</v>
      </c>
      <c r="I58" s="32">
        <v>10267.625899280576</v>
      </c>
      <c r="J58" s="32">
        <v>-7601.4925373134329</v>
      </c>
      <c r="K58" s="31">
        <v>5.4545454545454543E-2</v>
      </c>
      <c r="L58" s="31">
        <v>0.39479392624728848</v>
      </c>
      <c r="M58" s="31">
        <v>0.14967462039045554</v>
      </c>
      <c r="N58" s="31">
        <v>0.5</v>
      </c>
      <c r="O58" s="31">
        <v>0.43478260869565216</v>
      </c>
      <c r="P58" s="31">
        <v>0.41007194244604317</v>
      </c>
    </row>
    <row r="59" spans="1:16" x14ac:dyDescent="0.4">
      <c r="A59" s="33">
        <v>56</v>
      </c>
      <c r="B59" s="30">
        <v>537.99999999999977</v>
      </c>
      <c r="C59" s="30">
        <v>9.6071428571428523</v>
      </c>
      <c r="D59" s="35">
        <v>1.8392857142857142</v>
      </c>
      <c r="E59" s="31">
        <v>0.4107142857142857</v>
      </c>
      <c r="F59" s="31">
        <v>0.25</v>
      </c>
      <c r="G59" s="31">
        <v>0.30277185501066101</v>
      </c>
      <c r="H59" s="31">
        <v>0.14498933901918976</v>
      </c>
      <c r="I59" s="32">
        <v>10172.535211267606</v>
      </c>
      <c r="J59" s="32">
        <v>-7525</v>
      </c>
      <c r="K59" s="31">
        <v>5.3571428571428568E-2</v>
      </c>
      <c r="L59" s="31">
        <v>0.39658848614072495</v>
      </c>
      <c r="M59" s="31">
        <v>0.14925373134328357</v>
      </c>
      <c r="N59" s="31">
        <v>0.5053763440860215</v>
      </c>
      <c r="O59" s="31">
        <v>0.42857142857142855</v>
      </c>
      <c r="P59" s="31">
        <v>0.42253521126760563</v>
      </c>
    </row>
    <row r="60" spans="1:16" x14ac:dyDescent="0.4">
      <c r="A60" s="33">
        <v>57</v>
      </c>
      <c r="B60" s="30">
        <v>512.79999999999973</v>
      </c>
      <c r="C60" s="30">
        <v>8.9964912280701714</v>
      </c>
      <c r="D60" s="35">
        <v>1.8421052631578947</v>
      </c>
      <c r="E60" s="31">
        <v>0.40350877192982454</v>
      </c>
      <c r="F60" s="31">
        <v>0.24561403508771928</v>
      </c>
      <c r="G60" s="31">
        <v>0.29937629937629939</v>
      </c>
      <c r="H60" s="31">
        <v>0.14345114345114346</v>
      </c>
      <c r="I60" s="32">
        <v>10192.361111111111</v>
      </c>
      <c r="J60" s="32">
        <v>-7589.855072463768</v>
      </c>
      <c r="K60" s="31">
        <v>5.2631578947368418E-2</v>
      </c>
      <c r="L60" s="31">
        <v>0.39293139293139295</v>
      </c>
      <c r="M60" s="31">
        <v>0.1496881496881497</v>
      </c>
      <c r="N60" s="31">
        <v>0.50793650793650791</v>
      </c>
      <c r="O60" s="31">
        <v>0.41666666666666669</v>
      </c>
      <c r="P60" s="31">
        <v>0.41666666666666669</v>
      </c>
    </row>
    <row r="61" spans="1:16" x14ac:dyDescent="0.4">
      <c r="A61" s="33">
        <v>58</v>
      </c>
      <c r="B61" s="30">
        <v>449.09999999999974</v>
      </c>
      <c r="C61" s="30">
        <v>7.7431034482758578</v>
      </c>
      <c r="D61" s="35">
        <v>1.8620689655172413</v>
      </c>
      <c r="E61" s="31">
        <v>0.39655172413793105</v>
      </c>
      <c r="F61" s="31">
        <v>0.25862068965517243</v>
      </c>
      <c r="G61" s="31">
        <v>0.29531568228105909</v>
      </c>
      <c r="H61" s="31">
        <v>0.14867617107942974</v>
      </c>
      <c r="I61" s="32">
        <v>10131.034482758621</v>
      </c>
      <c r="J61" s="32">
        <v>-7560.2739726027394</v>
      </c>
      <c r="K61" s="31">
        <v>6.8965517241379309E-2</v>
      </c>
      <c r="L61" s="31">
        <v>0.3910386965376782</v>
      </c>
      <c r="M61" s="31">
        <v>0.14867617107942974</v>
      </c>
      <c r="N61" s="31">
        <v>0.50520833333333337</v>
      </c>
      <c r="O61" s="31">
        <v>0.41095890410958902</v>
      </c>
      <c r="P61" s="31">
        <v>0.41379310344827586</v>
      </c>
    </row>
    <row r="62" spans="1:16" x14ac:dyDescent="0.4">
      <c r="A62" s="33">
        <v>59</v>
      </c>
      <c r="B62" s="30">
        <v>418.49999999999972</v>
      </c>
      <c r="C62" s="30">
        <v>7.0932203389830457</v>
      </c>
      <c r="D62" s="35">
        <v>1.8813559322033899</v>
      </c>
      <c r="E62" s="31">
        <v>0.38983050847457629</v>
      </c>
      <c r="F62" s="31">
        <v>0.2711864406779661</v>
      </c>
      <c r="G62" s="31">
        <v>0.29458917835671344</v>
      </c>
      <c r="H62" s="31">
        <v>0.15230460921843689</v>
      </c>
      <c r="I62" s="32">
        <v>10098.639455782313</v>
      </c>
      <c r="J62" s="32">
        <v>-7538.1578947368425</v>
      </c>
      <c r="K62" s="31">
        <v>6.7796610169491525E-2</v>
      </c>
      <c r="L62" s="31">
        <v>0.38677354709418837</v>
      </c>
      <c r="M62" s="31">
        <v>0.15230460921843689</v>
      </c>
      <c r="N62" s="31">
        <v>0.50777202072538863</v>
      </c>
      <c r="O62" s="31">
        <v>0.40789473684210525</v>
      </c>
      <c r="P62" s="31">
        <v>0.41496598639455784</v>
      </c>
    </row>
    <row r="63" spans="1:16" x14ac:dyDescent="0.4">
      <c r="A63" s="33">
        <v>60</v>
      </c>
      <c r="B63" s="30">
        <v>456.1999999999997</v>
      </c>
      <c r="C63" s="30">
        <v>7.6033333333333282</v>
      </c>
      <c r="D63" s="35">
        <v>1.8666666666666667</v>
      </c>
      <c r="E63" s="31">
        <v>0.4</v>
      </c>
      <c r="F63" s="31">
        <v>0.26666666666666666</v>
      </c>
      <c r="G63" s="31">
        <v>0.29607843137254902</v>
      </c>
      <c r="H63" s="31">
        <v>0.14901960784313725</v>
      </c>
      <c r="I63" s="32">
        <v>9976.1589403973503</v>
      </c>
      <c r="J63" s="32">
        <v>-7538.1578947368425</v>
      </c>
      <c r="K63" s="31">
        <v>6.6666666666666666E-2</v>
      </c>
      <c r="L63" s="31">
        <v>0.3843137254901961</v>
      </c>
      <c r="M63" s="31">
        <v>0.15098039215686274</v>
      </c>
      <c r="N63" s="31">
        <v>0.51530612244897955</v>
      </c>
      <c r="O63" s="31">
        <v>0.41558441558441561</v>
      </c>
      <c r="P63" s="31">
        <v>0.41721854304635764</v>
      </c>
    </row>
    <row r="64" spans="1:16" x14ac:dyDescent="0.4">
      <c r="A64" s="33">
        <v>61</v>
      </c>
      <c r="B64" s="30">
        <v>434.09999999999968</v>
      </c>
      <c r="C64" s="30">
        <v>7.1163934426229458</v>
      </c>
      <c r="D64" s="35">
        <v>1.8688524590163935</v>
      </c>
      <c r="E64" s="31">
        <v>0.39344262295081966</v>
      </c>
      <c r="F64" s="31">
        <v>0.26229508196721313</v>
      </c>
      <c r="G64" s="31">
        <v>0.29651162790697677</v>
      </c>
      <c r="H64" s="31">
        <v>0.14922480620155038</v>
      </c>
      <c r="I64" s="32">
        <v>9939.8692810457524</v>
      </c>
      <c r="J64" s="32">
        <v>-7596.1038961038957</v>
      </c>
      <c r="K64" s="31">
        <v>6.5573770491803282E-2</v>
      </c>
      <c r="L64" s="31">
        <v>0.38178294573643412</v>
      </c>
      <c r="M64" s="31">
        <v>0.15116279069767441</v>
      </c>
      <c r="N64" s="31">
        <v>0.51269035532994922</v>
      </c>
      <c r="O64" s="31">
        <v>0.42307692307692307</v>
      </c>
      <c r="P64" s="31">
        <v>0.41176470588235292</v>
      </c>
    </row>
    <row r="65" spans="1:16" x14ac:dyDescent="0.4">
      <c r="A65" s="33">
        <v>62</v>
      </c>
      <c r="B65" s="30">
        <v>389.6999999999997</v>
      </c>
      <c r="C65" s="30">
        <v>6.2854838709677372</v>
      </c>
      <c r="D65" s="35">
        <v>1.8870967741935485</v>
      </c>
      <c r="E65" s="31">
        <v>0.38709677419354838</v>
      </c>
      <c r="F65" s="31">
        <v>0.27419354838709675</v>
      </c>
      <c r="G65" s="31">
        <v>0.2919847328244275</v>
      </c>
      <c r="H65" s="31">
        <v>0.14885496183206107</v>
      </c>
      <c r="I65" s="32">
        <v>9939.8692810457524</v>
      </c>
      <c r="J65" s="32">
        <v>-7652.5641025641025</v>
      </c>
      <c r="K65" s="31">
        <v>6.4516129032258063E-2</v>
      </c>
      <c r="L65" s="31">
        <v>0.37786259541984735</v>
      </c>
      <c r="M65" s="31">
        <v>0.15076335877862596</v>
      </c>
      <c r="N65" s="31">
        <v>0.51010101010101006</v>
      </c>
      <c r="O65" s="31">
        <v>0.41772151898734178</v>
      </c>
      <c r="P65" s="31">
        <v>0.41176470588235292</v>
      </c>
    </row>
    <row r="66" spans="1:16" x14ac:dyDescent="0.4">
      <c r="A66" s="33">
        <v>63</v>
      </c>
      <c r="B66" s="30">
        <v>393.99999999999972</v>
      </c>
      <c r="C66" s="30">
        <v>6.2539682539682495</v>
      </c>
      <c r="D66" s="35">
        <v>1.8888888888888888</v>
      </c>
      <c r="E66" s="31">
        <v>0.38095238095238093</v>
      </c>
      <c r="F66" s="31">
        <v>0.26984126984126983</v>
      </c>
      <c r="G66" s="31">
        <v>0.29080675422138835</v>
      </c>
      <c r="H66" s="31">
        <v>0.14821763602251406</v>
      </c>
      <c r="I66" s="32">
        <v>9992.2580645161288</v>
      </c>
      <c r="J66" s="32">
        <v>-7656.9620253164558</v>
      </c>
      <c r="K66" s="31">
        <v>6.3492063492063489E-2</v>
      </c>
      <c r="L66" s="31">
        <v>0.37523452157598497</v>
      </c>
      <c r="M66" s="31">
        <v>0.15009380863039401</v>
      </c>
      <c r="N66" s="31">
        <v>0.51500000000000001</v>
      </c>
      <c r="O66" s="31">
        <v>0.41249999999999998</v>
      </c>
      <c r="P66" s="31">
        <v>0.41290322580645161</v>
      </c>
    </row>
    <row r="67" spans="1:16" x14ac:dyDescent="0.4">
      <c r="A67" s="33">
        <v>64</v>
      </c>
      <c r="B67" s="30">
        <v>381.39999999999969</v>
      </c>
      <c r="C67" s="30">
        <v>5.9593749999999952</v>
      </c>
      <c r="D67" s="35">
        <v>1.890625</v>
      </c>
      <c r="E67" s="31">
        <v>0.375</v>
      </c>
      <c r="F67" s="31">
        <v>0.265625</v>
      </c>
      <c r="G67" s="31">
        <v>0.28835489833641403</v>
      </c>
      <c r="H67" s="31">
        <v>0.15157116451016636</v>
      </c>
      <c r="I67" s="32">
        <v>10005.128205128205</v>
      </c>
      <c r="J67" s="32">
        <v>-7626.8292682926831</v>
      </c>
      <c r="K67" s="31">
        <v>6.25E-2</v>
      </c>
      <c r="L67" s="31">
        <v>0.37153419593345655</v>
      </c>
      <c r="M67" s="31">
        <v>0.14972273567467653</v>
      </c>
      <c r="N67" s="31">
        <v>0.51741293532338306</v>
      </c>
      <c r="O67" s="31">
        <v>0.40740740740740738</v>
      </c>
      <c r="P67" s="31">
        <v>0.41666666666666669</v>
      </c>
    </row>
    <row r="68" spans="1:16" x14ac:dyDescent="0.4">
      <c r="A68" s="33">
        <v>65</v>
      </c>
      <c r="B68" s="30">
        <v>420.59999999999968</v>
      </c>
      <c r="C68" s="30">
        <v>6.4707692307692257</v>
      </c>
      <c r="D68" s="35">
        <v>1.8769230769230769</v>
      </c>
      <c r="E68" s="31">
        <v>0.38461538461538464</v>
      </c>
      <c r="F68" s="31">
        <v>0.26153846153846155</v>
      </c>
      <c r="G68" s="31">
        <v>0.28623188405797101</v>
      </c>
      <c r="H68" s="31">
        <v>0.14855072463768115</v>
      </c>
      <c r="I68" s="32">
        <v>10081.012658227848</v>
      </c>
      <c r="J68" s="32">
        <v>-7626.8292682926831</v>
      </c>
      <c r="K68" s="31">
        <v>6.1538461538461542E-2</v>
      </c>
      <c r="L68" s="31">
        <v>0.375</v>
      </c>
      <c r="M68" s="31">
        <v>0.15036231884057971</v>
      </c>
      <c r="N68" s="31">
        <v>0.51207729468599039</v>
      </c>
      <c r="O68" s="31">
        <v>0.39759036144578314</v>
      </c>
      <c r="P68" s="31">
        <v>0.41772151898734178</v>
      </c>
    </row>
    <row r="69" spans="1:16" x14ac:dyDescent="0.4">
      <c r="A69" s="33">
        <v>66</v>
      </c>
      <c r="B69" s="30">
        <v>356.49999999999966</v>
      </c>
      <c r="C69" s="30">
        <v>5.4015151515151461</v>
      </c>
      <c r="D69" s="35">
        <v>1.893939393939394</v>
      </c>
      <c r="E69" s="31">
        <v>0.37878787878787878</v>
      </c>
      <c r="F69" s="31">
        <v>0.27272727272727271</v>
      </c>
      <c r="G69" s="31">
        <v>0.28469750889679718</v>
      </c>
      <c r="H69" s="31">
        <v>0.1494661921708185</v>
      </c>
      <c r="I69" s="32">
        <v>10142.5</v>
      </c>
      <c r="J69" s="32">
        <v>-8054.7619047619046</v>
      </c>
      <c r="K69" s="31">
        <v>7.575757575757576E-2</v>
      </c>
      <c r="L69" s="31">
        <v>0.37188612099644131</v>
      </c>
      <c r="M69" s="31">
        <v>0.1512455516014235</v>
      </c>
      <c r="N69" s="31">
        <v>0.51196172248803828</v>
      </c>
      <c r="O69" s="31">
        <v>0.4</v>
      </c>
      <c r="P69" s="31">
        <v>0.42499999999999999</v>
      </c>
    </row>
    <row r="70" spans="1:16" x14ac:dyDescent="0.4">
      <c r="A70" s="33">
        <v>67</v>
      </c>
      <c r="B70" s="30">
        <v>345.49999999999966</v>
      </c>
      <c r="C70" s="30">
        <v>5.1567164179104426</v>
      </c>
      <c r="D70" s="35">
        <v>1.8955223880597014</v>
      </c>
      <c r="E70" s="31">
        <v>0.37313432835820898</v>
      </c>
      <c r="F70" s="31">
        <v>0.26865671641791045</v>
      </c>
      <c r="G70" s="31">
        <v>0.28368794326241137</v>
      </c>
      <c r="H70" s="31">
        <v>0.14893617021276595</v>
      </c>
      <c r="I70" s="32">
        <v>10142.5</v>
      </c>
      <c r="J70" s="32">
        <v>-8054.7619047619046</v>
      </c>
      <c r="K70" s="31">
        <v>7.4626865671641784E-2</v>
      </c>
      <c r="L70" s="31">
        <v>0.37234042553191488</v>
      </c>
      <c r="M70" s="31">
        <v>0.15070921985815602</v>
      </c>
      <c r="N70" s="31">
        <v>0.50952380952380949</v>
      </c>
      <c r="O70" s="31">
        <v>0.4</v>
      </c>
      <c r="P70" s="31">
        <v>0.42499999999999999</v>
      </c>
    </row>
    <row r="71" spans="1:16" x14ac:dyDescent="0.4">
      <c r="A71" s="33">
        <v>68</v>
      </c>
      <c r="B71" s="30">
        <v>374.29999999999967</v>
      </c>
      <c r="C71" s="30">
        <v>5.5044117647058775</v>
      </c>
      <c r="D71" s="35">
        <v>1.8823529411764706</v>
      </c>
      <c r="E71" s="31">
        <v>0.38235294117647056</v>
      </c>
      <c r="F71" s="31">
        <v>0.26470588235294118</v>
      </c>
      <c r="G71" s="31">
        <v>0.28421052631578947</v>
      </c>
      <c r="H71" s="31">
        <v>0.14912280701754385</v>
      </c>
      <c r="I71" s="32">
        <v>10133.333333333334</v>
      </c>
      <c r="J71" s="32">
        <v>-7983.5294117647063</v>
      </c>
      <c r="K71" s="31">
        <v>7.3529411764705885E-2</v>
      </c>
      <c r="L71" s="31">
        <v>0.37017543859649121</v>
      </c>
      <c r="M71" s="31">
        <v>0.14912280701754385</v>
      </c>
      <c r="N71" s="31">
        <v>0.51184834123222744</v>
      </c>
      <c r="O71" s="31">
        <v>0.4</v>
      </c>
      <c r="P71" s="31">
        <v>0.43209876543209874</v>
      </c>
    </row>
    <row r="72" spans="1:16" x14ac:dyDescent="0.4">
      <c r="A72" s="33">
        <v>69</v>
      </c>
      <c r="B72" s="30">
        <v>415.39999999999969</v>
      </c>
      <c r="C72" s="30">
        <v>6.0202898550724591</v>
      </c>
      <c r="D72" s="35">
        <v>1.8695652173913044</v>
      </c>
      <c r="E72" s="31">
        <v>0.39130434782608697</v>
      </c>
      <c r="F72" s="31">
        <v>0.2608695652173913</v>
      </c>
      <c r="G72" s="31">
        <v>0.28596187175043325</v>
      </c>
      <c r="H72" s="31">
        <v>0.14904679376083188</v>
      </c>
      <c r="I72" s="32">
        <v>10107.272727272728</v>
      </c>
      <c r="J72" s="32">
        <v>-7983.7209302325582</v>
      </c>
      <c r="K72" s="31">
        <v>7.2463768115942032E-2</v>
      </c>
      <c r="L72" s="31">
        <v>0.36915077989601386</v>
      </c>
      <c r="M72" s="31">
        <v>0.15077989601386482</v>
      </c>
      <c r="N72" s="31">
        <v>0.51173708920187788</v>
      </c>
      <c r="O72" s="31">
        <v>0.41379310344827586</v>
      </c>
      <c r="P72" s="31">
        <v>0.42424242424242425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1C8EF-0839-4BC8-8CF6-05DECE241F7E}">
  <sheetPr codeName="Sheet12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6.5</v>
      </c>
      <c r="C4" s="30">
        <v>6.5</v>
      </c>
      <c r="D4" s="35">
        <v>2</v>
      </c>
      <c r="E4" s="31">
        <v>0</v>
      </c>
      <c r="F4" s="31">
        <v>0</v>
      </c>
      <c r="G4" s="31">
        <v>0.2</v>
      </c>
      <c r="H4" s="31">
        <v>0</v>
      </c>
      <c r="I4" s="32">
        <v>12000</v>
      </c>
      <c r="J4" s="32">
        <v>0</v>
      </c>
      <c r="K4" s="31">
        <v>0</v>
      </c>
      <c r="L4" s="31">
        <v>0.2</v>
      </c>
      <c r="M4" s="31">
        <v>0</v>
      </c>
      <c r="N4" s="31">
        <v>1</v>
      </c>
      <c r="O4" s="31">
        <v>0</v>
      </c>
      <c r="P4" s="31">
        <v>0</v>
      </c>
    </row>
    <row r="5" spans="1:17" x14ac:dyDescent="0.4">
      <c r="A5" s="33">
        <v>2</v>
      </c>
      <c r="B5" s="30">
        <v>5.9</v>
      </c>
      <c r="C5" s="30">
        <v>2.95</v>
      </c>
      <c r="D5" s="35">
        <v>2</v>
      </c>
      <c r="E5" s="31">
        <v>0</v>
      </c>
      <c r="F5" s="31">
        <v>0</v>
      </c>
      <c r="G5" s="31">
        <v>0.36363636363636365</v>
      </c>
      <c r="H5" s="31">
        <v>0.18181818181818182</v>
      </c>
      <c r="I5" s="32">
        <v>6950</v>
      </c>
      <c r="J5" s="32">
        <v>-7950</v>
      </c>
      <c r="K5" s="31">
        <v>0</v>
      </c>
      <c r="L5" s="31">
        <v>0.36363636363636365</v>
      </c>
      <c r="M5" s="31">
        <v>0</v>
      </c>
      <c r="N5" s="31">
        <v>1</v>
      </c>
      <c r="O5" s="31">
        <v>0</v>
      </c>
      <c r="P5" s="31">
        <v>0</v>
      </c>
    </row>
    <row r="6" spans="1:17" x14ac:dyDescent="0.4">
      <c r="A6" s="33">
        <v>3</v>
      </c>
      <c r="B6" s="30">
        <v>17.200000000000003</v>
      </c>
      <c r="C6" s="30">
        <v>5.7333333333333343</v>
      </c>
      <c r="D6" s="35">
        <v>2</v>
      </c>
      <c r="E6" s="31">
        <v>0</v>
      </c>
      <c r="F6" s="31">
        <v>0</v>
      </c>
      <c r="G6" s="31">
        <v>0.31818181818181818</v>
      </c>
      <c r="H6" s="31">
        <v>0.18181818181818182</v>
      </c>
      <c r="I6" s="32">
        <v>10114.285714285714</v>
      </c>
      <c r="J6" s="32">
        <v>-12975</v>
      </c>
      <c r="K6" s="31">
        <v>0</v>
      </c>
      <c r="L6" s="31">
        <v>0.31818181818181818</v>
      </c>
      <c r="M6" s="31">
        <v>0.13636363636363635</v>
      </c>
      <c r="N6" s="31">
        <v>0.7142857142857143</v>
      </c>
      <c r="O6" s="31">
        <v>0.33333333333333331</v>
      </c>
      <c r="P6" s="31">
        <v>0.14285714285714285</v>
      </c>
    </row>
    <row r="7" spans="1:17" x14ac:dyDescent="0.4">
      <c r="A7" s="33">
        <v>4</v>
      </c>
      <c r="B7" s="30">
        <v>-16.399999999999999</v>
      </c>
      <c r="C7" s="30">
        <v>-4.0999999999999996</v>
      </c>
      <c r="D7" s="35">
        <v>2.25</v>
      </c>
      <c r="E7" s="31">
        <v>0</v>
      </c>
      <c r="F7" s="31">
        <v>0.25</v>
      </c>
      <c r="G7" s="31">
        <v>0.32142857142857145</v>
      </c>
      <c r="H7" s="31">
        <v>0.17857142857142858</v>
      </c>
      <c r="I7" s="32">
        <v>8388.8888888888887</v>
      </c>
      <c r="J7" s="32">
        <v>-11980</v>
      </c>
      <c r="K7" s="31">
        <v>0</v>
      </c>
      <c r="L7" s="31">
        <v>0.32142857142857145</v>
      </c>
      <c r="M7" s="31">
        <v>0.14285714285714285</v>
      </c>
      <c r="N7" s="31">
        <v>0.66666666666666663</v>
      </c>
      <c r="O7" s="31">
        <v>0.25</v>
      </c>
      <c r="P7" s="31">
        <v>0.22222222222222221</v>
      </c>
    </row>
    <row r="8" spans="1:17" x14ac:dyDescent="0.4">
      <c r="A8" s="33">
        <v>5</v>
      </c>
      <c r="B8" s="30">
        <v>-8.7999999999999989</v>
      </c>
      <c r="C8" s="30">
        <v>-1.7599999999999998</v>
      </c>
      <c r="D8" s="35">
        <v>2.2000000000000002</v>
      </c>
      <c r="E8" s="31">
        <v>0</v>
      </c>
      <c r="F8" s="31">
        <v>0.2</v>
      </c>
      <c r="G8" s="31">
        <v>0.34285714285714286</v>
      </c>
      <c r="H8" s="31">
        <v>0.14285714285714285</v>
      </c>
      <c r="I8" s="32">
        <v>7841.666666666667</v>
      </c>
      <c r="J8" s="32">
        <v>-11980</v>
      </c>
      <c r="K8" s="31">
        <v>0</v>
      </c>
      <c r="L8" s="31">
        <v>0.31428571428571428</v>
      </c>
      <c r="M8" s="31">
        <v>0.11428571428571428</v>
      </c>
      <c r="N8" s="31">
        <v>0.72727272727272729</v>
      </c>
      <c r="O8" s="31">
        <v>0.25</v>
      </c>
      <c r="P8" s="31">
        <v>0.16666666666666666</v>
      </c>
    </row>
    <row r="9" spans="1:17" x14ac:dyDescent="0.4">
      <c r="A9" s="33">
        <v>6</v>
      </c>
      <c r="B9" s="30">
        <v>22.1</v>
      </c>
      <c r="C9" s="30">
        <v>3.6833333333333336</v>
      </c>
      <c r="D9" s="35">
        <v>2</v>
      </c>
      <c r="E9" s="31">
        <v>0.16666666666666666</v>
      </c>
      <c r="F9" s="31">
        <v>0.16666666666666666</v>
      </c>
      <c r="G9" s="31">
        <v>0.37777777777777777</v>
      </c>
      <c r="H9" s="31">
        <v>0.13333333333333333</v>
      </c>
      <c r="I9" s="32">
        <v>6805.8823529411766</v>
      </c>
      <c r="J9" s="32">
        <v>-10850</v>
      </c>
      <c r="K9" s="31">
        <v>0</v>
      </c>
      <c r="L9" s="31">
        <v>0.31111111111111112</v>
      </c>
      <c r="M9" s="31">
        <v>0.1111111111111111</v>
      </c>
      <c r="N9" s="31">
        <v>0.7142857142857143</v>
      </c>
      <c r="O9" s="31">
        <v>0.4</v>
      </c>
      <c r="P9" s="31">
        <v>0.23529411764705882</v>
      </c>
    </row>
    <row r="10" spans="1:17" x14ac:dyDescent="0.4">
      <c r="A10" s="33">
        <v>7</v>
      </c>
      <c r="B10" s="30">
        <v>68.900000000000006</v>
      </c>
      <c r="C10" s="30">
        <v>9.8428571428571434</v>
      </c>
      <c r="D10" s="35">
        <v>1.8571428571428572</v>
      </c>
      <c r="E10" s="31">
        <v>0.2857142857142857</v>
      </c>
      <c r="F10" s="31">
        <v>0.14285714285714285</v>
      </c>
      <c r="G10" s="31">
        <v>0.38983050847457629</v>
      </c>
      <c r="H10" s="31">
        <v>0.13559322033898305</v>
      </c>
      <c r="I10" s="32">
        <v>6869.565217391304</v>
      </c>
      <c r="J10" s="32">
        <v>-10637.5</v>
      </c>
      <c r="K10" s="31">
        <v>0</v>
      </c>
      <c r="L10" s="31">
        <v>0.23728813559322035</v>
      </c>
      <c r="M10" s="31">
        <v>0.13559322033898305</v>
      </c>
      <c r="N10" s="31">
        <v>0.7142857142857143</v>
      </c>
      <c r="O10" s="31">
        <v>0.375</v>
      </c>
      <c r="P10" s="31">
        <v>0.34782608695652173</v>
      </c>
    </row>
    <row r="11" spans="1:17" x14ac:dyDescent="0.4">
      <c r="A11" s="33">
        <v>8</v>
      </c>
      <c r="B11" s="30">
        <v>11.300000000000004</v>
      </c>
      <c r="C11" s="30">
        <v>1.4125000000000005</v>
      </c>
      <c r="D11" s="35">
        <v>2</v>
      </c>
      <c r="E11" s="31">
        <v>0.25</v>
      </c>
      <c r="F11" s="31">
        <v>0.25</v>
      </c>
      <c r="G11" s="31">
        <v>0.35384615384615387</v>
      </c>
      <c r="H11" s="31">
        <v>0.13846153846153847</v>
      </c>
      <c r="I11" s="32">
        <v>6869.565217391304</v>
      </c>
      <c r="J11" s="32">
        <v>-10344.444444444445</v>
      </c>
      <c r="K11" s="31">
        <v>0.125</v>
      </c>
      <c r="L11" s="31">
        <v>0.2153846153846154</v>
      </c>
      <c r="M11" s="31">
        <v>0.13846153846153847</v>
      </c>
      <c r="N11" s="31">
        <v>0.7142857142857143</v>
      </c>
      <c r="O11" s="31">
        <v>0.33333333333333331</v>
      </c>
      <c r="P11" s="31">
        <v>0.34782608695652173</v>
      </c>
    </row>
    <row r="12" spans="1:17" x14ac:dyDescent="0.4">
      <c r="A12" s="33">
        <v>9</v>
      </c>
      <c r="B12" s="30">
        <v>-47.599999999999994</v>
      </c>
      <c r="C12" s="30">
        <v>-5.2888888888888879</v>
      </c>
      <c r="D12" s="35">
        <v>2.1111111111111112</v>
      </c>
      <c r="E12" s="31">
        <v>0.22222222222222221</v>
      </c>
      <c r="F12" s="31">
        <v>0.33333333333333331</v>
      </c>
      <c r="G12" s="31">
        <v>0.31578947368421051</v>
      </c>
      <c r="H12" s="31">
        <v>0.13157894736842105</v>
      </c>
      <c r="I12" s="32">
        <v>6908.333333333333</v>
      </c>
      <c r="J12" s="32">
        <v>-10910</v>
      </c>
      <c r="K12" s="31">
        <v>0.22222222222222221</v>
      </c>
      <c r="L12" s="31">
        <v>0.21052631578947367</v>
      </c>
      <c r="M12" s="31">
        <v>0.14473684210526316</v>
      </c>
      <c r="N12" s="31">
        <v>0.6875</v>
      </c>
      <c r="O12" s="31">
        <v>0.27272727272727271</v>
      </c>
      <c r="P12" s="31">
        <v>0.375</v>
      </c>
    </row>
    <row r="13" spans="1:17" x14ac:dyDescent="0.4">
      <c r="A13" s="33">
        <v>10</v>
      </c>
      <c r="B13" s="30">
        <v>-84.6</v>
      </c>
      <c r="C13" s="30">
        <v>-8.4599999999999991</v>
      </c>
      <c r="D13" s="35">
        <v>2.2000000000000002</v>
      </c>
      <c r="E13" s="31">
        <v>0.2</v>
      </c>
      <c r="F13" s="31">
        <v>0.4</v>
      </c>
      <c r="G13" s="31">
        <v>0.29268292682926828</v>
      </c>
      <c r="H13" s="31">
        <v>0.14634146341463414</v>
      </c>
      <c r="I13" s="32">
        <v>6908.333333333333</v>
      </c>
      <c r="J13" s="32">
        <v>-10258.333333333334</v>
      </c>
      <c r="K13" s="31">
        <v>0.2</v>
      </c>
      <c r="L13" s="31">
        <v>0.2073170731707317</v>
      </c>
      <c r="M13" s="31">
        <v>0.15853658536585366</v>
      </c>
      <c r="N13" s="31">
        <v>0.6470588235294118</v>
      </c>
      <c r="O13" s="31">
        <v>0.23076923076923078</v>
      </c>
      <c r="P13" s="31">
        <v>0.375</v>
      </c>
    </row>
    <row r="14" spans="1:17" x14ac:dyDescent="0.4">
      <c r="A14" s="33">
        <v>11</v>
      </c>
      <c r="B14" s="30">
        <v>-128</v>
      </c>
      <c r="C14" s="30">
        <v>-11.636363636363637</v>
      </c>
      <c r="D14" s="35">
        <v>2.2727272727272729</v>
      </c>
      <c r="E14" s="31">
        <v>0.18181818181818182</v>
      </c>
      <c r="F14" s="31">
        <v>0.45454545454545453</v>
      </c>
      <c r="G14" s="31">
        <v>0.3</v>
      </c>
      <c r="H14" s="31">
        <v>0.15555555555555556</v>
      </c>
      <c r="I14" s="32">
        <v>7200</v>
      </c>
      <c r="J14" s="32">
        <v>-11650</v>
      </c>
      <c r="K14" s="31">
        <v>0.18181818181818182</v>
      </c>
      <c r="L14" s="31">
        <v>0.21111111111111111</v>
      </c>
      <c r="M14" s="31">
        <v>0.15555555555555556</v>
      </c>
      <c r="N14" s="31">
        <v>0.68421052631578949</v>
      </c>
      <c r="O14" s="31">
        <v>0.21428571428571427</v>
      </c>
      <c r="P14" s="31">
        <v>0.33333333333333331</v>
      </c>
    </row>
    <row r="15" spans="1:17" x14ac:dyDescent="0.4">
      <c r="A15" s="33">
        <v>12</v>
      </c>
      <c r="B15" s="30">
        <v>-122.3</v>
      </c>
      <c r="C15" s="30">
        <v>-10.191666666666666</v>
      </c>
      <c r="D15" s="35">
        <v>2.25</v>
      </c>
      <c r="E15" s="31">
        <v>0.16666666666666666</v>
      </c>
      <c r="F15" s="31">
        <v>0.41666666666666669</v>
      </c>
      <c r="G15" s="31">
        <v>0.30303030303030304</v>
      </c>
      <c r="H15" s="31">
        <v>0.15151515151515152</v>
      </c>
      <c r="I15" s="32">
        <v>7470</v>
      </c>
      <c r="J15" s="32">
        <v>-10940</v>
      </c>
      <c r="K15" s="31">
        <v>0.16666666666666666</v>
      </c>
      <c r="L15" s="31">
        <v>0.21212121212121213</v>
      </c>
      <c r="M15" s="31">
        <v>0.16161616161616163</v>
      </c>
      <c r="N15" s="31">
        <v>0.7142857142857143</v>
      </c>
      <c r="O15" s="31">
        <v>0.1875</v>
      </c>
      <c r="P15" s="31">
        <v>0.4</v>
      </c>
    </row>
    <row r="16" spans="1:17" x14ac:dyDescent="0.4">
      <c r="A16" s="33">
        <v>13</v>
      </c>
      <c r="B16" s="30">
        <v>-132.5</v>
      </c>
      <c r="C16" s="30">
        <v>-10.192307692307692</v>
      </c>
      <c r="D16" s="35">
        <v>2.2307692307692308</v>
      </c>
      <c r="E16" s="31">
        <v>0.15384615384615385</v>
      </c>
      <c r="F16" s="31">
        <v>0.38461538461538464</v>
      </c>
      <c r="G16" s="31">
        <v>0.30188679245283018</v>
      </c>
      <c r="H16" s="31">
        <v>0.16037735849056603</v>
      </c>
      <c r="I16" s="32">
        <v>7493.75</v>
      </c>
      <c r="J16" s="32">
        <v>-10352.941176470587</v>
      </c>
      <c r="K16" s="31">
        <v>0.15384615384615385</v>
      </c>
      <c r="L16" s="31">
        <v>0.19811320754716982</v>
      </c>
      <c r="M16" s="31">
        <v>0.18867924528301888</v>
      </c>
      <c r="N16" s="31">
        <v>0.7142857142857143</v>
      </c>
      <c r="O16" s="31">
        <v>0.25</v>
      </c>
      <c r="P16" s="31">
        <v>0.4375</v>
      </c>
    </row>
    <row r="17" spans="1:16" x14ac:dyDescent="0.4">
      <c r="A17" s="33">
        <v>14</v>
      </c>
      <c r="B17" s="30">
        <v>-165.5</v>
      </c>
      <c r="C17" s="30">
        <v>-11.821428571428571</v>
      </c>
      <c r="D17" s="35">
        <v>2.2857142857142856</v>
      </c>
      <c r="E17" s="31">
        <v>0.14285714285714285</v>
      </c>
      <c r="F17" s="31">
        <v>0.42857142857142855</v>
      </c>
      <c r="G17" s="31">
        <v>0.29661016949152541</v>
      </c>
      <c r="H17" s="31">
        <v>0.16101694915254236</v>
      </c>
      <c r="I17" s="32">
        <v>7451.4285714285716</v>
      </c>
      <c r="J17" s="32">
        <v>-10089.473684210527</v>
      </c>
      <c r="K17" s="31">
        <v>0.14285714285714285</v>
      </c>
      <c r="L17" s="31">
        <v>0.17796610169491525</v>
      </c>
      <c r="M17" s="31">
        <v>0.19491525423728814</v>
      </c>
      <c r="N17" s="31">
        <v>0.7142857142857143</v>
      </c>
      <c r="O17" s="31">
        <v>0.2608695652173913</v>
      </c>
      <c r="P17" s="31">
        <v>0.45714285714285713</v>
      </c>
    </row>
    <row r="18" spans="1:16" x14ac:dyDescent="0.4">
      <c r="A18" s="33">
        <v>15</v>
      </c>
      <c r="B18" s="30">
        <v>-119.8</v>
      </c>
      <c r="C18" s="30">
        <v>-7.9866666666666664</v>
      </c>
      <c r="D18" s="35">
        <v>2.2000000000000002</v>
      </c>
      <c r="E18" s="31">
        <v>0.2</v>
      </c>
      <c r="F18" s="31">
        <v>0.4</v>
      </c>
      <c r="G18" s="31">
        <v>0.30399999999999999</v>
      </c>
      <c r="H18" s="31">
        <v>0.152</v>
      </c>
      <c r="I18" s="32">
        <v>7705.2631578947367</v>
      </c>
      <c r="J18" s="32">
        <v>-10089.473684210527</v>
      </c>
      <c r="K18" s="31">
        <v>0.13333333333333333</v>
      </c>
      <c r="L18" s="31">
        <v>0.17599999999999999</v>
      </c>
      <c r="M18" s="31">
        <v>0.2</v>
      </c>
      <c r="N18" s="31">
        <v>0.72727272727272729</v>
      </c>
      <c r="O18" s="31">
        <v>0.32</v>
      </c>
      <c r="P18" s="31">
        <v>0.44736842105263158</v>
      </c>
    </row>
    <row r="19" spans="1:16" x14ac:dyDescent="0.4">
      <c r="A19" s="33">
        <v>16</v>
      </c>
      <c r="B19" s="30">
        <v>-171.4</v>
      </c>
      <c r="C19" s="30">
        <v>-10.7125</v>
      </c>
      <c r="D19" s="35">
        <v>2.25</v>
      </c>
      <c r="E19" s="31">
        <v>0.1875</v>
      </c>
      <c r="F19" s="31">
        <v>0.4375</v>
      </c>
      <c r="G19" s="31">
        <v>0.2814814814814815</v>
      </c>
      <c r="H19" s="31">
        <v>0.15555555555555556</v>
      </c>
      <c r="I19" s="32">
        <v>7705.2631578947367</v>
      </c>
      <c r="J19" s="32">
        <v>-9438.0952380952385</v>
      </c>
      <c r="K19" s="31">
        <v>0.125</v>
      </c>
      <c r="L19" s="31">
        <v>0.17777777777777778</v>
      </c>
      <c r="M19" s="31">
        <v>0.19259259259259259</v>
      </c>
      <c r="N19" s="31">
        <v>0.66666666666666663</v>
      </c>
      <c r="O19" s="31">
        <v>0.30769230769230771</v>
      </c>
      <c r="P19" s="31">
        <v>0.44736842105263158</v>
      </c>
    </row>
    <row r="20" spans="1:16" x14ac:dyDescent="0.4">
      <c r="A20" s="33">
        <v>17</v>
      </c>
      <c r="B20" s="30">
        <v>-211.5</v>
      </c>
      <c r="C20" s="30">
        <v>-12.441176470588236</v>
      </c>
      <c r="D20" s="35">
        <v>2.2941176470588234</v>
      </c>
      <c r="E20" s="31">
        <v>0.17647058823529413</v>
      </c>
      <c r="F20" s="31">
        <v>0.47058823529411764</v>
      </c>
      <c r="G20" s="31">
        <v>0.26760563380281688</v>
      </c>
      <c r="H20" s="31">
        <v>0.14788732394366197</v>
      </c>
      <c r="I20" s="32">
        <v>7705.2631578947367</v>
      </c>
      <c r="J20" s="32">
        <v>-9438.0952380952385</v>
      </c>
      <c r="K20" s="31">
        <v>0.11764705882352941</v>
      </c>
      <c r="L20" s="31">
        <v>0.18309859154929578</v>
      </c>
      <c r="M20" s="31">
        <v>0.19014084507042253</v>
      </c>
      <c r="N20" s="31">
        <v>0.61538461538461542</v>
      </c>
      <c r="O20" s="31">
        <v>0.29629629629629628</v>
      </c>
      <c r="P20" s="31">
        <v>0.44736842105263158</v>
      </c>
    </row>
    <row r="21" spans="1:16" x14ac:dyDescent="0.4">
      <c r="A21" s="33">
        <v>18</v>
      </c>
      <c r="B21" s="30">
        <v>-220.6</v>
      </c>
      <c r="C21" s="30">
        <v>-12.255555555555555</v>
      </c>
      <c r="D21" s="35">
        <v>2.2777777777777777</v>
      </c>
      <c r="E21" s="31">
        <v>0.16666666666666666</v>
      </c>
      <c r="F21" s="31">
        <v>0.44444444444444442</v>
      </c>
      <c r="G21" s="31">
        <v>0.27631578947368424</v>
      </c>
      <c r="H21" s="31">
        <v>0.14473684210526316</v>
      </c>
      <c r="I21" s="32">
        <v>7969.0476190476193</v>
      </c>
      <c r="J21" s="32">
        <v>-10100</v>
      </c>
      <c r="K21" s="31">
        <v>0.1111111111111111</v>
      </c>
      <c r="L21" s="31">
        <v>0.19736842105263158</v>
      </c>
      <c r="M21" s="31">
        <v>0.18421052631578946</v>
      </c>
      <c r="N21" s="31">
        <v>0.6333333333333333</v>
      </c>
      <c r="O21" s="31">
        <v>0.32142857142857145</v>
      </c>
      <c r="P21" s="31">
        <v>0.45238095238095238</v>
      </c>
    </row>
    <row r="22" spans="1:16" x14ac:dyDescent="0.4">
      <c r="A22" s="33">
        <v>19</v>
      </c>
      <c r="B22" s="30">
        <v>-153.5</v>
      </c>
      <c r="C22" s="30">
        <v>-8.0789473684210531</v>
      </c>
      <c r="D22" s="35">
        <v>2.2105263157894739</v>
      </c>
      <c r="E22" s="31">
        <v>0.21052631578947367</v>
      </c>
      <c r="F22" s="31">
        <v>0.42105263157894735</v>
      </c>
      <c r="G22" s="31">
        <v>0.3</v>
      </c>
      <c r="H22" s="31">
        <v>0.14374999999999999</v>
      </c>
      <c r="I22" s="32">
        <v>8141.666666666667</v>
      </c>
      <c r="J22" s="32">
        <v>-10008.695652173914</v>
      </c>
      <c r="K22" s="31">
        <v>0.10526315789473684</v>
      </c>
      <c r="L22" s="31">
        <v>0.2</v>
      </c>
      <c r="M22" s="31">
        <v>0.19375000000000001</v>
      </c>
      <c r="N22" s="31">
        <v>0.625</v>
      </c>
      <c r="O22" s="31">
        <v>0.35483870967741937</v>
      </c>
      <c r="P22" s="31">
        <v>0.41666666666666669</v>
      </c>
    </row>
    <row r="23" spans="1:16" x14ac:dyDescent="0.4">
      <c r="A23" s="33">
        <v>20</v>
      </c>
      <c r="B23" s="30">
        <v>-122</v>
      </c>
      <c r="C23" s="30">
        <v>-6.1</v>
      </c>
      <c r="D23" s="35">
        <v>2.15</v>
      </c>
      <c r="E23" s="31">
        <v>0.25</v>
      </c>
      <c r="F23" s="31">
        <v>0.4</v>
      </c>
      <c r="G23" s="31">
        <v>0.30538922155688625</v>
      </c>
      <c r="H23" s="31">
        <v>0.1437125748502994</v>
      </c>
      <c r="I23" s="32">
        <v>8088.2352941176468</v>
      </c>
      <c r="J23" s="32">
        <v>-9754.1666666666661</v>
      </c>
      <c r="K23" s="31">
        <v>0.1</v>
      </c>
      <c r="L23" s="31">
        <v>0.19760479041916168</v>
      </c>
      <c r="M23" s="31">
        <v>0.20359281437125748</v>
      </c>
      <c r="N23" s="31">
        <v>0.63636363636363635</v>
      </c>
      <c r="O23" s="31">
        <v>0.35294117647058826</v>
      </c>
      <c r="P23" s="31">
        <v>0.39215686274509803</v>
      </c>
    </row>
    <row r="24" spans="1:16" x14ac:dyDescent="0.4">
      <c r="A24" s="33">
        <v>21</v>
      </c>
      <c r="B24" s="30">
        <v>-91.8</v>
      </c>
      <c r="C24" s="30">
        <v>-4.371428571428571</v>
      </c>
      <c r="D24" s="35">
        <v>2.0952380952380953</v>
      </c>
      <c r="E24" s="31">
        <v>0.2857142857142857</v>
      </c>
      <c r="F24" s="31">
        <v>0.38095238095238093</v>
      </c>
      <c r="G24" s="31">
        <v>0.3089887640449438</v>
      </c>
      <c r="H24" s="31">
        <v>0.1404494382022472</v>
      </c>
      <c r="I24" s="32">
        <v>8212.7272727272721</v>
      </c>
      <c r="J24" s="32">
        <v>-10084</v>
      </c>
      <c r="K24" s="31">
        <v>9.5238095238095233E-2</v>
      </c>
      <c r="L24" s="31">
        <v>0.19662921348314608</v>
      </c>
      <c r="M24" s="31">
        <v>0.19662921348314608</v>
      </c>
      <c r="N24" s="31">
        <v>0.62857142857142856</v>
      </c>
      <c r="O24" s="31">
        <v>0.37142857142857144</v>
      </c>
      <c r="P24" s="31">
        <v>0.38181818181818183</v>
      </c>
    </row>
    <row r="25" spans="1:16" x14ac:dyDescent="0.4">
      <c r="A25" s="33">
        <v>22</v>
      </c>
      <c r="B25" s="30">
        <v>-125.6</v>
      </c>
      <c r="C25" s="30">
        <v>-5.709090909090909</v>
      </c>
      <c r="D25" s="35">
        <v>2.1363636363636362</v>
      </c>
      <c r="E25" s="31">
        <v>0.27272727272727271</v>
      </c>
      <c r="F25" s="31">
        <v>0.40909090909090912</v>
      </c>
      <c r="G25" s="31">
        <v>0.30851063829787234</v>
      </c>
      <c r="H25" s="31">
        <v>0.13829787234042554</v>
      </c>
      <c r="I25" s="32">
        <v>8127.5862068965516</v>
      </c>
      <c r="J25" s="32">
        <v>-10003.846153846154</v>
      </c>
      <c r="K25" s="31">
        <v>9.0909090909090912E-2</v>
      </c>
      <c r="L25" s="31">
        <v>0.19680851063829788</v>
      </c>
      <c r="M25" s="31">
        <v>0.19148936170212766</v>
      </c>
      <c r="N25" s="31">
        <v>0.6216216216216216</v>
      </c>
      <c r="O25" s="31">
        <v>0.3888888888888889</v>
      </c>
      <c r="P25" s="31">
        <v>0.41379310344827586</v>
      </c>
    </row>
    <row r="26" spans="1:16" x14ac:dyDescent="0.4">
      <c r="A26" s="33">
        <v>23</v>
      </c>
      <c r="B26" s="30">
        <v>-57.199999999999989</v>
      </c>
      <c r="C26" s="30">
        <v>-2.4869565217391298</v>
      </c>
      <c r="D26" s="35">
        <v>2.0869565217391304</v>
      </c>
      <c r="E26" s="31">
        <v>0.30434782608695654</v>
      </c>
      <c r="F26" s="31">
        <v>0.39130434782608697</v>
      </c>
      <c r="G26" s="31">
        <v>0.31979695431472083</v>
      </c>
      <c r="H26" s="31">
        <v>0.13705583756345177</v>
      </c>
      <c r="I26" s="32">
        <v>8174.6031746031749</v>
      </c>
      <c r="J26" s="32">
        <v>-9825.9259259259252</v>
      </c>
      <c r="K26" s="31">
        <v>8.6956521739130432E-2</v>
      </c>
      <c r="L26" s="31">
        <v>0.20304568527918782</v>
      </c>
      <c r="M26" s="31">
        <v>0.20304568527918782</v>
      </c>
      <c r="N26" s="31">
        <v>0.625</v>
      </c>
      <c r="O26" s="31">
        <v>0.42499999999999999</v>
      </c>
      <c r="P26" s="31">
        <v>0.3968253968253968</v>
      </c>
    </row>
    <row r="27" spans="1:16" x14ac:dyDescent="0.4">
      <c r="A27" s="33">
        <v>24</v>
      </c>
      <c r="B27" s="30">
        <v>-102.49999999999999</v>
      </c>
      <c r="C27" s="30">
        <v>-4.270833333333333</v>
      </c>
      <c r="D27" s="35">
        <v>2.125</v>
      </c>
      <c r="E27" s="31">
        <v>0.29166666666666669</v>
      </c>
      <c r="F27" s="31">
        <v>0.41666666666666669</v>
      </c>
      <c r="G27" s="31">
        <v>0.3155339805825243</v>
      </c>
      <c r="H27" s="31">
        <v>0.13106796116504854</v>
      </c>
      <c r="I27" s="32">
        <v>8200</v>
      </c>
      <c r="J27" s="32">
        <v>-9825.9259259259252</v>
      </c>
      <c r="K27" s="31">
        <v>8.3333333333333329E-2</v>
      </c>
      <c r="L27" s="31">
        <v>0.1941747572815534</v>
      </c>
      <c r="M27" s="31">
        <v>0.21359223300970873</v>
      </c>
      <c r="N27" s="31">
        <v>0.625</v>
      </c>
      <c r="O27" s="31">
        <v>0.43181818181818182</v>
      </c>
      <c r="P27" s="31">
        <v>0.4</v>
      </c>
    </row>
    <row r="28" spans="1:16" x14ac:dyDescent="0.4">
      <c r="A28" s="33">
        <v>25</v>
      </c>
      <c r="B28" s="30">
        <v>-132.6</v>
      </c>
      <c r="C28" s="30">
        <v>-5.3039999999999994</v>
      </c>
      <c r="D28" s="35">
        <v>2.16</v>
      </c>
      <c r="E28" s="31">
        <v>0.28000000000000003</v>
      </c>
      <c r="F28" s="31">
        <v>0.44</v>
      </c>
      <c r="G28" s="31">
        <v>0.32258064516129031</v>
      </c>
      <c r="H28" s="31">
        <v>0.13824884792626729</v>
      </c>
      <c r="I28" s="32">
        <v>8008.5714285714284</v>
      </c>
      <c r="J28" s="32">
        <v>-9740</v>
      </c>
      <c r="K28" s="31">
        <v>0.08</v>
      </c>
      <c r="L28" s="31">
        <v>0.19354838709677419</v>
      </c>
      <c r="M28" s="31">
        <v>0.22119815668202766</v>
      </c>
      <c r="N28" s="31">
        <v>0.61904761904761907</v>
      </c>
      <c r="O28" s="31">
        <v>0.4375</v>
      </c>
      <c r="P28" s="31">
        <v>0.4</v>
      </c>
    </row>
    <row r="29" spans="1:16" x14ac:dyDescent="0.4">
      <c r="A29" s="33">
        <v>26</v>
      </c>
      <c r="B29" s="30">
        <v>-98.6</v>
      </c>
      <c r="C29" s="30">
        <v>-3.7923076923076922</v>
      </c>
      <c r="D29" s="35">
        <v>2.1153846153846154</v>
      </c>
      <c r="E29" s="31">
        <v>0.30769230769230771</v>
      </c>
      <c r="F29" s="31">
        <v>0.42307692307692307</v>
      </c>
      <c r="G29" s="31">
        <v>0.32314410480349343</v>
      </c>
      <c r="H29" s="31">
        <v>0.13537117903930132</v>
      </c>
      <c r="I29" s="32">
        <v>7975.6756756756758</v>
      </c>
      <c r="J29" s="32">
        <v>-9551.6129032258068</v>
      </c>
      <c r="K29" s="31">
        <v>7.6923076923076927E-2</v>
      </c>
      <c r="L29" s="31">
        <v>0.1965065502183406</v>
      </c>
      <c r="M29" s="31">
        <v>0.22270742358078602</v>
      </c>
      <c r="N29" s="31">
        <v>0.6</v>
      </c>
      <c r="O29" s="31">
        <v>0.47058823529411764</v>
      </c>
      <c r="P29" s="31">
        <v>0.40540540540540543</v>
      </c>
    </row>
    <row r="30" spans="1:16" x14ac:dyDescent="0.4">
      <c r="A30" s="33">
        <v>27</v>
      </c>
      <c r="B30" s="30">
        <v>-130.6</v>
      </c>
      <c r="C30" s="30">
        <v>-4.837037037037037</v>
      </c>
      <c r="D30" s="35">
        <v>2.1481481481481484</v>
      </c>
      <c r="E30" s="31">
        <v>0.29629629629629628</v>
      </c>
      <c r="F30" s="31">
        <v>0.44444444444444442</v>
      </c>
      <c r="G30" s="31">
        <v>0.32500000000000001</v>
      </c>
      <c r="H30" s="31">
        <v>0.14166666666666666</v>
      </c>
      <c r="I30" s="32">
        <v>7756.4102564102568</v>
      </c>
      <c r="J30" s="32">
        <v>-9252.9411764705874</v>
      </c>
      <c r="K30" s="31">
        <v>7.407407407407407E-2</v>
      </c>
      <c r="L30" s="31">
        <v>0.19583333333333333</v>
      </c>
      <c r="M30" s="31">
        <v>0.22500000000000001</v>
      </c>
      <c r="N30" s="31">
        <v>0.61702127659574468</v>
      </c>
      <c r="O30" s="31">
        <v>0.48148148148148145</v>
      </c>
      <c r="P30" s="31">
        <v>0.39743589743589741</v>
      </c>
    </row>
    <row r="31" spans="1:16" x14ac:dyDescent="0.4">
      <c r="A31" s="33">
        <v>28</v>
      </c>
      <c r="B31" s="30">
        <v>-123.39999999999999</v>
      </c>
      <c r="C31" s="30">
        <v>-4.4071428571428566</v>
      </c>
      <c r="D31" s="35">
        <v>2.1428571428571428</v>
      </c>
      <c r="E31" s="31">
        <v>0.2857142857142857</v>
      </c>
      <c r="F31" s="31">
        <v>0.42857142857142855</v>
      </c>
      <c r="G31" s="31">
        <v>0.32510288065843623</v>
      </c>
      <c r="H31" s="31">
        <v>0.13991769547325103</v>
      </c>
      <c r="I31" s="32">
        <v>7724.0506329113923</v>
      </c>
      <c r="J31" s="32">
        <v>-9252.9411764705874</v>
      </c>
      <c r="K31" s="31">
        <v>7.1428571428571425E-2</v>
      </c>
      <c r="L31" s="31">
        <v>0.19753086419753085</v>
      </c>
      <c r="M31" s="31">
        <v>0.22222222222222221</v>
      </c>
      <c r="N31" s="31">
        <v>0.625</v>
      </c>
      <c r="O31" s="31">
        <v>0.48148148148148145</v>
      </c>
      <c r="P31" s="31">
        <v>0.39240506329113922</v>
      </c>
    </row>
    <row r="32" spans="1:16" x14ac:dyDescent="0.4">
      <c r="A32" s="33">
        <v>29</v>
      </c>
      <c r="B32" s="30">
        <v>-107.1</v>
      </c>
      <c r="C32" s="30">
        <v>-3.693103448275862</v>
      </c>
      <c r="D32" s="35">
        <v>2.1379310344827585</v>
      </c>
      <c r="E32" s="31">
        <v>0.27586206896551724</v>
      </c>
      <c r="F32" s="31">
        <v>0.41379310344827586</v>
      </c>
      <c r="G32" s="31">
        <v>0.33333333333333331</v>
      </c>
      <c r="H32" s="31">
        <v>0.1388888888888889</v>
      </c>
      <c r="I32" s="32">
        <v>7615.4761904761908</v>
      </c>
      <c r="J32" s="32">
        <v>-9137.1428571428569</v>
      </c>
      <c r="K32" s="31">
        <v>6.8965517241379309E-2</v>
      </c>
      <c r="L32" s="31">
        <v>0.20238095238095238</v>
      </c>
      <c r="M32" s="31">
        <v>0.22222222222222221</v>
      </c>
      <c r="N32" s="31">
        <v>0.6470588235294118</v>
      </c>
      <c r="O32" s="31">
        <v>0.5</v>
      </c>
      <c r="P32" s="31">
        <v>0.39285714285714285</v>
      </c>
    </row>
    <row r="33" spans="1:16" x14ac:dyDescent="0.4">
      <c r="A33" s="33">
        <v>30</v>
      </c>
      <c r="B33" s="30">
        <v>-137.9</v>
      </c>
      <c r="C33" s="30">
        <v>-4.5966666666666667</v>
      </c>
      <c r="D33" s="35">
        <v>2.1666666666666665</v>
      </c>
      <c r="E33" s="31">
        <v>0.26666666666666666</v>
      </c>
      <c r="F33" s="31">
        <v>0.43333333333333335</v>
      </c>
      <c r="G33" s="31">
        <v>0.3282442748091603</v>
      </c>
      <c r="H33" s="31">
        <v>0.14503816793893129</v>
      </c>
      <c r="I33" s="32">
        <v>7643.0232558139533</v>
      </c>
      <c r="J33" s="32">
        <v>-9031.5789473684217</v>
      </c>
      <c r="K33" s="31">
        <v>6.6666666666666666E-2</v>
      </c>
      <c r="L33" s="31">
        <v>0.20229007633587787</v>
      </c>
      <c r="M33" s="31">
        <v>0.22519083969465647</v>
      </c>
      <c r="N33" s="31">
        <v>0.64150943396226412</v>
      </c>
      <c r="O33" s="31">
        <v>0.49152542372881358</v>
      </c>
      <c r="P33" s="31">
        <v>0.40697674418604651</v>
      </c>
    </row>
    <row r="34" spans="1:16" x14ac:dyDescent="0.4">
      <c r="A34" s="33">
        <v>31</v>
      </c>
      <c r="B34" s="30">
        <v>-167.8</v>
      </c>
      <c r="C34" s="30">
        <v>-5.4129032258064518</v>
      </c>
      <c r="D34" s="35">
        <v>2.161290322580645</v>
      </c>
      <c r="E34" s="31">
        <v>0.25806451612903225</v>
      </c>
      <c r="F34" s="31">
        <v>0.41935483870967744</v>
      </c>
      <c r="G34" s="31">
        <v>0.32209737827715357</v>
      </c>
      <c r="H34" s="31">
        <v>0.14606741573033707</v>
      </c>
      <c r="I34" s="32">
        <v>7643.0232558139533</v>
      </c>
      <c r="J34" s="32">
        <v>-8900</v>
      </c>
      <c r="K34" s="31">
        <v>6.4516129032258063E-2</v>
      </c>
      <c r="L34" s="31">
        <v>0.20599250936329588</v>
      </c>
      <c r="M34" s="31">
        <v>0.2247191011235955</v>
      </c>
      <c r="N34" s="31">
        <v>0.61818181818181817</v>
      </c>
      <c r="O34" s="31">
        <v>0.48333333333333334</v>
      </c>
      <c r="P34" s="31">
        <v>0.40697674418604651</v>
      </c>
    </row>
    <row r="35" spans="1:16" x14ac:dyDescent="0.4">
      <c r="A35" s="33">
        <v>32</v>
      </c>
      <c r="B35" s="30">
        <v>-102.10000000000001</v>
      </c>
      <c r="C35" s="30">
        <v>-3.1906250000000003</v>
      </c>
      <c r="D35" s="35">
        <v>2.125</v>
      </c>
      <c r="E35" s="31">
        <v>0.28125</v>
      </c>
      <c r="F35" s="31">
        <v>0.40625</v>
      </c>
      <c r="G35" s="31">
        <v>0.3273381294964029</v>
      </c>
      <c r="H35" s="31">
        <v>0.14028776978417265</v>
      </c>
      <c r="I35" s="32">
        <v>7505.4945054945056</v>
      </c>
      <c r="J35" s="32">
        <v>-8900</v>
      </c>
      <c r="K35" s="31">
        <v>6.25E-2</v>
      </c>
      <c r="L35" s="31">
        <v>0.20143884892086331</v>
      </c>
      <c r="M35" s="31">
        <v>0.21582733812949639</v>
      </c>
      <c r="N35" s="31">
        <v>0.625</v>
      </c>
      <c r="O35" s="31">
        <v>0.48333333333333334</v>
      </c>
      <c r="P35" s="31">
        <v>0.38461538461538464</v>
      </c>
    </row>
    <row r="36" spans="1:16" x14ac:dyDescent="0.4">
      <c r="A36" s="33">
        <v>33</v>
      </c>
      <c r="B36" s="30">
        <v>-67.800000000000011</v>
      </c>
      <c r="C36" s="30">
        <v>-2.0545454545454547</v>
      </c>
      <c r="D36" s="35">
        <v>2.0909090909090908</v>
      </c>
      <c r="E36" s="31">
        <v>0.30303030303030304</v>
      </c>
      <c r="F36" s="31">
        <v>0.39393939393939392</v>
      </c>
      <c r="G36" s="31">
        <v>0.32525951557093424</v>
      </c>
      <c r="H36" s="31">
        <v>0.1453287197231834</v>
      </c>
      <c r="I36" s="32">
        <v>7631.9148936170213</v>
      </c>
      <c r="J36" s="32">
        <v>-8480.9523809523816</v>
      </c>
      <c r="K36" s="31">
        <v>6.0606060606060608E-2</v>
      </c>
      <c r="L36" s="31">
        <v>0.20069204152249134</v>
      </c>
      <c r="M36" s="31">
        <v>0.2179930795847751</v>
      </c>
      <c r="N36" s="31">
        <v>0.62068965517241381</v>
      </c>
      <c r="O36" s="31">
        <v>0.47619047619047616</v>
      </c>
      <c r="P36" s="31">
        <v>0.38297872340425532</v>
      </c>
    </row>
    <row r="37" spans="1:16" x14ac:dyDescent="0.4">
      <c r="A37" s="33">
        <v>34</v>
      </c>
      <c r="B37" s="30">
        <v>-21.000000000000014</v>
      </c>
      <c r="C37" s="30">
        <v>-0.61764705882352988</v>
      </c>
      <c r="D37" s="35">
        <v>2.0588235294117645</v>
      </c>
      <c r="E37" s="31">
        <v>0.3235294117647059</v>
      </c>
      <c r="F37" s="31">
        <v>0.38235294117647056</v>
      </c>
      <c r="G37" s="31">
        <v>0.32775919732441472</v>
      </c>
      <c r="H37" s="31">
        <v>0.14381270903010032</v>
      </c>
      <c r="I37" s="32">
        <v>7563.2653061224491</v>
      </c>
      <c r="J37" s="32">
        <v>-8351.1627906976737</v>
      </c>
      <c r="K37" s="31">
        <v>5.8823529411764705E-2</v>
      </c>
      <c r="L37" s="31">
        <v>0.20401337792642141</v>
      </c>
      <c r="M37" s="31">
        <v>0.21739130434782608</v>
      </c>
      <c r="N37" s="31">
        <v>0.62295081967213117</v>
      </c>
      <c r="O37" s="31">
        <v>0.47692307692307695</v>
      </c>
      <c r="P37" s="31">
        <v>0.37755102040816324</v>
      </c>
    </row>
    <row r="38" spans="1:16" x14ac:dyDescent="0.4">
      <c r="A38" s="33">
        <v>35</v>
      </c>
      <c r="B38" s="30">
        <v>17.199999999999989</v>
      </c>
      <c r="C38" s="30">
        <v>0.4914285714285711</v>
      </c>
      <c r="D38" s="35">
        <v>2.0285714285714285</v>
      </c>
      <c r="E38" s="31">
        <v>0.34285714285714286</v>
      </c>
      <c r="F38" s="31">
        <v>0.37142857142857144</v>
      </c>
      <c r="G38" s="31">
        <v>0.33116883116883117</v>
      </c>
      <c r="H38" s="31">
        <v>0.1461038961038961</v>
      </c>
      <c r="I38" s="32">
        <v>7600</v>
      </c>
      <c r="J38" s="32">
        <v>-8264.4444444444453</v>
      </c>
      <c r="K38" s="31">
        <v>5.7142857142857141E-2</v>
      </c>
      <c r="L38" s="31">
        <v>0.20454545454545456</v>
      </c>
      <c r="M38" s="31">
        <v>0.21753246753246752</v>
      </c>
      <c r="N38" s="31">
        <v>0.63492063492063489</v>
      </c>
      <c r="O38" s="31">
        <v>0.47761194029850745</v>
      </c>
      <c r="P38" s="31">
        <v>0.38235294117647056</v>
      </c>
    </row>
    <row r="39" spans="1:16" x14ac:dyDescent="0.4">
      <c r="A39" s="33">
        <v>36</v>
      </c>
      <c r="B39" s="30">
        <v>75.699999999999989</v>
      </c>
      <c r="C39" s="30">
        <v>2.1027777777777774</v>
      </c>
      <c r="D39" s="35">
        <v>2</v>
      </c>
      <c r="E39" s="31">
        <v>0.3611111111111111</v>
      </c>
      <c r="F39" s="31">
        <v>0.3611111111111111</v>
      </c>
      <c r="G39" s="31">
        <v>0.33438485804416401</v>
      </c>
      <c r="H39" s="31">
        <v>0.14195583596214512</v>
      </c>
      <c r="I39" s="32">
        <v>7632.0754716981128</v>
      </c>
      <c r="J39" s="32">
        <v>-8264.4444444444453</v>
      </c>
      <c r="K39" s="31">
        <v>5.5555555555555552E-2</v>
      </c>
      <c r="L39" s="31">
        <v>0.20504731861198738</v>
      </c>
      <c r="M39" s="31">
        <v>0.22082018927444794</v>
      </c>
      <c r="N39" s="31">
        <v>0.64615384615384619</v>
      </c>
      <c r="O39" s="31">
        <v>0.48571428571428571</v>
      </c>
      <c r="P39" s="31">
        <v>0.39622641509433965</v>
      </c>
    </row>
    <row r="40" spans="1:16" x14ac:dyDescent="0.4">
      <c r="A40" s="33">
        <v>37</v>
      </c>
      <c r="B40" s="30">
        <v>51.79999999999999</v>
      </c>
      <c r="C40" s="30">
        <v>1.3999999999999997</v>
      </c>
      <c r="D40" s="35">
        <v>2.0270270270270272</v>
      </c>
      <c r="E40" s="31">
        <v>0.35135135135135137</v>
      </c>
      <c r="F40" s="31">
        <v>0.3783783783783784</v>
      </c>
      <c r="G40" s="31">
        <v>0.33333333333333331</v>
      </c>
      <c r="H40" s="31">
        <v>0.1388888888888889</v>
      </c>
      <c r="I40" s="32">
        <v>7587.0370370370374</v>
      </c>
      <c r="J40" s="32">
        <v>-8264.4444444444453</v>
      </c>
      <c r="K40" s="31">
        <v>5.4054054054054057E-2</v>
      </c>
      <c r="L40" s="31">
        <v>0.20370370370370369</v>
      </c>
      <c r="M40" s="31">
        <v>0.22222222222222221</v>
      </c>
      <c r="N40" s="31">
        <v>0.65151515151515149</v>
      </c>
      <c r="O40" s="31">
        <v>0.4861111111111111</v>
      </c>
      <c r="P40" s="31">
        <v>0.3888888888888889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89F68-A621-477A-BAC4-ACDE80C4C221}">
  <sheetPr codeName="Sheet10"/>
  <dimension ref="A1:Q1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187</v>
      </c>
      <c r="B1" s="34" t="s">
        <v>187</v>
      </c>
      <c r="C1" s="34" t="s">
        <v>187</v>
      </c>
      <c r="D1" s="35" t="s">
        <v>187</v>
      </c>
      <c r="E1" s="34" t="s">
        <v>187</v>
      </c>
      <c r="F1" s="34" t="s">
        <v>187</v>
      </c>
      <c r="G1" s="34" t="s">
        <v>187</v>
      </c>
      <c r="H1" s="34" t="s">
        <v>187</v>
      </c>
      <c r="I1" s="34" t="s">
        <v>187</v>
      </c>
      <c r="J1" s="34" t="s">
        <v>187</v>
      </c>
      <c r="K1" s="34" t="s">
        <v>187</v>
      </c>
      <c r="L1" s="34" t="s">
        <v>187</v>
      </c>
      <c r="M1" s="34" t="s">
        <v>187</v>
      </c>
      <c r="N1" s="34" t="s">
        <v>187</v>
      </c>
      <c r="O1" s="34" t="s">
        <v>187</v>
      </c>
      <c r="P1" s="34" t="s">
        <v>187</v>
      </c>
      <c r="Q1" s="34" t="s">
        <v>187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51.5</v>
      </c>
      <c r="C4" s="30">
        <v>51.5</v>
      </c>
      <c r="D4" s="35">
        <v>1</v>
      </c>
      <c r="E4" s="31">
        <v>1</v>
      </c>
      <c r="F4" s="31">
        <v>0</v>
      </c>
      <c r="G4" s="31">
        <v>0.6</v>
      </c>
      <c r="H4" s="31">
        <v>0</v>
      </c>
      <c r="I4" s="32">
        <v>9333.3333333333339</v>
      </c>
      <c r="J4" s="32">
        <v>0</v>
      </c>
      <c r="K4" s="31">
        <v>0</v>
      </c>
      <c r="L4" s="31">
        <v>0.4</v>
      </c>
      <c r="M4" s="31">
        <v>0.2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21.3</v>
      </c>
      <c r="C5" s="30">
        <v>10.65</v>
      </c>
      <c r="D5" s="35">
        <v>2</v>
      </c>
      <c r="E5" s="31">
        <v>0.5</v>
      </c>
      <c r="F5" s="31">
        <v>0.5</v>
      </c>
      <c r="G5" s="31">
        <v>0.36363636363636365</v>
      </c>
      <c r="H5" s="31">
        <v>0.18181818181818182</v>
      </c>
      <c r="I5" s="32">
        <v>8000</v>
      </c>
      <c r="J5" s="32">
        <v>-6600</v>
      </c>
      <c r="K5" s="31">
        <v>0</v>
      </c>
      <c r="L5" s="31">
        <v>0.36363636363636365</v>
      </c>
      <c r="M5" s="31">
        <v>0.36363636363636365</v>
      </c>
      <c r="N5" s="31">
        <v>0.75</v>
      </c>
      <c r="O5" s="31">
        <v>0</v>
      </c>
      <c r="P5" s="31">
        <v>0.5</v>
      </c>
    </row>
    <row r="6" spans="1:17" x14ac:dyDescent="0.4">
      <c r="A6" s="33">
        <v>3</v>
      </c>
      <c r="B6" s="30">
        <v>-34.299999999999997</v>
      </c>
      <c r="C6" s="30">
        <v>-11.433333333333332</v>
      </c>
      <c r="D6" s="35">
        <v>2.3333333333333335</v>
      </c>
      <c r="E6" s="31">
        <v>0.33333333333333331</v>
      </c>
      <c r="F6" s="31">
        <v>0.66666666666666663</v>
      </c>
      <c r="G6" s="31">
        <v>0.31818181818181818</v>
      </c>
      <c r="H6" s="31">
        <v>0.18181818181818182</v>
      </c>
      <c r="I6" s="32">
        <v>5914.2857142857147</v>
      </c>
      <c r="J6" s="32">
        <v>-13300</v>
      </c>
      <c r="K6" s="31">
        <v>0.33333333333333331</v>
      </c>
      <c r="L6" s="31">
        <v>0.36363636363636365</v>
      </c>
      <c r="M6" s="31">
        <v>0.22727272727272727</v>
      </c>
      <c r="N6" s="31">
        <v>0.625</v>
      </c>
      <c r="O6" s="31">
        <v>0</v>
      </c>
      <c r="P6" s="31">
        <v>0.5714285714285714</v>
      </c>
    </row>
    <row r="7" spans="1:17" x14ac:dyDescent="0.4">
      <c r="A7" s="33">
        <v>4</v>
      </c>
      <c r="B7" s="30">
        <v>-34.9</v>
      </c>
      <c r="C7" s="30">
        <v>-8.7249999999999996</v>
      </c>
      <c r="D7" s="35">
        <v>2.25</v>
      </c>
      <c r="E7" s="31">
        <v>0.25</v>
      </c>
      <c r="F7" s="31">
        <v>0.5</v>
      </c>
      <c r="G7" s="31">
        <v>0.32142857142857145</v>
      </c>
      <c r="H7" s="31">
        <v>0.21428571428571427</v>
      </c>
      <c r="I7" s="32">
        <v>5777.7777777777774</v>
      </c>
      <c r="J7" s="32">
        <v>-10366.666666666666</v>
      </c>
      <c r="K7" s="31">
        <v>0.25</v>
      </c>
      <c r="L7" s="31">
        <v>0.39285714285714285</v>
      </c>
      <c r="M7" s="31">
        <v>0.25</v>
      </c>
      <c r="N7" s="31">
        <v>0.63636363636363635</v>
      </c>
      <c r="O7" s="31">
        <v>0</v>
      </c>
      <c r="P7" s="31">
        <v>0.44444444444444442</v>
      </c>
    </row>
    <row r="8" spans="1:17" x14ac:dyDescent="0.4">
      <c r="A8" s="33">
        <v>5</v>
      </c>
      <c r="B8" s="30">
        <v>-43.8</v>
      </c>
      <c r="C8" s="30">
        <v>-8.76</v>
      </c>
      <c r="D8" s="35">
        <v>2.2000000000000002</v>
      </c>
      <c r="E8" s="31">
        <v>0.2</v>
      </c>
      <c r="F8" s="31">
        <v>0.4</v>
      </c>
      <c r="G8" s="31">
        <v>0.29411764705882354</v>
      </c>
      <c r="H8" s="31">
        <v>0.23529411764705882</v>
      </c>
      <c r="I8" s="32">
        <v>6000</v>
      </c>
      <c r="J8" s="32">
        <v>-8425</v>
      </c>
      <c r="K8" s="31">
        <v>0.2</v>
      </c>
      <c r="L8" s="31">
        <v>0.35294117647058826</v>
      </c>
      <c r="M8" s="31">
        <v>0.23529411764705882</v>
      </c>
      <c r="N8" s="31">
        <v>0.66666666666666663</v>
      </c>
      <c r="O8" s="31">
        <v>0</v>
      </c>
      <c r="P8" s="31">
        <v>0.4</v>
      </c>
    </row>
    <row r="9" spans="1:17" x14ac:dyDescent="0.4">
      <c r="A9" s="33">
        <v>6</v>
      </c>
      <c r="B9" s="30">
        <v>-42.4</v>
      </c>
      <c r="C9" s="30">
        <v>-7.0666666666666664</v>
      </c>
      <c r="D9" s="35">
        <v>2.1666666666666665</v>
      </c>
      <c r="E9" s="31">
        <v>0.16666666666666666</v>
      </c>
      <c r="F9" s="31">
        <v>0.33333333333333331</v>
      </c>
      <c r="G9" s="31">
        <v>0.32558139534883723</v>
      </c>
      <c r="H9" s="31">
        <v>0.18604651162790697</v>
      </c>
      <c r="I9" s="32">
        <v>5814.2857142857147</v>
      </c>
      <c r="J9" s="32">
        <v>-8425</v>
      </c>
      <c r="K9" s="31">
        <v>0.16666666666666666</v>
      </c>
      <c r="L9" s="31">
        <v>0.32558139534883723</v>
      </c>
      <c r="M9" s="31">
        <v>0.20930232558139536</v>
      </c>
      <c r="N9" s="31">
        <v>0.7142857142857143</v>
      </c>
      <c r="O9" s="31">
        <v>0.1111111111111111</v>
      </c>
      <c r="P9" s="31">
        <v>0.2857142857142857</v>
      </c>
    </row>
    <row r="10" spans="1:17" x14ac:dyDescent="0.4">
      <c r="A10" s="33">
        <v>7</v>
      </c>
      <c r="B10" s="30">
        <v>-8.7999999999999972</v>
      </c>
      <c r="C10" s="30">
        <v>-1.2571428571428567</v>
      </c>
      <c r="D10" s="35">
        <v>2</v>
      </c>
      <c r="E10" s="31">
        <v>0.2857142857142857</v>
      </c>
      <c r="F10" s="31">
        <v>0.2857142857142857</v>
      </c>
      <c r="G10" s="31">
        <v>0.34</v>
      </c>
      <c r="H10" s="31">
        <v>0.2</v>
      </c>
      <c r="I10" s="32">
        <v>6335.2941176470586</v>
      </c>
      <c r="J10" s="32">
        <v>-7800</v>
      </c>
      <c r="K10" s="31">
        <v>0.14285714285714285</v>
      </c>
      <c r="L10" s="31">
        <v>0.34</v>
      </c>
      <c r="M10" s="31">
        <v>0.26</v>
      </c>
      <c r="N10" s="31">
        <v>0.6470588235294118</v>
      </c>
      <c r="O10" s="31">
        <v>0.23076923076923078</v>
      </c>
      <c r="P10" s="31">
        <v>0.41176470588235292</v>
      </c>
    </row>
    <row r="11" spans="1:17" x14ac:dyDescent="0.4">
      <c r="A11" s="33">
        <v>8</v>
      </c>
      <c r="B11" s="30">
        <v>-0.99999999999999734</v>
      </c>
      <c r="C11" s="30">
        <v>-0.12499999999999967</v>
      </c>
      <c r="D11" s="35">
        <v>2</v>
      </c>
      <c r="E11" s="31">
        <v>0.25</v>
      </c>
      <c r="F11" s="31">
        <v>0.25</v>
      </c>
      <c r="G11" s="31">
        <v>0.33333333333333331</v>
      </c>
      <c r="H11" s="31">
        <v>0.2</v>
      </c>
      <c r="I11" s="32">
        <v>6205</v>
      </c>
      <c r="J11" s="32">
        <v>-6716.666666666667</v>
      </c>
      <c r="K11" s="31">
        <v>0.125</v>
      </c>
      <c r="L11" s="31">
        <v>0.33333333333333331</v>
      </c>
      <c r="M11" s="31">
        <v>0.23333333333333334</v>
      </c>
      <c r="N11" s="31">
        <v>0.7</v>
      </c>
      <c r="O11" s="31">
        <v>0.21428571428571427</v>
      </c>
      <c r="P11" s="31">
        <v>0.35</v>
      </c>
    </row>
    <row r="12" spans="1:17" x14ac:dyDescent="0.4">
      <c r="A12" s="33">
        <v>9</v>
      </c>
      <c r="B12" s="30">
        <v>60.4</v>
      </c>
      <c r="C12" s="30">
        <v>6.7111111111111112</v>
      </c>
      <c r="D12" s="35">
        <v>1.8888888888888888</v>
      </c>
      <c r="E12" s="31">
        <v>0.33333333333333331</v>
      </c>
      <c r="F12" s="31">
        <v>0.22222222222222221</v>
      </c>
      <c r="G12" s="31">
        <v>0.36619718309859156</v>
      </c>
      <c r="H12" s="31">
        <v>0.18309859154929578</v>
      </c>
      <c r="I12" s="32">
        <v>6861.5384615384619</v>
      </c>
      <c r="J12" s="32">
        <v>-7123.0769230769229</v>
      </c>
      <c r="K12" s="31">
        <v>0.1111111111111111</v>
      </c>
      <c r="L12" s="31">
        <v>0.3380281690140845</v>
      </c>
      <c r="M12" s="31">
        <v>0.23943661971830985</v>
      </c>
      <c r="N12" s="31">
        <v>0.70833333333333337</v>
      </c>
      <c r="O12" s="31">
        <v>0.29411764705882354</v>
      </c>
      <c r="P12" s="31">
        <v>0.42307692307692307</v>
      </c>
    </row>
    <row r="13" spans="1:17" x14ac:dyDescent="0.4">
      <c r="A13" s="33">
        <v>10</v>
      </c>
      <c r="B13" s="30">
        <v>14.399999999999999</v>
      </c>
      <c r="C13" s="30">
        <v>1.44</v>
      </c>
      <c r="D13" s="35">
        <v>2</v>
      </c>
      <c r="E13" s="31">
        <v>0.3</v>
      </c>
      <c r="F13" s="31">
        <v>0.3</v>
      </c>
      <c r="G13" s="31">
        <v>0.32941176470588235</v>
      </c>
      <c r="H13" s="31">
        <v>0.17647058823529413</v>
      </c>
      <c r="I13" s="32">
        <v>6842.8571428571431</v>
      </c>
      <c r="J13" s="32">
        <v>-7613.333333333333</v>
      </c>
      <c r="K13" s="31">
        <v>0.1</v>
      </c>
      <c r="L13" s="31">
        <v>0.30588235294117649</v>
      </c>
      <c r="M13" s="31">
        <v>0.22352941176470589</v>
      </c>
      <c r="N13" s="31">
        <v>0.69230769230769229</v>
      </c>
      <c r="O13" s="31">
        <v>0.31578947368421051</v>
      </c>
      <c r="P13" s="31">
        <v>0.39285714285714285</v>
      </c>
    </row>
    <row r="14" spans="1:17" x14ac:dyDescent="0.4">
      <c r="A14" s="33">
        <v>11</v>
      </c>
      <c r="B14" s="30">
        <v>45.7</v>
      </c>
      <c r="C14" s="30">
        <v>4.1545454545454552</v>
      </c>
      <c r="D14" s="35">
        <v>1.9090909090909092</v>
      </c>
      <c r="E14" s="31">
        <v>0.36363636363636365</v>
      </c>
      <c r="F14" s="31">
        <v>0.27272727272727271</v>
      </c>
      <c r="G14" s="31">
        <v>0.33333333333333331</v>
      </c>
      <c r="H14" s="31">
        <v>0.16666666666666666</v>
      </c>
      <c r="I14" s="32">
        <v>6690.625</v>
      </c>
      <c r="J14" s="32">
        <v>-7537.5</v>
      </c>
      <c r="K14" s="31">
        <v>9.0909090909090912E-2</v>
      </c>
      <c r="L14" s="31">
        <v>0.32291666666666669</v>
      </c>
      <c r="M14" s="31">
        <v>0.20833333333333334</v>
      </c>
      <c r="N14" s="31">
        <v>0.67741935483870963</v>
      </c>
      <c r="O14" s="31">
        <v>0.3</v>
      </c>
      <c r="P14" s="31">
        <v>0.375</v>
      </c>
    </row>
    <row r="15" spans="1:17" x14ac:dyDescent="0.4">
      <c r="A15" s="33">
        <v>12</v>
      </c>
      <c r="B15" s="30">
        <v>115.3</v>
      </c>
      <c r="C15" s="30">
        <v>9.6083333333333325</v>
      </c>
      <c r="D15" s="35">
        <v>1.8333333333333333</v>
      </c>
      <c r="E15" s="31">
        <v>0.41666666666666669</v>
      </c>
      <c r="F15" s="31">
        <v>0.25</v>
      </c>
      <c r="G15" s="31">
        <v>0.35514018691588783</v>
      </c>
      <c r="H15" s="31">
        <v>0.14953271028037382</v>
      </c>
      <c r="I15" s="32">
        <v>7205.2631578947367</v>
      </c>
      <c r="J15" s="32">
        <v>-7537.5</v>
      </c>
      <c r="K15" s="31">
        <v>8.3333333333333329E-2</v>
      </c>
      <c r="L15" s="31">
        <v>0.31775700934579437</v>
      </c>
      <c r="M15" s="31">
        <v>0.23364485981308411</v>
      </c>
      <c r="N15" s="31">
        <v>0.70588235294117652</v>
      </c>
      <c r="O15" s="31">
        <v>0.36</v>
      </c>
      <c r="P15" s="31">
        <v>0.44736842105263158</v>
      </c>
    </row>
    <row r="16" spans="1:17" x14ac:dyDescent="0.4">
      <c r="A16" s="33">
        <v>13</v>
      </c>
      <c r="B16" s="30">
        <v>69.900000000000006</v>
      </c>
      <c r="C16" s="30">
        <v>5.3769230769230774</v>
      </c>
      <c r="D16" s="35">
        <v>1.9230769230769231</v>
      </c>
      <c r="E16" s="31">
        <v>0.38461538461538464</v>
      </c>
      <c r="F16" s="31">
        <v>0.30769230769230771</v>
      </c>
      <c r="G16" s="31">
        <v>0.33913043478260868</v>
      </c>
      <c r="H16" s="31">
        <v>0.15652173913043479</v>
      </c>
      <c r="I16" s="32">
        <v>7156.4102564102568</v>
      </c>
      <c r="J16" s="32">
        <v>-7255.5555555555557</v>
      </c>
      <c r="K16" s="31">
        <v>7.6923076923076927E-2</v>
      </c>
      <c r="L16" s="31">
        <v>0.29565217391304349</v>
      </c>
      <c r="M16" s="31">
        <v>0.24347826086956523</v>
      </c>
      <c r="N16" s="31">
        <v>0.70588235294117652</v>
      </c>
      <c r="O16" s="31">
        <v>0.32142857142857145</v>
      </c>
      <c r="P16" s="31">
        <v>0.46153846153846156</v>
      </c>
    </row>
    <row r="17" spans="1:16" x14ac:dyDescent="0.4">
      <c r="A17" s="33">
        <v>14</v>
      </c>
      <c r="B17" s="30">
        <v>114.80000000000001</v>
      </c>
      <c r="C17" s="30">
        <v>8.2000000000000011</v>
      </c>
      <c r="D17" s="35">
        <v>1.8571428571428572</v>
      </c>
      <c r="E17" s="31">
        <v>0.42857142857142855</v>
      </c>
      <c r="F17" s="31">
        <v>0.2857142857142857</v>
      </c>
      <c r="G17" s="31">
        <v>0.33333333333333331</v>
      </c>
      <c r="H17" s="31">
        <v>0.15447154471544716</v>
      </c>
      <c r="I17" s="32">
        <v>7392.6829268292686</v>
      </c>
      <c r="J17" s="32">
        <v>-7010.5263157894733</v>
      </c>
      <c r="K17" s="31">
        <v>7.1428571428571425E-2</v>
      </c>
      <c r="L17" s="31">
        <v>0.28455284552845528</v>
      </c>
      <c r="M17" s="31">
        <v>0.23577235772357724</v>
      </c>
      <c r="N17" s="31">
        <v>0.7142857142857143</v>
      </c>
      <c r="O17" s="31">
        <v>0.31034482758620691</v>
      </c>
      <c r="P17" s="31">
        <v>0.48780487804878048</v>
      </c>
    </row>
    <row r="18" spans="1:16" x14ac:dyDescent="0.4">
      <c r="A18" s="33">
        <v>15</v>
      </c>
      <c r="B18" s="30">
        <v>161.9</v>
      </c>
      <c r="C18" s="30">
        <v>10.793333333333333</v>
      </c>
      <c r="D18" s="35">
        <v>1.8</v>
      </c>
      <c r="E18" s="31">
        <v>0.46666666666666667</v>
      </c>
      <c r="F18" s="31">
        <v>0.26666666666666666</v>
      </c>
      <c r="G18" s="31">
        <v>0.34090909090909088</v>
      </c>
      <c r="H18" s="31">
        <v>0.14393939393939395</v>
      </c>
      <c r="I18" s="32">
        <v>7735.5555555555557</v>
      </c>
      <c r="J18" s="32">
        <v>-7010.5263157894733</v>
      </c>
      <c r="K18" s="31">
        <v>6.6666666666666666E-2</v>
      </c>
      <c r="L18" s="31">
        <v>0.27272727272727271</v>
      </c>
      <c r="M18" s="31">
        <v>0.23484848484848486</v>
      </c>
      <c r="N18" s="31">
        <v>0.72222222222222221</v>
      </c>
      <c r="O18" s="31">
        <v>0.32258064516129031</v>
      </c>
      <c r="P18" s="31">
        <v>0.48888888888888887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24206-9B02-4559-A991-1C3F51C75487}">
  <sheetPr codeName="Sheet8"/>
  <dimension ref="A1:Q3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162</v>
      </c>
      <c r="B1" s="34" t="s">
        <v>162</v>
      </c>
      <c r="C1" s="34" t="s">
        <v>162</v>
      </c>
      <c r="D1" s="35" t="s">
        <v>162</v>
      </c>
      <c r="E1" s="34" t="s">
        <v>162</v>
      </c>
      <c r="F1" s="34" t="s">
        <v>162</v>
      </c>
      <c r="G1" s="34" t="s">
        <v>162</v>
      </c>
      <c r="H1" s="34" t="s">
        <v>162</v>
      </c>
      <c r="I1" s="34" t="s">
        <v>162</v>
      </c>
      <c r="J1" s="34" t="s">
        <v>162</v>
      </c>
      <c r="K1" s="34" t="s">
        <v>162</v>
      </c>
      <c r="L1" s="34" t="s">
        <v>162</v>
      </c>
      <c r="M1" s="34" t="s">
        <v>162</v>
      </c>
      <c r="N1" s="34" t="s">
        <v>162</v>
      </c>
      <c r="O1" s="34" t="s">
        <v>162</v>
      </c>
      <c r="P1" s="34" t="s">
        <v>162</v>
      </c>
      <c r="Q1" s="34" t="s">
        <v>162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-58</v>
      </c>
      <c r="C4" s="30">
        <v>-58</v>
      </c>
      <c r="D4" s="35">
        <v>3</v>
      </c>
      <c r="E4" s="31">
        <v>0</v>
      </c>
      <c r="F4" s="31">
        <v>1</v>
      </c>
      <c r="G4" s="31">
        <v>0</v>
      </c>
      <c r="H4" s="31">
        <v>0.6</v>
      </c>
      <c r="I4" s="32">
        <v>0</v>
      </c>
      <c r="J4" s="32">
        <v>-12000</v>
      </c>
      <c r="K4" s="31">
        <v>1</v>
      </c>
      <c r="L4" s="31">
        <v>0.2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-13.700000000000003</v>
      </c>
      <c r="C5" s="30">
        <v>-6.8500000000000014</v>
      </c>
      <c r="D5" s="35">
        <v>2</v>
      </c>
      <c r="E5" s="31">
        <v>0.5</v>
      </c>
      <c r="F5" s="31">
        <v>0.5</v>
      </c>
      <c r="G5" s="31">
        <v>0.125</v>
      </c>
      <c r="H5" s="31">
        <v>0.25</v>
      </c>
      <c r="I5" s="32">
        <v>18000</v>
      </c>
      <c r="J5" s="32">
        <v>-10300</v>
      </c>
      <c r="K5" s="31">
        <v>0.5</v>
      </c>
      <c r="L5" s="31">
        <v>0.25</v>
      </c>
      <c r="M5" s="31">
        <v>0.1875</v>
      </c>
      <c r="N5" s="31">
        <v>0.5</v>
      </c>
      <c r="O5" s="31">
        <v>0</v>
      </c>
      <c r="P5" s="31">
        <v>0</v>
      </c>
    </row>
    <row r="6" spans="1:17" x14ac:dyDescent="0.4">
      <c r="A6" s="33">
        <v>3</v>
      </c>
      <c r="B6" s="30">
        <v>7.8999999999999986</v>
      </c>
      <c r="C6" s="30">
        <v>2.6333333333333329</v>
      </c>
      <c r="D6" s="35">
        <v>1.6666666666666667</v>
      </c>
      <c r="E6" s="31">
        <v>0.66666666666666663</v>
      </c>
      <c r="F6" s="31">
        <v>0.33333333333333331</v>
      </c>
      <c r="G6" s="31">
        <v>0.18181818181818182</v>
      </c>
      <c r="H6" s="31">
        <v>0.27272727272727271</v>
      </c>
      <c r="I6" s="32">
        <v>11800</v>
      </c>
      <c r="J6" s="32">
        <v>-8633.3333333333339</v>
      </c>
      <c r="K6" s="31">
        <v>0.33333333333333331</v>
      </c>
      <c r="L6" s="31">
        <v>0.22727272727272727</v>
      </c>
      <c r="M6" s="31">
        <v>0.18181818181818182</v>
      </c>
      <c r="N6" s="31">
        <v>0.6</v>
      </c>
      <c r="O6" s="31">
        <v>0</v>
      </c>
      <c r="P6" s="31">
        <v>0.25</v>
      </c>
    </row>
    <row r="7" spans="1:17" x14ac:dyDescent="0.4">
      <c r="A7" s="33">
        <v>4</v>
      </c>
      <c r="B7" s="30">
        <v>50.4</v>
      </c>
      <c r="C7" s="30">
        <v>12.6</v>
      </c>
      <c r="D7" s="35">
        <v>1.5</v>
      </c>
      <c r="E7" s="31">
        <v>0.75</v>
      </c>
      <c r="F7" s="31">
        <v>0.25</v>
      </c>
      <c r="G7" s="31">
        <v>0.25</v>
      </c>
      <c r="H7" s="31">
        <v>0.21428571428571427</v>
      </c>
      <c r="I7" s="32">
        <v>9928.5714285714294</v>
      </c>
      <c r="J7" s="32">
        <v>-8633.3333333333339</v>
      </c>
      <c r="K7" s="31">
        <v>0.25</v>
      </c>
      <c r="L7" s="31">
        <v>0.21428571428571427</v>
      </c>
      <c r="M7" s="31">
        <v>0.17857142857142858</v>
      </c>
      <c r="N7" s="31">
        <v>0.66666666666666663</v>
      </c>
      <c r="O7" s="31">
        <v>0</v>
      </c>
      <c r="P7" s="31">
        <v>0.42857142857142855</v>
      </c>
    </row>
    <row r="8" spans="1:17" x14ac:dyDescent="0.4">
      <c r="A8" s="33">
        <v>5</v>
      </c>
      <c r="B8" s="30">
        <v>81.7</v>
      </c>
      <c r="C8" s="30">
        <v>16.34</v>
      </c>
      <c r="D8" s="35">
        <v>1.4</v>
      </c>
      <c r="E8" s="31">
        <v>0.8</v>
      </c>
      <c r="F8" s="31">
        <v>0.2</v>
      </c>
      <c r="G8" s="31">
        <v>0.27027027027027029</v>
      </c>
      <c r="H8" s="31">
        <v>0.24324324324324326</v>
      </c>
      <c r="I8" s="32">
        <v>10320</v>
      </c>
      <c r="J8" s="32">
        <v>-7966.666666666667</v>
      </c>
      <c r="K8" s="31">
        <v>0.2</v>
      </c>
      <c r="L8" s="31">
        <v>0.21621621621621623</v>
      </c>
      <c r="M8" s="31">
        <v>0.21621621621621623</v>
      </c>
      <c r="N8" s="31">
        <v>0.75</v>
      </c>
      <c r="O8" s="31">
        <v>0.125</v>
      </c>
      <c r="P8" s="31">
        <v>0.5</v>
      </c>
    </row>
    <row r="9" spans="1:17" x14ac:dyDescent="0.4">
      <c r="A9" s="33">
        <v>6</v>
      </c>
      <c r="B9" s="30">
        <v>40.5</v>
      </c>
      <c r="C9" s="30">
        <v>6.75</v>
      </c>
      <c r="D9" s="35">
        <v>1.6666666666666667</v>
      </c>
      <c r="E9" s="31">
        <v>0.66666666666666663</v>
      </c>
      <c r="F9" s="31">
        <v>0.33333333333333331</v>
      </c>
      <c r="G9" s="31">
        <v>0.25</v>
      </c>
      <c r="H9" s="31">
        <v>0.22727272727272727</v>
      </c>
      <c r="I9" s="32">
        <v>9636.363636363636</v>
      </c>
      <c r="J9" s="32">
        <v>-7970</v>
      </c>
      <c r="K9" s="31">
        <v>0.16666666666666666</v>
      </c>
      <c r="L9" s="31">
        <v>0.25</v>
      </c>
      <c r="M9" s="31">
        <v>0.22727272727272727</v>
      </c>
      <c r="N9" s="31">
        <v>0.63636363636363635</v>
      </c>
      <c r="O9" s="31">
        <v>0.1</v>
      </c>
      <c r="P9" s="31">
        <v>0.54545454545454541</v>
      </c>
    </row>
    <row r="10" spans="1:17" x14ac:dyDescent="0.4">
      <c r="A10" s="33">
        <v>7</v>
      </c>
      <c r="B10" s="30">
        <v>-14.5</v>
      </c>
      <c r="C10" s="30">
        <v>-2.0714285714285716</v>
      </c>
      <c r="D10" s="35">
        <v>1.8571428571428572</v>
      </c>
      <c r="E10" s="31">
        <v>0.5714285714285714</v>
      </c>
      <c r="F10" s="31">
        <v>0.42857142857142855</v>
      </c>
      <c r="G10" s="31">
        <v>0.23636363636363636</v>
      </c>
      <c r="H10" s="31">
        <v>0.23636363636363636</v>
      </c>
      <c r="I10" s="32">
        <v>9369.2307692307695</v>
      </c>
      <c r="J10" s="32">
        <v>-8161.5384615384619</v>
      </c>
      <c r="K10" s="31">
        <v>0.14285714285714285</v>
      </c>
      <c r="L10" s="31">
        <v>0.23636363636363636</v>
      </c>
      <c r="M10" s="31">
        <v>0.2</v>
      </c>
      <c r="N10" s="31">
        <v>0.61538461538461542</v>
      </c>
      <c r="O10" s="31">
        <v>9.0909090909090912E-2</v>
      </c>
      <c r="P10" s="31">
        <v>0.61538461538461542</v>
      </c>
    </row>
    <row r="11" spans="1:17" x14ac:dyDescent="0.4">
      <c r="A11" s="33">
        <v>8</v>
      </c>
      <c r="B11" s="30">
        <v>-29.2</v>
      </c>
      <c r="C11" s="30">
        <v>-3.65</v>
      </c>
      <c r="D11" s="35">
        <v>1.875</v>
      </c>
      <c r="E11" s="31">
        <v>0.5</v>
      </c>
      <c r="F11" s="31">
        <v>0.375</v>
      </c>
      <c r="G11" s="31">
        <v>0.22950819672131148</v>
      </c>
      <c r="H11" s="31">
        <v>0.21311475409836064</v>
      </c>
      <c r="I11" s="32">
        <v>9271.4285714285706</v>
      </c>
      <c r="J11" s="32">
        <v>-8161.5384615384619</v>
      </c>
      <c r="K11" s="31">
        <v>0.125</v>
      </c>
      <c r="L11" s="31">
        <v>0.29508196721311475</v>
      </c>
      <c r="M11" s="31">
        <v>0.18032786885245902</v>
      </c>
      <c r="N11" s="31">
        <v>0.5</v>
      </c>
      <c r="O11" s="31">
        <v>9.0909090909090912E-2</v>
      </c>
      <c r="P11" s="31">
        <v>0.5714285714285714</v>
      </c>
    </row>
    <row r="12" spans="1:17" x14ac:dyDescent="0.4">
      <c r="A12" s="33">
        <v>9</v>
      </c>
      <c r="B12" s="30">
        <v>-55.2</v>
      </c>
      <c r="C12" s="30">
        <v>-6.1333333333333337</v>
      </c>
      <c r="D12" s="35">
        <v>2</v>
      </c>
      <c r="E12" s="31">
        <v>0.44444444444444442</v>
      </c>
      <c r="F12" s="31">
        <v>0.44444444444444442</v>
      </c>
      <c r="G12" s="31">
        <v>0.22222222222222221</v>
      </c>
      <c r="H12" s="31">
        <v>0.20833333333333334</v>
      </c>
      <c r="I12" s="32">
        <v>9237.5</v>
      </c>
      <c r="J12" s="32">
        <v>-8386.6666666666661</v>
      </c>
      <c r="K12" s="31">
        <v>0.1111111111111111</v>
      </c>
      <c r="L12" s="31">
        <v>0.31944444444444442</v>
      </c>
      <c r="M12" s="31">
        <v>0.22222222222222221</v>
      </c>
      <c r="N12" s="31">
        <v>0.47826086956521741</v>
      </c>
      <c r="O12" s="31">
        <v>6.25E-2</v>
      </c>
      <c r="P12" s="31">
        <v>0.5625</v>
      </c>
    </row>
    <row r="13" spans="1:17" x14ac:dyDescent="0.4">
      <c r="A13" s="33">
        <v>10</v>
      </c>
      <c r="B13" s="30">
        <v>-65.900000000000006</v>
      </c>
      <c r="C13" s="30">
        <v>-6.5900000000000007</v>
      </c>
      <c r="D13" s="35">
        <v>2</v>
      </c>
      <c r="E13" s="31">
        <v>0.4</v>
      </c>
      <c r="F13" s="31">
        <v>0.4</v>
      </c>
      <c r="G13" s="31">
        <v>0.21686746987951808</v>
      </c>
      <c r="H13" s="31">
        <v>0.18072289156626506</v>
      </c>
      <c r="I13" s="32">
        <v>9255.5555555555547</v>
      </c>
      <c r="J13" s="32">
        <v>-8386.6666666666661</v>
      </c>
      <c r="K13" s="31">
        <v>0.1</v>
      </c>
      <c r="L13" s="31">
        <v>0.33734939759036142</v>
      </c>
      <c r="M13" s="31">
        <v>0.19277108433734941</v>
      </c>
      <c r="N13" s="31">
        <v>0.4642857142857143</v>
      </c>
      <c r="O13" s="31">
        <v>6.25E-2</v>
      </c>
      <c r="P13" s="31">
        <v>0.61111111111111116</v>
      </c>
    </row>
    <row r="14" spans="1:17" x14ac:dyDescent="0.4">
      <c r="A14" s="33">
        <v>11</v>
      </c>
      <c r="B14" s="30">
        <v>-72.300000000000011</v>
      </c>
      <c r="C14" s="30">
        <v>-6.5727272727272741</v>
      </c>
      <c r="D14" s="35">
        <v>2</v>
      </c>
      <c r="E14" s="31">
        <v>0.36363636363636365</v>
      </c>
      <c r="F14" s="31">
        <v>0.36363636363636365</v>
      </c>
      <c r="G14" s="31">
        <v>0.24175824175824176</v>
      </c>
      <c r="H14" s="31">
        <v>0.18681318681318682</v>
      </c>
      <c r="I14" s="32">
        <v>8700</v>
      </c>
      <c r="J14" s="32">
        <v>-8411.7647058823532</v>
      </c>
      <c r="K14" s="31">
        <v>9.0909090909090912E-2</v>
      </c>
      <c r="L14" s="31">
        <v>0.32967032967032966</v>
      </c>
      <c r="M14" s="31">
        <v>0.2087912087912088</v>
      </c>
      <c r="N14" s="31">
        <v>0.5</v>
      </c>
      <c r="O14" s="31">
        <v>0.15789473684210525</v>
      </c>
      <c r="P14" s="31">
        <v>0.59090909090909094</v>
      </c>
    </row>
    <row r="15" spans="1:17" x14ac:dyDescent="0.4">
      <c r="A15" s="33">
        <v>12</v>
      </c>
      <c r="B15" s="30">
        <v>-67.800000000000011</v>
      </c>
      <c r="C15" s="30">
        <v>-5.6500000000000012</v>
      </c>
      <c r="D15" s="35">
        <v>2</v>
      </c>
      <c r="E15" s="31">
        <v>0.33333333333333331</v>
      </c>
      <c r="F15" s="31">
        <v>0.33333333333333331</v>
      </c>
      <c r="G15" s="31">
        <v>0.25773195876288657</v>
      </c>
      <c r="H15" s="31">
        <v>0.19587628865979381</v>
      </c>
      <c r="I15" s="32">
        <v>8536</v>
      </c>
      <c r="J15" s="32">
        <v>-8221.0526315789466</v>
      </c>
      <c r="K15" s="31">
        <v>8.3333333333333329E-2</v>
      </c>
      <c r="L15" s="31">
        <v>0.35051546391752575</v>
      </c>
      <c r="M15" s="31">
        <v>0.19587628865979381</v>
      </c>
      <c r="N15" s="31">
        <v>0.52941176470588236</v>
      </c>
      <c r="O15" s="31">
        <v>0.15789473684210525</v>
      </c>
      <c r="P15" s="31">
        <v>0.52</v>
      </c>
    </row>
    <row r="16" spans="1:17" x14ac:dyDescent="0.4">
      <c r="A16" s="33">
        <v>13</v>
      </c>
      <c r="B16" s="30">
        <v>-120.60000000000001</v>
      </c>
      <c r="C16" s="30">
        <v>-9.2769230769230777</v>
      </c>
      <c r="D16" s="35">
        <v>2.0769230769230771</v>
      </c>
      <c r="E16" s="31">
        <v>0.30769230769230771</v>
      </c>
      <c r="F16" s="31">
        <v>0.38461538461538464</v>
      </c>
      <c r="G16" s="31">
        <v>0.24528301886792453</v>
      </c>
      <c r="H16" s="31">
        <v>0.18867924528301888</v>
      </c>
      <c r="I16" s="32">
        <v>8669.2307692307695</v>
      </c>
      <c r="J16" s="32">
        <v>-8410</v>
      </c>
      <c r="K16" s="31">
        <v>7.6923076923076927E-2</v>
      </c>
      <c r="L16" s="31">
        <v>0.35849056603773582</v>
      </c>
      <c r="M16" s="31">
        <v>0.18867924528301888</v>
      </c>
      <c r="N16" s="31">
        <v>0.5</v>
      </c>
      <c r="O16" s="31">
        <v>0.15</v>
      </c>
      <c r="P16" s="31">
        <v>0.53846153846153844</v>
      </c>
    </row>
    <row r="17" spans="1:16" x14ac:dyDescent="0.4">
      <c r="A17" s="33">
        <v>14</v>
      </c>
      <c r="B17" s="30">
        <v>-111.7</v>
      </c>
      <c r="C17" s="30">
        <v>-7.9785714285714286</v>
      </c>
      <c r="D17" s="35">
        <v>2.0714285714285716</v>
      </c>
      <c r="E17" s="31">
        <v>0.2857142857142857</v>
      </c>
      <c r="F17" s="31">
        <v>0.35714285714285715</v>
      </c>
      <c r="G17" s="31">
        <v>0.25663716814159293</v>
      </c>
      <c r="H17" s="31">
        <v>0.18584070796460178</v>
      </c>
      <c r="I17" s="32">
        <v>8275.8620689655181</v>
      </c>
      <c r="J17" s="32">
        <v>-8376.1904761904771</v>
      </c>
      <c r="K17" s="31">
        <v>7.1428571428571425E-2</v>
      </c>
      <c r="L17" s="31">
        <v>0.37168141592920356</v>
      </c>
      <c r="M17" s="31">
        <v>0.18584070796460178</v>
      </c>
      <c r="N17" s="31">
        <v>0.52380952380952384</v>
      </c>
      <c r="O17" s="31">
        <v>0.14285714285714285</v>
      </c>
      <c r="P17" s="31">
        <v>0.58620689655172409</v>
      </c>
    </row>
    <row r="18" spans="1:16" x14ac:dyDescent="0.4">
      <c r="A18" s="33">
        <v>15</v>
      </c>
      <c r="B18" s="30">
        <v>-138.19999999999999</v>
      </c>
      <c r="C18" s="30">
        <v>-9.2133333333333329</v>
      </c>
      <c r="D18" s="35">
        <v>2.1333333333333333</v>
      </c>
      <c r="E18" s="31">
        <v>0.26666666666666666</v>
      </c>
      <c r="F18" s="31">
        <v>0.4</v>
      </c>
      <c r="G18" s="31">
        <v>0.25806451612903225</v>
      </c>
      <c r="H18" s="31">
        <v>0.18548387096774194</v>
      </c>
      <c r="I18" s="32">
        <v>8687.5</v>
      </c>
      <c r="J18" s="32">
        <v>-8691.3043478260861</v>
      </c>
      <c r="K18" s="31">
        <v>6.6666666666666666E-2</v>
      </c>
      <c r="L18" s="31">
        <v>0.37096774193548387</v>
      </c>
      <c r="M18" s="31">
        <v>0.18548387096774194</v>
      </c>
      <c r="N18" s="31">
        <v>0.54347826086956519</v>
      </c>
      <c r="O18" s="31">
        <v>0.13043478260869565</v>
      </c>
      <c r="P18" s="31">
        <v>0.5625</v>
      </c>
    </row>
    <row r="19" spans="1:16" x14ac:dyDescent="0.4">
      <c r="A19" s="33">
        <v>16</v>
      </c>
      <c r="B19" s="30">
        <v>-131.6</v>
      </c>
      <c r="C19" s="30">
        <v>-8.2249999999999996</v>
      </c>
      <c r="D19" s="35">
        <v>2.125</v>
      </c>
      <c r="E19" s="31">
        <v>0.25</v>
      </c>
      <c r="F19" s="31">
        <v>0.375</v>
      </c>
      <c r="G19" s="31">
        <v>0.2537313432835821</v>
      </c>
      <c r="H19" s="31">
        <v>0.17910447761194029</v>
      </c>
      <c r="I19" s="32">
        <v>9117.6470588235297</v>
      </c>
      <c r="J19" s="32">
        <v>-8462.5</v>
      </c>
      <c r="K19" s="31">
        <v>6.25E-2</v>
      </c>
      <c r="L19" s="31">
        <v>0.36567164179104478</v>
      </c>
      <c r="M19" s="31">
        <v>0.20149253731343283</v>
      </c>
      <c r="N19" s="31">
        <v>0.53061224489795922</v>
      </c>
      <c r="O19" s="31">
        <v>0.14814814814814814</v>
      </c>
      <c r="P19" s="31">
        <v>0.55882352941176472</v>
      </c>
    </row>
    <row r="20" spans="1:16" x14ac:dyDescent="0.4">
      <c r="A20" s="33">
        <v>17</v>
      </c>
      <c r="B20" s="30">
        <v>-187.39999999999998</v>
      </c>
      <c r="C20" s="30">
        <v>-11.023529411764704</v>
      </c>
      <c r="D20" s="35">
        <v>2.1764705882352939</v>
      </c>
      <c r="E20" s="31">
        <v>0.23529411764705882</v>
      </c>
      <c r="F20" s="31">
        <v>0.41176470588235292</v>
      </c>
      <c r="G20" s="31">
        <v>0.24475524475524477</v>
      </c>
      <c r="H20" s="31">
        <v>0.18181818181818182</v>
      </c>
      <c r="I20" s="32">
        <v>9005.7142857142862</v>
      </c>
      <c r="J20" s="32">
        <v>-8734.6153846153848</v>
      </c>
      <c r="K20" s="31">
        <v>0.11764705882352941</v>
      </c>
      <c r="L20" s="31">
        <v>0.37062937062937062</v>
      </c>
      <c r="M20" s="31">
        <v>0.19580419580419581</v>
      </c>
      <c r="N20" s="31">
        <v>0.50943396226415094</v>
      </c>
      <c r="O20" s="31">
        <v>0.14285714285714285</v>
      </c>
      <c r="P20" s="31">
        <v>0.54285714285714282</v>
      </c>
    </row>
    <row r="21" spans="1:16" x14ac:dyDescent="0.4">
      <c r="A21" s="33">
        <v>18</v>
      </c>
      <c r="B21" s="30">
        <v>-146.79999999999998</v>
      </c>
      <c r="C21" s="30">
        <v>-8.155555555555555</v>
      </c>
      <c r="D21" s="35">
        <v>2.1111111111111112</v>
      </c>
      <c r="E21" s="31">
        <v>0.27777777777777779</v>
      </c>
      <c r="F21" s="31">
        <v>0.3888888888888889</v>
      </c>
      <c r="G21" s="31">
        <v>0.25</v>
      </c>
      <c r="H21" s="31">
        <v>0.17763157894736842</v>
      </c>
      <c r="I21" s="32">
        <v>9547.3684210526317</v>
      </c>
      <c r="J21" s="32">
        <v>-8707.4074074074069</v>
      </c>
      <c r="K21" s="31">
        <v>0.1111111111111111</v>
      </c>
      <c r="L21" s="31">
        <v>0.38157894736842107</v>
      </c>
      <c r="M21" s="31">
        <v>0.19078947368421054</v>
      </c>
      <c r="N21" s="31">
        <v>0.51724137931034486</v>
      </c>
      <c r="O21" s="31">
        <v>0.13793103448275862</v>
      </c>
      <c r="P21" s="31">
        <v>0.57894736842105265</v>
      </c>
    </row>
    <row r="22" spans="1:16" x14ac:dyDescent="0.4">
      <c r="A22" s="33">
        <v>19</v>
      </c>
      <c r="B22" s="30">
        <v>-110.69999999999999</v>
      </c>
      <c r="C22" s="30">
        <v>-5.8263157894736839</v>
      </c>
      <c r="D22" s="35">
        <v>2.0526315789473686</v>
      </c>
      <c r="E22" s="31">
        <v>0.31578947368421051</v>
      </c>
      <c r="F22" s="31">
        <v>0.36842105263157893</v>
      </c>
      <c r="G22" s="31">
        <v>0.25766871165644173</v>
      </c>
      <c r="H22" s="31">
        <v>0.16564417177914109</v>
      </c>
      <c r="I22" s="32">
        <v>9316.6666666666661</v>
      </c>
      <c r="J22" s="32">
        <v>-8707.4074074074069</v>
      </c>
      <c r="K22" s="31">
        <v>0.10526315789473684</v>
      </c>
      <c r="L22" s="31">
        <v>0.37423312883435583</v>
      </c>
      <c r="M22" s="31">
        <v>0.20245398773006135</v>
      </c>
      <c r="N22" s="31">
        <v>0.52459016393442626</v>
      </c>
      <c r="O22" s="31">
        <v>0.18181818181818182</v>
      </c>
      <c r="P22" s="31">
        <v>0.54761904761904767</v>
      </c>
    </row>
    <row r="23" spans="1:16" x14ac:dyDescent="0.4">
      <c r="A23" s="33">
        <v>20</v>
      </c>
      <c r="B23" s="30">
        <v>-111.6</v>
      </c>
      <c r="C23" s="30">
        <v>-5.58</v>
      </c>
      <c r="D23" s="35">
        <v>2.0499999999999998</v>
      </c>
      <c r="E23" s="31">
        <v>0.3</v>
      </c>
      <c r="F23" s="31">
        <v>0.35</v>
      </c>
      <c r="G23" s="31">
        <v>0.25714285714285712</v>
      </c>
      <c r="H23" s="31">
        <v>0.16</v>
      </c>
      <c r="I23" s="32">
        <v>9400</v>
      </c>
      <c r="J23" s="32">
        <v>-8825</v>
      </c>
      <c r="K23" s="31">
        <v>0.1</v>
      </c>
      <c r="L23" s="31">
        <v>0.38285714285714284</v>
      </c>
      <c r="M23" s="31">
        <v>0.19428571428571428</v>
      </c>
      <c r="N23" s="31">
        <v>0.52238805970149249</v>
      </c>
      <c r="O23" s="31">
        <v>0.17647058823529413</v>
      </c>
      <c r="P23" s="31">
        <v>0.57777777777777772</v>
      </c>
    </row>
    <row r="24" spans="1:16" x14ac:dyDescent="0.4">
      <c r="A24" s="33">
        <v>21</v>
      </c>
      <c r="B24" s="30">
        <v>-82.399999999999991</v>
      </c>
      <c r="C24" s="30">
        <v>-3.9238095238095232</v>
      </c>
      <c r="D24" s="35">
        <v>2</v>
      </c>
      <c r="E24" s="31">
        <v>0.33333333333333331</v>
      </c>
      <c r="F24" s="31">
        <v>0.33333333333333331</v>
      </c>
      <c r="G24" s="31">
        <v>0.27419354838709675</v>
      </c>
      <c r="H24" s="31">
        <v>0.16129032258064516</v>
      </c>
      <c r="I24" s="32">
        <v>8917.6470588235297</v>
      </c>
      <c r="J24" s="32">
        <v>-8966.6666666666661</v>
      </c>
      <c r="K24" s="31">
        <v>9.5238095238095233E-2</v>
      </c>
      <c r="L24" s="31">
        <v>0.38709677419354838</v>
      </c>
      <c r="M24" s="31">
        <v>0.18817204301075269</v>
      </c>
      <c r="N24" s="31">
        <v>0.54166666666666663</v>
      </c>
      <c r="O24" s="31">
        <v>0.17142857142857143</v>
      </c>
      <c r="P24" s="31">
        <v>0.56862745098039214</v>
      </c>
    </row>
    <row r="25" spans="1:16" x14ac:dyDescent="0.4">
      <c r="A25" s="33">
        <v>22</v>
      </c>
      <c r="B25" s="30">
        <v>-32.79999999999999</v>
      </c>
      <c r="C25" s="30">
        <v>-1.4909090909090905</v>
      </c>
      <c r="D25" s="35">
        <v>1.9545454545454546</v>
      </c>
      <c r="E25" s="31">
        <v>0.36363636363636365</v>
      </c>
      <c r="F25" s="31">
        <v>0.31818181818181818</v>
      </c>
      <c r="G25" s="31">
        <v>0.28042328042328041</v>
      </c>
      <c r="H25" s="31">
        <v>0.15873015873015872</v>
      </c>
      <c r="I25" s="32">
        <v>9101.8867924528295</v>
      </c>
      <c r="J25" s="32">
        <v>-8966.6666666666661</v>
      </c>
      <c r="K25" s="31">
        <v>9.0909090909090912E-2</v>
      </c>
      <c r="L25" s="31">
        <v>0.39153439153439151</v>
      </c>
      <c r="M25" s="31">
        <v>0.18518518518518517</v>
      </c>
      <c r="N25" s="31">
        <v>0.55405405405405406</v>
      </c>
      <c r="O25" s="31">
        <v>0.17142857142857143</v>
      </c>
      <c r="P25" s="31">
        <v>0.54716981132075471</v>
      </c>
    </row>
    <row r="26" spans="1:16" x14ac:dyDescent="0.4">
      <c r="A26" s="33">
        <v>23</v>
      </c>
      <c r="B26" s="30">
        <v>-92.699999999999989</v>
      </c>
      <c r="C26" s="30">
        <v>-4.0304347826086948</v>
      </c>
      <c r="D26" s="35">
        <v>2</v>
      </c>
      <c r="E26" s="31">
        <v>0.34782608695652173</v>
      </c>
      <c r="F26" s="31">
        <v>0.34782608695652173</v>
      </c>
      <c r="G26" s="31">
        <v>0.26767676767676768</v>
      </c>
      <c r="H26" s="31">
        <v>0.16161616161616163</v>
      </c>
      <c r="I26" s="32">
        <v>9101.8867924528295</v>
      </c>
      <c r="J26" s="32">
        <v>-8590.625</v>
      </c>
      <c r="K26" s="31">
        <v>0.13043478260869565</v>
      </c>
      <c r="L26" s="31">
        <v>0.3888888888888889</v>
      </c>
      <c r="M26" s="31">
        <v>0.19191919191919191</v>
      </c>
      <c r="N26" s="31">
        <v>0.53246753246753242</v>
      </c>
      <c r="O26" s="31">
        <v>0.15789473684210525</v>
      </c>
      <c r="P26" s="31">
        <v>0.54716981132075471</v>
      </c>
    </row>
    <row r="27" spans="1:16" x14ac:dyDescent="0.4">
      <c r="A27" s="33">
        <v>24</v>
      </c>
      <c r="B27" s="30">
        <v>-54.29999999999999</v>
      </c>
      <c r="C27" s="30">
        <v>-2.2624999999999997</v>
      </c>
      <c r="D27" s="35">
        <v>1.9583333333333333</v>
      </c>
      <c r="E27" s="31">
        <v>0.375</v>
      </c>
      <c r="F27" s="31">
        <v>0.33333333333333331</v>
      </c>
      <c r="G27" s="31">
        <v>0.27403846153846156</v>
      </c>
      <c r="H27" s="31">
        <v>0.15865384615384615</v>
      </c>
      <c r="I27" s="32">
        <v>8870.1754385964905</v>
      </c>
      <c r="J27" s="32">
        <v>-8390.9090909090901</v>
      </c>
      <c r="K27" s="31">
        <v>0.125</v>
      </c>
      <c r="L27" s="31">
        <v>0.38461538461538464</v>
      </c>
      <c r="M27" s="31">
        <v>0.19230769230769232</v>
      </c>
      <c r="N27" s="31">
        <v>0.55000000000000004</v>
      </c>
      <c r="O27" s="31">
        <v>0.17499999999999999</v>
      </c>
      <c r="P27" s="31">
        <v>0.50877192982456143</v>
      </c>
    </row>
    <row r="28" spans="1:16" x14ac:dyDescent="0.4">
      <c r="A28" s="33">
        <v>25</v>
      </c>
      <c r="B28" s="30">
        <v>-34.79999999999999</v>
      </c>
      <c r="C28" s="30">
        <v>-1.3919999999999997</v>
      </c>
      <c r="D28" s="35">
        <v>1.96</v>
      </c>
      <c r="E28" s="31">
        <v>0.36</v>
      </c>
      <c r="F28" s="31">
        <v>0.32</v>
      </c>
      <c r="G28" s="31">
        <v>0.27981651376146788</v>
      </c>
      <c r="H28" s="31">
        <v>0.15137614678899083</v>
      </c>
      <c r="I28" s="32">
        <v>8596.7213114754104</v>
      </c>
      <c r="J28" s="32">
        <v>-8390.9090909090901</v>
      </c>
      <c r="K28" s="31">
        <v>0.12</v>
      </c>
      <c r="L28" s="31">
        <v>0.38073394495412843</v>
      </c>
      <c r="M28" s="31">
        <v>0.19724770642201836</v>
      </c>
      <c r="N28" s="31">
        <v>0.55421686746987953</v>
      </c>
      <c r="O28" s="31">
        <v>0.20930232558139536</v>
      </c>
      <c r="P28" s="31">
        <v>0.52459016393442626</v>
      </c>
    </row>
    <row r="29" spans="1:16" x14ac:dyDescent="0.4">
      <c r="A29" s="33">
        <v>26</v>
      </c>
      <c r="B29" s="30">
        <v>0.80000000000001137</v>
      </c>
      <c r="C29" s="30">
        <v>3.0769230769231208E-2</v>
      </c>
      <c r="D29" s="35">
        <v>1.9230769230769231</v>
      </c>
      <c r="E29" s="31">
        <v>0.38461538461538464</v>
      </c>
      <c r="F29" s="31">
        <v>0.30769230769230771</v>
      </c>
      <c r="G29" s="31">
        <v>0.28761061946902655</v>
      </c>
      <c r="H29" s="31">
        <v>0.15044247787610621</v>
      </c>
      <c r="I29" s="32">
        <v>8423.0769230769238</v>
      </c>
      <c r="J29" s="32">
        <v>-8258.823529411764</v>
      </c>
      <c r="K29" s="31">
        <v>0.11538461538461539</v>
      </c>
      <c r="L29" s="31">
        <v>0.38053097345132741</v>
      </c>
      <c r="M29" s="31">
        <v>0.19911504424778761</v>
      </c>
      <c r="N29" s="31">
        <v>0.55813953488372092</v>
      </c>
      <c r="O29" s="31">
        <v>0.24444444444444444</v>
      </c>
      <c r="P29" s="31">
        <v>0.50769230769230766</v>
      </c>
    </row>
    <row r="30" spans="1:16" x14ac:dyDescent="0.4">
      <c r="A30" s="33">
        <v>27</v>
      </c>
      <c r="B30" s="30">
        <v>-32.399999999999991</v>
      </c>
      <c r="C30" s="30">
        <v>-1.1999999999999997</v>
      </c>
      <c r="D30" s="35">
        <v>1.962962962962963</v>
      </c>
      <c r="E30" s="31">
        <v>0.37037037037037035</v>
      </c>
      <c r="F30" s="31">
        <v>0.33333333333333331</v>
      </c>
      <c r="G30" s="31">
        <v>0.27848101265822783</v>
      </c>
      <c r="H30" s="31">
        <v>0.15189873417721519</v>
      </c>
      <c r="I30" s="32">
        <v>8313.636363636364</v>
      </c>
      <c r="J30" s="32">
        <v>-7936.1111111111113</v>
      </c>
      <c r="K30" s="31">
        <v>0.1111111111111111</v>
      </c>
      <c r="L30" s="31">
        <v>0.3881856540084388</v>
      </c>
      <c r="M30" s="31">
        <v>0.189873417721519</v>
      </c>
      <c r="N30" s="31">
        <v>0.53260869565217395</v>
      </c>
      <c r="O30" s="31">
        <v>0.24444444444444444</v>
      </c>
      <c r="P30" s="31">
        <v>0.51515151515151514</v>
      </c>
    </row>
    <row r="31" spans="1:16" x14ac:dyDescent="0.4">
      <c r="A31" s="33">
        <v>28</v>
      </c>
      <c r="B31" s="30">
        <v>62.600000000000009</v>
      </c>
      <c r="C31" s="30">
        <v>2.2357142857142862</v>
      </c>
      <c r="D31" s="35">
        <v>1.9285714285714286</v>
      </c>
      <c r="E31" s="31">
        <v>0.39285714285714285</v>
      </c>
      <c r="F31" s="31">
        <v>0.32142857142857145</v>
      </c>
      <c r="G31" s="31">
        <v>0.2880658436213992</v>
      </c>
      <c r="H31" s="31">
        <v>0.14814814814814814</v>
      </c>
      <c r="I31" s="32">
        <v>8895.7142857142862</v>
      </c>
      <c r="J31" s="32">
        <v>-7936.1111111111113</v>
      </c>
      <c r="K31" s="31">
        <v>0.10714285714285714</v>
      </c>
      <c r="L31" s="31">
        <v>0.39094650205761317</v>
      </c>
      <c r="M31" s="31">
        <v>0.18930041152263374</v>
      </c>
      <c r="N31" s="31">
        <v>0.54736842105263162</v>
      </c>
      <c r="O31" s="31">
        <v>0.2608695652173913</v>
      </c>
      <c r="P31" s="31">
        <v>0.51428571428571423</v>
      </c>
    </row>
    <row r="32" spans="1:16" x14ac:dyDescent="0.4">
      <c r="A32" s="33">
        <v>29</v>
      </c>
      <c r="B32" s="30">
        <v>46.000000000000007</v>
      </c>
      <c r="C32" s="30">
        <v>1.5862068965517244</v>
      </c>
      <c r="D32" s="35">
        <v>1.9310344827586208</v>
      </c>
      <c r="E32" s="31">
        <v>0.37931034482758619</v>
      </c>
      <c r="F32" s="31">
        <v>0.31034482758620691</v>
      </c>
      <c r="G32" s="31">
        <v>0.28286852589641437</v>
      </c>
      <c r="H32" s="31">
        <v>0.15537848605577689</v>
      </c>
      <c r="I32" s="32">
        <v>8939.4366197183099</v>
      </c>
      <c r="J32" s="32">
        <v>-8025.6410256410254</v>
      </c>
      <c r="K32" s="31">
        <v>0.10344827586206896</v>
      </c>
      <c r="L32" s="31">
        <v>0.39043824701195218</v>
      </c>
      <c r="M32" s="31">
        <v>0.18725099601593626</v>
      </c>
      <c r="N32" s="31">
        <v>0.54081632653061229</v>
      </c>
      <c r="O32" s="31">
        <v>0.25531914893617019</v>
      </c>
      <c r="P32" s="31">
        <v>0.52112676056338025</v>
      </c>
    </row>
    <row r="33" spans="1:16" x14ac:dyDescent="0.4">
      <c r="A33" s="33">
        <v>30</v>
      </c>
      <c r="B33" s="30">
        <v>15.900000000000006</v>
      </c>
      <c r="C33" s="30">
        <v>0.53000000000000014</v>
      </c>
      <c r="D33" s="35">
        <v>1.9666666666666666</v>
      </c>
      <c r="E33" s="31">
        <v>0.36666666666666664</v>
      </c>
      <c r="F33" s="31">
        <v>0.33333333333333331</v>
      </c>
      <c r="G33" s="31">
        <v>0.27692307692307694</v>
      </c>
      <c r="H33" s="31">
        <v>0.15384615384615385</v>
      </c>
      <c r="I33" s="32">
        <v>9065.2777777777774</v>
      </c>
      <c r="J33" s="32">
        <v>-8125</v>
      </c>
      <c r="K33" s="31">
        <v>0.1</v>
      </c>
      <c r="L33" s="31">
        <v>0.38846153846153847</v>
      </c>
      <c r="M33" s="31">
        <v>0.18846153846153846</v>
      </c>
      <c r="N33" s="31">
        <v>0.52475247524752477</v>
      </c>
      <c r="O33" s="31">
        <v>0.26530612244897961</v>
      </c>
      <c r="P33" s="31">
        <v>0.52777777777777779</v>
      </c>
    </row>
    <row r="34" spans="1:16" x14ac:dyDescent="0.4">
      <c r="A34" s="33">
        <v>31</v>
      </c>
      <c r="B34" s="30">
        <v>63.400000000000006</v>
      </c>
      <c r="C34" s="30">
        <v>2.0451612903225809</v>
      </c>
      <c r="D34" s="35">
        <v>1.935483870967742</v>
      </c>
      <c r="E34" s="31">
        <v>0.38709677419354838</v>
      </c>
      <c r="F34" s="31">
        <v>0.32258064516129031</v>
      </c>
      <c r="G34" s="31">
        <v>0.28731343283582089</v>
      </c>
      <c r="H34" s="31">
        <v>0.14925373134328357</v>
      </c>
      <c r="I34" s="32">
        <v>8963.636363636364</v>
      </c>
      <c r="J34" s="32">
        <v>-8125</v>
      </c>
      <c r="K34" s="31">
        <v>9.6774193548387094E-2</v>
      </c>
      <c r="L34" s="31">
        <v>0.38059701492537312</v>
      </c>
      <c r="M34" s="31">
        <v>0.19029850746268656</v>
      </c>
      <c r="N34" s="31">
        <v>0.52941176470588236</v>
      </c>
      <c r="O34" s="31">
        <v>0.27450980392156865</v>
      </c>
      <c r="P34" s="31">
        <v>0.50649350649350644</v>
      </c>
    </row>
    <row r="35" spans="1:16" x14ac:dyDescent="0.4">
      <c r="A35" s="33">
        <v>32</v>
      </c>
      <c r="B35" s="30">
        <v>28.200000000000003</v>
      </c>
      <c r="C35" s="30">
        <v>0.88125000000000009</v>
      </c>
      <c r="D35" s="35">
        <v>1.96875</v>
      </c>
      <c r="E35" s="31">
        <v>0.375</v>
      </c>
      <c r="F35" s="31">
        <v>0.34375</v>
      </c>
      <c r="G35" s="31">
        <v>0.28673835125448027</v>
      </c>
      <c r="H35" s="31">
        <v>0.15412186379928317</v>
      </c>
      <c r="I35" s="32">
        <v>8977.5</v>
      </c>
      <c r="J35" s="32">
        <v>-8276.7441860465115</v>
      </c>
      <c r="K35" s="31">
        <v>9.375E-2</v>
      </c>
      <c r="L35" s="31">
        <v>0.38351254480286739</v>
      </c>
      <c r="M35" s="31">
        <v>0.18996415770609318</v>
      </c>
      <c r="N35" s="31">
        <v>0.52336448598130836</v>
      </c>
      <c r="O35" s="31">
        <v>0.28301886792452829</v>
      </c>
      <c r="P35" s="31">
        <v>0.52500000000000002</v>
      </c>
    </row>
    <row r="36" spans="1:16" x14ac:dyDescent="0.4">
      <c r="A36" s="33">
        <v>33</v>
      </c>
      <c r="B36" s="30">
        <v>119.2</v>
      </c>
      <c r="C36" s="30">
        <v>3.6121212121212123</v>
      </c>
      <c r="D36" s="35">
        <v>1.9393939393939394</v>
      </c>
      <c r="E36" s="31">
        <v>0.39393939393939392</v>
      </c>
      <c r="F36" s="31">
        <v>0.33333333333333331</v>
      </c>
      <c r="G36" s="31">
        <v>0.29411764705882354</v>
      </c>
      <c r="H36" s="31">
        <v>0.14878892733564014</v>
      </c>
      <c r="I36" s="32">
        <v>9378.823529411764</v>
      </c>
      <c r="J36" s="32">
        <v>-8276.7441860465115</v>
      </c>
      <c r="K36" s="31">
        <v>9.0909090909090912E-2</v>
      </c>
      <c r="L36" s="31">
        <v>0.3944636678200692</v>
      </c>
      <c r="M36" s="31">
        <v>0.18339100346020762</v>
      </c>
      <c r="N36" s="31">
        <v>0.52631578947368418</v>
      </c>
      <c r="O36" s="31">
        <v>0.28301886792452829</v>
      </c>
      <c r="P36" s="31">
        <v>0.51764705882352946</v>
      </c>
    </row>
    <row r="37" spans="1:16" x14ac:dyDescent="0.4">
      <c r="A37" s="33">
        <v>34</v>
      </c>
      <c r="B37" s="30">
        <v>189.2</v>
      </c>
      <c r="C37" s="30">
        <v>5.5647058823529409</v>
      </c>
      <c r="D37" s="35">
        <v>1.911764705882353</v>
      </c>
      <c r="E37" s="31">
        <v>0.41176470588235292</v>
      </c>
      <c r="F37" s="31">
        <v>0.3235294117647059</v>
      </c>
      <c r="G37" s="31">
        <v>0.29896907216494845</v>
      </c>
      <c r="H37" s="31">
        <v>0.14776632302405499</v>
      </c>
      <c r="I37" s="32">
        <v>9714.9425287356316</v>
      </c>
      <c r="J37" s="32">
        <v>-8276.7441860465115</v>
      </c>
      <c r="K37" s="31">
        <v>8.8235294117647065E-2</v>
      </c>
      <c r="L37" s="31">
        <v>0.3951890034364261</v>
      </c>
      <c r="M37" s="31">
        <v>0.18556701030927836</v>
      </c>
      <c r="N37" s="31">
        <v>0.5304347826086957</v>
      </c>
      <c r="O37" s="31">
        <v>0.29629629629629628</v>
      </c>
      <c r="P37" s="31">
        <v>0.51724137931034486</v>
      </c>
    </row>
    <row r="38" spans="1:16" x14ac:dyDescent="0.4">
      <c r="A38" s="33">
        <v>35</v>
      </c>
      <c r="B38" s="30">
        <v>163.29999999999998</v>
      </c>
      <c r="C38" s="30">
        <v>4.6657142857142855</v>
      </c>
      <c r="D38" s="35">
        <v>1.9428571428571428</v>
      </c>
      <c r="E38" s="31">
        <v>0.4</v>
      </c>
      <c r="F38" s="31">
        <v>0.34285714285714286</v>
      </c>
      <c r="G38" s="31">
        <v>0.29966329966329969</v>
      </c>
      <c r="H38" s="31">
        <v>0.14814814814814814</v>
      </c>
      <c r="I38" s="32">
        <v>9653.9325842696635</v>
      </c>
      <c r="J38" s="32">
        <v>-8118.181818181818</v>
      </c>
      <c r="K38" s="31">
        <v>8.5714285714285715E-2</v>
      </c>
      <c r="L38" s="31">
        <v>0.39057239057239057</v>
      </c>
      <c r="M38" s="31">
        <v>0.18181818181818182</v>
      </c>
      <c r="N38" s="31">
        <v>0.53448275862068961</v>
      </c>
      <c r="O38" s="31">
        <v>0.29629629629629628</v>
      </c>
      <c r="P38" s="31">
        <v>0.5168539325842697</v>
      </c>
    </row>
    <row r="39" spans="1:16" x14ac:dyDescent="0.4">
      <c r="A39" s="33">
        <v>36</v>
      </c>
      <c r="B39" s="30">
        <v>105.09999999999998</v>
      </c>
      <c r="C39" s="30">
        <v>2.9194444444444438</v>
      </c>
      <c r="D39" s="35">
        <v>1.9722222222222223</v>
      </c>
      <c r="E39" s="31">
        <v>0.3888888888888889</v>
      </c>
      <c r="F39" s="31">
        <v>0.3611111111111111</v>
      </c>
      <c r="G39" s="31">
        <v>0.29276315789473684</v>
      </c>
      <c r="H39" s="31">
        <v>0.15460526315789475</v>
      </c>
      <c r="I39" s="32">
        <v>9653.9325842696635</v>
      </c>
      <c r="J39" s="32">
        <v>-8263.8297872340427</v>
      </c>
      <c r="K39" s="31">
        <v>0.1111111111111111</v>
      </c>
      <c r="L39" s="31">
        <v>0.39144736842105265</v>
      </c>
      <c r="M39" s="31">
        <v>0.18092105263157895</v>
      </c>
      <c r="N39" s="31">
        <v>0.52100840336134457</v>
      </c>
      <c r="O39" s="31">
        <v>0.29090909090909089</v>
      </c>
      <c r="P39" s="31">
        <v>0.5168539325842697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7BB3D-2CE3-458F-BEDD-BA634AF07296}">
  <sheetPr codeName="Sheet6"/>
  <dimension ref="A1:Q7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138</v>
      </c>
      <c r="B1" s="34" t="s">
        <v>138</v>
      </c>
      <c r="C1" s="34" t="s">
        <v>138</v>
      </c>
      <c r="D1" s="35" t="s">
        <v>138</v>
      </c>
      <c r="E1" s="34" t="s">
        <v>138</v>
      </c>
      <c r="F1" s="34" t="s">
        <v>138</v>
      </c>
      <c r="G1" s="34" t="s">
        <v>138</v>
      </c>
      <c r="H1" s="34" t="s">
        <v>138</v>
      </c>
      <c r="I1" s="34" t="s">
        <v>138</v>
      </c>
      <c r="J1" s="34" t="s">
        <v>138</v>
      </c>
      <c r="K1" s="34" t="s">
        <v>138</v>
      </c>
      <c r="L1" s="34" t="s">
        <v>138</v>
      </c>
      <c r="M1" s="34" t="s">
        <v>138</v>
      </c>
      <c r="N1" s="34" t="s">
        <v>138</v>
      </c>
      <c r="O1" s="34" t="s">
        <v>138</v>
      </c>
      <c r="P1" s="34" t="s">
        <v>138</v>
      </c>
      <c r="Q1" s="34" t="s">
        <v>138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0.26666666666666666</v>
      </c>
      <c r="H4" s="31">
        <v>0.2</v>
      </c>
      <c r="I4" s="32">
        <v>10000</v>
      </c>
      <c r="J4" s="32">
        <v>-12000</v>
      </c>
      <c r="K4" s="31">
        <v>0.33333333333333331</v>
      </c>
      <c r="L4" s="31">
        <v>0.26666666666666666</v>
      </c>
      <c r="M4" s="31">
        <v>6.6666666666666666E-2</v>
      </c>
      <c r="N4" s="31">
        <v>0.75</v>
      </c>
      <c r="O4" s="31">
        <v>0</v>
      </c>
      <c r="P4" s="31">
        <v>0.25</v>
      </c>
    </row>
    <row r="5" spans="1:17" x14ac:dyDescent="0.4">
      <c r="A5" s="33">
        <v>2</v>
      </c>
      <c r="B5" s="30">
        <v>1.4432899320127035E-15</v>
      </c>
      <c r="C5" s="30">
        <v>2.4054832200211723E-16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0.24242424242424243</v>
      </c>
      <c r="I5" s="32">
        <v>7570</v>
      </c>
      <c r="J5" s="32">
        <v>-8462.5</v>
      </c>
      <c r="K5" s="31">
        <v>0.16666666666666666</v>
      </c>
      <c r="L5" s="31">
        <v>0.33333333333333331</v>
      </c>
      <c r="M5" s="31">
        <v>0.15151515151515152</v>
      </c>
      <c r="N5" s="31">
        <v>0.72727272727272729</v>
      </c>
      <c r="O5" s="31">
        <v>0.2</v>
      </c>
      <c r="P5" s="31">
        <v>0.2</v>
      </c>
    </row>
    <row r="6" spans="1:17" x14ac:dyDescent="0.4">
      <c r="A6" s="33">
        <v>3</v>
      </c>
      <c r="B6" s="30">
        <v>-3.5527136788005009E-15</v>
      </c>
      <c r="C6" s="30">
        <v>-3.9474596431116675E-16</v>
      </c>
      <c r="D6" s="35">
        <v>2</v>
      </c>
      <c r="E6" s="31">
        <v>0.33333333333333331</v>
      </c>
      <c r="F6" s="31">
        <v>0.33333333333333331</v>
      </c>
      <c r="G6" s="31">
        <v>0.27272727272727271</v>
      </c>
      <c r="H6" s="31">
        <v>0.19696969696969696</v>
      </c>
      <c r="I6" s="32">
        <v>9116.6666666666661</v>
      </c>
      <c r="J6" s="32">
        <v>-11453.846153846154</v>
      </c>
      <c r="K6" s="31">
        <v>0.22222222222222221</v>
      </c>
      <c r="L6" s="31">
        <v>0.31818181818181818</v>
      </c>
      <c r="M6" s="31">
        <v>0.18181818181818182</v>
      </c>
      <c r="N6" s="31">
        <v>0.61904761904761907</v>
      </c>
      <c r="O6" s="31">
        <v>0.16666666666666666</v>
      </c>
      <c r="P6" s="31">
        <v>0.27777777777777779</v>
      </c>
    </row>
    <row r="7" spans="1:17" x14ac:dyDescent="0.4">
      <c r="A7" s="33">
        <v>4</v>
      </c>
      <c r="B7" s="30">
        <v>-3.5527136788005009E-15</v>
      </c>
      <c r="C7" s="30">
        <v>-2.9605947323337506E-16</v>
      </c>
      <c r="D7" s="35">
        <v>2</v>
      </c>
      <c r="E7" s="31">
        <v>0.33333333333333331</v>
      </c>
      <c r="F7" s="31">
        <v>0.33333333333333331</v>
      </c>
      <c r="G7" s="31">
        <v>0.2857142857142857</v>
      </c>
      <c r="H7" s="31">
        <v>0.21428571428571427</v>
      </c>
      <c r="I7" s="32">
        <v>8120.833333333333</v>
      </c>
      <c r="J7" s="32">
        <v>-9805.5555555555547</v>
      </c>
      <c r="K7" s="31">
        <v>0.16666666666666666</v>
      </c>
      <c r="L7" s="31">
        <v>0.29761904761904762</v>
      </c>
      <c r="M7" s="31">
        <v>0.20238095238095238</v>
      </c>
      <c r="N7" s="31">
        <v>0.64</v>
      </c>
      <c r="O7" s="31">
        <v>0.23529411764705882</v>
      </c>
      <c r="P7" s="31">
        <v>0.25</v>
      </c>
    </row>
    <row r="8" spans="1:17" x14ac:dyDescent="0.4">
      <c r="A8" s="33">
        <v>5</v>
      </c>
      <c r="B8" s="30">
        <v>0</v>
      </c>
      <c r="C8" s="30">
        <v>0</v>
      </c>
      <c r="D8" s="35">
        <v>2</v>
      </c>
      <c r="E8" s="31">
        <v>0.33333333333333331</v>
      </c>
      <c r="F8" s="31">
        <v>0.33333333333333331</v>
      </c>
      <c r="G8" s="31">
        <v>0.29411764705882354</v>
      </c>
      <c r="H8" s="31">
        <v>0.20588235294117646</v>
      </c>
      <c r="I8" s="32">
        <v>7663.333333333333</v>
      </c>
      <c r="J8" s="32">
        <v>-9033.3333333333339</v>
      </c>
      <c r="K8" s="31">
        <v>0.13333333333333333</v>
      </c>
      <c r="L8" s="31">
        <v>0.28431372549019607</v>
      </c>
      <c r="M8" s="31">
        <v>0.19607843137254902</v>
      </c>
      <c r="N8" s="31">
        <v>0.65517241379310343</v>
      </c>
      <c r="O8" s="31">
        <v>0.2</v>
      </c>
      <c r="P8" s="31">
        <v>0.3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0.29457364341085274</v>
      </c>
      <c r="H9" s="31">
        <v>0.20155038759689922</v>
      </c>
      <c r="I9" s="32">
        <v>7815.7894736842109</v>
      </c>
      <c r="J9" s="32">
        <v>-8415.3846153846152</v>
      </c>
      <c r="K9" s="31">
        <v>0.1111111111111111</v>
      </c>
      <c r="L9" s="31">
        <v>0.30232558139534882</v>
      </c>
      <c r="M9" s="31">
        <v>0.19379844961240311</v>
      </c>
      <c r="N9" s="31">
        <v>0.61538461538461542</v>
      </c>
      <c r="O9" s="31">
        <v>0.24</v>
      </c>
      <c r="P9" s="31">
        <v>0.31578947368421051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</v>
      </c>
      <c r="H10" s="31">
        <v>0.19333333333333333</v>
      </c>
      <c r="I10" s="32">
        <v>7660</v>
      </c>
      <c r="J10" s="32">
        <v>-8186.2068965517237</v>
      </c>
      <c r="K10" s="31">
        <v>9.5238095238095233E-2</v>
      </c>
      <c r="L10" s="31">
        <v>0.31333333333333335</v>
      </c>
      <c r="M10" s="31">
        <v>0.20666666666666667</v>
      </c>
      <c r="N10" s="31">
        <v>0.5957446808510638</v>
      </c>
      <c r="O10" s="31">
        <v>0.25806451612903225</v>
      </c>
      <c r="P10" s="31">
        <v>0.35555555555555557</v>
      </c>
    </row>
    <row r="11" spans="1:17" x14ac:dyDescent="0.4">
      <c r="A11" s="33">
        <v>8</v>
      </c>
      <c r="B11" s="30">
        <v>-4.4408920985006262E-15</v>
      </c>
      <c r="C11" s="30">
        <v>-1.8503717077085943E-16</v>
      </c>
      <c r="D11" s="35">
        <v>2</v>
      </c>
      <c r="E11" s="31">
        <v>0.33333333333333331</v>
      </c>
      <c r="F11" s="31">
        <v>0.33333333333333331</v>
      </c>
      <c r="G11" s="31">
        <v>0.3</v>
      </c>
      <c r="H11" s="31">
        <v>0.19444444444444445</v>
      </c>
      <c r="I11" s="32">
        <v>7309.2592592592591</v>
      </c>
      <c r="J11" s="32">
        <v>-7668.5714285714284</v>
      </c>
      <c r="K11" s="31">
        <v>8.3333333333333329E-2</v>
      </c>
      <c r="L11" s="31">
        <v>0.32222222222222224</v>
      </c>
      <c r="M11" s="31">
        <v>0.18333333333333332</v>
      </c>
      <c r="N11" s="31">
        <v>0.58620689655172409</v>
      </c>
      <c r="O11" s="31">
        <v>0.27272727272727271</v>
      </c>
      <c r="P11" s="31">
        <v>0.35185185185185186</v>
      </c>
    </row>
    <row r="12" spans="1:17" x14ac:dyDescent="0.4">
      <c r="A12" s="33">
        <v>9</v>
      </c>
      <c r="B12" s="30">
        <v>-8.8817841970012523E-15</v>
      </c>
      <c r="C12" s="30">
        <v>-3.2895497025930562E-16</v>
      </c>
      <c r="D12" s="35">
        <v>2</v>
      </c>
      <c r="E12" s="31">
        <v>0.33333333333333331</v>
      </c>
      <c r="F12" s="31">
        <v>0.33333333333333331</v>
      </c>
      <c r="G12" s="31">
        <v>0.30046948356807512</v>
      </c>
      <c r="H12" s="31">
        <v>0.18309859154929578</v>
      </c>
      <c r="I12" s="32">
        <v>7600</v>
      </c>
      <c r="J12" s="32">
        <v>-7866.666666666667</v>
      </c>
      <c r="K12" s="31">
        <v>7.407407407407407E-2</v>
      </c>
      <c r="L12" s="31">
        <v>0.31924882629107981</v>
      </c>
      <c r="M12" s="31">
        <v>0.17840375586854459</v>
      </c>
      <c r="N12" s="31">
        <v>0.57352941176470584</v>
      </c>
      <c r="O12" s="31">
        <v>0.28947368421052633</v>
      </c>
      <c r="P12" s="31">
        <v>0.390625</v>
      </c>
    </row>
    <row r="13" spans="1:17" x14ac:dyDescent="0.4">
      <c r="A13" s="33">
        <v>10</v>
      </c>
      <c r="B13" s="30">
        <v>-1.4210854715202004E-14</v>
      </c>
      <c r="C13" s="30">
        <v>-4.7369515717340012E-16</v>
      </c>
      <c r="D13" s="35">
        <v>2</v>
      </c>
      <c r="E13" s="31">
        <v>0.33333333333333331</v>
      </c>
      <c r="F13" s="31">
        <v>0.33333333333333331</v>
      </c>
      <c r="G13" s="31">
        <v>0.29803921568627451</v>
      </c>
      <c r="H13" s="31">
        <v>0.1803921568627451</v>
      </c>
      <c r="I13" s="32">
        <v>7621.0526315789475</v>
      </c>
      <c r="J13" s="32">
        <v>-7945.652173913043</v>
      </c>
      <c r="K13" s="31">
        <v>6.6666666666666666E-2</v>
      </c>
      <c r="L13" s="31">
        <v>0.29411764705882354</v>
      </c>
      <c r="M13" s="31">
        <v>0.17254901960784313</v>
      </c>
      <c r="N13" s="31">
        <v>0.58666666666666667</v>
      </c>
      <c r="O13" s="31">
        <v>0.29545454545454547</v>
      </c>
      <c r="P13" s="31">
        <v>0.39473684210526316</v>
      </c>
    </row>
    <row r="14" spans="1:17" x14ac:dyDescent="0.4">
      <c r="A14" s="33">
        <v>11</v>
      </c>
      <c r="B14" s="30">
        <v>-2.1316282072803006E-14</v>
      </c>
      <c r="C14" s="30">
        <v>-6.459479416000911E-16</v>
      </c>
      <c r="D14" s="35">
        <v>2</v>
      </c>
      <c r="E14" s="31">
        <v>0.33333333333333331</v>
      </c>
      <c r="F14" s="31">
        <v>0.33333333333333331</v>
      </c>
      <c r="G14" s="31">
        <v>0.2967032967032967</v>
      </c>
      <c r="H14" s="31">
        <v>0.17216117216117216</v>
      </c>
      <c r="I14" s="32">
        <v>7802.4691358024693</v>
      </c>
      <c r="J14" s="32">
        <v>-7946.8085106382978</v>
      </c>
      <c r="K14" s="31">
        <v>9.0909090909090912E-2</v>
      </c>
      <c r="L14" s="31">
        <v>0.31135531135531136</v>
      </c>
      <c r="M14" s="31">
        <v>0.16483516483516483</v>
      </c>
      <c r="N14" s="31">
        <v>0.56470588235294117</v>
      </c>
      <c r="O14" s="31">
        <v>0.28888888888888886</v>
      </c>
      <c r="P14" s="31">
        <v>0.41975308641975306</v>
      </c>
    </row>
    <row r="15" spans="1:17" x14ac:dyDescent="0.4">
      <c r="A15" s="33">
        <v>12</v>
      </c>
      <c r="B15" s="30">
        <v>-2.042810365310288E-14</v>
      </c>
      <c r="C15" s="30">
        <v>-5.6744732369730219E-16</v>
      </c>
      <c r="D15" s="35">
        <v>2</v>
      </c>
      <c r="E15" s="31">
        <v>0.33333333333333331</v>
      </c>
      <c r="F15" s="31">
        <v>0.33333333333333331</v>
      </c>
      <c r="G15" s="31">
        <v>0.29411764705882354</v>
      </c>
      <c r="H15" s="31">
        <v>0.17320261437908496</v>
      </c>
      <c r="I15" s="32">
        <v>7687.7777777777774</v>
      </c>
      <c r="J15" s="32">
        <v>-7864.1509433962265</v>
      </c>
      <c r="K15" s="31">
        <v>8.3333333333333329E-2</v>
      </c>
      <c r="L15" s="31">
        <v>0.32679738562091504</v>
      </c>
      <c r="M15" s="31">
        <v>0.16993464052287582</v>
      </c>
      <c r="N15" s="31">
        <v>0.55000000000000004</v>
      </c>
      <c r="O15" s="31">
        <v>0.25</v>
      </c>
      <c r="P15" s="31">
        <v>0.41111111111111109</v>
      </c>
    </row>
    <row r="16" spans="1:17" x14ac:dyDescent="0.4">
      <c r="A16" s="33">
        <v>13</v>
      </c>
      <c r="B16" s="30">
        <v>-2.4868995751603507E-14</v>
      </c>
      <c r="C16" s="30">
        <v>-6.3766655773342325E-16</v>
      </c>
      <c r="D16" s="35">
        <v>2</v>
      </c>
      <c r="E16" s="31">
        <v>0.33333333333333331</v>
      </c>
      <c r="F16" s="31">
        <v>0.33333333333333331</v>
      </c>
      <c r="G16" s="31">
        <v>0.29203539823008851</v>
      </c>
      <c r="H16" s="31">
        <v>0.15929203539823009</v>
      </c>
      <c r="I16" s="32">
        <v>7860.606060606061</v>
      </c>
      <c r="J16" s="32">
        <v>-8014.8148148148148</v>
      </c>
      <c r="K16" s="31">
        <v>0.10256410256410256</v>
      </c>
      <c r="L16" s="31">
        <v>0.32448377581120946</v>
      </c>
      <c r="M16" s="31">
        <v>0.17404129793510326</v>
      </c>
      <c r="N16" s="31">
        <v>0.55454545454545456</v>
      </c>
      <c r="O16" s="31">
        <v>0.2711864406779661</v>
      </c>
      <c r="P16" s="31">
        <v>0.45454545454545453</v>
      </c>
    </row>
    <row r="17" spans="1:16" x14ac:dyDescent="0.4">
      <c r="A17" s="33">
        <v>14</v>
      </c>
      <c r="B17" s="30">
        <v>-2.1316282072803006E-14</v>
      </c>
      <c r="C17" s="30">
        <v>-5.0753052554292868E-16</v>
      </c>
      <c r="D17" s="35">
        <v>2</v>
      </c>
      <c r="E17" s="31">
        <v>0.33333333333333331</v>
      </c>
      <c r="F17" s="31">
        <v>0.33333333333333331</v>
      </c>
      <c r="G17" s="31">
        <v>0.29476584022038566</v>
      </c>
      <c r="H17" s="31">
        <v>0.15977961432506887</v>
      </c>
      <c r="I17" s="32">
        <v>7939.2523364485978</v>
      </c>
      <c r="J17" s="32">
        <v>-7931.0344827586205</v>
      </c>
      <c r="K17" s="31">
        <v>9.5238095238095233E-2</v>
      </c>
      <c r="L17" s="31">
        <v>0.31404958677685951</v>
      </c>
      <c r="M17" s="31">
        <v>0.1790633608815427</v>
      </c>
      <c r="N17" s="31">
        <v>0.57017543859649122</v>
      </c>
      <c r="O17" s="31">
        <v>0.27692307692307694</v>
      </c>
      <c r="P17" s="31">
        <v>0.45794392523364486</v>
      </c>
    </row>
    <row r="18" spans="1:16" x14ac:dyDescent="0.4">
      <c r="A18" s="33">
        <v>15</v>
      </c>
      <c r="B18" s="30">
        <v>-2.1316282072803006E-14</v>
      </c>
      <c r="C18" s="30">
        <v>-4.7369515717340012E-16</v>
      </c>
      <c r="D18" s="35">
        <v>2</v>
      </c>
      <c r="E18" s="31">
        <v>0.33333333333333331</v>
      </c>
      <c r="F18" s="31">
        <v>0.33333333333333331</v>
      </c>
      <c r="G18" s="31">
        <v>0.29658792650918636</v>
      </c>
      <c r="H18" s="31">
        <v>0.16535433070866143</v>
      </c>
      <c r="I18" s="32">
        <v>7876.1061946902655</v>
      </c>
      <c r="J18" s="32">
        <v>-7860.3174603174602</v>
      </c>
      <c r="K18" s="31">
        <v>8.8888888888888892E-2</v>
      </c>
      <c r="L18" s="31">
        <v>0.31758530183727035</v>
      </c>
      <c r="M18" s="31">
        <v>0.17847769028871391</v>
      </c>
      <c r="N18" s="31">
        <v>0.57851239669421484</v>
      </c>
      <c r="O18" s="31">
        <v>0.27941176470588236</v>
      </c>
      <c r="P18" s="31">
        <v>0.44247787610619471</v>
      </c>
    </row>
    <row r="19" spans="1:16" x14ac:dyDescent="0.4">
      <c r="A19" s="33">
        <v>16</v>
      </c>
      <c r="B19" s="30">
        <v>-2.1316282072803006E-14</v>
      </c>
      <c r="C19" s="30">
        <v>-4.4408920985006262E-16</v>
      </c>
      <c r="D19" s="35">
        <v>2</v>
      </c>
      <c r="E19" s="31">
        <v>0.33333333333333331</v>
      </c>
      <c r="F19" s="31">
        <v>0.33333333333333331</v>
      </c>
      <c r="G19" s="31">
        <v>0.29629629629629628</v>
      </c>
      <c r="H19" s="31">
        <v>0.16790123456790124</v>
      </c>
      <c r="I19" s="32">
        <v>8188.333333333333</v>
      </c>
      <c r="J19" s="32">
        <v>-8291.176470588236</v>
      </c>
      <c r="K19" s="31">
        <v>8.3333333333333329E-2</v>
      </c>
      <c r="L19" s="31">
        <v>0.31111111111111112</v>
      </c>
      <c r="M19" s="31">
        <v>0.17777777777777778</v>
      </c>
      <c r="N19" s="31">
        <v>0.57936507936507942</v>
      </c>
      <c r="O19" s="31">
        <v>0.29166666666666669</v>
      </c>
      <c r="P19" s="31">
        <v>0.43333333333333335</v>
      </c>
    </row>
    <row r="20" spans="1:16" x14ac:dyDescent="0.4">
      <c r="A20" s="33">
        <v>17</v>
      </c>
      <c r="B20" s="30">
        <v>-1.4210854715202004E-14</v>
      </c>
      <c r="C20" s="30">
        <v>-2.7864421010200007E-16</v>
      </c>
      <c r="D20" s="35">
        <v>2</v>
      </c>
      <c r="E20" s="31">
        <v>0.33333333333333331</v>
      </c>
      <c r="F20" s="31">
        <v>0.33333333333333331</v>
      </c>
      <c r="G20" s="31">
        <v>0.29629629629629628</v>
      </c>
      <c r="H20" s="31">
        <v>0.16203703703703703</v>
      </c>
      <c r="I20" s="32">
        <v>8353.90625</v>
      </c>
      <c r="J20" s="32">
        <v>-8240</v>
      </c>
      <c r="K20" s="31">
        <v>7.8431372549019607E-2</v>
      </c>
      <c r="L20" s="31">
        <v>0.30787037037037035</v>
      </c>
      <c r="M20" s="31">
        <v>0.17824074074074073</v>
      </c>
      <c r="N20" s="31">
        <v>0.57894736842105265</v>
      </c>
      <c r="O20" s="31">
        <v>0.2857142857142857</v>
      </c>
      <c r="P20" s="31">
        <v>0.453125</v>
      </c>
    </row>
    <row r="21" spans="1:16" x14ac:dyDescent="0.4">
      <c r="A21" s="33">
        <v>18</v>
      </c>
      <c r="B21" s="30">
        <v>-1.4210854715202004E-14</v>
      </c>
      <c r="C21" s="30">
        <v>-2.631639762074445E-16</v>
      </c>
      <c r="D21" s="35">
        <v>2</v>
      </c>
      <c r="E21" s="31">
        <v>0.33333333333333331</v>
      </c>
      <c r="F21" s="31">
        <v>0.33333333333333331</v>
      </c>
      <c r="G21" s="31">
        <v>0.2982456140350877</v>
      </c>
      <c r="H21" s="31">
        <v>0.16447368421052633</v>
      </c>
      <c r="I21" s="32">
        <v>8285.2941176470595</v>
      </c>
      <c r="J21" s="32">
        <v>-8288</v>
      </c>
      <c r="K21" s="31">
        <v>7.407407407407407E-2</v>
      </c>
      <c r="L21" s="31">
        <v>0.31359649122807015</v>
      </c>
      <c r="M21" s="31">
        <v>0.17324561403508773</v>
      </c>
      <c r="N21" s="31">
        <v>0.58041958041958042</v>
      </c>
      <c r="O21" s="31">
        <v>0.29113924050632911</v>
      </c>
      <c r="P21" s="31">
        <v>0.4485294117647059</v>
      </c>
    </row>
    <row r="22" spans="1:16" x14ac:dyDescent="0.4">
      <c r="A22" s="33">
        <v>19</v>
      </c>
      <c r="B22" s="30">
        <v>-1.0658141036401503E-14</v>
      </c>
      <c r="C22" s="30">
        <v>-1.8698493046318425E-16</v>
      </c>
      <c r="D22" s="35">
        <v>2</v>
      </c>
      <c r="E22" s="31">
        <v>0.33333333333333331</v>
      </c>
      <c r="F22" s="31">
        <v>0.33333333333333331</v>
      </c>
      <c r="G22" s="31">
        <v>0.29423868312757201</v>
      </c>
      <c r="H22" s="31">
        <v>0.16255144032921812</v>
      </c>
      <c r="I22" s="32">
        <v>8381.1188811188804</v>
      </c>
      <c r="J22" s="32">
        <v>-8541.7721518987346</v>
      </c>
      <c r="K22" s="31">
        <v>7.0175438596491224E-2</v>
      </c>
      <c r="L22" s="31">
        <v>0.31893004115226337</v>
      </c>
      <c r="M22" s="31">
        <v>0.16872427983539096</v>
      </c>
      <c r="N22" s="31">
        <v>0.58064516129032262</v>
      </c>
      <c r="O22" s="31">
        <v>0.28048780487804881</v>
      </c>
      <c r="P22" s="31">
        <v>0.44755244755244755</v>
      </c>
    </row>
    <row r="23" spans="1:16" x14ac:dyDescent="0.4">
      <c r="A23" s="33">
        <v>20</v>
      </c>
      <c r="B23" s="30">
        <v>-1.4210854715202004E-14</v>
      </c>
      <c r="C23" s="30">
        <v>-2.3684757858670006E-16</v>
      </c>
      <c r="D23" s="35">
        <v>2</v>
      </c>
      <c r="E23" s="31">
        <v>0.33333333333333331</v>
      </c>
      <c r="F23" s="31">
        <v>0.33333333333333331</v>
      </c>
      <c r="G23" s="31">
        <v>0.2926356589147287</v>
      </c>
      <c r="H23" s="31">
        <v>0.16085271317829458</v>
      </c>
      <c r="I23" s="32">
        <v>8327.8145695364237</v>
      </c>
      <c r="J23" s="32">
        <v>-8481.9277108433744</v>
      </c>
      <c r="K23" s="31">
        <v>6.6666666666666666E-2</v>
      </c>
      <c r="L23" s="31">
        <v>0.3236434108527132</v>
      </c>
      <c r="M23" s="31">
        <v>0.17248062015503876</v>
      </c>
      <c r="N23" s="31">
        <v>0.56287425149700598</v>
      </c>
      <c r="O23" s="31">
        <v>0.30337078651685395</v>
      </c>
      <c r="P23" s="31">
        <v>0.45033112582781459</v>
      </c>
    </row>
    <row r="24" spans="1:16" x14ac:dyDescent="0.4">
      <c r="A24" s="33">
        <v>21</v>
      </c>
      <c r="B24" s="30">
        <v>-1.4210854715202004E-14</v>
      </c>
      <c r="C24" s="30">
        <v>-2.2556912246352386E-16</v>
      </c>
      <c r="D24" s="35">
        <v>2</v>
      </c>
      <c r="E24" s="31">
        <v>0.33333333333333331</v>
      </c>
      <c r="F24" s="31">
        <v>0.33333333333333331</v>
      </c>
      <c r="G24" s="31">
        <v>0.29097605893186002</v>
      </c>
      <c r="H24" s="31">
        <v>0.16022099447513813</v>
      </c>
      <c r="I24" s="32">
        <v>8229.7468354430384</v>
      </c>
      <c r="J24" s="32">
        <v>-8387.3563218390809</v>
      </c>
      <c r="K24" s="31">
        <v>6.3492063492063489E-2</v>
      </c>
      <c r="L24" s="31">
        <v>0.31860036832412525</v>
      </c>
      <c r="M24" s="31">
        <v>0.17127071823204421</v>
      </c>
      <c r="N24" s="31">
        <v>0.56069364161849711</v>
      </c>
      <c r="O24" s="31">
        <v>0.32258064516129031</v>
      </c>
      <c r="P24" s="31">
        <v>0.44936708860759494</v>
      </c>
    </row>
    <row r="25" spans="1:16" x14ac:dyDescent="0.4">
      <c r="A25" s="33">
        <v>22</v>
      </c>
      <c r="B25" s="30">
        <v>-1.4210854715202004E-14</v>
      </c>
      <c r="C25" s="30">
        <v>-2.153159805333637E-16</v>
      </c>
      <c r="D25" s="35">
        <v>2</v>
      </c>
      <c r="E25" s="31">
        <v>0.33333333333333331</v>
      </c>
      <c r="F25" s="31">
        <v>0.33333333333333331</v>
      </c>
      <c r="G25" s="31">
        <v>0.29078014184397161</v>
      </c>
      <c r="H25" s="31">
        <v>0.15780141843971632</v>
      </c>
      <c r="I25" s="32">
        <v>8258.5365853658532</v>
      </c>
      <c r="J25" s="32">
        <v>-8423.5955056179773</v>
      </c>
      <c r="K25" s="31">
        <v>6.0606060606060608E-2</v>
      </c>
      <c r="L25" s="31">
        <v>0.32269503546099293</v>
      </c>
      <c r="M25" s="31">
        <v>0.16843971631205673</v>
      </c>
      <c r="N25" s="31">
        <v>0.56043956043956045</v>
      </c>
      <c r="O25" s="31">
        <v>0.31578947368421051</v>
      </c>
      <c r="P25" s="31">
        <v>0.45731707317073172</v>
      </c>
    </row>
    <row r="26" spans="1:16" x14ac:dyDescent="0.4">
      <c r="A26" s="33">
        <v>23</v>
      </c>
      <c r="B26" s="30">
        <v>-1.4210854715202004E-14</v>
      </c>
      <c r="C26" s="30">
        <v>-2.0595441616234788E-16</v>
      </c>
      <c r="D26" s="35">
        <v>2</v>
      </c>
      <c r="E26" s="31">
        <v>0.33333333333333331</v>
      </c>
      <c r="F26" s="31">
        <v>0.33333333333333331</v>
      </c>
      <c r="G26" s="31">
        <v>0.29144851657940662</v>
      </c>
      <c r="H26" s="31">
        <v>0.15881326352530542</v>
      </c>
      <c r="I26" s="32">
        <v>8337.7245508982032</v>
      </c>
      <c r="J26" s="32">
        <v>-8524.1758241758234</v>
      </c>
      <c r="K26" s="31">
        <v>7.2463768115942032E-2</v>
      </c>
      <c r="L26" s="31">
        <v>0.32286212914485168</v>
      </c>
      <c r="M26" s="31">
        <v>0.17102966841186737</v>
      </c>
      <c r="N26" s="31">
        <v>0.56216216216216219</v>
      </c>
      <c r="O26" s="31">
        <v>0.31632653061224492</v>
      </c>
      <c r="P26" s="31">
        <v>0.45508982035928142</v>
      </c>
    </row>
    <row r="27" spans="1:16" x14ac:dyDescent="0.4">
      <c r="A27" s="33">
        <v>24</v>
      </c>
      <c r="B27" s="30">
        <v>-1.4210854715202004E-14</v>
      </c>
      <c r="C27" s="30">
        <v>-1.9737298215558337E-16</v>
      </c>
      <c r="D27" s="35">
        <v>2</v>
      </c>
      <c r="E27" s="31">
        <v>0.33333333333333331</v>
      </c>
      <c r="F27" s="31">
        <v>0.33333333333333331</v>
      </c>
      <c r="G27" s="31">
        <v>0.28956228956228958</v>
      </c>
      <c r="H27" s="31">
        <v>0.15824915824915825</v>
      </c>
      <c r="I27" s="32">
        <v>8293.0232558139542</v>
      </c>
      <c r="J27" s="32">
        <v>-8486.1702127659573</v>
      </c>
      <c r="K27" s="31">
        <v>6.9444444444444448E-2</v>
      </c>
      <c r="L27" s="31">
        <v>0.32323232323232326</v>
      </c>
      <c r="M27" s="31">
        <v>0.17340067340067339</v>
      </c>
      <c r="N27" s="31">
        <v>0.55729166666666663</v>
      </c>
      <c r="O27" s="31">
        <v>0.31067961165048541</v>
      </c>
      <c r="P27" s="31">
        <v>0.45348837209302323</v>
      </c>
    </row>
    <row r="28" spans="1:16" x14ac:dyDescent="0.4">
      <c r="A28" s="33">
        <v>25</v>
      </c>
      <c r="B28" s="30">
        <v>-1.4210854715202004E-14</v>
      </c>
      <c r="C28" s="30">
        <v>-1.8947806286936006E-16</v>
      </c>
      <c r="D28" s="35">
        <v>2</v>
      </c>
      <c r="E28" s="31">
        <v>0.33333333333333331</v>
      </c>
      <c r="F28" s="31">
        <v>0.33333333333333331</v>
      </c>
      <c r="G28" s="31">
        <v>0.2908496732026144</v>
      </c>
      <c r="H28" s="31">
        <v>0.15686274509803921</v>
      </c>
      <c r="I28" s="32">
        <v>8292.1348314606748</v>
      </c>
      <c r="J28" s="32">
        <v>-8559.375</v>
      </c>
      <c r="K28" s="31">
        <v>0.08</v>
      </c>
      <c r="L28" s="31">
        <v>0.3235294117647059</v>
      </c>
      <c r="M28" s="31">
        <v>0.17483660130718953</v>
      </c>
      <c r="N28" s="31">
        <v>0.56565656565656564</v>
      </c>
      <c r="O28" s="31">
        <v>0.30841121495327101</v>
      </c>
      <c r="P28" s="31">
        <v>0.4606741573033708</v>
      </c>
    </row>
    <row r="29" spans="1:16" x14ac:dyDescent="0.4">
      <c r="A29" s="33">
        <v>26</v>
      </c>
      <c r="B29" s="30">
        <v>-7.1054273576010019E-15</v>
      </c>
      <c r="C29" s="30">
        <v>-9.1095222533346175E-17</v>
      </c>
      <c r="D29" s="35">
        <v>2</v>
      </c>
      <c r="E29" s="31">
        <v>0.33333333333333331</v>
      </c>
      <c r="F29" s="31">
        <v>0.33333333333333331</v>
      </c>
      <c r="G29" s="31">
        <v>0.29166666666666669</v>
      </c>
      <c r="H29" s="31">
        <v>0.15740740740740741</v>
      </c>
      <c r="I29" s="32">
        <v>8216.402116402116</v>
      </c>
      <c r="J29" s="32">
        <v>-8450</v>
      </c>
      <c r="K29" s="31">
        <v>7.6923076923076927E-2</v>
      </c>
      <c r="L29" s="31">
        <v>0.32561728395061729</v>
      </c>
      <c r="M29" s="31">
        <v>0.17901234567901234</v>
      </c>
      <c r="N29" s="31">
        <v>0.56398104265402849</v>
      </c>
      <c r="O29" s="31">
        <v>0.31896551724137934</v>
      </c>
      <c r="P29" s="31">
        <v>0.46031746031746029</v>
      </c>
    </row>
    <row r="30" spans="1:16" x14ac:dyDescent="0.4">
      <c r="A30" s="33">
        <v>27</v>
      </c>
      <c r="B30" s="30">
        <v>-7.1054273576010019E-15</v>
      </c>
      <c r="C30" s="30">
        <v>-8.77213254024815E-17</v>
      </c>
      <c r="D30" s="35">
        <v>2</v>
      </c>
      <c r="E30" s="31">
        <v>0.33333333333333331</v>
      </c>
      <c r="F30" s="31">
        <v>0.33333333333333331</v>
      </c>
      <c r="G30" s="31">
        <v>0.2914798206278027</v>
      </c>
      <c r="H30" s="31">
        <v>0.15695067264573992</v>
      </c>
      <c r="I30" s="32">
        <v>8320.5128205128203</v>
      </c>
      <c r="J30" s="32">
        <v>-8550.4761904761908</v>
      </c>
      <c r="K30" s="31">
        <v>8.6419753086419748E-2</v>
      </c>
      <c r="L30" s="31">
        <v>0.32286995515695066</v>
      </c>
      <c r="M30" s="31">
        <v>0.18086696562032886</v>
      </c>
      <c r="N30" s="31">
        <v>0.56481481481481477</v>
      </c>
      <c r="O30" s="31">
        <v>0.33057851239669422</v>
      </c>
      <c r="P30" s="31">
        <v>0.46153846153846156</v>
      </c>
    </row>
    <row r="31" spans="1:16" x14ac:dyDescent="0.4">
      <c r="A31" s="33">
        <v>28</v>
      </c>
      <c r="B31" s="30">
        <v>-7.1054273576010019E-15</v>
      </c>
      <c r="C31" s="30">
        <v>-8.4588420923821446E-17</v>
      </c>
      <c r="D31" s="35">
        <v>2</v>
      </c>
      <c r="E31" s="31">
        <v>0.33333333333333331</v>
      </c>
      <c r="F31" s="31">
        <v>0.33333333333333331</v>
      </c>
      <c r="G31" s="31">
        <v>0.29078014184397161</v>
      </c>
      <c r="H31" s="31">
        <v>0.15602836879432624</v>
      </c>
      <c r="I31" s="32">
        <v>8333.6585365853662</v>
      </c>
      <c r="J31" s="32">
        <v>-8457.2727272727279</v>
      </c>
      <c r="K31" s="31">
        <v>8.3333333333333329E-2</v>
      </c>
      <c r="L31" s="31">
        <v>0.31914893617021278</v>
      </c>
      <c r="M31" s="31">
        <v>0.18014184397163122</v>
      </c>
      <c r="N31" s="31">
        <v>0.56444444444444442</v>
      </c>
      <c r="O31" s="31">
        <v>0.33070866141732286</v>
      </c>
      <c r="P31" s="31">
        <v>0.46341463414634149</v>
      </c>
    </row>
    <row r="32" spans="1:16" x14ac:dyDescent="0.4">
      <c r="A32" s="33">
        <v>29</v>
      </c>
      <c r="B32" s="30">
        <v>-7.1054273576010019E-15</v>
      </c>
      <c r="C32" s="30">
        <v>-8.167157882300002E-17</v>
      </c>
      <c r="D32" s="35">
        <v>2</v>
      </c>
      <c r="E32" s="31">
        <v>0.33333333333333331</v>
      </c>
      <c r="F32" s="31">
        <v>0.33333333333333331</v>
      </c>
      <c r="G32" s="31">
        <v>0.29063360881542699</v>
      </c>
      <c r="H32" s="31">
        <v>0.15564738292011018</v>
      </c>
      <c r="I32" s="32">
        <v>8323.6966824644551</v>
      </c>
      <c r="J32" s="32">
        <v>-8503.5398230088504</v>
      </c>
      <c r="K32" s="31">
        <v>8.0459770114942528E-2</v>
      </c>
      <c r="L32" s="31">
        <v>0.3168044077134986</v>
      </c>
      <c r="M32" s="31">
        <v>0.18319559228650137</v>
      </c>
      <c r="N32" s="31">
        <v>0.56521739130434778</v>
      </c>
      <c r="O32" s="31">
        <v>0.33834586466165412</v>
      </c>
      <c r="P32" s="31">
        <v>0.46445497630331756</v>
      </c>
    </row>
    <row r="33" spans="1:16" x14ac:dyDescent="0.4">
      <c r="A33" s="33">
        <v>30</v>
      </c>
      <c r="B33" s="30">
        <v>-1.0658141036401503E-14</v>
      </c>
      <c r="C33" s="30">
        <v>-1.1842378929335003E-16</v>
      </c>
      <c r="D33" s="35">
        <v>2</v>
      </c>
      <c r="E33" s="31">
        <v>0.33333333333333331</v>
      </c>
      <c r="F33" s="31">
        <v>0.33333333333333331</v>
      </c>
      <c r="G33" s="31">
        <v>0.28968253968253971</v>
      </c>
      <c r="H33" s="31">
        <v>0.15608465608465608</v>
      </c>
      <c r="I33" s="32">
        <v>8372.6027397260277</v>
      </c>
      <c r="J33" s="32">
        <v>-8514.4067796610161</v>
      </c>
      <c r="K33" s="31">
        <v>7.7777777777777779E-2</v>
      </c>
      <c r="L33" s="31">
        <v>0.31216931216931215</v>
      </c>
      <c r="M33" s="31">
        <v>0.18518518518518517</v>
      </c>
      <c r="N33" s="31">
        <v>0.55932203389830504</v>
      </c>
      <c r="O33" s="31">
        <v>0.35</v>
      </c>
      <c r="P33" s="31">
        <v>0.46118721461187212</v>
      </c>
    </row>
    <row r="34" spans="1:16" x14ac:dyDescent="0.4">
      <c r="A34" s="33">
        <v>31</v>
      </c>
      <c r="B34" s="30">
        <v>-1.4210854715202004E-14</v>
      </c>
      <c r="C34" s="30">
        <v>-1.5280488941077425E-16</v>
      </c>
      <c r="D34" s="35">
        <v>2</v>
      </c>
      <c r="E34" s="31">
        <v>0.33333333333333331</v>
      </c>
      <c r="F34" s="31">
        <v>0.33333333333333331</v>
      </c>
      <c r="G34" s="31">
        <v>0.29086229086229087</v>
      </c>
      <c r="H34" s="31">
        <v>0.15572715572715573</v>
      </c>
      <c r="I34" s="32">
        <v>8400</v>
      </c>
      <c r="J34" s="32">
        <v>-8501.6528925619841</v>
      </c>
      <c r="K34" s="31">
        <v>7.5268817204301078E-2</v>
      </c>
      <c r="L34" s="31">
        <v>0.31274131274131273</v>
      </c>
      <c r="M34" s="31">
        <v>0.18661518661518661</v>
      </c>
      <c r="N34" s="31">
        <v>0.55555555555555558</v>
      </c>
      <c r="O34" s="31">
        <v>0.35862068965517241</v>
      </c>
      <c r="P34" s="31">
        <v>0.46460176991150443</v>
      </c>
    </row>
    <row r="35" spans="1:16" x14ac:dyDescent="0.4">
      <c r="A35" s="33">
        <v>32</v>
      </c>
      <c r="B35" s="30">
        <v>-1.4210854715202004E-14</v>
      </c>
      <c r="C35" s="30">
        <v>-1.4802973661668753E-16</v>
      </c>
      <c r="D35" s="35">
        <v>2</v>
      </c>
      <c r="E35" s="31">
        <v>0.33333333333333331</v>
      </c>
      <c r="F35" s="31">
        <v>0.33333333333333331</v>
      </c>
      <c r="G35" s="31">
        <v>0.29244114002478316</v>
      </c>
      <c r="H35" s="31">
        <v>0.15489467162329615</v>
      </c>
      <c r="I35" s="32">
        <v>8574.1525423728817</v>
      </c>
      <c r="J35" s="32">
        <v>-8590.4</v>
      </c>
      <c r="K35" s="31">
        <v>7.2916666666666671E-2</v>
      </c>
      <c r="L35" s="31">
        <v>0.31474597273853777</v>
      </c>
      <c r="M35" s="31">
        <v>0.18339529120198264</v>
      </c>
      <c r="N35" s="31">
        <v>0.56299212598425197</v>
      </c>
      <c r="O35" s="31">
        <v>0.36486486486486486</v>
      </c>
      <c r="P35" s="31">
        <v>0.47033898305084748</v>
      </c>
    </row>
    <row r="36" spans="1:16" x14ac:dyDescent="0.4">
      <c r="A36" s="33">
        <v>33</v>
      </c>
      <c r="B36" s="30">
        <v>-2.1316282072803006E-14</v>
      </c>
      <c r="C36" s="30">
        <v>-2.153159805333637E-16</v>
      </c>
      <c r="D36" s="35">
        <v>2</v>
      </c>
      <c r="E36" s="31">
        <v>0.33333333333333331</v>
      </c>
      <c r="F36" s="31">
        <v>0.33333333333333331</v>
      </c>
      <c r="G36" s="31">
        <v>0.29362214199759323</v>
      </c>
      <c r="H36" s="31">
        <v>0.15764139590854392</v>
      </c>
      <c r="I36" s="32">
        <v>8572.1311475409839</v>
      </c>
      <c r="J36" s="32">
        <v>-8503.0534351145034</v>
      </c>
      <c r="K36" s="31">
        <v>7.0707070707070704E-2</v>
      </c>
      <c r="L36" s="31">
        <v>0.3128760529482551</v>
      </c>
      <c r="M36" s="31">
        <v>0.18411552346570398</v>
      </c>
      <c r="N36" s="31">
        <v>0.56153846153846154</v>
      </c>
      <c r="O36" s="31">
        <v>0.36601307189542481</v>
      </c>
      <c r="P36" s="31">
        <v>0.46311475409836067</v>
      </c>
    </row>
    <row r="37" spans="1:16" x14ac:dyDescent="0.4">
      <c r="A37" s="33">
        <v>34</v>
      </c>
      <c r="B37" s="30">
        <v>-1.9539925233402755E-14</v>
      </c>
      <c r="C37" s="30">
        <v>-1.9156789444512506E-16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0.15845070422535212</v>
      </c>
      <c r="I37" s="32">
        <v>8493.2270916334655</v>
      </c>
      <c r="J37" s="32">
        <v>-8440.7407407407409</v>
      </c>
      <c r="K37" s="31">
        <v>6.8627450980392163E-2</v>
      </c>
      <c r="L37" s="31">
        <v>0.31572769953051644</v>
      </c>
      <c r="M37" s="31">
        <v>0.18544600938967137</v>
      </c>
      <c r="N37" s="31">
        <v>0.56133828996282531</v>
      </c>
      <c r="O37" s="31">
        <v>0.36075949367088606</v>
      </c>
      <c r="P37" s="31">
        <v>0.46215139442231074</v>
      </c>
    </row>
    <row r="38" spans="1:16" x14ac:dyDescent="0.4">
      <c r="A38" s="33">
        <v>35</v>
      </c>
      <c r="B38" s="30">
        <v>-1.7763568394002505E-14</v>
      </c>
      <c r="C38" s="30">
        <v>-1.6917684184764289E-16</v>
      </c>
      <c r="D38" s="35">
        <v>2</v>
      </c>
      <c r="E38" s="31">
        <v>0.33333333333333331</v>
      </c>
      <c r="F38" s="31">
        <v>0.33333333333333331</v>
      </c>
      <c r="G38" s="31">
        <v>0.29378531073446329</v>
      </c>
      <c r="H38" s="31">
        <v>0.15819209039548024</v>
      </c>
      <c r="I38" s="32">
        <v>8573.0769230769238</v>
      </c>
      <c r="J38" s="32">
        <v>-8547.8571428571431</v>
      </c>
      <c r="K38" s="31">
        <v>6.6666666666666666E-2</v>
      </c>
      <c r="L38" s="31">
        <v>0.31525423728813562</v>
      </c>
      <c r="M38" s="31">
        <v>0.18192090395480226</v>
      </c>
      <c r="N38" s="31">
        <v>0.56272401433691754</v>
      </c>
      <c r="O38" s="31">
        <v>0.36024844720496896</v>
      </c>
      <c r="P38" s="31">
        <v>0.46153846153846156</v>
      </c>
    </row>
    <row r="39" spans="1:16" x14ac:dyDescent="0.4">
      <c r="A39" s="33">
        <v>36</v>
      </c>
      <c r="B39" s="30">
        <v>-1.2434497875801753E-14</v>
      </c>
      <c r="C39" s="30">
        <v>-1.1513423959075697E-16</v>
      </c>
      <c r="D39" s="35">
        <v>2</v>
      </c>
      <c r="E39" s="31">
        <v>0.33333333333333331</v>
      </c>
      <c r="F39" s="31">
        <v>0.33333333333333331</v>
      </c>
      <c r="G39" s="31">
        <v>0.29289617486338798</v>
      </c>
      <c r="H39" s="31">
        <v>0.15519125683060109</v>
      </c>
      <c r="I39" s="32">
        <v>8631.3432835820895</v>
      </c>
      <c r="J39" s="32">
        <v>-8506.3380281690133</v>
      </c>
      <c r="K39" s="31">
        <v>6.4814814814814811E-2</v>
      </c>
      <c r="L39" s="31">
        <v>0.31584699453551912</v>
      </c>
      <c r="M39" s="31">
        <v>0.18251366120218579</v>
      </c>
      <c r="N39" s="31">
        <v>0.55709342560553632</v>
      </c>
      <c r="O39" s="31">
        <v>0.3652694610778443</v>
      </c>
      <c r="P39" s="31">
        <v>0.47014925373134331</v>
      </c>
    </row>
    <row r="40" spans="1:16" x14ac:dyDescent="0.4">
      <c r="A40" s="33">
        <v>37</v>
      </c>
      <c r="B40" s="30">
        <v>-7.1054273576010019E-15</v>
      </c>
      <c r="C40" s="30">
        <v>-6.4012859077486503E-17</v>
      </c>
      <c r="D40" s="35">
        <v>2</v>
      </c>
      <c r="E40" s="31">
        <v>0.33333333333333331</v>
      </c>
      <c r="F40" s="31">
        <v>0.33333333333333331</v>
      </c>
      <c r="G40" s="31">
        <v>0.2929936305732484</v>
      </c>
      <c r="H40" s="31">
        <v>0.15711252653927812</v>
      </c>
      <c r="I40" s="32">
        <v>8615.9420289855079</v>
      </c>
      <c r="J40" s="32">
        <v>-8491.2162162162167</v>
      </c>
      <c r="K40" s="31">
        <v>7.2072072072072071E-2</v>
      </c>
      <c r="L40" s="31">
        <v>0.31847133757961782</v>
      </c>
      <c r="M40" s="31">
        <v>0.18365180467091294</v>
      </c>
      <c r="N40" s="31">
        <v>0.55333333333333334</v>
      </c>
      <c r="O40" s="31">
        <v>0.36994219653179189</v>
      </c>
      <c r="P40" s="31">
        <v>0.46376811594202899</v>
      </c>
    </row>
    <row r="41" spans="1:16" x14ac:dyDescent="0.4">
      <c r="A41" s="33">
        <v>38</v>
      </c>
      <c r="B41" s="30">
        <v>0</v>
      </c>
      <c r="C41" s="30">
        <v>0</v>
      </c>
      <c r="D41" s="35">
        <v>2</v>
      </c>
      <c r="E41" s="31">
        <v>0.33333333333333331</v>
      </c>
      <c r="F41" s="31">
        <v>0.33333333333333331</v>
      </c>
      <c r="G41" s="31">
        <v>0.29411764705882354</v>
      </c>
      <c r="H41" s="31">
        <v>0.15479876160990713</v>
      </c>
      <c r="I41" s="32">
        <v>8735.438596491229</v>
      </c>
      <c r="J41" s="32">
        <v>-8511.3333333333339</v>
      </c>
      <c r="K41" s="31">
        <v>7.0175438596491224E-2</v>
      </c>
      <c r="L41" s="31">
        <v>0.32094943240454077</v>
      </c>
      <c r="M41" s="31">
        <v>0.18472652218782248</v>
      </c>
      <c r="N41" s="31">
        <v>0.5562700964630225</v>
      </c>
      <c r="O41" s="31">
        <v>0.36871508379888268</v>
      </c>
      <c r="P41" s="31">
        <v>0.47368421052631576</v>
      </c>
    </row>
    <row r="42" spans="1:16" x14ac:dyDescent="0.4">
      <c r="A42" s="33">
        <v>39</v>
      </c>
      <c r="B42" s="30">
        <v>0</v>
      </c>
      <c r="C42" s="30">
        <v>0</v>
      </c>
      <c r="D42" s="35">
        <v>2</v>
      </c>
      <c r="E42" s="31">
        <v>0.33333333333333331</v>
      </c>
      <c r="F42" s="31">
        <v>0.33333333333333331</v>
      </c>
      <c r="G42" s="31">
        <v>0.29540918163672653</v>
      </c>
      <c r="H42" s="31">
        <v>0.15668662674650699</v>
      </c>
      <c r="I42" s="32">
        <v>8681.4189189189183</v>
      </c>
      <c r="J42" s="32">
        <v>-8410.1910828025484</v>
      </c>
      <c r="K42" s="31">
        <v>6.8376068376068383E-2</v>
      </c>
      <c r="L42" s="31">
        <v>0.32135728542914171</v>
      </c>
      <c r="M42" s="31">
        <v>0.18962075848303392</v>
      </c>
      <c r="N42" s="31">
        <v>0.55279503105590067</v>
      </c>
      <c r="O42" s="31">
        <v>0.36842105263157893</v>
      </c>
      <c r="P42" s="31">
        <v>0.46959459459459457</v>
      </c>
    </row>
    <row r="43" spans="1:16" x14ac:dyDescent="0.4">
      <c r="A43" s="33">
        <v>40</v>
      </c>
      <c r="B43" s="30">
        <v>-1.4432899320127035E-15</v>
      </c>
      <c r="C43" s="30">
        <v>-1.2027416100105863E-17</v>
      </c>
      <c r="D43" s="35">
        <v>2</v>
      </c>
      <c r="E43" s="31">
        <v>0.33333333333333331</v>
      </c>
      <c r="F43" s="31">
        <v>0.33333333333333331</v>
      </c>
      <c r="G43" s="31">
        <v>0.29576107899807319</v>
      </c>
      <c r="H43" s="31">
        <v>0.15510597302504817</v>
      </c>
      <c r="I43" s="32">
        <v>8647.5570032573287</v>
      </c>
      <c r="J43" s="32">
        <v>-8372.0496894409935</v>
      </c>
      <c r="K43" s="31">
        <v>6.6666666666666666E-2</v>
      </c>
      <c r="L43" s="31">
        <v>0.32273603082851637</v>
      </c>
      <c r="M43" s="31">
        <v>0.18786127167630057</v>
      </c>
      <c r="N43" s="31">
        <v>0.55223880597014929</v>
      </c>
      <c r="O43" s="31">
        <v>0.37435897435897436</v>
      </c>
      <c r="P43" s="31">
        <v>0.47557003257328989</v>
      </c>
    </row>
    <row r="44" spans="1:16" x14ac:dyDescent="0.4">
      <c r="A44" s="33">
        <v>41</v>
      </c>
      <c r="B44" s="30">
        <v>0</v>
      </c>
      <c r="C44" s="30">
        <v>0</v>
      </c>
      <c r="D44" s="35">
        <v>2</v>
      </c>
      <c r="E44" s="31">
        <v>0.33333333333333331</v>
      </c>
      <c r="F44" s="31">
        <v>0.33333333333333331</v>
      </c>
      <c r="G44" s="31">
        <v>0.29785247432306255</v>
      </c>
      <c r="H44" s="31">
        <v>0.15686274509803921</v>
      </c>
      <c r="I44" s="32">
        <v>8562.3824451410655</v>
      </c>
      <c r="J44" s="32">
        <v>-8352.3809523809523</v>
      </c>
      <c r="K44" s="31">
        <v>6.5040650406504072E-2</v>
      </c>
      <c r="L44" s="31">
        <v>0.32212885154061627</v>
      </c>
      <c r="M44" s="31">
        <v>0.18674136321195145</v>
      </c>
      <c r="N44" s="31">
        <v>0.55652173913043479</v>
      </c>
      <c r="O44" s="31">
        <v>0.38</v>
      </c>
      <c r="P44" s="31">
        <v>0.47021943573667713</v>
      </c>
    </row>
    <row r="45" spans="1:16" x14ac:dyDescent="0.4">
      <c r="A45" s="33">
        <v>42</v>
      </c>
      <c r="B45" s="30">
        <v>7.1054273576010019E-15</v>
      </c>
      <c r="C45" s="30">
        <v>5.6392280615880964E-17</v>
      </c>
      <c r="D45" s="35">
        <v>2</v>
      </c>
      <c r="E45" s="31">
        <v>0.33333333333333331</v>
      </c>
      <c r="F45" s="31">
        <v>0.33333333333333331</v>
      </c>
      <c r="G45" s="31">
        <v>0.29814814814814816</v>
      </c>
      <c r="H45" s="31">
        <v>0.15833333333333333</v>
      </c>
      <c r="I45" s="32">
        <v>8584.4720496894406</v>
      </c>
      <c r="J45" s="32">
        <v>-8397.6608187134498</v>
      </c>
      <c r="K45" s="31">
        <v>7.1428571428571425E-2</v>
      </c>
      <c r="L45" s="31">
        <v>0.32314814814814813</v>
      </c>
      <c r="M45" s="31">
        <v>0.18518518518518517</v>
      </c>
      <c r="N45" s="31">
        <v>0.55873925501432664</v>
      </c>
      <c r="O45" s="31">
        <v>0.38</v>
      </c>
      <c r="P45" s="31">
        <v>0.46583850931677018</v>
      </c>
    </row>
    <row r="46" spans="1:16" x14ac:dyDescent="0.4">
      <c r="A46" s="33">
        <v>43</v>
      </c>
      <c r="B46" s="30">
        <v>7.1054273576010019E-15</v>
      </c>
      <c r="C46" s="30">
        <v>5.508083222946513E-17</v>
      </c>
      <c r="D46" s="35">
        <v>2</v>
      </c>
      <c r="E46" s="31">
        <v>0.33333333333333331</v>
      </c>
      <c r="F46" s="31">
        <v>0.33333333333333331</v>
      </c>
      <c r="G46" s="31">
        <v>0.29719963866305332</v>
      </c>
      <c r="H46" s="31">
        <v>0.15808491418247517</v>
      </c>
      <c r="I46" s="32">
        <v>8604.5592705167164</v>
      </c>
      <c r="J46" s="32">
        <v>-8284</v>
      </c>
      <c r="K46" s="31">
        <v>7.7519379844961239E-2</v>
      </c>
      <c r="L46" s="31">
        <v>0.32339656729900634</v>
      </c>
      <c r="M46" s="31">
        <v>0.18608852755194219</v>
      </c>
      <c r="N46" s="31">
        <v>0.55865921787709494</v>
      </c>
      <c r="O46" s="31">
        <v>0.37864077669902912</v>
      </c>
      <c r="P46" s="31">
        <v>0.46504559270516715</v>
      </c>
    </row>
    <row r="47" spans="1:16" x14ac:dyDescent="0.4">
      <c r="A47" s="33">
        <v>44</v>
      </c>
      <c r="B47" s="30">
        <v>7.1054273576010019E-15</v>
      </c>
      <c r="C47" s="30">
        <v>5.3828995133340925E-17</v>
      </c>
      <c r="D47" s="35">
        <v>2</v>
      </c>
      <c r="E47" s="31">
        <v>0.33333333333333331</v>
      </c>
      <c r="F47" s="31">
        <v>0.33333333333333331</v>
      </c>
      <c r="G47" s="31">
        <v>0.29639401934916448</v>
      </c>
      <c r="H47" s="31">
        <v>0.15919085312225154</v>
      </c>
      <c r="I47" s="32">
        <v>8551.0385756676551</v>
      </c>
      <c r="J47" s="32">
        <v>-8192.8176795580112</v>
      </c>
      <c r="K47" s="31">
        <v>7.575757575757576E-2</v>
      </c>
      <c r="L47" s="31">
        <v>0.32189973614775724</v>
      </c>
      <c r="M47" s="31">
        <v>0.18733509234828497</v>
      </c>
      <c r="N47" s="31">
        <v>0.56010928961748629</v>
      </c>
      <c r="O47" s="31">
        <v>0.38028169014084506</v>
      </c>
      <c r="P47" s="31">
        <v>0.4599406528189911</v>
      </c>
    </row>
    <row r="48" spans="1:16" x14ac:dyDescent="0.4">
      <c r="A48" s="33">
        <v>45</v>
      </c>
      <c r="B48" s="30">
        <v>0</v>
      </c>
      <c r="C48" s="30">
        <v>0</v>
      </c>
      <c r="D48" s="35">
        <v>2</v>
      </c>
      <c r="E48" s="31">
        <v>0.33333333333333331</v>
      </c>
      <c r="F48" s="31">
        <v>0.33333333333333331</v>
      </c>
      <c r="G48" s="31">
        <v>0.296875</v>
      </c>
      <c r="H48" s="31">
        <v>0.16059027777777779</v>
      </c>
      <c r="I48" s="32">
        <v>8745.3216374269014</v>
      </c>
      <c r="J48" s="32">
        <v>-8346.4864864864867</v>
      </c>
      <c r="K48" s="31">
        <v>8.1481481481481488E-2</v>
      </c>
      <c r="L48" s="31">
        <v>0.32291666666666669</v>
      </c>
      <c r="M48" s="31">
        <v>0.18663194444444445</v>
      </c>
      <c r="N48" s="31">
        <v>0.55913978494623651</v>
      </c>
      <c r="O48" s="31">
        <v>0.38139534883720932</v>
      </c>
      <c r="P48" s="31">
        <v>0.45614035087719296</v>
      </c>
    </row>
    <row r="49" spans="1:16" x14ac:dyDescent="0.4">
      <c r="A49" s="33">
        <v>46</v>
      </c>
      <c r="B49" s="30">
        <v>1.7763568394002505E-15</v>
      </c>
      <c r="C49" s="30">
        <v>1.2872151010146743E-17</v>
      </c>
      <c r="D49" s="35">
        <v>2</v>
      </c>
      <c r="E49" s="31">
        <v>0.33333333333333331</v>
      </c>
      <c r="F49" s="31">
        <v>0.33333333333333331</v>
      </c>
      <c r="G49" s="31">
        <v>0.29535864978902954</v>
      </c>
      <c r="H49" s="31">
        <v>0.16286919831223629</v>
      </c>
      <c r="I49" s="32">
        <v>8701.1428571428569</v>
      </c>
      <c r="J49" s="32">
        <v>-8282.9015544041449</v>
      </c>
      <c r="K49" s="31">
        <v>8.6956521739130432E-2</v>
      </c>
      <c r="L49" s="31">
        <v>0.32151898734177214</v>
      </c>
      <c r="M49" s="31">
        <v>0.18481012658227849</v>
      </c>
      <c r="N49" s="31">
        <v>0.55643044619422577</v>
      </c>
      <c r="O49" s="31">
        <v>0.37442922374429222</v>
      </c>
      <c r="P49" s="31">
        <v>0.44571428571428573</v>
      </c>
    </row>
    <row r="50" spans="1:16" x14ac:dyDescent="0.4">
      <c r="A50" s="33">
        <v>47</v>
      </c>
      <c r="B50" s="30">
        <v>0</v>
      </c>
      <c r="C50" s="30">
        <v>0</v>
      </c>
      <c r="D50" s="35">
        <v>2</v>
      </c>
      <c r="E50" s="31">
        <v>0.33333333333333331</v>
      </c>
      <c r="F50" s="31">
        <v>0.33333333333333331</v>
      </c>
      <c r="G50" s="31">
        <v>0.29638752052545159</v>
      </c>
      <c r="H50" s="31">
        <v>0.16502463054187191</v>
      </c>
      <c r="I50" s="32">
        <v>8651.2465373961222</v>
      </c>
      <c r="J50" s="32">
        <v>-8150.746268656716</v>
      </c>
      <c r="K50" s="31">
        <v>8.5106382978723402E-2</v>
      </c>
      <c r="L50" s="31">
        <v>0.31773399014778325</v>
      </c>
      <c r="M50" s="31">
        <v>0.18390804597701149</v>
      </c>
      <c r="N50" s="31">
        <v>0.56072351421188626</v>
      </c>
      <c r="O50" s="31">
        <v>0.375</v>
      </c>
      <c r="P50" s="31">
        <v>0.44044321329639891</v>
      </c>
    </row>
    <row r="51" spans="1:16" x14ac:dyDescent="0.4">
      <c r="A51" s="33">
        <v>48</v>
      </c>
      <c r="B51" s="30">
        <v>-2.886579864025407E-15</v>
      </c>
      <c r="C51" s="30">
        <v>-2.0045693500176437E-17</v>
      </c>
      <c r="D51" s="35">
        <v>2</v>
      </c>
      <c r="E51" s="31">
        <v>0.33333333333333331</v>
      </c>
      <c r="F51" s="31">
        <v>0.33333333333333331</v>
      </c>
      <c r="G51" s="31">
        <v>0.29567307692307693</v>
      </c>
      <c r="H51" s="31">
        <v>0.16506410256410256</v>
      </c>
      <c r="I51" s="32">
        <v>8553.1165311653112</v>
      </c>
      <c r="J51" s="32">
        <v>-8069.4174757281553</v>
      </c>
      <c r="K51" s="31">
        <v>8.3333333333333329E-2</v>
      </c>
      <c r="L51" s="31">
        <v>0.31650641025641024</v>
      </c>
      <c r="M51" s="31">
        <v>0.18429487179487181</v>
      </c>
      <c r="N51" s="31">
        <v>0.55696202531645567</v>
      </c>
      <c r="O51" s="31">
        <v>0.37826086956521737</v>
      </c>
      <c r="P51" s="31">
        <v>0.43902439024390244</v>
      </c>
    </row>
    <row r="52" spans="1:16" x14ac:dyDescent="0.4">
      <c r="A52" s="33">
        <v>49</v>
      </c>
      <c r="B52" s="30">
        <v>0</v>
      </c>
      <c r="C52" s="30">
        <v>0</v>
      </c>
      <c r="D52" s="35">
        <v>2</v>
      </c>
      <c r="E52" s="31">
        <v>0.33333333333333331</v>
      </c>
      <c r="F52" s="31">
        <v>0.33333333333333331</v>
      </c>
      <c r="G52" s="31">
        <v>0.2964705882352941</v>
      </c>
      <c r="H52" s="31">
        <v>0.16549019607843138</v>
      </c>
      <c r="I52" s="32">
        <v>8515.8730158730159</v>
      </c>
      <c r="J52" s="32">
        <v>-8043.1279620853084</v>
      </c>
      <c r="K52" s="31">
        <v>8.1632653061224483E-2</v>
      </c>
      <c r="L52" s="31">
        <v>0.3192156862745098</v>
      </c>
      <c r="M52" s="31">
        <v>0.18509803921568627</v>
      </c>
      <c r="N52" s="31">
        <v>0.55282555282555279</v>
      </c>
      <c r="O52" s="31">
        <v>0.38135593220338981</v>
      </c>
      <c r="P52" s="31">
        <v>0.43915343915343913</v>
      </c>
    </row>
    <row r="53" spans="1:16" x14ac:dyDescent="0.4">
      <c r="A53" s="33">
        <v>50</v>
      </c>
      <c r="B53" s="30">
        <v>0</v>
      </c>
      <c r="C53" s="30">
        <v>0</v>
      </c>
      <c r="D53" s="35">
        <v>2</v>
      </c>
      <c r="E53" s="31">
        <v>0.33333333333333331</v>
      </c>
      <c r="F53" s="31">
        <v>0.33333333333333331</v>
      </c>
      <c r="G53" s="31">
        <v>0.2964669738863287</v>
      </c>
      <c r="H53" s="31">
        <v>0.1651305683563748</v>
      </c>
      <c r="I53" s="32">
        <v>8497.1502590673572</v>
      </c>
      <c r="J53" s="32">
        <v>-8039.0697674418607</v>
      </c>
      <c r="K53" s="31">
        <v>0.08</v>
      </c>
      <c r="L53" s="31">
        <v>0.32027649769585254</v>
      </c>
      <c r="M53" s="31">
        <v>0.18586789554531491</v>
      </c>
      <c r="N53" s="31">
        <v>0.5467625899280576</v>
      </c>
      <c r="O53" s="31">
        <v>0.38842975206611569</v>
      </c>
      <c r="P53" s="31">
        <v>0.44041450777202074</v>
      </c>
    </row>
    <row r="54" spans="1:16" x14ac:dyDescent="0.4">
      <c r="A54" s="33">
        <v>51</v>
      </c>
      <c r="B54" s="30">
        <v>0</v>
      </c>
      <c r="C54" s="30">
        <v>0</v>
      </c>
      <c r="D54" s="35">
        <v>2</v>
      </c>
      <c r="E54" s="31">
        <v>0.33333333333333331</v>
      </c>
      <c r="F54" s="31">
        <v>0.33333333333333331</v>
      </c>
      <c r="G54" s="31">
        <v>0.29705215419501135</v>
      </c>
      <c r="H54" s="31">
        <v>0.1655328798185941</v>
      </c>
      <c r="I54" s="32">
        <v>8457.7608142493646</v>
      </c>
      <c r="J54" s="32">
        <v>-7964.8401826484014</v>
      </c>
      <c r="K54" s="31">
        <v>7.8431372549019607E-2</v>
      </c>
      <c r="L54" s="31">
        <v>0.32048374905517762</v>
      </c>
      <c r="M54" s="31">
        <v>0.18594104308390022</v>
      </c>
      <c r="N54" s="31">
        <v>0.54716981132075471</v>
      </c>
      <c r="O54" s="31">
        <v>0.3902439024390244</v>
      </c>
      <c r="P54" s="31">
        <v>0.44020356234096691</v>
      </c>
    </row>
    <row r="55" spans="1:16" x14ac:dyDescent="0.4">
      <c r="A55" s="33">
        <v>52</v>
      </c>
      <c r="B55" s="30">
        <v>0</v>
      </c>
      <c r="C55" s="30">
        <v>0</v>
      </c>
      <c r="D55" s="35">
        <v>2</v>
      </c>
      <c r="E55" s="31">
        <v>0.33333333333333331</v>
      </c>
      <c r="F55" s="31">
        <v>0.33333333333333331</v>
      </c>
      <c r="G55" s="31">
        <v>0.29703703703703704</v>
      </c>
      <c r="H55" s="31">
        <v>0.16666666666666666</v>
      </c>
      <c r="I55" s="32">
        <v>8572.8179551122194</v>
      </c>
      <c r="J55" s="32">
        <v>-8098.2222222222226</v>
      </c>
      <c r="K55" s="31">
        <v>8.3333333333333329E-2</v>
      </c>
      <c r="L55" s="31">
        <v>0.32222222222222224</v>
      </c>
      <c r="M55" s="31">
        <v>0.18444444444444444</v>
      </c>
      <c r="N55" s="31">
        <v>0.54482758620689653</v>
      </c>
      <c r="O55" s="31">
        <v>0.38955823293172692</v>
      </c>
      <c r="P55" s="31">
        <v>0.43640897755610975</v>
      </c>
    </row>
    <row r="56" spans="1:16" x14ac:dyDescent="0.4">
      <c r="A56" s="33">
        <v>53</v>
      </c>
      <c r="B56" s="30">
        <v>-3.5527136788005009E-15</v>
      </c>
      <c r="C56" s="30">
        <v>-2.2344111187424535E-17</v>
      </c>
      <c r="D56" s="35">
        <v>2</v>
      </c>
      <c r="E56" s="31">
        <v>0.33333333333333331</v>
      </c>
      <c r="F56" s="31">
        <v>0.33333333333333331</v>
      </c>
      <c r="G56" s="31">
        <v>0.2975929978118162</v>
      </c>
      <c r="H56" s="31">
        <v>0.16776075857038658</v>
      </c>
      <c r="I56" s="32">
        <v>8541.176470588236</v>
      </c>
      <c r="J56" s="32">
        <v>-8068.260869565217</v>
      </c>
      <c r="K56" s="31">
        <v>8.1761006289308172E-2</v>
      </c>
      <c r="L56" s="31">
        <v>0.32093362509117435</v>
      </c>
      <c r="M56" s="31">
        <v>0.18453683442742524</v>
      </c>
      <c r="N56" s="31">
        <v>0.54545454545454541</v>
      </c>
      <c r="O56" s="31">
        <v>0.39130434782608697</v>
      </c>
      <c r="P56" s="31">
        <v>0.43382352941176472</v>
      </c>
    </row>
    <row r="57" spans="1:16" x14ac:dyDescent="0.4">
      <c r="A57" s="33">
        <v>54</v>
      </c>
      <c r="B57" s="30">
        <v>-3.5527136788005009E-15</v>
      </c>
      <c r="C57" s="30">
        <v>-2.1930331350620375E-17</v>
      </c>
      <c r="D57" s="35">
        <v>2</v>
      </c>
      <c r="E57" s="31">
        <v>0.33333333333333331</v>
      </c>
      <c r="F57" s="31">
        <v>0.33333333333333331</v>
      </c>
      <c r="G57" s="31">
        <v>0.29813218390804597</v>
      </c>
      <c r="H57" s="31">
        <v>0.16738505747126436</v>
      </c>
      <c r="I57" s="32">
        <v>8527.7108433734938</v>
      </c>
      <c r="J57" s="32">
        <v>-8076.8240343347643</v>
      </c>
      <c r="K57" s="31">
        <v>8.0246913580246909E-2</v>
      </c>
      <c r="L57" s="31">
        <v>0.32255747126436779</v>
      </c>
      <c r="M57" s="31">
        <v>0.1846264367816092</v>
      </c>
      <c r="N57" s="31">
        <v>0.54565701559020041</v>
      </c>
      <c r="O57" s="31">
        <v>0.39299610894941633</v>
      </c>
      <c r="P57" s="31">
        <v>0.43614457831325304</v>
      </c>
    </row>
    <row r="58" spans="1:16" x14ac:dyDescent="0.4">
      <c r="A58" s="33">
        <v>55</v>
      </c>
      <c r="B58" s="30">
        <v>3.5527136788005009E-15</v>
      </c>
      <c r="C58" s="30">
        <v>2.1531598053336369E-17</v>
      </c>
      <c r="D58" s="35">
        <v>2</v>
      </c>
      <c r="E58" s="31">
        <v>0.33333333333333331</v>
      </c>
      <c r="F58" s="31">
        <v>0.33333333333333331</v>
      </c>
      <c r="G58" s="31">
        <v>0.2980225988700565</v>
      </c>
      <c r="H58" s="31">
        <v>0.16596045197740114</v>
      </c>
      <c r="I58" s="32">
        <v>8558.5308056872036</v>
      </c>
      <c r="J58" s="32">
        <v>-8071.489361702128</v>
      </c>
      <c r="K58" s="31">
        <v>8.4848484848484854E-2</v>
      </c>
      <c r="L58" s="31">
        <v>0.32203389830508472</v>
      </c>
      <c r="M58" s="31">
        <v>0.18714689265536724</v>
      </c>
      <c r="N58" s="31">
        <v>0.54605263157894735</v>
      </c>
      <c r="O58" s="31">
        <v>0.38867924528301889</v>
      </c>
      <c r="P58" s="31">
        <v>0.44075829383886256</v>
      </c>
    </row>
    <row r="59" spans="1:16" x14ac:dyDescent="0.4">
      <c r="A59" s="33">
        <v>56</v>
      </c>
      <c r="B59" s="30">
        <v>0</v>
      </c>
      <c r="C59" s="30">
        <v>0</v>
      </c>
      <c r="D59" s="35">
        <v>2</v>
      </c>
      <c r="E59" s="31">
        <v>0.33333333333333331</v>
      </c>
      <c r="F59" s="31">
        <v>0.33333333333333331</v>
      </c>
      <c r="G59" s="31">
        <v>0.29846582984658299</v>
      </c>
      <c r="H59" s="31">
        <v>0.16527196652719664</v>
      </c>
      <c r="I59" s="32">
        <v>8552.336448598131</v>
      </c>
      <c r="J59" s="32">
        <v>-8146.835443037975</v>
      </c>
      <c r="K59" s="31">
        <v>8.3333333333333329E-2</v>
      </c>
      <c r="L59" s="31">
        <v>0.32357043235704325</v>
      </c>
      <c r="M59" s="31">
        <v>0.18619246861924685</v>
      </c>
      <c r="N59" s="31">
        <v>0.54741379310344829</v>
      </c>
      <c r="O59" s="31">
        <v>0.38576779026217228</v>
      </c>
      <c r="P59" s="31">
        <v>0.44392523364485981</v>
      </c>
    </row>
    <row r="60" spans="1:16" x14ac:dyDescent="0.4">
      <c r="A60" s="33">
        <v>57</v>
      </c>
      <c r="B60" s="30">
        <v>0</v>
      </c>
      <c r="C60" s="30">
        <v>0</v>
      </c>
      <c r="D60" s="35">
        <v>2</v>
      </c>
      <c r="E60" s="31">
        <v>0.33333333333333331</v>
      </c>
      <c r="F60" s="31">
        <v>0.33333333333333331</v>
      </c>
      <c r="G60" s="31">
        <v>0.29882677708764666</v>
      </c>
      <c r="H60" s="31">
        <v>0.16494133885438234</v>
      </c>
      <c r="I60" s="32">
        <v>8575.0577367205551</v>
      </c>
      <c r="J60" s="32">
        <v>-8134.3096234309623</v>
      </c>
      <c r="K60" s="31">
        <v>8.771929824561403E-2</v>
      </c>
      <c r="L60" s="31">
        <v>0.32505175983436851</v>
      </c>
      <c r="M60" s="31">
        <v>0.18495514147688061</v>
      </c>
      <c r="N60" s="31">
        <v>0.54989384288747345</v>
      </c>
      <c r="O60" s="31">
        <v>0.38432835820895522</v>
      </c>
      <c r="P60" s="31">
        <v>0.44572748267898382</v>
      </c>
    </row>
    <row r="61" spans="1:16" x14ac:dyDescent="0.4">
      <c r="A61" s="33">
        <v>58</v>
      </c>
      <c r="B61" s="30">
        <v>0</v>
      </c>
      <c r="C61" s="30">
        <v>0</v>
      </c>
      <c r="D61" s="35">
        <v>2</v>
      </c>
      <c r="E61" s="31">
        <v>0.33333333333333331</v>
      </c>
      <c r="F61" s="31">
        <v>0.33333333333333331</v>
      </c>
      <c r="G61" s="31">
        <v>0.29863945578231293</v>
      </c>
      <c r="H61" s="31">
        <v>0.1653061224489796</v>
      </c>
      <c r="I61" s="32">
        <v>8576.0820045558085</v>
      </c>
      <c r="J61" s="32">
        <v>-8196.707818930041</v>
      </c>
      <c r="K61" s="31">
        <v>8.6206896551724144E-2</v>
      </c>
      <c r="L61" s="31">
        <v>0.32380952380952382</v>
      </c>
      <c r="M61" s="31">
        <v>0.18367346938775511</v>
      </c>
      <c r="N61" s="31">
        <v>0.54831932773109249</v>
      </c>
      <c r="O61" s="31">
        <v>0.38518518518518519</v>
      </c>
      <c r="P61" s="31">
        <v>0.44419134396355353</v>
      </c>
    </row>
    <row r="62" spans="1:16" x14ac:dyDescent="0.4">
      <c r="A62" s="33">
        <v>59</v>
      </c>
      <c r="B62" s="30">
        <v>0</v>
      </c>
      <c r="C62" s="30">
        <v>0</v>
      </c>
      <c r="D62" s="35">
        <v>2</v>
      </c>
      <c r="E62" s="31">
        <v>0.33333333333333331</v>
      </c>
      <c r="F62" s="31">
        <v>0.33333333333333331</v>
      </c>
      <c r="G62" s="31">
        <v>0.29852744310575635</v>
      </c>
      <c r="H62" s="31">
        <v>0.16331994645247658</v>
      </c>
      <c r="I62" s="32">
        <v>8682.0627802690578</v>
      </c>
      <c r="J62" s="32">
        <v>-8171.311475409836</v>
      </c>
      <c r="K62" s="31">
        <v>9.03954802259887E-2</v>
      </c>
      <c r="L62" s="31">
        <v>0.3253012048192771</v>
      </c>
      <c r="M62" s="31">
        <v>0.18273092369477911</v>
      </c>
      <c r="N62" s="31">
        <v>0.54526748971193417</v>
      </c>
      <c r="O62" s="31">
        <v>0.38827838827838829</v>
      </c>
      <c r="P62" s="31">
        <v>0.45067264573991034</v>
      </c>
    </row>
    <row r="63" spans="1:16" x14ac:dyDescent="0.4">
      <c r="A63" s="33">
        <v>60</v>
      </c>
      <c r="B63" s="30">
        <v>0</v>
      </c>
      <c r="C63" s="30">
        <v>0</v>
      </c>
      <c r="D63" s="35">
        <v>2</v>
      </c>
      <c r="E63" s="31">
        <v>0.33333333333333331</v>
      </c>
      <c r="F63" s="31">
        <v>0.33333333333333331</v>
      </c>
      <c r="G63" s="31">
        <v>0.29828042328042326</v>
      </c>
      <c r="H63" s="31">
        <v>0.16137566137566137</v>
      </c>
      <c r="I63" s="32">
        <v>8701.1086474501117</v>
      </c>
      <c r="J63" s="32">
        <v>-8171.311475409836</v>
      </c>
      <c r="K63" s="31">
        <v>8.8888888888888892E-2</v>
      </c>
      <c r="L63" s="31">
        <v>0.32275132275132273</v>
      </c>
      <c r="M63" s="31">
        <v>0.18386243386243387</v>
      </c>
      <c r="N63" s="31">
        <v>0.54508196721311475</v>
      </c>
      <c r="O63" s="31">
        <v>0.38848920863309355</v>
      </c>
      <c r="P63" s="31">
        <v>0.4567627494456763</v>
      </c>
    </row>
    <row r="64" spans="1:16" x14ac:dyDescent="0.4">
      <c r="A64" s="33">
        <v>61</v>
      </c>
      <c r="B64" s="30">
        <v>1.4210854715202004E-14</v>
      </c>
      <c r="C64" s="30">
        <v>7.7654943798918053E-17</v>
      </c>
      <c r="D64" s="35">
        <v>2</v>
      </c>
      <c r="E64" s="31">
        <v>0.33333333333333331</v>
      </c>
      <c r="F64" s="31">
        <v>0.33333333333333331</v>
      </c>
      <c r="G64" s="31">
        <v>0.29803921568627451</v>
      </c>
      <c r="H64" s="31">
        <v>0.16078431372549021</v>
      </c>
      <c r="I64" s="32">
        <v>8785.0877192982462</v>
      </c>
      <c r="J64" s="32">
        <v>-8310.5691056910564</v>
      </c>
      <c r="K64" s="31">
        <v>9.2896174863387984E-2</v>
      </c>
      <c r="L64" s="31">
        <v>0.3202614379084967</v>
      </c>
      <c r="M64" s="31">
        <v>0.18627450980392157</v>
      </c>
      <c r="N64" s="31">
        <v>0.54285714285714282</v>
      </c>
      <c r="O64" s="31">
        <v>0.38596491228070173</v>
      </c>
      <c r="P64" s="31">
        <v>0.45833333333333331</v>
      </c>
    </row>
    <row r="65" spans="1:16" x14ac:dyDescent="0.4">
      <c r="A65" s="33">
        <v>62</v>
      </c>
      <c r="B65" s="30">
        <v>1.1990408665951691E-14</v>
      </c>
      <c r="C65" s="30">
        <v>6.4464562720170384E-17</v>
      </c>
      <c r="D65" s="35">
        <v>2</v>
      </c>
      <c r="E65" s="31">
        <v>0.33333333333333331</v>
      </c>
      <c r="F65" s="31">
        <v>0.33333333333333331</v>
      </c>
      <c r="G65" s="31">
        <v>0.29858429858429858</v>
      </c>
      <c r="H65" s="31">
        <v>0.15958815958815958</v>
      </c>
      <c r="I65" s="32">
        <v>8752.1551724137935</v>
      </c>
      <c r="J65" s="32">
        <v>-8261.2903225806458</v>
      </c>
      <c r="K65" s="31">
        <v>9.1397849462365593E-2</v>
      </c>
      <c r="L65" s="31">
        <v>0.32046332046332049</v>
      </c>
      <c r="M65" s="31">
        <v>0.18532818532818532</v>
      </c>
      <c r="N65" s="31">
        <v>0.54417670682730923</v>
      </c>
      <c r="O65" s="31">
        <v>0.38541666666666669</v>
      </c>
      <c r="P65" s="31">
        <v>0.46336206896551724</v>
      </c>
    </row>
    <row r="66" spans="1:16" x14ac:dyDescent="0.4">
      <c r="A66" s="33">
        <v>63</v>
      </c>
      <c r="B66" s="30">
        <v>1.0658141036401503E-14</v>
      </c>
      <c r="C66" s="30">
        <v>5.6392280615880964E-17</v>
      </c>
      <c r="D66" s="35">
        <v>2</v>
      </c>
      <c r="E66" s="31">
        <v>0.33333333333333331</v>
      </c>
      <c r="F66" s="31">
        <v>0.33333333333333331</v>
      </c>
      <c r="G66" s="31">
        <v>0.29937106918238993</v>
      </c>
      <c r="H66" s="31">
        <v>0.15974842767295597</v>
      </c>
      <c r="I66" s="32">
        <v>8809.4537815126059</v>
      </c>
      <c r="J66" s="32">
        <v>-8328.3464566929142</v>
      </c>
      <c r="K66" s="31">
        <v>9.5238095238095233E-2</v>
      </c>
      <c r="L66" s="31">
        <v>0.320125786163522</v>
      </c>
      <c r="M66" s="31">
        <v>0.18553459119496854</v>
      </c>
      <c r="N66" s="31">
        <v>0.5461689587426326</v>
      </c>
      <c r="O66" s="31">
        <v>0.38305084745762713</v>
      </c>
      <c r="P66" s="31">
        <v>0.46218487394957986</v>
      </c>
    </row>
    <row r="67" spans="1:16" x14ac:dyDescent="0.4">
      <c r="A67" s="33">
        <v>64</v>
      </c>
      <c r="B67" s="30">
        <v>1.4210854715202004E-14</v>
      </c>
      <c r="C67" s="30">
        <v>7.4014868308343765E-17</v>
      </c>
      <c r="D67" s="35">
        <v>2</v>
      </c>
      <c r="E67" s="31">
        <v>0.33333333333333331</v>
      </c>
      <c r="F67" s="31">
        <v>0.33333333333333331</v>
      </c>
      <c r="G67" s="31">
        <v>0.29938271604938271</v>
      </c>
      <c r="H67" s="31">
        <v>0.15987654320987654</v>
      </c>
      <c r="I67" s="32">
        <v>8765.3608247422671</v>
      </c>
      <c r="J67" s="32">
        <v>-8281.4671814671819</v>
      </c>
      <c r="K67" s="31">
        <v>9.8958333333333329E-2</v>
      </c>
      <c r="L67" s="31">
        <v>0.31913580246913581</v>
      </c>
      <c r="M67" s="31">
        <v>0.18641975308641975</v>
      </c>
      <c r="N67" s="31">
        <v>0.54738878143133463</v>
      </c>
      <c r="O67" s="31">
        <v>0.38741721854304634</v>
      </c>
      <c r="P67" s="31">
        <v>0.46185567010309281</v>
      </c>
    </row>
    <row r="68" spans="1:16" x14ac:dyDescent="0.4">
      <c r="A68" s="33">
        <v>65</v>
      </c>
      <c r="B68" s="30">
        <v>1.4210854715202004E-14</v>
      </c>
      <c r="C68" s="30">
        <v>7.2876178026676942E-17</v>
      </c>
      <c r="D68" s="35">
        <v>2</v>
      </c>
      <c r="E68" s="31">
        <v>0.33333333333333331</v>
      </c>
      <c r="F68" s="31">
        <v>0.33333333333333331</v>
      </c>
      <c r="G68" s="31">
        <v>0.29927007299270075</v>
      </c>
      <c r="H68" s="31">
        <v>0.15997566909975669</v>
      </c>
      <c r="I68" s="32">
        <v>8723.3739837398371</v>
      </c>
      <c r="J68" s="32">
        <v>-8250.1901140684404</v>
      </c>
      <c r="K68" s="31">
        <v>9.7435897435897437E-2</v>
      </c>
      <c r="L68" s="31">
        <v>0.31690997566909973</v>
      </c>
      <c r="M68" s="31">
        <v>0.18734793187347931</v>
      </c>
      <c r="N68" s="31">
        <v>0.54894433781190022</v>
      </c>
      <c r="O68" s="31">
        <v>0.39285714285714285</v>
      </c>
      <c r="P68" s="31">
        <v>0.4613821138211382</v>
      </c>
    </row>
    <row r="69" spans="1:16" x14ac:dyDescent="0.4">
      <c r="A69" s="33">
        <v>66</v>
      </c>
      <c r="B69" s="30">
        <v>1.4210854715202004E-14</v>
      </c>
      <c r="C69" s="30">
        <v>7.1771993511121237E-17</v>
      </c>
      <c r="D69" s="35">
        <v>2</v>
      </c>
      <c r="E69" s="31">
        <v>0.33333333333333331</v>
      </c>
      <c r="F69" s="31">
        <v>0.33333333333333331</v>
      </c>
      <c r="G69" s="31">
        <v>0.29695885509838998</v>
      </c>
      <c r="H69" s="31">
        <v>0.15861657722122838</v>
      </c>
      <c r="I69" s="32">
        <v>8666.6666666666661</v>
      </c>
      <c r="J69" s="32">
        <v>-8183.082706766917</v>
      </c>
      <c r="K69" s="31">
        <v>9.5959595959595953E-2</v>
      </c>
      <c r="L69" s="31">
        <v>0.31663685152057247</v>
      </c>
      <c r="M69" s="31">
        <v>0.18545020870602266</v>
      </c>
      <c r="N69" s="31">
        <v>0.54613935969868177</v>
      </c>
      <c r="O69" s="31">
        <v>0.39549839228295819</v>
      </c>
      <c r="P69" s="31">
        <v>0.46184738955823296</v>
      </c>
    </row>
    <row r="70" spans="1:16" x14ac:dyDescent="0.4">
      <c r="A70" s="33">
        <v>67</v>
      </c>
      <c r="B70" s="30">
        <v>0</v>
      </c>
      <c r="C70" s="30">
        <v>0</v>
      </c>
      <c r="D70" s="35">
        <v>2</v>
      </c>
      <c r="E70" s="31">
        <v>0.33333333333333331</v>
      </c>
      <c r="F70" s="31">
        <v>0.33333333333333331</v>
      </c>
      <c r="G70" s="31">
        <v>0.29734513274336283</v>
      </c>
      <c r="H70" s="31">
        <v>0.15929203539823009</v>
      </c>
      <c r="I70" s="32">
        <v>8738.8888888888887</v>
      </c>
      <c r="J70" s="32">
        <v>-8226.2962962962956</v>
      </c>
      <c r="K70" s="31">
        <v>9.950248756218906E-2</v>
      </c>
      <c r="L70" s="31">
        <v>0.31622418879056047</v>
      </c>
      <c r="M70" s="31">
        <v>0.18525073746312684</v>
      </c>
      <c r="N70" s="31">
        <v>0.54664179104477617</v>
      </c>
      <c r="O70" s="31">
        <v>0.39808917197452232</v>
      </c>
      <c r="P70" s="31">
        <v>0.46031746031746029</v>
      </c>
    </row>
    <row r="71" spans="1:16" x14ac:dyDescent="0.4">
      <c r="A71" s="33">
        <v>68</v>
      </c>
      <c r="B71" s="30">
        <v>0</v>
      </c>
      <c r="C71" s="30">
        <v>0</v>
      </c>
      <c r="D71" s="35">
        <v>2</v>
      </c>
      <c r="E71" s="31">
        <v>0.33333333333333331</v>
      </c>
      <c r="F71" s="31">
        <v>0.33333333333333331</v>
      </c>
      <c r="G71" s="31">
        <v>0.29668411867364747</v>
      </c>
      <c r="H71" s="31">
        <v>0.15939499709133217</v>
      </c>
      <c r="I71" s="32">
        <v>8751.7647058823532</v>
      </c>
      <c r="J71" s="32">
        <v>-8249.6350364963509</v>
      </c>
      <c r="K71" s="31">
        <v>9.8039215686274508E-2</v>
      </c>
      <c r="L71" s="31">
        <v>0.31529959278650377</v>
      </c>
      <c r="M71" s="31">
        <v>0.18499127399650961</v>
      </c>
      <c r="N71" s="31">
        <v>0.54612546125461259</v>
      </c>
      <c r="O71" s="31">
        <v>0.39937106918238996</v>
      </c>
      <c r="P71" s="31">
        <v>0.45882352941176469</v>
      </c>
    </row>
    <row r="72" spans="1:16" x14ac:dyDescent="0.4">
      <c r="A72" s="33">
        <v>69</v>
      </c>
      <c r="B72" s="30">
        <v>0</v>
      </c>
      <c r="C72" s="30">
        <v>0</v>
      </c>
      <c r="D72" s="35">
        <v>2</v>
      </c>
      <c r="E72" s="31">
        <v>0.33333333333333331</v>
      </c>
      <c r="F72" s="31">
        <v>0.33333333333333331</v>
      </c>
      <c r="G72" s="31">
        <v>0.29553264604810997</v>
      </c>
      <c r="H72" s="31">
        <v>0.15807560137457044</v>
      </c>
      <c r="I72" s="32">
        <v>8791.0852713178301</v>
      </c>
      <c r="J72" s="32">
        <v>-8262.31884057971</v>
      </c>
      <c r="K72" s="31">
        <v>9.6618357487922704E-2</v>
      </c>
      <c r="L72" s="31">
        <v>0.31500572737686139</v>
      </c>
      <c r="M72" s="31">
        <v>0.18442153493699887</v>
      </c>
      <c r="N72" s="31">
        <v>0.54545454545454541</v>
      </c>
      <c r="O72" s="31">
        <v>0.40062111801242234</v>
      </c>
      <c r="P72" s="31">
        <v>0.46124031007751937</v>
      </c>
    </row>
    <row r="73" spans="1:16" x14ac:dyDescent="0.4">
      <c r="A73" s="33">
        <v>70</v>
      </c>
      <c r="B73" s="30">
        <v>0</v>
      </c>
      <c r="C73" s="30">
        <v>0</v>
      </c>
      <c r="D73" s="35">
        <v>2</v>
      </c>
      <c r="E73" s="31">
        <v>0.33333333333333331</v>
      </c>
      <c r="F73" s="31">
        <v>0.33333333333333331</v>
      </c>
      <c r="G73" s="31">
        <v>0.29604519774011301</v>
      </c>
      <c r="H73" s="31">
        <v>0.15875706214689267</v>
      </c>
      <c r="I73" s="32">
        <v>8777.480916030534</v>
      </c>
      <c r="J73" s="32">
        <v>-8266.1921708185055</v>
      </c>
      <c r="K73" s="31">
        <v>9.5238095238095233E-2</v>
      </c>
      <c r="L73" s="31">
        <v>0.31242937853107344</v>
      </c>
      <c r="M73" s="31">
        <v>0.18587570621468927</v>
      </c>
      <c r="N73" s="31">
        <v>0.54792043399638335</v>
      </c>
      <c r="O73" s="31">
        <v>0.3981762917933131</v>
      </c>
      <c r="P73" s="31">
        <v>0.45992366412213742</v>
      </c>
    </row>
    <row r="74" spans="1:16" x14ac:dyDescent="0.4">
      <c r="A74" s="33">
        <v>71</v>
      </c>
      <c r="B74" s="30">
        <v>0</v>
      </c>
      <c r="C74" s="30">
        <v>0</v>
      </c>
      <c r="D74" s="35">
        <v>2</v>
      </c>
      <c r="E74" s="31">
        <v>0.33333333333333331</v>
      </c>
      <c r="F74" s="31">
        <v>0.33333333333333331</v>
      </c>
      <c r="G74" s="31">
        <v>0.29506378258458127</v>
      </c>
      <c r="H74" s="31">
        <v>0.15751525235718247</v>
      </c>
      <c r="I74" s="32">
        <v>8790.2255639097748</v>
      </c>
      <c r="J74" s="32">
        <v>-8287.6760563380285</v>
      </c>
      <c r="K74" s="31">
        <v>9.3896713615023469E-2</v>
      </c>
      <c r="L74" s="31">
        <v>0.31336661120354964</v>
      </c>
      <c r="M74" s="31">
        <v>0.18524681087077094</v>
      </c>
      <c r="N74" s="31">
        <v>0.54336283185840706</v>
      </c>
      <c r="O74" s="31">
        <v>0.39820359281437123</v>
      </c>
      <c r="P74" s="31">
        <v>0.46240601503759399</v>
      </c>
    </row>
    <row r="75" spans="1:16" x14ac:dyDescent="0.4">
      <c r="A75" s="33">
        <v>72</v>
      </c>
      <c r="B75" s="30">
        <v>7.1054273576010019E-15</v>
      </c>
      <c r="C75" s="30">
        <v>3.2895497025930562E-17</v>
      </c>
      <c r="D75" s="35">
        <v>2</v>
      </c>
      <c r="E75" s="31">
        <v>0.33333333333333331</v>
      </c>
      <c r="F75" s="31">
        <v>0.33333333333333331</v>
      </c>
      <c r="G75" s="31">
        <v>0.29459901800327332</v>
      </c>
      <c r="H75" s="31">
        <v>0.15657392253136934</v>
      </c>
      <c r="I75" s="32">
        <v>8884.0740740740748</v>
      </c>
      <c r="J75" s="32">
        <v>-8421.254355400697</v>
      </c>
      <c r="K75" s="31">
        <v>9.7222222222222224E-2</v>
      </c>
      <c r="L75" s="31">
        <v>0.31369339879978175</v>
      </c>
      <c r="M75" s="31">
        <v>0.18439716312056736</v>
      </c>
      <c r="N75" s="31">
        <v>0.54260869565217396</v>
      </c>
      <c r="O75" s="31">
        <v>0.39940828402366862</v>
      </c>
      <c r="P75" s="31">
        <v>0.46481481481481479</v>
      </c>
    </row>
    <row r="76" spans="1:16" x14ac:dyDescent="0.4">
      <c r="A76" s="33">
        <v>73</v>
      </c>
      <c r="B76" s="30">
        <v>7.1054273576010019E-15</v>
      </c>
      <c r="C76" s="30">
        <v>3.2444873779000007E-17</v>
      </c>
      <c r="D76" s="35">
        <v>2</v>
      </c>
      <c r="E76" s="31">
        <v>0.33333333333333331</v>
      </c>
      <c r="F76" s="31">
        <v>0.33333333333333331</v>
      </c>
      <c r="G76" s="31">
        <v>0.29472539423599781</v>
      </c>
      <c r="H76" s="31">
        <v>0.15660685154975529</v>
      </c>
      <c r="I76" s="32">
        <v>8939.8523985239844</v>
      </c>
      <c r="J76" s="32">
        <v>-8503.125</v>
      </c>
      <c r="K76" s="31">
        <v>0.1004566210045662</v>
      </c>
      <c r="L76" s="31">
        <v>0.31430125067971726</v>
      </c>
      <c r="M76" s="31">
        <v>0.18433931484502447</v>
      </c>
      <c r="N76" s="31">
        <v>0.54152249134948094</v>
      </c>
      <c r="O76" s="31">
        <v>0.40117994100294985</v>
      </c>
      <c r="P76" s="31">
        <v>0.46494464944649444</v>
      </c>
    </row>
    <row r="77" spans="1:16" x14ac:dyDescent="0.4">
      <c r="A77" s="33">
        <v>74</v>
      </c>
      <c r="B77" s="30">
        <v>9.3258734068513149E-15</v>
      </c>
      <c r="C77" s="30">
        <v>4.200843876960052E-17</v>
      </c>
      <c r="D77" s="35">
        <v>2</v>
      </c>
      <c r="E77" s="31">
        <v>0.33333333333333331</v>
      </c>
      <c r="F77" s="31">
        <v>0.33333333333333331</v>
      </c>
      <c r="G77" s="31">
        <v>0.29509962304792675</v>
      </c>
      <c r="H77" s="31">
        <v>0.15616585891222401</v>
      </c>
      <c r="I77" s="32">
        <v>8926.094890510949</v>
      </c>
      <c r="J77" s="32">
        <v>-8455.8620689655181</v>
      </c>
      <c r="K77" s="31">
        <v>9.90990990990991E-2</v>
      </c>
      <c r="L77" s="31">
        <v>0.31340872374798062</v>
      </c>
      <c r="M77" s="31">
        <v>0.18255250403877221</v>
      </c>
      <c r="N77" s="31">
        <v>0.54295532646048106</v>
      </c>
      <c r="O77" s="31">
        <v>0.40117994100294985</v>
      </c>
      <c r="P77" s="31">
        <v>0.46715328467153283</v>
      </c>
    </row>
    <row r="78" spans="1:16" x14ac:dyDescent="0.4">
      <c r="A78" s="33">
        <v>75</v>
      </c>
      <c r="B78" s="30">
        <v>7.1054273576010019E-15</v>
      </c>
      <c r="C78" s="30">
        <v>3.1579677144893342E-17</v>
      </c>
      <c r="D78" s="35">
        <v>2</v>
      </c>
      <c r="E78" s="31">
        <v>0.33333333333333331</v>
      </c>
      <c r="F78" s="31">
        <v>0.33333333333333331</v>
      </c>
      <c r="G78" s="31">
        <v>0.2944621938232162</v>
      </c>
      <c r="H78" s="31">
        <v>0.15708200212992546</v>
      </c>
      <c r="I78" s="32">
        <v>8921.518987341773</v>
      </c>
      <c r="J78" s="32">
        <v>-8455.2542372881362</v>
      </c>
      <c r="K78" s="31">
        <v>0.10222222222222223</v>
      </c>
      <c r="L78" s="31">
        <v>0.31256656017039403</v>
      </c>
      <c r="M78" s="31">
        <v>0.18317358892438765</v>
      </c>
      <c r="N78" s="31">
        <v>0.54003407155025551</v>
      </c>
      <c r="O78" s="31">
        <v>0.40406976744186046</v>
      </c>
      <c r="P78" s="31">
        <v>0.46292947558770342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567</vt:i4>
      </vt:variant>
    </vt:vector>
  </HeadingPairs>
  <TitlesOfParts>
    <vt:vector size="603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たかの</vt:lpstr>
      <vt:lpstr>ただ</vt:lpstr>
      <vt:lpstr>だいち</vt:lpstr>
      <vt:lpstr>りくと</vt:lpstr>
      <vt:lpstr>わさび</vt:lpstr>
      <vt:lpstr>まっつん</vt:lpstr>
      <vt:lpstr>まっつん2</vt:lpstr>
      <vt:lpstr>わさび2</vt:lpstr>
      <vt:lpstr>りくと2</vt:lpstr>
      <vt:lpstr>だいち2</vt:lpstr>
      <vt:lpstr>ただ2</vt:lpstr>
      <vt:lpstr>たかの2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だいち!ツモ率</vt:lpstr>
      <vt:lpstr>たかの!ツモ率</vt:lpstr>
      <vt:lpstr>ただ!ツモ率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だいち!バランス</vt:lpstr>
      <vt:lpstr>たかの!バランス</vt:lpstr>
      <vt:lpstr>ただ!バランス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だいち!ラス率</vt:lpstr>
      <vt:lpstr>たかの!ラス率</vt:lpstr>
      <vt:lpstr>ただ!ラス率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だいち!レーティング</vt:lpstr>
      <vt:lpstr>たかの!レーティング</vt:lpstr>
      <vt:lpstr>ただ!レーティング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だいち!ロン数</vt:lpstr>
      <vt:lpstr>たかの!ロン数</vt:lpstr>
      <vt:lpstr>ただ!ロン数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だいち!ロン率</vt:lpstr>
      <vt:lpstr>たかの!ロン率</vt:lpstr>
      <vt:lpstr>ただ!ロン率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だいち!一位スコア</vt:lpstr>
      <vt:lpstr>たかの!一位スコア</vt:lpstr>
      <vt:lpstr>ただ!一位スコア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だいち!一翻率</vt:lpstr>
      <vt:lpstr>たかの!一翻率</vt:lpstr>
      <vt:lpstr>ただ!一翻率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だいち!三位スコア</vt:lpstr>
      <vt:lpstr>たかの!三位スコア</vt:lpstr>
      <vt:lpstr>ただ!三位スコア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だいち!対戦数</vt:lpstr>
      <vt:lpstr>たかの!対戦数</vt:lpstr>
      <vt:lpstr>ただ!対戦数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だいち!二位スコア</vt:lpstr>
      <vt:lpstr>たかの!二位スコア</vt:lpstr>
      <vt:lpstr>ただ!二位スコア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だいち!二位通算スコア</vt:lpstr>
      <vt:lpstr>たかの!二位通算スコア</vt:lpstr>
      <vt:lpstr>ただ!二位通算スコア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だいち!放銃率</vt:lpstr>
      <vt:lpstr>たかの!放銃率</vt:lpstr>
      <vt:lpstr>ただ!放銃率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だいち!名前</vt:lpstr>
      <vt:lpstr>たかの!名前</vt:lpstr>
      <vt:lpstr>ただ!名前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 大地(daichi fukuzawa)</cp:lastModifiedBy>
  <dcterms:created xsi:type="dcterms:W3CDTF">2018-11-18T09:24:12Z</dcterms:created>
  <dcterms:modified xsi:type="dcterms:W3CDTF">2024-08-13T12:10:02Z</dcterms:modified>
</cp:coreProperties>
</file>