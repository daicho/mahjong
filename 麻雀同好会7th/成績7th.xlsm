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3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5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6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7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9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1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2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"/>
    </mc:Choice>
  </mc:AlternateContent>
  <xr:revisionPtr revIDLastSave="0" documentId="13_ncr:1_{862F99DC-C867-4FA3-8D27-1D8B7752059A}" xr6:coauthVersionLast="47" xr6:coauthVersionMax="47" xr10:uidLastSave="{00000000-0000-0000-0000-000000000000}"/>
  <bookViews>
    <workbookView xWindow="-120" yWindow="-120" windowWidth="29040" windowHeight="15990" tabRatio="663" firstSheet="4" activeTab="4" xr2:uid="{00000000-000D-0000-FFFF-FFFF00000000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34" r:id="rId6"/>
    <sheet name="れんたろう" sheetId="6036" r:id="rId7"/>
    <sheet name="たかの" sheetId="6038" r:id="rId8"/>
    <sheet name="ただ" sheetId="6040" r:id="rId9"/>
    <sheet name="だいち" sheetId="6042" r:id="rId10"/>
    <sheet name="だいち2" sheetId="6043" state="hidden" r:id="rId11"/>
    <sheet name="ただ2" sheetId="6041" state="hidden" r:id="rId12"/>
    <sheet name="たかの2" sheetId="6039" state="hidden" r:id="rId13"/>
    <sheet name="れんたろう2" sheetId="6037" state="hidden" r:id="rId14"/>
    <sheet name="全体2" sheetId="6035" state="hidden" r:id="rId15"/>
    <sheet name="通算スコア" sheetId="3331" state="hidden" r:id="rId16"/>
    <sheet name="平均スコア" sheetId="3493" state="hidden" r:id="rId17"/>
    <sheet name="平均順位" sheetId="3183" state="hidden" r:id="rId18"/>
    <sheet name="トップ率" sheetId="3185" state="hidden" r:id="rId19"/>
    <sheet name="ラス率" sheetId="4886" state="hidden" r:id="rId20"/>
    <sheet name="アガリ率" sheetId="3189" state="hidden" r:id="rId21"/>
    <sheet name="放銃率" sheetId="3190" state="hidden" r:id="rId22"/>
    <sheet name="平均アガリ点" sheetId="3520" state="hidden" r:id="rId23"/>
    <sheet name="平均放銃点" sheetId="3521" state="hidden" r:id="rId24"/>
    <sheet name="ふっとび率" sheetId="3522" state="hidden" r:id="rId25"/>
    <sheet name="リーチ率" sheetId="3524" state="hidden" r:id="rId26"/>
    <sheet name="副露率" sheetId="3525" state="hidden" r:id="rId27"/>
    <sheet name="リーチ成功率" sheetId="4841" state="hidden" r:id="rId28"/>
    <sheet name="副露成功率" sheetId="3527" state="hidden" r:id="rId29"/>
    <sheet name="ツモ率" sheetId="3528" state="hidden" r:id="rId30"/>
  </sheets>
  <definedNames>
    <definedName name="アガリ数" localSheetId="3">Template1!$B$20</definedName>
    <definedName name="アガリ数" localSheetId="9">だいち!$B$20</definedName>
    <definedName name="アガリ数" localSheetId="7">たかの!$B$20</definedName>
    <definedName name="アガリ数" localSheetId="8">ただ!$B$20</definedName>
    <definedName name="アガリ数" localSheetId="6">れんたろう!$B$20</definedName>
    <definedName name="アガリ数" localSheetId="5">全体!$B$20</definedName>
    <definedName name="アガリ率" localSheetId="3">Template1!$C$20</definedName>
    <definedName name="アガリ率" localSheetId="9">だいち!$C$20</definedName>
    <definedName name="アガリ率" localSheetId="7">たかの!$C$20</definedName>
    <definedName name="アガリ率" localSheetId="8">ただ!$C$20</definedName>
    <definedName name="アガリ率" localSheetId="6">れんたろう!$C$20</definedName>
    <definedName name="アガリ率" localSheetId="5">全体!$C$20</definedName>
    <definedName name="ダマアガリ数" localSheetId="3">Template1!$B$26</definedName>
    <definedName name="ダマアガリ数" localSheetId="9">だいち!$B$26</definedName>
    <definedName name="ダマアガリ数" localSheetId="7">たかの!$B$26</definedName>
    <definedName name="ダマアガリ数" localSheetId="8">ただ!$B$26</definedName>
    <definedName name="ダマアガリ数" localSheetId="6">れんたろう!$B$26</definedName>
    <definedName name="ダマアガリ数" localSheetId="5">全体!$B$26</definedName>
    <definedName name="ダマアガリ率" localSheetId="3">Template1!$C$26</definedName>
    <definedName name="ダマアガリ率" localSheetId="9">だいち!$C$26</definedName>
    <definedName name="ダマアガリ率" localSheetId="7">たかの!$C$26</definedName>
    <definedName name="ダマアガリ率" localSheetId="8">ただ!$C$26</definedName>
    <definedName name="ダマアガリ率" localSheetId="6">れんたろう!$C$26</definedName>
    <definedName name="ダマアガリ率" localSheetId="5">全体!$C$26</definedName>
    <definedName name="チョンボ数" localSheetId="3">Template1!$B$35</definedName>
    <definedName name="チョンボ数" localSheetId="9">だいち!$B$35</definedName>
    <definedName name="チョンボ数" localSheetId="7">たかの!$B$35</definedName>
    <definedName name="チョンボ数" localSheetId="8">ただ!$B$35</definedName>
    <definedName name="チョンボ数" localSheetId="6">れんたろう!$B$35</definedName>
    <definedName name="チョンボ数" localSheetId="5">全体!$B$35</definedName>
    <definedName name="チョンボ率" localSheetId="3">Template1!$C$35</definedName>
    <definedName name="チョンボ率" localSheetId="9">だいち!$C$35</definedName>
    <definedName name="チョンボ率" localSheetId="7">たかの!$C$35</definedName>
    <definedName name="チョンボ率" localSheetId="8">ただ!$C$35</definedName>
    <definedName name="チョンボ率" localSheetId="6">れんたろう!$C$35</definedName>
    <definedName name="チョンボ率" localSheetId="5">全体!$C$35</definedName>
    <definedName name="ツモ数" localSheetId="3">Template1!$B$22</definedName>
    <definedName name="ツモ数" localSheetId="9">だいち!$B$22</definedName>
    <definedName name="ツモ数" localSheetId="7">たかの!$B$22</definedName>
    <definedName name="ツモ数" localSheetId="8">ただ!$B$22</definedName>
    <definedName name="ツモ数" localSheetId="6">れんたろう!$B$22</definedName>
    <definedName name="ツモ数" localSheetId="5">全体!$B$22</definedName>
    <definedName name="ツモ率" localSheetId="3">Template1!$C$22</definedName>
    <definedName name="ツモ率" localSheetId="9">だいち!$C$22</definedName>
    <definedName name="ツモ率" localSheetId="7">たかの!$C$22</definedName>
    <definedName name="ツモ率" localSheetId="8">ただ!$C$22</definedName>
    <definedName name="ツモ率" localSheetId="6">れんたろう!$C$22</definedName>
    <definedName name="ツモ率" localSheetId="5">全体!$C$22</definedName>
    <definedName name="トップ数" localSheetId="3">Template1!$B$8</definedName>
    <definedName name="トップ数" localSheetId="9">だいち!$B$8</definedName>
    <definedName name="トップ数" localSheetId="7">たかの!$B$8</definedName>
    <definedName name="トップ数" localSheetId="8">ただ!$B$8</definedName>
    <definedName name="トップ数" localSheetId="6">れんたろう!$B$8</definedName>
    <definedName name="トップ数" localSheetId="5">全体!$B$8</definedName>
    <definedName name="トップ率" localSheetId="3">Template1!$C$8</definedName>
    <definedName name="トップ率" localSheetId="9">だいち!$C$8</definedName>
    <definedName name="トップ率" localSheetId="7">たかの!$C$8</definedName>
    <definedName name="トップ率" localSheetId="8">ただ!$C$8</definedName>
    <definedName name="トップ率" localSheetId="6">れんたろう!$C$8</definedName>
    <definedName name="トップ率" localSheetId="5">全体!$C$8</definedName>
    <definedName name="バランス" localSheetId="9">だいち!$B$14</definedName>
    <definedName name="バランス" localSheetId="7">たかの!$B$14</definedName>
    <definedName name="バランス" localSheetId="8">ただ!$B$14</definedName>
    <definedName name="バランス" localSheetId="6">れんたろう!$B$14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9">だいち!$B$15</definedName>
    <definedName name="ふっとび数" localSheetId="7">たかの!$B$15</definedName>
    <definedName name="ふっとび数" localSheetId="8">ただ!$B$15</definedName>
    <definedName name="ふっとび数" localSheetId="6">れんたろう!$B$15</definedName>
    <definedName name="ふっとび数" localSheetId="5">全体!$B$15</definedName>
    <definedName name="ふっとび率" localSheetId="3">Template1!$C$15</definedName>
    <definedName name="ふっとび率" localSheetId="9">だいち!$C$15</definedName>
    <definedName name="ふっとび率" localSheetId="7">たかの!$C$15</definedName>
    <definedName name="ふっとび率" localSheetId="8">ただ!$C$15</definedName>
    <definedName name="ふっとび率" localSheetId="6">れんたろう!$C$15</definedName>
    <definedName name="ふっとび率" localSheetId="5">全体!$C$15</definedName>
    <definedName name="ラス数" localSheetId="3">Template1!$B$10</definedName>
    <definedName name="ラス数" localSheetId="9">だいち!$B$10</definedName>
    <definedName name="ラス数" localSheetId="7">たかの!$B$10</definedName>
    <definedName name="ラス数" localSheetId="8">ただ!$B$10</definedName>
    <definedName name="ラス数" localSheetId="6">れんたろう!$B$10</definedName>
    <definedName name="ラス数" localSheetId="5">全体!$B$10</definedName>
    <definedName name="ラス率" localSheetId="3">Template1!$C$10</definedName>
    <definedName name="ラス率" localSheetId="9">だいち!$C$10</definedName>
    <definedName name="ラス率" localSheetId="7">たかの!$C$10</definedName>
    <definedName name="ラス率" localSheetId="8">ただ!$C$10</definedName>
    <definedName name="ラス率" localSheetId="6">れんたろう!$C$10</definedName>
    <definedName name="ラス率" localSheetId="5">全体!$C$10</definedName>
    <definedName name="リーチアガリ数" localSheetId="3">Template1!$B$24</definedName>
    <definedName name="リーチアガリ数" localSheetId="9">だいち!$B$24</definedName>
    <definedName name="リーチアガリ数" localSheetId="7">たかの!$B$24</definedName>
    <definedName name="リーチアガリ数" localSheetId="8">ただ!$B$24</definedName>
    <definedName name="リーチアガリ数" localSheetId="6">れんたろう!$B$24</definedName>
    <definedName name="リーチアガリ数" localSheetId="5">全体!$B$24</definedName>
    <definedName name="リーチアガリ率" localSheetId="3">Template1!$C$24</definedName>
    <definedName name="リーチアガリ率" localSheetId="9">だいち!$C$24</definedName>
    <definedName name="リーチアガリ率" localSheetId="7">たかの!$C$24</definedName>
    <definedName name="リーチアガリ率" localSheetId="8">ただ!$C$24</definedName>
    <definedName name="リーチアガリ率" localSheetId="6">れんたろう!$C$24</definedName>
    <definedName name="リーチアガリ率" localSheetId="5">全体!$C$24</definedName>
    <definedName name="リーチ数" localSheetId="3">Template1!$B$16</definedName>
    <definedName name="リーチ数" localSheetId="9">だいち!$B$16</definedName>
    <definedName name="リーチ数" localSheetId="7">たかの!$B$16</definedName>
    <definedName name="リーチ数" localSheetId="8">ただ!$B$16</definedName>
    <definedName name="リーチ数" localSheetId="6">れんたろう!$B$16</definedName>
    <definedName name="リーチ数" localSheetId="5">全体!$B$16</definedName>
    <definedName name="リーチ成功数" localSheetId="3">Template1!$B$18</definedName>
    <definedName name="リーチ成功数" localSheetId="9">だいち!$B$18</definedName>
    <definedName name="リーチ成功数" localSheetId="7">たかの!$B$18</definedName>
    <definedName name="リーチ成功数" localSheetId="8">ただ!$B$18</definedName>
    <definedName name="リーチ成功数" localSheetId="6">れんたろう!$B$18</definedName>
    <definedName name="リーチ成功数" localSheetId="5">全体!$B$18</definedName>
    <definedName name="リーチ成功率" localSheetId="3">Template1!$C$18</definedName>
    <definedName name="リーチ成功率" localSheetId="9">だいち!$C$18</definedName>
    <definedName name="リーチ成功率" localSheetId="7">たかの!$C$18</definedName>
    <definedName name="リーチ成功率" localSheetId="8">ただ!$C$18</definedName>
    <definedName name="リーチ成功率" localSheetId="6">れんたろう!$C$18</definedName>
    <definedName name="リーチ成功率" localSheetId="5">全体!$C$18</definedName>
    <definedName name="リーチ率" localSheetId="3">Template1!$C$16</definedName>
    <definedName name="リーチ率" localSheetId="9">だいち!$C$16</definedName>
    <definedName name="リーチ率" localSheetId="7">たかの!$C$16</definedName>
    <definedName name="リーチ率" localSheetId="8">ただ!$C$16</definedName>
    <definedName name="リーチ率" localSheetId="6">れんたろう!$C$16</definedName>
    <definedName name="リーチ率" localSheetId="5">全体!$C$16</definedName>
    <definedName name="レーティング" localSheetId="9">だいち!$B$6</definedName>
    <definedName name="レーティング" localSheetId="7">たかの!$B$6</definedName>
    <definedName name="レーティング" localSheetId="8">ただ!$B$6</definedName>
    <definedName name="レーティング" localSheetId="6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9">だいち!$B$23</definedName>
    <definedName name="ロン数" localSheetId="7">たかの!$B$23</definedName>
    <definedName name="ロン数" localSheetId="8">ただ!$B$23</definedName>
    <definedName name="ロン数" localSheetId="6">れんたろう!$B$23</definedName>
    <definedName name="ロン数" localSheetId="5">全体!$B$23</definedName>
    <definedName name="ロン率" localSheetId="3">Template1!$C$23</definedName>
    <definedName name="ロン率" localSheetId="9">だいち!$C$23</definedName>
    <definedName name="ロン率" localSheetId="7">たかの!$C$23</definedName>
    <definedName name="ロン率" localSheetId="8">ただ!$C$23</definedName>
    <definedName name="ロン率" localSheetId="6">れんたろう!$C$23</definedName>
    <definedName name="ロン率" localSheetId="5">全体!$C$23</definedName>
    <definedName name="一位スコア" localSheetId="9">だいち!$B$11</definedName>
    <definedName name="一位スコア" localSheetId="7">たかの!$B$11</definedName>
    <definedName name="一位スコア" localSheetId="8">ただ!$B$11</definedName>
    <definedName name="一位スコア" localSheetId="6">れんたろう!$B$11</definedName>
    <definedName name="一位スコア" localSheetId="5">全体!$B$11</definedName>
    <definedName name="一位スコア">Template1!$B$11</definedName>
    <definedName name="一位通算スコア" localSheetId="9">だいち!$C$11</definedName>
    <definedName name="一位通算スコア" localSheetId="7">たかの!$C$11</definedName>
    <definedName name="一位通算スコア" localSheetId="8">ただ!$C$11</definedName>
    <definedName name="一位通算スコア" localSheetId="6">れんたろう!$C$11</definedName>
    <definedName name="一位通算スコア" localSheetId="5">全体!$C$11</definedName>
    <definedName name="一位通算スコア">Template1!$C$11</definedName>
    <definedName name="一翻数" localSheetId="9">だいち!$B$37</definedName>
    <definedName name="一翻数" localSheetId="7">たかの!$B$37</definedName>
    <definedName name="一翻数" localSheetId="8">ただ!$B$37</definedName>
    <definedName name="一翻数" localSheetId="6">れんたろう!$B$37</definedName>
    <definedName name="一翻数" localSheetId="5">全体!$B$37</definedName>
    <definedName name="一翻数">Template1!$B$37</definedName>
    <definedName name="一翻率" localSheetId="9">だいち!$C$37</definedName>
    <definedName name="一翻率" localSheetId="7">たかの!$C$37</definedName>
    <definedName name="一翻率" localSheetId="8">ただ!$C$37</definedName>
    <definedName name="一翻率" localSheetId="6">れんたろう!$C$37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9">だいち!$C$31</definedName>
    <definedName name="現行連続アガリ" localSheetId="7">たかの!$C$31</definedName>
    <definedName name="現行連続アガリ" localSheetId="8">ただ!$C$31</definedName>
    <definedName name="現行連続アガリ" localSheetId="6">れんたろう!$C$31</definedName>
    <definedName name="現行連続アガリ" localSheetId="5">全体!$C$31</definedName>
    <definedName name="現行連続無放銃" localSheetId="3">Template1!$C$32</definedName>
    <definedName name="現行連続無放銃" localSheetId="9">だいち!$C$32</definedName>
    <definedName name="現行連続無放銃" localSheetId="7">たかの!$C$32</definedName>
    <definedName name="現行連続無放銃" localSheetId="8">ただ!$C$32</definedName>
    <definedName name="現行連続無放銃" localSheetId="6">れんたろう!$C$32</definedName>
    <definedName name="現行連続無放銃" localSheetId="5">全体!$C$32</definedName>
    <definedName name="最高点" localSheetId="3">Template1!$B$34</definedName>
    <definedName name="最高点" localSheetId="9">だいち!$B$34</definedName>
    <definedName name="最高点" localSheetId="7">たかの!$B$34</definedName>
    <definedName name="最高点" localSheetId="8">ただ!$B$34</definedName>
    <definedName name="最高点" localSheetId="6">れんたろう!$B$34</definedName>
    <definedName name="最高点" localSheetId="5">全体!$B$34</definedName>
    <definedName name="最大ドラ数" localSheetId="3">Template1!$B$33</definedName>
    <definedName name="最大ドラ数" localSheetId="9">だいち!$B$33</definedName>
    <definedName name="最大ドラ数" localSheetId="7">たかの!$B$33</definedName>
    <definedName name="最大ドラ数" localSheetId="8">ただ!$B$33</definedName>
    <definedName name="最大ドラ数" localSheetId="6">れんたろう!$B$33</definedName>
    <definedName name="最大ドラ数" localSheetId="5">全体!$B$33</definedName>
    <definedName name="最大点数" localSheetId="3">Template1!$B$34</definedName>
    <definedName name="最大点数" localSheetId="9">だいち!$B$34</definedName>
    <definedName name="最大点数" localSheetId="7">たかの!$B$34</definedName>
    <definedName name="最大点数" localSheetId="8">ただ!$B$34</definedName>
    <definedName name="最大点数" localSheetId="6">れんたろう!$B$34</definedName>
    <definedName name="最大点数" localSheetId="5">全体!$B$34</definedName>
    <definedName name="三位スコア" localSheetId="9">だいち!$B$13</definedName>
    <definedName name="三位スコア" localSheetId="7">たかの!$B$13</definedName>
    <definedName name="三位スコア" localSheetId="8">ただ!$B$13</definedName>
    <definedName name="三位スコア" localSheetId="6">れんたろう!$B$13</definedName>
    <definedName name="三位スコア" localSheetId="5">全体!$B$13</definedName>
    <definedName name="三位スコア">Template1!$B$13</definedName>
    <definedName name="三位通算スコア" localSheetId="9">だいち!$C$13</definedName>
    <definedName name="三位通算スコア" localSheetId="7">たかの!$C$13</definedName>
    <definedName name="三位通算スコア" localSheetId="8">ただ!$C$13</definedName>
    <definedName name="三位通算スコア" localSheetId="6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9">だいち!$B$3</definedName>
    <definedName name="総局数" localSheetId="7">たかの!$B$3</definedName>
    <definedName name="総局数" localSheetId="8">ただ!$B$3</definedName>
    <definedName name="総局数" localSheetId="6">れんたろう!$B$3</definedName>
    <definedName name="総局数" localSheetId="5">全体!$B$3</definedName>
    <definedName name="対戦数" localSheetId="3">Template1!$B$2</definedName>
    <definedName name="対戦数" localSheetId="9">だいち!$B$2</definedName>
    <definedName name="対戦数" localSheetId="7">たかの!$B$2</definedName>
    <definedName name="対戦数" localSheetId="8">ただ!$B$2</definedName>
    <definedName name="対戦数" localSheetId="6">れんたろう!$B$2</definedName>
    <definedName name="対戦数" localSheetId="5">全体!$B$2</definedName>
    <definedName name="通算アガリ点" localSheetId="3">Template1!$C$27</definedName>
    <definedName name="通算アガリ点" localSheetId="9">だいち!$C$27</definedName>
    <definedName name="通算アガリ点" localSheetId="7">たかの!$C$27</definedName>
    <definedName name="通算アガリ点" localSheetId="8">ただ!$C$27</definedName>
    <definedName name="通算アガリ点" localSheetId="6">れんたろう!$C$27</definedName>
    <definedName name="通算アガリ点" localSheetId="5">全体!$C$27</definedName>
    <definedName name="通算スコア" localSheetId="3">Template1!$B$4</definedName>
    <definedName name="通算スコア" localSheetId="9">だいち!$B$4</definedName>
    <definedName name="通算スコア" localSheetId="7">たかの!$B$4</definedName>
    <definedName name="通算スコア" localSheetId="8">ただ!$B$4</definedName>
    <definedName name="通算スコア" localSheetId="6">れんたろう!$B$4</definedName>
    <definedName name="通算スコア" localSheetId="5">全体!$B$4</definedName>
    <definedName name="通算副露アガリ点" localSheetId="3">Template1!$C$29</definedName>
    <definedName name="通算副露アガリ点" localSheetId="9">だいち!$C$29</definedName>
    <definedName name="通算副露アガリ点" localSheetId="7">たかの!$C$29</definedName>
    <definedName name="通算副露アガリ点" localSheetId="8">ただ!$C$29</definedName>
    <definedName name="通算副露アガリ点" localSheetId="6">れんたろう!$C$29</definedName>
    <definedName name="通算副露アガリ点" localSheetId="5">全体!$C$29</definedName>
    <definedName name="通算放銃点" localSheetId="3">Template1!$C$30</definedName>
    <definedName name="通算放銃点" localSheetId="9">だいち!$C$30</definedName>
    <definedName name="通算放銃点" localSheetId="7">たかの!$C$30</definedName>
    <definedName name="通算放銃点" localSheetId="8">ただ!$C$30</definedName>
    <definedName name="通算放銃点" localSheetId="6">れんたろう!$C$30</definedName>
    <definedName name="通算放銃点" localSheetId="5">全体!$C$30</definedName>
    <definedName name="通算門前アガリ点" localSheetId="3">Template1!$C$28</definedName>
    <definedName name="通算門前アガリ点" localSheetId="9">だいち!$C$28</definedName>
    <definedName name="通算門前アガリ点" localSheetId="7">たかの!$C$28</definedName>
    <definedName name="通算門前アガリ点" localSheetId="8">ただ!$C$28</definedName>
    <definedName name="通算門前アガリ点" localSheetId="6">れんたろう!$C$28</definedName>
    <definedName name="通算門前アガリ点" localSheetId="5">全体!$C$28</definedName>
    <definedName name="二位スコア" localSheetId="9">だいち!$B$12</definedName>
    <definedName name="二位スコア" localSheetId="7">たかの!$B$12</definedName>
    <definedName name="二位スコア" localSheetId="8">ただ!$B$12</definedName>
    <definedName name="二位スコア" localSheetId="6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9">だいち!$B$9</definedName>
    <definedName name="二位数" localSheetId="7">たかの!$B$9</definedName>
    <definedName name="二位数" localSheetId="8">ただ!$B$9</definedName>
    <definedName name="二位数" localSheetId="6">れんたろう!$B$9</definedName>
    <definedName name="二位数" localSheetId="5">全体!$B$9</definedName>
    <definedName name="二位通算スコア" localSheetId="9">だいち!$C$12</definedName>
    <definedName name="二位通算スコア" localSheetId="7">たかの!$C$12</definedName>
    <definedName name="二位通算スコア" localSheetId="8">ただ!$C$12</definedName>
    <definedName name="二位通算スコア" localSheetId="6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9">だいち!$C$9</definedName>
    <definedName name="二位率" localSheetId="7">たかの!$C$9</definedName>
    <definedName name="二位率" localSheetId="8">ただ!$C$9</definedName>
    <definedName name="二位率" localSheetId="6">れんたろう!$C$9</definedName>
    <definedName name="二位率" localSheetId="5">全体!$C$9</definedName>
    <definedName name="副露アガリ数" localSheetId="3">Template1!$B$25</definedName>
    <definedName name="副露アガリ数" localSheetId="9">だいち!$B$25</definedName>
    <definedName name="副露アガリ数" localSheetId="7">たかの!$B$25</definedName>
    <definedName name="副露アガリ数" localSheetId="8">ただ!$B$25</definedName>
    <definedName name="副露アガリ数" localSheetId="6">れんたろう!$B$25</definedName>
    <definedName name="副露アガリ数" localSheetId="5">全体!$B$25</definedName>
    <definedName name="副露アガリ点" localSheetId="3">Template1!$B$29</definedName>
    <definedName name="副露アガリ点" localSheetId="9">だいち!$B$29</definedName>
    <definedName name="副露アガリ点" localSheetId="7">たかの!$B$29</definedName>
    <definedName name="副露アガリ点" localSheetId="8">ただ!$B$29</definedName>
    <definedName name="副露アガリ点" localSheetId="6">れんたろう!$B$29</definedName>
    <definedName name="副露アガリ点" localSheetId="5">全体!$B$29</definedName>
    <definedName name="副露アガリ率" localSheetId="3">Template1!$C$25</definedName>
    <definedName name="副露アガリ率" localSheetId="9">だいち!$C$25</definedName>
    <definedName name="副露アガリ率" localSheetId="7">たかの!$C$25</definedName>
    <definedName name="副露アガリ率" localSheetId="8">ただ!$C$25</definedName>
    <definedName name="副露アガリ率" localSheetId="6">れんたろう!$C$25</definedName>
    <definedName name="副露アガリ率" localSheetId="5">全体!$C$25</definedName>
    <definedName name="副露数" localSheetId="3">Template1!$B$17</definedName>
    <definedName name="副露数" localSheetId="9">だいち!$B$17</definedName>
    <definedName name="副露数" localSheetId="7">たかの!$B$17</definedName>
    <definedName name="副露数" localSheetId="8">ただ!$B$17</definedName>
    <definedName name="副露数" localSheetId="6">れんたろう!$B$17</definedName>
    <definedName name="副露数" localSheetId="5">全体!$B$17</definedName>
    <definedName name="副露成功数" localSheetId="3">Template1!$B$19</definedName>
    <definedName name="副露成功数" localSheetId="9">だいち!$B$19</definedName>
    <definedName name="副露成功数" localSheetId="7">たかの!$B$19</definedName>
    <definedName name="副露成功数" localSheetId="8">ただ!$B$19</definedName>
    <definedName name="副露成功数" localSheetId="6">れんたろう!$B$19</definedName>
    <definedName name="副露成功数" localSheetId="5">全体!$B$19</definedName>
    <definedName name="副露成功率" localSheetId="3">Template1!$C$19</definedName>
    <definedName name="副露成功率" localSheetId="9">だいち!$C$19</definedName>
    <definedName name="副露成功率" localSheetId="7">たかの!$C$19</definedName>
    <definedName name="副露成功率" localSheetId="8">ただ!$C$19</definedName>
    <definedName name="副露成功率" localSheetId="6">れんたろう!$C$19</definedName>
    <definedName name="副露成功率" localSheetId="5">全体!$C$19</definedName>
    <definedName name="副露率" localSheetId="3">Template1!$C$17</definedName>
    <definedName name="副露率" localSheetId="9">だいち!$C$17</definedName>
    <definedName name="副露率" localSheetId="7">たかの!$C$17</definedName>
    <definedName name="副露率" localSheetId="8">ただ!$C$17</definedName>
    <definedName name="副露率" localSheetId="6">れんたろう!$C$17</definedName>
    <definedName name="副露率" localSheetId="5">全体!$C$17</definedName>
    <definedName name="平均アガリ点" localSheetId="3">Template1!$B$27</definedName>
    <definedName name="平均アガリ点" localSheetId="9">だいち!$B$27</definedName>
    <definedName name="平均アガリ点" localSheetId="7">たかの!$B$27</definedName>
    <definedName name="平均アガリ点" localSheetId="8">ただ!$B$27</definedName>
    <definedName name="平均アガリ点" localSheetId="6">れんたろう!$B$27</definedName>
    <definedName name="平均アガリ点" localSheetId="5">全体!$B$27</definedName>
    <definedName name="平均スコア" localSheetId="3">Template1!$B$5</definedName>
    <definedName name="平均スコア" localSheetId="9">だいち!$B$5</definedName>
    <definedName name="平均スコア" localSheetId="7">たかの!$B$5</definedName>
    <definedName name="平均スコア" localSheetId="8">ただ!$B$5</definedName>
    <definedName name="平均スコア" localSheetId="6">れんたろう!$B$5</definedName>
    <definedName name="平均スコア" localSheetId="5">全体!$B$5</definedName>
    <definedName name="平均順位" localSheetId="3">Template1!$B$7</definedName>
    <definedName name="平均順位" localSheetId="9">だいち!$B$7</definedName>
    <definedName name="平均順位" localSheetId="7">たかの!$B$7</definedName>
    <definedName name="平均順位" localSheetId="8">ただ!$B$7</definedName>
    <definedName name="平均順位" localSheetId="6">れんたろう!$B$7</definedName>
    <definedName name="平均順位" localSheetId="5">全体!$B$7</definedName>
    <definedName name="平均放銃点" localSheetId="3">Template1!$B$30</definedName>
    <definedName name="平均放銃点" localSheetId="9">だいち!$B$30</definedName>
    <definedName name="平均放銃点" localSheetId="7">たかの!$B$30</definedName>
    <definedName name="平均放銃点" localSheetId="8">ただ!$B$30</definedName>
    <definedName name="平均放銃点" localSheetId="6">れんたろう!$B$30</definedName>
    <definedName name="平均放銃点" localSheetId="5">全体!$B$30</definedName>
    <definedName name="放銃数" localSheetId="3">Template1!$B$21</definedName>
    <definedName name="放銃数" localSheetId="9">だいち!$B$21</definedName>
    <definedName name="放銃数" localSheetId="7">たかの!$B$21</definedName>
    <definedName name="放銃数" localSheetId="8">ただ!$B$21</definedName>
    <definedName name="放銃数" localSheetId="6">れんたろう!$B$21</definedName>
    <definedName name="放銃数" localSheetId="5">全体!$B$21</definedName>
    <definedName name="放銃率" localSheetId="3">Template1!$C$21</definedName>
    <definedName name="放銃率" localSheetId="9">だいち!$C$21</definedName>
    <definedName name="放銃率" localSheetId="7">たかの!$C$21</definedName>
    <definedName name="放銃率" localSheetId="8">ただ!$C$21</definedName>
    <definedName name="放銃率" localSheetId="6">れんたろう!$C$21</definedName>
    <definedName name="放銃率" localSheetId="5">全体!$C$21</definedName>
    <definedName name="名前" localSheetId="3">Template1!$B$1</definedName>
    <definedName name="名前" localSheetId="9">だいち!$B$1</definedName>
    <definedName name="名前" localSheetId="7">たかの!$B$1</definedName>
    <definedName name="名前" localSheetId="8">ただ!$B$1</definedName>
    <definedName name="名前" localSheetId="6">れんたろう!$B$1</definedName>
    <definedName name="名前" localSheetId="5">全体!$B$1</definedName>
    <definedName name="門前アガリ点" localSheetId="3">Template1!$B$28</definedName>
    <definedName name="門前アガリ点" localSheetId="9">だいち!$B$28</definedName>
    <definedName name="門前アガリ点" localSheetId="7">たかの!$B$28</definedName>
    <definedName name="門前アガリ点" localSheetId="8">ただ!$B$28</definedName>
    <definedName name="門前アガリ点" localSheetId="6">れんたろう!$B$28</definedName>
    <definedName name="門前アガリ点" localSheetId="5">全体!$B$28</definedName>
    <definedName name="連続アガリ" localSheetId="3">Template1!$B$31</definedName>
    <definedName name="連続アガリ" localSheetId="9">だいち!$B$31</definedName>
    <definedName name="連続アガリ" localSheetId="7">たかの!$B$31</definedName>
    <definedName name="連続アガリ" localSheetId="8">ただ!$B$31</definedName>
    <definedName name="連続アガリ" localSheetId="6">れんたろう!$B$31</definedName>
    <definedName name="連続アガリ" localSheetId="5">全体!$B$31</definedName>
    <definedName name="連続無放銃" localSheetId="3">Template1!$B$32</definedName>
    <definedName name="連続無放銃" localSheetId="9">だいち!$B$32</definedName>
    <definedName name="連続無放銃" localSheetId="7">たかの!$B$32</definedName>
    <definedName name="連続無放銃" localSheetId="8">ただ!$B$32</definedName>
    <definedName name="連続無放銃" localSheetId="6">れんたろう!$B$32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6" i="6042" l="1"/>
  <c r="P16" i="6036"/>
  <c r="P17" i="6040"/>
  <c r="P17" i="6038"/>
  <c r="P17" i="6034"/>
  <c r="P15" i="6042"/>
  <c r="P17" i="6042"/>
  <c r="C35" i="6042"/>
  <c r="B30" i="6042"/>
  <c r="C21" i="6042"/>
  <c r="B20" i="6042"/>
  <c r="H52" i="6042" s="1"/>
  <c r="B19" i="6042"/>
  <c r="B29" i="6042" s="1"/>
  <c r="B18" i="6042"/>
  <c r="C18" i="6042" s="1"/>
  <c r="C17" i="6042"/>
  <c r="C16" i="6042"/>
  <c r="C15" i="6042"/>
  <c r="B13" i="6042"/>
  <c r="P12" i="6042"/>
  <c r="B12" i="6042"/>
  <c r="P11" i="6042"/>
  <c r="B11" i="6042"/>
  <c r="P10" i="6042"/>
  <c r="C10" i="6042"/>
  <c r="C9" i="6042"/>
  <c r="C8" i="6042"/>
  <c r="P7" i="6042"/>
  <c r="B7" i="6042"/>
  <c r="P6" i="6042"/>
  <c r="P5" i="6042"/>
  <c r="B5" i="6042"/>
  <c r="P4" i="6042"/>
  <c r="P3" i="6042"/>
  <c r="P2" i="6042"/>
  <c r="P16" i="6040"/>
  <c r="P15" i="6040"/>
  <c r="C35" i="6040"/>
  <c r="B30" i="6040"/>
  <c r="C21" i="6040"/>
  <c r="B20" i="6040"/>
  <c r="H51" i="6040" s="1"/>
  <c r="B19" i="6040"/>
  <c r="C19" i="6040" s="1"/>
  <c r="B18" i="6040"/>
  <c r="C18" i="6040" s="1"/>
  <c r="C17" i="6040"/>
  <c r="C16" i="6040"/>
  <c r="C15" i="6040"/>
  <c r="B13" i="6040"/>
  <c r="P12" i="6040"/>
  <c r="B12" i="6040"/>
  <c r="P11" i="6040"/>
  <c r="B11" i="6040"/>
  <c r="P10" i="6040"/>
  <c r="C10" i="6040"/>
  <c r="C9" i="6040"/>
  <c r="C8" i="6040"/>
  <c r="P7" i="6040"/>
  <c r="B7" i="6040"/>
  <c r="P6" i="6040"/>
  <c r="P5" i="6040"/>
  <c r="B5" i="6040"/>
  <c r="P4" i="6040"/>
  <c r="P3" i="6040"/>
  <c r="P2" i="6040"/>
  <c r="P15" i="6038"/>
  <c r="P16" i="6038"/>
  <c r="C35" i="6038"/>
  <c r="B30" i="6038"/>
  <c r="C21" i="6038"/>
  <c r="B20" i="6038"/>
  <c r="H52" i="6038" s="1"/>
  <c r="B19" i="6038"/>
  <c r="B29" i="6038" s="1"/>
  <c r="B18" i="6038"/>
  <c r="C18" i="6038" s="1"/>
  <c r="C17" i="6038"/>
  <c r="C16" i="6038"/>
  <c r="C15" i="6038"/>
  <c r="B13" i="6038"/>
  <c r="P12" i="6038"/>
  <c r="B12" i="6038"/>
  <c r="P11" i="6038"/>
  <c r="B11" i="6038"/>
  <c r="P10" i="6038"/>
  <c r="C10" i="6038"/>
  <c r="C9" i="6038"/>
  <c r="C8" i="6038"/>
  <c r="P7" i="6038"/>
  <c r="B7" i="6038"/>
  <c r="P6" i="6038"/>
  <c r="P5" i="6038"/>
  <c r="B5" i="6038"/>
  <c r="P4" i="6038"/>
  <c r="P3" i="6038"/>
  <c r="P2" i="6038"/>
  <c r="P16" i="6034"/>
  <c r="P15" i="6036"/>
  <c r="P17" i="6036"/>
  <c r="C35" i="6036"/>
  <c r="B30" i="6036"/>
  <c r="C21" i="6036"/>
  <c r="B20" i="6036"/>
  <c r="H52" i="6036" s="1"/>
  <c r="B19" i="6036"/>
  <c r="C19" i="6036" s="1"/>
  <c r="B18" i="6036"/>
  <c r="C18" i="6036" s="1"/>
  <c r="C17" i="6036"/>
  <c r="C16" i="6036"/>
  <c r="C15" i="6036"/>
  <c r="B13" i="6036"/>
  <c r="P12" i="6036"/>
  <c r="B12" i="6036"/>
  <c r="P11" i="6036"/>
  <c r="B11" i="6036"/>
  <c r="P10" i="6036"/>
  <c r="C10" i="6036"/>
  <c r="C9" i="6036"/>
  <c r="C8" i="6036"/>
  <c r="P7" i="6036"/>
  <c r="B7" i="6036"/>
  <c r="P6" i="6036"/>
  <c r="P5" i="6036"/>
  <c r="B5" i="6036"/>
  <c r="P4" i="6036"/>
  <c r="P3" i="6036"/>
  <c r="P2" i="6036"/>
  <c r="P15" i="6034"/>
  <c r="P18" i="6034"/>
  <c r="C35" i="6034"/>
  <c r="B30" i="6034"/>
  <c r="C21" i="6034"/>
  <c r="B20" i="6034"/>
  <c r="H52" i="6034" s="1"/>
  <c r="B19" i="6034"/>
  <c r="B29" i="6034" s="1"/>
  <c r="B18" i="6034"/>
  <c r="C18" i="6034" s="1"/>
  <c r="C17" i="6034"/>
  <c r="C16" i="6034"/>
  <c r="C15" i="6034"/>
  <c r="B13" i="6034"/>
  <c r="P12" i="6034"/>
  <c r="B12" i="6034"/>
  <c r="P11" i="6034"/>
  <c r="B11" i="6034"/>
  <c r="P10" i="6034"/>
  <c r="C10" i="6034"/>
  <c r="C9" i="6034"/>
  <c r="C8" i="6034"/>
  <c r="P7" i="6034"/>
  <c r="B7" i="6034"/>
  <c r="P6" i="6034"/>
  <c r="P5" i="6034"/>
  <c r="B5" i="6034"/>
  <c r="P4" i="6034"/>
  <c r="P3" i="6034"/>
  <c r="P2" i="6034"/>
  <c r="C19" i="6042" l="1"/>
  <c r="B14" i="6036"/>
  <c r="C19" i="6038"/>
  <c r="C44" i="6036"/>
  <c r="H18" i="6036"/>
  <c r="H39" i="6036"/>
  <c r="B14" i="6042"/>
  <c r="H10" i="6036"/>
  <c r="H16" i="6036"/>
  <c r="H4" i="6036"/>
  <c r="H31" i="6036"/>
  <c r="H15" i="6040"/>
  <c r="H6" i="6040"/>
  <c r="H21" i="6040"/>
  <c r="H7" i="6040"/>
  <c r="B29" i="6040"/>
  <c r="C20" i="6040"/>
  <c r="H14" i="6036"/>
  <c r="C24" i="6036"/>
  <c r="H8" i="6036"/>
  <c r="H2" i="6036"/>
  <c r="C23" i="6036"/>
  <c r="H38" i="6036"/>
  <c r="H44" i="6036"/>
  <c r="H49" i="6036"/>
  <c r="C49" i="6036"/>
  <c r="C25" i="6036"/>
  <c r="H32" i="6036"/>
  <c r="H40" i="6036"/>
  <c r="H45" i="6036"/>
  <c r="H50" i="6036"/>
  <c r="H11" i="6036"/>
  <c r="H22" i="6036"/>
  <c r="C20" i="6036"/>
  <c r="H27" i="6036"/>
  <c r="H34" i="6036"/>
  <c r="C40" i="6036"/>
  <c r="C45" i="6036"/>
  <c r="H5" i="6036"/>
  <c r="H3" i="6036"/>
  <c r="H7" i="6036"/>
  <c r="H19" i="6036"/>
  <c r="C26" i="6036"/>
  <c r="H41" i="6036"/>
  <c r="H46" i="6036"/>
  <c r="H20" i="6036"/>
  <c r="H17" i="6036"/>
  <c r="H28" i="6036"/>
  <c r="H36" i="6036"/>
  <c r="C41" i="6036"/>
  <c r="H47" i="6036"/>
  <c r="H15" i="6036"/>
  <c r="H23" i="6036"/>
  <c r="C22" i="6036"/>
  <c r="B27" i="6036"/>
  <c r="H37" i="6036"/>
  <c r="H42" i="6036"/>
  <c r="H48" i="6036"/>
  <c r="H6" i="6036"/>
  <c r="H9" i="6036"/>
  <c r="H21" i="6036"/>
  <c r="B28" i="6036"/>
  <c r="H25" i="6036"/>
  <c r="H30" i="6036"/>
  <c r="C37" i="6036"/>
  <c r="H43" i="6036"/>
  <c r="C48" i="6036"/>
  <c r="B14" i="6040"/>
  <c r="B14" i="6038"/>
  <c r="H4" i="6042"/>
  <c r="H23" i="6042"/>
  <c r="C20" i="6042"/>
  <c r="C26" i="6042"/>
  <c r="H8" i="6042"/>
  <c r="H39" i="6042"/>
  <c r="H3" i="6042"/>
  <c r="H9" i="6042"/>
  <c r="H40" i="6042"/>
  <c r="H21" i="6042"/>
  <c r="H15" i="6042"/>
  <c r="C22" i="6042"/>
  <c r="H42" i="6042"/>
  <c r="H2" i="6042"/>
  <c r="H6" i="6042"/>
  <c r="H13" i="6042"/>
  <c r="C24" i="6042"/>
  <c r="H44" i="6042"/>
  <c r="H46" i="6042"/>
  <c r="H7" i="6042"/>
  <c r="H22" i="6042"/>
  <c r="H48" i="6042"/>
  <c r="H36" i="6042"/>
  <c r="H50" i="6042"/>
  <c r="H5" i="6042"/>
  <c r="B28" i="6042"/>
  <c r="H20" i="6042"/>
  <c r="H14" i="6042"/>
  <c r="C25" i="6042"/>
  <c r="H41" i="6042"/>
  <c r="H45" i="6042"/>
  <c r="H49" i="6042"/>
  <c r="H25" i="6042"/>
  <c r="H17" i="6042"/>
  <c r="H29" i="6042"/>
  <c r="H32" i="6042"/>
  <c r="H38" i="6042"/>
  <c r="C40" i="6042"/>
  <c r="C44" i="6042"/>
  <c r="C48" i="6042"/>
  <c r="H27" i="6042"/>
  <c r="H30" i="6042"/>
  <c r="H33" i="6042"/>
  <c r="C37" i="6042"/>
  <c r="C41" i="6042"/>
  <c r="C45" i="6042"/>
  <c r="C49" i="6042"/>
  <c r="H12" i="6042"/>
  <c r="H24" i="6042"/>
  <c r="H16" i="6042"/>
  <c r="C23" i="6042"/>
  <c r="B27" i="6042"/>
  <c r="H34" i="6042"/>
  <c r="H18" i="6042"/>
  <c r="H43" i="6042"/>
  <c r="H47" i="6042"/>
  <c r="H51" i="6042"/>
  <c r="H28" i="6042"/>
  <c r="H10" i="6042"/>
  <c r="H35" i="6042"/>
  <c r="C38" i="6042"/>
  <c r="C42" i="6042"/>
  <c r="C46" i="6042"/>
  <c r="H19" i="6042"/>
  <c r="H26" i="6042"/>
  <c r="H11" i="6042"/>
  <c r="H31" i="6042"/>
  <c r="H37" i="6042"/>
  <c r="C39" i="6042"/>
  <c r="C43" i="6042"/>
  <c r="C47" i="6042"/>
  <c r="C19" i="6034"/>
  <c r="C24" i="6040"/>
  <c r="H30" i="6040"/>
  <c r="C41" i="6040"/>
  <c r="H47" i="6040"/>
  <c r="H36" i="6040"/>
  <c r="H42" i="6040"/>
  <c r="C47" i="6040"/>
  <c r="H2" i="6040"/>
  <c r="H9" i="6040"/>
  <c r="H18" i="6040"/>
  <c r="H23" i="6040"/>
  <c r="C25" i="6040"/>
  <c r="H31" i="6040"/>
  <c r="C37" i="6040"/>
  <c r="H43" i="6040"/>
  <c r="H48" i="6040"/>
  <c r="H19" i="6040"/>
  <c r="H27" i="6040"/>
  <c r="H38" i="6040"/>
  <c r="C43" i="6040"/>
  <c r="C48" i="6040"/>
  <c r="H17" i="6040"/>
  <c r="H22" i="6040"/>
  <c r="H24" i="6040"/>
  <c r="C26" i="6040"/>
  <c r="H32" i="6040"/>
  <c r="H39" i="6040"/>
  <c r="H44" i="6040"/>
  <c r="C49" i="6040"/>
  <c r="H8" i="6040"/>
  <c r="H10" i="6040"/>
  <c r="H20" i="6040"/>
  <c r="C22" i="6040"/>
  <c r="H28" i="6040"/>
  <c r="H33" i="6040"/>
  <c r="C39" i="6040"/>
  <c r="C44" i="6040"/>
  <c r="H50" i="6040"/>
  <c r="H3" i="6040"/>
  <c r="H25" i="6040"/>
  <c r="B27" i="6040"/>
  <c r="H34" i="6040"/>
  <c r="H40" i="6040"/>
  <c r="C45" i="6040"/>
  <c r="H4" i="6040"/>
  <c r="H5" i="6040"/>
  <c r="H11" i="6040"/>
  <c r="H13" i="6040"/>
  <c r="H12" i="6040"/>
  <c r="H14" i="6040"/>
  <c r="C23" i="6040"/>
  <c r="B28" i="6040"/>
  <c r="H35" i="6040"/>
  <c r="C40" i="6040"/>
  <c r="H46" i="6040"/>
  <c r="H52" i="6040"/>
  <c r="H37" i="6040"/>
  <c r="H41" i="6040"/>
  <c r="H45" i="6040"/>
  <c r="H49" i="6040"/>
  <c r="H26" i="6040"/>
  <c r="H29" i="6040"/>
  <c r="H16" i="6040"/>
  <c r="C38" i="6040"/>
  <c r="C42" i="6040"/>
  <c r="C46" i="6040"/>
  <c r="C20" i="6038"/>
  <c r="C46" i="6038"/>
  <c r="H16" i="6038"/>
  <c r="H20" i="6038"/>
  <c r="C25" i="6038"/>
  <c r="H40" i="6038"/>
  <c r="H44" i="6038"/>
  <c r="H48" i="6038"/>
  <c r="H8" i="6038"/>
  <c r="H12" i="6038"/>
  <c r="H23" i="6038"/>
  <c r="H13" i="6038"/>
  <c r="H27" i="6038"/>
  <c r="H30" i="6038"/>
  <c r="H36" i="6038"/>
  <c r="C40" i="6038"/>
  <c r="C44" i="6038"/>
  <c r="C48" i="6038"/>
  <c r="H26" i="6038"/>
  <c r="H33" i="6038"/>
  <c r="C38" i="6038"/>
  <c r="H3" i="6038"/>
  <c r="H21" i="6038"/>
  <c r="C22" i="6038"/>
  <c r="H49" i="6038"/>
  <c r="H6" i="6038"/>
  <c r="H10" i="6038"/>
  <c r="H17" i="6038"/>
  <c r="H25" i="6038"/>
  <c r="H28" i="6038"/>
  <c r="H31" i="6038"/>
  <c r="C37" i="6038"/>
  <c r="C41" i="6038"/>
  <c r="C45" i="6038"/>
  <c r="C49" i="6038"/>
  <c r="C42" i="6038"/>
  <c r="C26" i="6038"/>
  <c r="H37" i="6038"/>
  <c r="H41" i="6038"/>
  <c r="H45" i="6038"/>
  <c r="H7" i="6038"/>
  <c r="H18" i="6038"/>
  <c r="H14" i="6038"/>
  <c r="C23" i="6038"/>
  <c r="B27" i="6038"/>
  <c r="H32" i="6038"/>
  <c r="H38" i="6038"/>
  <c r="H42" i="6038"/>
  <c r="H46" i="6038"/>
  <c r="H50" i="6038"/>
  <c r="H4" i="6038"/>
  <c r="H11" i="6038"/>
  <c r="H51" i="6038"/>
  <c r="H2" i="6038"/>
  <c r="H9" i="6038"/>
  <c r="H19" i="6038"/>
  <c r="H22" i="6038"/>
  <c r="C24" i="6038"/>
  <c r="B28" i="6038"/>
  <c r="H34" i="6038"/>
  <c r="H39" i="6038"/>
  <c r="H43" i="6038"/>
  <c r="H47" i="6038"/>
  <c r="H5" i="6038"/>
  <c r="H24" i="6038"/>
  <c r="H15" i="6038"/>
  <c r="H29" i="6038"/>
  <c r="H35" i="6038"/>
  <c r="C39" i="6038"/>
  <c r="C43" i="6038"/>
  <c r="C47" i="6038"/>
  <c r="C20" i="6034"/>
  <c r="H21" i="6034"/>
  <c r="B29" i="6036"/>
  <c r="H26" i="6036"/>
  <c r="H13" i="6036"/>
  <c r="H33" i="6036"/>
  <c r="C38" i="6036"/>
  <c r="C42" i="6036"/>
  <c r="C46" i="6036"/>
  <c r="H51" i="6036"/>
  <c r="H24" i="6036"/>
  <c r="H12" i="6036"/>
  <c r="H29" i="6036"/>
  <c r="H35" i="6036"/>
  <c r="C39" i="6036"/>
  <c r="C43" i="6036"/>
  <c r="C47" i="6036"/>
  <c r="B14" i="6034"/>
  <c r="C46" i="6034"/>
  <c r="H17" i="6034"/>
  <c r="C25" i="6034"/>
  <c r="H41" i="6034"/>
  <c r="H45" i="6034"/>
  <c r="H49" i="6034"/>
  <c r="H7" i="6034"/>
  <c r="H10" i="6034"/>
  <c r="H26" i="6034"/>
  <c r="H16" i="6034"/>
  <c r="H30" i="6034"/>
  <c r="H33" i="6034"/>
  <c r="H38" i="6034"/>
  <c r="C40" i="6034"/>
  <c r="C44" i="6034"/>
  <c r="C48" i="6034"/>
  <c r="H3" i="6034"/>
  <c r="H25" i="6034"/>
  <c r="C22" i="6034"/>
  <c r="C26" i="6034"/>
  <c r="H39" i="6034"/>
  <c r="H42" i="6034"/>
  <c r="H46" i="6034"/>
  <c r="H50" i="6034"/>
  <c r="H12" i="6034"/>
  <c r="C38" i="6034"/>
  <c r="H19" i="6034"/>
  <c r="H5" i="6034"/>
  <c r="H11" i="6034"/>
  <c r="H18" i="6034"/>
  <c r="H28" i="6034"/>
  <c r="H31" i="6034"/>
  <c r="H34" i="6034"/>
  <c r="C37" i="6034"/>
  <c r="C41" i="6034"/>
  <c r="C45" i="6034"/>
  <c r="C49" i="6034"/>
  <c r="H23" i="6034"/>
  <c r="H9" i="6034"/>
  <c r="H14" i="6034"/>
  <c r="H15" i="6034"/>
  <c r="C23" i="6034"/>
  <c r="B27" i="6034"/>
  <c r="H35" i="6034"/>
  <c r="H22" i="6034"/>
  <c r="H43" i="6034"/>
  <c r="H47" i="6034"/>
  <c r="H51" i="6034"/>
  <c r="H6" i="6034"/>
  <c r="H29" i="6034"/>
  <c r="C42" i="6034"/>
  <c r="H2" i="6034"/>
  <c r="H8" i="6034"/>
  <c r="H24" i="6034"/>
  <c r="H20" i="6034"/>
  <c r="C24" i="6034"/>
  <c r="B28" i="6034"/>
  <c r="H36" i="6034"/>
  <c r="H40" i="6034"/>
  <c r="H44" i="6034"/>
  <c r="H48" i="6034"/>
  <c r="H4" i="6034"/>
  <c r="H27" i="6034"/>
  <c r="H13" i="6034"/>
  <c r="H32" i="6034"/>
  <c r="H37" i="6034"/>
  <c r="C39" i="6034"/>
  <c r="C43" i="6034"/>
  <c r="C47" i="6034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<sst xmlns="http://schemas.openxmlformats.org/spreadsheetml/2006/main" count="1428" uniqueCount="230">
  <si>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</si>
  <si>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</si>
  <si>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</si>
  <si>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</si>
  <si>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</si>
  <si>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</si>
  <si>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</si>
  <si>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</si>
  <si>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</si>
  <si>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</si>
  <si>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</si>
  <si>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</si>
  <si>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</si>
  <si>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</si>
  <si>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</si>
  <si>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</si>
  <si>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</si>
  <si>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</si>
  <si>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</si>
  <si>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</si>
  <si>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</si>
  <si>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</si>
  <si>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</si>
  <si>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</si>
  <si>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</si>
  <si>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</si>
  <si>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</si>
  <si>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</si>
  <si>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</si>
  <si>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</si>
  <si>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</si>
  <si>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</si>
  <si>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</si>
  <si>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</si>
  <si>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</si>
  <si>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</si>
  <si>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</si>
  <si>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</si>
  <si>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</si>
  <si>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</si>
  <si>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</si>
  <si>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</si>
  <si>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</si>
  <si>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</si>
  <si>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</si>
  <si>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</si>
  <si>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</si>
  <si>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</si>
  <si>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</si>
  <si>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</si>
  <si>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</si>
  <si>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</si>
  <si>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</si>
  <si>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</si>
  <si>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</si>
  <si>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</si>
  <si>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</si>
  <si>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</si>
  <si>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</si>
  <si>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</si>
  <si>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</si>
  <si>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</si>
  <si>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</si>
  <si>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</si>
  <si>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</si>
  <si>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</si>
  <si>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</si>
  <si>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</si>
  <si>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</si>
  <si>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</si>
  <si>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</si>
  <si>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</si>
  <si>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</si>
  <si>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</si>
  <si>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</si>
  <si>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</si>
  <si>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</si>
  <si>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</si>
  <si>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</si>
  <si>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</si>
  <si>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</si>
  <si>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</si>
  <si>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</si>
  <si>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</si>
  <si>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</si>
  <si>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</si>
  <si>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</si>
  <si>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</si>
  <si>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</si>
  <si>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</si>
  <si>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</si>
  <si>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</si>
  <si>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</si>
  <si>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</si>
  <si>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</si>
  <si>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</si>
  <si>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</si>
  <si>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</si>
  <si>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</si>
  <si>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</si>
  <si>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</si>
  <si>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</si>
  <si>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</si>
  <si>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</si>
  <si>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</si>
  <si>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</si>
  <si>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</si>
  <si>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</si>
  <si>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</si>
  <si>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</si>
  <si>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</si>
  <si>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</si>
  <si>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</si>
  <si>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</si>
  <si>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</si>
  <si>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</si>
  <si>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</si>
  <si>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</si>
  <si>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</si>
  <si>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</si>
  <si>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</si>
  <si>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</si>
  <si>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</si>
  <si>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</si>
  <si>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</si>
  <si>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</si>
  <si>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</si>
  <si>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</si>
  <si>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</si>
  <si>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</si>
  <si>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</si>
  <si>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</si>
  <si>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</si>
  <si>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</si>
  <si>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</si>
  <si>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</si>
  <si>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</si>
  <si>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</si>
  <si>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</si>
  <si>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</si>
  <si>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</si>
  <si>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</si>
  <si>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</si>
  <si>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</si>
  <si>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</si>
  <si>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</si>
  <si>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</si>
  <si>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</si>
  <si>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</si>
  <si>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</si>
  <si>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</si>
  <si>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</si>
  <si>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</si>
  <si>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</si>
  <si>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</si>
  <si>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</si>
  <si>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</si>
  <si>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</si>
  <si>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</si>
  <si>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</si>
  <si>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</si>
  <si>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</si>
  <si>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</si>
  <si>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</si>
  <si>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</si>
  <si>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</si>
  <si>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</si>
  <si>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</si>
  <si>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</si>
  <si>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</si>
  <si>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</si>
  <si>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</si>
  <si>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</si>
  <si>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</si>
  <si>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</si>
  <si>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</si>
  <si>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</si>
  <si>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</si>
  <si>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</si>
  <si>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</si>
  <si>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</si>
  <si>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</si>
  <si>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</si>
  <si>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</si>
  <si>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</si>
  <si>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</si>
  <si>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</si>
  <si>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たかの</t>
  </si>
  <si>
    <t>まっつん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</si>
  <si>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</si>
  <si>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</si>
  <si>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</si>
  <si>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</si>
  <si>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</si>
  <si>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</si>
  <si>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</si>
  <si>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</si>
  <si>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</si>
  <si>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</si>
  <si>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</si>
  <si>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</si>
  <si>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</si>
  <si>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</si>
  <si>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</si>
  <si>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</si>
  <si>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</si>
  <si>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</si>
  <si>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</si>
  <si>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</si>
  <si>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</si>
  <si>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</si>
  <si>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2023-03-04@Ina.xlsm</t>
  </si>
  <si>
    <t>Sheet1</t>
  </si>
  <si>
    <t>Sheet2</t>
  </si>
  <si>
    <t>だいち</t>
    <phoneticPr fontId="1"/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</si>
  <si>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</si>
  <si>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</si>
  <si>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</si>
  <si>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</si>
  <si>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</si>
  <si>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</si>
  <si>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</si>
  <si>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</si>
  <si>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</si>
  <si>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</si>
  <si>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Sheet13</t>
  </si>
  <si>
    <t>Sheet14</t>
  </si>
  <si>
    <t>Sheet15</t>
  </si>
  <si>
    <t>Sheet16</t>
  </si>
  <si>
    <t>Sheet17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</si>
</sst>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3.xml"/><Relationship Id="rId26" Type="http://schemas.openxmlformats.org/officeDocument/2006/relationships/chartsheet" Target="chartsheets/sheet11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6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2.xml"/><Relationship Id="rId25" Type="http://schemas.openxmlformats.org/officeDocument/2006/relationships/chartsheet" Target="chartsheets/sheet10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.xml"/><Relationship Id="rId20" Type="http://schemas.openxmlformats.org/officeDocument/2006/relationships/chartsheet" Target="chartsheets/sheet5.xml"/><Relationship Id="rId29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9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8.xml"/><Relationship Id="rId28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4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7.xml"/><Relationship Id="rId27" Type="http://schemas.openxmlformats.org/officeDocument/2006/relationships/chartsheet" Target="chartsheets/sheet12.xml"/><Relationship Id="rId30" Type="http://schemas.openxmlformats.org/officeDocument/2006/relationships/chartsheet" Target="chartsheets/sheet15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全体!$L$2:$L$53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-58</c:v>
                </c:pt>
                <c:pt idx="2">
                  <c:v>-6.5</c:v>
                </c:pt>
                <c:pt idx="3">
                  <c:v>0</c:v>
                </c:pt>
                <c:pt idx="4">
                  <c:v>30.8</c:v>
                </c:pt>
                <c:pt idx="5">
                  <c:v>0.60000000000000142</c:v>
                </c:pt>
                <c:pt idx="6">
                  <c:v>1.4432899320127035E-15</c:v>
                </c:pt>
                <c:pt idx="7">
                  <c:v>44.3</c:v>
                </c:pt>
                <c:pt idx="8">
                  <c:v>-11.300000000000004</c:v>
                </c:pt>
                <c:pt idx="9">
                  <c:v>-3.5527136788005009E-15</c:v>
                </c:pt>
                <c:pt idx="10">
                  <c:v>21.599999999999998</c:v>
                </c:pt>
                <c:pt idx="11">
                  <c:v>20.999999999999996</c:v>
                </c:pt>
                <c:pt idx="12">
                  <c:v>-3.5527136788005009E-15</c:v>
                </c:pt>
                <c:pt idx="13">
                  <c:v>42.5</c:v>
                </c:pt>
                <c:pt idx="14">
                  <c:v>33.6</c:v>
                </c:pt>
                <c:pt idx="15">
                  <c:v>0</c:v>
                </c:pt>
                <c:pt idx="16">
                  <c:v>1.4</c:v>
                </c:pt>
                <c:pt idx="17">
                  <c:v>32.700000000000003</c:v>
                </c:pt>
                <c:pt idx="18">
                  <c:v>0</c:v>
                </c:pt>
                <c:pt idx="19">
                  <c:v>7.6</c:v>
                </c:pt>
                <c:pt idx="20">
                  <c:v>41.2</c:v>
                </c:pt>
                <c:pt idx="21">
                  <c:v>0</c:v>
                </c:pt>
                <c:pt idx="22">
                  <c:v>-38.700000000000003</c:v>
                </c:pt>
                <c:pt idx="23">
                  <c:v>-7.8000000000000043</c:v>
                </c:pt>
                <c:pt idx="24">
                  <c:v>-4.4408920985006262E-15</c:v>
                </c:pt>
                <c:pt idx="25">
                  <c:v>61.399999999999991</c:v>
                </c:pt>
                <c:pt idx="26">
                  <c:v>6.3999999999999915</c:v>
                </c:pt>
                <c:pt idx="27">
                  <c:v>-8.8817841970012523E-15</c:v>
                </c:pt>
                <c:pt idx="28">
                  <c:v>-0.80000000000000893</c:v>
                </c:pt>
                <c:pt idx="29">
                  <c:v>45.999999999999986</c:v>
                </c:pt>
                <c:pt idx="30">
                  <c:v>-1.4210854715202004E-14</c:v>
                </c:pt>
                <c:pt idx="31">
                  <c:v>-14.700000000000014</c:v>
                </c:pt>
                <c:pt idx="32">
                  <c:v>57.59999999999998</c:v>
                </c:pt>
                <c:pt idx="33">
                  <c:v>-2.1316282072803006E-14</c:v>
                </c:pt>
                <c:pt idx="34">
                  <c:v>31.299999999999979</c:v>
                </c:pt>
                <c:pt idx="35">
                  <c:v>5.2999999999999794</c:v>
                </c:pt>
                <c:pt idx="36">
                  <c:v>-2.042810365310288E-14</c:v>
                </c:pt>
                <c:pt idx="37">
                  <c:v>-58.90000000000002</c:v>
                </c:pt>
                <c:pt idx="38">
                  <c:v>10.699999999999974</c:v>
                </c:pt>
                <c:pt idx="39">
                  <c:v>-2.4868995751603507E-14</c:v>
                </c:pt>
                <c:pt idx="40">
                  <c:v>-45.40000000000002</c:v>
                </c:pt>
                <c:pt idx="41">
                  <c:v>-51.800000000000018</c:v>
                </c:pt>
                <c:pt idx="42">
                  <c:v>-2.1316282072803006E-14</c:v>
                </c:pt>
                <c:pt idx="43">
                  <c:v>4.4999999999999787</c:v>
                </c:pt>
                <c:pt idx="44">
                  <c:v>36.999999999999979</c:v>
                </c:pt>
                <c:pt idx="45">
                  <c:v>-2.1316282072803006E-14</c:v>
                </c:pt>
                <c:pt idx="46">
                  <c:v>-1.5000000000000213</c:v>
                </c:pt>
                <c:pt idx="47">
                  <c:v>-44.90000000000002</c:v>
                </c:pt>
                <c:pt idx="48">
                  <c:v>-2.1316282072803006E-14</c:v>
                </c:pt>
                <c:pt idx="49">
                  <c:v>5.6999999999999789</c:v>
                </c:pt>
                <c:pt idx="50">
                  <c:v>52.799999999999983</c:v>
                </c:pt>
                <c:pt idx="51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0F-4A5B-A2B8-9C0539389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-19.607843137254903</c:v>
                </c:pt>
                <c:pt idx="1">
                  <c:v>19.607843137254903</c:v>
                </c:pt>
                <c:pt idx="2">
                  <c:v>-19.607843137254903</c:v>
                </c:pt>
                <c:pt idx="3">
                  <c:v>20.833333333333332</c:v>
                </c:pt>
                <c:pt idx="4">
                  <c:v>-20.833333333333332</c:v>
                </c:pt>
                <c:pt idx="5">
                  <c:v>23.80952380952381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09-434D-92F3-E15C7FB7A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9</c:v>
                </c:pt>
                <c:pt idx="1">
                  <c:v>20</c:v>
                </c:pt>
                <c:pt idx="2">
                  <c:v>23</c:v>
                </c:pt>
                <c:pt idx="3">
                  <c:v>29</c:v>
                </c:pt>
                <c:pt idx="4">
                  <c:v>21</c:v>
                </c:pt>
                <c:pt idx="5">
                  <c:v>11</c:v>
                </c:pt>
                <c:pt idx="6">
                  <c:v>4</c:v>
                </c:pt>
                <c:pt idx="7">
                  <c:v>8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23-4277-85F2-96E48779D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全体!$M$2:$M$53</c:f>
              <c:numCache>
                <c:formatCode>0</c:formatCode>
                <c:ptCount val="52"/>
                <c:pt idx="0">
                  <c:v>1614.2957512011271</c:v>
                </c:pt>
                <c:pt idx="1">
                  <c:v>1603.1699766939203</c:v>
                </c:pt>
                <c:pt idx="2">
                  <c:v>1611.8209568337568</c:v>
                </c:pt>
                <c:pt idx="3">
                  <c:v>1612.3200310927543</c:v>
                </c:pt>
                <c:pt idx="4">
                  <c:v>1617.2321109061977</c:v>
                </c:pt>
                <c:pt idx="5">
                  <c:v>1611.1347182407605</c:v>
                </c:pt>
                <c:pt idx="6">
                  <c:v>1610.4019099313159</c:v>
                </c:pt>
                <c:pt idx="7">
                  <c:v>1617.911498471728</c:v>
                </c:pt>
                <c:pt idx="8">
                  <c:v>1607.3940294808976</c:v>
                </c:pt>
                <c:pt idx="9">
                  <c:v>1608.9816653040123</c:v>
                </c:pt>
                <c:pt idx="10">
                  <c:v>1613.0137753121883</c:v>
                </c:pt>
                <c:pt idx="11">
                  <c:v>1613.0256926603151</c:v>
                </c:pt>
                <c:pt idx="12">
                  <c:v>1609.3655385043533</c:v>
                </c:pt>
                <c:pt idx="13">
                  <c:v>1616.5693452733271</c:v>
                </c:pt>
                <c:pt idx="14">
                  <c:v>1614.4779292016872</c:v>
                </c:pt>
                <c:pt idx="15">
                  <c:v>1607.9530616264772</c:v>
                </c:pt>
                <c:pt idx="16">
                  <c:v>1608.3733432567183</c:v>
                </c:pt>
                <c:pt idx="17">
                  <c:v>1614.1731031971779</c:v>
                </c:pt>
                <c:pt idx="18">
                  <c:v>1608.4180645779948</c:v>
                </c:pt>
                <c:pt idx="19">
                  <c:v>1609.3575561905268</c:v>
                </c:pt>
                <c:pt idx="20">
                  <c:v>1614.9714108533835</c:v>
                </c:pt>
                <c:pt idx="21">
                  <c:v>1607.0875823882632</c:v>
                </c:pt>
                <c:pt idx="22">
                  <c:v>1600.1750568939335</c:v>
                </c:pt>
                <c:pt idx="23">
                  <c:v>1605.83200655257</c:v>
                </c:pt>
                <c:pt idx="24">
                  <c:v>1607.2970145132545</c:v>
                </c:pt>
                <c:pt idx="25">
                  <c:v>1618.5032324261749</c:v>
                </c:pt>
                <c:pt idx="26">
                  <c:v>1608.6902130316178</c:v>
                </c:pt>
                <c:pt idx="27">
                  <c:v>1607.684071753428</c:v>
                </c:pt>
                <c:pt idx="28">
                  <c:v>1607.6079673229074</c:v>
                </c:pt>
                <c:pt idx="29">
                  <c:v>1616.1003195189699</c:v>
                </c:pt>
                <c:pt idx="30">
                  <c:v>1607.837717601856</c:v>
                </c:pt>
                <c:pt idx="31">
                  <c:v>1605.4986912962447</c:v>
                </c:pt>
                <c:pt idx="32">
                  <c:v>1618.8336991484673</c:v>
                </c:pt>
                <c:pt idx="33">
                  <c:v>1608.7066969535765</c:v>
                </c:pt>
                <c:pt idx="34">
                  <c:v>1614.4924567718551</c:v>
                </c:pt>
                <c:pt idx="35">
                  <c:v>1609.929502031224</c:v>
                </c:pt>
                <c:pt idx="36">
                  <c:v>1609.1199250190366</c:v>
                </c:pt>
                <c:pt idx="37">
                  <c:v>1598.0912054689225</c:v>
                </c:pt>
                <c:pt idx="38">
                  <c:v>1610.2586582361089</c:v>
                </c:pt>
                <c:pt idx="39">
                  <c:v>1607.8991062866921</c:v>
                </c:pt>
                <c:pt idx="40">
                  <c:v>1599.901711648972</c:v>
                </c:pt>
                <c:pt idx="41">
                  <c:v>1598.9723013790781</c:v>
                </c:pt>
                <c:pt idx="42">
                  <c:v>1608.5244675708036</c:v>
                </c:pt>
                <c:pt idx="43">
                  <c:v>1609.6133207653788</c:v>
                </c:pt>
                <c:pt idx="44">
                  <c:v>1615.7356408407866</c:v>
                </c:pt>
                <c:pt idx="45">
                  <c:v>1609.3112269957419</c:v>
                </c:pt>
                <c:pt idx="46">
                  <c:v>1609.1173596337674</c:v>
                </c:pt>
                <c:pt idx="47">
                  <c:v>1601.3826554759648</c:v>
                </c:pt>
                <c:pt idx="48">
                  <c:v>1609.5883595431089</c:v>
                </c:pt>
                <c:pt idx="49">
                  <c:v>1610.1668293858502</c:v>
                </c:pt>
                <c:pt idx="50">
                  <c:v>1618.1938284095352</c:v>
                </c:pt>
                <c:pt idx="51">
                  <c:v>1608.190665439078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A1-4A08-9FBA-378F8393E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れんたろう!$L$2:$L$15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-58</c:v>
                </c:pt>
                <c:pt idx="2">
                  <c:v>-13.700000000000003</c:v>
                </c:pt>
                <c:pt idx="3">
                  <c:v>7.8999999999999986</c:v>
                </c:pt>
                <c:pt idx="4">
                  <c:v>50.4</c:v>
                </c:pt>
                <c:pt idx="5">
                  <c:v>81.7</c:v>
                </c:pt>
                <c:pt idx="6">
                  <c:v>40.5</c:v>
                </c:pt>
                <c:pt idx="7">
                  <c:v>-14.5</c:v>
                </c:pt>
                <c:pt idx="8">
                  <c:v>-29.2</c:v>
                </c:pt>
                <c:pt idx="9">
                  <c:v>-55.2</c:v>
                </c:pt>
                <c:pt idx="10">
                  <c:v>-65.900000000000006</c:v>
                </c:pt>
                <c:pt idx="11">
                  <c:v>-72.300000000000011</c:v>
                </c:pt>
                <c:pt idx="12">
                  <c:v>-67.800000000000011</c:v>
                </c:pt>
                <c:pt idx="13">
                  <c:v>-120.60000000000001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4A-4E0C-BA24-90DC34155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-1084.6153846153845</c:v>
                </c:pt>
                <c:pt idx="1">
                  <c:v>-3953.8461538461538</c:v>
                </c:pt>
                <c:pt idx="2">
                  <c:v>-907.69230769230774</c:v>
                </c:pt>
                <c:pt idx="3">
                  <c:v>-2091.6666666666665</c:v>
                </c:pt>
                <c:pt idx="4">
                  <c:v>1441.6666666666667</c:v>
                </c:pt>
                <c:pt idx="5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C0-486B-995B-AEADF2501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3</c:v>
                </c:pt>
                <c:pt idx="4">
                  <c:v>8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BE-4F1A-B0AA-984804ECB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れんたろう!$M$2:$M$15</c:f>
              <c:numCache>
                <c:formatCode>0</c:formatCode>
                <c:ptCount val="14"/>
                <c:pt idx="0">
                  <c:v>1595.6213709809917</c:v>
                </c:pt>
                <c:pt idx="1">
                  <c:v>1584.6076427551059</c:v>
                </c:pt>
                <c:pt idx="2">
                  <c:v>1592.2719968985753</c:v>
                </c:pt>
                <c:pt idx="3">
                  <c:v>1596.4043649171838</c:v>
                </c:pt>
                <c:pt idx="4">
                  <c:v>1603.6859387276807</c:v>
                </c:pt>
                <c:pt idx="5">
                  <c:v>1609.5138230953146</c:v>
                </c:pt>
                <c:pt idx="6">
                  <c:v>1601.6627401567428</c:v>
                </c:pt>
                <c:pt idx="7">
                  <c:v>1591.9507637158024</c:v>
                </c:pt>
                <c:pt idx="8">
                  <c:v>1589.7070591335075</c:v>
                </c:pt>
                <c:pt idx="9">
                  <c:v>1585.2928167787065</c:v>
                </c:pt>
                <c:pt idx="10">
                  <c:v>1583.0830598780342</c:v>
                </c:pt>
                <c:pt idx="11">
                  <c:v>1582.254561518766</c:v>
                </c:pt>
                <c:pt idx="12">
                  <c:v>1583.5010341496534</c:v>
                </c:pt>
                <c:pt idx="13">
                  <c:v>1573.7060279447555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18-4D73-A10B-6A7450577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51.5</c:v>
                </c:pt>
                <c:pt idx="2">
                  <c:v>21.3</c:v>
                </c:pt>
                <c:pt idx="3">
                  <c:v>-34.299999999999997</c:v>
                </c:pt>
                <c:pt idx="4">
                  <c:v>-34.9</c:v>
                </c:pt>
                <c:pt idx="5">
                  <c:v>-43.8</c:v>
                </c:pt>
                <c:pt idx="6">
                  <c:v>-42.4</c:v>
                </c:pt>
                <c:pt idx="7">
                  <c:v>-8.7999999999999972</c:v>
                </c:pt>
                <c:pt idx="8">
                  <c:v>-0.99999999999999734</c:v>
                </c:pt>
                <c:pt idx="9">
                  <c:v>60.4</c:v>
                </c:pt>
                <c:pt idx="10">
                  <c:v>14.399999999999999</c:v>
                </c:pt>
                <c:pt idx="11">
                  <c:v>45.7</c:v>
                </c:pt>
                <c:pt idx="12">
                  <c:v>115.3</c:v>
                </c:pt>
                <c:pt idx="13">
                  <c:v>69.900000000000006</c:v>
                </c:pt>
                <c:pt idx="14">
                  <c:v>114.80000000000001</c:v>
                </c:pt>
                <c:pt idx="15">
                  <c:v>161.9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9-4C8C-B90A-8AF740259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1526.6666666666667</c:v>
                </c:pt>
                <c:pt idx="1">
                  <c:v>-660</c:v>
                </c:pt>
                <c:pt idx="2">
                  <c:v>-273.33333333333331</c:v>
                </c:pt>
                <c:pt idx="3">
                  <c:v>2400</c:v>
                </c:pt>
                <c:pt idx="4">
                  <c:v>-900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1-454D-B5BD-A10A10C32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12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AC-4F68-96DE-3570C8D49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たかの!$M$2:$M$17</c:f>
              <c:numCache>
                <c:formatCode>0</c:formatCode>
                <c:ptCount val="16"/>
                <c:pt idx="0">
                  <c:v>1463.3989422821498</c:v>
                </c:pt>
                <c:pt idx="1">
                  <c:v>1472.8885486284569</c:v>
                </c:pt>
                <c:pt idx="2">
                  <c:v>1467.6572173366862</c:v>
                </c:pt>
                <c:pt idx="3">
                  <c:v>1458.041274032666</c:v>
                </c:pt>
                <c:pt idx="4">
                  <c:v>1458.9830263884701</c:v>
                </c:pt>
                <c:pt idx="5">
                  <c:v>1457.8371282301393</c:v>
                </c:pt>
                <c:pt idx="6">
                  <c:v>1459.1581054607584</c:v>
                </c:pt>
                <c:pt idx="7">
                  <c:v>1465.6731568279938</c:v>
                </c:pt>
                <c:pt idx="8">
                  <c:v>1467.979117887026</c:v>
                </c:pt>
                <c:pt idx="9">
                  <c:v>1480.0212431797038</c:v>
                </c:pt>
                <c:pt idx="10">
                  <c:v>1472.5751157206255</c:v>
                </c:pt>
                <c:pt idx="11">
                  <c:v>1479.1776650263018</c:v>
                </c:pt>
                <c:pt idx="12">
                  <c:v>1492.058599036144</c:v>
                </c:pt>
                <c:pt idx="13">
                  <c:v>1484.7562474419271</c:v>
                </c:pt>
                <c:pt idx="14">
                  <c:v>1493.6617099572757</c:v>
                </c:pt>
                <c:pt idx="15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49-43E7-8DA0-7349CA0BC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6.5</c:v>
                </c:pt>
                <c:pt idx="2">
                  <c:v>5.9</c:v>
                </c:pt>
                <c:pt idx="3">
                  <c:v>17.200000000000003</c:v>
                </c:pt>
                <c:pt idx="4">
                  <c:v>-16.399999999999999</c:v>
                </c:pt>
                <c:pt idx="5">
                  <c:v>-8.7999999999999989</c:v>
                </c:pt>
                <c:pt idx="6">
                  <c:v>22.1</c:v>
                </c:pt>
                <c:pt idx="7">
                  <c:v>68.900000000000006</c:v>
                </c:pt>
                <c:pt idx="8">
                  <c:v>11.300000000000004</c:v>
                </c:pt>
                <c:pt idx="9">
                  <c:v>-47.599999999999994</c:v>
                </c:pt>
                <c:pt idx="10">
                  <c:v>-84.6</c:v>
                </c:pt>
                <c:pt idx="11">
                  <c:v>-128</c:v>
                </c:pt>
                <c:pt idx="12">
                  <c:v>-122.3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4-4B2F-B083-73C499C66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-2300</c:v>
                </c:pt>
                <c:pt idx="1">
                  <c:v>1775</c:v>
                </c:pt>
                <c:pt idx="2">
                  <c:v>650</c:v>
                </c:pt>
                <c:pt idx="3">
                  <c:v>-2000</c:v>
                </c:pt>
                <c:pt idx="4">
                  <c:v>-136.36363636363637</c:v>
                </c:pt>
                <c:pt idx="5">
                  <c:v>-3088.8888888888887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86-41B5-A38A-92A605188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3">
                  <c:v>6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2-4130-B39E-C04BC2376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ただ!$M$2:$M$14</c:f>
              <c:numCache>
                <c:formatCode>0</c:formatCode>
                <c:ptCount val="13"/>
                <c:pt idx="0">
                  <c:v>1546.9221135131666</c:v>
                </c:pt>
                <c:pt idx="1">
                  <c:v>1547.8105808320875</c:v>
                </c:pt>
                <c:pt idx="2">
                  <c:v>1547.457717347095</c:v>
                </c:pt>
                <c:pt idx="3">
                  <c:v>1549.4049710430124</c:v>
                </c:pt>
                <c:pt idx="4">
                  <c:v>1543.2705412167543</c:v>
                </c:pt>
                <c:pt idx="5">
                  <c:v>1544.6009179694538</c:v>
                </c:pt>
                <c:pt idx="6">
                  <c:v>1550.591312461637</c:v>
                </c:pt>
                <c:pt idx="7">
                  <c:v>1559.4257645868672</c:v>
                </c:pt>
                <c:pt idx="8">
                  <c:v>1549.655209999346</c:v>
                </c:pt>
                <c:pt idx="9">
                  <c:v>1538.98327873935</c:v>
                </c:pt>
                <c:pt idx="10">
                  <c:v>1533.0193790669139</c:v>
                </c:pt>
                <c:pt idx="11">
                  <c:v>1525.7412627925123</c:v>
                </c:pt>
                <c:pt idx="12">
                  <c:v>1526.8228152157571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02-42C2-943C-E552FF6C6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だいち!$L$2:$L$13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30.8</c:v>
                </c:pt>
                <c:pt idx="2">
                  <c:v>9.8000000000000007</c:v>
                </c:pt>
                <c:pt idx="3">
                  <c:v>-22.900000000000002</c:v>
                </c:pt>
                <c:pt idx="4">
                  <c:v>-61.600000000000009</c:v>
                </c:pt>
                <c:pt idx="5">
                  <c:v>-68.000000000000014</c:v>
                </c:pt>
                <c:pt idx="6">
                  <c:v>-68.800000000000011</c:v>
                </c:pt>
                <c:pt idx="7">
                  <c:v>3.4999999999999858</c:v>
                </c:pt>
                <c:pt idx="8">
                  <c:v>-1.800000000000014</c:v>
                </c:pt>
                <c:pt idx="9">
                  <c:v>49.999999999999986</c:v>
                </c:pt>
                <c:pt idx="10">
                  <c:v>82.499999999999986</c:v>
                </c:pt>
                <c:pt idx="11">
                  <c:v>80.999999999999986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D-41A3-844D-90031DB07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1618.1818181818182</c:v>
                </c:pt>
                <c:pt idx="1">
                  <c:v>3727.2727272727275</c:v>
                </c:pt>
                <c:pt idx="2">
                  <c:v>645.4545454545455</c:v>
                </c:pt>
                <c:pt idx="3">
                  <c:v>1210</c:v>
                </c:pt>
                <c:pt idx="4">
                  <c:v>-330</c:v>
                </c:pt>
                <c:pt idx="5">
                  <c:v>-1370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96-491D-B1D2-8D4AD9524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0C-4DA3-8551-43FF19DAA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だいち!$M$2:$M$13</c:f>
              <c:numCache>
                <c:formatCode>0</c:formatCode>
                <c:ptCount val="12"/>
                <c:pt idx="0">
                  <c:v>1846.5755924228188</c:v>
                </c:pt>
                <c:pt idx="1">
                  <c:v>1850.0821388682818</c:v>
                </c:pt>
                <c:pt idx="2">
                  <c:v>1844.9996460350721</c:v>
                </c:pt>
                <c:pt idx="3">
                  <c:v>1837.8596481588618</c:v>
                </c:pt>
                <c:pt idx="4">
                  <c:v>1829.5624902699085</c:v>
                </c:pt>
                <c:pt idx="5">
                  <c:v>1827.231115328289</c:v>
                </c:pt>
                <c:pt idx="6">
                  <c:v>1825.8377286363193</c:v>
                </c:pt>
                <c:pt idx="7">
                  <c:v>1837.8507022645015</c:v>
                </c:pt>
                <c:pt idx="8">
                  <c:v>1835.6735980509145</c:v>
                </c:pt>
                <c:pt idx="9">
                  <c:v>1843.805556462609</c:v>
                </c:pt>
                <c:pt idx="10">
                  <c:v>1848.5227231238334</c:v>
                </c:pt>
                <c:pt idx="11">
                  <c:v>1846.8935867850905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A9-45CC-95B8-FC2068198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たかの2!$B$3:$B$18</c:f>
              <c:numCache>
                <c:formatCode>\+0.0;\-0.0;\±0</c:formatCode>
                <c:ptCount val="16"/>
                <c:pt idx="0">
                  <c:v>0</c:v>
                </c:pt>
                <c:pt idx="1">
                  <c:v>51.5</c:v>
                </c:pt>
                <c:pt idx="2">
                  <c:v>21.3</c:v>
                </c:pt>
                <c:pt idx="3">
                  <c:v>-34.299999999999997</c:v>
                </c:pt>
                <c:pt idx="4">
                  <c:v>-34.9</c:v>
                </c:pt>
                <c:pt idx="5">
                  <c:v>-43.8</c:v>
                </c:pt>
                <c:pt idx="6">
                  <c:v>-42.4</c:v>
                </c:pt>
                <c:pt idx="7">
                  <c:v>-8.7999999999999972</c:v>
                </c:pt>
                <c:pt idx="8">
                  <c:v>-0.99999999999999734</c:v>
                </c:pt>
                <c:pt idx="9">
                  <c:v>60.4</c:v>
                </c:pt>
                <c:pt idx="10">
                  <c:v>14.399999999999999</c:v>
                </c:pt>
                <c:pt idx="11">
                  <c:v>45.7</c:v>
                </c:pt>
                <c:pt idx="12">
                  <c:v>115.3</c:v>
                </c:pt>
                <c:pt idx="13">
                  <c:v>69.900000000000006</c:v>
                </c:pt>
                <c:pt idx="14">
                  <c:v>114.80000000000001</c:v>
                </c:pt>
                <c:pt idx="15">
                  <c:v>161.9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たかの2!$B$1:$B$2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通算スコア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7168"/>
        <c:axId val="-1152537712"/>
      </c:scatterChart>
      <c:valAx>
        <c:axId val="-1152537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712"/>
        <c:crossesAt val="-1.4210854715202004E-14"/>
        <c:crossBetween val="midCat"/>
      </c:valAx>
      <c:valAx>
        <c:axId val="-115253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たかの2!$C$3:$C$18</c:f>
              <c:numCache>
                <c:formatCode>\+0.0;\-0.0;\±0</c:formatCode>
                <c:ptCount val="16"/>
                <c:pt idx="1">
                  <c:v>51.5</c:v>
                </c:pt>
                <c:pt idx="2">
                  <c:v>10.65</c:v>
                </c:pt>
                <c:pt idx="3">
                  <c:v>-11.433333333333332</c:v>
                </c:pt>
                <c:pt idx="4">
                  <c:v>-8.7249999999999996</c:v>
                </c:pt>
                <c:pt idx="5">
                  <c:v>-8.76</c:v>
                </c:pt>
                <c:pt idx="6">
                  <c:v>-7.0666666666666664</c:v>
                </c:pt>
                <c:pt idx="7">
                  <c:v>-1.2571428571428567</c:v>
                </c:pt>
                <c:pt idx="8">
                  <c:v>-0.12499999999999967</c:v>
                </c:pt>
                <c:pt idx="9">
                  <c:v>6.7111111111111112</c:v>
                </c:pt>
                <c:pt idx="10">
                  <c:v>1.44</c:v>
                </c:pt>
                <c:pt idx="11">
                  <c:v>4.1545454545454552</c:v>
                </c:pt>
                <c:pt idx="12">
                  <c:v>9.6083333333333325</c:v>
                </c:pt>
                <c:pt idx="13">
                  <c:v>5.3769230769230774</c:v>
                </c:pt>
                <c:pt idx="14">
                  <c:v>8.2000000000000011</c:v>
                </c:pt>
                <c:pt idx="15">
                  <c:v>10.793333333333333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たかの2!$C$1:$C$2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平均スコア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0976"/>
        <c:axId val="-1152543696"/>
      </c:scatterChart>
      <c:valAx>
        <c:axId val="-115254097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696"/>
        <c:crossesAt val="-2.7864421010200007E-16"/>
        <c:crossBetween val="midCat"/>
      </c:valAx>
      <c:valAx>
        <c:axId val="-115254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たかの2!$D$3:$D$18</c:f>
              <c:numCache>
                <c:formatCode>0.00\ "位"</c:formatCode>
                <c:ptCount val="16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2.1666666666666665</c:v>
                </c:pt>
                <c:pt idx="7">
                  <c:v>2</c:v>
                </c:pt>
                <c:pt idx="8">
                  <c:v>2</c:v>
                </c:pt>
                <c:pt idx="9">
                  <c:v>1.8888888888888888</c:v>
                </c:pt>
                <c:pt idx="10">
                  <c:v>2</c:v>
                </c:pt>
                <c:pt idx="11">
                  <c:v>1.9090909090909092</c:v>
                </c:pt>
                <c:pt idx="12">
                  <c:v>1.8333333333333333</c:v>
                </c:pt>
                <c:pt idx="13">
                  <c:v>1.9230769230769231</c:v>
                </c:pt>
                <c:pt idx="14">
                  <c:v>1.8571428571428572</c:v>
                </c:pt>
                <c:pt idx="15">
                  <c:v>1.8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たかの2!$D$1:$D$2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平均順位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8256"/>
        <c:axId val="-1152538800"/>
      </c:scatterChart>
      <c:valAx>
        <c:axId val="-1152538256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800"/>
        <c:crossesAt val="2"/>
        <c:crossBetween val="midCat"/>
      </c:valAx>
      <c:valAx>
        <c:axId val="-1152538800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25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たかの2!$E$3:$E$18</c:f>
              <c:numCache>
                <c:formatCode>0.0%</c:formatCode>
                <c:ptCount val="16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0.46666666666666667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たかの2!$E$1:$E$2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トップ率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888"/>
        <c:axId val="-1152533904"/>
      </c:scatterChart>
      <c:valAx>
        <c:axId val="-115253988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904"/>
        <c:crossesAt val="0.33333333333333331"/>
        <c:crossBetween val="midCat"/>
      </c:valAx>
      <c:valAx>
        <c:axId val="-115253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たかの2!$F$3:$F$18</c:f>
              <c:numCache>
                <c:formatCode>0.0%</c:formatCode>
                <c:ptCount val="16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たかの2!$F$1:$F$2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3152"/>
        <c:axId val="-1152542608"/>
      </c:scatterChart>
      <c:valAx>
        <c:axId val="-115254315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608"/>
        <c:crossesAt val="0.33333333333333331"/>
        <c:crossBetween val="midCat"/>
      </c:valAx>
      <c:valAx>
        <c:axId val="-115254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たかの2!$G$3:$G$18</c:f>
              <c:numCache>
                <c:formatCode>0.0%</c:formatCode>
                <c:ptCount val="16"/>
                <c:pt idx="1">
                  <c:v>0.6</c:v>
                </c:pt>
                <c:pt idx="2">
                  <c:v>0.36363636363636365</c:v>
                </c:pt>
                <c:pt idx="3">
                  <c:v>0.31818181818181818</c:v>
                </c:pt>
                <c:pt idx="4">
                  <c:v>0.32142857142857145</c:v>
                </c:pt>
                <c:pt idx="5">
                  <c:v>0.29411764705882354</c:v>
                </c:pt>
                <c:pt idx="6">
                  <c:v>0.32558139534883723</c:v>
                </c:pt>
                <c:pt idx="7">
                  <c:v>0.34</c:v>
                </c:pt>
                <c:pt idx="8">
                  <c:v>0.33333333333333331</c:v>
                </c:pt>
                <c:pt idx="9">
                  <c:v>0.36619718309859156</c:v>
                </c:pt>
                <c:pt idx="10">
                  <c:v>0.32941176470588235</c:v>
                </c:pt>
                <c:pt idx="11">
                  <c:v>0.33333333333333331</c:v>
                </c:pt>
                <c:pt idx="12">
                  <c:v>0.35514018691588783</c:v>
                </c:pt>
                <c:pt idx="13">
                  <c:v>0.33913043478260868</c:v>
                </c:pt>
                <c:pt idx="14">
                  <c:v>0.33333333333333331</c:v>
                </c:pt>
                <c:pt idx="15">
                  <c:v>0.34090909090909088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たかの2!$G$1:$G$2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アガリ率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344"/>
        <c:axId val="-1152536624"/>
      </c:scatterChart>
      <c:valAx>
        <c:axId val="-11525393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624"/>
        <c:crossesAt val="0.29629629629629628"/>
        <c:crossBetween val="midCat"/>
      </c:valAx>
      <c:valAx>
        <c:axId val="-11525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たかの2!$H$3:$H$18</c:f>
              <c:numCache>
                <c:formatCode>0.0%</c:formatCode>
                <c:ptCount val="16"/>
                <c:pt idx="1">
                  <c:v>0</c:v>
                </c:pt>
                <c:pt idx="2">
                  <c:v>0.18181818181818182</c:v>
                </c:pt>
                <c:pt idx="3">
                  <c:v>0.18181818181818182</c:v>
                </c:pt>
                <c:pt idx="4">
                  <c:v>0.21428571428571427</c:v>
                </c:pt>
                <c:pt idx="5">
                  <c:v>0.23529411764705882</c:v>
                </c:pt>
                <c:pt idx="6">
                  <c:v>0.18604651162790697</c:v>
                </c:pt>
                <c:pt idx="7">
                  <c:v>0.2</c:v>
                </c:pt>
                <c:pt idx="8">
                  <c:v>0.2</c:v>
                </c:pt>
                <c:pt idx="9">
                  <c:v>0.18309859154929578</c:v>
                </c:pt>
                <c:pt idx="10">
                  <c:v>0.17647058823529413</c:v>
                </c:pt>
                <c:pt idx="11">
                  <c:v>0.16666666666666666</c:v>
                </c:pt>
                <c:pt idx="12">
                  <c:v>0.14953271028037382</c:v>
                </c:pt>
                <c:pt idx="13">
                  <c:v>0.15652173913043479</c:v>
                </c:pt>
                <c:pt idx="14">
                  <c:v>0.15447154471544716</c:v>
                </c:pt>
                <c:pt idx="15">
                  <c:v>0.14393939393939395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たかの2!$H$1:$H$2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放銃率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2272"/>
        <c:axId val="-1152533360"/>
      </c:scatterChart>
      <c:valAx>
        <c:axId val="-115253227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360"/>
        <c:crossesAt val="0.16203703703703703"/>
        <c:crossBetween val="midCat"/>
      </c:valAx>
      <c:valAx>
        <c:axId val="-115253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たかの2!$I$3:$I$18</c:f>
              <c:numCache>
                <c:formatCode>0</c:formatCode>
                <c:ptCount val="16"/>
                <c:pt idx="1">
                  <c:v>9333.3333333333339</c:v>
                </c:pt>
                <c:pt idx="2">
                  <c:v>8000</c:v>
                </c:pt>
                <c:pt idx="3">
                  <c:v>5914.2857142857147</c:v>
                </c:pt>
                <c:pt idx="4">
                  <c:v>5777.7777777777774</c:v>
                </c:pt>
                <c:pt idx="5">
                  <c:v>6000</c:v>
                </c:pt>
                <c:pt idx="6">
                  <c:v>5814.2857142857147</c:v>
                </c:pt>
                <c:pt idx="7">
                  <c:v>6335.2941176470586</c:v>
                </c:pt>
                <c:pt idx="8">
                  <c:v>6205</c:v>
                </c:pt>
                <c:pt idx="9">
                  <c:v>6861.5384615384619</c:v>
                </c:pt>
                <c:pt idx="10">
                  <c:v>6842.8571428571431</c:v>
                </c:pt>
                <c:pt idx="11">
                  <c:v>6690.625</c:v>
                </c:pt>
                <c:pt idx="12">
                  <c:v>7205.2631578947367</c:v>
                </c:pt>
                <c:pt idx="13">
                  <c:v>7156.4102564102568</c:v>
                </c:pt>
                <c:pt idx="14">
                  <c:v>7392.6829268292686</c:v>
                </c:pt>
                <c:pt idx="15">
                  <c:v>7735.5555555555557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たかの2!$I$1:$I$2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平均アガリ点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6080"/>
        <c:axId val="-1152531728"/>
      </c:scatterChart>
      <c:valAx>
        <c:axId val="-11525360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728"/>
        <c:crossesAt val="8353.90625"/>
        <c:crossBetween val="midCat"/>
      </c:valAx>
      <c:valAx>
        <c:axId val="-115253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たかの2!$J$3:$J$18</c:f>
              <c:numCache>
                <c:formatCode>0</c:formatCode>
                <c:ptCount val="16"/>
                <c:pt idx="1">
                  <c:v>0</c:v>
                </c:pt>
                <c:pt idx="2">
                  <c:v>-6600</c:v>
                </c:pt>
                <c:pt idx="3">
                  <c:v>-13300</c:v>
                </c:pt>
                <c:pt idx="4">
                  <c:v>-10366.666666666666</c:v>
                </c:pt>
                <c:pt idx="5">
                  <c:v>-8425</c:v>
                </c:pt>
                <c:pt idx="6">
                  <c:v>-8425</c:v>
                </c:pt>
                <c:pt idx="7">
                  <c:v>-7800</c:v>
                </c:pt>
                <c:pt idx="8">
                  <c:v>-6716.666666666667</c:v>
                </c:pt>
                <c:pt idx="9">
                  <c:v>-7123.0769230769229</c:v>
                </c:pt>
                <c:pt idx="10">
                  <c:v>-7613.333333333333</c:v>
                </c:pt>
                <c:pt idx="11">
                  <c:v>-7537.5</c:v>
                </c:pt>
                <c:pt idx="12">
                  <c:v>-7537.5</c:v>
                </c:pt>
                <c:pt idx="13">
                  <c:v>-7255.5555555555557</c:v>
                </c:pt>
                <c:pt idx="14">
                  <c:v>-7010.5263157894733</c:v>
                </c:pt>
                <c:pt idx="15">
                  <c:v>-7010.5263157894733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たかの2!$J$1:$J$2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平均放銃点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1184"/>
        <c:axId val="-1161176208"/>
      </c:scatterChart>
      <c:valAx>
        <c:axId val="-115253118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76208"/>
        <c:crossesAt val="-8240"/>
        <c:crossBetween val="midCat"/>
      </c:valAx>
      <c:valAx>
        <c:axId val="-11611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たかの2!$K$3:$K$18</c:f>
              <c:numCache>
                <c:formatCode>0.0%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たかの2!$K$1:$K$2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ふっとび率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61184368"/>
        <c:axId val="-1149411488"/>
      </c:scatterChart>
      <c:valAx>
        <c:axId val="-11611843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1488"/>
        <c:crossesAt val="7.8431372549019607E-2"/>
        <c:crossBetween val="midCat"/>
      </c:valAx>
      <c:valAx>
        <c:axId val="-11494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8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たかの2!$L$3:$L$18</c:f>
              <c:numCache>
                <c:formatCode>0.0%</c:formatCode>
                <c:ptCount val="16"/>
                <c:pt idx="1">
                  <c:v>0.4</c:v>
                </c:pt>
                <c:pt idx="2">
                  <c:v>0.36363636363636365</c:v>
                </c:pt>
                <c:pt idx="3">
                  <c:v>0.36363636363636365</c:v>
                </c:pt>
                <c:pt idx="4">
                  <c:v>0.39285714285714285</c:v>
                </c:pt>
                <c:pt idx="5">
                  <c:v>0.35294117647058826</c:v>
                </c:pt>
                <c:pt idx="6">
                  <c:v>0.32558139534883723</c:v>
                </c:pt>
                <c:pt idx="7">
                  <c:v>0.34</c:v>
                </c:pt>
                <c:pt idx="8">
                  <c:v>0.33333333333333331</c:v>
                </c:pt>
                <c:pt idx="9">
                  <c:v>0.3380281690140845</c:v>
                </c:pt>
                <c:pt idx="10">
                  <c:v>0.30588235294117649</c:v>
                </c:pt>
                <c:pt idx="11">
                  <c:v>0.32291666666666669</c:v>
                </c:pt>
                <c:pt idx="12">
                  <c:v>0.31775700934579437</c:v>
                </c:pt>
                <c:pt idx="13">
                  <c:v>0.29565217391304349</c:v>
                </c:pt>
                <c:pt idx="14">
                  <c:v>0.28455284552845528</c:v>
                </c:pt>
                <c:pt idx="15">
                  <c:v>0.27272727272727271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たかの2!$L$1:$L$2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リーチ率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960"/>
        <c:axId val="-1149410400"/>
      </c:scatterChart>
      <c:valAx>
        <c:axId val="-114940496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400"/>
        <c:crossesAt val="0.30787037037037035"/>
        <c:crossBetween val="midCat"/>
      </c:valAx>
      <c:valAx>
        <c:axId val="-11494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たかの2!$M$3:$M$18</c:f>
              <c:numCache>
                <c:formatCode>0.0%</c:formatCode>
                <c:ptCount val="16"/>
                <c:pt idx="1">
                  <c:v>0.2</c:v>
                </c:pt>
                <c:pt idx="2">
                  <c:v>0.36363636363636365</c:v>
                </c:pt>
                <c:pt idx="3">
                  <c:v>0.22727272727272727</c:v>
                </c:pt>
                <c:pt idx="4">
                  <c:v>0.25</c:v>
                </c:pt>
                <c:pt idx="5">
                  <c:v>0.23529411764705882</c:v>
                </c:pt>
                <c:pt idx="6">
                  <c:v>0.20930232558139536</c:v>
                </c:pt>
                <c:pt idx="7">
                  <c:v>0.26</c:v>
                </c:pt>
                <c:pt idx="8">
                  <c:v>0.23333333333333334</c:v>
                </c:pt>
                <c:pt idx="9">
                  <c:v>0.23943661971830985</c:v>
                </c:pt>
                <c:pt idx="10">
                  <c:v>0.22352941176470589</c:v>
                </c:pt>
                <c:pt idx="11">
                  <c:v>0.20833333333333334</c:v>
                </c:pt>
                <c:pt idx="12">
                  <c:v>0.23364485981308411</c:v>
                </c:pt>
                <c:pt idx="13">
                  <c:v>0.24347826086956523</c:v>
                </c:pt>
                <c:pt idx="14">
                  <c:v>0.23577235772357724</c:v>
                </c:pt>
                <c:pt idx="15">
                  <c:v>0.23484848484848486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たかの2!$M$1:$M$2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副露率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8768"/>
        <c:axId val="-1149406592"/>
      </c:scatterChart>
      <c:valAx>
        <c:axId val="-11494087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592"/>
        <c:crossesAt val="0.17824074074074073"/>
        <c:crossBetween val="midCat"/>
      </c:valAx>
      <c:valAx>
        <c:axId val="-114940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たかの2!$N$3:$N$18</c:f>
              <c:numCache>
                <c:formatCode>0.0%</c:formatCode>
                <c:ptCount val="16"/>
                <c:pt idx="1">
                  <c:v>1</c:v>
                </c:pt>
                <c:pt idx="2">
                  <c:v>0.75</c:v>
                </c:pt>
                <c:pt idx="3">
                  <c:v>0.625</c:v>
                </c:pt>
                <c:pt idx="4">
                  <c:v>0.63636363636363635</c:v>
                </c:pt>
                <c:pt idx="5">
                  <c:v>0.66666666666666663</c:v>
                </c:pt>
                <c:pt idx="6">
                  <c:v>0.7142857142857143</c:v>
                </c:pt>
                <c:pt idx="7">
                  <c:v>0.6470588235294118</c:v>
                </c:pt>
                <c:pt idx="8">
                  <c:v>0.7</c:v>
                </c:pt>
                <c:pt idx="9">
                  <c:v>0.70833333333333337</c:v>
                </c:pt>
                <c:pt idx="10">
                  <c:v>0.69230769230769229</c:v>
                </c:pt>
                <c:pt idx="11">
                  <c:v>0.67741935483870963</c:v>
                </c:pt>
                <c:pt idx="12">
                  <c:v>0.70588235294117652</c:v>
                </c:pt>
                <c:pt idx="13">
                  <c:v>0.70588235294117652</c:v>
                </c:pt>
                <c:pt idx="14">
                  <c:v>0.7142857142857143</c:v>
                </c:pt>
                <c:pt idx="15">
                  <c:v>0.72222222222222221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たかの2!$N$1:$N$2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リーチ成功率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7680"/>
        <c:axId val="-1149409312"/>
      </c:scatterChart>
      <c:valAx>
        <c:axId val="-11494076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9312"/>
        <c:crossesAt val="0.57894736842105265"/>
        <c:crossBetween val="midCat"/>
      </c:valAx>
      <c:valAx>
        <c:axId val="-11494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たかの2!$O$3:$O$18</c:f>
              <c:numCache>
                <c:formatCode>0.0%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0.1111111111111111</c:v>
                </c:pt>
                <c:pt idx="7">
                  <c:v>0.23076923076923078</c:v>
                </c:pt>
                <c:pt idx="8">
                  <c:v>0.21428571428571427</c:v>
                </c:pt>
                <c:pt idx="9">
                  <c:v>0.29411764705882354</c:v>
                </c:pt>
                <c:pt idx="10">
                  <c:v>0.31578947368421051</c:v>
                </c:pt>
                <c:pt idx="11">
                  <c:v>0.3</c:v>
                </c:pt>
                <c:pt idx="12">
                  <c:v>0.36</c:v>
                </c:pt>
                <c:pt idx="13">
                  <c:v>0.32142857142857145</c:v>
                </c:pt>
                <c:pt idx="14">
                  <c:v>0.31034482758620691</c:v>
                </c:pt>
                <c:pt idx="15">
                  <c:v>0.32258064516129031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たかの2!$O$1:$O$2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副露成功率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16928"/>
        <c:axId val="-1149410944"/>
      </c:scatterChart>
      <c:valAx>
        <c:axId val="-114941692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944"/>
        <c:crossesAt val="0.2857142857142857"/>
        <c:crossBetween val="midCat"/>
      </c:valAx>
      <c:valAx>
        <c:axId val="-11494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たかの2!$A$3:$A$18</c:f>
              <c:numCache>
                <c:formatCode>0\ "回"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たかの2!$P$3:$P$18</c:f>
              <c:numCache>
                <c:formatCode>0.0%</c:formatCode>
                <c:ptCount val="16"/>
                <c:pt idx="1">
                  <c:v>0.33333333333333331</c:v>
                </c:pt>
                <c:pt idx="2">
                  <c:v>0.5</c:v>
                </c:pt>
                <c:pt idx="3">
                  <c:v>0.5714285714285714</c:v>
                </c:pt>
                <c:pt idx="4">
                  <c:v>0.44444444444444442</c:v>
                </c:pt>
                <c:pt idx="5">
                  <c:v>0.4</c:v>
                </c:pt>
                <c:pt idx="6">
                  <c:v>0.2857142857142857</c:v>
                </c:pt>
                <c:pt idx="7">
                  <c:v>0.41176470588235292</c:v>
                </c:pt>
                <c:pt idx="8">
                  <c:v>0.35</c:v>
                </c:pt>
                <c:pt idx="9">
                  <c:v>0.42307692307692307</c:v>
                </c:pt>
                <c:pt idx="10">
                  <c:v>0.39285714285714285</c:v>
                </c:pt>
                <c:pt idx="11">
                  <c:v>0.375</c:v>
                </c:pt>
                <c:pt idx="12">
                  <c:v>0.44736842105263158</c:v>
                </c:pt>
                <c:pt idx="13">
                  <c:v>0.46153846153846156</c:v>
                </c:pt>
                <c:pt idx="14">
                  <c:v>0.48780487804878048</c:v>
                </c:pt>
                <c:pt idx="15">
                  <c:v>0.48888888888888887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たかの2!$P$1:$P$2</c15:sqref>
                        </c15:formulaRef>
                      </c:ext>
                    </c:extLst>
                    <c:strCache>
                      <c:ptCount val="2"/>
                      <c:pt idx="0">
                        <c:v>たかの</c:v>
                      </c:pt>
                      <c:pt idx="1">
                        <c:v>ツモ率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416"/>
        <c:axId val="-1149406048"/>
      </c:scatterChart>
      <c:valAx>
        <c:axId val="-114940441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048"/>
        <c:crossesAt val="0.453125"/>
        <c:crossBetween val="midCat"/>
      </c:valAx>
      <c:valAx>
        <c:axId val="-11494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0C4E98-1943-4B15-AE03-8B479A1F5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9FCE5E-16D8-498E-BF3E-1DDAB371F6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32ED7A4-21FF-44E9-BC86-AF4BE928E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31ABD44-E3BC-45F0-9AE4-2D94B8D26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D0200BD-D3FD-420A-BC65-35498B57ED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191B1B1-ECCE-49ED-91BD-3874C7A88D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9B14994-1A8D-4252-8328-FDFCFB0C6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7D7A767-1374-47D2-B78E-C89BCA8474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929B67-9BCE-4878-AD87-BB415C4129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986F442-E769-4F7A-A8ED-04B5578E1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0B59ED8-2B28-4908-AB87-CC7F2DEE8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DDB296D-51BE-45FE-86A7-27CAA6F706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4F5036F-7979-45BC-B60C-A315FA12C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11A42C7-A7D5-489D-A776-8CB532AE83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D10429B-C657-4C6A-BD9E-C9831E630D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633A739-2BE3-4EF3-AE02-43D45EF09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57C80E-A440-42E8-B8C9-ABE5913ED4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DF6C46-E583-4BFA-9597-92B3FF02DF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B12A7F8-A74F-466A-9423-0286900C95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E78F656-C8C6-4004-AD1B-64C0CE70A6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2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9" x14ac:dyDescent="0.4">
      <c r="A1" s="1">
        <v>32874</v>
      </c>
      <c r="B1" s="1">
        <v>2958465</v>
      </c>
    </row>
    <row r="2" spans="1:19" x14ac:dyDescent="0.4">
      <c r="A2" s="2" t="s">
        <v>211</v>
      </c>
      <c r="B2" s="3">
        <v>44990.222314814811</v>
      </c>
      <c r="C2" s="2" t="s">
        <v>212</v>
      </c>
      <c r="D2" s="2" t="s">
        <v>213</v>
      </c>
      <c r="E2" s="2" t="s">
        <v>215</v>
      </c>
      <c r="F2" s="2" t="s">
        <v>216</v>
      </c>
      <c r="G2" s="2" t="s">
        <v>217</v>
      </c>
      <c r="H2" s="2" t="s">
        <v>218</v>
      </c>
      <c r="I2" s="2" t="s">
        <v>219</v>
      </c>
      <c r="J2" s="2" t="s">
        <v>220</v>
      </c>
      <c r="K2" s="2" t="s">
        <v>221</v>
      </c>
      <c r="L2" s="2" t="s">
        <v>222</v>
      </c>
      <c r="M2" s="2" t="s">
        <v>223</v>
      </c>
      <c r="N2" s="2" t="s">
        <v>224</v>
      </c>
      <c r="O2" s="2" t="s">
        <v>225</v>
      </c>
      <c r="P2" s="2" t="s">
        <v>226</v>
      </c>
      <c r="Q2" s="2" t="s">
        <v>227</v>
      </c>
      <c r="R2" s="2" t="s">
        <v>228</v>
      </c>
      <c r="S2" s="2" t="s">
        <v>229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214</v>
      </c>
    </row>
    <row r="2" spans="1:3" x14ac:dyDescent="0.4">
      <c r="A2" t="s">
        <v>126</v>
      </c>
      <c r="B2" s="120">
        <v>11</v>
      </c>
      <c r="C2" s="120">
        <v>1846.5755924228188</v>
      </c>
    </row>
    <row r="3" spans="1:3" x14ac:dyDescent="0.4">
      <c r="A3" t="s">
        <v>138</v>
      </c>
      <c r="B3" s="120">
        <v>51</v>
      </c>
      <c r="C3" s="120">
        <v>1614.2957512011271</v>
      </c>
    </row>
    <row r="4" spans="1:3" x14ac:dyDescent="0.4">
      <c r="A4" t="s">
        <v>162</v>
      </c>
      <c r="B4" s="120">
        <v>13</v>
      </c>
      <c r="C4" s="120">
        <v>1595.6213709809917</v>
      </c>
    </row>
    <row r="5" spans="1:3" x14ac:dyDescent="0.4">
      <c r="A5" t="s">
        <v>188</v>
      </c>
      <c r="C5" s="120">
        <v>1551.4699038276274</v>
      </c>
    </row>
    <row r="6" spans="1:3" x14ac:dyDescent="0.4">
      <c r="A6" t="s">
        <v>189</v>
      </c>
      <c r="B6" s="120">
        <v>12</v>
      </c>
      <c r="C6" s="120">
        <v>1546.9221135131666</v>
      </c>
    </row>
    <row r="7" spans="1:3" x14ac:dyDescent="0.4">
      <c r="A7" t="s">
        <v>207</v>
      </c>
      <c r="C7" s="120">
        <v>1541.223654027415</v>
      </c>
    </row>
    <row r="8" spans="1:3" x14ac:dyDescent="0.4">
      <c r="A8" t="s">
        <v>200</v>
      </c>
      <c r="C8" s="120">
        <v>1519.3079580555725</v>
      </c>
    </row>
    <row r="9" spans="1:3" x14ac:dyDescent="0.4">
      <c r="A9" t="s">
        <v>196</v>
      </c>
      <c r="C9" s="120">
        <v>1519.2052586122145</v>
      </c>
    </row>
    <row r="10" spans="1:3" x14ac:dyDescent="0.4">
      <c r="A10" t="s">
        <v>199</v>
      </c>
      <c r="C10" s="120">
        <v>1503.1020000000001</v>
      </c>
    </row>
    <row r="11" spans="1:3" x14ac:dyDescent="0.4">
      <c r="A11" t="s">
        <v>209</v>
      </c>
      <c r="C11" s="120">
        <v>1497.379788</v>
      </c>
    </row>
    <row r="12" spans="1:3" x14ac:dyDescent="0.4">
      <c r="A12" t="s">
        <v>210</v>
      </c>
      <c r="C12" s="120">
        <v>1493.0891304000002</v>
      </c>
    </row>
    <row r="13" spans="1:3" x14ac:dyDescent="0.4">
      <c r="A13" t="s">
        <v>198</v>
      </c>
      <c r="C13" s="120">
        <v>1491.5152195648213</v>
      </c>
    </row>
    <row r="14" spans="1:3" x14ac:dyDescent="0.4">
      <c r="A14" t="s">
        <v>201</v>
      </c>
      <c r="C14" s="120">
        <v>1489.2889468180317</v>
      </c>
    </row>
    <row r="15" spans="1:3" x14ac:dyDescent="0.4">
      <c r="A15" t="s">
        <v>208</v>
      </c>
      <c r="C15" s="120">
        <v>1488.9447185272431</v>
      </c>
    </row>
    <row r="16" spans="1:3" x14ac:dyDescent="0.4">
      <c r="A16" t="s">
        <v>203</v>
      </c>
      <c r="C16" s="120">
        <v>1484.6521503082251</v>
      </c>
    </row>
    <row r="17" spans="1:8" x14ac:dyDescent="0.4">
      <c r="A17" t="s">
        <v>205</v>
      </c>
      <c r="C17" s="120">
        <v>1484.4200922656562</v>
      </c>
      <c r="G17" s="120"/>
      <c r="H17" s="120"/>
    </row>
    <row r="18" spans="1:8" x14ac:dyDescent="0.4">
      <c r="A18" t="s">
        <v>206</v>
      </c>
      <c r="C18" s="120">
        <v>1483.0119085897741</v>
      </c>
      <c r="G18" s="120"/>
      <c r="H18" s="120"/>
    </row>
    <row r="19" spans="1:8" x14ac:dyDescent="0.4">
      <c r="A19" t="s">
        <v>197</v>
      </c>
      <c r="C19" s="120">
        <v>1476.9680701642462</v>
      </c>
      <c r="G19" s="120"/>
      <c r="H19" s="120"/>
    </row>
    <row r="20" spans="1:8" x14ac:dyDescent="0.4">
      <c r="A20" t="s">
        <v>202</v>
      </c>
      <c r="C20" s="120">
        <v>1476.2954110473599</v>
      </c>
      <c r="G20" s="120"/>
      <c r="H20" s="120"/>
    </row>
    <row r="21" spans="1:8" x14ac:dyDescent="0.4">
      <c r="A21" t="s">
        <v>187</v>
      </c>
      <c r="B21" s="120">
        <v>15</v>
      </c>
      <c r="C21" s="120">
        <v>1463.3989422821498</v>
      </c>
      <c r="G21" s="120"/>
      <c r="H21" s="120"/>
    </row>
    <row r="22" spans="1:8" x14ac:dyDescent="0.4">
      <c r="A22" t="s">
        <v>194</v>
      </c>
      <c r="C22" s="120">
        <v>1445.1125193047092</v>
      </c>
      <c r="G22" s="120"/>
      <c r="H22" s="120"/>
    </row>
    <row r="23" spans="1:8" x14ac:dyDescent="0.4">
      <c r="A23" t="s">
        <v>195</v>
      </c>
      <c r="C23" s="120">
        <v>1384.1908394993188</v>
      </c>
    </row>
    <row r="24" spans="1:8" x14ac:dyDescent="0.4">
      <c r="A24" t="s">
        <v>191</v>
      </c>
      <c r="C24" s="120">
        <v>1372.5824902185618</v>
      </c>
    </row>
    <row r="25" spans="1:8" x14ac:dyDescent="0.4">
      <c r="A25" t="s">
        <v>190</v>
      </c>
      <c r="C25" s="120">
        <v>1340.228259602879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153</v>
      </c>
      <c r="F1" s="100" t="s">
        <v>115</v>
      </c>
      <c r="G1" s="99" t="s">
        <v>116</v>
      </c>
      <c r="H1" s="86" t="s">
        <v>117</v>
      </c>
      <c r="I1" s="100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127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128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129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130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192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131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132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150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151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152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182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164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163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156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157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135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179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170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166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167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168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169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171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172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173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174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175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176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177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178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154</v>
      </c>
      <c r="F50" s="24" t="s">
        <v>155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158</v>
      </c>
      <c r="F51" s="92" t="s">
        <v>159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160</v>
      </c>
      <c r="F52" s="25" t="s">
        <v>161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1"/>
  <dimension ref="A1:AK7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192</v>
      </c>
      <c r="I1" s="146"/>
      <c r="J1" s="143" t="s">
        <v>15</v>
      </c>
      <c r="K1" s="144"/>
      <c r="L1" s="143" t="s">
        <v>14</v>
      </c>
      <c r="M1" s="144"/>
      <c r="N1" s="143" t="s">
        <v>148</v>
      </c>
      <c r="O1" s="144"/>
      <c r="P1" s="143" t="s">
        <v>142</v>
      </c>
      <c r="Q1" s="144"/>
      <c r="R1" s="143" t="s">
        <v>143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144</v>
      </c>
      <c r="AG1" s="144"/>
      <c r="AH1" s="143" t="s">
        <v>137</v>
      </c>
      <c r="AI1" s="144"/>
      <c r="AJ1" s="143" t="s">
        <v>179</v>
      </c>
      <c r="AK1" s="144"/>
    </row>
    <row r="2" spans="1:37" x14ac:dyDescent="0.4">
      <c r="A2" s="36" t="s">
        <v>204</v>
      </c>
      <c r="B2" s="141">
        <v>-0.74034997980626072</v>
      </c>
      <c r="C2" s="142"/>
      <c r="D2" s="141">
        <v>0.23729957116309708</v>
      </c>
      <c r="E2" s="142"/>
      <c r="F2" s="141">
        <v>0.33858522584698025</v>
      </c>
      <c r="G2" s="142"/>
      <c r="H2" s="147"/>
      <c r="I2" s="148"/>
      <c r="J2" s="141">
        <v>0.25204404886781645</v>
      </c>
      <c r="K2" s="142"/>
      <c r="L2" s="141">
        <v>0.12891403501921014</v>
      </c>
      <c r="M2" s="142"/>
      <c r="N2" s="141">
        <v>0.4365932011939116</v>
      </c>
      <c r="O2" s="142"/>
      <c r="P2" s="141">
        <v>-0.33409395282483323</v>
      </c>
      <c r="Q2" s="142"/>
      <c r="R2" s="141">
        <v>-0.35413694947240087</v>
      </c>
      <c r="S2" s="142"/>
      <c r="T2" s="141">
        <v>0.95213538030067024</v>
      </c>
      <c r="U2" s="142"/>
      <c r="V2" s="141">
        <v>0.45302948369558621</v>
      </c>
      <c r="W2" s="142"/>
      <c r="X2" s="141">
        <v>0.75228944605240211</v>
      </c>
      <c r="Y2" s="142"/>
      <c r="Z2" s="141">
        <v>0.78628684690739614</v>
      </c>
      <c r="AA2" s="142"/>
      <c r="AB2" s="141">
        <v>-0.86416609815514311</v>
      </c>
      <c r="AC2" s="142"/>
      <c r="AD2" s="141">
        <v>-0.80888339437572832</v>
      </c>
      <c r="AE2" s="142"/>
      <c r="AF2" s="141">
        <v>0.85587329992157168</v>
      </c>
      <c r="AG2" s="142"/>
      <c r="AH2" s="141">
        <v>-0.59480436661534031</v>
      </c>
      <c r="AI2" s="142"/>
      <c r="AJ2" s="141">
        <v>0.50685673353093597</v>
      </c>
      <c r="AK2" s="142"/>
    </row>
    <row r="3" spans="1:37" x14ac:dyDescent="0.4">
      <c r="A3" s="38">
        <v>1</v>
      </c>
      <c r="B3" s="41" t="s">
        <v>138</v>
      </c>
      <c r="C3" s="113">
        <v>17</v>
      </c>
      <c r="D3" s="39" t="s">
        <v>187</v>
      </c>
      <c r="E3" s="40">
        <v>161.9</v>
      </c>
      <c r="F3" s="41" t="s">
        <v>187</v>
      </c>
      <c r="G3" s="60">
        <v>10.793333333333333</v>
      </c>
      <c r="H3" s="41" t="s">
        <v>126</v>
      </c>
      <c r="I3" s="45">
        <v>1846.8935867850905</v>
      </c>
      <c r="J3" s="41" t="s">
        <v>187</v>
      </c>
      <c r="K3" s="42">
        <v>1.8</v>
      </c>
      <c r="L3" s="41" t="s">
        <v>187</v>
      </c>
      <c r="M3" s="43">
        <v>0.46666666666666667</v>
      </c>
      <c r="N3" s="41" t="s">
        <v>187</v>
      </c>
      <c r="O3" s="43">
        <v>0.26666666666666666</v>
      </c>
      <c r="P3" s="41" t="s">
        <v>187</v>
      </c>
      <c r="Q3" s="44">
        <v>0.34090909090909088</v>
      </c>
      <c r="R3" s="41" t="s">
        <v>187</v>
      </c>
      <c r="S3" s="44">
        <v>0.14393939393939395</v>
      </c>
      <c r="T3" s="41" t="s">
        <v>126</v>
      </c>
      <c r="U3" s="45">
        <v>10062.962962962964</v>
      </c>
      <c r="V3" s="41" t="s">
        <v>126</v>
      </c>
      <c r="W3" s="45">
        <v>-6956.25</v>
      </c>
      <c r="X3" s="41" t="s">
        <v>126</v>
      </c>
      <c r="Y3" s="43">
        <v>0</v>
      </c>
      <c r="Z3" s="41" t="s">
        <v>126</v>
      </c>
      <c r="AA3" s="44">
        <v>0.4</v>
      </c>
      <c r="AB3" s="41" t="s">
        <v>187</v>
      </c>
      <c r="AC3" s="44">
        <v>0.23484848484848486</v>
      </c>
      <c r="AD3" s="41" t="s">
        <v>187</v>
      </c>
      <c r="AE3" s="44">
        <v>0.72222222222222221</v>
      </c>
      <c r="AF3" s="41" t="s">
        <v>126</v>
      </c>
      <c r="AG3" s="44">
        <v>0.6</v>
      </c>
      <c r="AH3" s="41" t="s">
        <v>162</v>
      </c>
      <c r="AI3" s="44">
        <v>0.53846153846153844</v>
      </c>
      <c r="AJ3" s="41" t="s">
        <v>126</v>
      </c>
      <c r="AK3" s="55">
        <v>87300</v>
      </c>
    </row>
    <row r="4" spans="1:37" x14ac:dyDescent="0.4">
      <c r="A4" s="46">
        <v>2</v>
      </c>
      <c r="B4" s="49" t="s">
        <v>187</v>
      </c>
      <c r="C4" s="114">
        <v>15</v>
      </c>
      <c r="D4" s="47" t="s">
        <v>126</v>
      </c>
      <c r="E4" s="48">
        <v>80.999999999999986</v>
      </c>
      <c r="F4" s="49" t="s">
        <v>126</v>
      </c>
      <c r="G4" s="61">
        <v>7.3636363636363624</v>
      </c>
      <c r="H4" s="49" t="s">
        <v>138</v>
      </c>
      <c r="I4" s="53">
        <v>1608.190665439078</v>
      </c>
      <c r="J4" s="49" t="s">
        <v>126</v>
      </c>
      <c r="K4" s="50">
        <v>1.9090909090909092</v>
      </c>
      <c r="L4" s="49" t="s">
        <v>126</v>
      </c>
      <c r="M4" s="51">
        <v>0.36363636363636365</v>
      </c>
      <c r="N4" s="49" t="s">
        <v>126</v>
      </c>
      <c r="O4" s="51">
        <v>0.27272727272727271</v>
      </c>
      <c r="P4" s="49" t="s">
        <v>189</v>
      </c>
      <c r="Q4" s="52">
        <v>0.30303030303030304</v>
      </c>
      <c r="R4" s="49" t="s">
        <v>189</v>
      </c>
      <c r="S4" s="52">
        <v>0.15151515151515152</v>
      </c>
      <c r="T4" s="49" t="s">
        <v>162</v>
      </c>
      <c r="U4" s="53">
        <v>8669.2307692307695</v>
      </c>
      <c r="V4" s="49" t="s">
        <v>187</v>
      </c>
      <c r="W4" s="53">
        <v>-7010.5263157894733</v>
      </c>
      <c r="X4" s="49" t="s">
        <v>187</v>
      </c>
      <c r="Y4" s="51">
        <v>6.6666666666666666E-2</v>
      </c>
      <c r="Z4" s="49" t="s">
        <v>162</v>
      </c>
      <c r="AA4" s="52">
        <v>0.35849056603773582</v>
      </c>
      <c r="AB4" s="49" t="s">
        <v>162</v>
      </c>
      <c r="AC4" s="52">
        <v>0.18867924528301888</v>
      </c>
      <c r="AD4" s="49" t="s">
        <v>189</v>
      </c>
      <c r="AE4" s="52">
        <v>0.7142857142857143</v>
      </c>
      <c r="AF4" s="49" t="s">
        <v>187</v>
      </c>
      <c r="AG4" s="52">
        <v>0.32258064516129031</v>
      </c>
      <c r="AH4" s="49" t="s">
        <v>187</v>
      </c>
      <c r="AI4" s="52">
        <v>0.48888888888888887</v>
      </c>
      <c r="AJ4" s="49" t="s">
        <v>138</v>
      </c>
      <c r="AK4" s="56">
        <v>87300</v>
      </c>
    </row>
    <row r="5" spans="1:37" x14ac:dyDescent="0.4">
      <c r="A5" s="46">
        <v>3</v>
      </c>
      <c r="B5" s="49" t="s">
        <v>162</v>
      </c>
      <c r="C5" s="114">
        <v>13</v>
      </c>
      <c r="D5" s="47" t="s">
        <v>138</v>
      </c>
      <c r="E5" s="48">
        <v>-1.4210854715202004E-14</v>
      </c>
      <c r="F5" s="49" t="s">
        <v>138</v>
      </c>
      <c r="G5" s="61">
        <v>-2.7864421010200007E-16</v>
      </c>
      <c r="H5" s="49" t="s">
        <v>162</v>
      </c>
      <c r="I5" s="53">
        <v>1573.7060279447555</v>
      </c>
      <c r="J5" s="49" t="s">
        <v>138</v>
      </c>
      <c r="K5" s="50">
        <v>2</v>
      </c>
      <c r="L5" s="49" t="s">
        <v>138</v>
      </c>
      <c r="M5" s="51">
        <v>0.33333333333333331</v>
      </c>
      <c r="N5" s="49" t="s">
        <v>138</v>
      </c>
      <c r="O5" s="51">
        <v>0.33333333333333331</v>
      </c>
      <c r="P5" s="49" t="s">
        <v>138</v>
      </c>
      <c r="Q5" s="52">
        <v>0.29629629629629628</v>
      </c>
      <c r="R5" s="49" t="s">
        <v>138</v>
      </c>
      <c r="S5" s="52">
        <v>0.16203703703703703</v>
      </c>
      <c r="T5" s="49" t="s">
        <v>138</v>
      </c>
      <c r="U5" s="53">
        <v>8353.90625</v>
      </c>
      <c r="V5" s="49" t="s">
        <v>138</v>
      </c>
      <c r="W5" s="53">
        <v>-8240</v>
      </c>
      <c r="X5" s="49" t="s">
        <v>162</v>
      </c>
      <c r="Y5" s="51">
        <v>7.6923076923076927E-2</v>
      </c>
      <c r="Z5" s="49" t="s">
        <v>138</v>
      </c>
      <c r="AA5" s="52">
        <v>0.30787037037037035</v>
      </c>
      <c r="AB5" s="49" t="s">
        <v>138</v>
      </c>
      <c r="AC5" s="52">
        <v>0.17824074074074073</v>
      </c>
      <c r="AD5" s="49" t="s">
        <v>138</v>
      </c>
      <c r="AE5" s="52">
        <v>0.57894736842105265</v>
      </c>
      <c r="AF5" s="49" t="s">
        <v>138</v>
      </c>
      <c r="AG5" s="52">
        <v>0.2857142857142857</v>
      </c>
      <c r="AH5" s="49" t="s">
        <v>138</v>
      </c>
      <c r="AI5" s="52">
        <v>0.453125</v>
      </c>
      <c r="AJ5" s="49" t="s">
        <v>187</v>
      </c>
      <c r="AK5" s="56">
        <v>84600</v>
      </c>
    </row>
    <row r="6" spans="1:37" x14ac:dyDescent="0.4">
      <c r="A6" s="46">
        <v>4</v>
      </c>
      <c r="B6" s="49" t="s">
        <v>189</v>
      </c>
      <c r="C6" s="114">
        <v>12</v>
      </c>
      <c r="D6" s="47" t="s">
        <v>162</v>
      </c>
      <c r="E6" s="48">
        <v>-120.60000000000001</v>
      </c>
      <c r="F6" s="49" t="s">
        <v>162</v>
      </c>
      <c r="G6" s="61">
        <v>-9.2769230769230777</v>
      </c>
      <c r="H6" s="49" t="s">
        <v>189</v>
      </c>
      <c r="I6" s="53">
        <v>1526.8228152157571</v>
      </c>
      <c r="J6" s="49" t="s">
        <v>162</v>
      </c>
      <c r="K6" s="50">
        <v>2.0769230769230771</v>
      </c>
      <c r="L6" s="49" t="s">
        <v>162</v>
      </c>
      <c r="M6" s="51">
        <v>0.30769230769230771</v>
      </c>
      <c r="N6" s="49" t="s">
        <v>162</v>
      </c>
      <c r="O6" s="51">
        <v>0.38461538461538464</v>
      </c>
      <c r="P6" s="49" t="s">
        <v>126</v>
      </c>
      <c r="Q6" s="52">
        <v>0.28421052631578947</v>
      </c>
      <c r="R6" s="49" t="s">
        <v>126</v>
      </c>
      <c r="S6" s="52">
        <v>0.16842105263157894</v>
      </c>
      <c r="T6" s="49" t="s">
        <v>187</v>
      </c>
      <c r="U6" s="53">
        <v>7735.5555555555557</v>
      </c>
      <c r="V6" s="49" t="s">
        <v>162</v>
      </c>
      <c r="W6" s="53">
        <v>-8410</v>
      </c>
      <c r="X6" s="49" t="s">
        <v>138</v>
      </c>
      <c r="Y6" s="51">
        <v>7.8431372549019607E-2</v>
      </c>
      <c r="Z6" s="49" t="s">
        <v>187</v>
      </c>
      <c r="AA6" s="52">
        <v>0.27272727272727271</v>
      </c>
      <c r="AB6" s="49" t="s">
        <v>189</v>
      </c>
      <c r="AC6" s="52">
        <v>0.16161616161616163</v>
      </c>
      <c r="AD6" s="49" t="s">
        <v>162</v>
      </c>
      <c r="AE6" s="52">
        <v>0.5</v>
      </c>
      <c r="AF6" s="49" t="s">
        <v>189</v>
      </c>
      <c r="AG6" s="52">
        <v>0.1875</v>
      </c>
      <c r="AH6" s="49" t="s">
        <v>189</v>
      </c>
      <c r="AI6" s="52">
        <v>0.4</v>
      </c>
      <c r="AJ6" s="49" t="s">
        <v>189</v>
      </c>
      <c r="AK6" s="56">
        <v>61800</v>
      </c>
    </row>
    <row r="7" spans="1:37" x14ac:dyDescent="0.4">
      <c r="A7" s="46">
        <v>5</v>
      </c>
      <c r="B7" s="49" t="s">
        <v>126</v>
      </c>
      <c r="C7" s="114">
        <v>11</v>
      </c>
      <c r="D7" s="47" t="s">
        <v>189</v>
      </c>
      <c r="E7" s="48">
        <v>-122.3</v>
      </c>
      <c r="F7" s="49" t="s">
        <v>189</v>
      </c>
      <c r="G7" s="61">
        <v>-10.191666666666666</v>
      </c>
      <c r="H7" s="49" t="s">
        <v>187</v>
      </c>
      <c r="I7" s="53">
        <v>1502.387739697532</v>
      </c>
      <c r="J7" s="49" t="s">
        <v>189</v>
      </c>
      <c r="K7" s="50">
        <v>2.25</v>
      </c>
      <c r="L7" s="49" t="s">
        <v>189</v>
      </c>
      <c r="M7" s="51">
        <v>0.16666666666666666</v>
      </c>
      <c r="N7" s="49" t="s">
        <v>189</v>
      </c>
      <c r="O7" s="51">
        <v>0.41666666666666669</v>
      </c>
      <c r="P7" s="49" t="s">
        <v>162</v>
      </c>
      <c r="Q7" s="52">
        <v>0.24528301886792453</v>
      </c>
      <c r="R7" s="49" t="s">
        <v>162</v>
      </c>
      <c r="S7" s="52">
        <v>0.18867924528301888</v>
      </c>
      <c r="T7" s="49" t="s">
        <v>189</v>
      </c>
      <c r="U7" s="53">
        <v>7470</v>
      </c>
      <c r="V7" s="49" t="s">
        <v>189</v>
      </c>
      <c r="W7" s="53">
        <v>-10940</v>
      </c>
      <c r="X7" s="49" t="s">
        <v>189</v>
      </c>
      <c r="Y7" s="51">
        <v>0.16666666666666666</v>
      </c>
      <c r="Z7" s="49" t="s">
        <v>189</v>
      </c>
      <c r="AA7" s="52">
        <v>0.21212121212121213</v>
      </c>
      <c r="AB7" s="49" t="s">
        <v>126</v>
      </c>
      <c r="AC7" s="52">
        <v>0.10526315789473684</v>
      </c>
      <c r="AD7" s="49" t="s">
        <v>126</v>
      </c>
      <c r="AE7" s="52">
        <v>0.44736842105263158</v>
      </c>
      <c r="AF7" s="49" t="s">
        <v>162</v>
      </c>
      <c r="AG7" s="52">
        <v>0.15</v>
      </c>
      <c r="AH7" s="49" t="s">
        <v>126</v>
      </c>
      <c r="AI7" s="52">
        <v>0.37037037037037035</v>
      </c>
      <c r="AJ7" s="49" t="s">
        <v>162</v>
      </c>
      <c r="AK7" s="56">
        <v>59300</v>
      </c>
    </row>
  </sheetData>
  <sortState xmlns:xlrd2="http://schemas.microsoft.com/office/spreadsheetml/2017/richdata2" ref="AJ3:AK47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AE5B0-D50A-4635-9CF7-56048FCBAA5B}">
  <sheetPr codeName="Sheet4"/>
  <dimension ref="A1:R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138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51</v>
      </c>
      <c r="C2" s="134"/>
      <c r="E2" s="26" t="s">
        <v>66</v>
      </c>
      <c r="F2" s="23" t="s">
        <v>22</v>
      </c>
      <c r="G2" s="11">
        <v>88</v>
      </c>
      <c r="H2" s="87">
        <f>IF(B$20=0,0,G2/B$20)</f>
        <v>0.6875</v>
      </c>
      <c r="I2" s="57">
        <v>3</v>
      </c>
      <c r="K2" s="73">
        <v>0</v>
      </c>
      <c r="L2" s="118">
        <v>0</v>
      </c>
      <c r="M2" s="116">
        <v>1614.2957512011271</v>
      </c>
      <c r="O2" s="73" t="s">
        <v>127</v>
      </c>
      <c r="P2" s="79">
        <f t="shared" ref="P2:P7" si="0">IF(Q2=0,0,R2/Q2)</f>
        <v>-19.607843137254903</v>
      </c>
      <c r="Q2" s="76">
        <v>51</v>
      </c>
      <c r="R2" s="63">
        <v>-1000</v>
      </c>
    </row>
    <row r="3" spans="1:18" x14ac:dyDescent="0.4">
      <c r="A3" s="19" t="s">
        <v>8</v>
      </c>
      <c r="B3" s="135">
        <v>432</v>
      </c>
      <c r="C3" s="136"/>
      <c r="E3" s="27" t="s">
        <v>64</v>
      </c>
      <c r="F3" s="24" t="s">
        <v>20</v>
      </c>
      <c r="G3" s="12">
        <v>77</v>
      </c>
      <c r="H3" s="88">
        <f>IF(B$20=0,0,G3/B$20)</f>
        <v>0.6015625</v>
      </c>
      <c r="I3" s="58">
        <v>2</v>
      </c>
      <c r="K3" s="74">
        <v>1</v>
      </c>
      <c r="L3" s="119">
        <v>-58</v>
      </c>
      <c r="M3" s="117">
        <v>1603.1699766939203</v>
      </c>
      <c r="O3" s="74" t="s">
        <v>128</v>
      </c>
      <c r="P3" s="80">
        <f t="shared" si="0"/>
        <v>19.607843137254903</v>
      </c>
      <c r="Q3" s="77">
        <v>51</v>
      </c>
      <c r="R3" s="64">
        <v>1000</v>
      </c>
    </row>
    <row r="4" spans="1:18" x14ac:dyDescent="0.4">
      <c r="A4" s="19" t="s">
        <v>6</v>
      </c>
      <c r="B4" s="137">
        <v>-1.4210854715202004E-14</v>
      </c>
      <c r="C4" s="138"/>
      <c r="E4" s="27" t="s">
        <v>158</v>
      </c>
      <c r="F4" s="24" t="s">
        <v>159</v>
      </c>
      <c r="G4" s="12">
        <v>56</v>
      </c>
      <c r="H4" s="88">
        <f>IF(B$20=0,0,G4/B$20)</f>
        <v>0.4375</v>
      </c>
      <c r="I4" s="58">
        <v>3</v>
      </c>
      <c r="K4" s="74">
        <v>2</v>
      </c>
      <c r="L4" s="119">
        <v>-6.5</v>
      </c>
      <c r="M4" s="117">
        <v>1611.8209568337568</v>
      </c>
      <c r="O4" s="74" t="s">
        <v>129</v>
      </c>
      <c r="P4" s="80">
        <f t="shared" si="0"/>
        <v>-19.607843137254903</v>
      </c>
      <c r="Q4" s="77">
        <v>51</v>
      </c>
      <c r="R4" s="64">
        <v>-1000</v>
      </c>
    </row>
    <row r="5" spans="1:18" x14ac:dyDescent="0.4">
      <c r="A5" s="19" t="s">
        <v>7</v>
      </c>
      <c r="B5" s="125">
        <f>IF(B$2=0,0,B$4/B$2)</f>
        <v>-2.7864421010200007E-16</v>
      </c>
      <c r="C5" s="126"/>
      <c r="E5" s="27" t="s">
        <v>68</v>
      </c>
      <c r="F5" s="24" t="s">
        <v>12</v>
      </c>
      <c r="G5" s="12">
        <v>49</v>
      </c>
      <c r="H5" s="88">
        <f>IF(B$20=0,0,G5/B$20)</f>
        <v>0.3828125</v>
      </c>
      <c r="I5" s="58">
        <v>3</v>
      </c>
      <c r="K5" s="74">
        <v>3</v>
      </c>
      <c r="L5" s="119">
        <v>0</v>
      </c>
      <c r="M5" s="117">
        <v>1612.3200310927543</v>
      </c>
      <c r="O5" s="74" t="s">
        <v>130</v>
      </c>
      <c r="P5" s="80">
        <f t="shared" si="0"/>
        <v>20.833333333333332</v>
      </c>
      <c r="Q5" s="77">
        <v>48</v>
      </c>
      <c r="R5" s="64">
        <v>1000</v>
      </c>
    </row>
    <row r="6" spans="1:18" x14ac:dyDescent="0.4">
      <c r="A6" s="19" t="s">
        <v>192</v>
      </c>
      <c r="B6" s="129">
        <v>1608.190665439078</v>
      </c>
      <c r="C6" s="130"/>
      <c r="E6" s="27" t="s">
        <v>72</v>
      </c>
      <c r="F6" s="24" t="s">
        <v>27</v>
      </c>
      <c r="G6" s="12">
        <v>43</v>
      </c>
      <c r="H6" s="88">
        <f>IF(B$20=0,0,G6/B$20)</f>
        <v>0.3359375</v>
      </c>
      <c r="I6" s="58">
        <v>2</v>
      </c>
      <c r="K6" s="74">
        <v>4</v>
      </c>
      <c r="L6" s="119">
        <v>30.8</v>
      </c>
      <c r="M6" s="117">
        <v>1617.2321109061977</v>
      </c>
      <c r="O6" s="74" t="s">
        <v>131</v>
      </c>
      <c r="P6" s="80">
        <f t="shared" si="0"/>
        <v>-20.833333333333332</v>
      </c>
      <c r="Q6" s="77">
        <v>48</v>
      </c>
      <c r="R6" s="64">
        <v>-1000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36</v>
      </c>
      <c r="H7" s="88">
        <f>IF(B$20=0,0,G7/B$20)</f>
        <v>0.28125</v>
      </c>
      <c r="I7" s="58">
        <v>3</v>
      </c>
      <c r="K7" s="74">
        <v>5</v>
      </c>
      <c r="L7" s="119">
        <v>0.60000000000000142</v>
      </c>
      <c r="M7" s="117">
        <v>1611.1347182407605</v>
      </c>
      <c r="O7" s="75" t="s">
        <v>132</v>
      </c>
      <c r="P7" s="81">
        <f t="shared" si="0"/>
        <v>23.80952380952381</v>
      </c>
      <c r="Q7" s="78">
        <v>42</v>
      </c>
      <c r="R7" s="65">
        <v>1000</v>
      </c>
    </row>
    <row r="8" spans="1:18" x14ac:dyDescent="0.4">
      <c r="A8" s="19" t="s">
        <v>2</v>
      </c>
      <c r="B8" s="12">
        <v>17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24</v>
      </c>
      <c r="H8" s="88">
        <f>IF(B$20=0,0,G8/B$20)</f>
        <v>0.1875</v>
      </c>
      <c r="I8" s="58">
        <v>3</v>
      </c>
      <c r="K8" s="74">
        <v>6</v>
      </c>
      <c r="L8" s="119">
        <v>1.4432899320127035E-15</v>
      </c>
      <c r="M8" s="117">
        <v>1610.4019099313159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0.33333333333333331</v>
      </c>
      <c r="E9" s="27" t="s">
        <v>65</v>
      </c>
      <c r="F9" s="24" t="s">
        <v>21</v>
      </c>
      <c r="G9" s="12">
        <v>19</v>
      </c>
      <c r="H9" s="88">
        <f>IF(B$20=0,0,G9/B$20)</f>
        <v>0.1484375</v>
      </c>
      <c r="I9" s="58">
        <v>3</v>
      </c>
      <c r="K9" s="74">
        <v>7</v>
      </c>
      <c r="L9" s="119">
        <v>44.3</v>
      </c>
      <c r="M9" s="117">
        <v>1617.911498471728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17</v>
      </c>
      <c r="C10" s="7">
        <f t="shared" si="1"/>
        <v>0.33333333333333331</v>
      </c>
      <c r="E10" s="27" t="s">
        <v>70</v>
      </c>
      <c r="F10" s="24" t="s">
        <v>25</v>
      </c>
      <c r="G10" s="12">
        <v>15</v>
      </c>
      <c r="H10" s="88">
        <f>IF(B$20=0,0,G10/B$20)</f>
        <v>0.1171875</v>
      </c>
      <c r="I10" s="58">
        <v>3</v>
      </c>
      <c r="K10" s="74">
        <v>8</v>
      </c>
      <c r="L10" s="119">
        <v>-11.300000000000004</v>
      </c>
      <c r="M10" s="117">
        <v>1607.3940294808976</v>
      </c>
      <c r="O10" s="73" t="s">
        <v>150</v>
      </c>
      <c r="P10" s="82">
        <f>IF(Q10=0,0,R10/Q10)</f>
        <v>-12.294117647058824</v>
      </c>
      <c r="Q10" s="76">
        <v>17</v>
      </c>
      <c r="R10" s="67">
        <v>-209</v>
      </c>
    </row>
    <row r="11" spans="1:18" x14ac:dyDescent="0.4">
      <c r="A11" s="20" t="s">
        <v>183</v>
      </c>
      <c r="B11" s="109">
        <f>IF(B8=0,0,C11/B8)</f>
        <v>43.776470588235291</v>
      </c>
      <c r="C11" s="110">
        <v>744.19999999999993</v>
      </c>
      <c r="E11" s="27" t="s">
        <v>71</v>
      </c>
      <c r="F11" s="24" t="s">
        <v>26</v>
      </c>
      <c r="G11" s="12">
        <v>12</v>
      </c>
      <c r="H11" s="88">
        <f>IF(B$20=0,0,G11/B$20)</f>
        <v>9.375E-2</v>
      </c>
      <c r="I11" s="58">
        <v>3</v>
      </c>
      <c r="K11" s="74">
        <v>9</v>
      </c>
      <c r="L11" s="119">
        <v>-3.5527136788005009E-15</v>
      </c>
      <c r="M11" s="117">
        <v>1608.9816653040123</v>
      </c>
      <c r="O11" s="74" t="s">
        <v>151</v>
      </c>
      <c r="P11" s="83">
        <f>IF(Q11=0,0,R11/Q11)</f>
        <v>11.517647058823528</v>
      </c>
      <c r="Q11" s="77">
        <v>17</v>
      </c>
      <c r="R11" s="68">
        <v>195.79999999999998</v>
      </c>
    </row>
    <row r="12" spans="1:18" x14ac:dyDescent="0.4">
      <c r="A12" s="20" t="s">
        <v>184</v>
      </c>
      <c r="B12" s="109">
        <f>IF(B9=0,0,C12/B9)</f>
        <v>-0.65294117647058814</v>
      </c>
      <c r="C12" s="110">
        <v>-11.099999999999998</v>
      </c>
      <c r="E12" s="27" t="s">
        <v>89</v>
      </c>
      <c r="F12" s="24" t="s">
        <v>44</v>
      </c>
      <c r="G12" s="12">
        <v>12</v>
      </c>
      <c r="H12" s="88">
        <f>IF(B$20=0,0,G12/B$20)</f>
        <v>9.375E-2</v>
      </c>
      <c r="I12" s="58">
        <v>4</v>
      </c>
      <c r="K12" s="74">
        <v>10</v>
      </c>
      <c r="L12" s="119">
        <v>21.599999999999998</v>
      </c>
      <c r="M12" s="117">
        <v>1613.0137753121883</v>
      </c>
      <c r="O12" s="75" t="s">
        <v>152</v>
      </c>
      <c r="P12" s="84">
        <f>IF(Q12=0,0,R12/Q12)</f>
        <v>0.77647058823529302</v>
      </c>
      <c r="Q12" s="78">
        <v>17</v>
      </c>
      <c r="R12" s="69">
        <v>13.199999999999982</v>
      </c>
    </row>
    <row r="13" spans="1:18" x14ac:dyDescent="0.4">
      <c r="A13" s="20" t="s">
        <v>185</v>
      </c>
      <c r="B13" s="109">
        <f>IF(B10=0,0,C13/B10)</f>
        <v>-43.1235294117647</v>
      </c>
      <c r="C13" s="110">
        <v>-733.09999999999991</v>
      </c>
      <c r="E13" s="27" t="s">
        <v>86</v>
      </c>
      <c r="F13" s="24" t="s">
        <v>41</v>
      </c>
      <c r="G13" s="12">
        <v>9</v>
      </c>
      <c r="H13" s="88">
        <f>IF(B$20=0,0,G13/B$20)</f>
        <v>7.03125E-2</v>
      </c>
      <c r="I13" s="58">
        <v>3</v>
      </c>
      <c r="K13" s="74">
        <v>11</v>
      </c>
      <c r="L13" s="119">
        <v>20.999999999999996</v>
      </c>
      <c r="M13" s="117">
        <v>1613.0256926603151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78</v>
      </c>
      <c r="F14" s="24" t="s">
        <v>33</v>
      </c>
      <c r="G14" s="12">
        <v>5</v>
      </c>
      <c r="H14" s="88">
        <f>IF(B$20=0,0,G14/B$20)</f>
        <v>3.90625E-2</v>
      </c>
      <c r="I14" s="58">
        <v>3</v>
      </c>
      <c r="K14" s="74">
        <v>12</v>
      </c>
      <c r="L14" s="119">
        <v>-3.5527136788005009E-15</v>
      </c>
      <c r="M14" s="117">
        <v>1609.3655385043533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4</v>
      </c>
      <c r="C15" s="9">
        <f t="shared" si="1"/>
        <v>7.8431372549019607E-2</v>
      </c>
      <c r="E15" s="27" t="s">
        <v>81</v>
      </c>
      <c r="F15" s="24" t="s">
        <v>36</v>
      </c>
      <c r="G15" s="12">
        <v>5</v>
      </c>
      <c r="H15" s="88">
        <f>IF(B$20=0,0,G15/B$20)</f>
        <v>3.90625E-2</v>
      </c>
      <c r="I15" s="58">
        <v>2</v>
      </c>
      <c r="K15" s="74">
        <v>13</v>
      </c>
      <c r="L15" s="119">
        <v>42.5</v>
      </c>
      <c r="M15" s="117">
        <v>1616.5693452733271</v>
      </c>
      <c r="O15" s="73" t="s">
        <v>189</v>
      </c>
      <c r="P15" s="82">
        <f>IF(Q15=0,0,R15/Q15)</f>
        <v>15.2875</v>
      </c>
      <c r="Q15" s="76">
        <v>24</v>
      </c>
      <c r="R15" s="67">
        <v>366.9</v>
      </c>
    </row>
    <row r="16" spans="1:18" x14ac:dyDescent="0.4">
      <c r="A16" s="22" t="s">
        <v>121</v>
      </c>
      <c r="B16" s="15">
        <v>133</v>
      </c>
      <c r="C16" s="10">
        <f>IF(B$3=0,0,B16/B$3)</f>
        <v>0.30787037037037035</v>
      </c>
      <c r="E16" s="27" t="s">
        <v>83</v>
      </c>
      <c r="F16" s="24" t="s">
        <v>38</v>
      </c>
      <c r="G16" s="12">
        <v>5</v>
      </c>
      <c r="H16" s="88">
        <f>IF(B$20=0,0,G16/B$20)</f>
        <v>3.90625E-2</v>
      </c>
      <c r="I16" s="58">
        <v>2</v>
      </c>
      <c r="K16" s="74">
        <v>14</v>
      </c>
      <c r="L16" s="119">
        <v>33.6</v>
      </c>
      <c r="M16" s="117">
        <v>1614.4779292016872</v>
      </c>
      <c r="O16" s="74" t="s">
        <v>162</v>
      </c>
      <c r="P16" s="83">
        <f>IF(Q16=0,0,R16/Q16)</f>
        <v>13.915384615384614</v>
      </c>
      <c r="Q16" s="77">
        <v>26</v>
      </c>
      <c r="R16" s="68">
        <v>361.79999999999995</v>
      </c>
    </row>
    <row r="17" spans="1:18" x14ac:dyDescent="0.4">
      <c r="A17" s="19" t="s">
        <v>118</v>
      </c>
      <c r="B17" s="12">
        <v>77</v>
      </c>
      <c r="C17" s="6">
        <f>IF(B$3=0,0,B17/B$3)</f>
        <v>0.17824074074074073</v>
      </c>
      <c r="E17" s="27" t="s">
        <v>73</v>
      </c>
      <c r="F17" s="24" t="s">
        <v>28</v>
      </c>
      <c r="G17" s="12">
        <v>2</v>
      </c>
      <c r="H17" s="88">
        <f>IF(B$20=0,0,G17/B$20)</f>
        <v>1.5625E-2</v>
      </c>
      <c r="I17" s="58">
        <v>3</v>
      </c>
      <c r="K17" s="74">
        <v>15</v>
      </c>
      <c r="L17" s="119">
        <v>0</v>
      </c>
      <c r="M17" s="117">
        <v>1607.9530616264772</v>
      </c>
      <c r="O17" s="74" t="s">
        <v>126</v>
      </c>
      <c r="P17" s="83">
        <f>IF(Q17=0,0,R17/Q17)</f>
        <v>-11.045454545454541</v>
      </c>
      <c r="Q17" s="77">
        <v>22</v>
      </c>
      <c r="R17" s="68">
        <v>-242.99999999999991</v>
      </c>
    </row>
    <row r="18" spans="1:18" x14ac:dyDescent="0.4">
      <c r="A18" s="18" t="s">
        <v>123</v>
      </c>
      <c r="B18" s="11">
        <f>B24</f>
        <v>77</v>
      </c>
      <c r="C18" s="5">
        <f>IF(B$16=0,0,B18/B$16)</f>
        <v>0.57894736842105265</v>
      </c>
      <c r="E18" s="27" t="s">
        <v>74</v>
      </c>
      <c r="F18" s="24" t="s">
        <v>29</v>
      </c>
      <c r="G18" s="12">
        <v>2</v>
      </c>
      <c r="H18" s="88">
        <f>IF(B$20=0,0,G18/B$20)</f>
        <v>1.5625E-2</v>
      </c>
      <c r="I18" s="58">
        <v>3</v>
      </c>
      <c r="K18" s="74">
        <v>16</v>
      </c>
      <c r="L18" s="119">
        <v>1.4</v>
      </c>
      <c r="M18" s="117">
        <v>1608.3733432567183</v>
      </c>
      <c r="O18" s="74" t="s">
        <v>187</v>
      </c>
      <c r="P18" s="83">
        <f>IF(Q18=0,0,R18/Q18)</f>
        <v>-16.190000000000001</v>
      </c>
      <c r="Q18" s="77">
        <v>30</v>
      </c>
      <c r="R18" s="68">
        <v>-485.7</v>
      </c>
    </row>
    <row r="19" spans="1:18" x14ac:dyDescent="0.4">
      <c r="A19" s="18" t="s">
        <v>124</v>
      </c>
      <c r="B19" s="11">
        <f>B25</f>
        <v>22</v>
      </c>
      <c r="C19" s="5">
        <f>IF(B$17=0,0,B19/B$17)</f>
        <v>0.2857142857142857</v>
      </c>
      <c r="E19" s="27" t="s">
        <v>76</v>
      </c>
      <c r="F19" s="24" t="s">
        <v>31</v>
      </c>
      <c r="G19" s="12">
        <v>1</v>
      </c>
      <c r="H19" s="88">
        <f>IF(B$20=0,0,G19/B$20)</f>
        <v>7.8125E-3</v>
      </c>
      <c r="I19" s="58">
        <v>2</v>
      </c>
      <c r="K19" s="74">
        <v>17</v>
      </c>
      <c r="L19" s="119">
        <v>32.700000000000003</v>
      </c>
      <c r="M19" s="117">
        <v>1614.1731031971779</v>
      </c>
    </row>
    <row r="20" spans="1:18" x14ac:dyDescent="0.4">
      <c r="A20" s="18" t="s">
        <v>10</v>
      </c>
      <c r="B20" s="11">
        <f>B23+B22</f>
        <v>128</v>
      </c>
      <c r="C20" s="5">
        <f>IF(B$3=0,0,B20/B$3)</f>
        <v>0.29629629629629628</v>
      </c>
      <c r="E20" s="27" t="s">
        <v>79</v>
      </c>
      <c r="F20" s="24" t="s">
        <v>34</v>
      </c>
      <c r="G20" s="12">
        <v>1</v>
      </c>
      <c r="H20" s="88">
        <f>IF(B$20=0,0,G20/B$20)</f>
        <v>7.8125E-3</v>
      </c>
      <c r="I20" s="58">
        <v>2</v>
      </c>
      <c r="K20" s="74">
        <v>18</v>
      </c>
      <c r="L20" s="119">
        <v>0</v>
      </c>
      <c r="M20" s="117">
        <v>1608.4180645779948</v>
      </c>
    </row>
    <row r="21" spans="1:18" x14ac:dyDescent="0.4">
      <c r="A21" s="19" t="s">
        <v>13</v>
      </c>
      <c r="B21" s="12">
        <v>70</v>
      </c>
      <c r="C21" s="6">
        <f>IF(B$3=0,0,B21/B$3)</f>
        <v>0.16203703703703703</v>
      </c>
      <c r="E21" s="27" t="s">
        <v>94</v>
      </c>
      <c r="F21" s="24" t="s">
        <v>49</v>
      </c>
      <c r="G21" s="12">
        <v>1</v>
      </c>
      <c r="H21" s="88">
        <f>IF(B$20=0,0,G21/B$20)</f>
        <v>7.8125E-3</v>
      </c>
      <c r="I21" s="58">
        <v>2</v>
      </c>
      <c r="K21" s="74">
        <v>19</v>
      </c>
      <c r="L21" s="119">
        <v>7.6</v>
      </c>
      <c r="M21" s="117">
        <v>1609.3575561905268</v>
      </c>
    </row>
    <row r="22" spans="1:18" x14ac:dyDescent="0.4">
      <c r="A22" s="19" t="s">
        <v>12</v>
      </c>
      <c r="B22" s="12">
        <v>58</v>
      </c>
      <c r="C22" s="6">
        <f>IF(B$20=0,0,B22/B$20)</f>
        <v>0.453125</v>
      </c>
      <c r="E22" s="27" t="s">
        <v>99</v>
      </c>
      <c r="F22" s="24" t="s">
        <v>54</v>
      </c>
      <c r="G22" s="12">
        <v>1</v>
      </c>
      <c r="H22" s="88">
        <f>IF(B$20=0,0,G22/B$20)</f>
        <v>7.8125E-3</v>
      </c>
      <c r="I22" s="58">
        <v>2</v>
      </c>
      <c r="K22" s="74">
        <v>20</v>
      </c>
      <c r="L22" s="119">
        <v>41.2</v>
      </c>
      <c r="M22" s="117">
        <v>1614.9714108533835</v>
      </c>
    </row>
    <row r="23" spans="1:18" x14ac:dyDescent="0.4">
      <c r="A23" s="19" t="s">
        <v>11</v>
      </c>
      <c r="B23" s="12">
        <v>70</v>
      </c>
      <c r="C23" s="6">
        <f>IF(B$20=0,0,B23/B$20)</f>
        <v>0.546875</v>
      </c>
      <c r="E23" s="27" t="s">
        <v>154</v>
      </c>
      <c r="F23" s="24" t="s">
        <v>155</v>
      </c>
      <c r="G23" s="12">
        <v>1</v>
      </c>
      <c r="H23" s="88">
        <f>IF(B$20=0,0,G23/B$20)</f>
        <v>7.8125E-3</v>
      </c>
      <c r="I23" s="58">
        <v>2</v>
      </c>
      <c r="K23" s="74">
        <v>21</v>
      </c>
      <c r="L23" s="119">
        <v>0</v>
      </c>
      <c r="M23" s="117">
        <v>1607.0875823882632</v>
      </c>
    </row>
    <row r="24" spans="1:18" x14ac:dyDescent="0.4">
      <c r="A24" s="19" t="s">
        <v>182</v>
      </c>
      <c r="B24" s="12">
        <v>77</v>
      </c>
      <c r="C24" s="6">
        <f>IF(B$20=0,0,B24/B$20)</f>
        <v>0.6015625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-38.700000000000003</v>
      </c>
      <c r="M24" s="117">
        <v>1600.1750568939335</v>
      </c>
    </row>
    <row r="25" spans="1:18" x14ac:dyDescent="0.4">
      <c r="A25" s="19" t="s">
        <v>180</v>
      </c>
      <c r="B25" s="12">
        <v>22</v>
      </c>
      <c r="C25" s="6">
        <f>IF(B$20=0,0,B25/B$20)</f>
        <v>0.171875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-7.8000000000000043</v>
      </c>
      <c r="M25" s="117">
        <v>1605.83200655257</v>
      </c>
    </row>
    <row r="26" spans="1:18" x14ac:dyDescent="0.4">
      <c r="A26" s="19" t="s">
        <v>181</v>
      </c>
      <c r="B26" s="12">
        <v>29</v>
      </c>
      <c r="C26" s="6">
        <f>IF(B$20=0,0,B26/B$20)</f>
        <v>0.2265625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-4.4408920985006262E-15</v>
      </c>
      <c r="M26" s="117">
        <v>1607.2970145132545</v>
      </c>
    </row>
    <row r="27" spans="1:18" x14ac:dyDescent="0.4">
      <c r="A27" s="19" t="s">
        <v>5</v>
      </c>
      <c r="B27" s="16">
        <f>IF(B$20=0,0,C27/B$20)</f>
        <v>8353.90625</v>
      </c>
      <c r="C27" s="8">
        <v>1069300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61.399999999999991</v>
      </c>
      <c r="M27" s="117">
        <v>1618.5032324261749</v>
      </c>
    </row>
    <row r="28" spans="1:18" x14ac:dyDescent="0.4">
      <c r="A28" s="20" t="s">
        <v>164</v>
      </c>
      <c r="B28" s="95">
        <f>IF($B$20-B$19=0,0,C28/($B$20-B$19))</f>
        <v>8248.1132075471705</v>
      </c>
      <c r="C28" s="96">
        <v>874300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6.3999999999999915</v>
      </c>
      <c r="M28" s="117">
        <v>1608.6902130316178</v>
      </c>
    </row>
    <row r="29" spans="1:18" x14ac:dyDescent="0.4">
      <c r="A29" s="20" t="s">
        <v>165</v>
      </c>
      <c r="B29" s="95">
        <f>IF(B$19=0,0,C29/B$19)</f>
        <v>8863.636363636364</v>
      </c>
      <c r="C29" s="96">
        <v>195000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-8.8817841970012523E-15</v>
      </c>
      <c r="M29" s="117">
        <v>1607.684071753428</v>
      </c>
    </row>
    <row r="30" spans="1:18" x14ac:dyDescent="0.4">
      <c r="A30" s="20" t="s">
        <v>163</v>
      </c>
      <c r="B30" s="95">
        <f>IF(B$21=0,0,C30/B$21)</f>
        <v>-8240</v>
      </c>
      <c r="C30" s="96">
        <v>-576800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-0.80000000000000893</v>
      </c>
      <c r="M30" s="117">
        <v>1607.6079673229074</v>
      </c>
    </row>
    <row r="31" spans="1:18" x14ac:dyDescent="0.4">
      <c r="A31" s="19" t="s">
        <v>156</v>
      </c>
      <c r="B31" s="12">
        <v>5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45.999999999999986</v>
      </c>
      <c r="M31" s="117">
        <v>1616.1003195189699</v>
      </c>
    </row>
    <row r="32" spans="1:18" x14ac:dyDescent="0.4">
      <c r="A32" s="19" t="s">
        <v>157</v>
      </c>
      <c r="B32" s="12">
        <v>23</v>
      </c>
      <c r="C32" s="90">
        <v>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-1.4210854715202004E-14</v>
      </c>
      <c r="M32" s="117">
        <v>1607.837717601856</v>
      </c>
    </row>
    <row r="33" spans="1:13" x14ac:dyDescent="0.4">
      <c r="A33" s="54" t="s">
        <v>135</v>
      </c>
      <c r="B33" s="127">
        <v>6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-14.700000000000014</v>
      </c>
      <c r="M33" s="117">
        <v>1605.4986912962447</v>
      </c>
    </row>
    <row r="34" spans="1:13" x14ac:dyDescent="0.4">
      <c r="A34" s="22" t="s">
        <v>179</v>
      </c>
      <c r="B34" s="129">
        <v>87300</v>
      </c>
      <c r="C34" s="130"/>
      <c r="E34" s="27" t="s">
        <v>92</v>
      </c>
      <c r="F34" s="24" t="s">
        <v>47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57.59999999999998</v>
      </c>
      <c r="M34" s="117">
        <v>1618.8336991484673</v>
      </c>
    </row>
    <row r="35" spans="1:13" x14ac:dyDescent="0.4">
      <c r="A35" s="21" t="s">
        <v>136</v>
      </c>
      <c r="B35" s="29">
        <v>0</v>
      </c>
      <c r="C35" s="9">
        <f>IF(B$3=0,0,B35/B$3)</f>
        <v>0</v>
      </c>
      <c r="E35" s="27" t="s">
        <v>93</v>
      </c>
      <c r="F35" s="24" t="s">
        <v>48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-2.1316282072803006E-14</v>
      </c>
      <c r="M35" s="117">
        <v>1608.7066969535765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31.299999999999979</v>
      </c>
      <c r="M36" s="117">
        <v>1614.4924567718551</v>
      </c>
    </row>
    <row r="37" spans="1:13" x14ac:dyDescent="0.4">
      <c r="A37" s="54" t="s">
        <v>170</v>
      </c>
      <c r="B37" s="123">
        <v>9</v>
      </c>
      <c r="C37" s="98">
        <f t="shared" ref="C37:C49" si="2">IF(B$20=0,0,B37/B$20)</f>
        <v>7.03125E-2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5.2999999999999794</v>
      </c>
      <c r="M37" s="117">
        <v>1609.929502031224</v>
      </c>
    </row>
    <row r="38" spans="1:13" x14ac:dyDescent="0.4">
      <c r="A38" s="19" t="s">
        <v>166</v>
      </c>
      <c r="B38" s="12">
        <v>20</v>
      </c>
      <c r="C38" s="6">
        <f t="shared" si="2"/>
        <v>0.15625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-2.042810365310288E-14</v>
      </c>
      <c r="M38" s="117">
        <v>1609.1199250190366</v>
      </c>
    </row>
    <row r="39" spans="1:13" x14ac:dyDescent="0.4">
      <c r="A39" s="19" t="s">
        <v>167</v>
      </c>
      <c r="B39" s="124">
        <v>23</v>
      </c>
      <c r="C39" s="6">
        <f t="shared" si="2"/>
        <v>0.1796875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-58.90000000000002</v>
      </c>
      <c r="M39" s="117">
        <v>1598.0912054689225</v>
      </c>
    </row>
    <row r="40" spans="1:13" x14ac:dyDescent="0.4">
      <c r="A40" s="19" t="s">
        <v>168</v>
      </c>
      <c r="B40" s="124">
        <v>29</v>
      </c>
      <c r="C40" s="6">
        <f t="shared" si="2"/>
        <v>0.2265625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10.699999999999974</v>
      </c>
      <c r="M40" s="117">
        <v>1610.2586582361089</v>
      </c>
    </row>
    <row r="41" spans="1:13" x14ac:dyDescent="0.4">
      <c r="A41" s="19" t="s">
        <v>169</v>
      </c>
      <c r="B41" s="124">
        <v>21</v>
      </c>
      <c r="C41" s="6">
        <f t="shared" si="2"/>
        <v>0.1640625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-2.4868995751603507E-14</v>
      </c>
      <c r="M41" s="117">
        <v>1607.8991062866921</v>
      </c>
    </row>
    <row r="42" spans="1:13" x14ac:dyDescent="0.4">
      <c r="A42" s="19" t="s">
        <v>171</v>
      </c>
      <c r="B42" s="124">
        <v>11</v>
      </c>
      <c r="C42" s="6">
        <f t="shared" si="2"/>
        <v>8.59375E-2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-45.40000000000002</v>
      </c>
      <c r="M42" s="117">
        <v>1599.901711648972</v>
      </c>
    </row>
    <row r="43" spans="1:13" x14ac:dyDescent="0.4">
      <c r="A43" s="19" t="s">
        <v>172</v>
      </c>
      <c r="B43" s="124">
        <v>4</v>
      </c>
      <c r="C43" s="6">
        <f t="shared" si="2"/>
        <v>3.125E-2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-51.800000000000018</v>
      </c>
      <c r="M43" s="117">
        <v>1598.9723013790781</v>
      </c>
    </row>
    <row r="44" spans="1:13" x14ac:dyDescent="0.4">
      <c r="A44" s="19" t="s">
        <v>173</v>
      </c>
      <c r="B44" s="124">
        <v>8</v>
      </c>
      <c r="C44" s="6">
        <f t="shared" si="2"/>
        <v>6.25E-2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-2.1316282072803006E-14</v>
      </c>
      <c r="M44" s="117">
        <v>1608.5244675708036</v>
      </c>
    </row>
    <row r="45" spans="1:13" x14ac:dyDescent="0.4">
      <c r="A45" s="19" t="s">
        <v>174</v>
      </c>
      <c r="B45" s="124">
        <v>1</v>
      </c>
      <c r="C45" s="6">
        <f t="shared" si="2"/>
        <v>7.8125E-3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4.4999999999999787</v>
      </c>
      <c r="M45" s="117">
        <v>1609.6133207653788</v>
      </c>
    </row>
    <row r="46" spans="1:13" x14ac:dyDescent="0.4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36.999999999999979</v>
      </c>
      <c r="M46" s="117">
        <v>1615.7356408407866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-2.1316282072803006E-14</v>
      </c>
      <c r="M47" s="117">
        <v>1609.3112269957419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-1.5000000000000213</v>
      </c>
      <c r="M48" s="117">
        <v>1609.1173596337674</v>
      </c>
    </row>
    <row r="49" spans="1:13" x14ac:dyDescent="0.4">
      <c r="A49" s="21" t="s">
        <v>178</v>
      </c>
      <c r="B49" s="97">
        <v>2</v>
      </c>
      <c r="C49" s="9">
        <f t="shared" si="2"/>
        <v>1.5625E-2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-44.90000000000002</v>
      </c>
      <c r="M49" s="117">
        <v>1601.3826554759648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-2.1316282072803006E-14</v>
      </c>
      <c r="M50" s="117">
        <v>1609.5883595431089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5.6999999999999789</v>
      </c>
      <c r="M51" s="117">
        <v>1610.1668293858502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52.799999999999983</v>
      </c>
      <c r="M52" s="117">
        <v>1618.1938284095352</v>
      </c>
    </row>
    <row r="53" spans="1:13" x14ac:dyDescent="0.4">
      <c r="K53" s="74">
        <v>51</v>
      </c>
      <c r="L53" s="119">
        <v>-1.4210854715202004E-14</v>
      </c>
      <c r="M53" s="117">
        <v>1608.190665439078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00F93-05AE-45DF-911E-4237CEC48F74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162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13</v>
      </c>
      <c r="C2" s="134"/>
      <c r="E2" s="26" t="s">
        <v>64</v>
      </c>
      <c r="F2" s="23" t="s">
        <v>20</v>
      </c>
      <c r="G2" s="11">
        <v>19</v>
      </c>
      <c r="H2" s="87">
        <f>IF(B$20=0,0,G2/B$20)</f>
        <v>0.73076923076923073</v>
      </c>
      <c r="I2" s="57">
        <v>1</v>
      </c>
      <c r="K2" s="73">
        <v>0</v>
      </c>
      <c r="L2" s="118">
        <v>0</v>
      </c>
      <c r="M2" s="116">
        <v>1595.6213709809917</v>
      </c>
      <c r="O2" s="73" t="s">
        <v>127</v>
      </c>
      <c r="P2" s="79">
        <f t="shared" ref="P2:P7" si="0">IF(Q2=0,0,R2/Q2)</f>
        <v>-1084.6153846153845</v>
      </c>
      <c r="Q2" s="76">
        <v>13</v>
      </c>
      <c r="R2" s="63">
        <v>-14100</v>
      </c>
    </row>
    <row r="3" spans="1:18" x14ac:dyDescent="0.4">
      <c r="A3" s="19" t="s">
        <v>8</v>
      </c>
      <c r="B3" s="135">
        <v>106</v>
      </c>
      <c r="C3" s="136"/>
      <c r="E3" s="27" t="s">
        <v>66</v>
      </c>
      <c r="F3" s="24" t="s">
        <v>22</v>
      </c>
      <c r="G3" s="12">
        <v>16</v>
      </c>
      <c r="H3" s="88">
        <f>IF(B$20=0,0,G3/B$20)</f>
        <v>0.61538461538461542</v>
      </c>
      <c r="I3" s="58">
        <v>4</v>
      </c>
      <c r="K3" s="74">
        <v>1</v>
      </c>
      <c r="L3" s="119">
        <v>-58</v>
      </c>
      <c r="M3" s="117">
        <v>1584.6076427551059</v>
      </c>
      <c r="O3" s="74" t="s">
        <v>128</v>
      </c>
      <c r="P3" s="80">
        <f t="shared" si="0"/>
        <v>-3953.8461538461538</v>
      </c>
      <c r="Q3" s="77">
        <v>13</v>
      </c>
      <c r="R3" s="64">
        <v>-51400</v>
      </c>
    </row>
    <row r="4" spans="1:18" x14ac:dyDescent="0.4">
      <c r="A4" s="19" t="s">
        <v>6</v>
      </c>
      <c r="B4" s="137">
        <v>-120.60000000000001</v>
      </c>
      <c r="C4" s="138"/>
      <c r="E4" s="27" t="s">
        <v>68</v>
      </c>
      <c r="F4" s="24" t="s">
        <v>12</v>
      </c>
      <c r="G4" s="12">
        <v>13</v>
      </c>
      <c r="H4" s="88">
        <f>IF(B$20=0,0,G4/B$20)</f>
        <v>0.5</v>
      </c>
      <c r="I4" s="58">
        <v>1</v>
      </c>
      <c r="K4" s="74">
        <v>2</v>
      </c>
      <c r="L4" s="119">
        <v>-13.700000000000003</v>
      </c>
      <c r="M4" s="117">
        <v>1592.2719968985753</v>
      </c>
      <c r="O4" s="74" t="s">
        <v>129</v>
      </c>
      <c r="P4" s="80">
        <f t="shared" si="0"/>
        <v>-907.69230769230774</v>
      </c>
      <c r="Q4" s="77">
        <v>13</v>
      </c>
      <c r="R4" s="64">
        <v>-11800</v>
      </c>
    </row>
    <row r="5" spans="1:18" x14ac:dyDescent="0.4">
      <c r="A5" s="19" t="s">
        <v>7</v>
      </c>
      <c r="B5" s="125">
        <f>IF(B$2=0,0,B$4/B$2)</f>
        <v>-9.2769230769230777</v>
      </c>
      <c r="C5" s="126"/>
      <c r="E5" s="27" t="s">
        <v>158</v>
      </c>
      <c r="F5" s="24" t="s">
        <v>159</v>
      </c>
      <c r="G5" s="12">
        <v>13</v>
      </c>
      <c r="H5" s="88">
        <f>IF(B$20=0,0,G5/B$20)</f>
        <v>0.5</v>
      </c>
      <c r="I5" s="58">
        <v>1</v>
      </c>
      <c r="K5" s="74">
        <v>3</v>
      </c>
      <c r="L5" s="119">
        <v>7.8999999999999986</v>
      </c>
      <c r="M5" s="117">
        <v>1596.4043649171838</v>
      </c>
      <c r="O5" s="74" t="s">
        <v>130</v>
      </c>
      <c r="P5" s="80">
        <f t="shared" si="0"/>
        <v>-2091.6666666666665</v>
      </c>
      <c r="Q5" s="77">
        <v>12</v>
      </c>
      <c r="R5" s="64">
        <v>-25100</v>
      </c>
    </row>
    <row r="6" spans="1:18" x14ac:dyDescent="0.4">
      <c r="A6" s="19" t="s">
        <v>192</v>
      </c>
      <c r="B6" s="129">
        <v>1573.7060279447555</v>
      </c>
      <c r="C6" s="130"/>
      <c r="E6" s="27" t="s">
        <v>67</v>
      </c>
      <c r="F6" s="24" t="s">
        <v>23</v>
      </c>
      <c r="G6" s="12">
        <v>8</v>
      </c>
      <c r="H6" s="88">
        <f>IF(B$20=0,0,G6/B$20)</f>
        <v>0.30769230769230771</v>
      </c>
      <c r="I6" s="58">
        <v>2</v>
      </c>
      <c r="K6" s="74">
        <v>4</v>
      </c>
      <c r="L6" s="119">
        <v>50.4</v>
      </c>
      <c r="M6" s="117">
        <v>1603.6859387276807</v>
      </c>
      <c r="O6" s="74" t="s">
        <v>131</v>
      </c>
      <c r="P6" s="80">
        <f t="shared" si="0"/>
        <v>1441.6666666666667</v>
      </c>
      <c r="Q6" s="77">
        <v>12</v>
      </c>
      <c r="R6" s="64">
        <v>17300</v>
      </c>
    </row>
    <row r="7" spans="1:18" x14ac:dyDescent="0.4">
      <c r="A7" s="19" t="s">
        <v>1</v>
      </c>
      <c r="B7" s="139">
        <f>IF(B$2=0,0,(B$8*1+B$9*2+B$10*3)/B$2)</f>
        <v>2.0769230769230771</v>
      </c>
      <c r="C7" s="140"/>
      <c r="E7" s="27" t="s">
        <v>69</v>
      </c>
      <c r="F7" s="24" t="s">
        <v>24</v>
      </c>
      <c r="G7" s="12">
        <v>8</v>
      </c>
      <c r="H7" s="88">
        <f>IF(B$20=0,0,G7/B$20)</f>
        <v>0.30769230769230771</v>
      </c>
      <c r="I7" s="58">
        <v>1</v>
      </c>
      <c r="K7" s="74">
        <v>5</v>
      </c>
      <c r="L7" s="119">
        <v>81.7</v>
      </c>
      <c r="M7" s="117">
        <v>1609.5138230953146</v>
      </c>
      <c r="O7" s="75" t="s">
        <v>132</v>
      </c>
      <c r="P7" s="81">
        <f t="shared" si="0"/>
        <v>1000</v>
      </c>
      <c r="Q7" s="78">
        <v>10</v>
      </c>
      <c r="R7" s="65">
        <v>10000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0.30769230769230771</v>
      </c>
      <c r="E8" s="27" t="s">
        <v>65</v>
      </c>
      <c r="F8" s="24" t="s">
        <v>21</v>
      </c>
      <c r="G8" s="12">
        <v>5</v>
      </c>
      <c r="H8" s="88">
        <f>IF(B$20=0,0,G8/B$20)</f>
        <v>0.19230769230769232</v>
      </c>
      <c r="I8" s="58">
        <v>2</v>
      </c>
      <c r="K8" s="74">
        <v>6</v>
      </c>
      <c r="L8" s="119">
        <v>40.5</v>
      </c>
      <c r="M8" s="117">
        <v>1601.6627401567428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0.30769230769230771</v>
      </c>
      <c r="E9" s="27" t="s">
        <v>70</v>
      </c>
      <c r="F9" s="24" t="s">
        <v>25</v>
      </c>
      <c r="G9" s="12">
        <v>5</v>
      </c>
      <c r="H9" s="88">
        <f>IF(B$20=0,0,G9/B$20)</f>
        <v>0.19230769230769232</v>
      </c>
      <c r="I9" s="58">
        <v>1</v>
      </c>
      <c r="K9" s="74">
        <v>7</v>
      </c>
      <c r="L9" s="119">
        <v>-14.5</v>
      </c>
      <c r="M9" s="117">
        <v>1591.9507637158024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5</v>
      </c>
      <c r="C10" s="7">
        <f t="shared" si="1"/>
        <v>0.38461538461538464</v>
      </c>
      <c r="E10" s="27" t="s">
        <v>71</v>
      </c>
      <c r="F10" s="24" t="s">
        <v>26</v>
      </c>
      <c r="G10" s="12">
        <v>4</v>
      </c>
      <c r="H10" s="88">
        <f>IF(B$20=0,0,G10/B$20)</f>
        <v>0.15384615384615385</v>
      </c>
      <c r="I10" s="58">
        <v>1</v>
      </c>
      <c r="K10" s="74">
        <v>8</v>
      </c>
      <c r="L10" s="119">
        <v>-29.2</v>
      </c>
      <c r="M10" s="117">
        <v>1589.7070591335075</v>
      </c>
      <c r="O10" s="73" t="s">
        <v>150</v>
      </c>
      <c r="P10" s="82">
        <f>IF(Q10=0,0,R10/Q10)</f>
        <v>-13.328571428571427</v>
      </c>
      <c r="Q10" s="76">
        <v>7</v>
      </c>
      <c r="R10" s="67">
        <v>-93.3</v>
      </c>
    </row>
    <row r="11" spans="1:18" x14ac:dyDescent="0.4">
      <c r="A11" s="20" t="s">
        <v>183</v>
      </c>
      <c r="B11" s="109">
        <f>IF(B8=0,0,C11/B8)</f>
        <v>34.925000000000004</v>
      </c>
      <c r="C11" s="110">
        <v>139.70000000000002</v>
      </c>
      <c r="E11" s="27" t="s">
        <v>72</v>
      </c>
      <c r="F11" s="24" t="s">
        <v>27</v>
      </c>
      <c r="G11" s="12">
        <v>4</v>
      </c>
      <c r="H11" s="88">
        <f>IF(B$20=0,0,G11/B$20)</f>
        <v>0.15384615384615385</v>
      </c>
      <c r="I11" s="58">
        <v>5</v>
      </c>
      <c r="K11" s="74">
        <v>9</v>
      </c>
      <c r="L11" s="119">
        <v>-55.2</v>
      </c>
      <c r="M11" s="117">
        <v>1585.2928167787065</v>
      </c>
      <c r="O11" s="74" t="s">
        <v>151</v>
      </c>
      <c r="P11" s="83">
        <f>IF(Q11=0,0,R11/Q11)</f>
        <v>-7.75</v>
      </c>
      <c r="Q11" s="77">
        <v>2</v>
      </c>
      <c r="R11" s="68">
        <v>-15.5</v>
      </c>
    </row>
    <row r="12" spans="1:18" x14ac:dyDescent="0.4">
      <c r="A12" s="20" t="s">
        <v>184</v>
      </c>
      <c r="B12" s="109">
        <f>IF(B9=0,0,C12/B9)</f>
        <v>-6.8249999999999993</v>
      </c>
      <c r="C12" s="110">
        <v>-27.299999999999997</v>
      </c>
      <c r="E12" s="27" t="s">
        <v>86</v>
      </c>
      <c r="F12" s="24" t="s">
        <v>41</v>
      </c>
      <c r="G12" s="12">
        <v>3</v>
      </c>
      <c r="H12" s="88">
        <f>IF(B$20=0,0,G12/B$20)</f>
        <v>0.11538461538461539</v>
      </c>
      <c r="I12" s="58">
        <v>1</v>
      </c>
      <c r="K12" s="74">
        <v>10</v>
      </c>
      <c r="L12" s="119">
        <v>-65.900000000000006</v>
      </c>
      <c r="M12" s="117">
        <v>1583.0830598780342</v>
      </c>
      <c r="O12" s="75" t="s">
        <v>152</v>
      </c>
      <c r="P12" s="84">
        <f>IF(Q12=0,0,R12/Q12)</f>
        <v>-2.9499999999999997</v>
      </c>
      <c r="Q12" s="78">
        <v>4</v>
      </c>
      <c r="R12" s="69">
        <v>-11.799999999999999</v>
      </c>
    </row>
    <row r="13" spans="1:18" x14ac:dyDescent="0.4">
      <c r="A13" s="20" t="s">
        <v>185</v>
      </c>
      <c r="B13" s="109">
        <f>IF(B10=0,0,C13/B10)</f>
        <v>-46.6</v>
      </c>
      <c r="C13" s="110">
        <v>-233</v>
      </c>
      <c r="E13" s="27" t="s">
        <v>89</v>
      </c>
      <c r="F13" s="24" t="s">
        <v>44</v>
      </c>
      <c r="G13" s="12">
        <v>3</v>
      </c>
      <c r="H13" s="88">
        <f>IF(B$20=0,0,G13/B$20)</f>
        <v>0.11538461538461539</v>
      </c>
      <c r="I13" s="58">
        <v>2</v>
      </c>
      <c r="K13" s="74">
        <v>11</v>
      </c>
      <c r="L13" s="119">
        <v>-72.300000000000011</v>
      </c>
      <c r="M13" s="117">
        <v>1582.254561518766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-6.1666666666666652</v>
      </c>
      <c r="C14" s="126"/>
      <c r="E14" s="27" t="s">
        <v>78</v>
      </c>
      <c r="F14" s="24" t="s">
        <v>33</v>
      </c>
      <c r="G14" s="12">
        <v>2</v>
      </c>
      <c r="H14" s="88">
        <f>IF(B$20=0,0,G14/B$20)</f>
        <v>7.6923076923076927E-2</v>
      </c>
      <c r="I14" s="58">
        <v>1</v>
      </c>
      <c r="K14" s="74">
        <v>12</v>
      </c>
      <c r="L14" s="119">
        <v>-67.800000000000011</v>
      </c>
      <c r="M14" s="117">
        <v>1583.5010341496534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7.6923076923076927E-2</v>
      </c>
      <c r="E15" s="27" t="s">
        <v>73</v>
      </c>
      <c r="F15" s="24" t="s">
        <v>28</v>
      </c>
      <c r="G15" s="12">
        <v>1</v>
      </c>
      <c r="H15" s="88">
        <f>IF(B$20=0,0,G15/B$20)</f>
        <v>3.8461538461538464E-2</v>
      </c>
      <c r="I15" s="58">
        <v>1</v>
      </c>
      <c r="K15" s="74">
        <v>13</v>
      </c>
      <c r="L15" s="119">
        <v>-120.60000000000001</v>
      </c>
      <c r="M15" s="117">
        <v>1573.7060279447555</v>
      </c>
      <c r="O15" s="73" t="s">
        <v>189</v>
      </c>
      <c r="P15" s="82">
        <f>IF(Q15=0,0,R15/Q15)</f>
        <v>8.7374999999999972</v>
      </c>
      <c r="Q15" s="76">
        <v>8</v>
      </c>
      <c r="R15" s="67">
        <v>69.899999999999977</v>
      </c>
    </row>
    <row r="16" spans="1:18" x14ac:dyDescent="0.4">
      <c r="A16" s="22" t="s">
        <v>121</v>
      </c>
      <c r="B16" s="15">
        <v>38</v>
      </c>
      <c r="C16" s="10">
        <f>IF(B$3=0,0,B16/B$3)</f>
        <v>0.35849056603773582</v>
      </c>
      <c r="E16" s="27" t="s">
        <v>81</v>
      </c>
      <c r="F16" s="24" t="s">
        <v>36</v>
      </c>
      <c r="G16" s="12">
        <v>1</v>
      </c>
      <c r="H16" s="88">
        <f>IF(B$20=0,0,G16/B$20)</f>
        <v>3.8461538461538464E-2</v>
      </c>
      <c r="I16" s="58">
        <v>3</v>
      </c>
      <c r="O16" s="74" t="s">
        <v>126</v>
      </c>
      <c r="P16" s="83">
        <f>IF(Q16=0,0,R16/Q16)</f>
        <v>-19.414285714285711</v>
      </c>
      <c r="Q16" s="77">
        <v>7</v>
      </c>
      <c r="R16" s="68">
        <v>-135.89999999999998</v>
      </c>
    </row>
    <row r="17" spans="1:18" x14ac:dyDescent="0.4">
      <c r="A17" s="19" t="s">
        <v>118</v>
      </c>
      <c r="B17" s="12">
        <v>20</v>
      </c>
      <c r="C17" s="6">
        <f>IF(B$3=0,0,B17/B$3)</f>
        <v>0.18867924528301888</v>
      </c>
      <c r="E17" s="27" t="s">
        <v>83</v>
      </c>
      <c r="F17" s="24" t="s">
        <v>38</v>
      </c>
      <c r="G17" s="12">
        <v>1</v>
      </c>
      <c r="H17" s="88">
        <f>IF(B$20=0,0,G17/B$20)</f>
        <v>3.8461538461538464E-2</v>
      </c>
      <c r="I17" s="58">
        <v>3</v>
      </c>
      <c r="O17" s="74" t="s">
        <v>187</v>
      </c>
      <c r="P17" s="83">
        <f>IF(Q17=0,0,R17/Q17)</f>
        <v>-26.890909090909091</v>
      </c>
      <c r="Q17" s="77">
        <v>11</v>
      </c>
      <c r="R17" s="68">
        <v>-295.8</v>
      </c>
    </row>
    <row r="18" spans="1:18" x14ac:dyDescent="0.4">
      <c r="A18" s="18" t="s">
        <v>123</v>
      </c>
      <c r="B18" s="11">
        <f>B24</f>
        <v>19</v>
      </c>
      <c r="C18" s="5">
        <f>IF(B$16=0,0,B18/B$16)</f>
        <v>0.5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4</v>
      </c>
    </row>
    <row r="19" spans="1:18" x14ac:dyDescent="0.4">
      <c r="A19" s="18" t="s">
        <v>124</v>
      </c>
      <c r="B19" s="11">
        <f>B25</f>
        <v>3</v>
      </c>
      <c r="C19" s="5">
        <f>IF(B$17=0,0,B19/B$17)</f>
        <v>0.15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1</v>
      </c>
    </row>
    <row r="20" spans="1:18" x14ac:dyDescent="0.4">
      <c r="A20" s="18" t="s">
        <v>10</v>
      </c>
      <c r="B20" s="11">
        <f>B23+B22</f>
        <v>26</v>
      </c>
      <c r="C20" s="5">
        <f>IF(B$3=0,0,B20/B$3)</f>
        <v>0.24528301886792453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20</v>
      </c>
      <c r="C21" s="6">
        <f>IF(B$3=0,0,B21/B$3)</f>
        <v>0.18867924528301888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14</v>
      </c>
      <c r="C22" s="6">
        <f>IF(B$20=0,0,B22/B$20)</f>
        <v>0.53846153846153844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12</v>
      </c>
      <c r="C23" s="6">
        <f>IF(B$20=0,0,B23/B$20)</f>
        <v>0.46153846153846156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19</v>
      </c>
      <c r="C24" s="6">
        <f>IF(B$20=0,0,B24/B$20)</f>
        <v>0.73076923076923073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3</v>
      </c>
      <c r="C25" s="6">
        <f>IF(B$20=0,0,B25/B$20)</f>
        <v>0.11538461538461539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4</v>
      </c>
      <c r="C26" s="6">
        <f>IF(B$20=0,0,B26/B$20)</f>
        <v>0.15384615384615385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8669.2307692307695</v>
      </c>
      <c r="C27" s="8">
        <v>225400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8582.608695652174</v>
      </c>
      <c r="C28" s="96">
        <v>197400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9333.3333333333339</v>
      </c>
      <c r="C29" s="96">
        <v>28000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-8410</v>
      </c>
      <c r="C30" s="96">
        <v>-168200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156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17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59300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4</v>
      </c>
      <c r="C38" s="6">
        <f t="shared" si="2"/>
        <v>0.15384615384615385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5</v>
      </c>
      <c r="C39" s="6">
        <f t="shared" si="2"/>
        <v>0.19230769230769232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3</v>
      </c>
      <c r="C40" s="6">
        <f t="shared" si="2"/>
        <v>0.11538461538461539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8</v>
      </c>
      <c r="C41" s="6">
        <f t="shared" si="2"/>
        <v>0.30769230769230771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2</v>
      </c>
      <c r="C42" s="6">
        <f t="shared" si="2"/>
        <v>7.6923076923076927E-2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2</v>
      </c>
      <c r="C43" s="6">
        <f t="shared" si="2"/>
        <v>7.6923076923076927E-2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1</v>
      </c>
      <c r="C44" s="6">
        <f t="shared" si="2"/>
        <v>3.8461538461538464E-2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1</v>
      </c>
      <c r="C45" s="6">
        <f t="shared" si="2"/>
        <v>3.8461538461538464E-2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BB1C-9BCA-4C14-B2EE-A7A66D8C6B81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187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34</v>
      </c>
      <c r="H2" s="87">
        <f>IF(B$20=0,0,G2/B$20)</f>
        <v>0.75555555555555554</v>
      </c>
      <c r="I2" s="57">
        <v>2</v>
      </c>
      <c r="K2" s="73">
        <v>0</v>
      </c>
      <c r="L2" s="118">
        <v>0</v>
      </c>
      <c r="M2" s="116">
        <v>1463.3989422821498</v>
      </c>
      <c r="O2" s="73" t="s">
        <v>127</v>
      </c>
      <c r="P2" s="79">
        <f t="shared" ref="P2:P7" si="0">IF(Q2=0,0,R2/Q2)</f>
        <v>1526.6666666666667</v>
      </c>
      <c r="Q2" s="76">
        <v>15</v>
      </c>
      <c r="R2" s="63">
        <v>22900</v>
      </c>
    </row>
    <row r="3" spans="1:18" x14ac:dyDescent="0.4">
      <c r="A3" s="19" t="s">
        <v>8</v>
      </c>
      <c r="B3" s="135">
        <v>132</v>
      </c>
      <c r="C3" s="136"/>
      <c r="E3" s="27" t="s">
        <v>64</v>
      </c>
      <c r="F3" s="24" t="s">
        <v>20</v>
      </c>
      <c r="G3" s="12">
        <v>27</v>
      </c>
      <c r="H3" s="88">
        <f>IF(B$20=0,0,G3/B$20)</f>
        <v>0.6</v>
      </c>
      <c r="I3" s="58">
        <v>3</v>
      </c>
      <c r="K3" s="74">
        <v>1</v>
      </c>
      <c r="L3" s="119">
        <v>51.5</v>
      </c>
      <c r="M3" s="117">
        <v>1472.8885486284569</v>
      </c>
      <c r="O3" s="74" t="s">
        <v>128</v>
      </c>
      <c r="P3" s="80">
        <f t="shared" si="0"/>
        <v>-660</v>
      </c>
      <c r="Q3" s="77">
        <v>15</v>
      </c>
      <c r="R3" s="64">
        <v>-9900</v>
      </c>
    </row>
    <row r="4" spans="1:18" x14ac:dyDescent="0.4">
      <c r="A4" s="19" t="s">
        <v>6</v>
      </c>
      <c r="B4" s="137">
        <v>161.9</v>
      </c>
      <c r="C4" s="138"/>
      <c r="E4" s="27" t="s">
        <v>72</v>
      </c>
      <c r="F4" s="24" t="s">
        <v>27</v>
      </c>
      <c r="G4" s="12">
        <v>21</v>
      </c>
      <c r="H4" s="88">
        <f>IF(B$20=0,0,G4/B$20)</f>
        <v>0.46666666666666667</v>
      </c>
      <c r="I4" s="58">
        <v>1</v>
      </c>
      <c r="K4" s="74">
        <v>2</v>
      </c>
      <c r="L4" s="119">
        <v>21.3</v>
      </c>
      <c r="M4" s="117">
        <v>1467.6572173366862</v>
      </c>
      <c r="O4" s="74" t="s">
        <v>129</v>
      </c>
      <c r="P4" s="80">
        <f t="shared" si="0"/>
        <v>-273.33333333333331</v>
      </c>
      <c r="Q4" s="77">
        <v>15</v>
      </c>
      <c r="R4" s="64">
        <v>-4100</v>
      </c>
    </row>
    <row r="5" spans="1:18" x14ac:dyDescent="0.4">
      <c r="A5" s="19" t="s">
        <v>7</v>
      </c>
      <c r="B5" s="125">
        <f>IF(B$2=0,0,B$4/B$2)</f>
        <v>10.793333333333333</v>
      </c>
      <c r="C5" s="126"/>
      <c r="E5" s="27" t="s">
        <v>158</v>
      </c>
      <c r="F5" s="24" t="s">
        <v>159</v>
      </c>
      <c r="G5" s="12">
        <v>18</v>
      </c>
      <c r="H5" s="88">
        <f>IF(B$20=0,0,G5/B$20)</f>
        <v>0.4</v>
      </c>
      <c r="I5" s="58">
        <v>5</v>
      </c>
      <c r="K5" s="74">
        <v>3</v>
      </c>
      <c r="L5" s="119">
        <v>-34.299999999999997</v>
      </c>
      <c r="M5" s="117">
        <v>1458.041274032666</v>
      </c>
      <c r="O5" s="74" t="s">
        <v>130</v>
      </c>
      <c r="P5" s="80">
        <f t="shared" si="0"/>
        <v>2400</v>
      </c>
      <c r="Q5" s="77">
        <v>15</v>
      </c>
      <c r="R5" s="64">
        <v>36000</v>
      </c>
    </row>
    <row r="6" spans="1:18" x14ac:dyDescent="0.4">
      <c r="A6" s="19" t="s">
        <v>192</v>
      </c>
      <c r="B6" s="129">
        <v>1502.387739697532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0.31111111111111112</v>
      </c>
      <c r="I6" s="58">
        <v>5</v>
      </c>
      <c r="K6" s="74">
        <v>4</v>
      </c>
      <c r="L6" s="119">
        <v>-34.9</v>
      </c>
      <c r="M6" s="117">
        <v>1458.9830263884701</v>
      </c>
      <c r="O6" s="74" t="s">
        <v>131</v>
      </c>
      <c r="P6" s="80">
        <f t="shared" si="0"/>
        <v>-900</v>
      </c>
      <c r="Q6" s="77">
        <v>15</v>
      </c>
      <c r="R6" s="64">
        <v>-13500</v>
      </c>
    </row>
    <row r="7" spans="1:18" x14ac:dyDescent="0.4">
      <c r="A7" s="19" t="s">
        <v>1</v>
      </c>
      <c r="B7" s="139">
        <f>IF(B$2=0,0,(B$8*1+B$9*2+B$10*3)/B$2)</f>
        <v>1.8</v>
      </c>
      <c r="C7" s="140"/>
      <c r="E7" s="27" t="s">
        <v>65</v>
      </c>
      <c r="F7" s="24" t="s">
        <v>21</v>
      </c>
      <c r="G7" s="12">
        <v>9</v>
      </c>
      <c r="H7" s="88">
        <f>IF(B$20=0,0,G7/B$20)</f>
        <v>0.2</v>
      </c>
      <c r="I7" s="58">
        <v>1</v>
      </c>
      <c r="K7" s="74">
        <v>5</v>
      </c>
      <c r="L7" s="119">
        <v>-43.8</v>
      </c>
      <c r="M7" s="117">
        <v>1457.8371282301393</v>
      </c>
      <c r="O7" s="75" t="s">
        <v>132</v>
      </c>
      <c r="P7" s="81">
        <f t="shared" si="0"/>
        <v>2500</v>
      </c>
      <c r="Q7" s="78">
        <v>13</v>
      </c>
      <c r="R7" s="65">
        <v>32500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0.46666666666666667</v>
      </c>
      <c r="E8" s="27" t="s">
        <v>67</v>
      </c>
      <c r="F8" s="24" t="s">
        <v>23</v>
      </c>
      <c r="G8" s="12">
        <v>9</v>
      </c>
      <c r="H8" s="88">
        <f>IF(B$20=0,0,G8/B$20)</f>
        <v>0.2</v>
      </c>
      <c r="I8" s="58">
        <v>4</v>
      </c>
      <c r="K8" s="74">
        <v>6</v>
      </c>
      <c r="L8" s="119">
        <v>-42.4</v>
      </c>
      <c r="M8" s="117">
        <v>1459.1581054607584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0.26666666666666666</v>
      </c>
      <c r="E9" s="27" t="s">
        <v>69</v>
      </c>
      <c r="F9" s="24" t="s">
        <v>24</v>
      </c>
      <c r="G9" s="12">
        <v>6</v>
      </c>
      <c r="H9" s="88">
        <f>IF(B$20=0,0,G9/B$20)</f>
        <v>0.13333333333333333</v>
      </c>
      <c r="I9" s="58">
        <v>4</v>
      </c>
      <c r="K9" s="74">
        <v>7</v>
      </c>
      <c r="L9" s="119">
        <v>-8.7999999999999972</v>
      </c>
      <c r="M9" s="117">
        <v>1465.6731568279938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4</v>
      </c>
      <c r="C10" s="7">
        <f t="shared" si="1"/>
        <v>0.26666666666666666</v>
      </c>
      <c r="E10" s="27" t="s">
        <v>71</v>
      </c>
      <c r="F10" s="24" t="s">
        <v>26</v>
      </c>
      <c r="G10" s="12">
        <v>5</v>
      </c>
      <c r="H10" s="88">
        <f>IF(B$20=0,0,G10/B$20)</f>
        <v>0.1111111111111111</v>
      </c>
      <c r="I10" s="58">
        <v>2</v>
      </c>
      <c r="K10" s="74">
        <v>8</v>
      </c>
      <c r="L10" s="119">
        <v>-0.99999999999999734</v>
      </c>
      <c r="M10" s="117">
        <v>1467.979117887026</v>
      </c>
      <c r="O10" s="73" t="s">
        <v>150</v>
      </c>
      <c r="P10" s="82">
        <f>IF(Q10=0,0,R10/Q10)</f>
        <v>-30.2</v>
      </c>
      <c r="Q10" s="76">
        <v>1</v>
      </c>
      <c r="R10" s="67">
        <v>-30.2</v>
      </c>
    </row>
    <row r="11" spans="1:18" x14ac:dyDescent="0.4">
      <c r="A11" s="20" t="s">
        <v>183</v>
      </c>
      <c r="B11" s="109">
        <f>IF(B8=0,0,C11/B8)</f>
        <v>48.485714285714288</v>
      </c>
      <c r="C11" s="110">
        <v>339.40000000000003</v>
      </c>
      <c r="E11" s="27" t="s">
        <v>89</v>
      </c>
      <c r="F11" s="24" t="s">
        <v>44</v>
      </c>
      <c r="G11" s="12">
        <v>5</v>
      </c>
      <c r="H11" s="88">
        <f>IF(B$20=0,0,G11/B$20)</f>
        <v>0.1111111111111111</v>
      </c>
      <c r="I11" s="58">
        <v>3</v>
      </c>
      <c r="K11" s="74">
        <v>9</v>
      </c>
      <c r="L11" s="119">
        <v>60.4</v>
      </c>
      <c r="M11" s="117">
        <v>1480.0212431797038</v>
      </c>
      <c r="O11" s="74" t="s">
        <v>151</v>
      </c>
      <c r="P11" s="83">
        <f>IF(Q11=0,0,R11/Q11)</f>
        <v>6.6749999999999989</v>
      </c>
      <c r="Q11" s="77">
        <v>8</v>
      </c>
      <c r="R11" s="68">
        <v>53.399999999999991</v>
      </c>
    </row>
    <row r="12" spans="1:18" x14ac:dyDescent="0.4">
      <c r="A12" s="20" t="s">
        <v>184</v>
      </c>
      <c r="B12" s="109">
        <f>IF(B9=0,0,C12/B9)</f>
        <v>-7.4999999999999956E-2</v>
      </c>
      <c r="C12" s="110">
        <v>-0.29999999999999982</v>
      </c>
      <c r="E12" s="27" t="s">
        <v>70</v>
      </c>
      <c r="F12" s="24" t="s">
        <v>25</v>
      </c>
      <c r="G12" s="12">
        <v>4</v>
      </c>
      <c r="H12" s="88">
        <f>IF(B$20=0,0,G12/B$20)</f>
        <v>8.8888888888888892E-2</v>
      </c>
      <c r="I12" s="58">
        <v>4</v>
      </c>
      <c r="K12" s="74">
        <v>10</v>
      </c>
      <c r="L12" s="119">
        <v>14.399999999999999</v>
      </c>
      <c r="M12" s="117">
        <v>1472.5751157206255</v>
      </c>
      <c r="O12" s="75" t="s">
        <v>152</v>
      </c>
      <c r="P12" s="84">
        <f>IF(Q12=0,0,R12/Q12)</f>
        <v>23.116666666666664</v>
      </c>
      <c r="Q12" s="78">
        <v>6</v>
      </c>
      <c r="R12" s="69">
        <v>138.69999999999999</v>
      </c>
    </row>
    <row r="13" spans="1:18" x14ac:dyDescent="0.4">
      <c r="A13" s="20" t="s">
        <v>185</v>
      </c>
      <c r="B13" s="109">
        <f>IF(B10=0,0,C13/B10)</f>
        <v>-44.300000000000004</v>
      </c>
      <c r="C13" s="110">
        <v>-177.20000000000002</v>
      </c>
      <c r="E13" s="27" t="s">
        <v>83</v>
      </c>
      <c r="F13" s="24" t="s">
        <v>38</v>
      </c>
      <c r="G13" s="12">
        <v>3</v>
      </c>
      <c r="H13" s="88">
        <f>IF(B$20=0,0,G13/B$20)</f>
        <v>6.6666666666666666E-2</v>
      </c>
      <c r="I13" s="58">
        <v>1</v>
      </c>
      <c r="K13" s="74">
        <v>11</v>
      </c>
      <c r="L13" s="119">
        <v>45.7</v>
      </c>
      <c r="M13" s="117">
        <v>1479.1776650263018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1.3702380952380935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4.4444444444444446E-2</v>
      </c>
      <c r="I14" s="58">
        <v>1</v>
      </c>
      <c r="K14" s="74">
        <v>12</v>
      </c>
      <c r="L14" s="119">
        <v>115.3</v>
      </c>
      <c r="M14" s="117">
        <v>1492.058599036144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6.6666666666666666E-2</v>
      </c>
      <c r="E15" s="27" t="s">
        <v>86</v>
      </c>
      <c r="F15" s="24" t="s">
        <v>41</v>
      </c>
      <c r="G15" s="12">
        <v>2</v>
      </c>
      <c r="H15" s="88">
        <f>IF(B$20=0,0,G15/B$20)</f>
        <v>4.4444444444444446E-2</v>
      </c>
      <c r="I15" s="58">
        <v>4</v>
      </c>
      <c r="K15" s="74">
        <v>13</v>
      </c>
      <c r="L15" s="119">
        <v>69.900000000000006</v>
      </c>
      <c r="M15" s="117">
        <v>1484.7562474419271</v>
      </c>
      <c r="O15" s="73" t="s">
        <v>162</v>
      </c>
      <c r="P15" s="82">
        <f>IF(Q15=0,0,R15/Q15)</f>
        <v>26.890909090909087</v>
      </c>
      <c r="Q15" s="76">
        <v>11</v>
      </c>
      <c r="R15" s="67">
        <v>295.79999999999995</v>
      </c>
    </row>
    <row r="16" spans="1:18" x14ac:dyDescent="0.4">
      <c r="A16" s="22" t="s">
        <v>121</v>
      </c>
      <c r="B16" s="15">
        <v>36</v>
      </c>
      <c r="C16" s="10">
        <f>IF(B$3=0,0,B16/B$3)</f>
        <v>0.27272727272727271</v>
      </c>
      <c r="E16" s="27" t="s">
        <v>73</v>
      </c>
      <c r="F16" s="24" t="s">
        <v>28</v>
      </c>
      <c r="G16" s="12">
        <v>1</v>
      </c>
      <c r="H16" s="88">
        <f>IF(B$20=0,0,G16/B$20)</f>
        <v>2.2222222222222223E-2</v>
      </c>
      <c r="I16" s="58">
        <v>2</v>
      </c>
      <c r="K16" s="74">
        <v>14</v>
      </c>
      <c r="L16" s="119">
        <v>114.80000000000001</v>
      </c>
      <c r="M16" s="117">
        <v>1493.6617099572757</v>
      </c>
      <c r="O16" s="74" t="s">
        <v>189</v>
      </c>
      <c r="P16" s="83">
        <f>IF(Q16=0,0,R16/Q16)</f>
        <v>14.15</v>
      </c>
      <c r="Q16" s="77">
        <v>10</v>
      </c>
      <c r="R16" s="68">
        <v>141.5</v>
      </c>
    </row>
    <row r="17" spans="1:18" x14ac:dyDescent="0.4">
      <c r="A17" s="19" t="s">
        <v>118</v>
      </c>
      <c r="B17" s="12">
        <v>31</v>
      </c>
      <c r="C17" s="6">
        <f>IF(B$3=0,0,B17/B$3)</f>
        <v>0.23484848484848486</v>
      </c>
      <c r="E17" s="27" t="s">
        <v>74</v>
      </c>
      <c r="F17" s="24" t="s">
        <v>29</v>
      </c>
      <c r="G17" s="12">
        <v>1</v>
      </c>
      <c r="H17" s="88">
        <f>IF(B$20=0,0,G17/B$20)</f>
        <v>2.2222222222222223E-2</v>
      </c>
      <c r="I17" s="58">
        <v>2</v>
      </c>
      <c r="K17" s="74">
        <v>15</v>
      </c>
      <c r="L17" s="119">
        <v>161.9</v>
      </c>
      <c r="M17" s="117">
        <v>1502.387739697532</v>
      </c>
      <c r="O17" s="74" t="s">
        <v>126</v>
      </c>
      <c r="P17" s="83">
        <f>IF(Q17=0,0,R17/Q17)</f>
        <v>5.3777777777777782</v>
      </c>
      <c r="Q17" s="77">
        <v>9</v>
      </c>
      <c r="R17" s="68">
        <v>48.400000000000006</v>
      </c>
    </row>
    <row r="18" spans="1:18" x14ac:dyDescent="0.4">
      <c r="A18" s="18" t="s">
        <v>123</v>
      </c>
      <c r="B18" s="11">
        <f>B24</f>
        <v>26</v>
      </c>
      <c r="C18" s="5">
        <f>IF(B$16=0,0,B18/B$16)</f>
        <v>0.72222222222222221</v>
      </c>
      <c r="E18" s="27" t="s">
        <v>78</v>
      </c>
      <c r="F18" s="24" t="s">
        <v>33</v>
      </c>
      <c r="G18" s="12">
        <v>1</v>
      </c>
      <c r="H18" s="88">
        <f>IF(B$20=0,0,G18/B$20)</f>
        <v>2.2222222222222223E-2</v>
      </c>
      <c r="I18" s="58">
        <v>4</v>
      </c>
    </row>
    <row r="19" spans="1:18" x14ac:dyDescent="0.4">
      <c r="A19" s="18" t="s">
        <v>124</v>
      </c>
      <c r="B19" s="11">
        <f>B25</f>
        <v>10</v>
      </c>
      <c r="C19" s="5">
        <f>IF(B$17=0,0,B19/B$17)</f>
        <v>0.32258064516129031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1</v>
      </c>
    </row>
    <row r="20" spans="1:18" x14ac:dyDescent="0.4">
      <c r="A20" s="18" t="s">
        <v>10</v>
      </c>
      <c r="B20" s="11">
        <f>B23+B22</f>
        <v>45</v>
      </c>
      <c r="C20" s="5">
        <f>IF(B$3=0,0,B20/B$3)</f>
        <v>0.34090909090909088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19</v>
      </c>
      <c r="C21" s="6">
        <f>IF(B$3=0,0,B21/B$3)</f>
        <v>0.14393939393939395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22</v>
      </c>
      <c r="C22" s="6">
        <f>IF(B$20=0,0,B22/B$20)</f>
        <v>0.48888888888888887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23</v>
      </c>
      <c r="C23" s="6">
        <f>IF(B$20=0,0,B23/B$20)</f>
        <v>0.51111111111111107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26</v>
      </c>
      <c r="C24" s="6">
        <f>IF(B$20=0,0,B24/B$20)</f>
        <v>0.57777777777777772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10</v>
      </c>
      <c r="C25" s="6">
        <f>IF(B$20=0,0,B25/B$20)</f>
        <v>0.22222222222222221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9</v>
      </c>
      <c r="C26" s="6">
        <f>IF(B$20=0,0,B26/B$20)</f>
        <v>0.2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7735.5555555555557</v>
      </c>
      <c r="C27" s="8">
        <v>348100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8117.1428571428569</v>
      </c>
      <c r="C28" s="96">
        <v>284100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6400</v>
      </c>
      <c r="C29" s="96">
        <v>64000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-7010.5263157894733</v>
      </c>
      <c r="C30" s="96">
        <v>-133200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156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15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84600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5</v>
      </c>
      <c r="C37" s="98">
        <f t="shared" ref="C37:C49" si="2">IF(B$20=0,0,B37/B$20)</f>
        <v>0.1111111111111111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8</v>
      </c>
      <c r="C38" s="6">
        <f t="shared" si="2"/>
        <v>0.17777777777777778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7</v>
      </c>
      <c r="C39" s="6">
        <f t="shared" si="2"/>
        <v>0.15555555555555556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12</v>
      </c>
      <c r="C40" s="6">
        <f t="shared" si="2"/>
        <v>0.26666666666666666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3</v>
      </c>
      <c r="C41" s="6">
        <f t="shared" si="2"/>
        <v>6.6666666666666666E-2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4</v>
      </c>
      <c r="C42" s="6">
        <f t="shared" si="2"/>
        <v>8.8888888888888892E-2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6</v>
      </c>
      <c r="C44" s="6">
        <f t="shared" si="2"/>
        <v>0.13333333333333333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9362D-3C1A-430F-A13F-0CAE05F86107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12</v>
      </c>
      <c r="C2" s="134"/>
      <c r="E2" s="26" t="s">
        <v>66</v>
      </c>
      <c r="F2" s="23" t="s">
        <v>22</v>
      </c>
      <c r="G2" s="11">
        <v>25</v>
      </c>
      <c r="H2" s="87">
        <f>IF(B$20=0,0,G2/B$20)</f>
        <v>0.83333333333333337</v>
      </c>
      <c r="I2" s="57">
        <v>1</v>
      </c>
      <c r="K2" s="73">
        <v>0</v>
      </c>
      <c r="L2" s="118">
        <v>0</v>
      </c>
      <c r="M2" s="116">
        <v>1546.9221135131666</v>
      </c>
      <c r="O2" s="73" t="s">
        <v>127</v>
      </c>
      <c r="P2" s="79">
        <f t="shared" ref="P2:P7" si="0">IF(Q2=0,0,R2/Q2)</f>
        <v>-2300</v>
      </c>
      <c r="Q2" s="76">
        <v>12</v>
      </c>
      <c r="R2" s="63">
        <v>-27600</v>
      </c>
    </row>
    <row r="3" spans="1:18" x14ac:dyDescent="0.4">
      <c r="A3" s="19" t="s">
        <v>8</v>
      </c>
      <c r="B3" s="135">
        <v>99</v>
      </c>
      <c r="C3" s="136"/>
      <c r="E3" s="27" t="s">
        <v>64</v>
      </c>
      <c r="F3" s="24" t="s">
        <v>20</v>
      </c>
      <c r="G3" s="12">
        <v>15</v>
      </c>
      <c r="H3" s="88">
        <f>IF(B$20=0,0,G3/B$20)</f>
        <v>0.5</v>
      </c>
      <c r="I3" s="58">
        <v>5</v>
      </c>
      <c r="K3" s="74">
        <v>1</v>
      </c>
      <c r="L3" s="119">
        <v>6.5</v>
      </c>
      <c r="M3" s="117">
        <v>1547.8105808320875</v>
      </c>
      <c r="O3" s="74" t="s">
        <v>128</v>
      </c>
      <c r="P3" s="80">
        <f t="shared" si="0"/>
        <v>1775</v>
      </c>
      <c r="Q3" s="77">
        <v>12</v>
      </c>
      <c r="R3" s="64">
        <v>21300</v>
      </c>
    </row>
    <row r="4" spans="1:18" x14ac:dyDescent="0.4">
      <c r="A4" s="19" t="s">
        <v>6</v>
      </c>
      <c r="B4" s="137">
        <v>-122.3</v>
      </c>
      <c r="C4" s="138"/>
      <c r="E4" s="27" t="s">
        <v>158</v>
      </c>
      <c r="F4" s="24" t="s">
        <v>159</v>
      </c>
      <c r="G4" s="12">
        <v>14</v>
      </c>
      <c r="H4" s="88">
        <f>IF(B$20=0,0,G4/B$20)</f>
        <v>0.46666666666666667</v>
      </c>
      <c r="I4" s="58">
        <v>2</v>
      </c>
      <c r="K4" s="74">
        <v>2</v>
      </c>
      <c r="L4" s="119">
        <v>5.9</v>
      </c>
      <c r="M4" s="117">
        <v>1547.457717347095</v>
      </c>
      <c r="O4" s="74" t="s">
        <v>129</v>
      </c>
      <c r="P4" s="80">
        <f t="shared" si="0"/>
        <v>650</v>
      </c>
      <c r="Q4" s="77">
        <v>12</v>
      </c>
      <c r="R4" s="64">
        <v>7800</v>
      </c>
    </row>
    <row r="5" spans="1:18" x14ac:dyDescent="0.4">
      <c r="A5" s="19" t="s">
        <v>7</v>
      </c>
      <c r="B5" s="125">
        <f>IF(B$2=0,0,B$4/B$2)</f>
        <v>-10.191666666666666</v>
      </c>
      <c r="C5" s="126"/>
      <c r="E5" s="27" t="s">
        <v>68</v>
      </c>
      <c r="F5" s="24" t="s">
        <v>12</v>
      </c>
      <c r="G5" s="12">
        <v>12</v>
      </c>
      <c r="H5" s="88">
        <f>IF(B$20=0,0,G5/B$20)</f>
        <v>0.4</v>
      </c>
      <c r="I5" s="58">
        <v>2</v>
      </c>
      <c r="K5" s="74">
        <v>3</v>
      </c>
      <c r="L5" s="119">
        <v>17.200000000000003</v>
      </c>
      <c r="M5" s="117">
        <v>1549.4049710430124</v>
      </c>
      <c r="O5" s="74" t="s">
        <v>130</v>
      </c>
      <c r="P5" s="80">
        <f t="shared" si="0"/>
        <v>-2000</v>
      </c>
      <c r="Q5" s="77">
        <v>11</v>
      </c>
      <c r="R5" s="64">
        <v>-22000</v>
      </c>
    </row>
    <row r="6" spans="1:18" x14ac:dyDescent="0.4">
      <c r="A6" s="19" t="s">
        <v>192</v>
      </c>
      <c r="B6" s="129">
        <v>1526.8228152157571</v>
      </c>
      <c r="C6" s="130"/>
      <c r="E6" s="27" t="s">
        <v>72</v>
      </c>
      <c r="F6" s="24" t="s">
        <v>27</v>
      </c>
      <c r="G6" s="12">
        <v>9</v>
      </c>
      <c r="H6" s="88">
        <f>IF(B$20=0,0,G6/B$20)</f>
        <v>0.3</v>
      </c>
      <c r="I6" s="58">
        <v>4</v>
      </c>
      <c r="K6" s="74">
        <v>4</v>
      </c>
      <c r="L6" s="119">
        <v>-16.399999999999999</v>
      </c>
      <c r="M6" s="117">
        <v>1543.2705412167543</v>
      </c>
      <c r="O6" s="74" t="s">
        <v>131</v>
      </c>
      <c r="P6" s="80">
        <f t="shared" si="0"/>
        <v>-136.36363636363637</v>
      </c>
      <c r="Q6" s="77">
        <v>11</v>
      </c>
      <c r="R6" s="64">
        <v>-1500</v>
      </c>
    </row>
    <row r="7" spans="1:18" x14ac:dyDescent="0.4">
      <c r="A7" s="19" t="s">
        <v>1</v>
      </c>
      <c r="B7" s="139">
        <f>IF(B$2=0,0,(B$8*1+B$9*2+B$10*3)/B$2)</f>
        <v>2.25</v>
      </c>
      <c r="C7" s="140"/>
      <c r="E7" s="27" t="s">
        <v>65</v>
      </c>
      <c r="F7" s="24" t="s">
        <v>21</v>
      </c>
      <c r="G7" s="12">
        <v>3</v>
      </c>
      <c r="H7" s="88">
        <f>IF(B$20=0,0,G7/B$20)</f>
        <v>0.1</v>
      </c>
      <c r="I7" s="58">
        <v>4</v>
      </c>
      <c r="K7" s="74">
        <v>5</v>
      </c>
      <c r="L7" s="119">
        <v>-8.7999999999999989</v>
      </c>
      <c r="M7" s="117">
        <v>1544.6009179694538</v>
      </c>
      <c r="O7" s="75" t="s">
        <v>132</v>
      </c>
      <c r="P7" s="81">
        <f t="shared" si="0"/>
        <v>-3088.8888888888887</v>
      </c>
      <c r="Q7" s="78">
        <v>9</v>
      </c>
      <c r="R7" s="65">
        <v>-27800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0.16666666666666666</v>
      </c>
      <c r="E8" s="27" t="s">
        <v>67</v>
      </c>
      <c r="F8" s="24" t="s">
        <v>23</v>
      </c>
      <c r="G8" s="12">
        <v>3</v>
      </c>
      <c r="H8" s="88">
        <f>IF(B$20=0,0,G8/B$20)</f>
        <v>0.1</v>
      </c>
      <c r="I8" s="58">
        <v>5</v>
      </c>
      <c r="K8" s="74">
        <v>6</v>
      </c>
      <c r="L8" s="119">
        <v>22.1</v>
      </c>
      <c r="M8" s="117">
        <v>1550.591312461637</v>
      </c>
      <c r="O8" s="107"/>
      <c r="P8" s="85"/>
      <c r="Q8" s="108"/>
      <c r="R8" s="70"/>
    </row>
    <row r="9" spans="1:18" x14ac:dyDescent="0.4">
      <c r="A9" s="19" t="s">
        <v>3</v>
      </c>
      <c r="B9" s="12">
        <v>5</v>
      </c>
      <c r="C9" s="6">
        <f t="shared" si="1"/>
        <v>0.41666666666666669</v>
      </c>
      <c r="E9" s="27" t="s">
        <v>69</v>
      </c>
      <c r="F9" s="24" t="s">
        <v>24</v>
      </c>
      <c r="G9" s="12">
        <v>3</v>
      </c>
      <c r="H9" s="88">
        <f>IF(B$20=0,0,G9/B$20)</f>
        <v>0.1</v>
      </c>
      <c r="I9" s="58">
        <v>5</v>
      </c>
      <c r="K9" s="74">
        <v>7</v>
      </c>
      <c r="L9" s="119">
        <v>68.900000000000006</v>
      </c>
      <c r="M9" s="117">
        <v>1559.4257645868672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6.6666666666666666E-2</v>
      </c>
      <c r="I10" s="58">
        <v>5</v>
      </c>
      <c r="K10" s="74">
        <v>8</v>
      </c>
      <c r="L10" s="119">
        <v>11.300000000000004</v>
      </c>
      <c r="M10" s="117">
        <v>1549.655209999346</v>
      </c>
      <c r="O10" s="73" t="s">
        <v>150</v>
      </c>
      <c r="P10" s="82">
        <f>IF(Q10=0,0,R10/Q10)</f>
        <v>-19.7</v>
      </c>
      <c r="Q10" s="76">
        <v>5</v>
      </c>
      <c r="R10" s="67">
        <v>-98.5</v>
      </c>
    </row>
    <row r="11" spans="1:18" x14ac:dyDescent="0.4">
      <c r="A11" s="20" t="s">
        <v>183</v>
      </c>
      <c r="B11" s="109">
        <f>IF(B8=0,0,C11/B8)</f>
        <v>38.849999999999994</v>
      </c>
      <c r="C11" s="110">
        <v>77.699999999999989</v>
      </c>
      <c r="E11" s="27" t="s">
        <v>71</v>
      </c>
      <c r="F11" s="24" t="s">
        <v>26</v>
      </c>
      <c r="G11" s="12">
        <v>2</v>
      </c>
      <c r="H11" s="88">
        <f>IF(B$20=0,0,G11/B$20)</f>
        <v>6.6666666666666666E-2</v>
      </c>
      <c r="I11" s="58">
        <v>4</v>
      </c>
      <c r="K11" s="74">
        <v>9</v>
      </c>
      <c r="L11" s="119">
        <v>-47.599999999999994</v>
      </c>
      <c r="M11" s="117">
        <v>1538.98327873935</v>
      </c>
      <c r="O11" s="74" t="s">
        <v>151</v>
      </c>
      <c r="P11" s="83">
        <f>IF(Q11=0,0,R11/Q11)</f>
        <v>14.875</v>
      </c>
      <c r="Q11" s="77">
        <v>4</v>
      </c>
      <c r="R11" s="68">
        <v>59.5</v>
      </c>
    </row>
    <row r="12" spans="1:18" x14ac:dyDescent="0.4">
      <c r="A12" s="20" t="s">
        <v>184</v>
      </c>
      <c r="B12" s="109">
        <f>IF(B9=0,0,C12/B9)</f>
        <v>6.1000000000000005</v>
      </c>
      <c r="C12" s="110">
        <v>30.500000000000004</v>
      </c>
      <c r="E12" s="27" t="s">
        <v>78</v>
      </c>
      <c r="F12" s="24" t="s">
        <v>33</v>
      </c>
      <c r="G12" s="12">
        <v>2</v>
      </c>
      <c r="H12" s="88">
        <f>IF(B$20=0,0,G12/B$20)</f>
        <v>6.6666666666666666E-2</v>
      </c>
      <c r="I12" s="58">
        <v>2</v>
      </c>
      <c r="K12" s="74">
        <v>10</v>
      </c>
      <c r="L12" s="119">
        <v>-84.6</v>
      </c>
      <c r="M12" s="117">
        <v>1533.0193790669139</v>
      </c>
      <c r="O12" s="75" t="s">
        <v>152</v>
      </c>
      <c r="P12" s="84">
        <f>IF(Q12=0,0,R12/Q12)</f>
        <v>-27.766666666666666</v>
      </c>
      <c r="Q12" s="78">
        <v>3</v>
      </c>
      <c r="R12" s="69">
        <v>-83.3</v>
      </c>
    </row>
    <row r="13" spans="1:18" x14ac:dyDescent="0.4">
      <c r="A13" s="20" t="s">
        <v>185</v>
      </c>
      <c r="B13" s="109">
        <f>IF(B10=0,0,C13/B10)</f>
        <v>-46.1</v>
      </c>
      <c r="C13" s="110">
        <v>-230.5</v>
      </c>
      <c r="E13" s="27" t="s">
        <v>74</v>
      </c>
      <c r="F13" s="24" t="s">
        <v>29</v>
      </c>
      <c r="G13" s="12">
        <v>1</v>
      </c>
      <c r="H13" s="88">
        <f>IF(B$20=0,0,G13/B$20)</f>
        <v>3.3333333333333333E-2</v>
      </c>
      <c r="I13" s="58">
        <v>1</v>
      </c>
      <c r="K13" s="74">
        <v>11</v>
      </c>
      <c r="L13" s="119">
        <v>-128</v>
      </c>
      <c r="M13" s="117">
        <v>1525.7412627925123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-0.38333333333333525</v>
      </c>
      <c r="C14" s="126"/>
      <c r="E14" s="27" t="s">
        <v>81</v>
      </c>
      <c r="F14" s="24" t="s">
        <v>36</v>
      </c>
      <c r="G14" s="12">
        <v>1</v>
      </c>
      <c r="H14" s="88">
        <f>IF(B$20=0,0,G14/B$20)</f>
        <v>3.3333333333333333E-2</v>
      </c>
      <c r="I14" s="58">
        <v>5</v>
      </c>
      <c r="K14" s="74">
        <v>12</v>
      </c>
      <c r="L14" s="119">
        <v>-122.3</v>
      </c>
      <c r="M14" s="117">
        <v>1526.8228152157571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86</v>
      </c>
      <c r="F15" s="24" t="s">
        <v>41</v>
      </c>
      <c r="G15" s="12">
        <v>1</v>
      </c>
      <c r="H15" s="88">
        <f>IF(B$20=0,0,G15/B$20)</f>
        <v>3.3333333333333333E-2</v>
      </c>
      <c r="I15" s="58">
        <v>5</v>
      </c>
      <c r="O15" s="73" t="s">
        <v>162</v>
      </c>
      <c r="P15" s="82">
        <f>IF(Q15=0,0,R15/Q15)</f>
        <v>-8.7374999999999972</v>
      </c>
      <c r="Q15" s="76">
        <v>8</v>
      </c>
      <c r="R15" s="67">
        <v>-69.899999999999977</v>
      </c>
    </row>
    <row r="16" spans="1:18" x14ac:dyDescent="0.4">
      <c r="A16" s="22" t="s">
        <v>121</v>
      </c>
      <c r="B16" s="15">
        <v>21</v>
      </c>
      <c r="C16" s="10">
        <f>IF(B$3=0,0,B16/B$3)</f>
        <v>0.21212121212121213</v>
      </c>
      <c r="E16" s="27" t="s">
        <v>94</v>
      </c>
      <c r="F16" s="24" t="s">
        <v>49</v>
      </c>
      <c r="G16" s="12">
        <v>1</v>
      </c>
      <c r="H16" s="88">
        <f>IF(B$20=0,0,G16/B$20)</f>
        <v>3.3333333333333333E-2</v>
      </c>
      <c r="I16" s="58">
        <v>1</v>
      </c>
      <c r="O16" s="74" t="s">
        <v>187</v>
      </c>
      <c r="P16" s="83">
        <f>IF(Q16=0,0,R16/Q16)</f>
        <v>-14.15</v>
      </c>
      <c r="Q16" s="77">
        <v>10</v>
      </c>
      <c r="R16" s="68">
        <v>-141.5</v>
      </c>
    </row>
    <row r="17" spans="1:18" x14ac:dyDescent="0.4">
      <c r="A17" s="19" t="s">
        <v>118</v>
      </c>
      <c r="B17" s="12">
        <v>16</v>
      </c>
      <c r="C17" s="6">
        <f>IF(B$3=0,0,B17/B$3)</f>
        <v>0.16161616161616163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4</v>
      </c>
      <c r="O17" s="74" t="s">
        <v>126</v>
      </c>
      <c r="P17" s="83">
        <f>IF(Q17=0,0,R17/Q17)</f>
        <v>-25.916666666666668</v>
      </c>
      <c r="Q17" s="77">
        <v>6</v>
      </c>
      <c r="R17" s="68">
        <v>-155.5</v>
      </c>
    </row>
    <row r="18" spans="1:18" x14ac:dyDescent="0.4">
      <c r="A18" s="18" t="s">
        <v>123</v>
      </c>
      <c r="B18" s="11">
        <f>B24</f>
        <v>15</v>
      </c>
      <c r="C18" s="5">
        <f>IF(B$16=0,0,B18/B$16)</f>
        <v>0.7142857142857143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3</v>
      </c>
      <c r="C19" s="5">
        <f>IF(B$17=0,0,B19/B$17)</f>
        <v>0.1875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3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0.30303030303030304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1</v>
      </c>
    </row>
    <row r="21" spans="1:18" x14ac:dyDescent="0.4">
      <c r="A21" s="19" t="s">
        <v>13</v>
      </c>
      <c r="B21" s="12">
        <v>15</v>
      </c>
      <c r="C21" s="6">
        <f>IF(B$3=0,0,B21/B$3)</f>
        <v>0.15151515151515152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12</v>
      </c>
      <c r="C22" s="6">
        <f>IF(B$20=0,0,B22/B$20)</f>
        <v>0.4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18</v>
      </c>
      <c r="C23" s="6">
        <f>IF(B$20=0,0,B23/B$20)</f>
        <v>0.6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15</v>
      </c>
      <c r="C24" s="6">
        <f>IF(B$20=0,0,B24/B$20)</f>
        <v>0.5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180</v>
      </c>
      <c r="B25" s="12">
        <v>3</v>
      </c>
      <c r="C25" s="6">
        <f>IF(B$20=0,0,B25/B$20)</f>
        <v>0.1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12</v>
      </c>
      <c r="C26" s="6">
        <f>IF(B$20=0,0,B26/B$20)</f>
        <v>0.4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7470</v>
      </c>
      <c r="C27" s="8">
        <v>224100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6637.0370370370374</v>
      </c>
      <c r="C28" s="96">
        <v>179200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14966.666666666666</v>
      </c>
      <c r="C29" s="96">
        <v>44900</v>
      </c>
      <c r="E29" s="27" t="s">
        <v>89</v>
      </c>
      <c r="F29" s="24" t="s">
        <v>44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163</v>
      </c>
      <c r="B30" s="95">
        <f>IF(B$21=0,0,C30/B$21)</f>
        <v>-10940</v>
      </c>
      <c r="C30" s="96">
        <v>-164100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156</v>
      </c>
      <c r="B31" s="12">
        <v>4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13</v>
      </c>
      <c r="C32" s="90">
        <v>6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61800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3</v>
      </c>
      <c r="C37" s="98">
        <f t="shared" ref="C37:C49" si="2">IF(B$20=0,0,B37/B$20)</f>
        <v>0.1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8</v>
      </c>
      <c r="C38" s="6">
        <f t="shared" si="2"/>
        <v>0.26666666666666666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5</v>
      </c>
      <c r="C39" s="6">
        <f t="shared" si="2"/>
        <v>0.16666666666666666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6</v>
      </c>
      <c r="C40" s="6">
        <f t="shared" si="2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4</v>
      </c>
      <c r="C41" s="6">
        <f t="shared" si="2"/>
        <v>0.13333333333333333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2</v>
      </c>
      <c r="C42" s="6">
        <f t="shared" si="2"/>
        <v>6.6666666666666666E-2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1</v>
      </c>
      <c r="C43" s="6">
        <f t="shared" si="2"/>
        <v>3.3333333333333333E-2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3.3333333333333333E-2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8B126-9FEB-4D13-BAEC-A24C378B86D3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11</v>
      </c>
      <c r="C2" s="134"/>
      <c r="E2" s="26" t="s">
        <v>64</v>
      </c>
      <c r="F2" s="23" t="s">
        <v>20</v>
      </c>
      <c r="G2" s="11">
        <v>16</v>
      </c>
      <c r="H2" s="87">
        <f>IF(B$20=0,0,G2/B$20)</f>
        <v>0.59259259259259256</v>
      </c>
      <c r="I2" s="57">
        <v>4</v>
      </c>
      <c r="K2" s="73">
        <v>0</v>
      </c>
      <c r="L2" s="118">
        <v>0</v>
      </c>
      <c r="M2" s="116">
        <v>1846.5755924228188</v>
      </c>
      <c r="O2" s="73" t="s">
        <v>127</v>
      </c>
      <c r="P2" s="79">
        <f t="shared" ref="P2:P7" si="0">IF(Q2=0,0,R2/Q2)</f>
        <v>1618.1818181818182</v>
      </c>
      <c r="Q2" s="76">
        <v>11</v>
      </c>
      <c r="R2" s="63">
        <v>17800</v>
      </c>
    </row>
    <row r="3" spans="1:18" x14ac:dyDescent="0.4">
      <c r="A3" s="19" t="s">
        <v>8</v>
      </c>
      <c r="B3" s="135">
        <v>95</v>
      </c>
      <c r="C3" s="136"/>
      <c r="E3" s="27" t="s">
        <v>67</v>
      </c>
      <c r="F3" s="24" t="s">
        <v>23</v>
      </c>
      <c r="G3" s="12">
        <v>16</v>
      </c>
      <c r="H3" s="88">
        <f>IF(B$20=0,0,G3/B$20)</f>
        <v>0.59259259259259256</v>
      </c>
      <c r="I3" s="58">
        <v>1</v>
      </c>
      <c r="K3" s="74">
        <v>1</v>
      </c>
      <c r="L3" s="119">
        <v>30.8</v>
      </c>
      <c r="M3" s="117">
        <v>1850.0821388682818</v>
      </c>
      <c r="O3" s="74" t="s">
        <v>128</v>
      </c>
      <c r="P3" s="80">
        <f t="shared" si="0"/>
        <v>3727.2727272727275</v>
      </c>
      <c r="Q3" s="77">
        <v>11</v>
      </c>
      <c r="R3" s="64">
        <v>41000</v>
      </c>
    </row>
    <row r="4" spans="1:18" x14ac:dyDescent="0.4">
      <c r="A4" s="19" t="s">
        <v>6</v>
      </c>
      <c r="B4" s="137">
        <v>80.999999999999986</v>
      </c>
      <c r="C4" s="138"/>
      <c r="E4" s="27" t="s">
        <v>66</v>
      </c>
      <c r="F4" s="24" t="s">
        <v>22</v>
      </c>
      <c r="G4" s="12">
        <v>13</v>
      </c>
      <c r="H4" s="88">
        <f>IF(B$20=0,0,G4/B$20)</f>
        <v>0.48148148148148145</v>
      </c>
      <c r="I4" s="58">
        <v>5</v>
      </c>
      <c r="K4" s="74">
        <v>2</v>
      </c>
      <c r="L4" s="119">
        <v>9.8000000000000007</v>
      </c>
      <c r="M4" s="117">
        <v>1844.9996460350721</v>
      </c>
      <c r="O4" s="74" t="s">
        <v>129</v>
      </c>
      <c r="P4" s="80">
        <f t="shared" si="0"/>
        <v>645.4545454545455</v>
      </c>
      <c r="Q4" s="77">
        <v>11</v>
      </c>
      <c r="R4" s="64">
        <v>7100</v>
      </c>
    </row>
    <row r="5" spans="1:18" x14ac:dyDescent="0.4">
      <c r="A5" s="19" t="s">
        <v>7</v>
      </c>
      <c r="B5" s="125">
        <f>IF(B$2=0,0,B$4/B$2)</f>
        <v>7.3636363636363624</v>
      </c>
      <c r="C5" s="126"/>
      <c r="E5" s="27" t="s">
        <v>158</v>
      </c>
      <c r="F5" s="24" t="s">
        <v>159</v>
      </c>
      <c r="G5" s="12">
        <v>11</v>
      </c>
      <c r="H5" s="88">
        <f>IF(B$20=0,0,G5/B$20)</f>
        <v>0.40740740740740738</v>
      </c>
      <c r="I5" s="58">
        <v>4</v>
      </c>
      <c r="K5" s="74">
        <v>3</v>
      </c>
      <c r="L5" s="119">
        <v>-22.900000000000002</v>
      </c>
      <c r="M5" s="117">
        <v>1837.8596481588618</v>
      </c>
      <c r="O5" s="74" t="s">
        <v>130</v>
      </c>
      <c r="P5" s="80">
        <f t="shared" si="0"/>
        <v>1210</v>
      </c>
      <c r="Q5" s="77">
        <v>10</v>
      </c>
      <c r="R5" s="64">
        <v>12100</v>
      </c>
    </row>
    <row r="6" spans="1:18" x14ac:dyDescent="0.4">
      <c r="A6" s="19" t="s">
        <v>192</v>
      </c>
      <c r="B6" s="129">
        <v>1846.8935867850905</v>
      </c>
      <c r="C6" s="130"/>
      <c r="E6" s="27" t="s">
        <v>68</v>
      </c>
      <c r="F6" s="24" t="s">
        <v>12</v>
      </c>
      <c r="G6" s="12">
        <v>10</v>
      </c>
      <c r="H6" s="88">
        <f>IF(B$20=0,0,G6/B$20)</f>
        <v>0.37037037037037035</v>
      </c>
      <c r="I6" s="58">
        <v>4</v>
      </c>
      <c r="K6" s="74">
        <v>4</v>
      </c>
      <c r="L6" s="119">
        <v>-61.600000000000009</v>
      </c>
      <c r="M6" s="117">
        <v>1829.5624902699085</v>
      </c>
      <c r="O6" s="74" t="s">
        <v>131</v>
      </c>
      <c r="P6" s="80">
        <f t="shared" si="0"/>
        <v>-330</v>
      </c>
      <c r="Q6" s="77">
        <v>10</v>
      </c>
      <c r="R6" s="64">
        <v>-3300</v>
      </c>
    </row>
    <row r="7" spans="1:18" x14ac:dyDescent="0.4">
      <c r="A7" s="19" t="s">
        <v>1</v>
      </c>
      <c r="B7" s="139">
        <f>IF(B$2=0,0,(B$8*1+B$9*2+B$10*3)/B$2)</f>
        <v>1.9090909090909092</v>
      </c>
      <c r="C7" s="140"/>
      <c r="E7" s="27" t="s">
        <v>72</v>
      </c>
      <c r="F7" s="24" t="s">
        <v>27</v>
      </c>
      <c r="G7" s="12">
        <v>9</v>
      </c>
      <c r="H7" s="88">
        <f>IF(B$20=0,0,G7/B$20)</f>
        <v>0.33333333333333331</v>
      </c>
      <c r="I7" s="58">
        <v>3</v>
      </c>
      <c r="K7" s="74">
        <v>5</v>
      </c>
      <c r="L7" s="119">
        <v>-68.000000000000014</v>
      </c>
      <c r="M7" s="117">
        <v>1827.231115328289</v>
      </c>
      <c r="O7" s="75" t="s">
        <v>132</v>
      </c>
      <c r="P7" s="81">
        <f t="shared" si="0"/>
        <v>-1370</v>
      </c>
      <c r="Q7" s="78">
        <v>10</v>
      </c>
      <c r="R7" s="65">
        <v>-13700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0.36363636363636365</v>
      </c>
      <c r="E8" s="27" t="s">
        <v>69</v>
      </c>
      <c r="F8" s="24" t="s">
        <v>24</v>
      </c>
      <c r="G8" s="12">
        <v>7</v>
      </c>
      <c r="H8" s="88">
        <f>IF(B$20=0,0,G8/B$20)</f>
        <v>0.25925925925925924</v>
      </c>
      <c r="I8" s="58">
        <v>2</v>
      </c>
      <c r="K8" s="74">
        <v>6</v>
      </c>
      <c r="L8" s="119">
        <v>-68.800000000000011</v>
      </c>
      <c r="M8" s="117">
        <v>1825.8377286363193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0.36363636363636365</v>
      </c>
      <c r="E9" s="27" t="s">
        <v>70</v>
      </c>
      <c r="F9" s="24" t="s">
        <v>25</v>
      </c>
      <c r="G9" s="12">
        <v>4</v>
      </c>
      <c r="H9" s="88">
        <f>IF(B$20=0,0,G9/B$20)</f>
        <v>0.14814814814814814</v>
      </c>
      <c r="I9" s="58">
        <v>2</v>
      </c>
      <c r="K9" s="74">
        <v>7</v>
      </c>
      <c r="L9" s="119">
        <v>3.4999999999999858</v>
      </c>
      <c r="M9" s="117">
        <v>1837.8507022645015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3</v>
      </c>
      <c r="C10" s="7">
        <f t="shared" si="1"/>
        <v>0.27272727272727271</v>
      </c>
      <c r="E10" s="27" t="s">
        <v>89</v>
      </c>
      <c r="F10" s="24" t="s">
        <v>44</v>
      </c>
      <c r="G10" s="12">
        <v>4</v>
      </c>
      <c r="H10" s="88">
        <f>IF(B$20=0,0,G10/B$20)</f>
        <v>0.14814814814814814</v>
      </c>
      <c r="I10" s="58">
        <v>1</v>
      </c>
      <c r="K10" s="74">
        <v>8</v>
      </c>
      <c r="L10" s="119">
        <v>-1.800000000000014</v>
      </c>
      <c r="M10" s="117">
        <v>1835.6735980509145</v>
      </c>
      <c r="O10" s="73" t="s">
        <v>150</v>
      </c>
      <c r="P10" s="82">
        <f>IF(Q10=0,0,R10/Q10)</f>
        <v>3.25</v>
      </c>
      <c r="Q10" s="76">
        <v>4</v>
      </c>
      <c r="R10" s="67">
        <v>13</v>
      </c>
    </row>
    <row r="11" spans="1:18" x14ac:dyDescent="0.4">
      <c r="A11" s="20" t="s">
        <v>183</v>
      </c>
      <c r="B11" s="109">
        <f>IF(B8=0,0,C11/B8)</f>
        <v>46.849999999999994</v>
      </c>
      <c r="C11" s="110">
        <v>187.39999999999998</v>
      </c>
      <c r="E11" s="27" t="s">
        <v>86</v>
      </c>
      <c r="F11" s="24" t="s">
        <v>41</v>
      </c>
      <c r="G11" s="12">
        <v>3</v>
      </c>
      <c r="H11" s="88">
        <f>IF(B$20=0,0,G11/B$20)</f>
        <v>0.1111111111111111</v>
      </c>
      <c r="I11" s="58">
        <v>2</v>
      </c>
      <c r="K11" s="74">
        <v>9</v>
      </c>
      <c r="L11" s="119">
        <v>49.999999999999986</v>
      </c>
      <c r="M11" s="117">
        <v>1843.805556462609</v>
      </c>
      <c r="O11" s="74" t="s">
        <v>151</v>
      </c>
      <c r="P11" s="83">
        <f>IF(Q11=0,0,R11/Q11)</f>
        <v>32.799999999999997</v>
      </c>
      <c r="Q11" s="77">
        <v>3</v>
      </c>
      <c r="R11" s="68">
        <v>98.399999999999991</v>
      </c>
    </row>
    <row r="12" spans="1:18" x14ac:dyDescent="0.4">
      <c r="A12" s="20" t="s">
        <v>184</v>
      </c>
      <c r="B12" s="109">
        <f>IF(B9=0,0,C12/B9)</f>
        <v>-3.5</v>
      </c>
      <c r="C12" s="110">
        <v>-14</v>
      </c>
      <c r="E12" s="27" t="s">
        <v>65</v>
      </c>
      <c r="F12" s="24" t="s">
        <v>21</v>
      </c>
      <c r="G12" s="12">
        <v>2</v>
      </c>
      <c r="H12" s="88">
        <f>IF(B$20=0,0,G12/B$20)</f>
        <v>7.407407407407407E-2</v>
      </c>
      <c r="I12" s="58">
        <v>5</v>
      </c>
      <c r="K12" s="74">
        <v>10</v>
      </c>
      <c r="L12" s="119">
        <v>82.499999999999986</v>
      </c>
      <c r="M12" s="117">
        <v>1848.5227231238334</v>
      </c>
      <c r="O12" s="75" t="s">
        <v>152</v>
      </c>
      <c r="P12" s="84">
        <f>IF(Q12=0,0,R12/Q12)</f>
        <v>-7.6000000000000005</v>
      </c>
      <c r="Q12" s="78">
        <v>4</v>
      </c>
      <c r="R12" s="69">
        <v>-30.400000000000002</v>
      </c>
    </row>
    <row r="13" spans="1:18" x14ac:dyDescent="0.4">
      <c r="A13" s="20" t="s">
        <v>185</v>
      </c>
      <c r="B13" s="109">
        <f>IF(B10=0,0,C13/B10)</f>
        <v>-30.8</v>
      </c>
      <c r="C13" s="110">
        <v>-92.4</v>
      </c>
      <c r="E13" s="27" t="s">
        <v>71</v>
      </c>
      <c r="F13" s="24" t="s">
        <v>26</v>
      </c>
      <c r="G13" s="12">
        <v>1</v>
      </c>
      <c r="H13" s="88">
        <f>IF(B$20=0,0,G13/B$20)</f>
        <v>3.7037037037037035E-2</v>
      </c>
      <c r="I13" s="58">
        <v>5</v>
      </c>
      <c r="K13" s="74">
        <v>11</v>
      </c>
      <c r="L13" s="119">
        <v>80.999999999999986</v>
      </c>
      <c r="M13" s="117">
        <v>1846.8935867850905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4.1833333333333309</v>
      </c>
      <c r="C14" s="126"/>
      <c r="E14" s="27" t="s">
        <v>76</v>
      </c>
      <c r="F14" s="24" t="s">
        <v>31</v>
      </c>
      <c r="G14" s="12">
        <v>1</v>
      </c>
      <c r="H14" s="88">
        <f>IF(B$20=0,0,G14/B$20)</f>
        <v>3.7037037037037035E-2</v>
      </c>
      <c r="I14" s="58">
        <v>1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79</v>
      </c>
      <c r="F15" s="24" t="s">
        <v>34</v>
      </c>
      <c r="G15" s="12">
        <v>1</v>
      </c>
      <c r="H15" s="88">
        <f>IF(B$20=0,0,G15/B$20)</f>
        <v>3.7037037037037035E-2</v>
      </c>
      <c r="I15" s="58">
        <v>1</v>
      </c>
      <c r="O15" s="73" t="s">
        <v>189</v>
      </c>
      <c r="P15" s="82">
        <f>IF(Q15=0,0,R15/Q15)</f>
        <v>25.916666666666668</v>
      </c>
      <c r="Q15" s="76">
        <v>6</v>
      </c>
      <c r="R15" s="67">
        <v>155.5</v>
      </c>
    </row>
    <row r="16" spans="1:18" x14ac:dyDescent="0.4">
      <c r="A16" s="22" t="s">
        <v>121</v>
      </c>
      <c r="B16" s="15">
        <v>38</v>
      </c>
      <c r="C16" s="10">
        <f>IF(B$3=0,0,B16/B$3)</f>
        <v>0.4</v>
      </c>
      <c r="E16" s="27" t="s">
        <v>81</v>
      </c>
      <c r="F16" s="24" t="s">
        <v>36</v>
      </c>
      <c r="G16" s="12">
        <v>1</v>
      </c>
      <c r="H16" s="88">
        <f>IF(B$20=0,0,G16/B$20)</f>
        <v>3.7037037037037035E-2</v>
      </c>
      <c r="I16" s="58">
        <v>4</v>
      </c>
      <c r="O16" s="74" t="s">
        <v>162</v>
      </c>
      <c r="P16" s="83">
        <f>IF(Q16=0,0,R16/Q16)</f>
        <v>19.414285714285711</v>
      </c>
      <c r="Q16" s="77">
        <v>7</v>
      </c>
      <c r="R16" s="68">
        <v>135.89999999999998</v>
      </c>
    </row>
    <row r="17" spans="1:18" x14ac:dyDescent="0.4">
      <c r="A17" s="19" t="s">
        <v>118</v>
      </c>
      <c r="B17" s="12">
        <v>10</v>
      </c>
      <c r="C17" s="6">
        <f>IF(B$3=0,0,B17/B$3)</f>
        <v>0.10526315789473684</v>
      </c>
      <c r="E17" s="27" t="s">
        <v>83</v>
      </c>
      <c r="F17" s="24" t="s">
        <v>38</v>
      </c>
      <c r="G17" s="12">
        <v>1</v>
      </c>
      <c r="H17" s="88">
        <f>IF(B$20=0,0,G17/B$20)</f>
        <v>3.7037037037037035E-2</v>
      </c>
      <c r="I17" s="58">
        <v>4</v>
      </c>
      <c r="O17" s="74" t="s">
        <v>187</v>
      </c>
      <c r="P17" s="83">
        <f>IF(Q17=0,0,R17/Q17)</f>
        <v>-5.3777777777777764</v>
      </c>
      <c r="Q17" s="77">
        <v>9</v>
      </c>
      <c r="R17" s="68">
        <v>-48.399999999999991</v>
      </c>
    </row>
    <row r="18" spans="1:18" x14ac:dyDescent="0.4">
      <c r="A18" s="18" t="s">
        <v>123</v>
      </c>
      <c r="B18" s="11">
        <f>B24</f>
        <v>17</v>
      </c>
      <c r="C18" s="5">
        <f>IF(B$16=0,0,B18/B$16)</f>
        <v>0.44736842105263158</v>
      </c>
      <c r="E18" s="27" t="s">
        <v>99</v>
      </c>
      <c r="F18" s="24" t="s">
        <v>54</v>
      </c>
      <c r="G18" s="12">
        <v>1</v>
      </c>
      <c r="H18" s="88">
        <f>IF(B$20=0,0,G18/B$20)</f>
        <v>3.7037037037037035E-2</v>
      </c>
      <c r="I18" s="58">
        <v>1</v>
      </c>
    </row>
    <row r="19" spans="1:18" x14ac:dyDescent="0.4">
      <c r="A19" s="18" t="s">
        <v>124</v>
      </c>
      <c r="B19" s="11">
        <f>B25</f>
        <v>6</v>
      </c>
      <c r="C19" s="5">
        <f>IF(B$17=0,0,B19/B$17)</f>
        <v>0.6</v>
      </c>
      <c r="E19" s="27" t="s">
        <v>154</v>
      </c>
      <c r="F19" s="24" t="s">
        <v>155</v>
      </c>
      <c r="G19" s="12">
        <v>1</v>
      </c>
      <c r="H19" s="88">
        <f>IF(B$20=0,0,G19/B$20)</f>
        <v>3.7037037037037035E-2</v>
      </c>
      <c r="I19" s="58">
        <v>1</v>
      </c>
    </row>
    <row r="20" spans="1:18" x14ac:dyDescent="0.4">
      <c r="A20" s="18" t="s">
        <v>10</v>
      </c>
      <c r="B20" s="11">
        <f>B23+B22</f>
        <v>27</v>
      </c>
      <c r="C20" s="5">
        <f>IF(B$3=0,0,B20/B$3)</f>
        <v>0.28421052631578947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4</v>
      </c>
    </row>
    <row r="21" spans="1:18" x14ac:dyDescent="0.4">
      <c r="A21" s="19" t="s">
        <v>13</v>
      </c>
      <c r="B21" s="12">
        <v>16</v>
      </c>
      <c r="C21" s="6">
        <f>IF(B$3=0,0,B21/B$3)</f>
        <v>0.16842105263157894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4</v>
      </c>
    </row>
    <row r="22" spans="1:18" x14ac:dyDescent="0.4">
      <c r="A22" s="19" t="s">
        <v>12</v>
      </c>
      <c r="B22" s="12">
        <v>10</v>
      </c>
      <c r="C22" s="6">
        <f>IF(B$20=0,0,B22/B$20)</f>
        <v>0.37037037037037035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17</v>
      </c>
      <c r="C23" s="6">
        <f>IF(B$20=0,0,B23/B$20)</f>
        <v>0.62962962962962965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17</v>
      </c>
      <c r="C24" s="6">
        <f>IF(B$20=0,0,B24/B$20)</f>
        <v>0.62962962962962965</v>
      </c>
      <c r="E24" s="27" t="s">
        <v>78</v>
      </c>
      <c r="F24" s="24" t="s">
        <v>33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180</v>
      </c>
      <c r="B25" s="12">
        <v>6</v>
      </c>
      <c r="C25" s="6">
        <f>IF(B$20=0,0,B25/B$20)</f>
        <v>0.22222222222222221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4</v>
      </c>
      <c r="C26" s="6">
        <f>IF(B$20=0,0,B26/B$20)</f>
        <v>0.14814814814814814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10062.962962962964</v>
      </c>
      <c r="C27" s="8">
        <v>271700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10171.428571428571</v>
      </c>
      <c r="C28" s="96">
        <v>213600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9683.3333333333339</v>
      </c>
      <c r="C29" s="96">
        <v>58100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-6956.25</v>
      </c>
      <c r="C30" s="96">
        <v>-111300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156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15</v>
      </c>
      <c r="C32" s="90">
        <v>0</v>
      </c>
      <c r="E32" s="27" t="s">
        <v>91</v>
      </c>
      <c r="F32" s="24" t="s">
        <v>46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27">
        <v>4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87300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3</v>
      </c>
    </row>
    <row r="36" spans="1:9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3.7037037037037035E-2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0</v>
      </c>
      <c r="C38" s="6">
        <f t="shared" si="2"/>
        <v>0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6</v>
      </c>
      <c r="C39" s="6">
        <f t="shared" si="2"/>
        <v>0.22222222222222221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8</v>
      </c>
      <c r="C40" s="6">
        <f t="shared" si="2"/>
        <v>0.29629629629629628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6</v>
      </c>
      <c r="C41" s="6">
        <f t="shared" si="2"/>
        <v>0.22222222222222221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3</v>
      </c>
      <c r="C42" s="6">
        <f t="shared" si="2"/>
        <v>0.1111111111111111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1</v>
      </c>
      <c r="C43" s="6">
        <f t="shared" si="2"/>
        <v>3.7037037037037035E-2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1</v>
      </c>
      <c r="C44" s="6">
        <f t="shared" si="2"/>
        <v>3.7037037037037035E-2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3.7037037037037035E-2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DCB49-39CF-4A8F-BB2F-9B0EDB2B4A94}">
  <sheetPr codeName="Sheet14"/>
  <dimension ref="A1:Q1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30.8</v>
      </c>
      <c r="C4" s="30">
        <v>30.8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0.16666666666666666</v>
      </c>
      <c r="I4" s="32">
        <v>7950</v>
      </c>
      <c r="J4" s="32">
        <v>-2600</v>
      </c>
      <c r="K4" s="31">
        <v>0</v>
      </c>
      <c r="L4" s="31">
        <v>0.33333333333333331</v>
      </c>
      <c r="M4" s="31">
        <v>0.16666666666666666</v>
      </c>
      <c r="N4" s="31">
        <v>0.5</v>
      </c>
      <c r="O4" s="31">
        <v>1</v>
      </c>
      <c r="P4" s="31">
        <v>0</v>
      </c>
    </row>
    <row r="5" spans="1:17" x14ac:dyDescent="0.4">
      <c r="A5" s="33">
        <v>2</v>
      </c>
      <c r="B5" s="30">
        <v>9.8000000000000007</v>
      </c>
      <c r="C5" s="30">
        <v>4.9000000000000004</v>
      </c>
      <c r="D5" s="35">
        <v>2</v>
      </c>
      <c r="E5" s="31">
        <v>0.5</v>
      </c>
      <c r="F5" s="31">
        <v>0.5</v>
      </c>
      <c r="G5" s="31">
        <v>0.33333333333333331</v>
      </c>
      <c r="H5" s="31">
        <v>0.16666666666666666</v>
      </c>
      <c r="I5" s="32">
        <v>6225</v>
      </c>
      <c r="J5" s="32">
        <v>-5300</v>
      </c>
      <c r="K5" s="31">
        <v>0</v>
      </c>
      <c r="L5" s="31">
        <v>0.16666666666666666</v>
      </c>
      <c r="M5" s="31">
        <v>0.25</v>
      </c>
      <c r="N5" s="31">
        <v>0.5</v>
      </c>
      <c r="O5" s="31">
        <v>1</v>
      </c>
      <c r="P5" s="31">
        <v>0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7380</v>
      </c>
      <c r="J6" s="32">
        <v>-4950</v>
      </c>
      <c r="K6" s="31">
        <v>0</v>
      </c>
      <c r="L6" s="31">
        <v>0.38095238095238093</v>
      </c>
      <c r="M6" s="31">
        <v>0.19047619047619047</v>
      </c>
      <c r="N6" s="31">
        <v>0.25</v>
      </c>
      <c r="O6" s="31">
        <v>0.75</v>
      </c>
      <c r="P6" s="31">
        <v>0.2</v>
      </c>
    </row>
    <row r="7" spans="1:17" x14ac:dyDescent="0.4">
      <c r="A7" s="33">
        <v>4</v>
      </c>
      <c r="B7" s="30">
        <v>-61.600000000000009</v>
      </c>
      <c r="C7" s="30">
        <v>-15.400000000000002</v>
      </c>
      <c r="D7" s="35">
        <v>2.5</v>
      </c>
      <c r="E7" s="31">
        <v>0.25</v>
      </c>
      <c r="F7" s="31">
        <v>0.75</v>
      </c>
      <c r="G7" s="31">
        <v>0.19354838709677419</v>
      </c>
      <c r="H7" s="31">
        <v>0.22580645161290322</v>
      </c>
      <c r="I7" s="32">
        <v>8150</v>
      </c>
      <c r="J7" s="32">
        <v>-6142.8571428571431</v>
      </c>
      <c r="K7" s="31">
        <v>0</v>
      </c>
      <c r="L7" s="31">
        <v>0.41935483870967744</v>
      </c>
      <c r="M7" s="31">
        <v>0.12903225806451613</v>
      </c>
      <c r="N7" s="31">
        <v>0.23076923076923078</v>
      </c>
      <c r="O7" s="31">
        <v>0.75</v>
      </c>
      <c r="P7" s="31">
        <v>0.33333333333333331</v>
      </c>
    </row>
    <row r="8" spans="1:17" x14ac:dyDescent="0.4">
      <c r="A8" s="33">
        <v>5</v>
      </c>
      <c r="B8" s="30">
        <v>-68.000000000000014</v>
      </c>
      <c r="C8" s="30">
        <v>-13.600000000000003</v>
      </c>
      <c r="D8" s="35">
        <v>2.4</v>
      </c>
      <c r="E8" s="31">
        <v>0.2</v>
      </c>
      <c r="F8" s="31">
        <v>0.6</v>
      </c>
      <c r="G8" s="31">
        <v>0.19047619047619047</v>
      </c>
      <c r="H8" s="31">
        <v>0.16666666666666666</v>
      </c>
      <c r="I8" s="32">
        <v>8812.5</v>
      </c>
      <c r="J8" s="32">
        <v>-6142.8571428571431</v>
      </c>
      <c r="K8" s="31">
        <v>0</v>
      </c>
      <c r="L8" s="31">
        <v>0.40476190476190477</v>
      </c>
      <c r="M8" s="31">
        <v>0.11904761904761904</v>
      </c>
      <c r="N8" s="31">
        <v>0.23529411764705882</v>
      </c>
      <c r="O8" s="31">
        <v>0.6</v>
      </c>
      <c r="P8" s="31">
        <v>0.25</v>
      </c>
    </row>
    <row r="9" spans="1:17" x14ac:dyDescent="0.4">
      <c r="A9" s="33">
        <v>6</v>
      </c>
      <c r="B9" s="30">
        <v>-68.800000000000011</v>
      </c>
      <c r="C9" s="30">
        <v>-11.466666666666669</v>
      </c>
      <c r="D9" s="35">
        <v>2.3333333333333335</v>
      </c>
      <c r="E9" s="31">
        <v>0.16666666666666666</v>
      </c>
      <c r="F9" s="31">
        <v>0.5</v>
      </c>
      <c r="G9" s="31">
        <v>0.21428571428571427</v>
      </c>
      <c r="H9" s="31">
        <v>0.17857142857142858</v>
      </c>
      <c r="I9" s="32">
        <v>8983.3333333333339</v>
      </c>
      <c r="J9" s="32">
        <v>-6010</v>
      </c>
      <c r="K9" s="31">
        <v>0</v>
      </c>
      <c r="L9" s="31">
        <v>0.39285714285714285</v>
      </c>
      <c r="M9" s="31">
        <v>0.10714285714285714</v>
      </c>
      <c r="N9" s="31">
        <v>0.36363636363636365</v>
      </c>
      <c r="O9" s="31">
        <v>0.5</v>
      </c>
      <c r="P9" s="31">
        <v>0.25</v>
      </c>
    </row>
    <row r="10" spans="1:17" x14ac:dyDescent="0.4">
      <c r="A10" s="33">
        <v>7</v>
      </c>
      <c r="B10" s="30">
        <v>3.4999999999999858</v>
      </c>
      <c r="C10" s="30">
        <v>0.49999999999999795</v>
      </c>
      <c r="D10" s="35">
        <v>2.1428571428571428</v>
      </c>
      <c r="E10" s="31">
        <v>0.2857142857142857</v>
      </c>
      <c r="F10" s="31">
        <v>0.42857142857142855</v>
      </c>
      <c r="G10" s="31">
        <v>0.25806451612903225</v>
      </c>
      <c r="H10" s="31">
        <v>0.16129032258064516</v>
      </c>
      <c r="I10" s="32">
        <v>9537.5</v>
      </c>
      <c r="J10" s="32">
        <v>-6010</v>
      </c>
      <c r="K10" s="31">
        <v>0</v>
      </c>
      <c r="L10" s="31">
        <v>0.43548387096774194</v>
      </c>
      <c r="M10" s="31">
        <v>9.6774193548387094E-2</v>
      </c>
      <c r="N10" s="31">
        <v>0.40740740740740738</v>
      </c>
      <c r="O10" s="31">
        <v>0.5</v>
      </c>
      <c r="P10" s="31">
        <v>0.4375</v>
      </c>
    </row>
    <row r="11" spans="1:17" x14ac:dyDescent="0.4">
      <c r="A11" s="33">
        <v>8</v>
      </c>
      <c r="B11" s="30">
        <v>-1.800000000000014</v>
      </c>
      <c r="C11" s="30">
        <v>-0.22500000000000175</v>
      </c>
      <c r="D11" s="35">
        <v>2.125</v>
      </c>
      <c r="E11" s="31">
        <v>0.25</v>
      </c>
      <c r="F11" s="31">
        <v>0.375</v>
      </c>
      <c r="G11" s="31">
        <v>0.26027397260273971</v>
      </c>
      <c r="H11" s="31">
        <v>0.17808219178082191</v>
      </c>
      <c r="I11" s="32">
        <v>9052.6315789473683</v>
      </c>
      <c r="J11" s="32">
        <v>-5946.1538461538457</v>
      </c>
      <c r="K11" s="31">
        <v>0</v>
      </c>
      <c r="L11" s="31">
        <v>0.43835616438356162</v>
      </c>
      <c r="M11" s="31">
        <v>9.5890410958904104E-2</v>
      </c>
      <c r="N11" s="31">
        <v>0.40625</v>
      </c>
      <c r="O11" s="31">
        <v>0.42857142857142855</v>
      </c>
      <c r="P11" s="31">
        <v>0.42105263157894735</v>
      </c>
    </row>
    <row r="12" spans="1:17" x14ac:dyDescent="0.4">
      <c r="A12" s="33">
        <v>9</v>
      </c>
      <c r="B12" s="30">
        <v>49.999999999999986</v>
      </c>
      <c r="C12" s="30">
        <v>5.5555555555555536</v>
      </c>
      <c r="D12" s="35">
        <v>2</v>
      </c>
      <c r="E12" s="31">
        <v>0.33333333333333331</v>
      </c>
      <c r="F12" s="31">
        <v>0.33333333333333331</v>
      </c>
      <c r="G12" s="31">
        <v>0.27160493827160492</v>
      </c>
      <c r="H12" s="31">
        <v>0.16049382716049382</v>
      </c>
      <c r="I12" s="32">
        <v>9690.9090909090901</v>
      </c>
      <c r="J12" s="32">
        <v>-5946.1538461538457</v>
      </c>
      <c r="K12" s="31">
        <v>0</v>
      </c>
      <c r="L12" s="31">
        <v>0.41975308641975306</v>
      </c>
      <c r="M12" s="31">
        <v>8.6419753086419748E-2</v>
      </c>
      <c r="N12" s="31">
        <v>0.44117647058823528</v>
      </c>
      <c r="O12" s="31">
        <v>0.42857142857142855</v>
      </c>
      <c r="P12" s="31">
        <v>0.40909090909090912</v>
      </c>
    </row>
    <row r="13" spans="1:17" x14ac:dyDescent="0.4">
      <c r="A13" s="33">
        <v>10</v>
      </c>
      <c r="B13" s="30">
        <v>82.499999999999986</v>
      </c>
      <c r="C13" s="30">
        <v>8.2499999999999982</v>
      </c>
      <c r="D13" s="35">
        <v>1.9</v>
      </c>
      <c r="E13" s="31">
        <v>0.4</v>
      </c>
      <c r="F13" s="31">
        <v>0.3</v>
      </c>
      <c r="G13" s="31">
        <v>0.28735632183908044</v>
      </c>
      <c r="H13" s="31">
        <v>0.16091954022988506</v>
      </c>
      <c r="I13" s="32">
        <v>9268</v>
      </c>
      <c r="J13" s="32">
        <v>-6092.8571428571431</v>
      </c>
      <c r="K13" s="31">
        <v>0</v>
      </c>
      <c r="L13" s="31">
        <v>0.41379310344827586</v>
      </c>
      <c r="M13" s="31">
        <v>9.1954022988505746E-2</v>
      </c>
      <c r="N13" s="31">
        <v>0.47222222222222221</v>
      </c>
      <c r="O13" s="31">
        <v>0.5</v>
      </c>
      <c r="P13" s="31">
        <v>0.4</v>
      </c>
    </row>
    <row r="14" spans="1:17" x14ac:dyDescent="0.4">
      <c r="A14" s="33">
        <v>11</v>
      </c>
      <c r="B14" s="30">
        <v>80.999999999999986</v>
      </c>
      <c r="C14" s="30">
        <v>7.3636363636363624</v>
      </c>
      <c r="D14" s="35">
        <v>1.9090909090909092</v>
      </c>
      <c r="E14" s="31">
        <v>0.36363636363636365</v>
      </c>
      <c r="F14" s="31">
        <v>0.27272727272727271</v>
      </c>
      <c r="G14" s="31">
        <v>0.28421052631578947</v>
      </c>
      <c r="H14" s="31">
        <v>0.16842105263157894</v>
      </c>
      <c r="I14" s="32">
        <v>10062.962962962964</v>
      </c>
      <c r="J14" s="32">
        <v>-6956.25</v>
      </c>
      <c r="K14" s="31">
        <v>0</v>
      </c>
      <c r="L14" s="31">
        <v>0.4</v>
      </c>
      <c r="M14" s="31">
        <v>0.10526315789473684</v>
      </c>
      <c r="N14" s="31">
        <v>0.44736842105263158</v>
      </c>
      <c r="O14" s="31">
        <v>0.6</v>
      </c>
      <c r="P14" s="31">
        <v>0.37037037037037035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F5BC2-1A46-4805-AF46-F62A22E887A4}">
  <sheetPr codeName="Sheet12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6.5</v>
      </c>
      <c r="C4" s="30">
        <v>6.5</v>
      </c>
      <c r="D4" s="35">
        <v>2</v>
      </c>
      <c r="E4" s="31">
        <v>0</v>
      </c>
      <c r="F4" s="31">
        <v>0</v>
      </c>
      <c r="G4" s="31">
        <v>0.2</v>
      </c>
      <c r="H4" s="31">
        <v>0</v>
      </c>
      <c r="I4" s="32">
        <v>12000</v>
      </c>
      <c r="J4" s="32">
        <v>0</v>
      </c>
      <c r="K4" s="31">
        <v>0</v>
      </c>
      <c r="L4" s="31">
        <v>0.2</v>
      </c>
      <c r="M4" s="31">
        <v>0</v>
      </c>
      <c r="N4" s="31">
        <v>1</v>
      </c>
      <c r="O4" s="31">
        <v>0</v>
      </c>
      <c r="P4" s="31">
        <v>0</v>
      </c>
    </row>
    <row r="5" spans="1:17" x14ac:dyDescent="0.4">
      <c r="A5" s="33">
        <v>2</v>
      </c>
      <c r="B5" s="30">
        <v>5.9</v>
      </c>
      <c r="C5" s="30">
        <v>2.95</v>
      </c>
      <c r="D5" s="35">
        <v>2</v>
      </c>
      <c r="E5" s="31">
        <v>0</v>
      </c>
      <c r="F5" s="31">
        <v>0</v>
      </c>
      <c r="G5" s="31">
        <v>0.36363636363636365</v>
      </c>
      <c r="H5" s="31">
        <v>0.18181818181818182</v>
      </c>
      <c r="I5" s="32">
        <v>6950</v>
      </c>
      <c r="J5" s="32">
        <v>-7950</v>
      </c>
      <c r="K5" s="31">
        <v>0</v>
      </c>
      <c r="L5" s="31">
        <v>0.36363636363636365</v>
      </c>
      <c r="M5" s="31">
        <v>0</v>
      </c>
      <c r="N5" s="31">
        <v>1</v>
      </c>
      <c r="O5" s="31">
        <v>0</v>
      </c>
      <c r="P5" s="31">
        <v>0</v>
      </c>
    </row>
    <row r="6" spans="1:17" x14ac:dyDescent="0.4">
      <c r="A6" s="33">
        <v>3</v>
      </c>
      <c r="B6" s="30">
        <v>17.200000000000003</v>
      </c>
      <c r="C6" s="30">
        <v>5.7333333333333343</v>
      </c>
      <c r="D6" s="35">
        <v>2</v>
      </c>
      <c r="E6" s="31">
        <v>0</v>
      </c>
      <c r="F6" s="31">
        <v>0</v>
      </c>
      <c r="G6" s="31">
        <v>0.31818181818181818</v>
      </c>
      <c r="H6" s="31">
        <v>0.18181818181818182</v>
      </c>
      <c r="I6" s="32">
        <v>10114.285714285714</v>
      </c>
      <c r="J6" s="32">
        <v>-12975</v>
      </c>
      <c r="K6" s="31">
        <v>0</v>
      </c>
      <c r="L6" s="31">
        <v>0.31818181818181818</v>
      </c>
      <c r="M6" s="31">
        <v>0.13636363636363635</v>
      </c>
      <c r="N6" s="31">
        <v>0.7142857142857143</v>
      </c>
      <c r="O6" s="31">
        <v>0.33333333333333331</v>
      </c>
      <c r="P6" s="31">
        <v>0.14285714285714285</v>
      </c>
    </row>
    <row r="7" spans="1:17" x14ac:dyDescent="0.4">
      <c r="A7" s="33">
        <v>4</v>
      </c>
      <c r="B7" s="30">
        <v>-16.399999999999999</v>
      </c>
      <c r="C7" s="30">
        <v>-4.0999999999999996</v>
      </c>
      <c r="D7" s="35">
        <v>2.25</v>
      </c>
      <c r="E7" s="31">
        <v>0</v>
      </c>
      <c r="F7" s="31">
        <v>0.25</v>
      </c>
      <c r="G7" s="31">
        <v>0.32142857142857145</v>
      </c>
      <c r="H7" s="31">
        <v>0.17857142857142858</v>
      </c>
      <c r="I7" s="32">
        <v>8388.8888888888887</v>
      </c>
      <c r="J7" s="32">
        <v>-11980</v>
      </c>
      <c r="K7" s="31">
        <v>0</v>
      </c>
      <c r="L7" s="31">
        <v>0.32142857142857145</v>
      </c>
      <c r="M7" s="31">
        <v>0.14285714285714285</v>
      </c>
      <c r="N7" s="31">
        <v>0.66666666666666663</v>
      </c>
      <c r="O7" s="31">
        <v>0.25</v>
      </c>
      <c r="P7" s="31">
        <v>0.22222222222222221</v>
      </c>
    </row>
    <row r="8" spans="1:17" x14ac:dyDescent="0.4">
      <c r="A8" s="33">
        <v>5</v>
      </c>
      <c r="B8" s="30">
        <v>-8.7999999999999989</v>
      </c>
      <c r="C8" s="30">
        <v>-1.7599999999999998</v>
      </c>
      <c r="D8" s="35">
        <v>2.2000000000000002</v>
      </c>
      <c r="E8" s="31">
        <v>0</v>
      </c>
      <c r="F8" s="31">
        <v>0.2</v>
      </c>
      <c r="G8" s="31">
        <v>0.34285714285714286</v>
      </c>
      <c r="H8" s="31">
        <v>0.14285714285714285</v>
      </c>
      <c r="I8" s="32">
        <v>7841.666666666667</v>
      </c>
      <c r="J8" s="32">
        <v>-11980</v>
      </c>
      <c r="K8" s="31">
        <v>0</v>
      </c>
      <c r="L8" s="31">
        <v>0.31428571428571428</v>
      </c>
      <c r="M8" s="31">
        <v>0.11428571428571428</v>
      </c>
      <c r="N8" s="31">
        <v>0.72727272727272729</v>
      </c>
      <c r="O8" s="31">
        <v>0.25</v>
      </c>
      <c r="P8" s="31">
        <v>0.16666666666666666</v>
      </c>
    </row>
    <row r="9" spans="1:17" x14ac:dyDescent="0.4">
      <c r="A9" s="33">
        <v>6</v>
      </c>
      <c r="B9" s="30">
        <v>22.1</v>
      </c>
      <c r="C9" s="30">
        <v>3.6833333333333336</v>
      </c>
      <c r="D9" s="35">
        <v>2</v>
      </c>
      <c r="E9" s="31">
        <v>0.16666666666666666</v>
      </c>
      <c r="F9" s="31">
        <v>0.16666666666666666</v>
      </c>
      <c r="G9" s="31">
        <v>0.37777777777777777</v>
      </c>
      <c r="H9" s="31">
        <v>0.13333333333333333</v>
      </c>
      <c r="I9" s="32">
        <v>6805.8823529411766</v>
      </c>
      <c r="J9" s="32">
        <v>-10850</v>
      </c>
      <c r="K9" s="31">
        <v>0</v>
      </c>
      <c r="L9" s="31">
        <v>0.31111111111111112</v>
      </c>
      <c r="M9" s="31">
        <v>0.1111111111111111</v>
      </c>
      <c r="N9" s="31">
        <v>0.7142857142857143</v>
      </c>
      <c r="O9" s="31">
        <v>0.4</v>
      </c>
      <c r="P9" s="31">
        <v>0.23529411764705882</v>
      </c>
    </row>
    <row r="10" spans="1:17" x14ac:dyDescent="0.4">
      <c r="A10" s="33">
        <v>7</v>
      </c>
      <c r="B10" s="30">
        <v>68.900000000000006</v>
      </c>
      <c r="C10" s="30">
        <v>9.8428571428571434</v>
      </c>
      <c r="D10" s="35">
        <v>1.8571428571428572</v>
      </c>
      <c r="E10" s="31">
        <v>0.2857142857142857</v>
      </c>
      <c r="F10" s="31">
        <v>0.14285714285714285</v>
      </c>
      <c r="G10" s="31">
        <v>0.38983050847457629</v>
      </c>
      <c r="H10" s="31">
        <v>0.13559322033898305</v>
      </c>
      <c r="I10" s="32">
        <v>6869.565217391304</v>
      </c>
      <c r="J10" s="32">
        <v>-10637.5</v>
      </c>
      <c r="K10" s="31">
        <v>0</v>
      </c>
      <c r="L10" s="31">
        <v>0.23728813559322035</v>
      </c>
      <c r="M10" s="31">
        <v>0.13559322033898305</v>
      </c>
      <c r="N10" s="31">
        <v>0.7142857142857143</v>
      </c>
      <c r="O10" s="31">
        <v>0.375</v>
      </c>
      <c r="P10" s="31">
        <v>0.34782608695652173</v>
      </c>
    </row>
    <row r="11" spans="1:17" x14ac:dyDescent="0.4">
      <c r="A11" s="33">
        <v>8</v>
      </c>
      <c r="B11" s="30">
        <v>11.300000000000004</v>
      </c>
      <c r="C11" s="30">
        <v>1.4125000000000005</v>
      </c>
      <c r="D11" s="35">
        <v>2</v>
      </c>
      <c r="E11" s="31">
        <v>0.25</v>
      </c>
      <c r="F11" s="31">
        <v>0.25</v>
      </c>
      <c r="G11" s="31">
        <v>0.35384615384615387</v>
      </c>
      <c r="H11" s="31">
        <v>0.13846153846153847</v>
      </c>
      <c r="I11" s="32">
        <v>6869.565217391304</v>
      </c>
      <c r="J11" s="32">
        <v>-10344.444444444445</v>
      </c>
      <c r="K11" s="31">
        <v>0.125</v>
      </c>
      <c r="L11" s="31">
        <v>0.2153846153846154</v>
      </c>
      <c r="M11" s="31">
        <v>0.13846153846153847</v>
      </c>
      <c r="N11" s="31">
        <v>0.7142857142857143</v>
      </c>
      <c r="O11" s="31">
        <v>0.33333333333333331</v>
      </c>
      <c r="P11" s="31">
        <v>0.34782608695652173</v>
      </c>
    </row>
    <row r="12" spans="1:17" x14ac:dyDescent="0.4">
      <c r="A12" s="33">
        <v>9</v>
      </c>
      <c r="B12" s="30">
        <v>-47.599999999999994</v>
      </c>
      <c r="C12" s="30">
        <v>-5.2888888888888879</v>
      </c>
      <c r="D12" s="35">
        <v>2.1111111111111112</v>
      </c>
      <c r="E12" s="31">
        <v>0.22222222222222221</v>
      </c>
      <c r="F12" s="31">
        <v>0.33333333333333331</v>
      </c>
      <c r="G12" s="31">
        <v>0.31578947368421051</v>
      </c>
      <c r="H12" s="31">
        <v>0.13157894736842105</v>
      </c>
      <c r="I12" s="32">
        <v>6908.333333333333</v>
      </c>
      <c r="J12" s="32">
        <v>-10910</v>
      </c>
      <c r="K12" s="31">
        <v>0.22222222222222221</v>
      </c>
      <c r="L12" s="31">
        <v>0.21052631578947367</v>
      </c>
      <c r="M12" s="31">
        <v>0.14473684210526316</v>
      </c>
      <c r="N12" s="31">
        <v>0.6875</v>
      </c>
      <c r="O12" s="31">
        <v>0.27272727272727271</v>
      </c>
      <c r="P12" s="31">
        <v>0.375</v>
      </c>
    </row>
    <row r="13" spans="1:17" x14ac:dyDescent="0.4">
      <c r="A13" s="33">
        <v>10</v>
      </c>
      <c r="B13" s="30">
        <v>-84.6</v>
      </c>
      <c r="C13" s="30">
        <v>-8.4599999999999991</v>
      </c>
      <c r="D13" s="35">
        <v>2.2000000000000002</v>
      </c>
      <c r="E13" s="31">
        <v>0.2</v>
      </c>
      <c r="F13" s="31">
        <v>0.4</v>
      </c>
      <c r="G13" s="31">
        <v>0.29268292682926828</v>
      </c>
      <c r="H13" s="31">
        <v>0.14634146341463414</v>
      </c>
      <c r="I13" s="32">
        <v>6908.333333333333</v>
      </c>
      <c r="J13" s="32">
        <v>-10258.333333333334</v>
      </c>
      <c r="K13" s="31">
        <v>0.2</v>
      </c>
      <c r="L13" s="31">
        <v>0.2073170731707317</v>
      </c>
      <c r="M13" s="31">
        <v>0.15853658536585366</v>
      </c>
      <c r="N13" s="31">
        <v>0.6470588235294118</v>
      </c>
      <c r="O13" s="31">
        <v>0.23076923076923078</v>
      </c>
      <c r="P13" s="31">
        <v>0.375</v>
      </c>
    </row>
    <row r="14" spans="1:17" x14ac:dyDescent="0.4">
      <c r="A14" s="33">
        <v>11</v>
      </c>
      <c r="B14" s="30">
        <v>-128</v>
      </c>
      <c r="C14" s="30">
        <v>-11.636363636363637</v>
      </c>
      <c r="D14" s="35">
        <v>2.2727272727272729</v>
      </c>
      <c r="E14" s="31">
        <v>0.18181818181818182</v>
      </c>
      <c r="F14" s="31">
        <v>0.45454545454545453</v>
      </c>
      <c r="G14" s="31">
        <v>0.3</v>
      </c>
      <c r="H14" s="31">
        <v>0.15555555555555556</v>
      </c>
      <c r="I14" s="32">
        <v>7200</v>
      </c>
      <c r="J14" s="32">
        <v>-11650</v>
      </c>
      <c r="K14" s="31">
        <v>0.18181818181818182</v>
      </c>
      <c r="L14" s="31">
        <v>0.21111111111111111</v>
      </c>
      <c r="M14" s="31">
        <v>0.15555555555555556</v>
      </c>
      <c r="N14" s="31">
        <v>0.68421052631578949</v>
      </c>
      <c r="O14" s="31">
        <v>0.21428571428571427</v>
      </c>
      <c r="P14" s="31">
        <v>0.33333333333333331</v>
      </c>
    </row>
    <row r="15" spans="1:17" x14ac:dyDescent="0.4">
      <c r="A15" s="33">
        <v>12</v>
      </c>
      <c r="B15" s="30">
        <v>-122.3</v>
      </c>
      <c r="C15" s="30">
        <v>-10.191666666666666</v>
      </c>
      <c r="D15" s="35">
        <v>2.25</v>
      </c>
      <c r="E15" s="31">
        <v>0.16666666666666666</v>
      </c>
      <c r="F15" s="31">
        <v>0.41666666666666669</v>
      </c>
      <c r="G15" s="31">
        <v>0.30303030303030304</v>
      </c>
      <c r="H15" s="31">
        <v>0.15151515151515152</v>
      </c>
      <c r="I15" s="32">
        <v>7470</v>
      </c>
      <c r="J15" s="32">
        <v>-10940</v>
      </c>
      <c r="K15" s="31">
        <v>0.16666666666666666</v>
      </c>
      <c r="L15" s="31">
        <v>0.21212121212121213</v>
      </c>
      <c r="M15" s="31">
        <v>0.16161616161616163</v>
      </c>
      <c r="N15" s="31">
        <v>0.7142857142857143</v>
      </c>
      <c r="O15" s="31">
        <v>0.1875</v>
      </c>
      <c r="P15" s="31">
        <v>0.4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07D0A-DC5E-4E72-85A4-A5F7D5D6361E}">
  <sheetPr codeName="Sheet10"/>
  <dimension ref="A1:Q1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187</v>
      </c>
      <c r="B1" s="34" t="s">
        <v>187</v>
      </c>
      <c r="C1" s="34" t="s">
        <v>187</v>
      </c>
      <c r="D1" s="35" t="s">
        <v>187</v>
      </c>
      <c r="E1" s="34" t="s">
        <v>187</v>
      </c>
      <c r="F1" s="34" t="s">
        <v>187</v>
      </c>
      <c r="G1" s="34" t="s">
        <v>187</v>
      </c>
      <c r="H1" s="34" t="s">
        <v>187</v>
      </c>
      <c r="I1" s="34" t="s">
        <v>187</v>
      </c>
      <c r="J1" s="34" t="s">
        <v>187</v>
      </c>
      <c r="K1" s="34" t="s">
        <v>187</v>
      </c>
      <c r="L1" s="34" t="s">
        <v>187</v>
      </c>
      <c r="M1" s="34" t="s">
        <v>187</v>
      </c>
      <c r="N1" s="34" t="s">
        <v>187</v>
      </c>
      <c r="O1" s="34" t="s">
        <v>187</v>
      </c>
      <c r="P1" s="34" t="s">
        <v>187</v>
      </c>
      <c r="Q1" s="34" t="s">
        <v>187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51.5</v>
      </c>
      <c r="C4" s="30">
        <v>51.5</v>
      </c>
      <c r="D4" s="35">
        <v>1</v>
      </c>
      <c r="E4" s="31">
        <v>1</v>
      </c>
      <c r="F4" s="31">
        <v>0</v>
      </c>
      <c r="G4" s="31">
        <v>0.6</v>
      </c>
      <c r="H4" s="31">
        <v>0</v>
      </c>
      <c r="I4" s="32">
        <v>9333.3333333333339</v>
      </c>
      <c r="J4" s="32">
        <v>0</v>
      </c>
      <c r="K4" s="31">
        <v>0</v>
      </c>
      <c r="L4" s="31">
        <v>0.4</v>
      </c>
      <c r="M4" s="31">
        <v>0.2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21.3</v>
      </c>
      <c r="C5" s="30">
        <v>10.65</v>
      </c>
      <c r="D5" s="35">
        <v>2</v>
      </c>
      <c r="E5" s="31">
        <v>0.5</v>
      </c>
      <c r="F5" s="31">
        <v>0.5</v>
      </c>
      <c r="G5" s="31">
        <v>0.36363636363636365</v>
      </c>
      <c r="H5" s="31">
        <v>0.18181818181818182</v>
      </c>
      <c r="I5" s="32">
        <v>8000</v>
      </c>
      <c r="J5" s="32">
        <v>-6600</v>
      </c>
      <c r="K5" s="31">
        <v>0</v>
      </c>
      <c r="L5" s="31">
        <v>0.36363636363636365</v>
      </c>
      <c r="M5" s="31">
        <v>0.36363636363636365</v>
      </c>
      <c r="N5" s="31">
        <v>0.75</v>
      </c>
      <c r="O5" s="31">
        <v>0</v>
      </c>
      <c r="P5" s="31">
        <v>0.5</v>
      </c>
    </row>
    <row r="6" spans="1:17" x14ac:dyDescent="0.4">
      <c r="A6" s="33">
        <v>3</v>
      </c>
      <c r="B6" s="30">
        <v>-34.299999999999997</v>
      </c>
      <c r="C6" s="30">
        <v>-11.433333333333332</v>
      </c>
      <c r="D6" s="35">
        <v>2.3333333333333335</v>
      </c>
      <c r="E6" s="31">
        <v>0.33333333333333331</v>
      </c>
      <c r="F6" s="31">
        <v>0.66666666666666663</v>
      </c>
      <c r="G6" s="31">
        <v>0.31818181818181818</v>
      </c>
      <c r="H6" s="31">
        <v>0.18181818181818182</v>
      </c>
      <c r="I6" s="32">
        <v>5914.2857142857147</v>
      </c>
      <c r="J6" s="32">
        <v>-13300</v>
      </c>
      <c r="K6" s="31">
        <v>0.33333333333333331</v>
      </c>
      <c r="L6" s="31">
        <v>0.36363636363636365</v>
      </c>
      <c r="M6" s="31">
        <v>0.22727272727272727</v>
      </c>
      <c r="N6" s="31">
        <v>0.625</v>
      </c>
      <c r="O6" s="31">
        <v>0</v>
      </c>
      <c r="P6" s="31">
        <v>0.5714285714285714</v>
      </c>
    </row>
    <row r="7" spans="1:17" x14ac:dyDescent="0.4">
      <c r="A7" s="33">
        <v>4</v>
      </c>
      <c r="B7" s="30">
        <v>-34.9</v>
      </c>
      <c r="C7" s="30">
        <v>-8.7249999999999996</v>
      </c>
      <c r="D7" s="35">
        <v>2.25</v>
      </c>
      <c r="E7" s="31">
        <v>0.25</v>
      </c>
      <c r="F7" s="31">
        <v>0.5</v>
      </c>
      <c r="G7" s="31">
        <v>0.32142857142857145</v>
      </c>
      <c r="H7" s="31">
        <v>0.21428571428571427</v>
      </c>
      <c r="I7" s="32">
        <v>5777.7777777777774</v>
      </c>
      <c r="J7" s="32">
        <v>-10366.666666666666</v>
      </c>
      <c r="K7" s="31">
        <v>0.25</v>
      </c>
      <c r="L7" s="31">
        <v>0.39285714285714285</v>
      </c>
      <c r="M7" s="31">
        <v>0.25</v>
      </c>
      <c r="N7" s="31">
        <v>0.63636363636363635</v>
      </c>
      <c r="O7" s="31">
        <v>0</v>
      </c>
      <c r="P7" s="31">
        <v>0.44444444444444442</v>
      </c>
    </row>
    <row r="8" spans="1:17" x14ac:dyDescent="0.4">
      <c r="A8" s="33">
        <v>5</v>
      </c>
      <c r="B8" s="30">
        <v>-43.8</v>
      </c>
      <c r="C8" s="30">
        <v>-8.76</v>
      </c>
      <c r="D8" s="35">
        <v>2.2000000000000002</v>
      </c>
      <c r="E8" s="31">
        <v>0.2</v>
      </c>
      <c r="F8" s="31">
        <v>0.4</v>
      </c>
      <c r="G8" s="31">
        <v>0.29411764705882354</v>
      </c>
      <c r="H8" s="31">
        <v>0.23529411764705882</v>
      </c>
      <c r="I8" s="32">
        <v>6000</v>
      </c>
      <c r="J8" s="32">
        <v>-8425</v>
      </c>
      <c r="K8" s="31">
        <v>0.2</v>
      </c>
      <c r="L8" s="31">
        <v>0.35294117647058826</v>
      </c>
      <c r="M8" s="31">
        <v>0.23529411764705882</v>
      </c>
      <c r="N8" s="31">
        <v>0.66666666666666663</v>
      </c>
      <c r="O8" s="31">
        <v>0</v>
      </c>
      <c r="P8" s="31">
        <v>0.4</v>
      </c>
    </row>
    <row r="9" spans="1:17" x14ac:dyDescent="0.4">
      <c r="A9" s="33">
        <v>6</v>
      </c>
      <c r="B9" s="30">
        <v>-42.4</v>
      </c>
      <c r="C9" s="30">
        <v>-7.0666666666666664</v>
      </c>
      <c r="D9" s="35">
        <v>2.1666666666666665</v>
      </c>
      <c r="E9" s="31">
        <v>0.16666666666666666</v>
      </c>
      <c r="F9" s="31">
        <v>0.33333333333333331</v>
      </c>
      <c r="G9" s="31">
        <v>0.32558139534883723</v>
      </c>
      <c r="H9" s="31">
        <v>0.18604651162790697</v>
      </c>
      <c r="I9" s="32">
        <v>5814.2857142857147</v>
      </c>
      <c r="J9" s="32">
        <v>-8425</v>
      </c>
      <c r="K9" s="31">
        <v>0.16666666666666666</v>
      </c>
      <c r="L9" s="31">
        <v>0.32558139534883723</v>
      </c>
      <c r="M9" s="31">
        <v>0.20930232558139536</v>
      </c>
      <c r="N9" s="31">
        <v>0.7142857142857143</v>
      </c>
      <c r="O9" s="31">
        <v>0.1111111111111111</v>
      </c>
      <c r="P9" s="31">
        <v>0.2857142857142857</v>
      </c>
    </row>
    <row r="10" spans="1:17" x14ac:dyDescent="0.4">
      <c r="A10" s="33">
        <v>7</v>
      </c>
      <c r="B10" s="30">
        <v>-8.7999999999999972</v>
      </c>
      <c r="C10" s="30">
        <v>-1.2571428571428567</v>
      </c>
      <c r="D10" s="35">
        <v>2</v>
      </c>
      <c r="E10" s="31">
        <v>0.2857142857142857</v>
      </c>
      <c r="F10" s="31">
        <v>0.2857142857142857</v>
      </c>
      <c r="G10" s="31">
        <v>0.34</v>
      </c>
      <c r="H10" s="31">
        <v>0.2</v>
      </c>
      <c r="I10" s="32">
        <v>6335.2941176470586</v>
      </c>
      <c r="J10" s="32">
        <v>-7800</v>
      </c>
      <c r="K10" s="31">
        <v>0.14285714285714285</v>
      </c>
      <c r="L10" s="31">
        <v>0.34</v>
      </c>
      <c r="M10" s="31">
        <v>0.26</v>
      </c>
      <c r="N10" s="31">
        <v>0.6470588235294118</v>
      </c>
      <c r="O10" s="31">
        <v>0.23076923076923078</v>
      </c>
      <c r="P10" s="31">
        <v>0.41176470588235292</v>
      </c>
    </row>
    <row r="11" spans="1:17" x14ac:dyDescent="0.4">
      <c r="A11" s="33">
        <v>8</v>
      </c>
      <c r="B11" s="30">
        <v>-0.99999999999999734</v>
      </c>
      <c r="C11" s="30">
        <v>-0.12499999999999967</v>
      </c>
      <c r="D11" s="35">
        <v>2</v>
      </c>
      <c r="E11" s="31">
        <v>0.25</v>
      </c>
      <c r="F11" s="31">
        <v>0.25</v>
      </c>
      <c r="G11" s="31">
        <v>0.33333333333333331</v>
      </c>
      <c r="H11" s="31">
        <v>0.2</v>
      </c>
      <c r="I11" s="32">
        <v>6205</v>
      </c>
      <c r="J11" s="32">
        <v>-6716.666666666667</v>
      </c>
      <c r="K11" s="31">
        <v>0.125</v>
      </c>
      <c r="L11" s="31">
        <v>0.33333333333333331</v>
      </c>
      <c r="M11" s="31">
        <v>0.23333333333333334</v>
      </c>
      <c r="N11" s="31">
        <v>0.7</v>
      </c>
      <c r="O11" s="31">
        <v>0.21428571428571427</v>
      </c>
      <c r="P11" s="31">
        <v>0.35</v>
      </c>
    </row>
    <row r="12" spans="1:17" x14ac:dyDescent="0.4">
      <c r="A12" s="33">
        <v>9</v>
      </c>
      <c r="B12" s="30">
        <v>60.4</v>
      </c>
      <c r="C12" s="30">
        <v>6.7111111111111112</v>
      </c>
      <c r="D12" s="35">
        <v>1.8888888888888888</v>
      </c>
      <c r="E12" s="31">
        <v>0.33333333333333331</v>
      </c>
      <c r="F12" s="31">
        <v>0.22222222222222221</v>
      </c>
      <c r="G12" s="31">
        <v>0.36619718309859156</v>
      </c>
      <c r="H12" s="31">
        <v>0.18309859154929578</v>
      </c>
      <c r="I12" s="32">
        <v>6861.5384615384619</v>
      </c>
      <c r="J12" s="32">
        <v>-7123.0769230769229</v>
      </c>
      <c r="K12" s="31">
        <v>0.1111111111111111</v>
      </c>
      <c r="L12" s="31">
        <v>0.3380281690140845</v>
      </c>
      <c r="M12" s="31">
        <v>0.23943661971830985</v>
      </c>
      <c r="N12" s="31">
        <v>0.70833333333333337</v>
      </c>
      <c r="O12" s="31">
        <v>0.29411764705882354</v>
      </c>
      <c r="P12" s="31">
        <v>0.42307692307692307</v>
      </c>
    </row>
    <row r="13" spans="1:17" x14ac:dyDescent="0.4">
      <c r="A13" s="33">
        <v>10</v>
      </c>
      <c r="B13" s="30">
        <v>14.399999999999999</v>
      </c>
      <c r="C13" s="30">
        <v>1.44</v>
      </c>
      <c r="D13" s="35">
        <v>2</v>
      </c>
      <c r="E13" s="31">
        <v>0.3</v>
      </c>
      <c r="F13" s="31">
        <v>0.3</v>
      </c>
      <c r="G13" s="31">
        <v>0.32941176470588235</v>
      </c>
      <c r="H13" s="31">
        <v>0.17647058823529413</v>
      </c>
      <c r="I13" s="32">
        <v>6842.8571428571431</v>
      </c>
      <c r="J13" s="32">
        <v>-7613.333333333333</v>
      </c>
      <c r="K13" s="31">
        <v>0.1</v>
      </c>
      <c r="L13" s="31">
        <v>0.30588235294117649</v>
      </c>
      <c r="M13" s="31">
        <v>0.22352941176470589</v>
      </c>
      <c r="N13" s="31">
        <v>0.69230769230769229</v>
      </c>
      <c r="O13" s="31">
        <v>0.31578947368421051</v>
      </c>
      <c r="P13" s="31">
        <v>0.39285714285714285</v>
      </c>
    </row>
    <row r="14" spans="1:17" x14ac:dyDescent="0.4">
      <c r="A14" s="33">
        <v>11</v>
      </c>
      <c r="B14" s="30">
        <v>45.7</v>
      </c>
      <c r="C14" s="30">
        <v>4.1545454545454552</v>
      </c>
      <c r="D14" s="35">
        <v>1.9090909090909092</v>
      </c>
      <c r="E14" s="31">
        <v>0.36363636363636365</v>
      </c>
      <c r="F14" s="31">
        <v>0.27272727272727271</v>
      </c>
      <c r="G14" s="31">
        <v>0.33333333333333331</v>
      </c>
      <c r="H14" s="31">
        <v>0.16666666666666666</v>
      </c>
      <c r="I14" s="32">
        <v>6690.625</v>
      </c>
      <c r="J14" s="32">
        <v>-7537.5</v>
      </c>
      <c r="K14" s="31">
        <v>9.0909090909090912E-2</v>
      </c>
      <c r="L14" s="31">
        <v>0.32291666666666669</v>
      </c>
      <c r="M14" s="31">
        <v>0.20833333333333334</v>
      </c>
      <c r="N14" s="31">
        <v>0.67741935483870963</v>
      </c>
      <c r="O14" s="31">
        <v>0.3</v>
      </c>
      <c r="P14" s="31">
        <v>0.375</v>
      </c>
    </row>
    <row r="15" spans="1:17" x14ac:dyDescent="0.4">
      <c r="A15" s="33">
        <v>12</v>
      </c>
      <c r="B15" s="30">
        <v>115.3</v>
      </c>
      <c r="C15" s="30">
        <v>9.6083333333333325</v>
      </c>
      <c r="D15" s="35">
        <v>1.8333333333333333</v>
      </c>
      <c r="E15" s="31">
        <v>0.41666666666666669</v>
      </c>
      <c r="F15" s="31">
        <v>0.25</v>
      </c>
      <c r="G15" s="31">
        <v>0.35514018691588783</v>
      </c>
      <c r="H15" s="31">
        <v>0.14953271028037382</v>
      </c>
      <c r="I15" s="32">
        <v>7205.2631578947367</v>
      </c>
      <c r="J15" s="32">
        <v>-7537.5</v>
      </c>
      <c r="K15" s="31">
        <v>8.3333333333333329E-2</v>
      </c>
      <c r="L15" s="31">
        <v>0.31775700934579437</v>
      </c>
      <c r="M15" s="31">
        <v>0.23364485981308411</v>
      </c>
      <c r="N15" s="31">
        <v>0.70588235294117652</v>
      </c>
      <c r="O15" s="31">
        <v>0.36</v>
      </c>
      <c r="P15" s="31">
        <v>0.44736842105263158</v>
      </c>
    </row>
    <row r="16" spans="1:17" x14ac:dyDescent="0.4">
      <c r="A16" s="33">
        <v>13</v>
      </c>
      <c r="B16" s="30">
        <v>69.900000000000006</v>
      </c>
      <c r="C16" s="30">
        <v>5.3769230769230774</v>
      </c>
      <c r="D16" s="35">
        <v>1.9230769230769231</v>
      </c>
      <c r="E16" s="31">
        <v>0.38461538461538464</v>
      </c>
      <c r="F16" s="31">
        <v>0.30769230769230771</v>
      </c>
      <c r="G16" s="31">
        <v>0.33913043478260868</v>
      </c>
      <c r="H16" s="31">
        <v>0.15652173913043479</v>
      </c>
      <c r="I16" s="32">
        <v>7156.4102564102568</v>
      </c>
      <c r="J16" s="32">
        <v>-7255.5555555555557</v>
      </c>
      <c r="K16" s="31">
        <v>7.6923076923076927E-2</v>
      </c>
      <c r="L16" s="31">
        <v>0.29565217391304349</v>
      </c>
      <c r="M16" s="31">
        <v>0.24347826086956523</v>
      </c>
      <c r="N16" s="31">
        <v>0.70588235294117652</v>
      </c>
      <c r="O16" s="31">
        <v>0.32142857142857145</v>
      </c>
      <c r="P16" s="31">
        <v>0.46153846153846156</v>
      </c>
    </row>
    <row r="17" spans="1:16" x14ac:dyDescent="0.4">
      <c r="A17" s="33">
        <v>14</v>
      </c>
      <c r="B17" s="30">
        <v>114.80000000000001</v>
      </c>
      <c r="C17" s="30">
        <v>8.2000000000000011</v>
      </c>
      <c r="D17" s="35">
        <v>1.8571428571428572</v>
      </c>
      <c r="E17" s="31">
        <v>0.42857142857142855</v>
      </c>
      <c r="F17" s="31">
        <v>0.2857142857142857</v>
      </c>
      <c r="G17" s="31">
        <v>0.33333333333333331</v>
      </c>
      <c r="H17" s="31">
        <v>0.15447154471544716</v>
      </c>
      <c r="I17" s="32">
        <v>7392.6829268292686</v>
      </c>
      <c r="J17" s="32">
        <v>-7010.5263157894733</v>
      </c>
      <c r="K17" s="31">
        <v>7.1428571428571425E-2</v>
      </c>
      <c r="L17" s="31">
        <v>0.28455284552845528</v>
      </c>
      <c r="M17" s="31">
        <v>0.23577235772357724</v>
      </c>
      <c r="N17" s="31">
        <v>0.7142857142857143</v>
      </c>
      <c r="O17" s="31">
        <v>0.31034482758620691</v>
      </c>
      <c r="P17" s="31">
        <v>0.48780487804878048</v>
      </c>
    </row>
    <row r="18" spans="1:16" x14ac:dyDescent="0.4">
      <c r="A18" s="33">
        <v>15</v>
      </c>
      <c r="B18" s="30">
        <v>161.9</v>
      </c>
      <c r="C18" s="30">
        <v>10.793333333333333</v>
      </c>
      <c r="D18" s="35">
        <v>1.8</v>
      </c>
      <c r="E18" s="31">
        <v>0.46666666666666667</v>
      </c>
      <c r="F18" s="31">
        <v>0.26666666666666666</v>
      </c>
      <c r="G18" s="31">
        <v>0.34090909090909088</v>
      </c>
      <c r="H18" s="31">
        <v>0.14393939393939395</v>
      </c>
      <c r="I18" s="32">
        <v>7735.5555555555557</v>
      </c>
      <c r="J18" s="32">
        <v>-7010.5263157894733</v>
      </c>
      <c r="K18" s="31">
        <v>6.6666666666666666E-2</v>
      </c>
      <c r="L18" s="31">
        <v>0.27272727272727271</v>
      </c>
      <c r="M18" s="31">
        <v>0.23484848484848486</v>
      </c>
      <c r="N18" s="31">
        <v>0.72222222222222221</v>
      </c>
      <c r="O18" s="31">
        <v>0.32258064516129031</v>
      </c>
      <c r="P18" s="31">
        <v>0.48888888888888887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6728-8022-444E-A6A2-FC85DB14E03E}">
  <sheetPr codeName="Sheet8"/>
  <dimension ref="A1:Q1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162</v>
      </c>
      <c r="B1" s="34" t="s">
        <v>162</v>
      </c>
      <c r="C1" s="34" t="s">
        <v>162</v>
      </c>
      <c r="D1" s="35" t="s">
        <v>162</v>
      </c>
      <c r="E1" s="34" t="s">
        <v>162</v>
      </c>
      <c r="F1" s="34" t="s">
        <v>162</v>
      </c>
      <c r="G1" s="34" t="s">
        <v>162</v>
      </c>
      <c r="H1" s="34" t="s">
        <v>162</v>
      </c>
      <c r="I1" s="34" t="s">
        <v>162</v>
      </c>
      <c r="J1" s="34" t="s">
        <v>162</v>
      </c>
      <c r="K1" s="34" t="s">
        <v>162</v>
      </c>
      <c r="L1" s="34" t="s">
        <v>162</v>
      </c>
      <c r="M1" s="34" t="s">
        <v>162</v>
      </c>
      <c r="N1" s="34" t="s">
        <v>162</v>
      </c>
      <c r="O1" s="34" t="s">
        <v>162</v>
      </c>
      <c r="P1" s="34" t="s">
        <v>162</v>
      </c>
      <c r="Q1" s="34" t="s">
        <v>162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-58</v>
      </c>
      <c r="C4" s="30">
        <v>-58</v>
      </c>
      <c r="D4" s="35">
        <v>3</v>
      </c>
      <c r="E4" s="31">
        <v>0</v>
      </c>
      <c r="F4" s="31">
        <v>1</v>
      </c>
      <c r="G4" s="31">
        <v>0</v>
      </c>
      <c r="H4" s="31">
        <v>0.6</v>
      </c>
      <c r="I4" s="32">
        <v>0</v>
      </c>
      <c r="J4" s="32">
        <v>-12000</v>
      </c>
      <c r="K4" s="31">
        <v>1</v>
      </c>
      <c r="L4" s="31">
        <v>0.2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-13.700000000000003</v>
      </c>
      <c r="C5" s="30">
        <v>-6.8500000000000014</v>
      </c>
      <c r="D5" s="35">
        <v>2</v>
      </c>
      <c r="E5" s="31">
        <v>0.5</v>
      </c>
      <c r="F5" s="31">
        <v>0.5</v>
      </c>
      <c r="G5" s="31">
        <v>0.125</v>
      </c>
      <c r="H5" s="31">
        <v>0.25</v>
      </c>
      <c r="I5" s="32">
        <v>18000</v>
      </c>
      <c r="J5" s="32">
        <v>-10300</v>
      </c>
      <c r="K5" s="31">
        <v>0.5</v>
      </c>
      <c r="L5" s="31">
        <v>0.25</v>
      </c>
      <c r="M5" s="31">
        <v>0.1875</v>
      </c>
      <c r="N5" s="31">
        <v>0.5</v>
      </c>
      <c r="O5" s="31">
        <v>0</v>
      </c>
      <c r="P5" s="31">
        <v>0</v>
      </c>
    </row>
    <row r="6" spans="1:17" x14ac:dyDescent="0.4">
      <c r="A6" s="33">
        <v>3</v>
      </c>
      <c r="B6" s="30">
        <v>7.8999999999999986</v>
      </c>
      <c r="C6" s="30">
        <v>2.6333333333333329</v>
      </c>
      <c r="D6" s="35">
        <v>1.6666666666666667</v>
      </c>
      <c r="E6" s="31">
        <v>0.66666666666666663</v>
      </c>
      <c r="F6" s="31">
        <v>0.33333333333333331</v>
      </c>
      <c r="G6" s="31">
        <v>0.18181818181818182</v>
      </c>
      <c r="H6" s="31">
        <v>0.27272727272727271</v>
      </c>
      <c r="I6" s="32">
        <v>11800</v>
      </c>
      <c r="J6" s="32">
        <v>-8633.3333333333339</v>
      </c>
      <c r="K6" s="31">
        <v>0.33333333333333331</v>
      </c>
      <c r="L6" s="31">
        <v>0.22727272727272727</v>
      </c>
      <c r="M6" s="31">
        <v>0.18181818181818182</v>
      </c>
      <c r="N6" s="31">
        <v>0.6</v>
      </c>
      <c r="O6" s="31">
        <v>0</v>
      </c>
      <c r="P6" s="31">
        <v>0.25</v>
      </c>
    </row>
    <row r="7" spans="1:17" x14ac:dyDescent="0.4">
      <c r="A7" s="33">
        <v>4</v>
      </c>
      <c r="B7" s="30">
        <v>50.4</v>
      </c>
      <c r="C7" s="30">
        <v>12.6</v>
      </c>
      <c r="D7" s="35">
        <v>1.5</v>
      </c>
      <c r="E7" s="31">
        <v>0.75</v>
      </c>
      <c r="F7" s="31">
        <v>0.25</v>
      </c>
      <c r="G7" s="31">
        <v>0.25</v>
      </c>
      <c r="H7" s="31">
        <v>0.21428571428571427</v>
      </c>
      <c r="I7" s="32">
        <v>9928.5714285714294</v>
      </c>
      <c r="J7" s="32">
        <v>-8633.3333333333339</v>
      </c>
      <c r="K7" s="31">
        <v>0.25</v>
      </c>
      <c r="L7" s="31">
        <v>0.21428571428571427</v>
      </c>
      <c r="M7" s="31">
        <v>0.17857142857142858</v>
      </c>
      <c r="N7" s="31">
        <v>0.66666666666666663</v>
      </c>
      <c r="O7" s="31">
        <v>0</v>
      </c>
      <c r="P7" s="31">
        <v>0.42857142857142855</v>
      </c>
    </row>
    <row r="8" spans="1:17" x14ac:dyDescent="0.4">
      <c r="A8" s="33">
        <v>5</v>
      </c>
      <c r="B8" s="30">
        <v>81.7</v>
      </c>
      <c r="C8" s="30">
        <v>16.34</v>
      </c>
      <c r="D8" s="35">
        <v>1.4</v>
      </c>
      <c r="E8" s="31">
        <v>0.8</v>
      </c>
      <c r="F8" s="31">
        <v>0.2</v>
      </c>
      <c r="G8" s="31">
        <v>0.27027027027027029</v>
      </c>
      <c r="H8" s="31">
        <v>0.24324324324324326</v>
      </c>
      <c r="I8" s="32">
        <v>10320</v>
      </c>
      <c r="J8" s="32">
        <v>-7966.666666666667</v>
      </c>
      <c r="K8" s="31">
        <v>0.2</v>
      </c>
      <c r="L8" s="31">
        <v>0.21621621621621623</v>
      </c>
      <c r="M8" s="31">
        <v>0.21621621621621623</v>
      </c>
      <c r="N8" s="31">
        <v>0.75</v>
      </c>
      <c r="O8" s="31">
        <v>0.125</v>
      </c>
      <c r="P8" s="31">
        <v>0.5</v>
      </c>
    </row>
    <row r="9" spans="1:17" x14ac:dyDescent="0.4">
      <c r="A9" s="33">
        <v>6</v>
      </c>
      <c r="B9" s="30">
        <v>40.5</v>
      </c>
      <c r="C9" s="30">
        <v>6.75</v>
      </c>
      <c r="D9" s="35">
        <v>1.6666666666666667</v>
      </c>
      <c r="E9" s="31">
        <v>0.66666666666666663</v>
      </c>
      <c r="F9" s="31">
        <v>0.33333333333333331</v>
      </c>
      <c r="G9" s="31">
        <v>0.25</v>
      </c>
      <c r="H9" s="31">
        <v>0.22727272727272727</v>
      </c>
      <c r="I9" s="32">
        <v>9636.363636363636</v>
      </c>
      <c r="J9" s="32">
        <v>-7970</v>
      </c>
      <c r="K9" s="31">
        <v>0.16666666666666666</v>
      </c>
      <c r="L9" s="31">
        <v>0.25</v>
      </c>
      <c r="M9" s="31">
        <v>0.22727272727272727</v>
      </c>
      <c r="N9" s="31">
        <v>0.63636363636363635</v>
      </c>
      <c r="O9" s="31">
        <v>0.1</v>
      </c>
      <c r="P9" s="31">
        <v>0.54545454545454541</v>
      </c>
    </row>
    <row r="10" spans="1:17" x14ac:dyDescent="0.4">
      <c r="A10" s="33">
        <v>7</v>
      </c>
      <c r="B10" s="30">
        <v>-14.5</v>
      </c>
      <c r="C10" s="30">
        <v>-2.0714285714285716</v>
      </c>
      <c r="D10" s="35">
        <v>1.8571428571428572</v>
      </c>
      <c r="E10" s="31">
        <v>0.5714285714285714</v>
      </c>
      <c r="F10" s="31">
        <v>0.42857142857142855</v>
      </c>
      <c r="G10" s="31">
        <v>0.23636363636363636</v>
      </c>
      <c r="H10" s="31">
        <v>0.23636363636363636</v>
      </c>
      <c r="I10" s="32">
        <v>9369.2307692307695</v>
      </c>
      <c r="J10" s="32">
        <v>-8161.5384615384619</v>
      </c>
      <c r="K10" s="31">
        <v>0.14285714285714285</v>
      </c>
      <c r="L10" s="31">
        <v>0.23636363636363636</v>
      </c>
      <c r="M10" s="31">
        <v>0.2</v>
      </c>
      <c r="N10" s="31">
        <v>0.61538461538461542</v>
      </c>
      <c r="O10" s="31">
        <v>9.0909090909090912E-2</v>
      </c>
      <c r="P10" s="31">
        <v>0.61538461538461542</v>
      </c>
    </row>
    <row r="11" spans="1:17" x14ac:dyDescent="0.4">
      <c r="A11" s="33">
        <v>8</v>
      </c>
      <c r="B11" s="30">
        <v>-29.2</v>
      </c>
      <c r="C11" s="30">
        <v>-3.65</v>
      </c>
      <c r="D11" s="35">
        <v>1.875</v>
      </c>
      <c r="E11" s="31">
        <v>0.5</v>
      </c>
      <c r="F11" s="31">
        <v>0.375</v>
      </c>
      <c r="G11" s="31">
        <v>0.22950819672131148</v>
      </c>
      <c r="H11" s="31">
        <v>0.21311475409836064</v>
      </c>
      <c r="I11" s="32">
        <v>9271.4285714285706</v>
      </c>
      <c r="J11" s="32">
        <v>-8161.5384615384619</v>
      </c>
      <c r="K11" s="31">
        <v>0.125</v>
      </c>
      <c r="L11" s="31">
        <v>0.29508196721311475</v>
      </c>
      <c r="M11" s="31">
        <v>0.18032786885245902</v>
      </c>
      <c r="N11" s="31">
        <v>0.5</v>
      </c>
      <c r="O11" s="31">
        <v>9.0909090909090912E-2</v>
      </c>
      <c r="P11" s="31">
        <v>0.5714285714285714</v>
      </c>
    </row>
    <row r="12" spans="1:17" x14ac:dyDescent="0.4">
      <c r="A12" s="33">
        <v>9</v>
      </c>
      <c r="B12" s="30">
        <v>-55.2</v>
      </c>
      <c r="C12" s="30">
        <v>-6.1333333333333337</v>
      </c>
      <c r="D12" s="35">
        <v>2</v>
      </c>
      <c r="E12" s="31">
        <v>0.44444444444444442</v>
      </c>
      <c r="F12" s="31">
        <v>0.44444444444444442</v>
      </c>
      <c r="G12" s="31">
        <v>0.22222222222222221</v>
      </c>
      <c r="H12" s="31">
        <v>0.20833333333333334</v>
      </c>
      <c r="I12" s="32">
        <v>9237.5</v>
      </c>
      <c r="J12" s="32">
        <v>-8386.6666666666661</v>
      </c>
      <c r="K12" s="31">
        <v>0.1111111111111111</v>
      </c>
      <c r="L12" s="31">
        <v>0.31944444444444442</v>
      </c>
      <c r="M12" s="31">
        <v>0.22222222222222221</v>
      </c>
      <c r="N12" s="31">
        <v>0.47826086956521741</v>
      </c>
      <c r="O12" s="31">
        <v>6.25E-2</v>
      </c>
      <c r="P12" s="31">
        <v>0.5625</v>
      </c>
    </row>
    <row r="13" spans="1:17" x14ac:dyDescent="0.4">
      <c r="A13" s="33">
        <v>10</v>
      </c>
      <c r="B13" s="30">
        <v>-65.900000000000006</v>
      </c>
      <c r="C13" s="30">
        <v>-6.5900000000000007</v>
      </c>
      <c r="D13" s="35">
        <v>2</v>
      </c>
      <c r="E13" s="31">
        <v>0.4</v>
      </c>
      <c r="F13" s="31">
        <v>0.4</v>
      </c>
      <c r="G13" s="31">
        <v>0.21686746987951808</v>
      </c>
      <c r="H13" s="31">
        <v>0.18072289156626506</v>
      </c>
      <c r="I13" s="32">
        <v>9255.5555555555547</v>
      </c>
      <c r="J13" s="32">
        <v>-8386.6666666666661</v>
      </c>
      <c r="K13" s="31">
        <v>0.1</v>
      </c>
      <c r="L13" s="31">
        <v>0.33734939759036142</v>
      </c>
      <c r="M13" s="31">
        <v>0.19277108433734941</v>
      </c>
      <c r="N13" s="31">
        <v>0.4642857142857143</v>
      </c>
      <c r="O13" s="31">
        <v>6.25E-2</v>
      </c>
      <c r="P13" s="31">
        <v>0.61111111111111116</v>
      </c>
    </row>
    <row r="14" spans="1:17" x14ac:dyDescent="0.4">
      <c r="A14" s="33">
        <v>11</v>
      </c>
      <c r="B14" s="30">
        <v>-72.300000000000011</v>
      </c>
      <c r="C14" s="30">
        <v>-6.5727272727272741</v>
      </c>
      <c r="D14" s="35">
        <v>2</v>
      </c>
      <c r="E14" s="31">
        <v>0.36363636363636365</v>
      </c>
      <c r="F14" s="31">
        <v>0.36363636363636365</v>
      </c>
      <c r="G14" s="31">
        <v>0.24175824175824176</v>
      </c>
      <c r="H14" s="31">
        <v>0.18681318681318682</v>
      </c>
      <c r="I14" s="32">
        <v>8700</v>
      </c>
      <c r="J14" s="32">
        <v>-8411.7647058823532</v>
      </c>
      <c r="K14" s="31">
        <v>9.0909090909090912E-2</v>
      </c>
      <c r="L14" s="31">
        <v>0.32967032967032966</v>
      </c>
      <c r="M14" s="31">
        <v>0.2087912087912088</v>
      </c>
      <c r="N14" s="31">
        <v>0.5</v>
      </c>
      <c r="O14" s="31">
        <v>0.15789473684210525</v>
      </c>
      <c r="P14" s="31">
        <v>0.59090909090909094</v>
      </c>
    </row>
    <row r="15" spans="1:17" x14ac:dyDescent="0.4">
      <c r="A15" s="33">
        <v>12</v>
      </c>
      <c r="B15" s="30">
        <v>-67.800000000000011</v>
      </c>
      <c r="C15" s="30">
        <v>-5.6500000000000012</v>
      </c>
      <c r="D15" s="35">
        <v>2</v>
      </c>
      <c r="E15" s="31">
        <v>0.33333333333333331</v>
      </c>
      <c r="F15" s="31">
        <v>0.33333333333333331</v>
      </c>
      <c r="G15" s="31">
        <v>0.25773195876288657</v>
      </c>
      <c r="H15" s="31">
        <v>0.19587628865979381</v>
      </c>
      <c r="I15" s="32">
        <v>8536</v>
      </c>
      <c r="J15" s="32">
        <v>-8221.0526315789466</v>
      </c>
      <c r="K15" s="31">
        <v>8.3333333333333329E-2</v>
      </c>
      <c r="L15" s="31">
        <v>0.35051546391752575</v>
      </c>
      <c r="M15" s="31">
        <v>0.19587628865979381</v>
      </c>
      <c r="N15" s="31">
        <v>0.52941176470588236</v>
      </c>
      <c r="O15" s="31">
        <v>0.15789473684210525</v>
      </c>
      <c r="P15" s="31">
        <v>0.52</v>
      </c>
    </row>
    <row r="16" spans="1:17" x14ac:dyDescent="0.4">
      <c r="A16" s="33">
        <v>13</v>
      </c>
      <c r="B16" s="30">
        <v>-120.60000000000001</v>
      </c>
      <c r="C16" s="30">
        <v>-9.2769230769230777</v>
      </c>
      <c r="D16" s="35">
        <v>2.0769230769230771</v>
      </c>
      <c r="E16" s="31">
        <v>0.30769230769230771</v>
      </c>
      <c r="F16" s="31">
        <v>0.38461538461538464</v>
      </c>
      <c r="G16" s="31">
        <v>0.24528301886792453</v>
      </c>
      <c r="H16" s="31">
        <v>0.18867924528301888</v>
      </c>
      <c r="I16" s="32">
        <v>8669.2307692307695</v>
      </c>
      <c r="J16" s="32">
        <v>-8410</v>
      </c>
      <c r="K16" s="31">
        <v>7.6923076923076927E-2</v>
      </c>
      <c r="L16" s="31">
        <v>0.35849056603773582</v>
      </c>
      <c r="M16" s="31">
        <v>0.18867924528301888</v>
      </c>
      <c r="N16" s="31">
        <v>0.5</v>
      </c>
      <c r="O16" s="31">
        <v>0.15</v>
      </c>
      <c r="P16" s="31">
        <v>0.53846153846153844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579BC-3122-43D0-A00C-1494641990BC}">
  <sheetPr codeName="Sheet6"/>
  <dimension ref="A1:Q2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138</v>
      </c>
      <c r="B1" s="34" t="s">
        <v>138</v>
      </c>
      <c r="C1" s="34" t="s">
        <v>138</v>
      </c>
      <c r="D1" s="35" t="s">
        <v>138</v>
      </c>
      <c r="E1" s="34" t="s">
        <v>138</v>
      </c>
      <c r="F1" s="34" t="s">
        <v>138</v>
      </c>
      <c r="G1" s="34" t="s">
        <v>138</v>
      </c>
      <c r="H1" s="34" t="s">
        <v>138</v>
      </c>
      <c r="I1" s="34" t="s">
        <v>138</v>
      </c>
      <c r="J1" s="34" t="s">
        <v>138</v>
      </c>
      <c r="K1" s="34" t="s">
        <v>138</v>
      </c>
      <c r="L1" s="34" t="s">
        <v>138</v>
      </c>
      <c r="M1" s="34" t="s">
        <v>138</v>
      </c>
      <c r="N1" s="34" t="s">
        <v>138</v>
      </c>
      <c r="O1" s="34" t="s">
        <v>138</v>
      </c>
      <c r="P1" s="34" t="s">
        <v>138</v>
      </c>
      <c r="Q1" s="34" t="s">
        <v>138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0.26666666666666666</v>
      </c>
      <c r="H4" s="31">
        <v>0.2</v>
      </c>
      <c r="I4" s="32">
        <v>10000</v>
      </c>
      <c r="J4" s="32">
        <v>-12000</v>
      </c>
      <c r="K4" s="31">
        <v>0.33333333333333331</v>
      </c>
      <c r="L4" s="31">
        <v>0.26666666666666666</v>
      </c>
      <c r="M4" s="31">
        <v>6.6666666666666666E-2</v>
      </c>
      <c r="N4" s="31">
        <v>0.75</v>
      </c>
      <c r="O4" s="31">
        <v>0</v>
      </c>
      <c r="P4" s="31">
        <v>0.25</v>
      </c>
    </row>
    <row r="5" spans="1:17" x14ac:dyDescent="0.4">
      <c r="A5" s="33">
        <v>2</v>
      </c>
      <c r="B5" s="30">
        <v>1.4432899320127035E-15</v>
      </c>
      <c r="C5" s="30">
        <v>2.4054832200211723E-16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0.24242424242424243</v>
      </c>
      <c r="I5" s="32">
        <v>7570</v>
      </c>
      <c r="J5" s="32">
        <v>-8462.5</v>
      </c>
      <c r="K5" s="31">
        <v>0.16666666666666666</v>
      </c>
      <c r="L5" s="31">
        <v>0.33333333333333331</v>
      </c>
      <c r="M5" s="31">
        <v>0.15151515151515152</v>
      </c>
      <c r="N5" s="31">
        <v>0.72727272727272729</v>
      </c>
      <c r="O5" s="31">
        <v>0.2</v>
      </c>
      <c r="P5" s="31">
        <v>0.2</v>
      </c>
    </row>
    <row r="6" spans="1:17" x14ac:dyDescent="0.4">
      <c r="A6" s="33">
        <v>3</v>
      </c>
      <c r="B6" s="30">
        <v>-3.5527136788005009E-15</v>
      </c>
      <c r="C6" s="30">
        <v>-3.9474596431116675E-16</v>
      </c>
      <c r="D6" s="35">
        <v>2</v>
      </c>
      <c r="E6" s="31">
        <v>0.33333333333333331</v>
      </c>
      <c r="F6" s="31">
        <v>0.33333333333333331</v>
      </c>
      <c r="G6" s="31">
        <v>0.27272727272727271</v>
      </c>
      <c r="H6" s="31">
        <v>0.19696969696969696</v>
      </c>
      <c r="I6" s="32">
        <v>9116.6666666666661</v>
      </c>
      <c r="J6" s="32">
        <v>-11453.846153846154</v>
      </c>
      <c r="K6" s="31">
        <v>0.22222222222222221</v>
      </c>
      <c r="L6" s="31">
        <v>0.31818181818181818</v>
      </c>
      <c r="M6" s="31">
        <v>0.18181818181818182</v>
      </c>
      <c r="N6" s="31">
        <v>0.61904761904761907</v>
      </c>
      <c r="O6" s="31">
        <v>0.16666666666666666</v>
      </c>
      <c r="P6" s="31">
        <v>0.27777777777777779</v>
      </c>
    </row>
    <row r="7" spans="1:17" x14ac:dyDescent="0.4">
      <c r="A7" s="33">
        <v>4</v>
      </c>
      <c r="B7" s="30">
        <v>-3.5527136788005009E-15</v>
      </c>
      <c r="C7" s="30">
        <v>-2.9605947323337506E-16</v>
      </c>
      <c r="D7" s="35">
        <v>2</v>
      </c>
      <c r="E7" s="31">
        <v>0.33333333333333331</v>
      </c>
      <c r="F7" s="31">
        <v>0.33333333333333331</v>
      </c>
      <c r="G7" s="31">
        <v>0.2857142857142857</v>
      </c>
      <c r="H7" s="31">
        <v>0.21428571428571427</v>
      </c>
      <c r="I7" s="32">
        <v>8120.833333333333</v>
      </c>
      <c r="J7" s="32">
        <v>-9805.5555555555547</v>
      </c>
      <c r="K7" s="31">
        <v>0.16666666666666666</v>
      </c>
      <c r="L7" s="31">
        <v>0.29761904761904762</v>
      </c>
      <c r="M7" s="31">
        <v>0.20238095238095238</v>
      </c>
      <c r="N7" s="31">
        <v>0.64</v>
      </c>
      <c r="O7" s="31">
        <v>0.23529411764705882</v>
      </c>
      <c r="P7" s="31">
        <v>0.25</v>
      </c>
    </row>
    <row r="8" spans="1:17" x14ac:dyDescent="0.4">
      <c r="A8" s="33">
        <v>5</v>
      </c>
      <c r="B8" s="30">
        <v>0</v>
      </c>
      <c r="C8" s="30">
        <v>0</v>
      </c>
      <c r="D8" s="35">
        <v>2</v>
      </c>
      <c r="E8" s="31">
        <v>0.33333333333333331</v>
      </c>
      <c r="F8" s="31">
        <v>0.33333333333333331</v>
      </c>
      <c r="G8" s="31">
        <v>0.29411764705882354</v>
      </c>
      <c r="H8" s="31">
        <v>0.20588235294117646</v>
      </c>
      <c r="I8" s="32">
        <v>7663.333333333333</v>
      </c>
      <c r="J8" s="32">
        <v>-9033.3333333333339</v>
      </c>
      <c r="K8" s="31">
        <v>0.13333333333333333</v>
      </c>
      <c r="L8" s="31">
        <v>0.28431372549019607</v>
      </c>
      <c r="M8" s="31">
        <v>0.19607843137254902</v>
      </c>
      <c r="N8" s="31">
        <v>0.65517241379310343</v>
      </c>
      <c r="O8" s="31">
        <v>0.2</v>
      </c>
      <c r="P8" s="31">
        <v>0.3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0.29457364341085274</v>
      </c>
      <c r="H9" s="31">
        <v>0.20155038759689922</v>
      </c>
      <c r="I9" s="32">
        <v>7815.7894736842109</v>
      </c>
      <c r="J9" s="32">
        <v>-8415.3846153846152</v>
      </c>
      <c r="K9" s="31">
        <v>0.1111111111111111</v>
      </c>
      <c r="L9" s="31">
        <v>0.30232558139534882</v>
      </c>
      <c r="M9" s="31">
        <v>0.19379844961240311</v>
      </c>
      <c r="N9" s="31">
        <v>0.61538461538461542</v>
      </c>
      <c r="O9" s="31">
        <v>0.24</v>
      </c>
      <c r="P9" s="31">
        <v>0.31578947368421051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</v>
      </c>
      <c r="H10" s="31">
        <v>0.19333333333333333</v>
      </c>
      <c r="I10" s="32">
        <v>7660</v>
      </c>
      <c r="J10" s="32">
        <v>-8186.2068965517237</v>
      </c>
      <c r="K10" s="31">
        <v>9.5238095238095233E-2</v>
      </c>
      <c r="L10" s="31">
        <v>0.31333333333333335</v>
      </c>
      <c r="M10" s="31">
        <v>0.20666666666666667</v>
      </c>
      <c r="N10" s="31">
        <v>0.5957446808510638</v>
      </c>
      <c r="O10" s="31">
        <v>0.25806451612903225</v>
      </c>
      <c r="P10" s="31">
        <v>0.35555555555555557</v>
      </c>
    </row>
    <row r="11" spans="1:17" x14ac:dyDescent="0.4">
      <c r="A11" s="33">
        <v>8</v>
      </c>
      <c r="B11" s="30">
        <v>-4.4408920985006262E-15</v>
      </c>
      <c r="C11" s="30">
        <v>-1.8503717077085943E-16</v>
      </c>
      <c r="D11" s="35">
        <v>2</v>
      </c>
      <c r="E11" s="31">
        <v>0.33333333333333331</v>
      </c>
      <c r="F11" s="31">
        <v>0.33333333333333331</v>
      </c>
      <c r="G11" s="31">
        <v>0.3</v>
      </c>
      <c r="H11" s="31">
        <v>0.19444444444444445</v>
      </c>
      <c r="I11" s="32">
        <v>7309.2592592592591</v>
      </c>
      <c r="J11" s="32">
        <v>-7668.5714285714284</v>
      </c>
      <c r="K11" s="31">
        <v>8.3333333333333329E-2</v>
      </c>
      <c r="L11" s="31">
        <v>0.32222222222222224</v>
      </c>
      <c r="M11" s="31">
        <v>0.18333333333333332</v>
      </c>
      <c r="N11" s="31">
        <v>0.58620689655172409</v>
      </c>
      <c r="O11" s="31">
        <v>0.27272727272727271</v>
      </c>
      <c r="P11" s="31">
        <v>0.35185185185185186</v>
      </c>
    </row>
    <row r="12" spans="1:17" x14ac:dyDescent="0.4">
      <c r="A12" s="33">
        <v>9</v>
      </c>
      <c r="B12" s="30">
        <v>-8.8817841970012523E-15</v>
      </c>
      <c r="C12" s="30">
        <v>-3.2895497025930562E-16</v>
      </c>
      <c r="D12" s="35">
        <v>2</v>
      </c>
      <c r="E12" s="31">
        <v>0.33333333333333331</v>
      </c>
      <c r="F12" s="31">
        <v>0.33333333333333331</v>
      </c>
      <c r="G12" s="31">
        <v>0.30046948356807512</v>
      </c>
      <c r="H12" s="31">
        <v>0.18309859154929578</v>
      </c>
      <c r="I12" s="32">
        <v>7600</v>
      </c>
      <c r="J12" s="32">
        <v>-7866.666666666667</v>
      </c>
      <c r="K12" s="31">
        <v>7.407407407407407E-2</v>
      </c>
      <c r="L12" s="31">
        <v>0.31924882629107981</v>
      </c>
      <c r="M12" s="31">
        <v>0.17840375586854459</v>
      </c>
      <c r="N12" s="31">
        <v>0.57352941176470584</v>
      </c>
      <c r="O12" s="31">
        <v>0.28947368421052633</v>
      </c>
      <c r="P12" s="31">
        <v>0.390625</v>
      </c>
    </row>
    <row r="13" spans="1:17" x14ac:dyDescent="0.4">
      <c r="A13" s="33">
        <v>10</v>
      </c>
      <c r="B13" s="30">
        <v>-1.4210854715202004E-14</v>
      </c>
      <c r="C13" s="30">
        <v>-4.7369515717340012E-16</v>
      </c>
      <c r="D13" s="35">
        <v>2</v>
      </c>
      <c r="E13" s="31">
        <v>0.33333333333333331</v>
      </c>
      <c r="F13" s="31">
        <v>0.33333333333333331</v>
      </c>
      <c r="G13" s="31">
        <v>0.29803921568627451</v>
      </c>
      <c r="H13" s="31">
        <v>0.1803921568627451</v>
      </c>
      <c r="I13" s="32">
        <v>7621.0526315789475</v>
      </c>
      <c r="J13" s="32">
        <v>-7945.652173913043</v>
      </c>
      <c r="K13" s="31">
        <v>6.6666666666666666E-2</v>
      </c>
      <c r="L13" s="31">
        <v>0.29411764705882354</v>
      </c>
      <c r="M13" s="31">
        <v>0.17254901960784313</v>
      </c>
      <c r="N13" s="31">
        <v>0.58666666666666667</v>
      </c>
      <c r="O13" s="31">
        <v>0.29545454545454547</v>
      </c>
      <c r="P13" s="31">
        <v>0.39473684210526316</v>
      </c>
    </row>
    <row r="14" spans="1:17" x14ac:dyDescent="0.4">
      <c r="A14" s="33">
        <v>11</v>
      </c>
      <c r="B14" s="30">
        <v>-2.1316282072803006E-14</v>
      </c>
      <c r="C14" s="30">
        <v>-6.459479416000911E-16</v>
      </c>
      <c r="D14" s="35">
        <v>2</v>
      </c>
      <c r="E14" s="31">
        <v>0.33333333333333331</v>
      </c>
      <c r="F14" s="31">
        <v>0.33333333333333331</v>
      </c>
      <c r="G14" s="31">
        <v>0.2967032967032967</v>
      </c>
      <c r="H14" s="31">
        <v>0.17216117216117216</v>
      </c>
      <c r="I14" s="32">
        <v>7802.4691358024693</v>
      </c>
      <c r="J14" s="32">
        <v>-7946.8085106382978</v>
      </c>
      <c r="K14" s="31">
        <v>9.0909090909090912E-2</v>
      </c>
      <c r="L14" s="31">
        <v>0.31135531135531136</v>
      </c>
      <c r="M14" s="31">
        <v>0.16483516483516483</v>
      </c>
      <c r="N14" s="31">
        <v>0.56470588235294117</v>
      </c>
      <c r="O14" s="31">
        <v>0.28888888888888886</v>
      </c>
      <c r="P14" s="31">
        <v>0.41975308641975306</v>
      </c>
    </row>
    <row r="15" spans="1:17" x14ac:dyDescent="0.4">
      <c r="A15" s="33">
        <v>12</v>
      </c>
      <c r="B15" s="30">
        <v>-2.042810365310288E-14</v>
      </c>
      <c r="C15" s="30">
        <v>-5.6744732369730219E-16</v>
      </c>
      <c r="D15" s="35">
        <v>2</v>
      </c>
      <c r="E15" s="31">
        <v>0.33333333333333331</v>
      </c>
      <c r="F15" s="31">
        <v>0.33333333333333331</v>
      </c>
      <c r="G15" s="31">
        <v>0.29411764705882354</v>
      </c>
      <c r="H15" s="31">
        <v>0.17320261437908496</v>
      </c>
      <c r="I15" s="32">
        <v>7687.7777777777774</v>
      </c>
      <c r="J15" s="32">
        <v>-7864.1509433962265</v>
      </c>
      <c r="K15" s="31">
        <v>8.3333333333333329E-2</v>
      </c>
      <c r="L15" s="31">
        <v>0.32679738562091504</v>
      </c>
      <c r="M15" s="31">
        <v>0.16993464052287582</v>
      </c>
      <c r="N15" s="31">
        <v>0.55000000000000004</v>
      </c>
      <c r="O15" s="31">
        <v>0.25</v>
      </c>
      <c r="P15" s="31">
        <v>0.41111111111111109</v>
      </c>
    </row>
    <row r="16" spans="1:17" x14ac:dyDescent="0.4">
      <c r="A16" s="33">
        <v>13</v>
      </c>
      <c r="B16" s="30">
        <v>-2.4868995751603507E-14</v>
      </c>
      <c r="C16" s="30">
        <v>-6.3766655773342325E-16</v>
      </c>
      <c r="D16" s="35">
        <v>2</v>
      </c>
      <c r="E16" s="31">
        <v>0.33333333333333331</v>
      </c>
      <c r="F16" s="31">
        <v>0.33333333333333331</v>
      </c>
      <c r="G16" s="31">
        <v>0.29203539823008851</v>
      </c>
      <c r="H16" s="31">
        <v>0.15929203539823009</v>
      </c>
      <c r="I16" s="32">
        <v>7860.606060606061</v>
      </c>
      <c r="J16" s="32">
        <v>-8014.8148148148148</v>
      </c>
      <c r="K16" s="31">
        <v>0.10256410256410256</v>
      </c>
      <c r="L16" s="31">
        <v>0.32448377581120946</v>
      </c>
      <c r="M16" s="31">
        <v>0.17404129793510326</v>
      </c>
      <c r="N16" s="31">
        <v>0.55454545454545456</v>
      </c>
      <c r="O16" s="31">
        <v>0.2711864406779661</v>
      </c>
      <c r="P16" s="31">
        <v>0.45454545454545453</v>
      </c>
    </row>
    <row r="17" spans="1:16" x14ac:dyDescent="0.4">
      <c r="A17" s="33">
        <v>14</v>
      </c>
      <c r="B17" s="30">
        <v>-2.1316282072803006E-14</v>
      </c>
      <c r="C17" s="30">
        <v>-5.0753052554292868E-16</v>
      </c>
      <c r="D17" s="35">
        <v>2</v>
      </c>
      <c r="E17" s="31">
        <v>0.33333333333333331</v>
      </c>
      <c r="F17" s="31">
        <v>0.33333333333333331</v>
      </c>
      <c r="G17" s="31">
        <v>0.29476584022038566</v>
      </c>
      <c r="H17" s="31">
        <v>0.15977961432506887</v>
      </c>
      <c r="I17" s="32">
        <v>7939.2523364485978</v>
      </c>
      <c r="J17" s="32">
        <v>-7931.0344827586205</v>
      </c>
      <c r="K17" s="31">
        <v>9.5238095238095233E-2</v>
      </c>
      <c r="L17" s="31">
        <v>0.31404958677685951</v>
      </c>
      <c r="M17" s="31">
        <v>0.1790633608815427</v>
      </c>
      <c r="N17" s="31">
        <v>0.57017543859649122</v>
      </c>
      <c r="O17" s="31">
        <v>0.27692307692307694</v>
      </c>
      <c r="P17" s="31">
        <v>0.45794392523364486</v>
      </c>
    </row>
    <row r="18" spans="1:16" x14ac:dyDescent="0.4">
      <c r="A18" s="33">
        <v>15</v>
      </c>
      <c r="B18" s="30">
        <v>-2.1316282072803006E-14</v>
      </c>
      <c r="C18" s="30">
        <v>-4.7369515717340012E-16</v>
      </c>
      <c r="D18" s="35">
        <v>2</v>
      </c>
      <c r="E18" s="31">
        <v>0.33333333333333331</v>
      </c>
      <c r="F18" s="31">
        <v>0.33333333333333331</v>
      </c>
      <c r="G18" s="31">
        <v>0.29658792650918636</v>
      </c>
      <c r="H18" s="31">
        <v>0.16535433070866143</v>
      </c>
      <c r="I18" s="32">
        <v>7876.1061946902655</v>
      </c>
      <c r="J18" s="32">
        <v>-7860.3174603174602</v>
      </c>
      <c r="K18" s="31">
        <v>8.8888888888888892E-2</v>
      </c>
      <c r="L18" s="31">
        <v>0.31758530183727035</v>
      </c>
      <c r="M18" s="31">
        <v>0.17847769028871391</v>
      </c>
      <c r="N18" s="31">
        <v>0.57851239669421484</v>
      </c>
      <c r="O18" s="31">
        <v>0.27941176470588236</v>
      </c>
      <c r="P18" s="31">
        <v>0.44247787610619471</v>
      </c>
    </row>
    <row r="19" spans="1:16" x14ac:dyDescent="0.4">
      <c r="A19" s="33">
        <v>16</v>
      </c>
      <c r="B19" s="30">
        <v>-2.1316282072803006E-14</v>
      </c>
      <c r="C19" s="30">
        <v>-4.4408920985006262E-16</v>
      </c>
      <c r="D19" s="35">
        <v>2</v>
      </c>
      <c r="E19" s="31">
        <v>0.33333333333333331</v>
      </c>
      <c r="F19" s="31">
        <v>0.33333333333333331</v>
      </c>
      <c r="G19" s="31">
        <v>0.29629629629629628</v>
      </c>
      <c r="H19" s="31">
        <v>0.16790123456790124</v>
      </c>
      <c r="I19" s="32">
        <v>8188.333333333333</v>
      </c>
      <c r="J19" s="32">
        <v>-8291.176470588236</v>
      </c>
      <c r="K19" s="31">
        <v>8.3333333333333329E-2</v>
      </c>
      <c r="L19" s="31">
        <v>0.31111111111111112</v>
      </c>
      <c r="M19" s="31">
        <v>0.17777777777777778</v>
      </c>
      <c r="N19" s="31">
        <v>0.57936507936507942</v>
      </c>
      <c r="O19" s="31">
        <v>0.29166666666666669</v>
      </c>
      <c r="P19" s="31">
        <v>0.43333333333333335</v>
      </c>
    </row>
    <row r="20" spans="1:16" x14ac:dyDescent="0.4">
      <c r="A20" s="33">
        <v>17</v>
      </c>
      <c r="B20" s="30">
        <v>-1.4210854715202004E-14</v>
      </c>
      <c r="C20" s="30">
        <v>-2.7864421010200007E-16</v>
      </c>
      <c r="D20" s="35">
        <v>2</v>
      </c>
      <c r="E20" s="31">
        <v>0.33333333333333331</v>
      </c>
      <c r="F20" s="31">
        <v>0.33333333333333331</v>
      </c>
      <c r="G20" s="31">
        <v>0.29629629629629628</v>
      </c>
      <c r="H20" s="31">
        <v>0.16203703703703703</v>
      </c>
      <c r="I20" s="32">
        <v>8353.90625</v>
      </c>
      <c r="J20" s="32">
        <v>-8240</v>
      </c>
      <c r="K20" s="31">
        <v>7.8431372549019607E-2</v>
      </c>
      <c r="L20" s="31">
        <v>0.30787037037037035</v>
      </c>
      <c r="M20" s="31">
        <v>0.17824074074074073</v>
      </c>
      <c r="N20" s="31">
        <v>0.57894736842105265</v>
      </c>
      <c r="O20" s="31">
        <v>0.2857142857142857</v>
      </c>
      <c r="P20" s="31">
        <v>0.453125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378</vt:i4>
      </vt:variant>
    </vt:vector>
  </HeadingPairs>
  <TitlesOfParts>
    <vt:vector size="40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たかの</vt:lpstr>
      <vt:lpstr>ただ</vt:lpstr>
      <vt:lpstr>だいち</vt:lpstr>
      <vt:lpstr>だいち2</vt:lpstr>
      <vt:lpstr>ただ2</vt:lpstr>
      <vt:lpstr>たかの2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れんたろう!リーチ率</vt:lpstr>
      <vt:lpstr>全体!リーチ率</vt:lpstr>
      <vt:lpstr>だいち!レーティング</vt:lpstr>
      <vt:lpstr>たかの!レーティング</vt:lpstr>
      <vt:lpstr>ただ!レーティング</vt:lpstr>
      <vt:lpstr>れんたろう!レーティング</vt:lpstr>
      <vt:lpstr>全体!レーティング</vt:lpstr>
      <vt:lpstr>レーティング</vt:lpstr>
      <vt:lpstr>Template1!ロン数</vt:lpstr>
      <vt:lpstr>だいち!ロン数</vt:lpstr>
      <vt:lpstr>たかの!ロン数</vt:lpstr>
      <vt:lpstr>ただ!ロン数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2023-03-04T20:24:41Z</dcterms:modified>
</cp:coreProperties>
</file>