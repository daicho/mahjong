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D59DE9DD-2351-468D-ACC4-BA9B7D960550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88" r:id="rId6"/>
    <sheet name="れんたろう" sheetId="6090" r:id="rId7"/>
    <sheet name="たかの" sheetId="6092" r:id="rId8"/>
    <sheet name="ただ" sheetId="6094" r:id="rId9"/>
    <sheet name="だいち" sheetId="6096" r:id="rId10"/>
    <sheet name="りくと" sheetId="6098" r:id="rId11"/>
    <sheet name="わさび" sheetId="6100" r:id="rId12"/>
    <sheet name="わさび2" sheetId="6101" state="hidden" r:id="rId13"/>
    <sheet name="りくと2" sheetId="6099" state="hidden" r:id="rId14"/>
    <sheet name="だいち2" sheetId="6097" state="hidden" r:id="rId15"/>
    <sheet name="ただ2" sheetId="6095" state="hidden" r:id="rId16"/>
    <sheet name="たかの2" sheetId="6093" state="hidden" r:id="rId17"/>
    <sheet name="れんたろう2" sheetId="6091" state="hidden" r:id="rId18"/>
    <sheet name="全体2" sheetId="6089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6098" l="1"/>
  <c r="P17" i="6094"/>
  <c r="P16" i="6100" l="1"/>
  <c r="P15" i="6100"/>
  <c r="C35" i="6100"/>
  <c r="B30" i="6100"/>
  <c r="C21" i="6100"/>
  <c r="B20" i="6100"/>
  <c r="H52" i="6100" s="1"/>
  <c r="B19" i="6100"/>
  <c r="B29" i="6100" s="1"/>
  <c r="B18" i="6100"/>
  <c r="C18" i="6100" s="1"/>
  <c r="C17" i="6100"/>
  <c r="C16" i="6100"/>
  <c r="C15" i="6100"/>
  <c r="B13" i="6100"/>
  <c r="P12" i="6100"/>
  <c r="B12" i="6100"/>
  <c r="P11" i="6100"/>
  <c r="B11" i="6100"/>
  <c r="P10" i="6100"/>
  <c r="C10" i="6100"/>
  <c r="C9" i="6100"/>
  <c r="C8" i="6100"/>
  <c r="P7" i="6100"/>
  <c r="B7" i="6100"/>
  <c r="P6" i="6100"/>
  <c r="P5" i="6100"/>
  <c r="B5" i="6100"/>
  <c r="P4" i="6100"/>
  <c r="P3" i="6100"/>
  <c r="P2" i="6100"/>
  <c r="P16" i="6096"/>
  <c r="P15" i="6096"/>
  <c r="P18" i="6088"/>
  <c r="P15" i="6098"/>
  <c r="P17" i="6098"/>
  <c r="C35" i="6098"/>
  <c r="B30" i="6098"/>
  <c r="C21" i="6098"/>
  <c r="B20" i="6098"/>
  <c r="H4" i="6098" s="1"/>
  <c r="B19" i="6098"/>
  <c r="B29" i="6098" s="1"/>
  <c r="B18" i="6098"/>
  <c r="C18" i="6098" s="1"/>
  <c r="C17" i="6098"/>
  <c r="C16" i="6098"/>
  <c r="C15" i="6098"/>
  <c r="B13" i="6098"/>
  <c r="P12" i="6098"/>
  <c r="B12" i="6098"/>
  <c r="P11" i="6098"/>
  <c r="B11" i="6098"/>
  <c r="P10" i="6098"/>
  <c r="C10" i="6098"/>
  <c r="C9" i="6098"/>
  <c r="C8" i="6098"/>
  <c r="P7" i="6098"/>
  <c r="B7" i="6098"/>
  <c r="P6" i="6098"/>
  <c r="P5" i="6098"/>
  <c r="B5" i="6098"/>
  <c r="P4" i="6098"/>
  <c r="P3" i="6098"/>
  <c r="P2" i="6098"/>
  <c r="P15" i="6088"/>
  <c r="C19" i="6100" l="1"/>
  <c r="C19" i="6098"/>
  <c r="H2" i="6100"/>
  <c r="B14" i="6098"/>
  <c r="B14" i="6100"/>
  <c r="H3" i="6100"/>
  <c r="H5" i="6100"/>
  <c r="H9" i="6100"/>
  <c r="C22" i="6100"/>
  <c r="H16" i="6100"/>
  <c r="H8" i="6100"/>
  <c r="C25" i="6100"/>
  <c r="H40" i="6100"/>
  <c r="H31" i="6100"/>
  <c r="H24" i="6100"/>
  <c r="H14" i="6100"/>
  <c r="C26" i="6100"/>
  <c r="C41" i="6100"/>
  <c r="C37" i="6100"/>
  <c r="H6" i="6100"/>
  <c r="H11" i="6100"/>
  <c r="H28" i="6100"/>
  <c r="H44" i="6100"/>
  <c r="C45" i="6100"/>
  <c r="H13" i="6100"/>
  <c r="H17" i="6100"/>
  <c r="C20" i="6100"/>
  <c r="H48" i="6100"/>
  <c r="H20" i="6100"/>
  <c r="H23" i="6100"/>
  <c r="H27" i="6100"/>
  <c r="H30" i="6100"/>
  <c r="H36" i="6100"/>
  <c r="C40" i="6100"/>
  <c r="C44" i="6100"/>
  <c r="C48" i="6100"/>
  <c r="H37" i="6100"/>
  <c r="H41" i="6100"/>
  <c r="H45" i="6100"/>
  <c r="H49" i="6100"/>
  <c r="C49" i="6100"/>
  <c r="H18" i="6100"/>
  <c r="H21" i="6100"/>
  <c r="C23" i="6100"/>
  <c r="B27" i="6100"/>
  <c r="H32" i="6100"/>
  <c r="H38" i="6100"/>
  <c r="H42" i="6100"/>
  <c r="H46" i="6100"/>
  <c r="H50" i="6100"/>
  <c r="H25" i="6100"/>
  <c r="H12" i="6100"/>
  <c r="H33" i="6100"/>
  <c r="C38" i="6100"/>
  <c r="C42" i="6100"/>
  <c r="C46" i="6100"/>
  <c r="H51" i="6100"/>
  <c r="H7" i="6100"/>
  <c r="H10" i="6100"/>
  <c r="H15" i="6100"/>
  <c r="H19" i="6100"/>
  <c r="C24" i="6100"/>
  <c r="B28" i="6100"/>
  <c r="H34" i="6100"/>
  <c r="H39" i="6100"/>
  <c r="H43" i="6100"/>
  <c r="H47" i="6100"/>
  <c r="H4" i="6100"/>
  <c r="H22" i="6100"/>
  <c r="H26" i="6100"/>
  <c r="H29" i="6100"/>
  <c r="H35" i="6100"/>
  <c r="C39" i="6100"/>
  <c r="C43" i="6100"/>
  <c r="C47" i="6100"/>
  <c r="H20" i="6098"/>
  <c r="C20" i="6098"/>
  <c r="H28" i="6098"/>
  <c r="H32" i="6098"/>
  <c r="C40" i="6098"/>
  <c r="H46" i="6098"/>
  <c r="H24" i="6098"/>
  <c r="C39" i="6098"/>
  <c r="H16" i="6098"/>
  <c r="H35" i="6098"/>
  <c r="H29" i="6098"/>
  <c r="H18" i="6098"/>
  <c r="B27" i="6098"/>
  <c r="H36" i="6098"/>
  <c r="H42" i="6098"/>
  <c r="H49" i="6098"/>
  <c r="C45" i="6098"/>
  <c r="H3" i="6098"/>
  <c r="H41" i="6098"/>
  <c r="C48" i="6098"/>
  <c r="H9" i="6098"/>
  <c r="C22" i="6098"/>
  <c r="H30" i="6098"/>
  <c r="H37" i="6098"/>
  <c r="C43" i="6098"/>
  <c r="C49" i="6098"/>
  <c r="H6" i="6098"/>
  <c r="H31" i="6098"/>
  <c r="H12" i="6098"/>
  <c r="H7" i="6098"/>
  <c r="C26" i="6098"/>
  <c r="H5" i="6098"/>
  <c r="H25" i="6098"/>
  <c r="H19" i="6098"/>
  <c r="H26" i="6098"/>
  <c r="H15" i="6098"/>
  <c r="C37" i="6098"/>
  <c r="C44" i="6098"/>
  <c r="H50" i="6098"/>
  <c r="H13" i="6098"/>
  <c r="C47" i="6098"/>
  <c r="C41" i="6098"/>
  <c r="H22" i="6098"/>
  <c r="H14" i="6098"/>
  <c r="H10" i="6098"/>
  <c r="H23" i="6098"/>
  <c r="C23" i="6098"/>
  <c r="H38" i="6098"/>
  <c r="H45" i="6098"/>
  <c r="H52" i="6098"/>
  <c r="C25" i="6098"/>
  <c r="H40" i="6098"/>
  <c r="H44" i="6098"/>
  <c r="H48" i="6098"/>
  <c r="H27" i="6098"/>
  <c r="H11" i="6098"/>
  <c r="H33" i="6098"/>
  <c r="C38" i="6098"/>
  <c r="C42" i="6098"/>
  <c r="C46" i="6098"/>
  <c r="H51" i="6098"/>
  <c r="H2" i="6098"/>
  <c r="H8" i="6098"/>
  <c r="H17" i="6098"/>
  <c r="H21" i="6098"/>
  <c r="C24" i="6098"/>
  <c r="B28" i="6098"/>
  <c r="H34" i="6098"/>
  <c r="H39" i="6098"/>
  <c r="H43" i="6098"/>
  <c r="H47" i="6098"/>
  <c r="P18" i="6096" l="1"/>
  <c r="P16" i="6090"/>
  <c r="P15" i="6094"/>
  <c r="P17" i="6092"/>
  <c r="P19" i="6088"/>
  <c r="P17" i="6096"/>
  <c r="P19" i="6096"/>
  <c r="C35" i="6096"/>
  <c r="B30" i="6096"/>
  <c r="C21" i="6096"/>
  <c r="B20" i="6096"/>
  <c r="H52" i="6096" s="1"/>
  <c r="B19" i="6096"/>
  <c r="C19" i="6096" s="1"/>
  <c r="B18" i="6096"/>
  <c r="C18" i="6096" s="1"/>
  <c r="C17" i="6096"/>
  <c r="C16" i="6096"/>
  <c r="C15" i="6096"/>
  <c r="B13" i="6096"/>
  <c r="P12" i="6096"/>
  <c r="B12" i="6096"/>
  <c r="P11" i="6096"/>
  <c r="B11" i="6096"/>
  <c r="P10" i="6096"/>
  <c r="C10" i="6096"/>
  <c r="C9" i="6096"/>
  <c r="C8" i="6096"/>
  <c r="P7" i="6096"/>
  <c r="B7" i="6096"/>
  <c r="P6" i="6096"/>
  <c r="P5" i="6096"/>
  <c r="B5" i="6096"/>
  <c r="P4" i="6096"/>
  <c r="P3" i="6096"/>
  <c r="P2" i="6096"/>
  <c r="P18" i="6094"/>
  <c r="P16" i="6094"/>
  <c r="C35" i="6094"/>
  <c r="B30" i="6094"/>
  <c r="C21" i="6094"/>
  <c r="B20" i="6094"/>
  <c r="H51" i="6094" s="1"/>
  <c r="B19" i="6094"/>
  <c r="C19" i="6094" s="1"/>
  <c r="B18" i="6094"/>
  <c r="C18" i="6094" s="1"/>
  <c r="C17" i="6094"/>
  <c r="C16" i="6094"/>
  <c r="C15" i="6094"/>
  <c r="B13" i="6094"/>
  <c r="P12" i="6094"/>
  <c r="B12" i="6094"/>
  <c r="P11" i="6094"/>
  <c r="B11" i="6094"/>
  <c r="P10" i="6094"/>
  <c r="C10" i="6094"/>
  <c r="C9" i="6094"/>
  <c r="C8" i="6094"/>
  <c r="P7" i="6094"/>
  <c r="B7" i="6094"/>
  <c r="P6" i="6094"/>
  <c r="P5" i="6094"/>
  <c r="B5" i="6094"/>
  <c r="P4" i="6094"/>
  <c r="P3" i="6094"/>
  <c r="P2" i="6094"/>
  <c r="P15" i="6092"/>
  <c r="P16" i="6092"/>
  <c r="C35" i="6092"/>
  <c r="B30" i="6092"/>
  <c r="C21" i="6092"/>
  <c r="B20" i="6092"/>
  <c r="H52" i="6092" s="1"/>
  <c r="B19" i="6092"/>
  <c r="C19" i="6092" s="1"/>
  <c r="B18" i="6092"/>
  <c r="C18" i="6092" s="1"/>
  <c r="C17" i="6092"/>
  <c r="C16" i="6092"/>
  <c r="C15" i="6092"/>
  <c r="B13" i="6092"/>
  <c r="P12" i="6092"/>
  <c r="B12" i="6092"/>
  <c r="P11" i="6092"/>
  <c r="B11" i="6092"/>
  <c r="P10" i="6092"/>
  <c r="C10" i="6092"/>
  <c r="C9" i="6092"/>
  <c r="C8" i="6092"/>
  <c r="P7" i="6092"/>
  <c r="B7" i="6092"/>
  <c r="P6" i="6092"/>
  <c r="P5" i="6092"/>
  <c r="B5" i="6092"/>
  <c r="P4" i="6092"/>
  <c r="P3" i="6092"/>
  <c r="P2" i="6092"/>
  <c r="P17" i="6088"/>
  <c r="P15" i="6090"/>
  <c r="P17" i="6090"/>
  <c r="C35" i="6090"/>
  <c r="B30" i="6090"/>
  <c r="C21" i="6090"/>
  <c r="B20" i="6090"/>
  <c r="H52" i="6090" s="1"/>
  <c r="B19" i="6090"/>
  <c r="B29" i="6090" s="1"/>
  <c r="B18" i="6090"/>
  <c r="C18" i="6090" s="1"/>
  <c r="C17" i="6090"/>
  <c r="C16" i="6090"/>
  <c r="C15" i="6090"/>
  <c r="B13" i="6090"/>
  <c r="P12" i="6090"/>
  <c r="B12" i="6090"/>
  <c r="P11" i="6090"/>
  <c r="B11" i="6090"/>
  <c r="P10" i="6090"/>
  <c r="C10" i="6090"/>
  <c r="C9" i="6090"/>
  <c r="C8" i="6090"/>
  <c r="P7" i="6090"/>
  <c r="B7" i="6090"/>
  <c r="P6" i="6090"/>
  <c r="P5" i="6090"/>
  <c r="B5" i="6090"/>
  <c r="P4" i="6090"/>
  <c r="P3" i="6090"/>
  <c r="P2" i="6090"/>
  <c r="P16" i="6088"/>
  <c r="P20" i="6088"/>
  <c r="C35" i="6088"/>
  <c r="B30" i="6088"/>
  <c r="C21" i="6088"/>
  <c r="B20" i="6088"/>
  <c r="C49" i="6088" s="1"/>
  <c r="B19" i="6088"/>
  <c r="B29" i="6088" s="1"/>
  <c r="B18" i="6088"/>
  <c r="C18" i="6088" s="1"/>
  <c r="C17" i="6088"/>
  <c r="C16" i="6088"/>
  <c r="C15" i="6088"/>
  <c r="B13" i="6088"/>
  <c r="P12" i="6088"/>
  <c r="B12" i="6088"/>
  <c r="P11" i="6088"/>
  <c r="B11" i="6088"/>
  <c r="P10" i="6088"/>
  <c r="C10" i="6088"/>
  <c r="C9" i="6088"/>
  <c r="C8" i="6088"/>
  <c r="P7" i="6088"/>
  <c r="B7" i="6088"/>
  <c r="P6" i="6088"/>
  <c r="P5" i="6088"/>
  <c r="B5" i="6088"/>
  <c r="P4" i="6088"/>
  <c r="P3" i="6088"/>
  <c r="P2" i="6088"/>
  <c r="B14" i="6094" l="1"/>
  <c r="H32" i="6094"/>
  <c r="H6" i="6094"/>
  <c r="H5" i="6094"/>
  <c r="H18" i="6094"/>
  <c r="B29" i="6094"/>
  <c r="B29" i="6092"/>
  <c r="C19" i="6090"/>
  <c r="H20" i="6092"/>
  <c r="B14" i="6096"/>
  <c r="H10" i="6096"/>
  <c r="C19" i="6088"/>
  <c r="B14" i="6092"/>
  <c r="H12" i="6094"/>
  <c r="H24" i="6094"/>
  <c r="C20" i="6090"/>
  <c r="H40" i="6094"/>
  <c r="H14" i="6094"/>
  <c r="H9" i="6094"/>
  <c r="C24" i="6094"/>
  <c r="H17" i="6094"/>
  <c r="H13" i="6094"/>
  <c r="H9" i="6088"/>
  <c r="H16" i="6088"/>
  <c r="H5" i="6096"/>
  <c r="C25" i="6096"/>
  <c r="H21" i="6096"/>
  <c r="H41" i="6096"/>
  <c r="H46" i="6096"/>
  <c r="H17" i="6096"/>
  <c r="C20" i="6096"/>
  <c r="H31" i="6096"/>
  <c r="H36" i="6096"/>
  <c r="C40" i="6096"/>
  <c r="C45" i="6096"/>
  <c r="H3" i="6096"/>
  <c r="H8" i="6096"/>
  <c r="H15" i="6096"/>
  <c r="C26" i="6096"/>
  <c r="H42" i="6096"/>
  <c r="H48" i="6096"/>
  <c r="H19" i="6096"/>
  <c r="H14" i="6096"/>
  <c r="H32" i="6096"/>
  <c r="H38" i="6096"/>
  <c r="C41" i="6096"/>
  <c r="H49" i="6096"/>
  <c r="H24" i="6096"/>
  <c r="H27" i="6096"/>
  <c r="C22" i="6096"/>
  <c r="B27" i="6096"/>
  <c r="H39" i="6096"/>
  <c r="H43" i="6096"/>
  <c r="C48" i="6096"/>
  <c r="H4" i="6096"/>
  <c r="H12" i="6096"/>
  <c r="H26" i="6096"/>
  <c r="B28" i="6096"/>
  <c r="H29" i="6096"/>
  <c r="H20" i="6096"/>
  <c r="C37" i="6096"/>
  <c r="H44" i="6096"/>
  <c r="H50" i="6096"/>
  <c r="H2" i="6096"/>
  <c r="C23" i="6096"/>
  <c r="H22" i="6096"/>
  <c r="H45" i="6096"/>
  <c r="C49" i="6096"/>
  <c r="H7" i="6096"/>
  <c r="H13" i="6096"/>
  <c r="H25" i="6096"/>
  <c r="H16" i="6096"/>
  <c r="H18" i="6096"/>
  <c r="C24" i="6096"/>
  <c r="H34" i="6096"/>
  <c r="H40" i="6096"/>
  <c r="C44" i="6096"/>
  <c r="H6" i="6096"/>
  <c r="B29" i="6096"/>
  <c r="H47" i="6096"/>
  <c r="H51" i="6096"/>
  <c r="H30" i="6096"/>
  <c r="H9" i="6096"/>
  <c r="H35" i="6096"/>
  <c r="C38" i="6096"/>
  <c r="C42" i="6096"/>
  <c r="C46" i="6096"/>
  <c r="H23" i="6096"/>
  <c r="H28" i="6096"/>
  <c r="H11" i="6096"/>
  <c r="H33" i="6096"/>
  <c r="H37" i="6096"/>
  <c r="C39" i="6096"/>
  <c r="C43" i="6096"/>
  <c r="C47" i="6096"/>
  <c r="C39" i="6094"/>
  <c r="C45" i="6094"/>
  <c r="H47" i="6094"/>
  <c r="C25" i="6094"/>
  <c r="H34" i="6094"/>
  <c r="H41" i="6094"/>
  <c r="C47" i="6094"/>
  <c r="H3" i="6094"/>
  <c r="C20" i="6094"/>
  <c r="C26" i="6094"/>
  <c r="H35" i="6094"/>
  <c r="C41" i="6094"/>
  <c r="H48" i="6094"/>
  <c r="H2" i="6094"/>
  <c r="H10" i="6094"/>
  <c r="H22" i="6094"/>
  <c r="H25" i="6094"/>
  <c r="H27" i="6094"/>
  <c r="H30" i="6094"/>
  <c r="H43" i="6094"/>
  <c r="H49" i="6094"/>
  <c r="B28" i="6094"/>
  <c r="H37" i="6094"/>
  <c r="C43" i="6094"/>
  <c r="C49" i="6094"/>
  <c r="H16" i="6094"/>
  <c r="H23" i="6094"/>
  <c r="C22" i="6094"/>
  <c r="H31" i="6094"/>
  <c r="C37" i="6094"/>
  <c r="H44" i="6094"/>
  <c r="H4" i="6094"/>
  <c r="H7" i="6094"/>
  <c r="H11" i="6094"/>
  <c r="H28" i="6094"/>
  <c r="H39" i="6094"/>
  <c r="H45" i="6094"/>
  <c r="H52" i="6094"/>
  <c r="H26" i="6094"/>
  <c r="H15" i="6094"/>
  <c r="H19" i="6094"/>
  <c r="H20" i="6094"/>
  <c r="H36" i="6094"/>
  <c r="C40" i="6094"/>
  <c r="C44" i="6094"/>
  <c r="C48" i="6094"/>
  <c r="C23" i="6094"/>
  <c r="B27" i="6094"/>
  <c r="H33" i="6094"/>
  <c r="H38" i="6094"/>
  <c r="H42" i="6094"/>
  <c r="H46" i="6094"/>
  <c r="H50" i="6094"/>
  <c r="H29" i="6094"/>
  <c r="H8" i="6094"/>
  <c r="H21" i="6094"/>
  <c r="C38" i="6094"/>
  <c r="C42" i="6094"/>
  <c r="C46" i="6094"/>
  <c r="B14" i="6088"/>
  <c r="H4" i="6092"/>
  <c r="C20" i="6092"/>
  <c r="H16" i="6092"/>
  <c r="C25" i="6092"/>
  <c r="H40" i="6092"/>
  <c r="H44" i="6092"/>
  <c r="H48" i="6092"/>
  <c r="H8" i="6092"/>
  <c r="H12" i="6092"/>
  <c r="H23" i="6092"/>
  <c r="H13" i="6092"/>
  <c r="H27" i="6092"/>
  <c r="H30" i="6092"/>
  <c r="H36" i="6092"/>
  <c r="C40" i="6092"/>
  <c r="C44" i="6092"/>
  <c r="C48" i="6092"/>
  <c r="H3" i="6092"/>
  <c r="H21" i="6092"/>
  <c r="C22" i="6092"/>
  <c r="C26" i="6092"/>
  <c r="H37" i="6092"/>
  <c r="H41" i="6092"/>
  <c r="H45" i="6092"/>
  <c r="H49" i="6092"/>
  <c r="H6" i="6092"/>
  <c r="H10" i="6092"/>
  <c r="H17" i="6092"/>
  <c r="H25" i="6092"/>
  <c r="H28" i="6092"/>
  <c r="H31" i="6092"/>
  <c r="C37" i="6092"/>
  <c r="C41" i="6092"/>
  <c r="C45" i="6092"/>
  <c r="C49" i="6092"/>
  <c r="H7" i="6092"/>
  <c r="H18" i="6092"/>
  <c r="H14" i="6092"/>
  <c r="C23" i="6092"/>
  <c r="B27" i="6092"/>
  <c r="H32" i="6092"/>
  <c r="H38" i="6092"/>
  <c r="H42" i="6092"/>
  <c r="H46" i="6092"/>
  <c r="H50" i="6092"/>
  <c r="H26" i="6092"/>
  <c r="H11" i="6092"/>
  <c r="H33" i="6092"/>
  <c r="C38" i="6092"/>
  <c r="C42" i="6092"/>
  <c r="C46" i="6092"/>
  <c r="H51" i="6092"/>
  <c r="H2" i="6092"/>
  <c r="H9" i="6092"/>
  <c r="H19" i="6092"/>
  <c r="H22" i="6092"/>
  <c r="C24" i="6092"/>
  <c r="B28" i="6092"/>
  <c r="H34" i="6092"/>
  <c r="H39" i="6092"/>
  <c r="H43" i="6092"/>
  <c r="H47" i="6092"/>
  <c r="H5" i="6092"/>
  <c r="H24" i="6092"/>
  <c r="H15" i="6092"/>
  <c r="H29" i="6092"/>
  <c r="H35" i="6092"/>
  <c r="C39" i="6092"/>
  <c r="C43" i="6092"/>
  <c r="C47" i="6092"/>
  <c r="C42" i="6088"/>
  <c r="H47" i="6088"/>
  <c r="H50" i="6088"/>
  <c r="H4" i="6088"/>
  <c r="C23" i="6088"/>
  <c r="H51" i="6088"/>
  <c r="B27" i="6088"/>
  <c r="H27" i="6088"/>
  <c r="H5" i="6088"/>
  <c r="H24" i="6088"/>
  <c r="H26" i="6088"/>
  <c r="H52" i="6088"/>
  <c r="H15" i="6088"/>
  <c r="C20" i="6088"/>
  <c r="H43" i="6088"/>
  <c r="B14" i="6090"/>
  <c r="C46" i="6090"/>
  <c r="H14" i="6090"/>
  <c r="H20" i="6090"/>
  <c r="C25" i="6090"/>
  <c r="H40" i="6090"/>
  <c r="H44" i="6090"/>
  <c r="H48" i="6090"/>
  <c r="H6" i="6090"/>
  <c r="H9" i="6090"/>
  <c r="H23" i="6090"/>
  <c r="H17" i="6090"/>
  <c r="H27" i="6090"/>
  <c r="H30" i="6090"/>
  <c r="H36" i="6090"/>
  <c r="C40" i="6090"/>
  <c r="C44" i="6090"/>
  <c r="C48" i="6090"/>
  <c r="H33" i="6090"/>
  <c r="C38" i="6090"/>
  <c r="C26" i="6090"/>
  <c r="H49" i="6090"/>
  <c r="H4" i="6090"/>
  <c r="H11" i="6090"/>
  <c r="H18" i="6090"/>
  <c r="H25" i="6090"/>
  <c r="H28" i="6090"/>
  <c r="H31" i="6090"/>
  <c r="C37" i="6090"/>
  <c r="C41" i="6090"/>
  <c r="C45" i="6090"/>
  <c r="C49" i="6090"/>
  <c r="H12" i="6090"/>
  <c r="C42" i="6090"/>
  <c r="H2" i="6090"/>
  <c r="H21" i="6090"/>
  <c r="C22" i="6090"/>
  <c r="H37" i="6090"/>
  <c r="H41" i="6090"/>
  <c r="H45" i="6090"/>
  <c r="H10" i="6090"/>
  <c r="H15" i="6090"/>
  <c r="H16" i="6090"/>
  <c r="C23" i="6090"/>
  <c r="B27" i="6090"/>
  <c r="H32" i="6090"/>
  <c r="H38" i="6090"/>
  <c r="H42" i="6090"/>
  <c r="H46" i="6090"/>
  <c r="H50" i="6090"/>
  <c r="H8" i="6090"/>
  <c r="H26" i="6090"/>
  <c r="H51" i="6090"/>
  <c r="H3" i="6090"/>
  <c r="H7" i="6090"/>
  <c r="H19" i="6090"/>
  <c r="H22" i="6090"/>
  <c r="C24" i="6090"/>
  <c r="B28" i="6090"/>
  <c r="H34" i="6090"/>
  <c r="H39" i="6090"/>
  <c r="H43" i="6090"/>
  <c r="H47" i="6090"/>
  <c r="H5" i="6090"/>
  <c r="H24" i="6090"/>
  <c r="H13" i="6090"/>
  <c r="H29" i="6090"/>
  <c r="H35" i="6090"/>
  <c r="C39" i="6090"/>
  <c r="C43" i="6090"/>
  <c r="C47" i="6090"/>
  <c r="H32" i="6088"/>
  <c r="H10" i="6088"/>
  <c r="H25" i="6088"/>
  <c r="C38" i="6088"/>
  <c r="C46" i="6088"/>
  <c r="H2" i="6088"/>
  <c r="H8" i="6088"/>
  <c r="H20" i="6088"/>
  <c r="H21" i="6088"/>
  <c r="C24" i="6088"/>
  <c r="B28" i="6088"/>
  <c r="H36" i="6088"/>
  <c r="H40" i="6088"/>
  <c r="H48" i="6088"/>
  <c r="H30" i="6088"/>
  <c r="H13" i="6088"/>
  <c r="H34" i="6088"/>
  <c r="H37" i="6088"/>
  <c r="C39" i="6088"/>
  <c r="C43" i="6088"/>
  <c r="C47" i="6088"/>
  <c r="H17" i="6088"/>
  <c r="H22" i="6088"/>
  <c r="C25" i="6088"/>
  <c r="H41" i="6088"/>
  <c r="H45" i="6088"/>
  <c r="H49" i="6088"/>
  <c r="H7" i="6088"/>
  <c r="H11" i="6088"/>
  <c r="H29" i="6088"/>
  <c r="H14" i="6088"/>
  <c r="H23" i="6088"/>
  <c r="H18" i="6088"/>
  <c r="H38" i="6088"/>
  <c r="C40" i="6088"/>
  <c r="C44" i="6088"/>
  <c r="C48" i="6088"/>
  <c r="H44" i="6088"/>
  <c r="H3" i="6088"/>
  <c r="H28" i="6088"/>
  <c r="C22" i="6088"/>
  <c r="C26" i="6088"/>
  <c r="H39" i="6088"/>
  <c r="H42" i="6088"/>
  <c r="H46" i="6088"/>
  <c r="H6" i="6088"/>
  <c r="H12" i="6088"/>
  <c r="H19" i="6088"/>
  <c r="H31" i="6088"/>
  <c r="H33" i="6088"/>
  <c r="H35" i="6088"/>
  <c r="C37" i="6088"/>
  <c r="C41" i="6088"/>
  <c r="C45" i="608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<sst xmlns="http://schemas.openxmlformats.org/spreadsheetml/2006/main" count="1930" uniqueCount="233">
  <si>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</si>
  <si>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</si>
  <si>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</si>
  <si>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</si>
  <si>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</si>
  <si>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</si>
  <si>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</si>
  <si>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</si>
  <si>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</si>
  <si>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</si>
  <si>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</si>
  <si>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</si>
  <si>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</si>
  <si>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</si>
  <si>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</si>
  <si>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</si>
  <si>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</si>
  <si>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</si>
  <si>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</si>
  <si>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</si>
  <si>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</si>
  <si>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</si>
  <si>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</si>
  <si>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</si>
  <si>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</si>
  <si>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</si>
  <si>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</si>
  <si>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</si>
  <si>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</si>
  <si>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</si>
  <si>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</si>
  <si>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</si>
  <si>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</si>
  <si>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</si>
  <si>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</si>
  <si>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</si>
  <si>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</si>
  <si>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</si>
  <si>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</si>
  <si>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</si>
  <si>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</si>
  <si>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</si>
  <si>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</si>
  <si>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</si>
  <si>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</si>
  <si>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</si>
  <si>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</si>
  <si>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</si>
  <si>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</si>
  <si>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</si>
  <si>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</si>
  <si>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</si>
  <si>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</si>
  <si>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</si>
  <si>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</si>
  <si>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</si>
  <si>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</si>
  <si>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</si>
  <si>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</si>
  <si>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</si>
  <si>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</si>
  <si>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</si>
  <si>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</si>
  <si>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</si>
  <si>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</si>
  <si>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</si>
  <si>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</si>
  <si>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</si>
  <si>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</si>
  <si>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</si>
  <si>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</si>
  <si>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</si>
  <si>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</si>
  <si>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</si>
  <si>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</si>
  <si>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</si>
  <si>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</si>
  <si>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</si>
  <si>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</si>
  <si>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</si>
  <si>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</si>
  <si>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</si>
  <si>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</si>
  <si>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</si>
  <si>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</si>
  <si>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</si>
  <si>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</si>
  <si>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</si>
  <si>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</si>
  <si>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</si>
  <si>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</si>
  <si>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</si>
  <si>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</si>
  <si>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</si>
  <si>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</si>
  <si>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</si>
  <si>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</si>
  <si>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</si>
  <si>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</si>
  <si>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</si>
  <si>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</si>
  <si>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</si>
  <si>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</si>
  <si>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</si>
  <si>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</si>
  <si>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</si>
  <si>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</si>
  <si>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</si>
  <si>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</si>
  <si>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</si>
  <si>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</si>
  <si>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</si>
  <si>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</si>
  <si>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</si>
  <si>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</si>
  <si>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</si>
  <si>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</si>
  <si>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</si>
  <si>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</si>
  <si>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</si>
  <si>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</si>
  <si>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</si>
  <si>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</si>
  <si>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</si>
  <si>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</si>
  <si>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</si>
  <si>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</si>
  <si>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</si>
  <si>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</si>
  <si>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</si>
  <si>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</si>
  <si>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</si>
  <si>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</si>
  <si>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</si>
  <si>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</si>
  <si>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</si>
  <si>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</si>
  <si>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</si>
  <si>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</si>
  <si>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</si>
  <si>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</si>
  <si>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</si>
  <si>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</si>
  <si>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</si>
  <si>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</si>
  <si>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</si>
  <si>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</si>
  <si>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</si>
  <si>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</si>
  <si>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</si>
  <si>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</si>
  <si>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</si>
  <si>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</si>
  <si>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</si>
  <si>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</si>
  <si>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</si>
  <si>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</si>
  <si>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</si>
  <si>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</si>
  <si>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</si>
  <si>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</si>
  <si>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</si>
  <si>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</si>
  <si>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</si>
  <si>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</si>
  <si>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</si>
  <si>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</si>
  <si>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</si>
  <si>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</si>
  <si>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</si>
  <si>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</si>
  <si>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</si>
  <si>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</si>
  <si>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</si>
  <si>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</si>
  <si>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</si>
  <si>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</si>
  <si>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</si>
  <si>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</si>
  <si>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</si>
  <si>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</si>
  <si>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</si>
  <si>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</si>
  <si>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</si>
  <si>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</si>
  <si>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</si>
  <si>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</si>
  <si>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</si>
  <si>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</si>
  <si>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</si>
  <si>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</si>
  <si>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</si>
  <si>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</si>
  <si>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</si>
  <si>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</si>
  <si>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</si>
  <si>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</si>
  <si>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</si>
  <si>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</si>
  <si>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</si>
  <si>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</si>
  <si>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</si>
  <si>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</si>
  <si>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</si>
  <si>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</si>
  <si>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</si>
  <si>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</si>
  <si>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</si>
  <si>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</si>
  <si>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</si>
  <si>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</si>
  <si>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</si>
  <si>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</si>
  <si>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</si>
  <si>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</si>
  <si>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</si>
  <si>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</si>
  <si>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</si>
  <si>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</si>
  <si>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</si>
  <si>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</si>
  <si>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</si>
  <si>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2023-10-22@Kohama.xlsm</t>
  </si>
  <si>
    <t>2023-03-04@Ina.xlsm</t>
  </si>
  <si>
    <t>Sheet12</t>
  </si>
  <si>
    <t>Sheet13</t>
  </si>
  <si>
    <t>Sheet14</t>
  </si>
  <si>
    <t>Sheet15</t>
  </si>
  <si>
    <t>Sheet16</t>
  </si>
  <si>
    <t>Sheet17</t>
  </si>
  <si>
    <t>2023-05-02@AllStar.xlsm</t>
  </si>
  <si>
    <t>わさび</t>
    <phoneticPr fontId="1"/>
  </si>
  <si>
    <t>2023-08-13@Kohama.xlsm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</si>
</sst>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全体!$L$2:$L$134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7-4C94-A35A-C5411550E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-22.727272727272727</c:v>
                </c:pt>
                <c:pt idx="1">
                  <c:v>0</c:v>
                </c:pt>
                <c:pt idx="2">
                  <c:v>7.9365079365079367</c:v>
                </c:pt>
                <c:pt idx="3">
                  <c:v>-8.3333333333333339</c:v>
                </c:pt>
                <c:pt idx="4">
                  <c:v>8.5470085470085468</c:v>
                </c:pt>
                <c:pt idx="5">
                  <c:v>19.047619047619047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C-4209-B369-332A4D3AE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15</c:v>
                </c:pt>
                <c:pt idx="1">
                  <c:v>53</c:v>
                </c:pt>
                <c:pt idx="2">
                  <c:v>68</c:v>
                </c:pt>
                <c:pt idx="3">
                  <c:v>74</c:v>
                </c:pt>
                <c:pt idx="4">
                  <c:v>55</c:v>
                </c:pt>
                <c:pt idx="5">
                  <c:v>31</c:v>
                </c:pt>
                <c:pt idx="6">
                  <c:v>19</c:v>
                </c:pt>
                <c:pt idx="7">
                  <c:v>14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4-4E14-BA74-A857863A7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全体!$M$2:$M$134</c:f>
              <c:numCache>
                <c:formatCode>0</c:formatCode>
                <c:ptCount val="133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4-4E07-A395-36DE2DA3B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5-463F-8DD5-360ABAFE7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737.5</c:v>
                </c:pt>
                <c:pt idx="1">
                  <c:v>-1769.5652173913043</c:v>
                </c:pt>
                <c:pt idx="2">
                  <c:v>-865.21739130434787</c:v>
                </c:pt>
                <c:pt idx="3">
                  <c:v>-3663.6363636363635</c:v>
                </c:pt>
                <c:pt idx="4">
                  <c:v>2985.7142857142858</c:v>
                </c:pt>
                <c:pt idx="5">
                  <c:v>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8-4725-AB1B-50915F13A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A-49D7-BE0D-1F01B2E9C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れんたろう!$M$2:$M$26</c:f>
              <c:numCache>
                <c:formatCode>0</c:formatCode>
                <c:ptCount val="25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A67-821B-0485E2B66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2-4358-8109-EACD11CFC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7-4078-A9EA-7D89CFDD6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5-4503-B538-03AA84E11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5-4C17-B68A-1F4988D3F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F-45F3-8EAD-E88134A93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-2060</c:v>
                </c:pt>
                <c:pt idx="1">
                  <c:v>1796.5517241379309</c:v>
                </c:pt>
                <c:pt idx="2">
                  <c:v>-717.24137931034488</c:v>
                </c:pt>
                <c:pt idx="3">
                  <c:v>3757.1428571428573</c:v>
                </c:pt>
                <c:pt idx="4">
                  <c:v>-2948.1481481481483</c:v>
                </c:pt>
                <c:pt idx="5">
                  <c:v>-1017.3913043478261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F-4D53-9F6D-D88B35D5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</c:v>
                </c:pt>
                <c:pt idx="1">
                  <c:v>17</c:v>
                </c:pt>
                <c:pt idx="2">
                  <c:v>23</c:v>
                </c:pt>
                <c:pt idx="3">
                  <c:v>17</c:v>
                </c:pt>
                <c:pt idx="4">
                  <c:v>14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E5-45B6-A58E-B02F85133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ただ!$M$2:$M$32</c:f>
              <c:numCache>
                <c:formatCode>0</c:formatCode>
                <c:ptCount val="31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60-485B-BB81-4C5054C55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だいち!$L$2:$L$40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9-4C29-B14A-7622EE7F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1065.7894736842106</c:v>
                </c:pt>
                <c:pt idx="1">
                  <c:v>1478.3783783783783</c:v>
                </c:pt>
                <c:pt idx="2">
                  <c:v>1555.5555555555557</c:v>
                </c:pt>
                <c:pt idx="3">
                  <c:v>138.23529411764707</c:v>
                </c:pt>
                <c:pt idx="4">
                  <c:v>1218.1818181818182</c:v>
                </c:pt>
                <c:pt idx="5">
                  <c:v>-1400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34-47EA-8206-FA0BC94AF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4</c:v>
                </c:pt>
                <c:pt idx="1">
                  <c:v>10</c:v>
                </c:pt>
                <c:pt idx="2">
                  <c:v>18</c:v>
                </c:pt>
                <c:pt idx="3">
                  <c:v>17</c:v>
                </c:pt>
                <c:pt idx="4">
                  <c:v>18</c:v>
                </c:pt>
                <c:pt idx="5">
                  <c:v>13</c:v>
                </c:pt>
                <c:pt idx="6">
                  <c:v>9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E-42D3-BB1C-B081F2813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だいち!$M$2:$M$40</c:f>
              <c:numCache>
                <c:formatCode>0</c:formatCode>
                <c:ptCount val="39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9-4D77-B472-BDCFECCB3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C3-4189-9DBF-288F21D6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-731.25</c:v>
                </c:pt>
                <c:pt idx="1">
                  <c:v>-1862.5</c:v>
                </c:pt>
                <c:pt idx="2">
                  <c:v>1746.6666666666667</c:v>
                </c:pt>
                <c:pt idx="3">
                  <c:v>-3850</c:v>
                </c:pt>
                <c:pt idx="4">
                  <c:v>2842.8571428571427</c:v>
                </c:pt>
                <c:pt idx="5">
                  <c:v>2692.3076923076924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07-4EB1-A9BC-6240F8636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6</c:v>
                </c:pt>
                <c:pt idx="3">
                  <c:v>12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F-4732-8C9A-C3EB69B18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B7-47AA-8575-473615F6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89-4AA9-A618-8F8FAC26B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3-448F-8C03-0FC66A927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E-4417-8E8C-FD627C0C6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407F-9989-870176584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7.1054273576010019E-15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りくと2!$C$3:$C$19</c:f>
              <c:numCache>
                <c:formatCode>\+0.0;\-0.0;\±0</c:formatCode>
                <c:ptCount val="17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5.3828995133340925E-17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りくと2!$D$3:$D$19</c:f>
              <c:numCache>
                <c:formatCode>0.00\ "位"</c:formatCode>
                <c:ptCount val="17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りくと2!$E$3:$E$19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りくと2!$F$3:$F$19</c:f>
              <c:numCache>
                <c:formatCode>0.0%</c:formatCode>
                <c:ptCount val="1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りくと2!$G$3:$G$19</c:f>
              <c:numCache>
                <c:formatCode>0.0%</c:formatCode>
                <c:ptCount val="17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639401934916448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りくと2!$H$3:$H$19</c:f>
              <c:numCache>
                <c:formatCode>0.0%</c:formatCode>
                <c:ptCount val="17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919085312225154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りくと2!$I$3:$I$19</c:f>
              <c:numCache>
                <c:formatCode>0</c:formatCode>
                <c:ptCount val="17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551.0385756676551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りくと2!$J$3:$J$19</c:f>
              <c:numCache>
                <c:formatCode>0</c:formatCode>
                <c:ptCount val="17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192.8176795580112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7.575757575757576E-2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りくと2!$L$3:$L$19</c:f>
              <c:numCache>
                <c:formatCode>0.0%</c:formatCode>
                <c:ptCount val="17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2189973614775724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りくと2!$M$3:$M$19</c:f>
              <c:numCache>
                <c:formatCode>0.0%</c:formatCode>
                <c:ptCount val="17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733509234828497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りくと2!$N$3:$N$19</c:f>
              <c:numCache>
                <c:formatCode>0.0%</c:formatCode>
                <c:ptCount val="17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6010928961748629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りくと2!$O$3:$O$19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8028169014084506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りくと2!$P$3:$P$19</c:f>
              <c:numCache>
                <c:formatCode>0.0%</c:formatCode>
                <c:ptCount val="17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599406528189911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2827C7-7E46-4D1E-8846-2413FA323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55AC48-87EE-47DE-BB9F-7050075D74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030A99-BF7E-4147-97B8-8FBC9539D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C2E2081-1B7C-48D3-8D54-FC10AB6A1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D9D655-7807-48E0-A879-0B1D25A4F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7CAAB5-B9C6-40AB-9E52-B550A9CA7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73E011-C944-42CD-A584-C3C0867C9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FC69B6-0F6B-49F9-BA54-AAC0973FF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B74181-CCCA-4B02-B7EF-B3661C3C7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98D1AF-634D-4C6B-89EC-EBEE9518B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0A9922-81BE-442D-9852-7F0AA126C5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2125FE8-013B-4CBE-84F2-59D671CC5E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4961BF-C78F-48A5-A486-59A88D45B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F388B0-0962-4D81-9D51-6B44185AD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423B23-C525-440C-9B28-5BE2F80A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9A341F3-1548-4AE2-A482-FC46677B1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72063F-A03A-48DE-9955-B7FA15062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B8CF80-A4CA-4E0E-9159-08EF500B9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9EBB16-EE63-4DC4-8B7F-6E89F24E4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B752B7-B24E-4B7B-8E3C-EC57BC77B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958E9B-2562-4286-A076-9F89DAB4BF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D15862-5616-491D-A204-1F6C7EC2C7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BD68221-5988-4B60-BB4C-E771B9C636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42FBF49-2D41-4492-B1C2-B70D218CD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BFAF7A-0E59-40B4-B440-730E35A47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788B10-2FE2-4BFB-BF68-D405BECAA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EC6932B-58BD-4704-A989-2BF74D7EF6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7E5EBC9-6A59-4AE4-8265-10B3E0CC0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223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219</v>
      </c>
      <c r="L2" s="2" t="s">
        <v>220</v>
      </c>
      <c r="M2" s="2" t="s">
        <v>221</v>
      </c>
      <c r="N2" s="2" t="s">
        <v>224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230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219</v>
      </c>
    </row>
    <row r="4" spans="1:19" x14ac:dyDescent="0.4">
      <c r="A4" s="2" t="s">
        <v>232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  <row r="5" spans="1:19" x14ac:dyDescent="0.4">
      <c r="A5" s="2" t="s">
        <v>222</v>
      </c>
      <c r="B5" s="3">
        <v>45221.872974537036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216</v>
      </c>
      <c r="I5" s="2" t="s">
        <v>217</v>
      </c>
      <c r="J5" s="2" t="s">
        <v>218</v>
      </c>
      <c r="K5" s="2" t="s">
        <v>219</v>
      </c>
      <c r="L5" s="2" t="s">
        <v>220</v>
      </c>
      <c r="M5" s="2" t="s">
        <v>221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231</v>
      </c>
    </row>
    <row r="2" spans="1:3" x14ac:dyDescent="0.4">
      <c r="A2" t="s">
        <v>126</v>
      </c>
      <c r="B2" s="120">
        <v>38</v>
      </c>
      <c r="C2" s="120">
        <v>1846.5755924228188</v>
      </c>
    </row>
    <row r="3" spans="1:3" x14ac:dyDescent="0.4">
      <c r="A3" t="s">
        <v>138</v>
      </c>
      <c r="B3" s="120">
        <v>132</v>
      </c>
      <c r="C3" s="120">
        <v>1614.2957512011271</v>
      </c>
    </row>
    <row r="4" spans="1:3" x14ac:dyDescent="0.4">
      <c r="A4" t="s">
        <v>162</v>
      </c>
      <c r="B4" s="120">
        <v>24</v>
      </c>
      <c r="C4" s="120">
        <v>1595.6213709809917</v>
      </c>
    </row>
    <row r="5" spans="1:3" x14ac:dyDescent="0.4">
      <c r="A5" t="s">
        <v>188</v>
      </c>
      <c r="C5" s="120">
        <v>1551.4699038276274</v>
      </c>
    </row>
    <row r="6" spans="1:3" x14ac:dyDescent="0.4">
      <c r="A6" t="s">
        <v>189</v>
      </c>
      <c r="B6" s="120">
        <v>30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B24" s="120">
        <v>16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192</v>
      </c>
      <c r="I1" s="148"/>
      <c r="J1" s="141" t="s">
        <v>15</v>
      </c>
      <c r="K1" s="142"/>
      <c r="L1" s="141" t="s">
        <v>14</v>
      </c>
      <c r="M1" s="142"/>
      <c r="N1" s="141" t="s">
        <v>148</v>
      </c>
      <c r="O1" s="142"/>
      <c r="P1" s="141" t="s">
        <v>142</v>
      </c>
      <c r="Q1" s="142"/>
      <c r="R1" s="141" t="s">
        <v>143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144</v>
      </c>
      <c r="AG1" s="142"/>
      <c r="AH1" s="141" t="s">
        <v>137</v>
      </c>
      <c r="AI1" s="142"/>
      <c r="AJ1" s="141" t="s">
        <v>179</v>
      </c>
      <c r="AK1" s="142"/>
    </row>
    <row r="2" spans="1:37" x14ac:dyDescent="0.4">
      <c r="A2" s="36" t="s">
        <v>204</v>
      </c>
      <c r="B2" s="143">
        <v>0.8681628757542118</v>
      </c>
      <c r="C2" s="144"/>
      <c r="D2" s="143">
        <v>0.59181115395184403</v>
      </c>
      <c r="E2" s="144"/>
      <c r="F2" s="143">
        <v>0.29357131925542346</v>
      </c>
      <c r="G2" s="144"/>
      <c r="H2" s="145"/>
      <c r="I2" s="146"/>
      <c r="J2" s="143">
        <v>0.36727732797283741</v>
      </c>
      <c r="K2" s="144"/>
      <c r="L2" s="143">
        <v>0.4180868301343314</v>
      </c>
      <c r="M2" s="144"/>
      <c r="N2" s="143">
        <v>0.18482662659666343</v>
      </c>
      <c r="O2" s="144"/>
      <c r="P2" s="143">
        <v>-0.22138109445033877</v>
      </c>
      <c r="Q2" s="144"/>
      <c r="R2" s="143">
        <v>-0.59955144391254345</v>
      </c>
      <c r="S2" s="144"/>
      <c r="T2" s="143">
        <v>0.51303061831025021</v>
      </c>
      <c r="U2" s="144"/>
      <c r="V2" s="143">
        <v>-0.16929319750462873</v>
      </c>
      <c r="W2" s="144"/>
      <c r="X2" s="143">
        <v>0.10183727353979874</v>
      </c>
      <c r="Y2" s="144"/>
      <c r="Z2" s="143">
        <v>0.37643577715453569</v>
      </c>
      <c r="AA2" s="144"/>
      <c r="AB2" s="143">
        <v>-0.52667043338926745</v>
      </c>
      <c r="AC2" s="144"/>
      <c r="AD2" s="143">
        <v>-0.341125244627769</v>
      </c>
      <c r="AE2" s="144"/>
      <c r="AF2" s="143">
        <v>-2.3375556685134167E-2</v>
      </c>
      <c r="AG2" s="144"/>
      <c r="AH2" s="143">
        <v>0.15900095561670785</v>
      </c>
      <c r="AI2" s="144"/>
      <c r="AJ2" s="143">
        <v>0.24584723654740967</v>
      </c>
      <c r="AK2" s="144"/>
    </row>
    <row r="3" spans="1:37" x14ac:dyDescent="0.4">
      <c r="A3" s="38">
        <v>1</v>
      </c>
      <c r="B3" s="41" t="s">
        <v>138</v>
      </c>
      <c r="C3" s="113">
        <v>44</v>
      </c>
      <c r="D3" s="39" t="s">
        <v>126</v>
      </c>
      <c r="E3" s="40">
        <v>272.69999999999987</v>
      </c>
      <c r="F3" s="41" t="s">
        <v>187</v>
      </c>
      <c r="G3" s="60">
        <v>10.793333333333333</v>
      </c>
      <c r="H3" s="41" t="s">
        <v>126</v>
      </c>
      <c r="I3" s="45">
        <v>1841.0959847524587</v>
      </c>
      <c r="J3" s="41" t="s">
        <v>187</v>
      </c>
      <c r="K3" s="42">
        <v>1.8</v>
      </c>
      <c r="L3" s="41" t="s">
        <v>187</v>
      </c>
      <c r="M3" s="43">
        <v>0.46666666666666667</v>
      </c>
      <c r="N3" s="41" t="s">
        <v>126</v>
      </c>
      <c r="O3" s="43">
        <v>0.23684210526315788</v>
      </c>
      <c r="P3" s="41" t="s">
        <v>187</v>
      </c>
      <c r="Q3" s="44">
        <v>0.34090909090909088</v>
      </c>
      <c r="R3" s="41" t="s">
        <v>187</v>
      </c>
      <c r="S3" s="44">
        <v>0.14393939393939395</v>
      </c>
      <c r="T3" s="41" t="s">
        <v>126</v>
      </c>
      <c r="U3" s="45">
        <v>9663.5416666666661</v>
      </c>
      <c r="V3" s="41" t="s">
        <v>187</v>
      </c>
      <c r="W3" s="45">
        <v>-7010.5263157894733</v>
      </c>
      <c r="X3" s="41" t="s">
        <v>126</v>
      </c>
      <c r="Y3" s="43">
        <v>5.2631578947368418E-2</v>
      </c>
      <c r="Z3" s="41" t="s">
        <v>126</v>
      </c>
      <c r="AA3" s="44">
        <v>0.39090909090909093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191</v>
      </c>
      <c r="AG3" s="44">
        <v>0.5</v>
      </c>
      <c r="AH3" s="41" t="s">
        <v>209</v>
      </c>
      <c r="AI3" s="44">
        <v>0.66666666666666663</v>
      </c>
      <c r="AJ3" s="41" t="s">
        <v>126</v>
      </c>
      <c r="AK3" s="55">
        <v>90400</v>
      </c>
    </row>
    <row r="4" spans="1:37" x14ac:dyDescent="0.4">
      <c r="A4" s="46">
        <v>2</v>
      </c>
      <c r="B4" s="49" t="s">
        <v>126</v>
      </c>
      <c r="C4" s="114">
        <v>38</v>
      </c>
      <c r="D4" s="47" t="s">
        <v>187</v>
      </c>
      <c r="E4" s="48">
        <v>161.9</v>
      </c>
      <c r="F4" s="49" t="s">
        <v>126</v>
      </c>
      <c r="G4" s="61">
        <v>7.1763157894736809</v>
      </c>
      <c r="H4" s="49" t="s">
        <v>138</v>
      </c>
      <c r="I4" s="53">
        <v>1612.1851934910912</v>
      </c>
      <c r="J4" s="49" t="s">
        <v>126</v>
      </c>
      <c r="K4" s="50">
        <v>1.8421052631578947</v>
      </c>
      <c r="L4" s="49" t="s">
        <v>126</v>
      </c>
      <c r="M4" s="51">
        <v>0.39473684210526316</v>
      </c>
      <c r="N4" s="49" t="s">
        <v>191</v>
      </c>
      <c r="O4" s="51">
        <v>0.25</v>
      </c>
      <c r="P4" s="49" t="s">
        <v>189</v>
      </c>
      <c r="Q4" s="52">
        <v>0.3282442748091603</v>
      </c>
      <c r="R4" s="49" t="s">
        <v>189</v>
      </c>
      <c r="S4" s="52">
        <v>0.14503816793893129</v>
      </c>
      <c r="T4" s="49" t="s">
        <v>191</v>
      </c>
      <c r="U4" s="53">
        <v>9078.9473684210534</v>
      </c>
      <c r="V4" s="49" t="s">
        <v>191</v>
      </c>
      <c r="W4" s="53">
        <v>-7555</v>
      </c>
      <c r="X4" s="49" t="s">
        <v>191</v>
      </c>
      <c r="Y4" s="51">
        <v>6.25E-2</v>
      </c>
      <c r="Z4" s="49" t="s">
        <v>162</v>
      </c>
      <c r="AA4" s="52">
        <v>0.38461538461538464</v>
      </c>
      <c r="AB4" s="49" t="s">
        <v>189</v>
      </c>
      <c r="AC4" s="52">
        <v>0.22519083969465647</v>
      </c>
      <c r="AD4" s="49" t="s">
        <v>189</v>
      </c>
      <c r="AE4" s="52">
        <v>0.64150943396226412</v>
      </c>
      <c r="AF4" s="49" t="s">
        <v>189</v>
      </c>
      <c r="AG4" s="52">
        <v>0.49152542372881358</v>
      </c>
      <c r="AH4" s="49" t="s">
        <v>162</v>
      </c>
      <c r="AI4" s="52">
        <v>0.50877192982456143</v>
      </c>
      <c r="AJ4" s="49" t="s">
        <v>138</v>
      </c>
      <c r="AK4" s="56">
        <v>90400</v>
      </c>
    </row>
    <row r="5" spans="1:37" x14ac:dyDescent="0.4">
      <c r="A5" s="46">
        <v>3</v>
      </c>
      <c r="B5" s="49" t="s">
        <v>189</v>
      </c>
      <c r="C5" s="114">
        <v>30</v>
      </c>
      <c r="D5" s="47" t="s">
        <v>191</v>
      </c>
      <c r="E5" s="48">
        <v>2.6999999999999886</v>
      </c>
      <c r="F5" s="49" t="s">
        <v>191</v>
      </c>
      <c r="G5" s="61">
        <v>0.16874999999999929</v>
      </c>
      <c r="H5" s="49" t="s">
        <v>162</v>
      </c>
      <c r="I5" s="53">
        <v>1590.8436947948335</v>
      </c>
      <c r="J5" s="49" t="s">
        <v>162</v>
      </c>
      <c r="K5" s="50">
        <v>1.9583333333333333</v>
      </c>
      <c r="L5" s="49" t="s">
        <v>162</v>
      </c>
      <c r="M5" s="51">
        <v>0.375</v>
      </c>
      <c r="N5" s="49" t="s">
        <v>187</v>
      </c>
      <c r="O5" s="51">
        <v>0.26666666666666666</v>
      </c>
      <c r="P5" s="49" t="s">
        <v>138</v>
      </c>
      <c r="Q5" s="52">
        <v>0.29639401934916448</v>
      </c>
      <c r="R5" s="49" t="s">
        <v>191</v>
      </c>
      <c r="S5" s="52">
        <v>0.15037593984962405</v>
      </c>
      <c r="T5" s="49" t="s">
        <v>162</v>
      </c>
      <c r="U5" s="53">
        <v>8870.1754385964905</v>
      </c>
      <c r="V5" s="49" t="s">
        <v>126</v>
      </c>
      <c r="W5" s="53">
        <v>-7886.5384615384619</v>
      </c>
      <c r="X5" s="49" t="s">
        <v>189</v>
      </c>
      <c r="Y5" s="51">
        <v>6.6666666666666666E-2</v>
      </c>
      <c r="Z5" s="49" t="s">
        <v>191</v>
      </c>
      <c r="AA5" s="52">
        <v>0.36090225563909772</v>
      </c>
      <c r="AB5" s="49" t="s">
        <v>209</v>
      </c>
      <c r="AC5" s="52">
        <v>0.22222222222222221</v>
      </c>
      <c r="AD5" s="49" t="s">
        <v>138</v>
      </c>
      <c r="AE5" s="52">
        <v>0.56010928961748629</v>
      </c>
      <c r="AF5" s="49" t="s">
        <v>126</v>
      </c>
      <c r="AG5" s="52">
        <v>0.46666666666666667</v>
      </c>
      <c r="AH5" s="49" t="s">
        <v>187</v>
      </c>
      <c r="AI5" s="52">
        <v>0.48888888888888887</v>
      </c>
      <c r="AJ5" s="49" t="s">
        <v>187</v>
      </c>
      <c r="AK5" s="56">
        <v>84600</v>
      </c>
    </row>
    <row r="6" spans="1:37" x14ac:dyDescent="0.4">
      <c r="A6" s="46">
        <v>4</v>
      </c>
      <c r="B6" s="49" t="s">
        <v>162</v>
      </c>
      <c r="C6" s="114">
        <v>24</v>
      </c>
      <c r="D6" s="47" t="s">
        <v>138</v>
      </c>
      <c r="E6" s="48">
        <v>7.1054273576010019E-15</v>
      </c>
      <c r="F6" s="49" t="s">
        <v>138</v>
      </c>
      <c r="G6" s="61">
        <v>5.3828995133340925E-17</v>
      </c>
      <c r="H6" s="49" t="s">
        <v>189</v>
      </c>
      <c r="I6" s="53">
        <v>1535.1206646770863</v>
      </c>
      <c r="J6" s="49" t="s">
        <v>191</v>
      </c>
      <c r="K6" s="50">
        <v>2</v>
      </c>
      <c r="L6" s="49" t="s">
        <v>138</v>
      </c>
      <c r="M6" s="51">
        <v>0.33333333333333331</v>
      </c>
      <c r="N6" s="49" t="s">
        <v>162</v>
      </c>
      <c r="O6" s="51">
        <v>0.33333333333333331</v>
      </c>
      <c r="P6" s="49" t="s">
        <v>126</v>
      </c>
      <c r="Q6" s="52">
        <v>0.29090909090909089</v>
      </c>
      <c r="R6" s="49" t="s">
        <v>126</v>
      </c>
      <c r="S6" s="52">
        <v>0.15757575757575756</v>
      </c>
      <c r="T6" s="49" t="s">
        <v>138</v>
      </c>
      <c r="U6" s="53">
        <v>8551.0385756676551</v>
      </c>
      <c r="V6" s="49" t="s">
        <v>138</v>
      </c>
      <c r="W6" s="53">
        <v>-8192.8176795580112</v>
      </c>
      <c r="X6" s="49" t="s">
        <v>187</v>
      </c>
      <c r="Y6" s="51">
        <v>6.6666666666666666E-2</v>
      </c>
      <c r="Z6" s="49" t="s">
        <v>138</v>
      </c>
      <c r="AA6" s="52">
        <v>0.32189973614775724</v>
      </c>
      <c r="AB6" s="49" t="s">
        <v>162</v>
      </c>
      <c r="AC6" s="52">
        <v>0.19230769230769232</v>
      </c>
      <c r="AD6" s="49" t="s">
        <v>162</v>
      </c>
      <c r="AE6" s="52">
        <v>0.55000000000000004</v>
      </c>
      <c r="AF6" s="49" t="s">
        <v>138</v>
      </c>
      <c r="AG6" s="52">
        <v>0.38028169014084506</v>
      </c>
      <c r="AH6" s="49" t="s">
        <v>138</v>
      </c>
      <c r="AI6" s="52">
        <v>0.4599406528189911</v>
      </c>
      <c r="AJ6" s="49" t="s">
        <v>189</v>
      </c>
      <c r="AK6" s="56">
        <v>83400</v>
      </c>
    </row>
    <row r="7" spans="1:37" x14ac:dyDescent="0.4">
      <c r="A7" s="46">
        <v>5</v>
      </c>
      <c r="B7" s="49" t="s">
        <v>191</v>
      </c>
      <c r="C7" s="114">
        <v>16</v>
      </c>
      <c r="D7" s="47" t="s">
        <v>162</v>
      </c>
      <c r="E7" s="48">
        <v>-54.29999999999999</v>
      </c>
      <c r="F7" s="49" t="s">
        <v>162</v>
      </c>
      <c r="G7" s="61">
        <v>-2.2624999999999997</v>
      </c>
      <c r="H7" s="49" t="s">
        <v>187</v>
      </c>
      <c r="I7" s="53">
        <v>1502.387739697532</v>
      </c>
      <c r="J7" s="49" t="s">
        <v>138</v>
      </c>
      <c r="K7" s="50">
        <v>2</v>
      </c>
      <c r="L7" s="49" t="s">
        <v>189</v>
      </c>
      <c r="M7" s="51">
        <v>0.26666666666666666</v>
      </c>
      <c r="N7" s="49" t="s">
        <v>138</v>
      </c>
      <c r="O7" s="51">
        <v>0.33333333333333331</v>
      </c>
      <c r="P7" s="49" t="s">
        <v>191</v>
      </c>
      <c r="Q7" s="52">
        <v>0.2857142857142857</v>
      </c>
      <c r="R7" s="49" t="s">
        <v>162</v>
      </c>
      <c r="S7" s="52">
        <v>0.15865384615384615</v>
      </c>
      <c r="T7" s="49" t="s">
        <v>187</v>
      </c>
      <c r="U7" s="53">
        <v>7735.5555555555557</v>
      </c>
      <c r="V7" s="49" t="s">
        <v>162</v>
      </c>
      <c r="W7" s="53">
        <v>-8390.9090909090901</v>
      </c>
      <c r="X7" s="49" t="s">
        <v>138</v>
      </c>
      <c r="Y7" s="51">
        <v>7.575757575757576E-2</v>
      </c>
      <c r="Z7" s="49" t="s">
        <v>209</v>
      </c>
      <c r="AA7" s="52">
        <v>0.27777777777777779</v>
      </c>
      <c r="AB7" s="49" t="s">
        <v>138</v>
      </c>
      <c r="AC7" s="52">
        <v>0.18733509234828497</v>
      </c>
      <c r="AD7" s="49" t="s">
        <v>191</v>
      </c>
      <c r="AE7" s="52">
        <v>0.52083333333333337</v>
      </c>
      <c r="AF7" s="49" t="s">
        <v>187</v>
      </c>
      <c r="AG7" s="52">
        <v>0.32258064516129031</v>
      </c>
      <c r="AH7" s="49" t="s">
        <v>126</v>
      </c>
      <c r="AI7" s="52">
        <v>0.44791666666666669</v>
      </c>
      <c r="AJ7" s="49" t="s">
        <v>191</v>
      </c>
      <c r="AK7" s="56">
        <v>82600</v>
      </c>
    </row>
    <row r="8" spans="1:37" x14ac:dyDescent="0.4">
      <c r="A8" s="46">
        <v>6</v>
      </c>
      <c r="B8" s="49" t="s">
        <v>187</v>
      </c>
      <c r="C8" s="114">
        <v>15</v>
      </c>
      <c r="D8" s="47" t="s">
        <v>189</v>
      </c>
      <c r="E8" s="48">
        <v>-137.9</v>
      </c>
      <c r="F8" s="49" t="s">
        <v>189</v>
      </c>
      <c r="G8" s="61">
        <v>-4.5966666666666667</v>
      </c>
      <c r="H8" s="49" t="s">
        <v>209</v>
      </c>
      <c r="I8" s="53">
        <v>1458.4719141494811</v>
      </c>
      <c r="J8" s="49" t="s">
        <v>189</v>
      </c>
      <c r="K8" s="50">
        <v>2.1666666666666665</v>
      </c>
      <c r="L8" s="49" t="s">
        <v>191</v>
      </c>
      <c r="M8" s="51">
        <v>0.25</v>
      </c>
      <c r="N8" s="49" t="s">
        <v>189</v>
      </c>
      <c r="O8" s="51">
        <v>0.43333333333333335</v>
      </c>
      <c r="P8" s="49" t="s">
        <v>162</v>
      </c>
      <c r="Q8" s="52">
        <v>0.27403846153846156</v>
      </c>
      <c r="R8" s="49" t="s">
        <v>138</v>
      </c>
      <c r="S8" s="52">
        <v>0.15919085312225154</v>
      </c>
      <c r="T8" s="49" t="s">
        <v>189</v>
      </c>
      <c r="U8" s="53">
        <v>7643.0232558139533</v>
      </c>
      <c r="V8" s="49" t="s">
        <v>209</v>
      </c>
      <c r="W8" s="53">
        <v>-8863.1578947368416</v>
      </c>
      <c r="X8" s="49" t="s">
        <v>209</v>
      </c>
      <c r="Y8" s="51">
        <v>0.1111111111111111</v>
      </c>
      <c r="Z8" s="49" t="s">
        <v>187</v>
      </c>
      <c r="AA8" s="52">
        <v>0.27272727272727271</v>
      </c>
      <c r="AB8" s="49" t="s">
        <v>191</v>
      </c>
      <c r="AC8" s="52">
        <v>0.16541353383458646</v>
      </c>
      <c r="AD8" s="49" t="s">
        <v>126</v>
      </c>
      <c r="AE8" s="52">
        <v>0.51162790697674421</v>
      </c>
      <c r="AF8" s="49" t="s">
        <v>209</v>
      </c>
      <c r="AG8" s="52">
        <v>0.1875</v>
      </c>
      <c r="AH8" s="49" t="s">
        <v>191</v>
      </c>
      <c r="AI8" s="52">
        <v>0.42105263157894735</v>
      </c>
      <c r="AJ8" s="49" t="s">
        <v>162</v>
      </c>
      <c r="AK8" s="56">
        <v>64600</v>
      </c>
    </row>
    <row r="9" spans="1:37" x14ac:dyDescent="0.4">
      <c r="A9" s="46">
        <v>7</v>
      </c>
      <c r="B9" s="49" t="s">
        <v>209</v>
      </c>
      <c r="C9" s="114">
        <v>9</v>
      </c>
      <c r="D9" s="47" t="s">
        <v>209</v>
      </c>
      <c r="E9" s="48">
        <v>-245.1</v>
      </c>
      <c r="F9" s="49" t="s">
        <v>209</v>
      </c>
      <c r="G9" s="61">
        <v>-27.233333333333334</v>
      </c>
      <c r="H9" s="49" t="s">
        <v>191</v>
      </c>
      <c r="I9" s="53">
        <v>1392.7601128886215</v>
      </c>
      <c r="J9" s="49" t="s">
        <v>209</v>
      </c>
      <c r="K9" s="50">
        <v>2.5555555555555554</v>
      </c>
      <c r="L9" s="49" t="s">
        <v>209</v>
      </c>
      <c r="M9" s="51">
        <v>0.1111111111111111</v>
      </c>
      <c r="N9" s="49" t="s">
        <v>209</v>
      </c>
      <c r="O9" s="51">
        <v>0.66666666666666663</v>
      </c>
      <c r="P9" s="49" t="s">
        <v>209</v>
      </c>
      <c r="Q9" s="52">
        <v>0.20833333333333334</v>
      </c>
      <c r="R9" s="49" t="s">
        <v>209</v>
      </c>
      <c r="S9" s="52">
        <v>0.2638888888888889</v>
      </c>
      <c r="T9" s="49" t="s">
        <v>209</v>
      </c>
      <c r="U9" s="53">
        <v>6533.333333333333</v>
      </c>
      <c r="V9" s="49" t="s">
        <v>189</v>
      </c>
      <c r="W9" s="53">
        <v>-9031.5789473684217</v>
      </c>
      <c r="X9" s="49" t="s">
        <v>162</v>
      </c>
      <c r="Y9" s="51">
        <v>0.125</v>
      </c>
      <c r="Z9" s="49" t="s">
        <v>189</v>
      </c>
      <c r="AA9" s="52">
        <v>0.20229007633587787</v>
      </c>
      <c r="AB9" s="49" t="s">
        <v>126</v>
      </c>
      <c r="AC9" s="52">
        <v>0.13636363636363635</v>
      </c>
      <c r="AD9" s="49" t="s">
        <v>209</v>
      </c>
      <c r="AE9" s="52">
        <v>0.5</v>
      </c>
      <c r="AF9" s="49" t="s">
        <v>162</v>
      </c>
      <c r="AG9" s="52">
        <v>0.17499999999999999</v>
      </c>
      <c r="AH9" s="49" t="s">
        <v>189</v>
      </c>
      <c r="AI9" s="52">
        <v>0.40697674418604651</v>
      </c>
      <c r="AJ9" s="49" t="s">
        <v>209</v>
      </c>
      <c r="AK9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F283-7958-4DD9-AFD5-323C40B6406C}">
  <sheetPr codeName="Sheet4"/>
  <dimension ref="A1:R13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132</v>
      </c>
      <c r="C2" s="134"/>
      <c r="E2" s="26" t="s">
        <v>66</v>
      </c>
      <c r="F2" s="23" t="s">
        <v>22</v>
      </c>
      <c r="G2" s="11">
        <v>235</v>
      </c>
      <c r="H2" s="87">
        <f>IF(B$20=0,0,G2/B$20)</f>
        <v>0.69732937685459939</v>
      </c>
      <c r="I2" s="57">
        <v>4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-22.727272727272727</v>
      </c>
      <c r="Q2" s="76">
        <v>132</v>
      </c>
      <c r="R2" s="63">
        <v>-3000</v>
      </c>
    </row>
    <row r="3" spans="1:18" x14ac:dyDescent="0.4">
      <c r="A3" s="19" t="s">
        <v>8</v>
      </c>
      <c r="B3" s="135">
        <v>1137</v>
      </c>
      <c r="C3" s="136"/>
      <c r="E3" s="27" t="s">
        <v>64</v>
      </c>
      <c r="F3" s="24" t="s">
        <v>20</v>
      </c>
      <c r="G3" s="12">
        <v>204</v>
      </c>
      <c r="H3" s="88">
        <f>IF(B$20=0,0,G3/B$20)</f>
        <v>0.60534124629080122</v>
      </c>
      <c r="I3" s="58">
        <v>5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0</v>
      </c>
      <c r="Q3" s="77">
        <v>129</v>
      </c>
      <c r="R3" s="64">
        <v>0</v>
      </c>
    </row>
    <row r="4" spans="1:18" x14ac:dyDescent="0.4">
      <c r="A4" s="19" t="s">
        <v>6</v>
      </c>
      <c r="B4" s="137">
        <v>7.1054273576010019E-15</v>
      </c>
      <c r="C4" s="138"/>
      <c r="E4" s="27" t="s">
        <v>72</v>
      </c>
      <c r="F4" s="24" t="s">
        <v>27</v>
      </c>
      <c r="G4" s="12">
        <v>154</v>
      </c>
      <c r="H4" s="88">
        <f>IF(B$20=0,0,G4/B$20)</f>
        <v>0.45697329376854601</v>
      </c>
      <c r="I4" s="58">
        <v>4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7.9365079365079367</v>
      </c>
      <c r="Q4" s="77">
        <v>126</v>
      </c>
      <c r="R4" s="64">
        <v>1000</v>
      </c>
    </row>
    <row r="5" spans="1:18" x14ac:dyDescent="0.4">
      <c r="A5" s="19" t="s">
        <v>7</v>
      </c>
      <c r="B5" s="125">
        <f>IF(B$2=0,0,B$4/B$2)</f>
        <v>5.3828995133340925E-17</v>
      </c>
      <c r="C5" s="126"/>
      <c r="E5" s="27" t="s">
        <v>158</v>
      </c>
      <c r="F5" s="24" t="s">
        <v>159</v>
      </c>
      <c r="G5" s="12">
        <v>154</v>
      </c>
      <c r="H5" s="88">
        <f>IF(B$20=0,0,G5/B$20)</f>
        <v>0.45697329376854601</v>
      </c>
      <c r="I5" s="58">
        <v>4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-8.3333333333333339</v>
      </c>
      <c r="Q5" s="77">
        <v>120</v>
      </c>
      <c r="R5" s="64">
        <v>-1000</v>
      </c>
    </row>
    <row r="6" spans="1:18" x14ac:dyDescent="0.4">
      <c r="A6" s="19" t="s">
        <v>192</v>
      </c>
      <c r="B6" s="129">
        <v>1612.1851934910912</v>
      </c>
      <c r="C6" s="130"/>
      <c r="E6" s="27" t="s">
        <v>68</v>
      </c>
      <c r="F6" s="24" t="s">
        <v>12</v>
      </c>
      <c r="G6" s="12">
        <v>121</v>
      </c>
      <c r="H6" s="88">
        <f>IF(B$20=0,0,G6/B$20)</f>
        <v>0.35905044510385759</v>
      </c>
      <c r="I6" s="58">
        <v>3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8.5470085470085468</v>
      </c>
      <c r="Q6" s="77">
        <v>117</v>
      </c>
      <c r="R6" s="64">
        <v>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108</v>
      </c>
      <c r="H7" s="88">
        <f>IF(B$20=0,0,G7/B$20)</f>
        <v>0.32047477744807124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19.047619047619047</v>
      </c>
      <c r="Q7" s="78">
        <v>105</v>
      </c>
      <c r="R7" s="65">
        <v>2000</v>
      </c>
    </row>
    <row r="8" spans="1:18" x14ac:dyDescent="0.4">
      <c r="A8" s="19" t="s">
        <v>2</v>
      </c>
      <c r="B8" s="12">
        <v>44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57</v>
      </c>
      <c r="H8" s="88">
        <f>IF(B$20=0,0,G8/B$20)</f>
        <v>0.16913946587537093</v>
      </c>
      <c r="I8" s="58">
        <v>3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44</v>
      </c>
      <c r="C9" s="6">
        <f t="shared" si="1"/>
        <v>0.33333333333333331</v>
      </c>
      <c r="E9" s="27" t="s">
        <v>65</v>
      </c>
      <c r="F9" s="24" t="s">
        <v>21</v>
      </c>
      <c r="G9" s="12">
        <v>44</v>
      </c>
      <c r="H9" s="88">
        <f>IF(B$20=0,0,G9/B$20)</f>
        <v>0.13056379821958458</v>
      </c>
      <c r="I9" s="58">
        <v>5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44</v>
      </c>
      <c r="C10" s="7">
        <f t="shared" si="1"/>
        <v>0.33333333333333331</v>
      </c>
      <c r="E10" s="27" t="s">
        <v>89</v>
      </c>
      <c r="F10" s="24" t="s">
        <v>44</v>
      </c>
      <c r="G10" s="12">
        <v>40</v>
      </c>
      <c r="H10" s="88">
        <f>IF(B$20=0,0,G10/B$20)</f>
        <v>0.11869436201780416</v>
      </c>
      <c r="I10" s="58">
        <v>3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-11.306818181818182</v>
      </c>
      <c r="Q10" s="76">
        <v>44</v>
      </c>
      <c r="R10" s="67">
        <v>-497.5</v>
      </c>
    </row>
    <row r="11" spans="1:18" x14ac:dyDescent="0.4">
      <c r="A11" s="20" t="s">
        <v>183</v>
      </c>
      <c r="B11" s="109">
        <f>IF(B8=0,0,C11/B8)</f>
        <v>44.04545454545454</v>
      </c>
      <c r="C11" s="110">
        <v>1937.9999999999998</v>
      </c>
      <c r="E11" s="27" t="s">
        <v>70</v>
      </c>
      <c r="F11" s="24" t="s">
        <v>25</v>
      </c>
      <c r="G11" s="12">
        <v>37</v>
      </c>
      <c r="H11" s="88">
        <f>IF(B$20=0,0,G11/B$20)</f>
        <v>0.10979228486646884</v>
      </c>
      <c r="I11" s="58">
        <v>4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0.14318181818181766</v>
      </c>
      <c r="Q11" s="77">
        <v>44</v>
      </c>
      <c r="R11" s="68">
        <v>6.2999999999999776</v>
      </c>
    </row>
    <row r="12" spans="1:18" x14ac:dyDescent="0.4">
      <c r="A12" s="20" t="s">
        <v>184</v>
      </c>
      <c r="B12" s="109">
        <f>IF(B9=0,0,C12/B9)</f>
        <v>-0.8977272727272726</v>
      </c>
      <c r="C12" s="110">
        <v>-39.499999999999993</v>
      </c>
      <c r="E12" s="27" t="s">
        <v>71</v>
      </c>
      <c r="F12" s="24" t="s">
        <v>26</v>
      </c>
      <c r="G12" s="12">
        <v>25</v>
      </c>
      <c r="H12" s="88">
        <f>IF(B$20=0,0,G12/B$20)</f>
        <v>7.418397626112759E-2</v>
      </c>
      <c r="I12" s="58">
        <v>5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11.163636363636362</v>
      </c>
      <c r="Q12" s="78">
        <v>44</v>
      </c>
      <c r="R12" s="69">
        <v>491.19999999999993</v>
      </c>
    </row>
    <row r="13" spans="1:18" x14ac:dyDescent="0.4">
      <c r="A13" s="20" t="s">
        <v>185</v>
      </c>
      <c r="B13" s="109">
        <f>IF(B10=0,0,C13/B10)</f>
        <v>-43.147727272727259</v>
      </c>
      <c r="C13" s="110">
        <v>-1898.4999999999993</v>
      </c>
      <c r="E13" s="27" t="s">
        <v>86</v>
      </c>
      <c r="F13" s="24" t="s">
        <v>41</v>
      </c>
      <c r="G13" s="12">
        <v>22</v>
      </c>
      <c r="H13" s="88">
        <f>IF(B$20=0,0,G13/B$20)</f>
        <v>6.5281899109792291E-2</v>
      </c>
      <c r="I13" s="58">
        <v>3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11</v>
      </c>
      <c r="H14" s="88">
        <f>IF(B$20=0,0,G14/B$20)</f>
        <v>3.2640949554896145E-2</v>
      </c>
      <c r="I14" s="58">
        <v>4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10</v>
      </c>
      <c r="C15" s="9">
        <f t="shared" si="1"/>
        <v>7.575757575757576E-2</v>
      </c>
      <c r="E15" s="27" t="s">
        <v>78</v>
      </c>
      <c r="F15" s="24" t="s">
        <v>33</v>
      </c>
      <c r="G15" s="12">
        <v>8</v>
      </c>
      <c r="H15" s="88">
        <f>IF(B$20=0,0,G15/B$20)</f>
        <v>2.3738872403560832E-2</v>
      </c>
      <c r="I15" s="58">
        <v>3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366</v>
      </c>
      <c r="C16" s="10">
        <f>IF(B$3=0,0,B16/B$3)</f>
        <v>0.32189973614775724</v>
      </c>
      <c r="E16" s="27" t="s">
        <v>81</v>
      </c>
      <c r="F16" s="24" t="s">
        <v>36</v>
      </c>
      <c r="G16" s="12">
        <v>7</v>
      </c>
      <c r="H16" s="88">
        <f>IF(B$20=0,0,G16/B$20)</f>
        <v>2.0771513353115726E-2</v>
      </c>
      <c r="I16" s="58">
        <v>4</v>
      </c>
      <c r="K16" s="74">
        <v>14</v>
      </c>
      <c r="L16" s="119">
        <v>33.6</v>
      </c>
      <c r="M16" s="117">
        <v>1614.4779292016872</v>
      </c>
      <c r="O16" s="74" t="s">
        <v>189</v>
      </c>
      <c r="P16" s="83">
        <f>IF(Q16=0,0,R16/Q16)</f>
        <v>6.8950000000000005</v>
      </c>
      <c r="Q16" s="77">
        <v>60</v>
      </c>
      <c r="R16" s="68">
        <v>413.70000000000005</v>
      </c>
    </row>
    <row r="17" spans="1:18" x14ac:dyDescent="0.4">
      <c r="A17" s="19" t="s">
        <v>118</v>
      </c>
      <c r="B17" s="12">
        <v>213</v>
      </c>
      <c r="C17" s="6">
        <f>IF(B$3=0,0,B17/B$3)</f>
        <v>0.18733509234828497</v>
      </c>
      <c r="E17" s="27" t="s">
        <v>73</v>
      </c>
      <c r="F17" s="24" t="s">
        <v>28</v>
      </c>
      <c r="G17" s="12">
        <v>6</v>
      </c>
      <c r="H17" s="88">
        <f>IF(B$20=0,0,G17/B$20)</f>
        <v>1.7804154302670624E-2</v>
      </c>
      <c r="I17" s="58">
        <v>5</v>
      </c>
      <c r="K17" s="74">
        <v>15</v>
      </c>
      <c r="L17" s="119">
        <v>0</v>
      </c>
      <c r="M17" s="117">
        <v>1607.9530616264772</v>
      </c>
      <c r="O17" s="74" t="s">
        <v>162</v>
      </c>
      <c r="P17" s="83">
        <f>IF(Q17=0,0,R17/Q17)</f>
        <v>3.3937499999999932</v>
      </c>
      <c r="Q17" s="77">
        <v>48</v>
      </c>
      <c r="R17" s="68">
        <v>162.89999999999966</v>
      </c>
    </row>
    <row r="18" spans="1:18" x14ac:dyDescent="0.4">
      <c r="A18" s="18" t="s">
        <v>123</v>
      </c>
      <c r="B18" s="11">
        <f>B24</f>
        <v>205</v>
      </c>
      <c r="C18" s="5">
        <f>IF(B$16=0,0,B18/B$16)</f>
        <v>0.56010928961748629</v>
      </c>
      <c r="E18" s="27" t="s">
        <v>91</v>
      </c>
      <c r="F18" s="24" t="s">
        <v>46</v>
      </c>
      <c r="G18" s="12">
        <v>3</v>
      </c>
      <c r="H18" s="88">
        <f>IF(B$20=0,0,G18/B$20)</f>
        <v>8.9020771513353119E-3</v>
      </c>
      <c r="I18" s="58">
        <v>4</v>
      </c>
      <c r="K18" s="74">
        <v>16</v>
      </c>
      <c r="L18" s="119">
        <v>1.4</v>
      </c>
      <c r="M18" s="117">
        <v>1608.3733432567183</v>
      </c>
      <c r="O18" s="74" t="s">
        <v>191</v>
      </c>
      <c r="P18" s="83">
        <f>IF(Q18=0,0,R18/Q18)</f>
        <v>-0.25312500000000382</v>
      </c>
      <c r="Q18" s="77">
        <v>32</v>
      </c>
      <c r="R18" s="68">
        <v>-8.1000000000001222</v>
      </c>
    </row>
    <row r="19" spans="1:18" x14ac:dyDescent="0.4">
      <c r="A19" s="18" t="s">
        <v>124</v>
      </c>
      <c r="B19" s="11">
        <f>B25</f>
        <v>81</v>
      </c>
      <c r="C19" s="5">
        <f>IF(B$17=0,0,B19/B$17)</f>
        <v>0.38028169014084506</v>
      </c>
      <c r="E19" s="27" t="s">
        <v>74</v>
      </c>
      <c r="F19" s="24" t="s">
        <v>29</v>
      </c>
      <c r="G19" s="12">
        <v>2</v>
      </c>
      <c r="H19" s="88">
        <f>IF(B$20=0,0,G19/B$20)</f>
        <v>5.9347181008902079E-3</v>
      </c>
      <c r="I19" s="58">
        <v>3</v>
      </c>
      <c r="K19" s="74">
        <v>17</v>
      </c>
      <c r="L19" s="119">
        <v>32.700000000000003</v>
      </c>
      <c r="M19" s="117">
        <v>1614.1731031971779</v>
      </c>
      <c r="O19" s="74" t="s">
        <v>126</v>
      </c>
      <c r="P19" s="83">
        <f>IF(Q19=0,0,R19/Q19)</f>
        <v>-10.764473684210524</v>
      </c>
      <c r="Q19" s="77">
        <v>76</v>
      </c>
      <c r="R19" s="68">
        <v>-818.0999999999998</v>
      </c>
    </row>
    <row r="20" spans="1:18" x14ac:dyDescent="0.4">
      <c r="A20" s="18" t="s">
        <v>10</v>
      </c>
      <c r="B20" s="11">
        <f>B23+B22</f>
        <v>337</v>
      </c>
      <c r="C20" s="5">
        <f>IF(B$3=0,0,B20/B$3)</f>
        <v>0.29639401934916448</v>
      </c>
      <c r="E20" s="27" t="s">
        <v>75</v>
      </c>
      <c r="F20" s="24" t="s">
        <v>30</v>
      </c>
      <c r="G20" s="12">
        <v>2</v>
      </c>
      <c r="H20" s="88">
        <f>IF(B$20=0,0,G20/B$20)</f>
        <v>5.9347181008902079E-3</v>
      </c>
      <c r="I20" s="58">
        <v>2</v>
      </c>
      <c r="K20" s="74">
        <v>18</v>
      </c>
      <c r="L20" s="119">
        <v>0</v>
      </c>
      <c r="M20" s="117">
        <v>1608.4180645779948</v>
      </c>
      <c r="O20" s="74" t="s">
        <v>187</v>
      </c>
      <c r="P20" s="83">
        <f>IF(Q20=0,0,R20/Q20)</f>
        <v>-16.190000000000001</v>
      </c>
      <c r="Q20" s="77">
        <v>30</v>
      </c>
      <c r="R20" s="68">
        <v>-485.7</v>
      </c>
    </row>
    <row r="21" spans="1:18" x14ac:dyDescent="0.4">
      <c r="A21" s="19" t="s">
        <v>13</v>
      </c>
      <c r="B21" s="12">
        <v>181</v>
      </c>
      <c r="C21" s="6">
        <f>IF(B$3=0,0,B21/B$3)</f>
        <v>0.15919085312225154</v>
      </c>
      <c r="E21" s="27" t="s">
        <v>79</v>
      </c>
      <c r="F21" s="24" t="s">
        <v>34</v>
      </c>
      <c r="G21" s="12">
        <v>2</v>
      </c>
      <c r="H21" s="88">
        <f>IF(B$20=0,0,G21/B$20)</f>
        <v>5.9347181008902079E-3</v>
      </c>
      <c r="I21" s="58">
        <v>2</v>
      </c>
      <c r="K21" s="74">
        <v>19</v>
      </c>
      <c r="L21" s="119">
        <v>7.6</v>
      </c>
      <c r="M21" s="117">
        <v>1609.3575561905268</v>
      </c>
    </row>
    <row r="22" spans="1:18" x14ac:dyDescent="0.4">
      <c r="A22" s="19" t="s">
        <v>12</v>
      </c>
      <c r="B22" s="12">
        <v>155</v>
      </c>
      <c r="C22" s="6">
        <f>IF(B$20=0,0,B22/B$20)</f>
        <v>0.4599406528189911</v>
      </c>
      <c r="E22" s="27" t="s">
        <v>76</v>
      </c>
      <c r="F22" s="24" t="s">
        <v>31</v>
      </c>
      <c r="G22" s="12">
        <v>1</v>
      </c>
      <c r="H22" s="88">
        <f>IF(B$20=0,0,G22/B$20)</f>
        <v>2.967359050445104E-3</v>
      </c>
      <c r="I22" s="58">
        <v>2</v>
      </c>
      <c r="K22" s="74">
        <v>20</v>
      </c>
      <c r="L22" s="119">
        <v>41.2</v>
      </c>
      <c r="M22" s="117">
        <v>1614.9714108533835</v>
      </c>
    </row>
    <row r="23" spans="1:18" x14ac:dyDescent="0.4">
      <c r="A23" s="19" t="s">
        <v>11</v>
      </c>
      <c r="B23" s="12">
        <v>182</v>
      </c>
      <c r="C23" s="6">
        <f>IF(B$20=0,0,B23/B$20)</f>
        <v>0.5400593471810089</v>
      </c>
      <c r="E23" s="27" t="s">
        <v>87</v>
      </c>
      <c r="F23" s="24" t="s">
        <v>42</v>
      </c>
      <c r="G23" s="12">
        <v>1</v>
      </c>
      <c r="H23" s="88">
        <f>IF(B$20=0,0,G23/B$20)</f>
        <v>2.967359050445104E-3</v>
      </c>
      <c r="I23" s="58">
        <v>2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205</v>
      </c>
      <c r="C24" s="6">
        <f>IF(B$20=0,0,B24/B$20)</f>
        <v>0.60830860534124631</v>
      </c>
      <c r="E24" s="27" t="s">
        <v>93</v>
      </c>
      <c r="F24" s="24" t="s">
        <v>48</v>
      </c>
      <c r="G24" s="12">
        <v>1</v>
      </c>
      <c r="H24" s="88">
        <f>IF(B$20=0,0,G24/B$20)</f>
        <v>2.967359050445104E-3</v>
      </c>
      <c r="I24" s="58">
        <v>2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81</v>
      </c>
      <c r="C25" s="6">
        <f>IF(B$20=0,0,B25/B$20)</f>
        <v>0.24035608308605341</v>
      </c>
      <c r="E25" s="27" t="s">
        <v>94</v>
      </c>
      <c r="F25" s="24" t="s">
        <v>49</v>
      </c>
      <c r="G25" s="12">
        <v>1</v>
      </c>
      <c r="H25" s="88">
        <f>IF(B$20=0,0,G25/B$20)</f>
        <v>2.967359050445104E-3</v>
      </c>
      <c r="I25" s="58">
        <v>2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51</v>
      </c>
      <c r="C26" s="6">
        <f>IF(B$20=0,0,B26/B$20)</f>
        <v>0.1513353115727003</v>
      </c>
      <c r="E26" s="27" t="s">
        <v>99</v>
      </c>
      <c r="F26" s="24" t="s">
        <v>54</v>
      </c>
      <c r="G26" s="12">
        <v>1</v>
      </c>
      <c r="H26" s="88">
        <f>IF(B$20=0,0,G26/B$20)</f>
        <v>2.967359050445104E-3</v>
      </c>
      <c r="I26" s="58">
        <v>2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8551.0385756676551</v>
      </c>
      <c r="C27" s="8">
        <v>2881700</v>
      </c>
      <c r="E27" s="27" t="s">
        <v>154</v>
      </c>
      <c r="F27" s="24" t="s">
        <v>155</v>
      </c>
      <c r="G27" s="12">
        <v>1</v>
      </c>
      <c r="H27" s="88">
        <f>IF(B$20=0,0,G27/B$20)</f>
        <v>2.967359050445104E-3</v>
      </c>
      <c r="I27" s="58">
        <v>2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8927.34375</v>
      </c>
      <c r="C28" s="96">
        <v>2285400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7361.7283950617284</v>
      </c>
      <c r="C29" s="96">
        <v>596300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-8192.8176795580112</v>
      </c>
      <c r="C30" s="96">
        <v>-1482900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24</v>
      </c>
      <c r="C32" s="90">
        <v>5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90400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1</v>
      </c>
      <c r="C35" s="9">
        <f>IF(B$3=0,0,B35/B$3)</f>
        <v>8.7950747581354446E-4</v>
      </c>
      <c r="E35" s="27" t="s">
        <v>92</v>
      </c>
      <c r="F35" s="24" t="s">
        <v>47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15</v>
      </c>
      <c r="C37" s="98">
        <f t="shared" ref="C37:C49" si="2">IF(B$20=0,0,B37/B$20)</f>
        <v>4.4510385756676561E-2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53</v>
      </c>
      <c r="C38" s="6">
        <f t="shared" si="2"/>
        <v>0.15727002967359049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68</v>
      </c>
      <c r="C39" s="6">
        <f t="shared" si="2"/>
        <v>0.20178041543026706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74</v>
      </c>
      <c r="C40" s="6">
        <f t="shared" si="2"/>
        <v>0.21958456973293769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55</v>
      </c>
      <c r="C41" s="6">
        <f t="shared" si="2"/>
        <v>0.16320474777448071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31</v>
      </c>
      <c r="C42" s="6">
        <f t="shared" si="2"/>
        <v>9.1988130563798218E-2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19</v>
      </c>
      <c r="C43" s="6">
        <f t="shared" si="2"/>
        <v>5.637982195845697E-2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14</v>
      </c>
      <c r="C44" s="6">
        <f t="shared" si="2"/>
        <v>4.1543026706231452E-2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3</v>
      </c>
      <c r="C45" s="6">
        <f t="shared" si="2"/>
        <v>8.9020771513353119E-3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2</v>
      </c>
      <c r="C46" s="6">
        <f t="shared" si="2"/>
        <v>5.9347181008902079E-3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3</v>
      </c>
      <c r="C49" s="9">
        <f t="shared" si="2"/>
        <v>8.9020771513353119E-3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  <row r="102" spans="11:13" x14ac:dyDescent="0.4">
      <c r="K102" s="74">
        <v>100</v>
      </c>
      <c r="L102" s="119">
        <v>31.499999999999979</v>
      </c>
      <c r="M102" s="117">
        <v>1608.4757689425685</v>
      </c>
    </row>
    <row r="103" spans="11:13" x14ac:dyDescent="0.4">
      <c r="K103" s="74">
        <v>101</v>
      </c>
      <c r="L103" s="119">
        <v>-8.9000000000000199</v>
      </c>
      <c r="M103" s="117">
        <v>1601.4889143289131</v>
      </c>
    </row>
    <row r="104" spans="11:13" x14ac:dyDescent="0.4">
      <c r="K104" s="74">
        <v>102</v>
      </c>
      <c r="L104" s="119">
        <v>-1.9539925233402755E-14</v>
      </c>
      <c r="M104" s="117">
        <v>1603.4179808429396</v>
      </c>
    </row>
    <row r="105" spans="11:13" x14ac:dyDescent="0.4">
      <c r="K105" s="74">
        <v>103</v>
      </c>
      <c r="L105" s="119">
        <v>30.199999999999982</v>
      </c>
      <c r="M105" s="117">
        <v>1609.1694729578819</v>
      </c>
    </row>
    <row r="106" spans="11:13" x14ac:dyDescent="0.4">
      <c r="K106" s="74">
        <v>104</v>
      </c>
      <c r="L106" s="119">
        <v>26.499999999999982</v>
      </c>
      <c r="M106" s="117">
        <v>1608.7844561201346</v>
      </c>
    </row>
    <row r="107" spans="11:13" x14ac:dyDescent="0.4">
      <c r="K107" s="74">
        <v>105</v>
      </c>
      <c r="L107" s="119">
        <v>-1.7763568394002505E-14</v>
      </c>
      <c r="M107" s="117">
        <v>1604.2977493834137</v>
      </c>
    </row>
    <row r="108" spans="11:13" x14ac:dyDescent="0.4">
      <c r="K108" s="74">
        <v>106</v>
      </c>
      <c r="L108" s="119">
        <v>-33.800000000000011</v>
      </c>
      <c r="M108" s="117">
        <v>1598.5239628871132</v>
      </c>
    </row>
    <row r="109" spans="11:13" x14ac:dyDescent="0.4">
      <c r="K109" s="74">
        <v>107</v>
      </c>
      <c r="L109" s="119">
        <v>-6.6000000000000121</v>
      </c>
      <c r="M109" s="117">
        <v>1603.7648191097906</v>
      </c>
    </row>
    <row r="110" spans="11:13" x14ac:dyDescent="0.4">
      <c r="K110" s="74">
        <v>108</v>
      </c>
      <c r="L110" s="119">
        <v>-1.2434497875801753E-14</v>
      </c>
      <c r="M110" s="117">
        <v>1605.2662301951318</v>
      </c>
    </row>
    <row r="111" spans="11:13" x14ac:dyDescent="0.4">
      <c r="K111" s="74">
        <v>109</v>
      </c>
      <c r="L111" s="119">
        <v>68.399999999999991</v>
      </c>
      <c r="M111" s="117">
        <v>1617.882632813961</v>
      </c>
    </row>
    <row r="112" spans="11:13" x14ac:dyDescent="0.4">
      <c r="K112" s="74">
        <v>110</v>
      </c>
      <c r="L112" s="119">
        <v>55.79999999999999</v>
      </c>
      <c r="M112" s="117">
        <v>1615.8433370170771</v>
      </c>
    </row>
    <row r="113" spans="11:13" x14ac:dyDescent="0.4">
      <c r="K113" s="74">
        <v>111</v>
      </c>
      <c r="L113" s="119">
        <v>-7.1054273576010019E-15</v>
      </c>
      <c r="M113" s="117">
        <v>1606.0402769949746</v>
      </c>
    </row>
    <row r="114" spans="11:13" x14ac:dyDescent="0.4">
      <c r="K114" s="74">
        <v>112</v>
      </c>
      <c r="L114" s="119">
        <v>-45.300000000000004</v>
      </c>
      <c r="M114" s="117">
        <v>1598.1860353330048</v>
      </c>
    </row>
    <row r="115" spans="11:13" x14ac:dyDescent="0.4">
      <c r="K115" s="74">
        <v>113</v>
      </c>
      <c r="L115" s="119">
        <v>-40.6</v>
      </c>
      <c r="M115" s="117">
        <v>1599.3789191210069</v>
      </c>
    </row>
    <row r="116" spans="11:13" x14ac:dyDescent="0.4">
      <c r="K116" s="74">
        <v>114</v>
      </c>
      <c r="L116" s="119">
        <v>0</v>
      </c>
      <c r="M116" s="117">
        <v>1607.0266456062809</v>
      </c>
    </row>
    <row r="117" spans="11:13" x14ac:dyDescent="0.4">
      <c r="K117" s="74">
        <v>115</v>
      </c>
      <c r="L117" s="119">
        <v>-30.1</v>
      </c>
      <c r="M117" s="117">
        <v>1601.9024857326433</v>
      </c>
    </row>
    <row r="118" spans="11:13" x14ac:dyDescent="0.4">
      <c r="K118" s="74">
        <v>116</v>
      </c>
      <c r="L118" s="119">
        <v>-36.1</v>
      </c>
      <c r="M118" s="117">
        <v>1601.1470708182474</v>
      </c>
    </row>
    <row r="119" spans="11:13" x14ac:dyDescent="0.4">
      <c r="K119" s="74">
        <v>117</v>
      </c>
      <c r="L119" s="119">
        <v>0</v>
      </c>
      <c r="M119" s="117">
        <v>1607.974188393338</v>
      </c>
    </row>
    <row r="120" spans="11:13" x14ac:dyDescent="0.4">
      <c r="K120" s="74">
        <v>118</v>
      </c>
      <c r="L120" s="119">
        <v>34</v>
      </c>
      <c r="M120" s="117">
        <v>1614.3823432629779</v>
      </c>
    </row>
    <row r="121" spans="11:13" x14ac:dyDescent="0.4">
      <c r="K121" s="74">
        <v>119</v>
      </c>
      <c r="L121" s="119">
        <v>0.89999999999999858</v>
      </c>
      <c r="M121" s="117">
        <v>1608.6740492034</v>
      </c>
    </row>
    <row r="122" spans="11:13" x14ac:dyDescent="0.4">
      <c r="K122" s="74">
        <v>120</v>
      </c>
      <c r="L122" s="119">
        <v>-1.4432899320127035E-15</v>
      </c>
      <c r="M122" s="117">
        <v>1608.7960049081796</v>
      </c>
    </row>
    <row r="123" spans="11:13" x14ac:dyDescent="0.4">
      <c r="K123" s="74">
        <v>121</v>
      </c>
      <c r="L123" s="119">
        <v>-32</v>
      </c>
      <c r="M123" s="117">
        <v>1603.3192288787304</v>
      </c>
    </row>
    <row r="124" spans="11:13" x14ac:dyDescent="0.4">
      <c r="K124" s="74">
        <v>122</v>
      </c>
      <c r="L124" s="119">
        <v>-29.2</v>
      </c>
      <c r="M124" s="117">
        <v>1604.1393135054579</v>
      </c>
    </row>
    <row r="125" spans="11:13" x14ac:dyDescent="0.4">
      <c r="K125" s="74">
        <v>123</v>
      </c>
      <c r="L125" s="119">
        <v>0</v>
      </c>
      <c r="M125" s="117">
        <v>1609.7064776244251</v>
      </c>
    </row>
    <row r="126" spans="11:13" x14ac:dyDescent="0.4">
      <c r="K126" s="74">
        <v>124</v>
      </c>
      <c r="L126" s="119">
        <v>7.2</v>
      </c>
      <c r="M126" s="117">
        <v>1611.2802387586785</v>
      </c>
    </row>
    <row r="127" spans="11:13" x14ac:dyDescent="0.4">
      <c r="K127" s="74">
        <v>125</v>
      </c>
      <c r="L127" s="119">
        <v>-49.599999999999994</v>
      </c>
      <c r="M127" s="117">
        <v>1601.3245573261265</v>
      </c>
    </row>
    <row r="128" spans="11:13" x14ac:dyDescent="0.4">
      <c r="K128" s="74">
        <v>126</v>
      </c>
      <c r="L128" s="119">
        <v>7.1054273576010019E-15</v>
      </c>
      <c r="M128" s="117">
        <v>1610.5806099821698</v>
      </c>
    </row>
    <row r="129" spans="11:13" x14ac:dyDescent="0.4">
      <c r="K129" s="74">
        <v>127</v>
      </c>
      <c r="L129" s="119">
        <v>16.300000000000008</v>
      </c>
      <c r="M129" s="117">
        <v>1613.7871263222767</v>
      </c>
    </row>
    <row r="130" spans="11:13" x14ac:dyDescent="0.4">
      <c r="K130" s="74">
        <v>128</v>
      </c>
      <c r="L130" s="119">
        <v>59.900000000000006</v>
      </c>
      <c r="M130" s="117">
        <v>1621.888403564343</v>
      </c>
    </row>
    <row r="131" spans="11:13" x14ac:dyDescent="0.4">
      <c r="K131" s="74">
        <v>129</v>
      </c>
      <c r="L131" s="119">
        <v>7.1054273576010019E-15</v>
      </c>
      <c r="M131" s="117">
        <v>1611.311073142957</v>
      </c>
    </row>
    <row r="132" spans="11:13" x14ac:dyDescent="0.4">
      <c r="K132" s="74">
        <v>130</v>
      </c>
      <c r="L132" s="119">
        <v>-30.799999999999994</v>
      </c>
      <c r="M132" s="117">
        <v>1606.0352067040992</v>
      </c>
    </row>
    <row r="133" spans="11:13" x14ac:dyDescent="0.4">
      <c r="K133" s="74">
        <v>131</v>
      </c>
      <c r="L133" s="119">
        <v>-38.399999999999991</v>
      </c>
      <c r="M133" s="117">
        <v>1604.9669954638746</v>
      </c>
    </row>
    <row r="134" spans="11:13" x14ac:dyDescent="0.4">
      <c r="K134" s="74">
        <v>132</v>
      </c>
      <c r="L134" s="119">
        <v>7.1054273576010019E-15</v>
      </c>
      <c r="M134" s="117">
        <v>1612.1851934910912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0B5D7-69AE-4A5D-A3B1-A04BF8B727E8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24</v>
      </c>
      <c r="C2" s="134"/>
      <c r="E2" s="26" t="s">
        <v>64</v>
      </c>
      <c r="F2" s="23" t="s">
        <v>20</v>
      </c>
      <c r="G2" s="11">
        <v>44</v>
      </c>
      <c r="H2" s="87">
        <f>IF(B$20=0,0,G2/B$20)</f>
        <v>0.77192982456140347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737.5</v>
      </c>
      <c r="Q2" s="76">
        <v>24</v>
      </c>
      <c r="R2" s="63">
        <v>17700</v>
      </c>
    </row>
    <row r="3" spans="1:18" x14ac:dyDescent="0.4">
      <c r="A3" s="19" t="s">
        <v>8</v>
      </c>
      <c r="B3" s="135">
        <v>208</v>
      </c>
      <c r="C3" s="136"/>
      <c r="E3" s="27" t="s">
        <v>66</v>
      </c>
      <c r="F3" s="24" t="s">
        <v>22</v>
      </c>
      <c r="G3" s="12">
        <v>34</v>
      </c>
      <c r="H3" s="88">
        <f>IF(B$20=0,0,G3/B$20)</f>
        <v>0.59649122807017541</v>
      </c>
      <c r="I3" s="58">
        <v>5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-1769.5652173913043</v>
      </c>
      <c r="Q3" s="77">
        <v>23</v>
      </c>
      <c r="R3" s="64">
        <v>-40700</v>
      </c>
    </row>
    <row r="4" spans="1:18" x14ac:dyDescent="0.4">
      <c r="A4" s="19" t="s">
        <v>6</v>
      </c>
      <c r="B4" s="137">
        <v>-54.29999999999999</v>
      </c>
      <c r="C4" s="138"/>
      <c r="E4" s="27" t="s">
        <v>68</v>
      </c>
      <c r="F4" s="24" t="s">
        <v>12</v>
      </c>
      <c r="G4" s="12">
        <v>27</v>
      </c>
      <c r="H4" s="88">
        <f>IF(B$20=0,0,G4/B$20)</f>
        <v>0.47368421052631576</v>
      </c>
      <c r="I4" s="58">
        <v>2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-865.21739130434787</v>
      </c>
      <c r="Q4" s="77">
        <v>23</v>
      </c>
      <c r="R4" s="64">
        <v>-19900</v>
      </c>
    </row>
    <row r="5" spans="1:18" x14ac:dyDescent="0.4">
      <c r="A5" s="19" t="s">
        <v>7</v>
      </c>
      <c r="B5" s="125">
        <f>IF(B$2=0,0,B$4/B$2)</f>
        <v>-2.2624999999999997</v>
      </c>
      <c r="C5" s="126"/>
      <c r="E5" s="27" t="s">
        <v>158</v>
      </c>
      <c r="F5" s="24" t="s">
        <v>159</v>
      </c>
      <c r="G5" s="12">
        <v>27</v>
      </c>
      <c r="H5" s="88">
        <f>IF(B$20=0,0,G5/B$20)</f>
        <v>0.47368421052631576</v>
      </c>
      <c r="I5" s="58">
        <v>2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-3663.6363636363635</v>
      </c>
      <c r="Q5" s="77">
        <v>22</v>
      </c>
      <c r="R5" s="64">
        <v>-80600</v>
      </c>
    </row>
    <row r="6" spans="1:18" x14ac:dyDescent="0.4">
      <c r="A6" s="19" t="s">
        <v>192</v>
      </c>
      <c r="B6" s="129">
        <v>1590.8436947948335</v>
      </c>
      <c r="C6" s="130"/>
      <c r="E6" s="27" t="s">
        <v>67</v>
      </c>
      <c r="F6" s="24" t="s">
        <v>23</v>
      </c>
      <c r="G6" s="12">
        <v>22</v>
      </c>
      <c r="H6" s="88">
        <f>IF(B$20=0,0,G6/B$20)</f>
        <v>0.38596491228070173</v>
      </c>
      <c r="I6" s="58">
        <v>2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2985.7142857142858</v>
      </c>
      <c r="Q6" s="77">
        <v>21</v>
      </c>
      <c r="R6" s="64">
        <v>62700</v>
      </c>
    </row>
    <row r="7" spans="1:18" x14ac:dyDescent="0.4">
      <c r="A7" s="19" t="s">
        <v>1</v>
      </c>
      <c r="B7" s="139">
        <f>IF(B$2=0,0,(B$8*1+B$9*2+B$10*3)/B$2)</f>
        <v>1.9583333333333333</v>
      </c>
      <c r="C7" s="140"/>
      <c r="E7" s="27" t="s">
        <v>69</v>
      </c>
      <c r="F7" s="24" t="s">
        <v>24</v>
      </c>
      <c r="G7" s="12">
        <v>18</v>
      </c>
      <c r="H7" s="88">
        <f>IF(B$20=0,0,G7/B$20)</f>
        <v>0.31578947368421051</v>
      </c>
      <c r="I7" s="58">
        <v>1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666.66666666666663</v>
      </c>
      <c r="Q7" s="78">
        <v>18</v>
      </c>
      <c r="R7" s="65">
        <v>12000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0.375</v>
      </c>
      <c r="E8" s="27" t="s">
        <v>72</v>
      </c>
      <c r="F8" s="24" t="s">
        <v>27</v>
      </c>
      <c r="G8" s="12">
        <v>17</v>
      </c>
      <c r="H8" s="88">
        <f>IF(B$20=0,0,G8/B$20)</f>
        <v>0.2982456140350877</v>
      </c>
      <c r="I8" s="58">
        <v>7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0.29166666666666669</v>
      </c>
      <c r="E9" s="27" t="s">
        <v>70</v>
      </c>
      <c r="F9" s="24" t="s">
        <v>25</v>
      </c>
      <c r="G9" s="12">
        <v>10</v>
      </c>
      <c r="H9" s="88">
        <f>IF(B$20=0,0,G9/B$20)</f>
        <v>0.17543859649122806</v>
      </c>
      <c r="I9" s="58">
        <v>2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8</v>
      </c>
      <c r="C10" s="7">
        <f t="shared" si="1"/>
        <v>0.33333333333333331</v>
      </c>
      <c r="E10" s="27" t="s">
        <v>65</v>
      </c>
      <c r="F10" s="24" t="s">
        <v>21</v>
      </c>
      <c r="G10" s="12">
        <v>8</v>
      </c>
      <c r="H10" s="88">
        <f>IF(B$20=0,0,G10/B$20)</f>
        <v>0.14035087719298245</v>
      </c>
      <c r="I10" s="58">
        <v>3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-2.4499999999999988</v>
      </c>
      <c r="Q10" s="76">
        <v>12</v>
      </c>
      <c r="R10" s="67">
        <v>-29.399999999999988</v>
      </c>
    </row>
    <row r="11" spans="1:18" x14ac:dyDescent="0.4">
      <c r="A11" s="20" t="s">
        <v>183</v>
      </c>
      <c r="B11" s="109">
        <f>IF(B8=0,0,C11/B8)</f>
        <v>37.066666666666663</v>
      </c>
      <c r="C11" s="110">
        <v>333.59999999999997</v>
      </c>
      <c r="E11" s="27" t="s">
        <v>71</v>
      </c>
      <c r="F11" s="24" t="s">
        <v>26</v>
      </c>
      <c r="G11" s="12">
        <v>5</v>
      </c>
      <c r="H11" s="88">
        <f>IF(B$20=0,0,G11/B$20)</f>
        <v>8.771929824561403E-2</v>
      </c>
      <c r="I11" s="58">
        <v>3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-8.85</v>
      </c>
      <c r="Q11" s="77">
        <v>4</v>
      </c>
      <c r="R11" s="68">
        <v>-35.4</v>
      </c>
    </row>
    <row r="12" spans="1:18" x14ac:dyDescent="0.4">
      <c r="A12" s="20" t="s">
        <v>184</v>
      </c>
      <c r="B12" s="109">
        <f>IF(B9=0,0,C12/B9)</f>
        <v>-1.8142857142857143</v>
      </c>
      <c r="C12" s="110">
        <v>-12.7</v>
      </c>
      <c r="E12" s="27" t="s">
        <v>89</v>
      </c>
      <c r="F12" s="24" t="s">
        <v>44</v>
      </c>
      <c r="G12" s="12">
        <v>5</v>
      </c>
      <c r="H12" s="88">
        <f>IF(B$20=0,0,G12/B$20)</f>
        <v>8.771929824561403E-2</v>
      </c>
      <c r="I12" s="58">
        <v>7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1.3125000000000009</v>
      </c>
      <c r="Q12" s="78">
        <v>8</v>
      </c>
      <c r="R12" s="69">
        <v>10.500000000000007</v>
      </c>
    </row>
    <row r="13" spans="1:18" x14ac:dyDescent="0.4">
      <c r="A13" s="20" t="s">
        <v>185</v>
      </c>
      <c r="B13" s="109">
        <f>IF(B10=0,0,C13/B10)</f>
        <v>-46.9</v>
      </c>
      <c r="C13" s="110">
        <v>-375.2</v>
      </c>
      <c r="E13" s="27" t="s">
        <v>86</v>
      </c>
      <c r="F13" s="24" t="s">
        <v>41</v>
      </c>
      <c r="G13" s="12">
        <v>4</v>
      </c>
      <c r="H13" s="88">
        <f>IF(B$20=0,0,G13/B$20)</f>
        <v>7.0175438596491224E-2</v>
      </c>
      <c r="I13" s="58">
        <v>2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-3.8825396825396843</v>
      </c>
      <c r="C14" s="126"/>
      <c r="E14" s="27" t="s">
        <v>73</v>
      </c>
      <c r="F14" s="24" t="s">
        <v>28</v>
      </c>
      <c r="G14" s="12">
        <v>2</v>
      </c>
      <c r="H14" s="88">
        <f>IF(B$20=0,0,G14/B$20)</f>
        <v>3.5087719298245612E-2</v>
      </c>
      <c r="I14" s="58">
        <v>2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</v>
      </c>
      <c r="C15" s="9">
        <f t="shared" si="1"/>
        <v>0.125</v>
      </c>
      <c r="E15" s="27" t="s">
        <v>78</v>
      </c>
      <c r="F15" s="24" t="s">
        <v>33</v>
      </c>
      <c r="G15" s="12">
        <v>2</v>
      </c>
      <c r="H15" s="88">
        <f>IF(B$20=0,0,G15/B$20)</f>
        <v>3.5087719298245612E-2</v>
      </c>
      <c r="I15" s="58">
        <v>1</v>
      </c>
      <c r="K15" s="74">
        <v>13</v>
      </c>
      <c r="L15" s="119">
        <v>-120.60000000000001</v>
      </c>
      <c r="M15" s="117">
        <v>1573.7060279447555</v>
      </c>
      <c r="O15" s="73" t="s">
        <v>189</v>
      </c>
      <c r="P15" s="82">
        <f>IF(Q15=0,0,R15/Q15)</f>
        <v>6.3473684210526304</v>
      </c>
      <c r="Q15" s="76">
        <v>19</v>
      </c>
      <c r="R15" s="67">
        <v>120.59999999999998</v>
      </c>
    </row>
    <row r="16" spans="1:18" x14ac:dyDescent="0.4">
      <c r="A16" s="22" t="s">
        <v>121</v>
      </c>
      <c r="B16" s="15">
        <v>80</v>
      </c>
      <c r="C16" s="10">
        <f>IF(B$3=0,0,B16/B$3)</f>
        <v>0.38461538461538464</v>
      </c>
      <c r="E16" s="27" t="s">
        <v>81</v>
      </c>
      <c r="F16" s="24" t="s">
        <v>36</v>
      </c>
      <c r="G16" s="12">
        <v>2</v>
      </c>
      <c r="H16" s="88">
        <f>IF(B$20=0,0,G16/B$20)</f>
        <v>3.5087719298245612E-2</v>
      </c>
      <c r="I16" s="58">
        <v>2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0.68333333333333546</v>
      </c>
      <c r="Q16" s="77">
        <v>18</v>
      </c>
      <c r="R16" s="68">
        <v>12.300000000000038</v>
      </c>
    </row>
    <row r="17" spans="1:18" x14ac:dyDescent="0.4">
      <c r="A17" s="19" t="s">
        <v>118</v>
      </c>
      <c r="B17" s="12">
        <v>40</v>
      </c>
      <c r="C17" s="6">
        <f>IF(B$3=0,0,B17/B$3)</f>
        <v>0.19230769230769232</v>
      </c>
      <c r="E17" s="27" t="s">
        <v>83</v>
      </c>
      <c r="F17" s="24" t="s">
        <v>38</v>
      </c>
      <c r="G17" s="12">
        <v>2</v>
      </c>
      <c r="H17" s="88">
        <f>IF(B$20=0,0,G17/B$20)</f>
        <v>3.5087719298245612E-2</v>
      </c>
      <c r="I17" s="58">
        <v>2</v>
      </c>
      <c r="K17" s="74">
        <v>15</v>
      </c>
      <c r="L17" s="119">
        <v>-138.19999999999999</v>
      </c>
      <c r="M17" s="117">
        <v>1571.5129810264243</v>
      </c>
      <c r="O17" s="74" t="s">
        <v>187</v>
      </c>
      <c r="P17" s="83">
        <f>IF(Q17=0,0,R17/Q17)</f>
        <v>-26.890909090909091</v>
      </c>
      <c r="Q17" s="77">
        <v>11</v>
      </c>
      <c r="R17" s="68">
        <v>-295.8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0.55000000000000004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  <c r="K18" s="74">
        <v>16</v>
      </c>
      <c r="L18" s="119">
        <v>-131.6</v>
      </c>
      <c r="M18" s="117">
        <v>1573.2079031402657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0.17499999999999999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K19" s="74">
        <v>17</v>
      </c>
      <c r="L19" s="119">
        <v>-187.39999999999998</v>
      </c>
      <c r="M19" s="117">
        <v>1563.6606557214241</v>
      </c>
    </row>
    <row r="20" spans="1:18" x14ac:dyDescent="0.4">
      <c r="A20" s="18" t="s">
        <v>10</v>
      </c>
      <c r="B20" s="11">
        <f>B23+B22</f>
        <v>57</v>
      </c>
      <c r="C20" s="5">
        <f>IF(B$3=0,0,B20/B$3)</f>
        <v>0.27403846153846156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-146.79999999999998</v>
      </c>
      <c r="M20" s="117">
        <v>1571.5226917870955</v>
      </c>
    </row>
    <row r="21" spans="1:18" x14ac:dyDescent="0.4">
      <c r="A21" s="19" t="s">
        <v>13</v>
      </c>
      <c r="B21" s="12">
        <v>33</v>
      </c>
      <c r="C21" s="6">
        <f>IF(B$3=0,0,B21/B$3)</f>
        <v>0.15865384615384615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-110.69999999999999</v>
      </c>
      <c r="M21" s="117">
        <v>1578.5275556363729</v>
      </c>
    </row>
    <row r="22" spans="1:18" x14ac:dyDescent="0.4">
      <c r="A22" s="19" t="s">
        <v>12</v>
      </c>
      <c r="B22" s="12">
        <v>29</v>
      </c>
      <c r="C22" s="6">
        <f>IF(B$20=0,0,B22/B$20)</f>
        <v>0.50877192982456143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-111.6</v>
      </c>
      <c r="M22" s="117">
        <v>1578.8303903025546</v>
      </c>
    </row>
    <row r="23" spans="1:18" x14ac:dyDescent="0.4">
      <c r="A23" s="19" t="s">
        <v>11</v>
      </c>
      <c r="B23" s="12">
        <v>28</v>
      </c>
      <c r="C23" s="6">
        <f>IF(B$20=0,0,B23/B$20)</f>
        <v>0.49122807017543857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-82.399999999999991</v>
      </c>
      <c r="M23" s="117">
        <v>1584.5494079607392</v>
      </c>
    </row>
    <row r="24" spans="1:18" x14ac:dyDescent="0.4">
      <c r="A24" s="19" t="s">
        <v>182</v>
      </c>
      <c r="B24" s="12">
        <v>44</v>
      </c>
      <c r="C24" s="6">
        <f>IF(B$20=0,0,B24/B$20)</f>
        <v>0.77192982456140347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-32.79999999999999</v>
      </c>
      <c r="M24" s="117">
        <v>1593.9061115129748</v>
      </c>
    </row>
    <row r="25" spans="1:18" x14ac:dyDescent="0.4">
      <c r="A25" s="19" t="s">
        <v>180</v>
      </c>
      <c r="B25" s="12">
        <v>7</v>
      </c>
      <c r="C25" s="6">
        <f>IF(B$20=0,0,B25/B$20)</f>
        <v>0.12280701754385964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-92.699999999999989</v>
      </c>
      <c r="M25" s="117">
        <v>1583.4966748438969</v>
      </c>
    </row>
    <row r="26" spans="1:18" x14ac:dyDescent="0.4">
      <c r="A26" s="19" t="s">
        <v>181</v>
      </c>
      <c r="B26" s="12">
        <v>6</v>
      </c>
      <c r="C26" s="6">
        <f>IF(B$20=0,0,B26/B$20)</f>
        <v>0.10526315789473684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-54.29999999999999</v>
      </c>
      <c r="M26" s="117">
        <v>1590.8436947948335</v>
      </c>
    </row>
    <row r="27" spans="1:18" x14ac:dyDescent="0.4">
      <c r="A27" s="19" t="s">
        <v>5</v>
      </c>
      <c r="B27" s="16">
        <f>IF(B$20=0,0,C27/B$20)</f>
        <v>8870.1754385964905</v>
      </c>
      <c r="C27" s="8">
        <v>505600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9024</v>
      </c>
      <c r="C28" s="96">
        <v>451200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7771.4285714285716</v>
      </c>
      <c r="C29" s="96">
        <v>54400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-8390.9090909090901</v>
      </c>
      <c r="C30" s="96">
        <v>-276900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64600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1.7543859649122806E-2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0.14035087719298245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13</v>
      </c>
      <c r="C39" s="6">
        <f t="shared" si="2"/>
        <v>0.22807017543859648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11</v>
      </c>
      <c r="C40" s="6">
        <f t="shared" si="2"/>
        <v>0.19298245614035087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10</v>
      </c>
      <c r="C41" s="6">
        <f t="shared" si="2"/>
        <v>0.17543859649122806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6</v>
      </c>
      <c r="C42" s="6">
        <f t="shared" si="2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7.0175438596491224E-2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3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1.7543859649122806E-2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9C640-17FF-479F-A1FC-96506BFEADA7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6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3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7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6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1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6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5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2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4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5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1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6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4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4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B72BD-AD94-43BC-A43D-142082EF9BC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30</v>
      </c>
      <c r="C2" s="134"/>
      <c r="E2" s="26" t="s">
        <v>66</v>
      </c>
      <c r="F2" s="23" t="s">
        <v>22</v>
      </c>
      <c r="G2" s="11">
        <v>82</v>
      </c>
      <c r="H2" s="87">
        <f>IF(B$20=0,0,G2/B$20)</f>
        <v>0.95348837209302328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-2060</v>
      </c>
      <c r="Q2" s="76">
        <v>30</v>
      </c>
      <c r="R2" s="63">
        <v>-61800</v>
      </c>
    </row>
    <row r="3" spans="1:18" x14ac:dyDescent="0.4">
      <c r="A3" s="19" t="s">
        <v>8</v>
      </c>
      <c r="B3" s="135">
        <v>262</v>
      </c>
      <c r="C3" s="136"/>
      <c r="E3" s="27" t="s">
        <v>72</v>
      </c>
      <c r="F3" s="24" t="s">
        <v>27</v>
      </c>
      <c r="G3" s="12">
        <v>48</v>
      </c>
      <c r="H3" s="88">
        <f>IF(B$20=0,0,G3/B$20)</f>
        <v>0.55813953488372092</v>
      </c>
      <c r="I3" s="58">
        <v>1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1796.5517241379309</v>
      </c>
      <c r="Q3" s="77">
        <v>29</v>
      </c>
      <c r="R3" s="64">
        <v>52100</v>
      </c>
    </row>
    <row r="4" spans="1:18" x14ac:dyDescent="0.4">
      <c r="A4" s="19" t="s">
        <v>6</v>
      </c>
      <c r="B4" s="137">
        <v>-137.9</v>
      </c>
      <c r="C4" s="138"/>
      <c r="E4" s="27" t="s">
        <v>158</v>
      </c>
      <c r="F4" s="24" t="s">
        <v>159</v>
      </c>
      <c r="G4" s="12">
        <v>35</v>
      </c>
      <c r="H4" s="88">
        <f>IF(B$20=0,0,G4/B$20)</f>
        <v>0.40697674418604651</v>
      </c>
      <c r="I4" s="58">
        <v>6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-717.24137931034488</v>
      </c>
      <c r="Q4" s="77">
        <v>29</v>
      </c>
      <c r="R4" s="64">
        <v>-20800</v>
      </c>
    </row>
    <row r="5" spans="1:18" x14ac:dyDescent="0.4">
      <c r="A5" s="19" t="s">
        <v>7</v>
      </c>
      <c r="B5" s="125">
        <f>IF(B$2=0,0,B$4/B$2)</f>
        <v>-4.5966666666666667</v>
      </c>
      <c r="C5" s="126"/>
      <c r="E5" s="27" t="s">
        <v>64</v>
      </c>
      <c r="F5" s="24" t="s">
        <v>20</v>
      </c>
      <c r="G5" s="12">
        <v>34</v>
      </c>
      <c r="H5" s="88">
        <f>IF(B$20=0,0,G5/B$20)</f>
        <v>0.39534883720930231</v>
      </c>
      <c r="I5" s="58">
        <v>7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3757.1428571428573</v>
      </c>
      <c r="Q5" s="77">
        <v>28</v>
      </c>
      <c r="R5" s="64">
        <v>105200</v>
      </c>
    </row>
    <row r="6" spans="1:18" x14ac:dyDescent="0.4">
      <c r="A6" s="19" t="s">
        <v>192</v>
      </c>
      <c r="B6" s="129">
        <v>1535.1206646770863</v>
      </c>
      <c r="C6" s="130"/>
      <c r="E6" s="27" t="s">
        <v>68</v>
      </c>
      <c r="F6" s="24" t="s">
        <v>12</v>
      </c>
      <c r="G6" s="12">
        <v>25</v>
      </c>
      <c r="H6" s="88">
        <f>IF(B$20=0,0,G6/B$20)</f>
        <v>0.29069767441860467</v>
      </c>
      <c r="I6" s="58">
        <v>7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-2948.1481481481483</v>
      </c>
      <c r="Q6" s="77">
        <v>27</v>
      </c>
      <c r="R6" s="64">
        <v>-79600</v>
      </c>
    </row>
    <row r="7" spans="1:18" x14ac:dyDescent="0.4">
      <c r="A7" s="19" t="s">
        <v>1</v>
      </c>
      <c r="B7" s="139">
        <f>IF(B$2=0,0,(B$8*1+B$9*2+B$10*3)/B$2)</f>
        <v>2.1666666666666665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0.10465116279069768</v>
      </c>
      <c r="I7" s="58">
        <v>7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-1017.3913043478261</v>
      </c>
      <c r="Q7" s="78">
        <v>23</v>
      </c>
      <c r="R7" s="65">
        <v>-23400</v>
      </c>
    </row>
    <row r="8" spans="1:18" x14ac:dyDescent="0.4">
      <c r="A8" s="19" t="s">
        <v>2</v>
      </c>
      <c r="B8" s="12">
        <v>8</v>
      </c>
      <c r="C8" s="6">
        <f t="shared" ref="C8:C15" si="1">IF(B$2=0,0,B8/B$2)</f>
        <v>0.26666666666666666</v>
      </c>
      <c r="E8" s="27" t="s">
        <v>89</v>
      </c>
      <c r="F8" s="24" t="s">
        <v>44</v>
      </c>
      <c r="G8" s="12">
        <v>8</v>
      </c>
      <c r="H8" s="88">
        <f>IF(B$20=0,0,G8/B$20)</f>
        <v>9.3023255813953487E-2</v>
      </c>
      <c r="I8" s="58">
        <v>6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1"/>
        <v>0.3</v>
      </c>
      <c r="E9" s="27" t="s">
        <v>65</v>
      </c>
      <c r="F9" s="24" t="s">
        <v>21</v>
      </c>
      <c r="G9" s="12">
        <v>7</v>
      </c>
      <c r="H9" s="88">
        <f>IF(B$20=0,0,G9/B$20)</f>
        <v>8.1395348837209308E-2</v>
      </c>
      <c r="I9" s="58">
        <v>7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13</v>
      </c>
      <c r="C10" s="7">
        <f t="shared" si="1"/>
        <v>0.43333333333333335</v>
      </c>
      <c r="E10" s="27" t="s">
        <v>69</v>
      </c>
      <c r="F10" s="24" t="s">
        <v>24</v>
      </c>
      <c r="G10" s="12">
        <v>7</v>
      </c>
      <c r="H10" s="88">
        <f>IF(B$20=0,0,G10/B$20)</f>
        <v>8.1395348837209308E-2</v>
      </c>
      <c r="I10" s="58">
        <v>7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-12.379999999999999</v>
      </c>
      <c r="Q10" s="76">
        <v>10</v>
      </c>
      <c r="R10" s="67">
        <v>-123.79999999999998</v>
      </c>
    </row>
    <row r="11" spans="1:18" x14ac:dyDescent="0.4">
      <c r="A11" s="20" t="s">
        <v>183</v>
      </c>
      <c r="B11" s="109">
        <f>IF(B8=0,0,C11/B8)</f>
        <v>44.325000000000003</v>
      </c>
      <c r="C11" s="110">
        <v>354.6</v>
      </c>
      <c r="E11" s="27" t="s">
        <v>70</v>
      </c>
      <c r="F11" s="24" t="s">
        <v>25</v>
      </c>
      <c r="G11" s="12">
        <v>7</v>
      </c>
      <c r="H11" s="88">
        <f>IF(B$20=0,0,G11/B$20)</f>
        <v>8.1395348837209308E-2</v>
      </c>
      <c r="I11" s="58">
        <v>7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-0.58333333333333393</v>
      </c>
      <c r="Q11" s="77">
        <v>12</v>
      </c>
      <c r="R11" s="68">
        <v>-7.0000000000000071</v>
      </c>
    </row>
    <row r="12" spans="1:18" x14ac:dyDescent="0.4">
      <c r="A12" s="20" t="s">
        <v>184</v>
      </c>
      <c r="B12" s="109">
        <f>IF(B9=0,0,C12/B9)</f>
        <v>3.8555555555555561</v>
      </c>
      <c r="C12" s="110">
        <v>34.700000000000003</v>
      </c>
      <c r="E12" s="27" t="s">
        <v>71</v>
      </c>
      <c r="F12" s="24" t="s">
        <v>26</v>
      </c>
      <c r="G12" s="12">
        <v>6</v>
      </c>
      <c r="H12" s="88">
        <f>IF(B$20=0,0,G12/B$20)</f>
        <v>6.9767441860465115E-2</v>
      </c>
      <c r="I12" s="58">
        <v>6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-0.88749999999999973</v>
      </c>
      <c r="Q12" s="78">
        <v>8</v>
      </c>
      <c r="R12" s="69">
        <v>-7.0999999999999979</v>
      </c>
    </row>
    <row r="13" spans="1:18" x14ac:dyDescent="0.4">
      <c r="A13" s="20" t="s">
        <v>185</v>
      </c>
      <c r="B13" s="109">
        <f>IF(B10=0,0,C13/B10)</f>
        <v>-40.553846153846159</v>
      </c>
      <c r="C13" s="110">
        <v>-527.20000000000005</v>
      </c>
      <c r="E13" s="27" t="s">
        <v>86</v>
      </c>
      <c r="F13" s="24" t="s">
        <v>41</v>
      </c>
      <c r="G13" s="12">
        <v>5</v>
      </c>
      <c r="H13" s="88">
        <f>IF(B$20=0,0,G13/B$20)</f>
        <v>5.8139534883720929E-2</v>
      </c>
      <c r="I13" s="58">
        <v>4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2.5422364672364659</v>
      </c>
      <c r="C14" s="126"/>
      <c r="E14" s="27" t="s">
        <v>78</v>
      </c>
      <c r="F14" s="24" t="s">
        <v>33</v>
      </c>
      <c r="G14" s="12">
        <v>3</v>
      </c>
      <c r="H14" s="88">
        <f>IF(B$20=0,0,G14/B$20)</f>
        <v>3.4883720930232558E-2</v>
      </c>
      <c r="I14" s="58">
        <v>2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6.6666666666666666E-2</v>
      </c>
      <c r="E15" s="27" t="s">
        <v>83</v>
      </c>
      <c r="F15" s="24" t="s">
        <v>38</v>
      </c>
      <c r="G15" s="12">
        <v>3</v>
      </c>
      <c r="H15" s="88">
        <f>IF(B$20=0,0,G15/B$20)</f>
        <v>3.4883720930232558E-2</v>
      </c>
      <c r="I15" s="58">
        <v>3</v>
      </c>
      <c r="K15" s="74">
        <v>13</v>
      </c>
      <c r="L15" s="119">
        <v>-132.5</v>
      </c>
      <c r="M15" s="117">
        <v>1525.3958783244625</v>
      </c>
      <c r="O15" s="73" t="s">
        <v>126</v>
      </c>
      <c r="P15" s="82">
        <f>IF(Q15=0,0,R15/Q15)</f>
        <v>-3.7125000000000017</v>
      </c>
      <c r="Q15" s="76">
        <v>24</v>
      </c>
      <c r="R15" s="67">
        <v>-89.100000000000037</v>
      </c>
    </row>
    <row r="16" spans="1:18" x14ac:dyDescent="0.4">
      <c r="A16" s="22" t="s">
        <v>121</v>
      </c>
      <c r="B16" s="15">
        <v>53</v>
      </c>
      <c r="C16" s="10">
        <f>IF(B$3=0,0,B16/B$3)</f>
        <v>0.20229007633587787</v>
      </c>
      <c r="E16" s="27" t="s">
        <v>73</v>
      </c>
      <c r="F16" s="24" t="s">
        <v>28</v>
      </c>
      <c r="G16" s="12">
        <v>1</v>
      </c>
      <c r="H16" s="88">
        <f>IF(B$20=0,0,G16/B$20)</f>
        <v>1.1627906976744186E-2</v>
      </c>
      <c r="I16" s="58">
        <v>6</v>
      </c>
      <c r="K16" s="74">
        <v>14</v>
      </c>
      <c r="L16" s="119">
        <v>-165.5</v>
      </c>
      <c r="M16" s="117">
        <v>1519.8735030545158</v>
      </c>
      <c r="O16" s="74" t="s">
        <v>162</v>
      </c>
      <c r="P16" s="83">
        <f>IF(Q16=0,0,R16/Q16)</f>
        <v>-6.3473684210526296</v>
      </c>
      <c r="Q16" s="77">
        <v>19</v>
      </c>
      <c r="R16" s="68">
        <v>-120.59999999999997</v>
      </c>
    </row>
    <row r="17" spans="1:18" x14ac:dyDescent="0.4">
      <c r="A17" s="19" t="s">
        <v>118</v>
      </c>
      <c r="B17" s="12">
        <v>59</v>
      </c>
      <c r="C17" s="6">
        <f>IF(B$3=0,0,B17/B$3)</f>
        <v>0.22519083969465647</v>
      </c>
      <c r="E17" s="27" t="s">
        <v>74</v>
      </c>
      <c r="F17" s="24" t="s">
        <v>29</v>
      </c>
      <c r="G17" s="12">
        <v>1</v>
      </c>
      <c r="H17" s="88">
        <f>IF(B$20=0,0,G17/B$20)</f>
        <v>1.1627906976744186E-2</v>
      </c>
      <c r="I17" s="58">
        <v>2</v>
      </c>
      <c r="K17" s="74">
        <v>15</v>
      </c>
      <c r="L17" s="119">
        <v>-119.8</v>
      </c>
      <c r="M17" s="117">
        <v>1528.5502620361888</v>
      </c>
      <c r="O17" s="74" t="s">
        <v>191</v>
      </c>
      <c r="P17" s="83">
        <f>IF(Q17=0,0,R17/Q17)</f>
        <v>-8.9285714285714324</v>
      </c>
      <c r="Q17" s="77">
        <v>7</v>
      </c>
      <c r="R17" s="68">
        <v>-62.500000000000021</v>
      </c>
    </row>
    <row r="18" spans="1:18" x14ac:dyDescent="0.4">
      <c r="A18" s="18" t="s">
        <v>123</v>
      </c>
      <c r="B18" s="11">
        <f>B24</f>
        <v>34</v>
      </c>
      <c r="C18" s="5">
        <f>IF(B$16=0,0,B18/B$16)</f>
        <v>0.64150943396226412</v>
      </c>
      <c r="E18" s="27" t="s">
        <v>81</v>
      </c>
      <c r="F18" s="24" t="s">
        <v>36</v>
      </c>
      <c r="G18" s="12">
        <v>1</v>
      </c>
      <c r="H18" s="88">
        <f>IF(B$20=0,0,G18/B$20)</f>
        <v>1.1627906976744186E-2</v>
      </c>
      <c r="I18" s="58">
        <v>5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 x14ac:dyDescent="0.4">
      <c r="A19" s="18" t="s">
        <v>124</v>
      </c>
      <c r="B19" s="11">
        <f>B25</f>
        <v>29</v>
      </c>
      <c r="C19" s="5">
        <f>IF(B$17=0,0,B19/B$17)</f>
        <v>0.49152542372881358</v>
      </c>
      <c r="E19" s="27" t="s">
        <v>87</v>
      </c>
      <c r="F19" s="24" t="s">
        <v>42</v>
      </c>
      <c r="G19" s="12">
        <v>1</v>
      </c>
      <c r="H19" s="88">
        <f>IF(B$20=0,0,G19/B$20)</f>
        <v>1.1627906976744186E-2</v>
      </c>
      <c r="I19" s="58">
        <v>1</v>
      </c>
      <c r="K19" s="74">
        <v>17</v>
      </c>
      <c r="L19" s="119">
        <v>-211.5</v>
      </c>
      <c r="M19" s="117">
        <v>1512.9009587011878</v>
      </c>
    </row>
    <row r="20" spans="1:18" x14ac:dyDescent="0.4">
      <c r="A20" s="18" t="s">
        <v>10</v>
      </c>
      <c r="B20" s="11">
        <f>B23+B22</f>
        <v>86</v>
      </c>
      <c r="C20" s="5">
        <f>IF(B$3=0,0,B20/B$3)</f>
        <v>0.3282442748091603</v>
      </c>
      <c r="E20" s="27" t="s">
        <v>91</v>
      </c>
      <c r="F20" s="24" t="s">
        <v>46</v>
      </c>
      <c r="G20" s="12">
        <v>1</v>
      </c>
      <c r="H20" s="88">
        <f>IF(B$20=0,0,G20/B$20)</f>
        <v>1.1627906976744186E-2</v>
      </c>
      <c r="I20" s="58">
        <v>2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38</v>
      </c>
      <c r="C21" s="6">
        <f>IF(B$3=0,0,B21/B$3)</f>
        <v>0.14503816793893129</v>
      </c>
      <c r="E21" s="27" t="s">
        <v>94</v>
      </c>
      <c r="F21" s="24" t="s">
        <v>49</v>
      </c>
      <c r="G21" s="12">
        <v>1</v>
      </c>
      <c r="H21" s="88">
        <f>IF(B$20=0,0,G21/B$20)</f>
        <v>1.1627906976744186E-2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35</v>
      </c>
      <c r="C22" s="6">
        <f>IF(B$20=0,0,B22/B$20)</f>
        <v>0.40697674418604651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-122</v>
      </c>
      <c r="M22" s="117">
        <v>1530.804913729499</v>
      </c>
    </row>
    <row r="23" spans="1:18" x14ac:dyDescent="0.4">
      <c r="A23" s="19" t="s">
        <v>11</v>
      </c>
      <c r="B23" s="12">
        <v>51</v>
      </c>
      <c r="C23" s="6">
        <f>IF(B$20=0,0,B23/B$20)</f>
        <v>0.59302325581395354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 x14ac:dyDescent="0.4">
      <c r="A24" s="19" t="s">
        <v>182</v>
      </c>
      <c r="B24" s="12">
        <v>34</v>
      </c>
      <c r="C24" s="6">
        <f>IF(B$20=0,0,B24/B$20)</f>
        <v>0.39534883720930231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-125.6</v>
      </c>
      <c r="M24" s="117">
        <v>1531.6221317416391</v>
      </c>
    </row>
    <row r="25" spans="1:18" x14ac:dyDescent="0.4">
      <c r="A25" s="19" t="s">
        <v>180</v>
      </c>
      <c r="B25" s="12">
        <v>29</v>
      </c>
      <c r="C25" s="6">
        <f>IF(B$20=0,0,B25/B$20)</f>
        <v>0.33720930232558138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-57.199999999999989</v>
      </c>
      <c r="M25" s="117">
        <v>1544.6803989511893</v>
      </c>
    </row>
    <row r="26" spans="1:18" x14ac:dyDescent="0.4">
      <c r="A26" s="19" t="s">
        <v>181</v>
      </c>
      <c r="B26" s="12">
        <v>23</v>
      </c>
      <c r="C26" s="6">
        <f>IF(B$20=0,0,B26/B$20)</f>
        <v>0.26744186046511625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 x14ac:dyDescent="0.4">
      <c r="A27" s="19" t="s">
        <v>5</v>
      </c>
      <c r="B27" s="16">
        <f>IF(B$20=0,0,C27/B$20)</f>
        <v>7643.0232558139533</v>
      </c>
      <c r="C27" s="8">
        <v>657300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 x14ac:dyDescent="0.4">
      <c r="A28" s="20" t="s">
        <v>164</v>
      </c>
      <c r="B28" s="95">
        <f>IF($B$20-B$19=0,0,C28/($B$20-B$19))</f>
        <v>7564.9122807017548</v>
      </c>
      <c r="C28" s="96">
        <v>431200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-98.6</v>
      </c>
      <c r="M28" s="117">
        <v>1539.3502157541884</v>
      </c>
    </row>
    <row r="29" spans="1:18" x14ac:dyDescent="0.4">
      <c r="A29" s="20" t="s">
        <v>165</v>
      </c>
      <c r="B29" s="95">
        <f>IF(B$19=0,0,C29/B$19)</f>
        <v>7796.5517241379312</v>
      </c>
      <c r="C29" s="96">
        <v>226100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-130.6</v>
      </c>
      <c r="M29" s="117">
        <v>1534.2901144596633</v>
      </c>
    </row>
    <row r="30" spans="1:18" x14ac:dyDescent="0.4">
      <c r="A30" s="20" t="s">
        <v>163</v>
      </c>
      <c r="B30" s="95">
        <f>IF(B$21=0,0,C30/B$21)</f>
        <v>-9031.5789473684217</v>
      </c>
      <c r="C30" s="96">
        <v>-343200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-107.1</v>
      </c>
      <c r="M31" s="117">
        <v>1539.9684755302678</v>
      </c>
    </row>
    <row r="32" spans="1:18" x14ac:dyDescent="0.4">
      <c r="A32" s="19" t="s">
        <v>157</v>
      </c>
      <c r="B32" s="12">
        <v>20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-137.9</v>
      </c>
      <c r="M32" s="117">
        <v>1535.1206646770863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4</v>
      </c>
      <c r="C37" s="98">
        <f t="shared" ref="C37:C49" si="2">IF(B$20=0,0,B37/B$20)</f>
        <v>4.6511627906976744E-2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17</v>
      </c>
      <c r="C38" s="6">
        <f t="shared" si="2"/>
        <v>0.19767441860465115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23</v>
      </c>
      <c r="C39" s="6">
        <f t="shared" si="2"/>
        <v>0.26744186046511625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17</v>
      </c>
      <c r="C40" s="6">
        <f t="shared" si="2"/>
        <v>0.19767441860465115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14</v>
      </c>
      <c r="C41" s="6">
        <f t="shared" si="2"/>
        <v>0.16279069767441862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5</v>
      </c>
      <c r="C42" s="6">
        <f t="shared" si="2"/>
        <v>5.8139534883720929E-2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3</v>
      </c>
      <c r="C43" s="6">
        <f t="shared" si="2"/>
        <v>3.4883720930232558E-2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1.1627906976744186E-2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1</v>
      </c>
      <c r="C46" s="6">
        <f t="shared" si="2"/>
        <v>1.1627906976744186E-2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1.1627906976744186E-2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8CF7-B39B-44BF-BD9C-7BDE50571CFB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38</v>
      </c>
      <c r="C2" s="134"/>
      <c r="E2" s="26" t="s">
        <v>64</v>
      </c>
      <c r="F2" s="23" t="s">
        <v>20</v>
      </c>
      <c r="G2" s="11">
        <v>64</v>
      </c>
      <c r="H2" s="87">
        <f>IF(B$20=0,0,G2/B$20)</f>
        <v>0.66666666666666663</v>
      </c>
      <c r="I2" s="57">
        <v>2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1065.7894736842106</v>
      </c>
      <c r="Q2" s="76">
        <v>38</v>
      </c>
      <c r="R2" s="63">
        <v>40500</v>
      </c>
    </row>
    <row r="3" spans="1:18" x14ac:dyDescent="0.4">
      <c r="A3" s="19" t="s">
        <v>8</v>
      </c>
      <c r="B3" s="135">
        <v>330</v>
      </c>
      <c r="C3" s="136"/>
      <c r="E3" s="27" t="s">
        <v>66</v>
      </c>
      <c r="F3" s="24" t="s">
        <v>22</v>
      </c>
      <c r="G3" s="12">
        <v>54</v>
      </c>
      <c r="H3" s="88">
        <f>IF(B$20=0,0,G3/B$20)</f>
        <v>0.5625</v>
      </c>
      <c r="I3" s="58">
        <v>6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1478.3783783783783</v>
      </c>
      <c r="Q3" s="77">
        <v>37</v>
      </c>
      <c r="R3" s="64">
        <v>54700</v>
      </c>
    </row>
    <row r="4" spans="1:18" x14ac:dyDescent="0.4">
      <c r="A4" s="19" t="s">
        <v>6</v>
      </c>
      <c r="B4" s="137">
        <v>272.69999999999987</v>
      </c>
      <c r="C4" s="138"/>
      <c r="E4" s="27" t="s">
        <v>67</v>
      </c>
      <c r="F4" s="24" t="s">
        <v>23</v>
      </c>
      <c r="G4" s="12">
        <v>49</v>
      </c>
      <c r="H4" s="88">
        <f>IF(B$20=0,0,G4/B$20)</f>
        <v>0.51041666666666663</v>
      </c>
      <c r="I4" s="58">
        <v>1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1555.5555555555557</v>
      </c>
      <c r="Q4" s="77">
        <v>36</v>
      </c>
      <c r="R4" s="64">
        <v>56000</v>
      </c>
    </row>
    <row r="5" spans="1:18" x14ac:dyDescent="0.4">
      <c r="A5" s="19" t="s">
        <v>7</v>
      </c>
      <c r="B5" s="125">
        <f>IF(B$2=0,0,B$4/B$2)</f>
        <v>7.1763157894736809</v>
      </c>
      <c r="C5" s="126"/>
      <c r="E5" s="27" t="s">
        <v>72</v>
      </c>
      <c r="F5" s="24" t="s">
        <v>27</v>
      </c>
      <c r="G5" s="12">
        <v>46</v>
      </c>
      <c r="H5" s="88">
        <f>IF(B$20=0,0,G5/B$20)</f>
        <v>0.47916666666666669</v>
      </c>
      <c r="I5" s="58">
        <v>2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138.23529411764707</v>
      </c>
      <c r="Q5" s="77">
        <v>34</v>
      </c>
      <c r="R5" s="64">
        <v>4700</v>
      </c>
    </row>
    <row r="6" spans="1:18" x14ac:dyDescent="0.4">
      <c r="A6" s="19" t="s">
        <v>192</v>
      </c>
      <c r="B6" s="129">
        <v>1841.0959847524587</v>
      </c>
      <c r="C6" s="130"/>
      <c r="E6" s="27" t="s">
        <v>158</v>
      </c>
      <c r="F6" s="24" t="s">
        <v>159</v>
      </c>
      <c r="G6" s="12">
        <v>43</v>
      </c>
      <c r="H6" s="88">
        <f>IF(B$20=0,0,G6/B$20)</f>
        <v>0.44791666666666669</v>
      </c>
      <c r="I6" s="58">
        <v>5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1218.1818181818182</v>
      </c>
      <c r="Q6" s="77">
        <v>33</v>
      </c>
      <c r="R6" s="64">
        <v>40200</v>
      </c>
    </row>
    <row r="7" spans="1:18" x14ac:dyDescent="0.4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34</v>
      </c>
      <c r="H7" s="88">
        <f>IF(B$20=0,0,G7/B$20)</f>
        <v>0.35416666666666669</v>
      </c>
      <c r="I7" s="58">
        <v>4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-1400</v>
      </c>
      <c r="Q7" s="78">
        <v>31</v>
      </c>
      <c r="R7" s="65">
        <v>-43400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0.39473684210526316</v>
      </c>
      <c r="E8" s="27" t="s">
        <v>69</v>
      </c>
      <c r="F8" s="24" t="s">
        <v>24</v>
      </c>
      <c r="G8" s="12">
        <v>16</v>
      </c>
      <c r="H8" s="88">
        <f>IF(B$20=0,0,G8/B$20)</f>
        <v>0.16666666666666666</v>
      </c>
      <c r="I8" s="58">
        <v>4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0.36842105263157893</v>
      </c>
      <c r="E9" s="27" t="s">
        <v>89</v>
      </c>
      <c r="F9" s="24" t="s">
        <v>44</v>
      </c>
      <c r="G9" s="12">
        <v>16</v>
      </c>
      <c r="H9" s="88">
        <f>IF(B$20=0,0,G9/B$20)</f>
        <v>0.16666666666666666</v>
      </c>
      <c r="I9" s="58">
        <v>1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9</v>
      </c>
      <c r="C10" s="7">
        <f t="shared" si="1"/>
        <v>0.23684210526315788</v>
      </c>
      <c r="E10" s="27" t="s">
        <v>65</v>
      </c>
      <c r="F10" s="24" t="s">
        <v>21</v>
      </c>
      <c r="G10" s="12">
        <v>11</v>
      </c>
      <c r="H10" s="88">
        <f>IF(B$20=0,0,G10/B$20)</f>
        <v>0.11458333333333333</v>
      </c>
      <c r="I10" s="58">
        <v>6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-0.46363636363636346</v>
      </c>
      <c r="Q10" s="76">
        <v>11</v>
      </c>
      <c r="R10" s="67">
        <v>-5.0999999999999979</v>
      </c>
    </row>
    <row r="11" spans="1:18" x14ac:dyDescent="0.4">
      <c r="A11" s="20" t="s">
        <v>183</v>
      </c>
      <c r="B11" s="109">
        <f>IF(B8=0,0,C11/B8)</f>
        <v>44.933333333333344</v>
      </c>
      <c r="C11" s="110">
        <v>674.00000000000011</v>
      </c>
      <c r="E11" s="27" t="s">
        <v>86</v>
      </c>
      <c r="F11" s="24" t="s">
        <v>41</v>
      </c>
      <c r="G11" s="12">
        <v>9</v>
      </c>
      <c r="H11" s="88">
        <f>IF(B$20=0,0,G11/B$20)</f>
        <v>9.375E-2</v>
      </c>
      <c r="I11" s="58">
        <v>1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8.581818181818182</v>
      </c>
      <c r="Q11" s="77">
        <v>11</v>
      </c>
      <c r="R11" s="68">
        <v>94.4</v>
      </c>
    </row>
    <row r="12" spans="1:18" x14ac:dyDescent="0.4">
      <c r="A12" s="20" t="s">
        <v>184</v>
      </c>
      <c r="B12" s="109">
        <f>IF(B9=0,0,C12/B9)</f>
        <v>-3.0214285714285718</v>
      </c>
      <c r="C12" s="110">
        <v>-42.300000000000004</v>
      </c>
      <c r="E12" s="27" t="s">
        <v>70</v>
      </c>
      <c r="F12" s="24" t="s">
        <v>25</v>
      </c>
      <c r="G12" s="12">
        <v>8</v>
      </c>
      <c r="H12" s="88">
        <f>IF(B$20=0,0,G12/B$20)</f>
        <v>8.3333333333333329E-2</v>
      </c>
      <c r="I12" s="58">
        <v>6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11.4625</v>
      </c>
      <c r="Q12" s="78">
        <v>16</v>
      </c>
      <c r="R12" s="69">
        <v>183.4</v>
      </c>
    </row>
    <row r="13" spans="1:18" x14ac:dyDescent="0.4">
      <c r="A13" s="20" t="s">
        <v>185</v>
      </c>
      <c r="B13" s="109">
        <f>IF(B10=0,0,C13/B10)</f>
        <v>-39.888888888888886</v>
      </c>
      <c r="C13" s="110">
        <v>-359</v>
      </c>
      <c r="E13" s="27" t="s">
        <v>71</v>
      </c>
      <c r="F13" s="24" t="s">
        <v>26</v>
      </c>
      <c r="G13" s="12">
        <v>4</v>
      </c>
      <c r="H13" s="88">
        <f>IF(B$20=0,0,G13/B$20)</f>
        <v>4.1666666666666664E-2</v>
      </c>
      <c r="I13" s="58">
        <v>7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0.67433862433862879</v>
      </c>
      <c r="C14" s="126"/>
      <c r="E14" s="27" t="s">
        <v>83</v>
      </c>
      <c r="F14" s="24" t="s">
        <v>38</v>
      </c>
      <c r="G14" s="12">
        <v>3</v>
      </c>
      <c r="H14" s="88">
        <f>IF(B$20=0,0,G14/B$20)</f>
        <v>3.125E-2</v>
      </c>
      <c r="I14" s="58">
        <v>5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5.2631578947368418E-2</v>
      </c>
      <c r="E15" s="27" t="s">
        <v>75</v>
      </c>
      <c r="F15" s="24" t="s">
        <v>30</v>
      </c>
      <c r="G15" s="12">
        <v>2</v>
      </c>
      <c r="H15" s="88">
        <f>IF(B$20=0,0,G15/B$20)</f>
        <v>2.0833333333333332E-2</v>
      </c>
      <c r="I15" s="58">
        <v>1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129</v>
      </c>
      <c r="C16" s="10">
        <f>IF(B$3=0,0,B16/B$3)</f>
        <v>0.39090909090909093</v>
      </c>
      <c r="E16" s="27" t="s">
        <v>78</v>
      </c>
      <c r="F16" s="24" t="s">
        <v>33</v>
      </c>
      <c r="G16" s="12">
        <v>2</v>
      </c>
      <c r="H16" s="88">
        <f>IF(B$20=0,0,G16/B$20)</f>
        <v>2.0833333333333332E-2</v>
      </c>
      <c r="I16" s="58">
        <v>5</v>
      </c>
      <c r="K16" s="74">
        <v>14</v>
      </c>
      <c r="L16" s="119">
        <v>244.7</v>
      </c>
      <c r="M16" s="117">
        <v>1871.5564856013168</v>
      </c>
      <c r="O16" s="74" t="s">
        <v>191</v>
      </c>
      <c r="P16" s="83">
        <f>IF(Q16=0,0,R16/Q16)</f>
        <v>16.931249999999995</v>
      </c>
      <c r="Q16" s="77">
        <v>16</v>
      </c>
      <c r="R16" s="68">
        <v>270.89999999999992</v>
      </c>
    </row>
    <row r="17" spans="1:18" x14ac:dyDescent="0.4">
      <c r="A17" s="19" t="s">
        <v>118</v>
      </c>
      <c r="B17" s="12">
        <v>45</v>
      </c>
      <c r="C17" s="6">
        <f>IF(B$3=0,0,B17/B$3)</f>
        <v>0.13636363636363635</v>
      </c>
      <c r="E17" s="27" t="s">
        <v>79</v>
      </c>
      <c r="F17" s="24" t="s">
        <v>34</v>
      </c>
      <c r="G17" s="12">
        <v>2</v>
      </c>
      <c r="H17" s="88">
        <f>IF(B$20=0,0,G17/B$20)</f>
        <v>2.0833333333333332E-2</v>
      </c>
      <c r="I17" s="58">
        <v>1</v>
      </c>
      <c r="K17" s="74">
        <v>15</v>
      </c>
      <c r="L17" s="119">
        <v>278.59999999999997</v>
      </c>
      <c r="M17" s="117">
        <v>1875.867146687709</v>
      </c>
      <c r="O17" s="74" t="s">
        <v>189</v>
      </c>
      <c r="P17" s="83">
        <f>IF(Q17=0,0,R17/Q17)</f>
        <v>3.7125000000000021</v>
      </c>
      <c r="Q17" s="77">
        <v>24</v>
      </c>
      <c r="R17" s="68">
        <v>89.100000000000051</v>
      </c>
    </row>
    <row r="18" spans="1:18" x14ac:dyDescent="0.4">
      <c r="A18" s="18" t="s">
        <v>123</v>
      </c>
      <c r="B18" s="11">
        <f>B24</f>
        <v>66</v>
      </c>
      <c r="C18" s="5">
        <f>IF(B$16=0,0,B18/B$16)</f>
        <v>0.51162790697674421</v>
      </c>
      <c r="E18" s="27" t="s">
        <v>81</v>
      </c>
      <c r="F18" s="24" t="s">
        <v>36</v>
      </c>
      <c r="G18" s="12">
        <v>2</v>
      </c>
      <c r="H18" s="88">
        <f>IF(B$20=0,0,G18/B$20)</f>
        <v>2.0833333333333332E-2</v>
      </c>
      <c r="I18" s="58">
        <v>3</v>
      </c>
      <c r="K18" s="74">
        <v>16</v>
      </c>
      <c r="L18" s="119">
        <v>247.79999999999995</v>
      </c>
      <c r="M18" s="117">
        <v>1868.5059438075828</v>
      </c>
      <c r="O18" s="74" t="s">
        <v>162</v>
      </c>
      <c r="P18" s="83">
        <f>IF(Q18=0,0,R18/Q18)</f>
        <v>-0.68333333333333401</v>
      </c>
      <c r="Q18" s="77">
        <v>18</v>
      </c>
      <c r="R18" s="68">
        <v>-12.300000000000011</v>
      </c>
    </row>
    <row r="19" spans="1:18" x14ac:dyDescent="0.4">
      <c r="A19" s="18" t="s">
        <v>124</v>
      </c>
      <c r="B19" s="11">
        <f>B25</f>
        <v>21</v>
      </c>
      <c r="C19" s="5">
        <f>IF(B$17=0,0,B19/B$17)</f>
        <v>0.46666666666666667</v>
      </c>
      <c r="E19" s="27" t="s">
        <v>76</v>
      </c>
      <c r="F19" s="24" t="s">
        <v>31</v>
      </c>
      <c r="G19" s="12">
        <v>1</v>
      </c>
      <c r="H19" s="88">
        <f>IF(B$20=0,0,G19/B$20)</f>
        <v>1.0416666666666666E-2</v>
      </c>
      <c r="I19" s="58">
        <v>1</v>
      </c>
      <c r="K19" s="74">
        <v>17</v>
      </c>
      <c r="L19" s="119">
        <v>298.79999999999995</v>
      </c>
      <c r="M19" s="117">
        <v>1875.9129081447372</v>
      </c>
      <c r="O19" s="74" t="s">
        <v>187</v>
      </c>
      <c r="P19" s="83">
        <f>IF(Q19=0,0,R19/Q19)</f>
        <v>-5.3777777777777764</v>
      </c>
      <c r="Q19" s="77">
        <v>9</v>
      </c>
      <c r="R19" s="68">
        <v>-48.399999999999991</v>
      </c>
    </row>
    <row r="20" spans="1:18" x14ac:dyDescent="0.4">
      <c r="A20" s="18" t="s">
        <v>10</v>
      </c>
      <c r="B20" s="11">
        <f>B23+B22</f>
        <v>96</v>
      </c>
      <c r="C20" s="5">
        <f>IF(B$3=0,0,B20/B$3)</f>
        <v>0.29090909090909089</v>
      </c>
      <c r="E20" s="27" t="s">
        <v>91</v>
      </c>
      <c r="F20" s="24" t="s">
        <v>46</v>
      </c>
      <c r="G20" s="12">
        <v>1</v>
      </c>
      <c r="H20" s="88">
        <f>IF(B$20=0,0,G20/B$20)</f>
        <v>1.0416666666666666E-2</v>
      </c>
      <c r="I20" s="58">
        <v>3</v>
      </c>
      <c r="K20" s="74">
        <v>18</v>
      </c>
      <c r="L20" s="119">
        <v>327.79999999999995</v>
      </c>
      <c r="M20" s="117">
        <v>1879.3154306958688</v>
      </c>
    </row>
    <row r="21" spans="1:18" x14ac:dyDescent="0.4">
      <c r="A21" s="19" t="s">
        <v>13</v>
      </c>
      <c r="B21" s="12">
        <v>52</v>
      </c>
      <c r="C21" s="6">
        <f>IF(B$3=0,0,B21/B$3)</f>
        <v>0.15757575757575756</v>
      </c>
      <c r="E21" s="27" t="s">
        <v>93</v>
      </c>
      <c r="F21" s="24" t="s">
        <v>48</v>
      </c>
      <c r="G21" s="12">
        <v>1</v>
      </c>
      <c r="H21" s="88">
        <f>IF(B$20=0,0,G21/B$20)</f>
        <v>1.0416666666666666E-2</v>
      </c>
      <c r="I21" s="58">
        <v>1</v>
      </c>
      <c r="K21" s="74">
        <v>19</v>
      </c>
      <c r="L21" s="119">
        <v>347.49999999999994</v>
      </c>
      <c r="M21" s="117">
        <v>1881.0235381116936</v>
      </c>
    </row>
    <row r="22" spans="1:18" x14ac:dyDescent="0.4">
      <c r="A22" s="19" t="s">
        <v>12</v>
      </c>
      <c r="B22" s="12">
        <v>43</v>
      </c>
      <c r="C22" s="6">
        <f>IF(B$20=0,0,B22/B$20)</f>
        <v>0.44791666666666669</v>
      </c>
      <c r="E22" s="27" t="s">
        <v>99</v>
      </c>
      <c r="F22" s="24" t="s">
        <v>54</v>
      </c>
      <c r="G22" s="12">
        <v>1</v>
      </c>
      <c r="H22" s="88">
        <f>IF(B$20=0,0,G22/B$20)</f>
        <v>1.0416666666666666E-2</v>
      </c>
      <c r="I22" s="58">
        <v>1</v>
      </c>
      <c r="K22" s="74">
        <v>20</v>
      </c>
      <c r="L22" s="119">
        <v>354.69999999999993</v>
      </c>
      <c r="M22" s="117">
        <v>1880.4653968830235</v>
      </c>
    </row>
    <row r="23" spans="1:18" x14ac:dyDescent="0.4">
      <c r="A23" s="19" t="s">
        <v>11</v>
      </c>
      <c r="B23" s="12">
        <v>53</v>
      </c>
      <c r="C23" s="6">
        <f>IF(B$20=0,0,B23/B$20)</f>
        <v>0.55208333333333337</v>
      </c>
      <c r="E23" s="27" t="s">
        <v>154</v>
      </c>
      <c r="F23" s="24" t="s">
        <v>155</v>
      </c>
      <c r="G23" s="12">
        <v>1</v>
      </c>
      <c r="H23" s="88">
        <f>IF(B$20=0,0,G23/B$20)</f>
        <v>1.0416666666666666E-2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66</v>
      </c>
      <c r="C24" s="6">
        <f>IF(B$20=0,0,B24/B$20)</f>
        <v>0.6875</v>
      </c>
      <c r="E24" s="27" t="s">
        <v>73</v>
      </c>
      <c r="F24" s="24" t="s">
        <v>28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21</v>
      </c>
      <c r="C25" s="6">
        <f>IF(B$20=0,0,B25/B$20)</f>
        <v>0.21875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9</v>
      </c>
      <c r="C26" s="6">
        <f>IF(B$20=0,0,B26/B$20)</f>
        <v>9.375E-2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9663.5416666666661</v>
      </c>
      <c r="C27" s="8">
        <v>927700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10078.666666666666</v>
      </c>
      <c r="C28" s="96">
        <v>755900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8180.9523809523807</v>
      </c>
      <c r="C29" s="96">
        <v>171800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-7886.5384615384619</v>
      </c>
      <c r="C30" s="96">
        <v>-410100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314.19999999999993</v>
      </c>
      <c r="M30" s="117">
        <v>1860.3953533148044</v>
      </c>
    </row>
    <row r="31" spans="1:18" x14ac:dyDescent="0.4">
      <c r="A31" s="19" t="s">
        <v>156</v>
      </c>
      <c r="B31" s="12">
        <v>5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310.49999999999994</v>
      </c>
      <c r="M31" s="117">
        <v>1858.5029811949155</v>
      </c>
    </row>
    <row r="32" spans="1:18" x14ac:dyDescent="0.4">
      <c r="A32" s="19" t="s">
        <v>157</v>
      </c>
      <c r="B32" s="12">
        <v>24</v>
      </c>
      <c r="C32" s="90">
        <v>6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337.69999999999993</v>
      </c>
      <c r="M32" s="117">
        <v>1862.1839633077459</v>
      </c>
    </row>
    <row r="33" spans="1:13" x14ac:dyDescent="0.4">
      <c r="A33" s="54" t="s">
        <v>135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 x14ac:dyDescent="0.4">
      <c r="A34" s="22" t="s">
        <v>179</v>
      </c>
      <c r="B34" s="129">
        <v>90400</v>
      </c>
      <c r="C34" s="130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329.7999999999999</v>
      </c>
      <c r="M34" s="117">
        <v>1858.3087863707322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290.69999999999987</v>
      </c>
      <c r="M36" s="117">
        <v>1848.8568440505928</v>
      </c>
    </row>
    <row r="37" spans="1:13" x14ac:dyDescent="0.4">
      <c r="A37" s="54" t="s">
        <v>170</v>
      </c>
      <c r="B37" s="123">
        <v>4</v>
      </c>
      <c r="C37" s="98">
        <f t="shared" ref="C37:C49" si="2">IF(B$20=0,0,B37/B$20)</f>
        <v>4.1666666666666664E-2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 x14ac:dyDescent="0.4">
      <c r="A38" s="19" t="s">
        <v>166</v>
      </c>
      <c r="B38" s="12">
        <v>10</v>
      </c>
      <c r="C38" s="6">
        <f t="shared" si="2"/>
        <v>0.10416666666666667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236.69999999999987</v>
      </c>
      <c r="M38" s="117">
        <v>1836.8264807683715</v>
      </c>
    </row>
    <row r="39" spans="1:13" x14ac:dyDescent="0.4">
      <c r="A39" s="19" t="s">
        <v>167</v>
      </c>
      <c r="B39" s="124">
        <v>18</v>
      </c>
      <c r="C39" s="6">
        <f t="shared" si="2"/>
        <v>0.1875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 x14ac:dyDescent="0.4">
      <c r="A40" s="19" t="s">
        <v>168</v>
      </c>
      <c r="B40" s="124">
        <v>17</v>
      </c>
      <c r="C40" s="6">
        <f t="shared" si="2"/>
        <v>0.17708333333333334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 x14ac:dyDescent="0.4">
      <c r="A41" s="19" t="s">
        <v>169</v>
      </c>
      <c r="B41" s="124">
        <v>18</v>
      </c>
      <c r="C41" s="6">
        <f t="shared" si="2"/>
        <v>0.1875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13</v>
      </c>
      <c r="C42" s="6">
        <f t="shared" si="2"/>
        <v>0.13541666666666666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9</v>
      </c>
      <c r="C43" s="6">
        <f t="shared" si="2"/>
        <v>9.375E-2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4</v>
      </c>
      <c r="C44" s="6">
        <f t="shared" si="2"/>
        <v>4.1666666666666664E-2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1</v>
      </c>
      <c r="C46" s="6">
        <f t="shared" si="2"/>
        <v>1.0416666666666666E-2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2</v>
      </c>
      <c r="C49" s="9">
        <f t="shared" si="2"/>
        <v>2.0833333333333332E-2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98E6-DCF9-4389-9EBA-8ED97F7326B4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27</v>
      </c>
      <c r="H2" s="87">
        <f>IF(B$20=0,0,G2/B$20)</f>
        <v>0.71052631578947367</v>
      </c>
      <c r="I2" s="57">
        <v>3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-731.25</v>
      </c>
      <c r="Q2" s="76">
        <v>16</v>
      </c>
      <c r="R2" s="63">
        <v>-11700</v>
      </c>
    </row>
    <row r="3" spans="1:18" x14ac:dyDescent="0.4">
      <c r="A3" s="19" t="s">
        <v>8</v>
      </c>
      <c r="B3" s="135">
        <v>133</v>
      </c>
      <c r="C3" s="136"/>
      <c r="E3" s="27" t="s">
        <v>64</v>
      </c>
      <c r="F3" s="24" t="s">
        <v>20</v>
      </c>
      <c r="G3" s="12">
        <v>25</v>
      </c>
      <c r="H3" s="88">
        <f>IF(B$20=0,0,G3/B$20)</f>
        <v>0.65789473684210531</v>
      </c>
      <c r="I3" s="58">
        <v>4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-1862.5</v>
      </c>
      <c r="Q3" s="77">
        <v>16</v>
      </c>
      <c r="R3" s="64">
        <v>-29800</v>
      </c>
    </row>
    <row r="4" spans="1:18" x14ac:dyDescent="0.4">
      <c r="A4" s="19" t="s">
        <v>6</v>
      </c>
      <c r="B4" s="137">
        <v>2.6999999999999886</v>
      </c>
      <c r="C4" s="138"/>
      <c r="E4" s="27" t="s">
        <v>158</v>
      </c>
      <c r="F4" s="24" t="s">
        <v>159</v>
      </c>
      <c r="G4" s="12">
        <v>24</v>
      </c>
      <c r="H4" s="88">
        <f>IF(B$20=0,0,G4/B$20)</f>
        <v>0.63157894736842102</v>
      </c>
      <c r="I4" s="58">
        <v>1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1746.6666666666667</v>
      </c>
      <c r="Q4" s="77">
        <v>15</v>
      </c>
      <c r="R4" s="64">
        <v>26200</v>
      </c>
    </row>
    <row r="5" spans="1:18" x14ac:dyDescent="0.4">
      <c r="A5" s="19" t="s">
        <v>7</v>
      </c>
      <c r="B5" s="125">
        <f>IF(B$2=0,0,B$4/B$2)</f>
        <v>0.16874999999999929</v>
      </c>
      <c r="C5" s="126"/>
      <c r="E5" s="27" t="s">
        <v>72</v>
      </c>
      <c r="F5" s="24" t="s">
        <v>27</v>
      </c>
      <c r="G5" s="12">
        <v>16</v>
      </c>
      <c r="H5" s="88">
        <f>IF(B$20=0,0,G5/B$20)</f>
        <v>0.42105263157894735</v>
      </c>
      <c r="I5" s="58">
        <v>5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-3850</v>
      </c>
      <c r="Q5" s="77">
        <v>14</v>
      </c>
      <c r="R5" s="64">
        <v>-53900</v>
      </c>
    </row>
    <row r="6" spans="1:18" x14ac:dyDescent="0.4">
      <c r="A6" s="19" t="s">
        <v>192</v>
      </c>
      <c r="B6" s="129">
        <v>1392.7601128886215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0.36842105263157893</v>
      </c>
      <c r="I6" s="58">
        <v>3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2842.8571428571427</v>
      </c>
      <c r="Q6" s="77">
        <v>14</v>
      </c>
      <c r="R6" s="64">
        <v>39800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12</v>
      </c>
      <c r="H7" s="88">
        <f>IF(B$20=0,0,G7/B$20)</f>
        <v>0.31578947368421051</v>
      </c>
      <c r="I7" s="58">
        <v>5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2692.3076923076924</v>
      </c>
      <c r="Q7" s="78">
        <v>13</v>
      </c>
      <c r="R7" s="65">
        <v>35000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0.25</v>
      </c>
      <c r="E8" s="27" t="s">
        <v>69</v>
      </c>
      <c r="F8" s="24" t="s">
        <v>24</v>
      </c>
      <c r="G8" s="12">
        <v>8</v>
      </c>
      <c r="H8" s="88">
        <f>IF(B$20=0,0,G8/B$20)</f>
        <v>0.21052631578947367</v>
      </c>
      <c r="I8" s="58">
        <v>2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0.5</v>
      </c>
      <c r="E9" s="27" t="s">
        <v>65</v>
      </c>
      <c r="F9" s="24" t="s">
        <v>21</v>
      </c>
      <c r="G9" s="12">
        <v>7</v>
      </c>
      <c r="H9" s="88">
        <f>IF(B$20=0,0,G9/B$20)</f>
        <v>0.18421052631578946</v>
      </c>
      <c r="I9" s="58">
        <v>2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0.25</v>
      </c>
      <c r="E10" s="27" t="s">
        <v>70</v>
      </c>
      <c r="F10" s="24" t="s">
        <v>25</v>
      </c>
      <c r="G10" s="12">
        <v>5</v>
      </c>
      <c r="H10" s="88">
        <f>IF(B$20=0,0,G10/B$20)</f>
        <v>0.13157894736842105</v>
      </c>
      <c r="I10" s="58">
        <v>3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-22.660000000000004</v>
      </c>
      <c r="Q10" s="76">
        <v>5</v>
      </c>
      <c r="R10" s="67">
        <v>-113.30000000000001</v>
      </c>
    </row>
    <row r="11" spans="1:18" x14ac:dyDescent="0.4">
      <c r="A11" s="20" t="s">
        <v>183</v>
      </c>
      <c r="B11" s="109">
        <f>IF(B8=0,0,C11/B8)</f>
        <v>50.95</v>
      </c>
      <c r="C11" s="110">
        <v>203.8</v>
      </c>
      <c r="E11" s="27" t="s">
        <v>89</v>
      </c>
      <c r="F11" s="24" t="s">
        <v>44</v>
      </c>
      <c r="G11" s="12">
        <v>4</v>
      </c>
      <c r="H11" s="88">
        <f>IF(B$20=0,0,G11/B$20)</f>
        <v>0.10526315789473684</v>
      </c>
      <c r="I11" s="58">
        <v>5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-1.8000000000000003</v>
      </c>
      <c r="Q11" s="77">
        <v>7</v>
      </c>
      <c r="R11" s="68">
        <v>-12.600000000000001</v>
      </c>
    </row>
    <row r="12" spans="1:18" x14ac:dyDescent="0.4">
      <c r="A12" s="20" t="s">
        <v>184</v>
      </c>
      <c r="B12" s="109">
        <f>IF(B9=0,0,C12/B9)</f>
        <v>-0.27499999999999991</v>
      </c>
      <c r="C12" s="110">
        <v>-2.1999999999999993</v>
      </c>
      <c r="E12" s="27" t="s">
        <v>71</v>
      </c>
      <c r="F12" s="24" t="s">
        <v>26</v>
      </c>
      <c r="G12" s="12">
        <v>3</v>
      </c>
      <c r="H12" s="88">
        <f>IF(B$20=0,0,G12/B$20)</f>
        <v>7.8947368421052627E-2</v>
      </c>
      <c r="I12" s="58">
        <v>4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32.15</v>
      </c>
      <c r="Q12" s="78">
        <v>4</v>
      </c>
      <c r="R12" s="69">
        <v>128.6</v>
      </c>
    </row>
    <row r="13" spans="1:18" x14ac:dyDescent="0.4">
      <c r="A13" s="20" t="s">
        <v>185</v>
      </c>
      <c r="B13" s="109">
        <f>IF(B10=0,0,C13/B10)</f>
        <v>-49.725000000000001</v>
      </c>
      <c r="C13" s="110">
        <v>-198.9</v>
      </c>
      <c r="E13" s="27" t="s">
        <v>86</v>
      </c>
      <c r="F13" s="24" t="s">
        <v>41</v>
      </c>
      <c r="G13" s="12">
        <v>2</v>
      </c>
      <c r="H13" s="88">
        <f>IF(B$20=0,0,G13/B$20)</f>
        <v>5.2631578947368418E-2</v>
      </c>
      <c r="I13" s="58">
        <v>5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0.3166666666666676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2.6315789473684209E-2</v>
      </c>
      <c r="I14" s="58">
        <v>3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6.25E-2</v>
      </c>
      <c r="E15" s="27" t="s">
        <v>91</v>
      </c>
      <c r="F15" s="24" t="s">
        <v>46</v>
      </c>
      <c r="G15" s="12">
        <v>1</v>
      </c>
      <c r="H15" s="88">
        <f>IF(B$20=0,0,G15/B$20)</f>
        <v>2.6315789473684209E-2</v>
      </c>
      <c r="I15" s="58">
        <v>1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48</v>
      </c>
      <c r="C16" s="10">
        <f>IF(B$3=0,0,B16/B$3)</f>
        <v>0.36090225563909772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4</v>
      </c>
      <c r="K16" s="74">
        <v>14</v>
      </c>
      <c r="L16" s="119">
        <v>91.899999999999991</v>
      </c>
      <c r="M16" s="117">
        <v>1406.5002296359867</v>
      </c>
      <c r="O16" s="74" t="s">
        <v>189</v>
      </c>
      <c r="P16" s="83">
        <f>IF(Q16=0,0,R16/Q16)</f>
        <v>8.9285714285714288</v>
      </c>
      <c r="Q16" s="77">
        <v>7</v>
      </c>
      <c r="R16" s="68">
        <v>62.5</v>
      </c>
    </row>
    <row r="17" spans="1:18" x14ac:dyDescent="0.4">
      <c r="A17" s="19" t="s">
        <v>118</v>
      </c>
      <c r="B17" s="12">
        <v>22</v>
      </c>
      <c r="C17" s="6">
        <f>IF(B$3=0,0,B17/B$3)</f>
        <v>0.16541353383458646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K17" s="74">
        <v>15</v>
      </c>
      <c r="L17" s="119">
        <v>46.79999999999999</v>
      </c>
      <c r="M17" s="117">
        <v>1399.5192282581706</v>
      </c>
      <c r="O17" s="74" t="s">
        <v>126</v>
      </c>
      <c r="P17" s="83">
        <f>IF(Q17=0,0,R17/Q17)</f>
        <v>-16.931250000000002</v>
      </c>
      <c r="Q17" s="77">
        <v>16</v>
      </c>
      <c r="R17" s="68">
        <v>-270.90000000000003</v>
      </c>
    </row>
    <row r="18" spans="1:18" x14ac:dyDescent="0.4">
      <c r="A18" s="18" t="s">
        <v>123</v>
      </c>
      <c r="B18" s="11">
        <f>B24</f>
        <v>25</v>
      </c>
      <c r="C18" s="5">
        <f>IF(B$16=0,0,B18/B$16)</f>
        <v>0.52083333333333337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3</v>
      </c>
      <c r="K18" s="74">
        <v>16</v>
      </c>
      <c r="L18" s="119">
        <v>2.6999999999999886</v>
      </c>
      <c r="M18" s="117">
        <v>1392.7601128886215</v>
      </c>
    </row>
    <row r="19" spans="1:18" x14ac:dyDescent="0.4">
      <c r="A19" s="18" t="s">
        <v>124</v>
      </c>
      <c r="B19" s="11">
        <f>B25</f>
        <v>11</v>
      </c>
      <c r="C19" s="5">
        <f>IF(B$17=0,0,B19/B$17)</f>
        <v>0.5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38</v>
      </c>
      <c r="C20" s="5">
        <f>IF(B$3=0,0,B20/B$3)</f>
        <v>0.2857142857142857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6</v>
      </c>
    </row>
    <row r="21" spans="1:18" x14ac:dyDescent="0.4">
      <c r="A21" s="19" t="s">
        <v>13</v>
      </c>
      <c r="B21" s="12">
        <v>20</v>
      </c>
      <c r="C21" s="6">
        <f>IF(B$3=0,0,B21/B$3)</f>
        <v>0.15037593984962405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16</v>
      </c>
      <c r="C22" s="6">
        <f>IF(B$20=0,0,B22/B$20)</f>
        <v>0.42105263157894735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22</v>
      </c>
      <c r="C23" s="6">
        <f>IF(B$20=0,0,B23/B$20)</f>
        <v>0.57894736842105265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">
      <c r="A24" s="19" t="s">
        <v>182</v>
      </c>
      <c r="B24" s="12">
        <v>25</v>
      </c>
      <c r="C24" s="6">
        <f>IF(B$20=0,0,B24/B$20)</f>
        <v>0.65789473684210531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11</v>
      </c>
      <c r="C25" s="6">
        <f>IF(B$20=0,0,B25/B$20)</f>
        <v>0.28947368421052633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181</v>
      </c>
      <c r="B26" s="12">
        <v>2</v>
      </c>
      <c r="C26" s="6">
        <f>IF(B$20=0,0,B26/B$20)</f>
        <v>5.2631578947368418E-2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9078.9473684210534</v>
      </c>
      <c r="C27" s="8">
        <v>345000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10481.481481481482</v>
      </c>
      <c r="C28" s="96">
        <v>283000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165</v>
      </c>
      <c r="B29" s="95">
        <f>IF(B$19=0,0,C29/B$19)</f>
        <v>5636.363636363636</v>
      </c>
      <c r="C29" s="96">
        <v>62000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-7555</v>
      </c>
      <c r="C30" s="96">
        <v>-151100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21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82600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7</v>
      </c>
      <c r="C38" s="6">
        <f t="shared" si="2"/>
        <v>0.18421052631578946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6</v>
      </c>
      <c r="C39" s="6">
        <f t="shared" si="2"/>
        <v>0.15789473684210525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0.31578947368421051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7.8947368421052627E-2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3</v>
      </c>
      <c r="C43" s="6">
        <f t="shared" si="2"/>
        <v>7.8947368421052627E-2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2</v>
      </c>
      <c r="C45" s="6">
        <f t="shared" si="2"/>
        <v>5.2631578947368418E-2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0667D-7AC3-4872-A511-508439C60F26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2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6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4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7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4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5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1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2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6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6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42380-17AE-4230-98AF-740302B0D2E0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91C7-C366-4B3C-99DD-8B0C930C1312}">
  <sheetPr codeName="Sheet16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906BC-A8FE-4911-A58E-821EFBEDEF1C}">
  <sheetPr codeName="Sheet14"/>
  <dimension ref="A1:Q4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 x14ac:dyDescent="0.4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 x14ac:dyDescent="0.4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 x14ac:dyDescent="0.4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 x14ac:dyDescent="0.4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 x14ac:dyDescent="0.4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 x14ac:dyDescent="0.4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 x14ac:dyDescent="0.4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 x14ac:dyDescent="0.4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 x14ac:dyDescent="0.4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 x14ac:dyDescent="0.4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 x14ac:dyDescent="0.4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B7AEE-674A-4404-956A-D46EE6413997}">
  <sheetPr codeName="Sheet12"/>
  <dimension ref="A1:Q3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 x14ac:dyDescent="0.4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 x14ac:dyDescent="0.4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 x14ac:dyDescent="0.4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 x14ac:dyDescent="0.4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 x14ac:dyDescent="0.4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 x14ac:dyDescent="0.4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 x14ac:dyDescent="0.4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 x14ac:dyDescent="0.4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 x14ac:dyDescent="0.4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 x14ac:dyDescent="0.4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 x14ac:dyDescent="0.4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55637-E07D-4D48-994D-C678AE414576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596B-DE96-4DE1-8AFE-D05D7D467C98}">
  <sheetPr codeName="Sheet8"/>
  <dimension ref="A1:Q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 x14ac:dyDescent="0.4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 x14ac:dyDescent="0.4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 x14ac:dyDescent="0.4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 x14ac:dyDescent="0.4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 x14ac:dyDescent="0.4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 x14ac:dyDescent="0.4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 x14ac:dyDescent="0.4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 x14ac:dyDescent="0.4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 x14ac:dyDescent="0.4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 x14ac:dyDescent="0.4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 x14ac:dyDescent="0.4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D27C-05E0-4ADC-BA41-C2C70FCDE86C}">
  <sheetPr codeName="Sheet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 x14ac:dyDescent="0.4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 x14ac:dyDescent="0.4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 x14ac:dyDescent="0.4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 x14ac:dyDescent="0.4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 x14ac:dyDescent="0.4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 x14ac:dyDescent="0.4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 x14ac:dyDescent="0.4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 x14ac:dyDescent="0.4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 x14ac:dyDescent="0.4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 x14ac:dyDescent="0.4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 x14ac:dyDescent="0.4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2023-10-22T12:00:33Z</dcterms:modified>
</cp:coreProperties>
</file>