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6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9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0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1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2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3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4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5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D3E57BE6-237B-4994-A483-8DE974A81722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40" r:id="rId6"/>
    <sheet name="れんたろう" sheetId="6142" r:id="rId7"/>
    <sheet name="たかの" sheetId="6144" r:id="rId8"/>
    <sheet name="ただ" sheetId="6146" r:id="rId9"/>
    <sheet name="だいち" sheetId="6148" r:id="rId10"/>
    <sheet name="りくと" sheetId="6150" r:id="rId11"/>
    <sheet name="わさび" sheetId="6152" r:id="rId12"/>
    <sheet name="まっつん" sheetId="6154" r:id="rId13"/>
    <sheet name="まっつん2" sheetId="6155" state="hidden" r:id="rId14"/>
    <sheet name="わさび2" sheetId="6153" state="hidden" r:id="rId15"/>
    <sheet name="りくと2" sheetId="6151" state="hidden" r:id="rId16"/>
    <sheet name="だいち2" sheetId="6149" state="hidden" r:id="rId17"/>
    <sheet name="ただ2" sheetId="6147" state="hidden" r:id="rId18"/>
    <sheet name="たかの2" sheetId="6145" state="hidden" r:id="rId19"/>
    <sheet name="れんたろう2" sheetId="6143" state="hidden" r:id="rId20"/>
    <sheet name="全体2" sheetId="6141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リーチ率" sheetId="3524" state="hidden" r:id="rId32"/>
    <sheet name="副露率" sheetId="3525" state="hidden" r:id="rId33"/>
    <sheet name="リーチ成功率" sheetId="4841" state="hidden" r:id="rId34"/>
    <sheet name="副露成功率" sheetId="3527" state="hidden" r:id="rId35"/>
    <sheet name="ツモ率" sheetId="3528" state="hidden" r:id="rId36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2">まっつん!$B$20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2">まっつん!$C$20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2">まっつん!$B$26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2">まっつん!$C$26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2">まっつん!$B$35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2">まっつん!$C$35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2">まっつん!$B$22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2">まっつん!$C$22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2">まっつん!$B$8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2">まっつん!$C$8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2">まっつん!$B$14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2">まっつん!$B$15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2">まっつん!$C$15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2">まっつん!$B$10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2">まっつん!$C$10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2">まっつん!$B$24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2">まっつん!$C$24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2">まっつん!$B$16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2">まっつん!$B$18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2">まっつん!$C$18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2">まっつん!$C$16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2">まっつん!$B$6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2">まっつん!$B$23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2">まっつん!$C$23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2">まっつん!$B$11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2">まっつん!$C$11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2">まっつん!$B$37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2">まっつん!$C$37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2">まっつん!$C$31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2">まっつん!$C$32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2">まっつん!$B$34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2">まっつん!$B$33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2">まっつん!$B$34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2">まっつん!$B$13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2">まっつん!$C$13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2">まっつん!$B$3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2">まっつん!$B$2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2">まっつん!$C$27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2">まっつん!$B$4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2">まっつん!$C$29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2">まっつん!$C$30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2">まっつん!$C$28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2">まっつん!$B$12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2">まっつん!$B$9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2">まっつん!$C$12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2">まっつん!$C$9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2">まっつん!$B$25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2">まっつん!$B$29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2">まっつん!$C$25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2">まっつん!$B$17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2">まっつん!$B$19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2">まっつん!$C$19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2">まっつん!$C$17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2">まっつん!$B$27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2">まっつん!$B$5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2">まっつん!$B$7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2">まっつん!$B$30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2">まっつん!$B$21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2">まっつん!$C$21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2">まっつん!$B$1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2">まっつん!$B$28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2">まっつん!$B$31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2">まっつん!$B$32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6148" l="1"/>
  <c r="P16" i="6150"/>
  <c r="P18" i="6140"/>
  <c r="P16" i="6154"/>
  <c r="P15" i="6154"/>
  <c r="C35" i="6154"/>
  <c r="B30" i="6154"/>
  <c r="C21" i="6154"/>
  <c r="B20" i="6154"/>
  <c r="H52" i="6154" s="1"/>
  <c r="B19" i="6154"/>
  <c r="B29" i="6154" s="1"/>
  <c r="B18" i="6154"/>
  <c r="C18" i="6154" s="1"/>
  <c r="C17" i="6154"/>
  <c r="C16" i="6154"/>
  <c r="C15" i="6154"/>
  <c r="B13" i="6154"/>
  <c r="P12" i="6154"/>
  <c r="B12" i="6154"/>
  <c r="P11" i="6154"/>
  <c r="B11" i="6154"/>
  <c r="P10" i="6154"/>
  <c r="C10" i="6154"/>
  <c r="C9" i="6154"/>
  <c r="C8" i="6154"/>
  <c r="P7" i="6154"/>
  <c r="B7" i="6154"/>
  <c r="P6" i="6154"/>
  <c r="P5" i="6154"/>
  <c r="B5" i="6154"/>
  <c r="P4" i="6154"/>
  <c r="P3" i="6154"/>
  <c r="P2" i="6154"/>
  <c r="B14" i="6154" l="1"/>
  <c r="C19" i="6154"/>
  <c r="H9" i="6154"/>
  <c r="H20" i="6154"/>
  <c r="H2" i="6154"/>
  <c r="H5" i="6154"/>
  <c r="H11" i="6154"/>
  <c r="H35" i="6154"/>
  <c r="H25" i="6154"/>
  <c r="H19" i="6154"/>
  <c r="H45" i="6154"/>
  <c r="H12" i="6154"/>
  <c r="C24" i="6154"/>
  <c r="H47" i="6154"/>
  <c r="H7" i="6154"/>
  <c r="H13" i="6154"/>
  <c r="H39" i="6154"/>
  <c r="H41" i="6154"/>
  <c r="H23" i="6154"/>
  <c r="H4" i="6154"/>
  <c r="C26" i="6154"/>
  <c r="H51" i="6154"/>
  <c r="H16" i="6154"/>
  <c r="H32" i="6154"/>
  <c r="H40" i="6154"/>
  <c r="H46" i="6154"/>
  <c r="H3" i="6154"/>
  <c r="H8" i="6154"/>
  <c r="C20" i="6154"/>
  <c r="C25" i="6154"/>
  <c r="H33" i="6154"/>
  <c r="C39" i="6154"/>
  <c r="C45" i="6154"/>
  <c r="H30" i="6154"/>
  <c r="H36" i="6154"/>
  <c r="H42" i="6154"/>
  <c r="H48" i="6154"/>
  <c r="H21" i="6154"/>
  <c r="C22" i="6154"/>
  <c r="B27" i="6154"/>
  <c r="C41" i="6154"/>
  <c r="H49" i="6154"/>
  <c r="H18" i="6154"/>
  <c r="H27" i="6154"/>
  <c r="B28" i="6154"/>
  <c r="H38" i="6154"/>
  <c r="H43" i="6154"/>
  <c r="H50" i="6154"/>
  <c r="H6" i="6154"/>
  <c r="H15" i="6154"/>
  <c r="H22" i="6154"/>
  <c r="C23" i="6154"/>
  <c r="H31" i="6154"/>
  <c r="C37" i="6154"/>
  <c r="H44" i="6154"/>
  <c r="C49" i="6154"/>
  <c r="H24" i="6154"/>
  <c r="H26" i="6154"/>
  <c r="H29" i="6154"/>
  <c r="H14" i="6154"/>
  <c r="H37" i="6154"/>
  <c r="C40" i="6154"/>
  <c r="C44" i="6154"/>
  <c r="C48" i="6154"/>
  <c r="H28" i="6154"/>
  <c r="H10" i="6154"/>
  <c r="H34" i="6154"/>
  <c r="C38" i="6154"/>
  <c r="C42" i="6154"/>
  <c r="C46" i="6154"/>
  <c r="H17" i="6154"/>
  <c r="C43" i="6154"/>
  <c r="C47" i="6154"/>
  <c r="P17" i="6150"/>
  <c r="P15" i="6146"/>
  <c r="P16" i="6152" l="1"/>
  <c r="P15" i="6152"/>
  <c r="C35" i="6152"/>
  <c r="B30" i="6152"/>
  <c r="C21" i="6152"/>
  <c r="B20" i="6152"/>
  <c r="C49" i="6152" s="1"/>
  <c r="B19" i="6152"/>
  <c r="B29" i="6152" s="1"/>
  <c r="B18" i="6152"/>
  <c r="C18" i="6152" s="1"/>
  <c r="C17" i="6152"/>
  <c r="C16" i="6152"/>
  <c r="C15" i="6152"/>
  <c r="B13" i="6152"/>
  <c r="P12" i="6152"/>
  <c r="B12" i="6152"/>
  <c r="P11" i="6152"/>
  <c r="B11" i="6152"/>
  <c r="P10" i="6152"/>
  <c r="C10" i="6152"/>
  <c r="C9" i="6152"/>
  <c r="C8" i="6152"/>
  <c r="P7" i="6152"/>
  <c r="B7" i="6152"/>
  <c r="P6" i="6152"/>
  <c r="P5" i="6152"/>
  <c r="B5" i="6152"/>
  <c r="P4" i="6152"/>
  <c r="P3" i="6152"/>
  <c r="P2" i="6152"/>
  <c r="P16" i="6148"/>
  <c r="P15" i="6148"/>
  <c r="P16" i="6140"/>
  <c r="P15" i="6150"/>
  <c r="P18" i="6150"/>
  <c r="C35" i="6150"/>
  <c r="B30" i="6150"/>
  <c r="C21" i="6150"/>
  <c r="B20" i="6150"/>
  <c r="H52" i="6150" s="1"/>
  <c r="B19" i="6150"/>
  <c r="B29" i="6150" s="1"/>
  <c r="B18" i="6150"/>
  <c r="C18" i="6150" s="1"/>
  <c r="C17" i="6150"/>
  <c r="C16" i="6150"/>
  <c r="C15" i="6150"/>
  <c r="B13" i="6150"/>
  <c r="P12" i="6150"/>
  <c r="B12" i="6150"/>
  <c r="P11" i="6150"/>
  <c r="B11" i="6150"/>
  <c r="P10" i="6150"/>
  <c r="C10" i="6150"/>
  <c r="C9" i="6150"/>
  <c r="C8" i="6150"/>
  <c r="P7" i="6150"/>
  <c r="B7" i="6150"/>
  <c r="P6" i="6150"/>
  <c r="P5" i="6150"/>
  <c r="B5" i="6150"/>
  <c r="P4" i="6150"/>
  <c r="P3" i="6150"/>
  <c r="P2" i="6150"/>
  <c r="P15" i="6140"/>
  <c r="C19" i="6152" l="1"/>
  <c r="H9" i="6152"/>
  <c r="H21" i="6152"/>
  <c r="C19" i="6150"/>
  <c r="B14" i="6152"/>
  <c r="B27" i="6152"/>
  <c r="H32" i="6152"/>
  <c r="H38" i="6152"/>
  <c r="H42" i="6152"/>
  <c r="H18" i="6152"/>
  <c r="H46" i="6152"/>
  <c r="H5" i="6152"/>
  <c r="C20" i="6152"/>
  <c r="C23" i="6152"/>
  <c r="H50" i="6152"/>
  <c r="H12" i="6152"/>
  <c r="C38" i="6152"/>
  <c r="H51" i="6152"/>
  <c r="B28" i="6152"/>
  <c r="H39" i="6152"/>
  <c r="H47" i="6152"/>
  <c r="H22" i="6152"/>
  <c r="H26" i="6152"/>
  <c r="H29" i="6152"/>
  <c r="H35" i="6152"/>
  <c r="C39" i="6152"/>
  <c r="C43" i="6152"/>
  <c r="C47" i="6152"/>
  <c r="H52" i="6152"/>
  <c r="H13" i="6152"/>
  <c r="H16" i="6152"/>
  <c r="C25" i="6152"/>
  <c r="H40" i="6152"/>
  <c r="H44" i="6152"/>
  <c r="H48" i="6152"/>
  <c r="H25" i="6152"/>
  <c r="H33" i="6152"/>
  <c r="C42" i="6152"/>
  <c r="C46" i="6152"/>
  <c r="H7" i="6152"/>
  <c r="H10" i="6152"/>
  <c r="H15" i="6152"/>
  <c r="H19" i="6152"/>
  <c r="C24" i="6152"/>
  <c r="H34" i="6152"/>
  <c r="H43" i="6152"/>
  <c r="H4" i="6152"/>
  <c r="H6" i="6152"/>
  <c r="H8" i="6152"/>
  <c r="H20" i="6152"/>
  <c r="H23" i="6152"/>
  <c r="H27" i="6152"/>
  <c r="H30" i="6152"/>
  <c r="H36" i="6152"/>
  <c r="C40" i="6152"/>
  <c r="C44" i="6152"/>
  <c r="C48" i="6152"/>
  <c r="H2" i="6152"/>
  <c r="H17" i="6152"/>
  <c r="C22" i="6152"/>
  <c r="C26" i="6152"/>
  <c r="H37" i="6152"/>
  <c r="H41" i="6152"/>
  <c r="H45" i="6152"/>
  <c r="H49" i="6152"/>
  <c r="H3" i="6152"/>
  <c r="H11" i="6152"/>
  <c r="H14" i="6152"/>
  <c r="H24" i="6152"/>
  <c r="H28" i="6152"/>
  <c r="H31" i="6152"/>
  <c r="C37" i="6152"/>
  <c r="C41" i="6152"/>
  <c r="C45" i="6152"/>
  <c r="B14" i="6150"/>
  <c r="H23" i="6150"/>
  <c r="H7" i="6150"/>
  <c r="C25" i="6150"/>
  <c r="H18" i="6150"/>
  <c r="H36" i="6150"/>
  <c r="H29" i="6150"/>
  <c r="H11" i="6150"/>
  <c r="H37" i="6150"/>
  <c r="C40" i="6150"/>
  <c r="H41" i="6150"/>
  <c r="C26" i="6150"/>
  <c r="H12" i="6150"/>
  <c r="H16" i="6150"/>
  <c r="H20" i="6150"/>
  <c r="C44" i="6150"/>
  <c r="H6" i="6150"/>
  <c r="H21" i="6150"/>
  <c r="H5" i="6150"/>
  <c r="H45" i="6150"/>
  <c r="H4" i="6150"/>
  <c r="C20" i="6150"/>
  <c r="H8" i="6150"/>
  <c r="H15" i="6150"/>
  <c r="C22" i="6150"/>
  <c r="H31" i="6150"/>
  <c r="C48" i="6150"/>
  <c r="H30" i="6150"/>
  <c r="H9" i="6150"/>
  <c r="H17" i="6150"/>
  <c r="H2" i="6150"/>
  <c r="H22" i="6150"/>
  <c r="H25" i="6150"/>
  <c r="H27" i="6150"/>
  <c r="H49" i="6150"/>
  <c r="H40" i="6150"/>
  <c r="H44" i="6150"/>
  <c r="H48" i="6150"/>
  <c r="C37" i="6150"/>
  <c r="C41" i="6150"/>
  <c r="C45" i="6150"/>
  <c r="C49" i="6150"/>
  <c r="H24" i="6150"/>
  <c r="H14" i="6150"/>
  <c r="C23" i="6150"/>
  <c r="B27" i="6150"/>
  <c r="H32" i="6150"/>
  <c r="H38" i="6150"/>
  <c r="H42" i="6150"/>
  <c r="H46" i="6150"/>
  <c r="H50" i="6150"/>
  <c r="H28" i="6150"/>
  <c r="H10" i="6150"/>
  <c r="H33" i="6150"/>
  <c r="C38" i="6150"/>
  <c r="C42" i="6150"/>
  <c r="C46" i="6150"/>
  <c r="H51" i="6150"/>
  <c r="C24" i="6150"/>
  <c r="B28" i="6150"/>
  <c r="H34" i="6150"/>
  <c r="H39" i="6150"/>
  <c r="H43" i="6150"/>
  <c r="H47" i="6150"/>
  <c r="H3" i="6150"/>
  <c r="H26" i="6150"/>
  <c r="H13" i="6150"/>
  <c r="H19" i="6150"/>
  <c r="H35" i="6150"/>
  <c r="C39" i="6150"/>
  <c r="C43" i="6150"/>
  <c r="C47" i="6150"/>
  <c r="P18" i="6148" l="1"/>
  <c r="P16" i="6142"/>
  <c r="P16" i="6146"/>
  <c r="P17" i="6144"/>
  <c r="P20" i="6140"/>
  <c r="P19" i="6148"/>
  <c r="P20" i="6148"/>
  <c r="C35" i="6148"/>
  <c r="B30" i="6148"/>
  <c r="C21" i="6148"/>
  <c r="B20" i="6148"/>
  <c r="H24" i="6148" s="1"/>
  <c r="B19" i="6148"/>
  <c r="B29" i="6148" s="1"/>
  <c r="B18" i="6148"/>
  <c r="C18" i="6148" s="1"/>
  <c r="C17" i="6148"/>
  <c r="C16" i="6148"/>
  <c r="C15" i="6148"/>
  <c r="B13" i="6148"/>
  <c r="P12" i="6148"/>
  <c r="B12" i="6148"/>
  <c r="P11" i="6148"/>
  <c r="B11" i="6148"/>
  <c r="P10" i="6148"/>
  <c r="C10" i="6148"/>
  <c r="C9" i="6148"/>
  <c r="C8" i="6148"/>
  <c r="P7" i="6148"/>
  <c r="B7" i="6148"/>
  <c r="P6" i="6148"/>
  <c r="P5" i="6148"/>
  <c r="B5" i="6148"/>
  <c r="P4" i="6148"/>
  <c r="P3" i="6148"/>
  <c r="P2" i="6148"/>
  <c r="P18" i="6146"/>
  <c r="P17" i="6146"/>
  <c r="C35" i="6146"/>
  <c r="B30" i="6146"/>
  <c r="C21" i="6146"/>
  <c r="B20" i="6146"/>
  <c r="H52" i="6146" s="1"/>
  <c r="B19" i="6146"/>
  <c r="B29" i="6146" s="1"/>
  <c r="B18" i="6146"/>
  <c r="C18" i="6146" s="1"/>
  <c r="C17" i="6146"/>
  <c r="C16" i="6146"/>
  <c r="C15" i="6146"/>
  <c r="B13" i="6146"/>
  <c r="P12" i="6146"/>
  <c r="B12" i="6146"/>
  <c r="P11" i="6146"/>
  <c r="B11" i="6146"/>
  <c r="P10" i="6146"/>
  <c r="C10" i="6146"/>
  <c r="C9" i="6146"/>
  <c r="C8" i="6146"/>
  <c r="P7" i="6146"/>
  <c r="B7" i="6146"/>
  <c r="P6" i="6146"/>
  <c r="P5" i="6146"/>
  <c r="B5" i="6146"/>
  <c r="P4" i="6146"/>
  <c r="P3" i="6146"/>
  <c r="P2" i="6146"/>
  <c r="P15" i="6144"/>
  <c r="P16" i="6144"/>
  <c r="C35" i="6144"/>
  <c r="B30" i="6144"/>
  <c r="C21" i="6144"/>
  <c r="B20" i="6144"/>
  <c r="H51" i="6144" s="1"/>
  <c r="B19" i="6144"/>
  <c r="B29" i="6144" s="1"/>
  <c r="B18" i="6144"/>
  <c r="C18" i="6144" s="1"/>
  <c r="C17" i="6144"/>
  <c r="C16" i="6144"/>
  <c r="C15" i="6144"/>
  <c r="B13" i="6144"/>
  <c r="P12" i="6144"/>
  <c r="B12" i="6144"/>
  <c r="P11" i="6144"/>
  <c r="B11" i="6144"/>
  <c r="P10" i="6144"/>
  <c r="C10" i="6144"/>
  <c r="C9" i="6144"/>
  <c r="C8" i="6144"/>
  <c r="P7" i="6144"/>
  <c r="B7" i="6144"/>
  <c r="P6" i="6144"/>
  <c r="P5" i="6144"/>
  <c r="B5" i="6144"/>
  <c r="P4" i="6144"/>
  <c r="P3" i="6144"/>
  <c r="P2" i="6144"/>
  <c r="P17" i="6140"/>
  <c r="P15" i="6142"/>
  <c r="P17" i="6142"/>
  <c r="C35" i="6142"/>
  <c r="B30" i="6142"/>
  <c r="C21" i="6142"/>
  <c r="B20" i="6142"/>
  <c r="H5" i="6142" s="1"/>
  <c r="B19" i="6142"/>
  <c r="B29" i="6142" s="1"/>
  <c r="B18" i="6142"/>
  <c r="C18" i="6142" s="1"/>
  <c r="C17" i="6142"/>
  <c r="C16" i="6142"/>
  <c r="C15" i="6142"/>
  <c r="B13" i="6142"/>
  <c r="P12" i="6142"/>
  <c r="B12" i="6142"/>
  <c r="P11" i="6142"/>
  <c r="B11" i="6142"/>
  <c r="P10" i="6142"/>
  <c r="C10" i="6142"/>
  <c r="C9" i="6142"/>
  <c r="C8" i="6142"/>
  <c r="P7" i="6142"/>
  <c r="B7" i="6142"/>
  <c r="P6" i="6142"/>
  <c r="P5" i="6142"/>
  <c r="B5" i="6142"/>
  <c r="P4" i="6142"/>
  <c r="P3" i="6142"/>
  <c r="P2" i="6142"/>
  <c r="P19" i="6140"/>
  <c r="P21" i="6140"/>
  <c r="C35" i="6140"/>
  <c r="B30" i="6140"/>
  <c r="C21" i="6140"/>
  <c r="B20" i="6140"/>
  <c r="H24" i="6140" s="1"/>
  <c r="B19" i="6140"/>
  <c r="C19" i="6140" s="1"/>
  <c r="B18" i="6140"/>
  <c r="C18" i="6140" s="1"/>
  <c r="C17" i="6140"/>
  <c r="C16" i="6140"/>
  <c r="C15" i="6140"/>
  <c r="B13" i="6140"/>
  <c r="P12" i="6140"/>
  <c r="B12" i="6140"/>
  <c r="P11" i="6140"/>
  <c r="B11" i="6140"/>
  <c r="P10" i="6140"/>
  <c r="C10" i="6140"/>
  <c r="C9" i="6140"/>
  <c r="C8" i="6140"/>
  <c r="P7" i="6140"/>
  <c r="B7" i="6140"/>
  <c r="P6" i="6140"/>
  <c r="P5" i="6140"/>
  <c r="B5" i="6140"/>
  <c r="P4" i="6140"/>
  <c r="P3" i="6140"/>
  <c r="P2" i="6140"/>
  <c r="C19" i="6148" l="1"/>
  <c r="C19" i="6142"/>
  <c r="H22" i="6148"/>
  <c r="C45" i="6148"/>
  <c r="H4" i="6148"/>
  <c r="H5" i="6148"/>
  <c r="C19" i="6144"/>
  <c r="B14" i="6148"/>
  <c r="H46" i="6148"/>
  <c r="H32" i="6148"/>
  <c r="H21" i="6148"/>
  <c r="H28" i="6148"/>
  <c r="H36" i="6148"/>
  <c r="H25" i="6148"/>
  <c r="H37" i="6148"/>
  <c r="H3" i="6148"/>
  <c r="H15" i="6148"/>
  <c r="H17" i="6148"/>
  <c r="H11" i="6148"/>
  <c r="C22" i="6148"/>
  <c r="H44" i="6148"/>
  <c r="H12" i="6148"/>
  <c r="C44" i="6148"/>
  <c r="B29" i="6140"/>
  <c r="H9" i="6142"/>
  <c r="H16" i="6142"/>
  <c r="H6" i="6142"/>
  <c r="H21" i="6142"/>
  <c r="H13" i="6142"/>
  <c r="H31" i="6142"/>
  <c r="H40" i="6142"/>
  <c r="C19" i="6146"/>
  <c r="B14" i="6142"/>
  <c r="C40" i="6142"/>
  <c r="H2" i="6142"/>
  <c r="H14" i="6142"/>
  <c r="H15" i="6142"/>
  <c r="C47" i="6142"/>
  <c r="H25" i="6142"/>
  <c r="C45" i="6142"/>
  <c r="C25" i="6142"/>
  <c r="H35" i="6142"/>
  <c r="H41" i="6142"/>
  <c r="H48" i="6142"/>
  <c r="H4" i="6142"/>
  <c r="H11" i="6142"/>
  <c r="H18" i="6142"/>
  <c r="C20" i="6142"/>
  <c r="H27" i="6142"/>
  <c r="C41" i="6142"/>
  <c r="C48" i="6142"/>
  <c r="H10" i="6142"/>
  <c r="H24" i="6142"/>
  <c r="C26" i="6142"/>
  <c r="H36" i="6142"/>
  <c r="C43" i="6142"/>
  <c r="H49" i="6142"/>
  <c r="H8" i="6142"/>
  <c r="H28" i="6142"/>
  <c r="H37" i="6142"/>
  <c r="H44" i="6142"/>
  <c r="C49" i="6142"/>
  <c r="H3" i="6142"/>
  <c r="H7" i="6142"/>
  <c r="H20" i="6142"/>
  <c r="H23" i="6142"/>
  <c r="H17" i="6142"/>
  <c r="H29" i="6142"/>
  <c r="C37" i="6142"/>
  <c r="C44" i="6142"/>
  <c r="H52" i="6142"/>
  <c r="C22" i="6142"/>
  <c r="H30" i="6142"/>
  <c r="C39" i="6142"/>
  <c r="H45" i="6142"/>
  <c r="B14" i="6146"/>
  <c r="H37" i="6146"/>
  <c r="H7" i="6146"/>
  <c r="H45" i="6146"/>
  <c r="C20" i="6146"/>
  <c r="H8" i="6146"/>
  <c r="H30" i="6146"/>
  <c r="B14" i="6144"/>
  <c r="H10" i="6144"/>
  <c r="C37" i="6148"/>
  <c r="C48" i="6148"/>
  <c r="H10" i="6148"/>
  <c r="H27" i="6148"/>
  <c r="C26" i="6148"/>
  <c r="H40" i="6148"/>
  <c r="C49" i="6148"/>
  <c r="H33" i="6148"/>
  <c r="C39" i="6148"/>
  <c r="H51" i="6148"/>
  <c r="C20" i="6148"/>
  <c r="C40" i="6148"/>
  <c r="H6" i="6148"/>
  <c r="H7" i="6148"/>
  <c r="H13" i="6148"/>
  <c r="H26" i="6148"/>
  <c r="H14" i="6148"/>
  <c r="H16" i="6148"/>
  <c r="C23" i="6148"/>
  <c r="H34" i="6148"/>
  <c r="H38" i="6148"/>
  <c r="C41" i="6148"/>
  <c r="H48" i="6148"/>
  <c r="C24" i="6148"/>
  <c r="H18" i="6148"/>
  <c r="H39" i="6148"/>
  <c r="H43" i="6148"/>
  <c r="C47" i="6148"/>
  <c r="H9" i="6148"/>
  <c r="H19" i="6148"/>
  <c r="H29" i="6148"/>
  <c r="C25" i="6148"/>
  <c r="H20" i="6148"/>
  <c r="H23" i="6148"/>
  <c r="C43" i="6148"/>
  <c r="H50" i="6148"/>
  <c r="H2" i="6148"/>
  <c r="H30" i="6148"/>
  <c r="B27" i="6148"/>
  <c r="H42" i="6148"/>
  <c r="H47" i="6148"/>
  <c r="H52" i="6148"/>
  <c r="B28" i="6148"/>
  <c r="H41" i="6148"/>
  <c r="H45" i="6148"/>
  <c r="H49" i="6148"/>
  <c r="H31" i="6148"/>
  <c r="H8" i="6148"/>
  <c r="H35" i="6148"/>
  <c r="C38" i="6148"/>
  <c r="C42" i="6148"/>
  <c r="C46" i="6148"/>
  <c r="C26" i="6146"/>
  <c r="H36" i="6146"/>
  <c r="C44" i="6146"/>
  <c r="H18" i="6146"/>
  <c r="H25" i="6146"/>
  <c r="B28" i="6146"/>
  <c r="C37" i="6146"/>
  <c r="C45" i="6146"/>
  <c r="H5" i="6146"/>
  <c r="H6" i="6146"/>
  <c r="H13" i="6146"/>
  <c r="H14" i="6146"/>
  <c r="H20" i="6146"/>
  <c r="H39" i="6146"/>
  <c r="H47" i="6146"/>
  <c r="C22" i="6146"/>
  <c r="C40" i="6146"/>
  <c r="C48" i="6146"/>
  <c r="H3" i="6146"/>
  <c r="H22" i="6146"/>
  <c r="H26" i="6146"/>
  <c r="H28" i="6146"/>
  <c r="H32" i="6146"/>
  <c r="H41" i="6146"/>
  <c r="H49" i="6146"/>
  <c r="H2" i="6146"/>
  <c r="H10" i="6146"/>
  <c r="C24" i="6146"/>
  <c r="H34" i="6146"/>
  <c r="C41" i="6146"/>
  <c r="C49" i="6146"/>
  <c r="H24" i="6146"/>
  <c r="H19" i="6146"/>
  <c r="H43" i="6146"/>
  <c r="H4" i="6146"/>
  <c r="H17" i="6146"/>
  <c r="H23" i="6146"/>
  <c r="C25" i="6146"/>
  <c r="H40" i="6146"/>
  <c r="H44" i="6146"/>
  <c r="H48" i="6146"/>
  <c r="H9" i="6146"/>
  <c r="H15" i="6146"/>
  <c r="H16" i="6146"/>
  <c r="C23" i="6146"/>
  <c r="B27" i="6146"/>
  <c r="H33" i="6146"/>
  <c r="H38" i="6146"/>
  <c r="H42" i="6146"/>
  <c r="H46" i="6146"/>
  <c r="H50" i="6146"/>
  <c r="H29" i="6146"/>
  <c r="H11" i="6146"/>
  <c r="H21" i="6146"/>
  <c r="C38" i="6146"/>
  <c r="C42" i="6146"/>
  <c r="C46" i="6146"/>
  <c r="H51" i="6146"/>
  <c r="H27" i="6146"/>
  <c r="H12" i="6146"/>
  <c r="H31" i="6146"/>
  <c r="H35" i="6146"/>
  <c r="C39" i="6146"/>
  <c r="C43" i="6146"/>
  <c r="C47" i="6146"/>
  <c r="B14" i="6140"/>
  <c r="H6" i="6144"/>
  <c r="H8" i="6144"/>
  <c r="H12" i="6144"/>
  <c r="H25" i="6144"/>
  <c r="H30" i="6144"/>
  <c r="H39" i="6144"/>
  <c r="C45" i="6144"/>
  <c r="H3" i="6144"/>
  <c r="H17" i="6144"/>
  <c r="H18" i="6144"/>
  <c r="H14" i="6144"/>
  <c r="C23" i="6144"/>
  <c r="C39" i="6144"/>
  <c r="H46" i="6144"/>
  <c r="H15" i="6144"/>
  <c r="H32" i="6144"/>
  <c r="C40" i="6144"/>
  <c r="C47" i="6144"/>
  <c r="H7" i="6144"/>
  <c r="H22" i="6144"/>
  <c r="C20" i="6144"/>
  <c r="C25" i="6144"/>
  <c r="H34" i="6144"/>
  <c r="H41" i="6144"/>
  <c r="C48" i="6144"/>
  <c r="H4" i="6144"/>
  <c r="H19" i="6144"/>
  <c r="H24" i="6144"/>
  <c r="C26" i="6144"/>
  <c r="H35" i="6144"/>
  <c r="H42" i="6144"/>
  <c r="C49" i="6144"/>
  <c r="H2" i="6144"/>
  <c r="H9" i="6144"/>
  <c r="H28" i="6144"/>
  <c r="H43" i="6144"/>
  <c r="H50" i="6144"/>
  <c r="H23" i="6144"/>
  <c r="H13" i="6144"/>
  <c r="B27" i="6144"/>
  <c r="H37" i="6144"/>
  <c r="C44" i="6144"/>
  <c r="H5" i="6144"/>
  <c r="H21" i="6144"/>
  <c r="C22" i="6144"/>
  <c r="B28" i="6144"/>
  <c r="C37" i="6144"/>
  <c r="H45" i="6144"/>
  <c r="H52" i="6144"/>
  <c r="C24" i="6144"/>
  <c r="H29" i="6144"/>
  <c r="H36" i="6144"/>
  <c r="C41" i="6144"/>
  <c r="H47" i="6144"/>
  <c r="H16" i="6144"/>
  <c r="H20" i="6144"/>
  <c r="H27" i="6144"/>
  <c r="H31" i="6144"/>
  <c r="H38" i="6144"/>
  <c r="C43" i="6144"/>
  <c r="H49" i="6144"/>
  <c r="H40" i="6144"/>
  <c r="H44" i="6144"/>
  <c r="H48" i="6144"/>
  <c r="H26" i="6144"/>
  <c r="H11" i="6144"/>
  <c r="H33" i="6144"/>
  <c r="C38" i="6144"/>
  <c r="C42" i="6144"/>
  <c r="C46" i="6144"/>
  <c r="H7" i="6140"/>
  <c r="H11" i="6140"/>
  <c r="H30" i="6140"/>
  <c r="C23" i="6140"/>
  <c r="H27" i="6140"/>
  <c r="H39" i="6140"/>
  <c r="H43" i="6140"/>
  <c r="C47" i="6140"/>
  <c r="H3" i="6140"/>
  <c r="H14" i="6140"/>
  <c r="C24" i="6140"/>
  <c r="C37" i="6140"/>
  <c r="H44" i="6140"/>
  <c r="H49" i="6140"/>
  <c r="H6" i="6140"/>
  <c r="H9" i="6140"/>
  <c r="C20" i="6140"/>
  <c r="C25" i="6140"/>
  <c r="H22" i="6140"/>
  <c r="H40" i="6140"/>
  <c r="H45" i="6140"/>
  <c r="C49" i="6140"/>
  <c r="H16" i="6140"/>
  <c r="C43" i="6140"/>
  <c r="H4" i="6140"/>
  <c r="H19" i="6140"/>
  <c r="H32" i="6140"/>
  <c r="C26" i="6140"/>
  <c r="H23" i="6140"/>
  <c r="C39" i="6140"/>
  <c r="H46" i="6140"/>
  <c r="H51" i="6140"/>
  <c r="H21" i="6140"/>
  <c r="H29" i="6140"/>
  <c r="H2" i="6140"/>
  <c r="H8" i="6140"/>
  <c r="H20" i="6140"/>
  <c r="H35" i="6140"/>
  <c r="H36" i="6140"/>
  <c r="H41" i="6140"/>
  <c r="C45" i="6140"/>
  <c r="H5" i="6140"/>
  <c r="H12" i="6140"/>
  <c r="H13" i="6140"/>
  <c r="H25" i="6140"/>
  <c r="C22" i="6140"/>
  <c r="B27" i="6140"/>
  <c r="H37" i="6140"/>
  <c r="H42" i="6140"/>
  <c r="H47" i="6140"/>
  <c r="H52" i="6140"/>
  <c r="H50" i="6140"/>
  <c r="H18" i="6140"/>
  <c r="H33" i="6140"/>
  <c r="B28" i="6140"/>
  <c r="C41" i="6140"/>
  <c r="H48" i="6140"/>
  <c r="C23" i="6142"/>
  <c r="B27" i="6142"/>
  <c r="H32" i="6142"/>
  <c r="H38" i="6142"/>
  <c r="H42" i="6142"/>
  <c r="H46" i="6142"/>
  <c r="H50" i="6142"/>
  <c r="H26" i="6142"/>
  <c r="H12" i="6142"/>
  <c r="H33" i="6142"/>
  <c r="C38" i="6142"/>
  <c r="C42" i="6142"/>
  <c r="C46" i="6142"/>
  <c r="H51" i="6142"/>
  <c r="H19" i="6142"/>
  <c r="H22" i="6142"/>
  <c r="C24" i="6142"/>
  <c r="B28" i="6142"/>
  <c r="H34" i="6142"/>
  <c r="H39" i="6142"/>
  <c r="H43" i="6142"/>
  <c r="H47" i="6142"/>
  <c r="H31" i="6140"/>
  <c r="H15" i="6140"/>
  <c r="H26" i="6140"/>
  <c r="H17" i="6140"/>
  <c r="H38" i="6140"/>
  <c r="C40" i="6140"/>
  <c r="C44" i="6140"/>
  <c r="C48" i="6140"/>
  <c r="H34" i="6140"/>
  <c r="H10" i="6140"/>
  <c r="H28" i="6140"/>
  <c r="C38" i="6140"/>
  <c r="C42" i="6140"/>
  <c r="C46" i="614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<sst xmlns="http://schemas.openxmlformats.org/spreadsheetml/2006/main" count="2187" uniqueCount="235">
  <si>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</si>
  <si>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</si>
  <si>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</si>
  <si>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</si>
  <si>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</si>
  <si>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</si>
  <si>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</si>
  <si>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</si>
  <si>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</si>
  <si>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</si>
  <si>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</si>
  <si>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</si>
  <si>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</si>
  <si>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</si>
  <si>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</si>
  <si>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</si>
  <si>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</si>
  <si>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</si>
  <si>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</si>
  <si>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</si>
  <si>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</si>
  <si>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</si>
  <si>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</si>
  <si>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</si>
  <si>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</si>
  <si>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</si>
  <si>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</si>
  <si>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</si>
  <si>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</si>
  <si>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</si>
  <si>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</si>
  <si>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</si>
  <si>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</si>
  <si>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</si>
  <si>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</si>
  <si>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</si>
  <si>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</si>
  <si>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</si>
  <si>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</si>
  <si>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</si>
  <si>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</si>
  <si>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</si>
  <si>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</si>
  <si>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</si>
  <si>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</si>
  <si>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</si>
  <si>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</si>
  <si>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</si>
  <si>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</si>
  <si>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</si>
  <si>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</si>
  <si>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</si>
  <si>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</si>
  <si>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</si>
  <si>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</si>
  <si>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</si>
  <si>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</si>
  <si>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</si>
  <si>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</si>
  <si>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</si>
  <si>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</si>
  <si>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</si>
  <si>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</si>
  <si>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</si>
  <si>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</si>
  <si>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</si>
  <si>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</si>
  <si>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</si>
  <si>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</si>
  <si>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</si>
  <si>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</si>
  <si>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</si>
  <si>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</si>
  <si>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</si>
  <si>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</si>
  <si>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</si>
  <si>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</si>
  <si>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</si>
  <si>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</si>
  <si>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</si>
  <si>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</si>
  <si>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</si>
  <si>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</si>
  <si>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</si>
  <si>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</si>
  <si>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</si>
  <si>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</si>
  <si>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</si>
  <si>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</si>
  <si>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</si>
  <si>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</si>
  <si>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</si>
  <si>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</si>
  <si>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</si>
  <si>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</si>
  <si>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</si>
  <si>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</si>
  <si>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</si>
  <si>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</si>
  <si>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</si>
  <si>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</si>
  <si>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</si>
  <si>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</si>
  <si>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</si>
  <si>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</si>
  <si>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</si>
  <si>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</si>
  <si>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</si>
  <si>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</si>
  <si>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</si>
  <si>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</si>
  <si>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</si>
  <si>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</si>
  <si>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</si>
  <si>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</si>
  <si>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</si>
  <si>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</si>
  <si>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</si>
  <si>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</si>
  <si>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</si>
  <si>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</si>
  <si>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</si>
  <si>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</si>
  <si>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</si>
  <si>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</si>
  <si>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</si>
  <si>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</si>
  <si>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</si>
  <si>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</si>
  <si>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</si>
  <si>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</si>
  <si>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</si>
  <si>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</si>
  <si>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</si>
  <si>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</si>
  <si>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</si>
  <si>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</si>
  <si>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</si>
  <si>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</si>
  <si>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</si>
  <si>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</si>
  <si>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</si>
  <si>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</si>
  <si>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</si>
  <si>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</si>
  <si>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</si>
  <si>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</si>
  <si>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</si>
  <si>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</si>
  <si>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</si>
  <si>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</si>
  <si>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</si>
  <si>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</si>
  <si>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</si>
  <si>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</si>
  <si>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</si>
  <si>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</si>
  <si>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</si>
  <si>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</si>
  <si>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</si>
  <si>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</si>
  <si>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</si>
  <si>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</si>
  <si>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</si>
  <si>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</si>
  <si>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</si>
  <si>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</si>
  <si>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</si>
  <si>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</si>
  <si>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</si>
  <si>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</si>
  <si>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</si>
  <si>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</si>
  <si>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</si>
  <si>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</si>
  <si>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</si>
  <si>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</si>
  <si>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</si>
  <si>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</si>
  <si>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</si>
  <si>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</si>
  <si>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</si>
  <si>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</si>
  <si>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</si>
  <si>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</si>
  <si>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</si>
  <si>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</si>
  <si>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</si>
  <si>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</si>
  <si>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</si>
  <si>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</si>
  <si>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</si>
  <si>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</si>
  <si>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</si>
  <si>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</si>
  <si>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</si>
  <si>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</si>
  <si>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</si>
  <si>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</si>
  <si>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</si>
  <si>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</si>
  <si>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</si>
  <si>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</si>
  <si>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</si>
  <si>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</si>
  <si>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</si>
  <si>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</si>
  <si>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</si>
  <si>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</si>
  <si>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</si>
  <si>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</si>
  <si>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</si>
  <si>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</si>
  <si>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</si>
  <si>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</si>
  <si>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</si>
  <si>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</si>
  <si>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</si>
  <si>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</si>
  <si>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</si>
  <si>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</si>
  <si>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</si>
  <si>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2023-10-22@Kohama.xlsm</t>
  </si>
  <si>
    <t>2023-03-04@Ina.xlsm</t>
  </si>
  <si>
    <t>Sheet12</t>
  </si>
  <si>
    <t>Sheet13</t>
  </si>
  <si>
    <t>Sheet14</t>
  </si>
  <si>
    <t>Sheet15</t>
  </si>
  <si>
    <t>Sheet16</t>
  </si>
  <si>
    <t>Sheet17</t>
  </si>
  <si>
    <t>2023-05-02@AllStar.xlsm</t>
  </si>
  <si>
    <t>2023-08-13@Kohama.xlsm</t>
  </si>
  <si>
    <t>2024-01-04@Kohama.xlsm</t>
  </si>
  <si>
    <t>2024-04-28@Kohama.xlsm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</si>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</sst>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全体!$L$2:$L$191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  <c:pt idx="100">
                  <c:v>31.499999999999979</c:v>
                </c:pt>
                <c:pt idx="101">
                  <c:v>-8.9000000000000199</c:v>
                </c:pt>
                <c:pt idx="102">
                  <c:v>-1.9539925233402755E-14</c:v>
                </c:pt>
                <c:pt idx="103">
                  <c:v>30.199999999999982</c:v>
                </c:pt>
                <c:pt idx="104">
                  <c:v>26.499999999999982</c:v>
                </c:pt>
                <c:pt idx="105">
                  <c:v>-1.7763568394002505E-14</c:v>
                </c:pt>
                <c:pt idx="106">
                  <c:v>-33.800000000000011</c:v>
                </c:pt>
                <c:pt idx="107">
                  <c:v>-6.6000000000000121</c:v>
                </c:pt>
                <c:pt idx="108">
                  <c:v>-1.2434497875801753E-14</c:v>
                </c:pt>
                <c:pt idx="109">
                  <c:v>68.399999999999991</c:v>
                </c:pt>
                <c:pt idx="110">
                  <c:v>55.79999999999999</c:v>
                </c:pt>
                <c:pt idx="111">
                  <c:v>-7.1054273576010019E-15</c:v>
                </c:pt>
                <c:pt idx="112">
                  <c:v>-45.300000000000004</c:v>
                </c:pt>
                <c:pt idx="113">
                  <c:v>-40.6</c:v>
                </c:pt>
                <c:pt idx="114">
                  <c:v>0</c:v>
                </c:pt>
                <c:pt idx="115">
                  <c:v>-30.1</c:v>
                </c:pt>
                <c:pt idx="116">
                  <c:v>-36.1</c:v>
                </c:pt>
                <c:pt idx="117">
                  <c:v>0</c:v>
                </c:pt>
                <c:pt idx="118">
                  <c:v>34</c:v>
                </c:pt>
                <c:pt idx="119">
                  <c:v>0.89999999999999858</c:v>
                </c:pt>
                <c:pt idx="120">
                  <c:v>-1.4432899320127035E-15</c:v>
                </c:pt>
                <c:pt idx="121">
                  <c:v>-32</c:v>
                </c:pt>
                <c:pt idx="122">
                  <c:v>-29.2</c:v>
                </c:pt>
                <c:pt idx="123">
                  <c:v>0</c:v>
                </c:pt>
                <c:pt idx="124">
                  <c:v>7.2</c:v>
                </c:pt>
                <c:pt idx="125">
                  <c:v>-49.599999999999994</c:v>
                </c:pt>
                <c:pt idx="126">
                  <c:v>7.1054273576010019E-15</c:v>
                </c:pt>
                <c:pt idx="127">
                  <c:v>16.300000000000008</c:v>
                </c:pt>
                <c:pt idx="128">
                  <c:v>59.900000000000006</c:v>
                </c:pt>
                <c:pt idx="129">
                  <c:v>7.1054273576010019E-15</c:v>
                </c:pt>
                <c:pt idx="130">
                  <c:v>-30.799999999999994</c:v>
                </c:pt>
                <c:pt idx="131">
                  <c:v>-38.399999999999991</c:v>
                </c:pt>
                <c:pt idx="132">
                  <c:v>7.1054273576010019E-15</c:v>
                </c:pt>
                <c:pt idx="133">
                  <c:v>-99.4</c:v>
                </c:pt>
                <c:pt idx="134">
                  <c:v>-129.30000000000001</c:v>
                </c:pt>
                <c:pt idx="135">
                  <c:v>0</c:v>
                </c:pt>
                <c:pt idx="136">
                  <c:v>-58.1</c:v>
                </c:pt>
                <c:pt idx="137">
                  <c:v>7.6000000000000014</c:v>
                </c:pt>
                <c:pt idx="138">
                  <c:v>1.7763568394002505E-15</c:v>
                </c:pt>
                <c:pt idx="139">
                  <c:v>1.0000000000000018</c:v>
                </c:pt>
                <c:pt idx="140">
                  <c:v>35.299999999999997</c:v>
                </c:pt>
                <c:pt idx="141">
                  <c:v>0</c:v>
                </c:pt>
                <c:pt idx="142">
                  <c:v>-48</c:v>
                </c:pt>
                <c:pt idx="143">
                  <c:v>-1.2000000000000028</c:v>
                </c:pt>
                <c:pt idx="144">
                  <c:v>-2.886579864025407E-15</c:v>
                </c:pt>
                <c:pt idx="145">
                  <c:v>-0.40000000000000291</c:v>
                </c:pt>
                <c:pt idx="146">
                  <c:v>37.799999999999997</c:v>
                </c:pt>
                <c:pt idx="147">
                  <c:v>0</c:v>
                </c:pt>
                <c:pt idx="148">
                  <c:v>-5.8</c:v>
                </c:pt>
                <c:pt idx="149">
                  <c:v>52.7</c:v>
                </c:pt>
                <c:pt idx="150">
                  <c:v>0</c:v>
                </c:pt>
                <c:pt idx="151">
                  <c:v>-2.5</c:v>
                </c:pt>
                <c:pt idx="152">
                  <c:v>-26.4</c:v>
                </c:pt>
                <c:pt idx="153">
                  <c:v>0</c:v>
                </c:pt>
                <c:pt idx="154">
                  <c:v>61.8</c:v>
                </c:pt>
                <c:pt idx="155">
                  <c:v>-12</c:v>
                </c:pt>
                <c:pt idx="156">
                  <c:v>0</c:v>
                </c:pt>
                <c:pt idx="157">
                  <c:v>-27.1</c:v>
                </c:pt>
                <c:pt idx="158">
                  <c:v>-29.700000000000003</c:v>
                </c:pt>
                <c:pt idx="159">
                  <c:v>-3.5527136788005009E-15</c:v>
                </c:pt>
                <c:pt idx="160">
                  <c:v>-27.500000000000004</c:v>
                </c:pt>
                <c:pt idx="161">
                  <c:v>-27.600000000000005</c:v>
                </c:pt>
                <c:pt idx="162">
                  <c:v>-3.5527136788005009E-15</c:v>
                </c:pt>
                <c:pt idx="163">
                  <c:v>45.7</c:v>
                </c:pt>
                <c:pt idx="164">
                  <c:v>-17.699999999999996</c:v>
                </c:pt>
                <c:pt idx="165">
                  <c:v>3.5527136788005009E-15</c:v>
                </c:pt>
                <c:pt idx="166">
                  <c:v>-40.799999999999997</c:v>
                </c:pt>
                <c:pt idx="167">
                  <c:v>-47.5</c:v>
                </c:pt>
                <c:pt idx="168">
                  <c:v>0</c:v>
                </c:pt>
                <c:pt idx="169">
                  <c:v>-2.2999999999999998</c:v>
                </c:pt>
                <c:pt idx="170">
                  <c:v>-59</c:v>
                </c:pt>
                <c:pt idx="171">
                  <c:v>0</c:v>
                </c:pt>
                <c:pt idx="172">
                  <c:v>-10.9</c:v>
                </c:pt>
                <c:pt idx="173">
                  <c:v>-58.9</c:v>
                </c:pt>
                <c:pt idx="174">
                  <c:v>0</c:v>
                </c:pt>
                <c:pt idx="175">
                  <c:v>68.7</c:v>
                </c:pt>
                <c:pt idx="176">
                  <c:v>68.2</c:v>
                </c:pt>
                <c:pt idx="177">
                  <c:v>0</c:v>
                </c:pt>
                <c:pt idx="178">
                  <c:v>26.5</c:v>
                </c:pt>
                <c:pt idx="179">
                  <c:v>26</c:v>
                </c:pt>
                <c:pt idx="180">
                  <c:v>0</c:v>
                </c:pt>
                <c:pt idx="181">
                  <c:v>-21.6</c:v>
                </c:pt>
                <c:pt idx="182">
                  <c:v>-87.199999999999989</c:v>
                </c:pt>
                <c:pt idx="183">
                  <c:v>1.4210854715202004E-14</c:v>
                </c:pt>
                <c:pt idx="184">
                  <c:v>-24.799999999999986</c:v>
                </c:pt>
                <c:pt idx="185">
                  <c:v>3.6000000000000121</c:v>
                </c:pt>
                <c:pt idx="186">
                  <c:v>1.1990408665951691E-14</c:v>
                </c:pt>
                <c:pt idx="187">
                  <c:v>-61.099999999999987</c:v>
                </c:pt>
                <c:pt idx="188">
                  <c:v>25.20000000000001</c:v>
                </c:pt>
                <c:pt idx="189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74-457E-92F2-5796D4CC0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-26.455026455026456</c:v>
                </c:pt>
                <c:pt idx="1">
                  <c:v>10.75268817204301</c:v>
                </c:pt>
                <c:pt idx="2">
                  <c:v>5.4644808743169397</c:v>
                </c:pt>
                <c:pt idx="3">
                  <c:v>-5.6497175141242941</c:v>
                </c:pt>
                <c:pt idx="4">
                  <c:v>0</c:v>
                </c:pt>
                <c:pt idx="5">
                  <c:v>21.276595744680851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F-4F9B-A6E0-656CA19B3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24</c:v>
                </c:pt>
                <c:pt idx="1">
                  <c:v>78</c:v>
                </c:pt>
                <c:pt idx="2">
                  <c:v>95</c:v>
                </c:pt>
                <c:pt idx="3">
                  <c:v>94</c:v>
                </c:pt>
                <c:pt idx="4">
                  <c:v>74</c:v>
                </c:pt>
                <c:pt idx="5">
                  <c:v>47</c:v>
                </c:pt>
                <c:pt idx="6">
                  <c:v>28</c:v>
                </c:pt>
                <c:pt idx="7">
                  <c:v>17</c:v>
                </c:pt>
                <c:pt idx="8">
                  <c:v>4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A-4937-AAE1-F34B0253B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全体!$M$2:$M$191</c:f>
              <c:numCache>
                <c:formatCode>0</c:formatCode>
                <c:ptCount val="190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  <c:pt idx="100">
                  <c:v>1608.4757689425685</c:v>
                </c:pt>
                <c:pt idx="101">
                  <c:v>1601.4889143289131</c:v>
                </c:pt>
                <c:pt idx="102">
                  <c:v>1603.4179808429396</c:v>
                </c:pt>
                <c:pt idx="103">
                  <c:v>1609.1694729578819</c:v>
                </c:pt>
                <c:pt idx="104">
                  <c:v>1608.7844561201346</c:v>
                </c:pt>
                <c:pt idx="105">
                  <c:v>1604.2977493834137</c:v>
                </c:pt>
                <c:pt idx="106">
                  <c:v>1598.5239628871132</c:v>
                </c:pt>
                <c:pt idx="107">
                  <c:v>1603.7648191097906</c:v>
                </c:pt>
                <c:pt idx="108">
                  <c:v>1605.2662301951318</c:v>
                </c:pt>
                <c:pt idx="109">
                  <c:v>1617.882632813961</c:v>
                </c:pt>
                <c:pt idx="110">
                  <c:v>1615.8433370170771</c:v>
                </c:pt>
                <c:pt idx="111">
                  <c:v>1606.0402769949746</c:v>
                </c:pt>
                <c:pt idx="112">
                  <c:v>1598.1860353330048</c:v>
                </c:pt>
                <c:pt idx="113">
                  <c:v>1599.3789191210069</c:v>
                </c:pt>
                <c:pt idx="114">
                  <c:v>1607.0266456062809</c:v>
                </c:pt>
                <c:pt idx="115">
                  <c:v>1601.9024857326433</c:v>
                </c:pt>
                <c:pt idx="116">
                  <c:v>1601.1470708182474</c:v>
                </c:pt>
                <c:pt idx="117">
                  <c:v>1607.974188393338</c:v>
                </c:pt>
                <c:pt idx="118">
                  <c:v>1614.3823432629779</c:v>
                </c:pt>
                <c:pt idx="119">
                  <c:v>1608.6740492034</c:v>
                </c:pt>
                <c:pt idx="120">
                  <c:v>1608.7960049081796</c:v>
                </c:pt>
                <c:pt idx="121">
                  <c:v>1603.3192288787304</c:v>
                </c:pt>
                <c:pt idx="122">
                  <c:v>1604.1393135054579</c:v>
                </c:pt>
                <c:pt idx="123">
                  <c:v>1609.7064776244251</c:v>
                </c:pt>
                <c:pt idx="124">
                  <c:v>1611.2802387586785</c:v>
                </c:pt>
                <c:pt idx="125">
                  <c:v>1601.3245573261265</c:v>
                </c:pt>
                <c:pt idx="126">
                  <c:v>1610.5806099821698</c:v>
                </c:pt>
                <c:pt idx="127">
                  <c:v>1613.7871263222767</c:v>
                </c:pt>
                <c:pt idx="128">
                  <c:v>1621.888403564343</c:v>
                </c:pt>
                <c:pt idx="129">
                  <c:v>1611.311073142957</c:v>
                </c:pt>
                <c:pt idx="130">
                  <c:v>1606.0352067040992</c:v>
                </c:pt>
                <c:pt idx="131">
                  <c:v>1604.9669954638746</c:v>
                </c:pt>
                <c:pt idx="132">
                  <c:v>1612.1851934910912</c:v>
                </c:pt>
                <c:pt idx="133">
                  <c:v>1594.1600823301446</c:v>
                </c:pt>
                <c:pt idx="134">
                  <c:v>1588.7531218361637</c:v>
                </c:pt>
                <c:pt idx="135">
                  <c:v>1612.0346031051467</c:v>
                </c:pt>
                <c:pt idx="136">
                  <c:v>1601.4443954865158</c:v>
                </c:pt>
                <c:pt idx="137">
                  <c:v>1613.2017291135967</c:v>
                </c:pt>
                <c:pt idx="138">
                  <c:v>1611.6945187389151</c:v>
                </c:pt>
                <c:pt idx="139">
                  <c:v>1611.7443516264816</c:v>
                </c:pt>
                <c:pt idx="140">
                  <c:v>1617.7878855167228</c:v>
                </c:pt>
                <c:pt idx="141">
                  <c:v>1611.2671582036226</c:v>
                </c:pt>
                <c:pt idx="142">
                  <c:v>1602.4995552544008</c:v>
                </c:pt>
                <c:pt idx="143">
                  <c:v>1610.8485579228743</c:v>
                </c:pt>
                <c:pt idx="144">
                  <c:v>1610.9394665753371</c:v>
                </c:pt>
                <c:pt idx="145">
                  <c:v>1610.741829775885</c:v>
                </c:pt>
                <c:pt idx="146">
                  <c:v>1617.4933787972298</c:v>
                </c:pt>
                <c:pt idx="147">
                  <c:v>1610.5244185244464</c:v>
                </c:pt>
                <c:pt idx="148">
                  <c:v>1609.3512720132999</c:v>
                </c:pt>
                <c:pt idx="149">
                  <c:v>1619.75916438122</c:v>
                </c:pt>
                <c:pt idx="150">
                  <c:v>1610.0886093949327</c:v>
                </c:pt>
                <c:pt idx="151">
                  <c:v>1609.5180777385631</c:v>
                </c:pt>
                <c:pt idx="152">
                  <c:v>1605.0989692721316</c:v>
                </c:pt>
                <c:pt idx="153">
                  <c:v>1609.7603754564989</c:v>
                </c:pt>
                <c:pt idx="154">
                  <c:v>1620.62181320376</c:v>
                </c:pt>
                <c:pt idx="155">
                  <c:v>1607.0100823245375</c:v>
                </c:pt>
                <c:pt idx="156">
                  <c:v>1608.9240218305904</c:v>
                </c:pt>
                <c:pt idx="157">
                  <c:v>1603.8904776996069</c:v>
                </c:pt>
                <c:pt idx="158">
                  <c:v>1603.2971348334092</c:v>
                </c:pt>
                <c:pt idx="159">
                  <c:v>1608.5213520244088</c:v>
                </c:pt>
                <c:pt idx="160">
                  <c:v>1603.4182239122624</c:v>
                </c:pt>
                <c:pt idx="161">
                  <c:v>1603.277714568789</c:v>
                </c:pt>
                <c:pt idx="162">
                  <c:v>1608.1240482813762</c:v>
                </c:pt>
                <c:pt idx="163">
                  <c:v>1616.1993039916879</c:v>
                </c:pt>
                <c:pt idx="164">
                  <c:v>1604.5881081677378</c:v>
                </c:pt>
                <c:pt idx="165">
                  <c:v>1607.6445795187315</c:v>
                </c:pt>
                <c:pt idx="166">
                  <c:v>1600.152712041619</c:v>
                </c:pt>
                <c:pt idx="167">
                  <c:v>1598.8437957693693</c:v>
                </c:pt>
                <c:pt idx="168">
                  <c:v>1607.298732994753</c:v>
                </c:pt>
                <c:pt idx="169">
                  <c:v>1606.7389405967845</c:v>
                </c:pt>
                <c:pt idx="170">
                  <c:v>1596.3905069532038</c:v>
                </c:pt>
                <c:pt idx="171">
                  <c:v>1606.9301639114847</c:v>
                </c:pt>
                <c:pt idx="172">
                  <c:v>1604.8245829280158</c:v>
                </c:pt>
                <c:pt idx="173">
                  <c:v>1596.0536354304477</c:v>
                </c:pt>
                <c:pt idx="174">
                  <c:v>1606.577313617865</c:v>
                </c:pt>
                <c:pt idx="175">
                  <c:v>1618.8018497361579</c:v>
                </c:pt>
                <c:pt idx="176">
                  <c:v>1618.4970386377411</c:v>
                </c:pt>
                <c:pt idx="177">
                  <c:v>1606.0080564059147</c:v>
                </c:pt>
                <c:pt idx="178">
                  <c:v>1610.6400080674791</c:v>
                </c:pt>
                <c:pt idx="179">
                  <c:v>1610.3841680190742</c:v>
                </c:pt>
                <c:pt idx="180">
                  <c:v>1605.5398630109598</c:v>
                </c:pt>
                <c:pt idx="181">
                  <c:v>1601.5166238328941</c:v>
                </c:pt>
                <c:pt idx="182">
                  <c:v>1589.5975240898968</c:v>
                </c:pt>
                <c:pt idx="183">
                  <c:v>1605.2539389453573</c:v>
                </c:pt>
                <c:pt idx="184">
                  <c:v>1600.6564153116851</c:v>
                </c:pt>
                <c:pt idx="185">
                  <c:v>1605.6624768198151</c:v>
                </c:pt>
                <c:pt idx="186">
                  <c:v>1604.8785019588961</c:v>
                </c:pt>
                <c:pt idx="187">
                  <c:v>1593.7492309471427</c:v>
                </c:pt>
                <c:pt idx="188">
                  <c:v>1609.2187355614599</c:v>
                </c:pt>
                <c:pt idx="189">
                  <c:v>1604.525423148091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E-4EC7-A63F-B66C4A503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  <c:pt idx="14">
                  <c:v>-111.7</c:v>
                </c:pt>
                <c:pt idx="15">
                  <c:v>-138.19999999999999</c:v>
                </c:pt>
                <c:pt idx="16">
                  <c:v>-131.6</c:v>
                </c:pt>
                <c:pt idx="17">
                  <c:v>-187.39999999999998</c:v>
                </c:pt>
                <c:pt idx="18">
                  <c:v>-146.79999999999998</c:v>
                </c:pt>
                <c:pt idx="19">
                  <c:v>-110.69999999999999</c:v>
                </c:pt>
                <c:pt idx="20">
                  <c:v>-111.6</c:v>
                </c:pt>
                <c:pt idx="21">
                  <c:v>-82.399999999999991</c:v>
                </c:pt>
                <c:pt idx="22">
                  <c:v>-32.79999999999999</c:v>
                </c:pt>
                <c:pt idx="23">
                  <c:v>-92.699999999999989</c:v>
                </c:pt>
                <c:pt idx="24">
                  <c:v>-54.29999999999999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0-4659-8EFB-0DD15FCD2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737.5</c:v>
                </c:pt>
                <c:pt idx="1">
                  <c:v>-1769.5652173913043</c:v>
                </c:pt>
                <c:pt idx="2">
                  <c:v>-865.21739130434787</c:v>
                </c:pt>
                <c:pt idx="3">
                  <c:v>-3663.6363636363635</c:v>
                </c:pt>
                <c:pt idx="4">
                  <c:v>2985.7142857142858</c:v>
                </c:pt>
                <c:pt idx="5">
                  <c:v>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7E-4BA2-B8B7-98B22FCA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13</c:v>
                </c:pt>
                <c:pt idx="3">
                  <c:v>11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2-410E-9B68-CC1D9C611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れんたろう!$M$2:$M$26</c:f>
              <c:numCache>
                <c:formatCode>0</c:formatCode>
                <c:ptCount val="25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  <c:pt idx="14">
                  <c:v>1575.8017917770869</c:v>
                </c:pt>
                <c:pt idx="15">
                  <c:v>1571.5129810264243</c:v>
                </c:pt>
                <c:pt idx="16">
                  <c:v>1573.2079031402657</c:v>
                </c:pt>
                <c:pt idx="17">
                  <c:v>1563.6606557214241</c:v>
                </c:pt>
                <c:pt idx="18">
                  <c:v>1571.5226917870955</c:v>
                </c:pt>
                <c:pt idx="19">
                  <c:v>1578.5275556363729</c:v>
                </c:pt>
                <c:pt idx="20">
                  <c:v>1578.8303903025546</c:v>
                </c:pt>
                <c:pt idx="21">
                  <c:v>1584.5494079607392</c:v>
                </c:pt>
                <c:pt idx="22">
                  <c:v>1593.9061115129748</c:v>
                </c:pt>
                <c:pt idx="23">
                  <c:v>1583.4966748438969</c:v>
                </c:pt>
                <c:pt idx="24">
                  <c:v>1590.8436947948335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4-40D8-9F53-61A3E083E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E-4FBC-BEE1-1BDF3ABA0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B-494C-BE77-32C786F07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C5-45B2-A477-455903573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1-4F3A-9745-F62CE378B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  <c:pt idx="20">
                  <c:v>-122</c:v>
                </c:pt>
                <c:pt idx="21">
                  <c:v>-91.8</c:v>
                </c:pt>
                <c:pt idx="22">
                  <c:v>-125.6</c:v>
                </c:pt>
                <c:pt idx="23">
                  <c:v>-57.199999999999989</c:v>
                </c:pt>
                <c:pt idx="24">
                  <c:v>-102.49999999999999</c:v>
                </c:pt>
                <c:pt idx="25">
                  <c:v>-132.6</c:v>
                </c:pt>
                <c:pt idx="26">
                  <c:v>-98.6</c:v>
                </c:pt>
                <c:pt idx="27">
                  <c:v>-130.6</c:v>
                </c:pt>
                <c:pt idx="28">
                  <c:v>-123.39999999999999</c:v>
                </c:pt>
                <c:pt idx="29">
                  <c:v>-107.1</c:v>
                </c:pt>
                <c:pt idx="30">
                  <c:v>-137.9</c:v>
                </c:pt>
                <c:pt idx="31">
                  <c:v>-167.8</c:v>
                </c:pt>
                <c:pt idx="32">
                  <c:v>-102.10000000000001</c:v>
                </c:pt>
                <c:pt idx="33">
                  <c:v>-67.800000000000011</c:v>
                </c:pt>
                <c:pt idx="34">
                  <c:v>-21.000000000000014</c:v>
                </c:pt>
                <c:pt idx="35">
                  <c:v>17.199999999999989</c:v>
                </c:pt>
                <c:pt idx="36">
                  <c:v>75.699999999999989</c:v>
                </c:pt>
                <c:pt idx="37">
                  <c:v>51.79999999999999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9-4513-B430-270A9DFB7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-332.43243243243245</c:v>
                </c:pt>
                <c:pt idx="1">
                  <c:v>2263.8888888888887</c:v>
                </c:pt>
                <c:pt idx="2">
                  <c:v>-744.44444444444446</c:v>
                </c:pt>
                <c:pt idx="3">
                  <c:v>3760</c:v>
                </c:pt>
                <c:pt idx="4">
                  <c:v>-2343.75</c:v>
                </c:pt>
                <c:pt idx="5">
                  <c:v>-628.57142857142856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E-4513-A7FF-4C21BAF4A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5</c:v>
                </c:pt>
                <c:pt idx="1">
                  <c:v>21</c:v>
                </c:pt>
                <c:pt idx="2">
                  <c:v>32</c:v>
                </c:pt>
                <c:pt idx="3">
                  <c:v>19</c:v>
                </c:pt>
                <c:pt idx="4">
                  <c:v>17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8-448E-A025-646558358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ただ!$M$2:$M$39</c:f>
              <c:numCache>
                <c:formatCode>0</c:formatCode>
                <c:ptCount val="38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  <c:pt idx="20">
                  <c:v>1530.804913729499</c:v>
                </c:pt>
                <c:pt idx="21">
                  <c:v>1536.992084247122</c:v>
                </c:pt>
                <c:pt idx="22">
                  <c:v>1531.6221317416391</c:v>
                </c:pt>
                <c:pt idx="23">
                  <c:v>1544.6803989511893</c:v>
                </c:pt>
                <c:pt idx="24">
                  <c:v>1537.1943165574821</c:v>
                </c:pt>
                <c:pt idx="25">
                  <c:v>1532.4891506581373</c:v>
                </c:pt>
                <c:pt idx="26">
                  <c:v>1539.3502157541884</c:v>
                </c:pt>
                <c:pt idx="27">
                  <c:v>1534.2901144596633</c:v>
                </c:pt>
                <c:pt idx="28">
                  <c:v>1536.3163737729053</c:v>
                </c:pt>
                <c:pt idx="29">
                  <c:v>1539.9684755302678</c:v>
                </c:pt>
                <c:pt idx="30">
                  <c:v>1535.1206646770863</c:v>
                </c:pt>
                <c:pt idx="31">
                  <c:v>1530.0679406890238</c:v>
                </c:pt>
                <c:pt idx="32">
                  <c:v>1542.2535330448895</c:v>
                </c:pt>
                <c:pt idx="33">
                  <c:v>1548.7140118466202</c:v>
                </c:pt>
                <c:pt idx="34">
                  <c:v>1557.3857277755405</c:v>
                </c:pt>
                <c:pt idx="35">
                  <c:v>1564.4574134088873</c:v>
                </c:pt>
                <c:pt idx="36">
                  <c:v>1575.1346689284339</c:v>
                </c:pt>
                <c:pt idx="37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08-46A2-BECC-7DC2210C7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だいち!$L$2:$L$59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  <c:pt idx="28">
                  <c:v>314.19999999999993</c:v>
                </c:pt>
                <c:pt idx="29">
                  <c:v>310.49999999999994</c:v>
                </c:pt>
                <c:pt idx="30">
                  <c:v>337.69999999999993</c:v>
                </c:pt>
                <c:pt idx="31">
                  <c:v>325.09999999999991</c:v>
                </c:pt>
                <c:pt idx="32">
                  <c:v>329.7999999999999</c:v>
                </c:pt>
                <c:pt idx="33">
                  <c:v>323.7999999999999</c:v>
                </c:pt>
                <c:pt idx="34">
                  <c:v>290.69999999999987</c:v>
                </c:pt>
                <c:pt idx="35">
                  <c:v>293.49999999999989</c:v>
                </c:pt>
                <c:pt idx="36">
                  <c:v>236.69999999999987</c:v>
                </c:pt>
                <c:pt idx="37">
                  <c:v>280.2999999999999</c:v>
                </c:pt>
                <c:pt idx="38">
                  <c:v>272.69999999999987</c:v>
                </c:pt>
                <c:pt idx="39">
                  <c:v>401.99999999999989</c:v>
                </c:pt>
                <c:pt idx="40">
                  <c:v>394.39999999999986</c:v>
                </c:pt>
                <c:pt idx="41">
                  <c:v>359.09999999999985</c:v>
                </c:pt>
                <c:pt idx="42">
                  <c:v>360.29999999999984</c:v>
                </c:pt>
                <c:pt idx="43">
                  <c:v>322.49999999999983</c:v>
                </c:pt>
                <c:pt idx="44">
                  <c:v>269.79999999999984</c:v>
                </c:pt>
                <c:pt idx="45">
                  <c:v>296.19999999999982</c:v>
                </c:pt>
                <c:pt idx="46">
                  <c:v>308.19999999999982</c:v>
                </c:pt>
                <c:pt idx="47">
                  <c:v>337.89999999999981</c:v>
                </c:pt>
                <c:pt idx="48">
                  <c:v>365.49999999999983</c:v>
                </c:pt>
                <c:pt idx="49">
                  <c:v>383.19999999999982</c:v>
                </c:pt>
                <c:pt idx="50">
                  <c:v>430.69999999999982</c:v>
                </c:pt>
                <c:pt idx="51">
                  <c:v>489.69999999999982</c:v>
                </c:pt>
                <c:pt idx="52">
                  <c:v>548.5999999999998</c:v>
                </c:pt>
                <c:pt idx="53">
                  <c:v>480.39999999999981</c:v>
                </c:pt>
                <c:pt idx="54">
                  <c:v>454.39999999999981</c:v>
                </c:pt>
                <c:pt idx="55">
                  <c:v>541.5999999999998</c:v>
                </c:pt>
                <c:pt idx="56">
                  <c:v>537.99999999999977</c:v>
                </c:pt>
                <c:pt idx="57">
                  <c:v>512.79999999999973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8-43DA-A431-A04E7FDD8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-12.280701754385966</c:v>
                </c:pt>
                <c:pt idx="1">
                  <c:v>1837.5</c:v>
                </c:pt>
                <c:pt idx="2">
                  <c:v>878.18181818181813</c:v>
                </c:pt>
                <c:pt idx="3">
                  <c:v>2058.4905660377358</c:v>
                </c:pt>
                <c:pt idx="4">
                  <c:v>1677.0833333333333</c:v>
                </c:pt>
                <c:pt idx="5">
                  <c:v>116.27906976744185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0-47D0-85F2-04E659866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9</c:v>
                </c:pt>
                <c:pt idx="1">
                  <c:v>16</c:v>
                </c:pt>
                <c:pt idx="2">
                  <c:v>28</c:v>
                </c:pt>
                <c:pt idx="3">
                  <c:v>22</c:v>
                </c:pt>
                <c:pt idx="4">
                  <c:v>21</c:v>
                </c:pt>
                <c:pt idx="5">
                  <c:v>22</c:v>
                </c:pt>
                <c:pt idx="6">
                  <c:v>12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C-4591-9D62-B6CED9C42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だいち!$M$2:$M$59</c:f>
              <c:numCache>
                <c:formatCode>0</c:formatCode>
                <c:ptCount val="58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  <c:pt idx="28">
                  <c:v>1860.3953533148044</c:v>
                </c:pt>
                <c:pt idx="29">
                  <c:v>1858.5029811949155</c:v>
                </c:pt>
                <c:pt idx="30">
                  <c:v>1862.1839633077459</c:v>
                </c:pt>
                <c:pt idx="31">
                  <c:v>1858.6788595278995</c:v>
                </c:pt>
                <c:pt idx="32">
                  <c:v>1858.3087863707322</c:v>
                </c:pt>
                <c:pt idx="33">
                  <c:v>1856.0149336525078</c:v>
                </c:pt>
                <c:pt idx="34">
                  <c:v>1848.8568440505928</c:v>
                </c:pt>
                <c:pt idx="35">
                  <c:v>1848.2037029862893</c:v>
                </c:pt>
                <c:pt idx="36">
                  <c:v>1836.8264807683715</c:v>
                </c:pt>
                <c:pt idx="37">
                  <c:v>1843.5895218837613</c:v>
                </c:pt>
                <c:pt idx="38">
                  <c:v>1841.0959847524587</c:v>
                </c:pt>
                <c:pt idx="39">
                  <c:v>1862.8634088439439</c:v>
                </c:pt>
                <c:pt idx="40">
                  <c:v>1859.8582283908802</c:v>
                </c:pt>
                <c:pt idx="41">
                  <c:v>1851.8850790205349</c:v>
                </c:pt>
                <c:pt idx="42">
                  <c:v>1850.5297685464118</c:v>
                </c:pt>
                <c:pt idx="43">
                  <c:v>1842.1625899351334</c:v>
                </c:pt>
                <c:pt idx="44">
                  <c:v>1831.1576143955226</c:v>
                </c:pt>
                <c:pt idx="45">
                  <c:v>1834.4626687091495</c:v>
                </c:pt>
                <c:pt idx="46">
                  <c:v>1835.0118926968946</c:v>
                </c:pt>
                <c:pt idx="47">
                  <c:v>1838.8458213407132</c:v>
                </c:pt>
                <c:pt idx="48">
                  <c:v>1842.2787464126689</c:v>
                </c:pt>
                <c:pt idx="49">
                  <c:v>1843.9090739341927</c:v>
                </c:pt>
                <c:pt idx="50">
                  <c:v>1850.8936194905875</c:v>
                </c:pt>
                <c:pt idx="51">
                  <c:v>1859.906257773644</c:v>
                </c:pt>
                <c:pt idx="52">
                  <c:v>1868.8468202270021</c:v>
                </c:pt>
                <c:pt idx="53">
                  <c:v>1854.8557393056401</c:v>
                </c:pt>
                <c:pt idx="54">
                  <c:v>1848.5446048698063</c:v>
                </c:pt>
                <c:pt idx="55">
                  <c:v>1862.6473372405876</c:v>
                </c:pt>
                <c:pt idx="56">
                  <c:v>1860.3214532171442</c:v>
                </c:pt>
                <c:pt idx="57">
                  <c:v>1854.1215244978414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27-4C82-BCC6-93A54C23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43-4DED-B386-2ACCD9C0A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-1151.4285714285713</c:v>
                </c:pt>
                <c:pt idx="1">
                  <c:v>-2260</c:v>
                </c:pt>
                <c:pt idx="2">
                  <c:v>2073.5294117647059</c:v>
                </c:pt>
                <c:pt idx="3">
                  <c:v>-5842.424242424242</c:v>
                </c:pt>
                <c:pt idx="4">
                  <c:v>-3627.5862068965516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FB-4A4F-9068-D75997B7D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16</c:v>
                </c:pt>
                <c:pt idx="2">
                  <c:v>11</c:v>
                </c:pt>
                <c:pt idx="3">
                  <c:v>22</c:v>
                </c:pt>
                <c:pt idx="4">
                  <c:v>14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D-41E5-9210-6DD474508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りくと!$M$2:$M$37</c:f>
              <c:numCache>
                <c:formatCode>0</c:formatCode>
                <c:ptCount val="36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  <c:pt idx="17">
                  <c:v>1376.0515522112898</c:v>
                </c:pt>
                <c:pt idx="18">
                  <c:v>1366.8772428980221</c:v>
                </c:pt>
                <c:pt idx="19">
                  <c:v>1368.3959794406339</c:v>
                </c:pt>
                <c:pt idx="20">
                  <c:v>1361.0856035639902</c:v>
                </c:pt>
                <c:pt idx="21">
                  <c:v>1362.3870899426063</c:v>
                </c:pt>
                <c:pt idx="22">
                  <c:v>1362.7027674029507</c:v>
                </c:pt>
                <c:pt idx="23">
                  <c:v>1363.6165507985329</c:v>
                </c:pt>
                <c:pt idx="24">
                  <c:v>1351.5468514937418</c:v>
                </c:pt>
                <c:pt idx="25">
                  <c:v>1352.4675703847793</c:v>
                </c:pt>
                <c:pt idx="26">
                  <c:v>1353.8327649624705</c:v>
                </c:pt>
                <c:pt idx="27">
                  <c:v>1343.7957683726956</c:v>
                </c:pt>
                <c:pt idx="28">
                  <c:v>1344.0249937624594</c:v>
                </c:pt>
                <c:pt idx="29">
                  <c:v>1335.2528437998847</c:v>
                </c:pt>
                <c:pt idx="30">
                  <c:v>1328.0993267370854</c:v>
                </c:pt>
                <c:pt idx="31">
                  <c:v>1329.538730776663</c:v>
                </c:pt>
                <c:pt idx="32">
                  <c:v>1330.9694983920031</c:v>
                </c:pt>
                <c:pt idx="33">
                  <c:v>1320.673681401651</c:v>
                </c:pt>
                <c:pt idx="34">
                  <c:v>1327.3596393132411</c:v>
                </c:pt>
                <c:pt idx="35">
                  <c:v>1344.4274814773617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5-405E-BB75-4CB2C73E9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E-4CD8-96FA-D014174AF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B1-428D-B474-7F515BE2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8-4364-9BAA-9A6AE1FCD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30-4E31-ABB2-F303B96C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61.8</c:v>
                </c:pt>
                <c:pt idx="2">
                  <c:v>34.699999999999996</c:v>
                </c:pt>
                <c:pt idx="3">
                  <c:v>7.1999999999999957</c:v>
                </c:pt>
                <c:pt idx="4">
                  <c:v>52.9</c:v>
                </c:pt>
                <c:pt idx="5">
                  <c:v>12.100000000000001</c:v>
                </c:pt>
                <c:pt idx="6">
                  <c:v>9.8000000000000007</c:v>
                </c:pt>
                <c:pt idx="7">
                  <c:v>-1.0999999999999996</c:v>
                </c:pt>
                <c:pt idx="8">
                  <c:v>67.600000000000009</c:v>
                </c:pt>
                <c:pt idx="9">
                  <c:v>94.100000000000009</c:v>
                </c:pt>
                <c:pt idx="10">
                  <c:v>72.5</c:v>
                </c:pt>
                <c:pt idx="11">
                  <c:v>47.7</c:v>
                </c:pt>
                <c:pt idx="12">
                  <c:v>-13.399999999999999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3-492F-88FB-99BEBC319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1525</c:v>
                </c:pt>
                <c:pt idx="1">
                  <c:v>-2191.6666666666665</c:v>
                </c:pt>
                <c:pt idx="2">
                  <c:v>-2550</c:v>
                </c:pt>
                <c:pt idx="3">
                  <c:v>675</c:v>
                </c:pt>
                <c:pt idx="4">
                  <c:v>9910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E2-4D77-AAE8-46004938F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1-4832-9019-20ED63053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まっつん!$M$2:$M$14</c:f>
              <c:numCache>
                <c:formatCode>0</c:formatCode>
                <c:ptCount val="13"/>
                <c:pt idx="0">
                  <c:v>1551.4699038276274</c:v>
                </c:pt>
                <c:pt idx="1">
                  <c:v>1562.6810844046615</c:v>
                </c:pt>
                <c:pt idx="2">
                  <c:v>1557.9249978982336</c:v>
                </c:pt>
                <c:pt idx="3">
                  <c:v>1553.1254479108443</c:v>
                </c:pt>
                <c:pt idx="4">
                  <c:v>1561.5306952233793</c:v>
                </c:pt>
                <c:pt idx="5">
                  <c:v>1554.315511052039</c:v>
                </c:pt>
                <c:pt idx="6">
                  <c:v>1554.0736179857267</c:v>
                </c:pt>
                <c:pt idx="7">
                  <c:v>1552.2851762778123</c:v>
                </c:pt>
                <c:pt idx="8">
                  <c:v>1564.8354652201454</c:v>
                </c:pt>
                <c:pt idx="9">
                  <c:v>1569.7144524288244</c:v>
                </c:pt>
                <c:pt idx="10">
                  <c:v>1565.9061657142515</c:v>
                </c:pt>
                <c:pt idx="11">
                  <c:v>1561.5447287199661</c:v>
                </c:pt>
                <c:pt idx="12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5-4274-9579-3D2B3792D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りくと2!$B$3:$B$38</c:f>
              <c:numCache>
                <c:formatCode>\+0.0;\-0.0;\±0</c:formatCode>
                <c:ptCount val="36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1.0658141036401503E-14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りくと2!$C$3:$C$38</c:f>
              <c:numCache>
                <c:formatCode>\+0.0;\-0.0;\±0</c:formatCode>
                <c:ptCount val="36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  <c:pt idx="17">
                  <c:v>-5.6882352941176482</c:v>
                </c:pt>
                <c:pt idx="18">
                  <c:v>-8.6000000000000014</c:v>
                </c:pt>
                <c:pt idx="19">
                  <c:v>-8.094736842105263</c:v>
                </c:pt>
                <c:pt idx="20">
                  <c:v>-10.09</c:v>
                </c:pt>
                <c:pt idx="21">
                  <c:v>-9.6285714285714299</c:v>
                </c:pt>
                <c:pt idx="22">
                  <c:v>-9.454545454545455</c:v>
                </c:pt>
                <c:pt idx="23">
                  <c:v>-9.1521739130434803</c:v>
                </c:pt>
                <c:pt idx="24">
                  <c:v>-11.845833333333333</c:v>
                </c:pt>
                <c:pt idx="25">
                  <c:v>-11.476000000000001</c:v>
                </c:pt>
                <c:pt idx="26">
                  <c:v>-11.03846153846154</c:v>
                </c:pt>
                <c:pt idx="27">
                  <c:v>-12.97777777777778</c:v>
                </c:pt>
                <c:pt idx="28">
                  <c:v>-12.75357142857143</c:v>
                </c:pt>
                <c:pt idx="29">
                  <c:v>-14.26896551724138</c:v>
                </c:pt>
                <c:pt idx="30">
                  <c:v>-15.393333333333334</c:v>
                </c:pt>
                <c:pt idx="31">
                  <c:v>-14.912903225806453</c:v>
                </c:pt>
                <c:pt idx="32">
                  <c:v>-14.4625</c:v>
                </c:pt>
                <c:pt idx="33">
                  <c:v>-16.012121212121212</c:v>
                </c:pt>
                <c:pt idx="34">
                  <c:v>-14.705882352941176</c:v>
                </c:pt>
                <c:pt idx="35">
                  <c:v>-11.82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5.6392280615880964E-17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りくと2!$D$3:$D$38</c:f>
              <c:numCache>
                <c:formatCode>0.00\ "位"</c:formatCode>
                <c:ptCount val="3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2.1428571428571428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2.16</c:v>
                </c:pt>
                <c:pt idx="26">
                  <c:v>2.1538461538461537</c:v>
                </c:pt>
                <c:pt idx="27">
                  <c:v>2.1851851851851851</c:v>
                </c:pt>
                <c:pt idx="28">
                  <c:v>2.1785714285714284</c:v>
                </c:pt>
                <c:pt idx="29">
                  <c:v>2.2068965517241379</c:v>
                </c:pt>
                <c:pt idx="30">
                  <c:v>2.2333333333333334</c:v>
                </c:pt>
                <c:pt idx="31">
                  <c:v>2.225806451612903</c:v>
                </c:pt>
                <c:pt idx="32">
                  <c:v>2.21875</c:v>
                </c:pt>
                <c:pt idx="33">
                  <c:v>2.2424242424242422</c:v>
                </c:pt>
                <c:pt idx="34">
                  <c:v>2.2058823529411766</c:v>
                </c:pt>
                <c:pt idx="35">
                  <c:v>2.1714285714285713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りくと2!$E$3:$E$38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0.14705882352941177</c:v>
                </c:pt>
                <c:pt idx="35">
                  <c:v>0.17142857142857143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りくと2!$F$3:$F$38</c:f>
              <c:numCache>
                <c:formatCode>0.0%</c:formatCode>
                <c:ptCount val="3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りくと2!$G$3:$G$38</c:f>
              <c:numCache>
                <c:formatCode>0.0%</c:formatCode>
                <c:ptCount val="36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  <c:pt idx="17">
                  <c:v>0.28260869565217389</c:v>
                </c:pt>
                <c:pt idx="18">
                  <c:v>0.26845637583892618</c:v>
                </c:pt>
                <c:pt idx="19">
                  <c:v>0.26874999999999999</c:v>
                </c:pt>
                <c:pt idx="20">
                  <c:v>0.25882352941176473</c:v>
                </c:pt>
                <c:pt idx="21">
                  <c:v>0.26815642458100558</c:v>
                </c:pt>
                <c:pt idx="22">
                  <c:v>0.27127659574468083</c:v>
                </c:pt>
                <c:pt idx="23">
                  <c:v>0.27179487179487177</c:v>
                </c:pt>
                <c:pt idx="24">
                  <c:v>0.26470588235294118</c:v>
                </c:pt>
                <c:pt idx="25">
                  <c:v>0.26066350710900477</c:v>
                </c:pt>
                <c:pt idx="26">
                  <c:v>0.26146788990825687</c:v>
                </c:pt>
                <c:pt idx="27">
                  <c:v>0.25221238938053098</c:v>
                </c:pt>
                <c:pt idx="28">
                  <c:v>0.25862068965517243</c:v>
                </c:pt>
                <c:pt idx="29">
                  <c:v>0.25738396624472576</c:v>
                </c:pt>
                <c:pt idx="30">
                  <c:v>0.25819672131147542</c:v>
                </c:pt>
                <c:pt idx="31">
                  <c:v>0.26587301587301587</c:v>
                </c:pt>
                <c:pt idx="32">
                  <c:v>0.26356589147286824</c:v>
                </c:pt>
                <c:pt idx="33">
                  <c:v>0.26515151515151514</c:v>
                </c:pt>
                <c:pt idx="34">
                  <c:v>0.26838235294117646</c:v>
                </c:pt>
                <c:pt idx="35">
                  <c:v>0.28169014084507044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937106918238993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りくと2!$H$3:$H$38</c:f>
              <c:numCache>
                <c:formatCode>0.0%</c:formatCode>
                <c:ptCount val="36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  <c:pt idx="17">
                  <c:v>0.16666666666666666</c:v>
                </c:pt>
                <c:pt idx="18">
                  <c:v>0.18791946308724833</c:v>
                </c:pt>
                <c:pt idx="19">
                  <c:v>0.19375000000000001</c:v>
                </c:pt>
                <c:pt idx="20">
                  <c:v>0.2</c:v>
                </c:pt>
                <c:pt idx="21">
                  <c:v>0.2011173184357542</c:v>
                </c:pt>
                <c:pt idx="22">
                  <c:v>0.20212765957446807</c:v>
                </c:pt>
                <c:pt idx="23">
                  <c:v>0.2</c:v>
                </c:pt>
                <c:pt idx="24">
                  <c:v>0.20588235294117646</c:v>
                </c:pt>
                <c:pt idx="25">
                  <c:v>0.20853080568720378</c:v>
                </c:pt>
                <c:pt idx="26">
                  <c:v>0.20642201834862386</c:v>
                </c:pt>
                <c:pt idx="27">
                  <c:v>0.20353982300884957</c:v>
                </c:pt>
                <c:pt idx="28">
                  <c:v>0.20258620689655171</c:v>
                </c:pt>
                <c:pt idx="29">
                  <c:v>0.20253164556962025</c:v>
                </c:pt>
                <c:pt idx="30">
                  <c:v>0.20901639344262296</c:v>
                </c:pt>
                <c:pt idx="31">
                  <c:v>0.20238095238095238</c:v>
                </c:pt>
                <c:pt idx="32">
                  <c:v>0.19767441860465115</c:v>
                </c:pt>
                <c:pt idx="33">
                  <c:v>0.19696969696969696</c:v>
                </c:pt>
                <c:pt idx="34">
                  <c:v>0.19485294117647059</c:v>
                </c:pt>
                <c:pt idx="35">
                  <c:v>0.19366197183098591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974842767295597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りくと2!$I$3:$I$38</c:f>
              <c:numCache>
                <c:formatCode>0</c:formatCode>
                <c:ptCount val="36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  <c:pt idx="17">
                  <c:v>8946.1538461538457</c:v>
                </c:pt>
                <c:pt idx="18">
                  <c:v>9012.5</c:v>
                </c:pt>
                <c:pt idx="19">
                  <c:v>8969.7674418604656</c:v>
                </c:pt>
                <c:pt idx="20">
                  <c:v>8825</c:v>
                </c:pt>
                <c:pt idx="21">
                  <c:v>8591.6666666666661</c:v>
                </c:pt>
                <c:pt idx="22">
                  <c:v>8503.9215686274511</c:v>
                </c:pt>
                <c:pt idx="23">
                  <c:v>8388.6792452830196</c:v>
                </c:pt>
                <c:pt idx="24">
                  <c:v>8455.5555555555547</c:v>
                </c:pt>
                <c:pt idx="25">
                  <c:v>8520</c:v>
                </c:pt>
                <c:pt idx="26">
                  <c:v>8431.5789473684217</c:v>
                </c:pt>
                <c:pt idx="27">
                  <c:v>8431.5789473684217</c:v>
                </c:pt>
                <c:pt idx="28">
                  <c:v>8220</c:v>
                </c:pt>
                <c:pt idx="29">
                  <c:v>8172.1311475409839</c:v>
                </c:pt>
                <c:pt idx="30">
                  <c:v>7979.3650793650795</c:v>
                </c:pt>
                <c:pt idx="31">
                  <c:v>8129.8507462686566</c:v>
                </c:pt>
                <c:pt idx="32">
                  <c:v>8245.5882352941171</c:v>
                </c:pt>
                <c:pt idx="33">
                  <c:v>8218.5714285714294</c:v>
                </c:pt>
                <c:pt idx="34">
                  <c:v>8205.4794520547948</c:v>
                </c:pt>
                <c:pt idx="35">
                  <c:v>8502.5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8809.4537815126059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りくと2!$J$3:$J$38</c:f>
              <c:numCache>
                <c:formatCode>0</c:formatCode>
                <c:ptCount val="36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  <c:pt idx="17">
                  <c:v>-9060.8695652173919</c:v>
                </c:pt>
                <c:pt idx="18">
                  <c:v>-8664.2857142857138</c:v>
                </c:pt>
                <c:pt idx="19">
                  <c:v>-8283.8709677419356</c:v>
                </c:pt>
                <c:pt idx="20">
                  <c:v>-8097.0588235294117</c:v>
                </c:pt>
                <c:pt idx="21">
                  <c:v>-8036.1111111111113</c:v>
                </c:pt>
                <c:pt idx="22">
                  <c:v>-7918.4210526315792</c:v>
                </c:pt>
                <c:pt idx="23">
                  <c:v>-7782.0512820512822</c:v>
                </c:pt>
                <c:pt idx="24">
                  <c:v>-8411.9047619047615</c:v>
                </c:pt>
                <c:pt idx="25">
                  <c:v>-8347.7272727272721</c:v>
                </c:pt>
                <c:pt idx="26">
                  <c:v>-8220</c:v>
                </c:pt>
                <c:pt idx="27">
                  <c:v>-8302.173913043478</c:v>
                </c:pt>
                <c:pt idx="28">
                  <c:v>-8508.510638297872</c:v>
                </c:pt>
                <c:pt idx="29">
                  <c:v>-8581.25</c:v>
                </c:pt>
                <c:pt idx="30">
                  <c:v>-8698.0392156862745</c:v>
                </c:pt>
                <c:pt idx="31">
                  <c:v>-8698.0392156862745</c:v>
                </c:pt>
                <c:pt idx="32">
                  <c:v>-8698.0392156862745</c:v>
                </c:pt>
                <c:pt idx="33">
                  <c:v>-9453.8461538461543</c:v>
                </c:pt>
                <c:pt idx="34">
                  <c:v>-9313.2075471698117</c:v>
                </c:pt>
                <c:pt idx="35">
                  <c:v>-9372.7272727272721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328.3464566929142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りくと2!$K$3:$K$38</c:f>
              <c:numCache>
                <c:formatCode>0.0%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9.5238095238095233E-2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りくと2!$L$3:$L$38</c:f>
              <c:numCache>
                <c:formatCode>0.0%</c:formatCode>
                <c:ptCount val="36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  <c:pt idx="17">
                  <c:v>0.35507246376811596</c:v>
                </c:pt>
                <c:pt idx="18">
                  <c:v>0.33557046979865773</c:v>
                </c:pt>
                <c:pt idx="19">
                  <c:v>0.31874999999999998</c:v>
                </c:pt>
                <c:pt idx="20">
                  <c:v>0.31176470588235294</c:v>
                </c:pt>
                <c:pt idx="21">
                  <c:v>0.32402234636871508</c:v>
                </c:pt>
                <c:pt idx="22">
                  <c:v>0.32446808510638298</c:v>
                </c:pt>
                <c:pt idx="23">
                  <c:v>0.32307692307692309</c:v>
                </c:pt>
                <c:pt idx="24">
                  <c:v>0.32843137254901961</c:v>
                </c:pt>
                <c:pt idx="25">
                  <c:v>0.32227488151658767</c:v>
                </c:pt>
                <c:pt idx="26">
                  <c:v>0.32110091743119268</c:v>
                </c:pt>
                <c:pt idx="27">
                  <c:v>0.31415929203539822</c:v>
                </c:pt>
                <c:pt idx="28">
                  <c:v>0.31896551724137934</c:v>
                </c:pt>
                <c:pt idx="29">
                  <c:v>0.31645569620253167</c:v>
                </c:pt>
                <c:pt idx="30">
                  <c:v>0.31147540983606559</c:v>
                </c:pt>
                <c:pt idx="31">
                  <c:v>0.31349206349206349</c:v>
                </c:pt>
                <c:pt idx="32">
                  <c:v>0.30620155038759689</c:v>
                </c:pt>
                <c:pt idx="33">
                  <c:v>0.30303030303030304</c:v>
                </c:pt>
                <c:pt idx="34">
                  <c:v>0.3014705882352941</c:v>
                </c:pt>
                <c:pt idx="35">
                  <c:v>0.29929577464788731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20125786163522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りくと2!$M$3:$M$38</c:f>
              <c:numCache>
                <c:formatCode>0.0%</c:formatCode>
                <c:ptCount val="36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  <c:pt idx="17">
                  <c:v>0.16666666666666666</c:v>
                </c:pt>
                <c:pt idx="18">
                  <c:v>0.17449664429530201</c:v>
                </c:pt>
                <c:pt idx="19">
                  <c:v>0.16250000000000001</c:v>
                </c:pt>
                <c:pt idx="20">
                  <c:v>0.15294117647058825</c:v>
                </c:pt>
                <c:pt idx="21">
                  <c:v>0.16201117318435754</c:v>
                </c:pt>
                <c:pt idx="22">
                  <c:v>0.15957446808510639</c:v>
                </c:pt>
                <c:pt idx="23">
                  <c:v>0.1641025641025641</c:v>
                </c:pt>
                <c:pt idx="24">
                  <c:v>0.16176470588235295</c:v>
                </c:pt>
                <c:pt idx="25">
                  <c:v>0.15639810426540285</c:v>
                </c:pt>
                <c:pt idx="26">
                  <c:v>0.15596330275229359</c:v>
                </c:pt>
                <c:pt idx="27">
                  <c:v>0.16814159292035399</c:v>
                </c:pt>
                <c:pt idx="28">
                  <c:v>0.16379310344827586</c:v>
                </c:pt>
                <c:pt idx="29">
                  <c:v>0.16455696202531644</c:v>
                </c:pt>
                <c:pt idx="30">
                  <c:v>0.16393442622950818</c:v>
                </c:pt>
                <c:pt idx="31">
                  <c:v>0.17063492063492064</c:v>
                </c:pt>
                <c:pt idx="32">
                  <c:v>0.17829457364341086</c:v>
                </c:pt>
                <c:pt idx="33">
                  <c:v>0.18560606060606061</c:v>
                </c:pt>
                <c:pt idx="34">
                  <c:v>0.18382352941176472</c:v>
                </c:pt>
                <c:pt idx="35">
                  <c:v>0.18309859154929578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8553459119496854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りくと2!$N$3:$N$38</c:f>
              <c:numCache>
                <c:formatCode>0.0%</c:formatCode>
                <c:ptCount val="36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  <c:pt idx="17">
                  <c:v>0.51020408163265307</c:v>
                </c:pt>
                <c:pt idx="18">
                  <c:v>0.52</c:v>
                </c:pt>
                <c:pt idx="19">
                  <c:v>0.52941176470588236</c:v>
                </c:pt>
                <c:pt idx="20">
                  <c:v>0.50943396226415094</c:v>
                </c:pt>
                <c:pt idx="21">
                  <c:v>0.5</c:v>
                </c:pt>
                <c:pt idx="22">
                  <c:v>0.49180327868852458</c:v>
                </c:pt>
                <c:pt idx="23">
                  <c:v>0.49206349206349204</c:v>
                </c:pt>
                <c:pt idx="24">
                  <c:v>0.47761194029850745</c:v>
                </c:pt>
                <c:pt idx="25">
                  <c:v>0.48529411764705882</c:v>
                </c:pt>
                <c:pt idx="26">
                  <c:v>0.48571428571428571</c:v>
                </c:pt>
                <c:pt idx="27">
                  <c:v>0.47887323943661969</c:v>
                </c:pt>
                <c:pt idx="28">
                  <c:v>0.48648648648648651</c:v>
                </c:pt>
                <c:pt idx="29">
                  <c:v>0.49333333333333335</c:v>
                </c:pt>
                <c:pt idx="30">
                  <c:v>0.48684210526315791</c:v>
                </c:pt>
                <c:pt idx="31">
                  <c:v>0.48101265822784811</c:v>
                </c:pt>
                <c:pt idx="32">
                  <c:v>0.48101265822784811</c:v>
                </c:pt>
                <c:pt idx="33">
                  <c:v>0.47499999999999998</c:v>
                </c:pt>
                <c:pt idx="34">
                  <c:v>0.47560975609756095</c:v>
                </c:pt>
                <c:pt idx="35">
                  <c:v>0.49411764705882355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461689587426326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りくと2!$O$3:$O$38</c:f>
              <c:numCache>
                <c:formatCode>0.0%</c:formatCode>
                <c:ptCount val="36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  <c:pt idx="17">
                  <c:v>0.52173913043478259</c:v>
                </c:pt>
                <c:pt idx="18">
                  <c:v>0.46153846153846156</c:v>
                </c:pt>
                <c:pt idx="19">
                  <c:v>0.46153846153846156</c:v>
                </c:pt>
                <c:pt idx="20">
                  <c:v>0.46153846153846156</c:v>
                </c:pt>
                <c:pt idx="21">
                  <c:v>0.48275862068965519</c:v>
                </c:pt>
                <c:pt idx="22">
                  <c:v>0.5</c:v>
                </c:pt>
                <c:pt idx="23">
                  <c:v>0.5</c:v>
                </c:pt>
                <c:pt idx="24">
                  <c:v>0.48484848484848486</c:v>
                </c:pt>
                <c:pt idx="25">
                  <c:v>0.48484848484848486</c:v>
                </c:pt>
                <c:pt idx="26">
                  <c:v>0.5</c:v>
                </c:pt>
                <c:pt idx="27">
                  <c:v>0.44736842105263158</c:v>
                </c:pt>
                <c:pt idx="28">
                  <c:v>0.44736842105263158</c:v>
                </c:pt>
                <c:pt idx="29">
                  <c:v>0.4358974358974359</c:v>
                </c:pt>
                <c:pt idx="30">
                  <c:v>0.42499999999999999</c:v>
                </c:pt>
                <c:pt idx="31">
                  <c:v>0.44186046511627908</c:v>
                </c:pt>
                <c:pt idx="32">
                  <c:v>0.43478260869565216</c:v>
                </c:pt>
                <c:pt idx="33">
                  <c:v>0.42857142857142855</c:v>
                </c:pt>
                <c:pt idx="34">
                  <c:v>0.44</c:v>
                </c:pt>
                <c:pt idx="35">
                  <c:v>0.44230769230769229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8305084745762713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りくと2!$A$3:$A$38</c:f>
              <c:numCache>
                <c:formatCode>0\ "回"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りくと2!$P$3:$P$38</c:f>
              <c:numCache>
                <c:formatCode>0.0%</c:formatCode>
                <c:ptCount val="36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  <c:pt idx="17">
                  <c:v>0.41025641025641024</c:v>
                </c:pt>
                <c:pt idx="18">
                  <c:v>0.4</c:v>
                </c:pt>
                <c:pt idx="19">
                  <c:v>0.41860465116279072</c:v>
                </c:pt>
                <c:pt idx="20">
                  <c:v>0.40909090909090912</c:v>
                </c:pt>
                <c:pt idx="21">
                  <c:v>0.41666666666666669</c:v>
                </c:pt>
                <c:pt idx="22">
                  <c:v>0.41176470588235292</c:v>
                </c:pt>
                <c:pt idx="23">
                  <c:v>0.41509433962264153</c:v>
                </c:pt>
                <c:pt idx="24">
                  <c:v>0.40740740740740738</c:v>
                </c:pt>
                <c:pt idx="25">
                  <c:v>0.41818181818181815</c:v>
                </c:pt>
                <c:pt idx="26">
                  <c:v>0.43859649122807015</c:v>
                </c:pt>
                <c:pt idx="27">
                  <c:v>0.43859649122807015</c:v>
                </c:pt>
                <c:pt idx="28">
                  <c:v>0.46666666666666667</c:v>
                </c:pt>
                <c:pt idx="29">
                  <c:v>0.47540983606557374</c:v>
                </c:pt>
                <c:pt idx="30">
                  <c:v>0.49206349206349204</c:v>
                </c:pt>
                <c:pt idx="31">
                  <c:v>0.5074626865671642</c:v>
                </c:pt>
                <c:pt idx="32">
                  <c:v>0.51470588235294112</c:v>
                </c:pt>
                <c:pt idx="33">
                  <c:v>0.51428571428571423</c:v>
                </c:pt>
                <c:pt idx="34">
                  <c:v>0.52054794520547942</c:v>
                </c:pt>
                <c:pt idx="35">
                  <c:v>0.52500000000000002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6218487394957986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E9C7D0-36FD-4BC1-8C3D-BBC718B0A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7C318C-B9E0-4B85-9F8D-925D02C0C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9B38EF0-FC2B-4955-855B-0D8C99214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60E9C0B-53ED-4408-974F-D42FC999B5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82A3FE-4700-4435-BFFB-560011962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0A85CE-7DD6-458D-A37C-F6063F5BD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601541B-B991-41E7-A648-32E8FEB94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ACD471-99F0-4F29-BC84-6354D43DA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F5D9AA-9ADC-4D51-9AB0-5CB129085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58AC2B-E91C-4B0D-971D-A77B9B7E1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ED9B93-3511-40A2-A062-B230D3C567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CF33CB3-586D-4802-8942-E3368725B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C283E8-AF41-4EFF-B037-11E906769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5587C8-F047-4528-9453-20D22EB08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588A71-2898-4D67-A009-960528B68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A8378BC-EB8B-46E1-B6EF-644F363C4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E87862-9340-4B60-8045-FCE8CB4C9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CC4A78-77F1-486E-A9E0-503094EA17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8F57E0B-1431-4993-9D64-D195FA4416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E4F3D48-7F87-4C4D-82CD-DDDDAE693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6E854C-5646-40D9-BB18-8C62345300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D627AD-D70D-4D68-9B37-350935232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F5C2851-DCE9-477D-8207-6CF384792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50F95A1-3560-4E98-AC6D-364B65E47F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65AB5A-21B0-4A54-8352-B2A0C53AD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0D5547-C549-448A-A2EE-B5BB2101D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377A5E-7402-4633-A2A4-FAAC3BDB0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7875706-ABC0-40BF-B877-C6FFB10D9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EE0B7E-BF47-4905-9521-841372866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95FF66-E63E-493B-933C-DE54314D7E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9297-C327-45B9-9698-3F18AB271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CB7C9BE-BD45-4286-B9FF-F541ECFB81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223</v>
      </c>
      <c r="B2" s="3">
        <v>44990.226365740738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219</v>
      </c>
      <c r="L2" s="2" t="s">
        <v>220</v>
      </c>
      <c r="M2" s="2" t="s">
        <v>221</v>
      </c>
      <c r="N2" s="2" t="s">
        <v>224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 x14ac:dyDescent="0.4">
      <c r="A3" s="2" t="s">
        <v>230</v>
      </c>
      <c r="B3" s="3">
        <v>45048.836782407408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219</v>
      </c>
    </row>
    <row r="4" spans="1:19" x14ac:dyDescent="0.4">
      <c r="A4" s="2" t="s">
        <v>231</v>
      </c>
      <c r="B4" s="3">
        <v>45152.133379629631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216</v>
      </c>
      <c r="I4" s="2" t="s">
        <v>217</v>
      </c>
    </row>
    <row r="5" spans="1:19" x14ac:dyDescent="0.4">
      <c r="A5" s="2" t="s">
        <v>222</v>
      </c>
      <c r="B5" s="3">
        <v>45221.872974537036</v>
      </c>
      <c r="C5" s="2" t="s">
        <v>211</v>
      </c>
      <c r="D5" s="2" t="s">
        <v>212</v>
      </c>
      <c r="E5" s="2" t="s">
        <v>213</v>
      </c>
      <c r="F5" s="2" t="s">
        <v>214</v>
      </c>
      <c r="G5" s="2" t="s">
        <v>215</v>
      </c>
      <c r="H5" s="2" t="s">
        <v>216</v>
      </c>
      <c r="I5" s="2" t="s">
        <v>217</v>
      </c>
      <c r="J5" s="2" t="s">
        <v>218</v>
      </c>
      <c r="K5" s="2" t="s">
        <v>219</v>
      </c>
      <c r="L5" s="2" t="s">
        <v>220</v>
      </c>
      <c r="M5" s="2" t="s">
        <v>221</v>
      </c>
    </row>
    <row r="6" spans="1:19" x14ac:dyDescent="0.4">
      <c r="A6" s="2" t="s">
        <v>232</v>
      </c>
      <c r="B6" s="3">
        <v>45295.739537037036</v>
      </c>
      <c r="C6" s="2" t="s">
        <v>211</v>
      </c>
      <c r="D6" s="2" t="s">
        <v>212</v>
      </c>
      <c r="E6" s="2" t="s">
        <v>213</v>
      </c>
      <c r="F6" s="2" t="s">
        <v>214</v>
      </c>
      <c r="G6" s="2" t="s">
        <v>215</v>
      </c>
      <c r="H6" s="2" t="s">
        <v>216</v>
      </c>
      <c r="I6" s="2" t="s">
        <v>217</v>
      </c>
    </row>
    <row r="7" spans="1:19" x14ac:dyDescent="0.4">
      <c r="A7" s="2" t="s">
        <v>233</v>
      </c>
      <c r="B7" s="3">
        <v>45410.748402777775</v>
      </c>
      <c r="C7" s="2" t="s">
        <v>211</v>
      </c>
      <c r="D7" s="2" t="s">
        <v>212</v>
      </c>
      <c r="E7" s="2" t="s">
        <v>213</v>
      </c>
      <c r="F7" s="2" t="s">
        <v>214</v>
      </c>
      <c r="G7" s="2" t="s">
        <v>215</v>
      </c>
      <c r="H7" s="2" t="s">
        <v>216</v>
      </c>
      <c r="I7" s="2" t="s">
        <v>217</v>
      </c>
      <c r="J7" s="2" t="s">
        <v>218</v>
      </c>
      <c r="K7" s="2" t="s">
        <v>219</v>
      </c>
      <c r="L7" s="2" t="s">
        <v>220</v>
      </c>
      <c r="M7" s="2" t="s">
        <v>221</v>
      </c>
      <c r="N7" s="2" t="s">
        <v>224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234</v>
      </c>
    </row>
    <row r="2" spans="1:3" x14ac:dyDescent="0.4">
      <c r="A2" t="s">
        <v>126</v>
      </c>
      <c r="B2" s="120">
        <v>57</v>
      </c>
      <c r="C2" s="120">
        <v>1846.5755924228188</v>
      </c>
    </row>
    <row r="3" spans="1:3" x14ac:dyDescent="0.4">
      <c r="A3" t="s">
        <v>138</v>
      </c>
      <c r="B3" s="120">
        <v>189</v>
      </c>
      <c r="C3" s="120">
        <v>1614.2957512011271</v>
      </c>
    </row>
    <row r="4" spans="1:3" x14ac:dyDescent="0.4">
      <c r="A4" t="s">
        <v>162</v>
      </c>
      <c r="B4" s="120">
        <v>24</v>
      </c>
      <c r="C4" s="120">
        <v>1595.6213709809917</v>
      </c>
    </row>
    <row r="5" spans="1:3" x14ac:dyDescent="0.4">
      <c r="A5" t="s">
        <v>188</v>
      </c>
      <c r="B5" s="120">
        <v>12</v>
      </c>
      <c r="C5" s="120">
        <v>1551.4699038276274</v>
      </c>
    </row>
    <row r="6" spans="1:3" x14ac:dyDescent="0.4">
      <c r="A6" t="s">
        <v>189</v>
      </c>
      <c r="B6" s="120">
        <v>37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B24" s="120">
        <v>35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10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192</v>
      </c>
      <c r="I1" s="148"/>
      <c r="J1" s="141" t="s">
        <v>15</v>
      </c>
      <c r="K1" s="142"/>
      <c r="L1" s="141" t="s">
        <v>14</v>
      </c>
      <c r="M1" s="142"/>
      <c r="N1" s="141" t="s">
        <v>148</v>
      </c>
      <c r="O1" s="142"/>
      <c r="P1" s="141" t="s">
        <v>142</v>
      </c>
      <c r="Q1" s="142"/>
      <c r="R1" s="141" t="s">
        <v>143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144</v>
      </c>
      <c r="AG1" s="142"/>
      <c r="AH1" s="141" t="s">
        <v>137</v>
      </c>
      <c r="AI1" s="142"/>
      <c r="AJ1" s="141" t="s">
        <v>179</v>
      </c>
      <c r="AK1" s="142"/>
    </row>
    <row r="2" spans="1:37" x14ac:dyDescent="0.4">
      <c r="A2" s="36" t="s">
        <v>204</v>
      </c>
      <c r="B2" s="143">
        <v>0.56472407266198565</v>
      </c>
      <c r="C2" s="144"/>
      <c r="D2" s="143">
        <v>0.91020907848354415</v>
      </c>
      <c r="E2" s="144"/>
      <c r="F2" s="143">
        <v>0.65620940061149668</v>
      </c>
      <c r="G2" s="144"/>
      <c r="H2" s="145"/>
      <c r="I2" s="146"/>
      <c r="J2" s="143">
        <v>0.61589099282703141</v>
      </c>
      <c r="K2" s="144"/>
      <c r="L2" s="143">
        <v>0.58967492965062307</v>
      </c>
      <c r="M2" s="144"/>
      <c r="N2" s="143">
        <v>0.44860500969581552</v>
      </c>
      <c r="O2" s="144"/>
      <c r="P2" s="143">
        <v>2.9053000912169911E-2</v>
      </c>
      <c r="Q2" s="144"/>
      <c r="R2" s="143">
        <v>0.67470075979226662</v>
      </c>
      <c r="S2" s="144"/>
      <c r="T2" s="143">
        <v>0.54054227097164476</v>
      </c>
      <c r="U2" s="144"/>
      <c r="V2" s="143">
        <v>0.51083416448062635</v>
      </c>
      <c r="W2" s="144"/>
      <c r="X2" s="143">
        <v>0.69770813008268195</v>
      </c>
      <c r="Y2" s="144"/>
      <c r="Z2" s="143">
        <v>0.46371066610711198</v>
      </c>
      <c r="AA2" s="144"/>
      <c r="AB2" s="143">
        <v>-0.36405858705802935</v>
      </c>
      <c r="AC2" s="144"/>
      <c r="AD2" s="143">
        <v>-0.13154054448762342</v>
      </c>
      <c r="AE2" s="144"/>
      <c r="AF2" s="143">
        <v>-5.0145644148392919E-2</v>
      </c>
      <c r="AG2" s="144"/>
      <c r="AH2" s="143">
        <v>-0.55415296439183592</v>
      </c>
      <c r="AI2" s="144"/>
      <c r="AJ2" s="143">
        <v>0.56686979104928248</v>
      </c>
      <c r="AK2" s="144"/>
    </row>
    <row r="3" spans="1:37" x14ac:dyDescent="0.4">
      <c r="A3" s="38">
        <v>1</v>
      </c>
      <c r="B3" s="41" t="s">
        <v>138</v>
      </c>
      <c r="C3" s="113">
        <v>63</v>
      </c>
      <c r="D3" s="39" t="s">
        <v>126</v>
      </c>
      <c r="E3" s="40">
        <v>512.79999999999973</v>
      </c>
      <c r="F3" s="41" t="s">
        <v>187</v>
      </c>
      <c r="G3" s="60">
        <v>10.793333333333333</v>
      </c>
      <c r="H3" s="41" t="s">
        <v>126</v>
      </c>
      <c r="I3" s="45">
        <v>1854.1215244978414</v>
      </c>
      <c r="J3" s="41" t="s">
        <v>187</v>
      </c>
      <c r="K3" s="42">
        <v>1.8</v>
      </c>
      <c r="L3" s="41" t="s">
        <v>187</v>
      </c>
      <c r="M3" s="43">
        <v>0.46666666666666667</v>
      </c>
      <c r="N3" s="41" t="s">
        <v>126</v>
      </c>
      <c r="O3" s="43">
        <v>0.24561403508771928</v>
      </c>
      <c r="P3" s="41" t="s">
        <v>187</v>
      </c>
      <c r="Q3" s="44">
        <v>0.34090909090909088</v>
      </c>
      <c r="R3" s="41" t="s">
        <v>189</v>
      </c>
      <c r="S3" s="44">
        <v>0.1388888888888889</v>
      </c>
      <c r="T3" s="41" t="s">
        <v>126</v>
      </c>
      <c r="U3" s="45">
        <v>10192.361111111111</v>
      </c>
      <c r="V3" s="41" t="s">
        <v>187</v>
      </c>
      <c r="W3" s="45">
        <v>-7010.5263157894733</v>
      </c>
      <c r="X3" s="41" t="s">
        <v>126</v>
      </c>
      <c r="Y3" s="43">
        <v>5.2631578947368418E-2</v>
      </c>
      <c r="Z3" s="41" t="s">
        <v>126</v>
      </c>
      <c r="AA3" s="44">
        <v>0.39293139293139295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189</v>
      </c>
      <c r="AG3" s="44">
        <v>0.4861111111111111</v>
      </c>
      <c r="AH3" s="41" t="s">
        <v>209</v>
      </c>
      <c r="AI3" s="44">
        <v>0.66666666666666663</v>
      </c>
      <c r="AJ3" s="41" t="s">
        <v>126</v>
      </c>
      <c r="AK3" s="55">
        <v>144300</v>
      </c>
    </row>
    <row r="4" spans="1:37" x14ac:dyDescent="0.4">
      <c r="A4" s="46">
        <v>2</v>
      </c>
      <c r="B4" s="49" t="s">
        <v>126</v>
      </c>
      <c r="C4" s="114">
        <v>57</v>
      </c>
      <c r="D4" s="47" t="s">
        <v>187</v>
      </c>
      <c r="E4" s="48">
        <v>161.9</v>
      </c>
      <c r="F4" s="49" t="s">
        <v>126</v>
      </c>
      <c r="G4" s="61">
        <v>8.9964912280701714</v>
      </c>
      <c r="H4" s="49" t="s">
        <v>138</v>
      </c>
      <c r="I4" s="53">
        <v>1604.525423148091</v>
      </c>
      <c r="J4" s="49" t="s">
        <v>126</v>
      </c>
      <c r="K4" s="50">
        <v>1.8421052631578947</v>
      </c>
      <c r="L4" s="49" t="s">
        <v>126</v>
      </c>
      <c r="M4" s="51">
        <v>0.40350877192982454</v>
      </c>
      <c r="N4" s="49" t="s">
        <v>187</v>
      </c>
      <c r="O4" s="51">
        <v>0.26666666666666666</v>
      </c>
      <c r="P4" s="49" t="s">
        <v>189</v>
      </c>
      <c r="Q4" s="52">
        <v>0.33333333333333331</v>
      </c>
      <c r="R4" s="49" t="s">
        <v>126</v>
      </c>
      <c r="S4" s="52">
        <v>0.14345114345114346</v>
      </c>
      <c r="T4" s="49" t="s">
        <v>188</v>
      </c>
      <c r="U4" s="53">
        <v>10159.259259259259</v>
      </c>
      <c r="V4" s="49" t="s">
        <v>126</v>
      </c>
      <c r="W4" s="53">
        <v>-7589.855072463768</v>
      </c>
      <c r="X4" s="49" t="s">
        <v>189</v>
      </c>
      <c r="Y4" s="51">
        <v>5.4054054054054057E-2</v>
      </c>
      <c r="Z4" s="49" t="s">
        <v>162</v>
      </c>
      <c r="AA4" s="52">
        <v>0.38461538461538464</v>
      </c>
      <c r="AB4" s="49" t="s">
        <v>189</v>
      </c>
      <c r="AC4" s="52">
        <v>0.22222222222222221</v>
      </c>
      <c r="AD4" s="49" t="s">
        <v>189</v>
      </c>
      <c r="AE4" s="52">
        <v>0.65151515151515149</v>
      </c>
      <c r="AF4" s="49" t="s">
        <v>191</v>
      </c>
      <c r="AG4" s="52">
        <v>0.44230769230769229</v>
      </c>
      <c r="AH4" s="49" t="s">
        <v>188</v>
      </c>
      <c r="AI4" s="52">
        <v>0.55555555555555558</v>
      </c>
      <c r="AJ4" s="49" t="s">
        <v>138</v>
      </c>
      <c r="AK4" s="56">
        <v>144300</v>
      </c>
    </row>
    <row r="5" spans="1:37" x14ac:dyDescent="0.4">
      <c r="A5" s="46">
        <v>3</v>
      </c>
      <c r="B5" s="49" t="s">
        <v>189</v>
      </c>
      <c r="C5" s="114">
        <v>37</v>
      </c>
      <c r="D5" s="47" t="s">
        <v>189</v>
      </c>
      <c r="E5" s="48">
        <v>51.79999999999999</v>
      </c>
      <c r="F5" s="49" t="s">
        <v>189</v>
      </c>
      <c r="G5" s="61">
        <v>1.3999999999999997</v>
      </c>
      <c r="H5" s="49" t="s">
        <v>162</v>
      </c>
      <c r="I5" s="53">
        <v>1590.8436947948335</v>
      </c>
      <c r="J5" s="49" t="s">
        <v>162</v>
      </c>
      <c r="K5" s="50">
        <v>1.9583333333333333</v>
      </c>
      <c r="L5" s="49" t="s">
        <v>162</v>
      </c>
      <c r="M5" s="51">
        <v>0.375</v>
      </c>
      <c r="N5" s="49" t="s">
        <v>162</v>
      </c>
      <c r="O5" s="51">
        <v>0.33333333333333331</v>
      </c>
      <c r="P5" s="49" t="s">
        <v>188</v>
      </c>
      <c r="Q5" s="52">
        <v>0.30337078651685395</v>
      </c>
      <c r="R5" s="49" t="s">
        <v>187</v>
      </c>
      <c r="S5" s="52">
        <v>0.14393939393939395</v>
      </c>
      <c r="T5" s="49" t="s">
        <v>162</v>
      </c>
      <c r="U5" s="53">
        <v>8870.1754385964905</v>
      </c>
      <c r="V5" s="49" t="s">
        <v>189</v>
      </c>
      <c r="W5" s="53">
        <v>-8264.4444444444453</v>
      </c>
      <c r="X5" s="49" t="s">
        <v>187</v>
      </c>
      <c r="Y5" s="51">
        <v>6.6666666666666666E-2</v>
      </c>
      <c r="Z5" s="49" t="s">
        <v>188</v>
      </c>
      <c r="AA5" s="52">
        <v>0.3707865168539326</v>
      </c>
      <c r="AB5" s="49" t="s">
        <v>209</v>
      </c>
      <c r="AC5" s="52">
        <v>0.22222222222222221</v>
      </c>
      <c r="AD5" s="49" t="s">
        <v>162</v>
      </c>
      <c r="AE5" s="52">
        <v>0.55000000000000004</v>
      </c>
      <c r="AF5" s="49" t="s">
        <v>126</v>
      </c>
      <c r="AG5" s="52">
        <v>0.41666666666666669</v>
      </c>
      <c r="AH5" s="49" t="s">
        <v>191</v>
      </c>
      <c r="AI5" s="52">
        <v>0.52500000000000002</v>
      </c>
      <c r="AJ5" s="49" t="s">
        <v>191</v>
      </c>
      <c r="AK5" s="56">
        <v>101300</v>
      </c>
    </row>
    <row r="6" spans="1:37" x14ac:dyDescent="0.4">
      <c r="A6" s="46">
        <v>4</v>
      </c>
      <c r="B6" s="49" t="s">
        <v>191</v>
      </c>
      <c r="C6" s="114">
        <v>35</v>
      </c>
      <c r="D6" s="47" t="s">
        <v>138</v>
      </c>
      <c r="E6" s="48">
        <v>1.0658141036401503E-14</v>
      </c>
      <c r="F6" s="49" t="s">
        <v>138</v>
      </c>
      <c r="G6" s="61">
        <v>5.6392280615880964E-17</v>
      </c>
      <c r="H6" s="49" t="s">
        <v>189</v>
      </c>
      <c r="I6" s="53">
        <v>1570.9218609148634</v>
      </c>
      <c r="J6" s="49" t="s">
        <v>138</v>
      </c>
      <c r="K6" s="50">
        <v>2</v>
      </c>
      <c r="L6" s="49" t="s">
        <v>189</v>
      </c>
      <c r="M6" s="51">
        <v>0.35135135135135137</v>
      </c>
      <c r="N6" s="49" t="s">
        <v>138</v>
      </c>
      <c r="O6" s="51">
        <v>0.33333333333333331</v>
      </c>
      <c r="P6" s="49" t="s">
        <v>126</v>
      </c>
      <c r="Q6" s="52">
        <v>0.29937629937629939</v>
      </c>
      <c r="R6" s="49" t="s">
        <v>188</v>
      </c>
      <c r="S6" s="52">
        <v>0.15730337078651685</v>
      </c>
      <c r="T6" s="49" t="s">
        <v>138</v>
      </c>
      <c r="U6" s="53">
        <v>8809.4537815126059</v>
      </c>
      <c r="V6" s="49" t="s">
        <v>138</v>
      </c>
      <c r="W6" s="53">
        <v>-8328.3464566929142</v>
      </c>
      <c r="X6" s="49" t="s">
        <v>188</v>
      </c>
      <c r="Y6" s="51">
        <v>8.3333333333333329E-2</v>
      </c>
      <c r="Z6" s="49" t="s">
        <v>138</v>
      </c>
      <c r="AA6" s="52">
        <v>0.320125786163522</v>
      </c>
      <c r="AB6" s="49" t="s">
        <v>162</v>
      </c>
      <c r="AC6" s="52">
        <v>0.19230769230769232</v>
      </c>
      <c r="AD6" s="49" t="s">
        <v>138</v>
      </c>
      <c r="AE6" s="52">
        <v>0.5461689587426326</v>
      </c>
      <c r="AF6" s="49" t="s">
        <v>188</v>
      </c>
      <c r="AG6" s="52">
        <v>0.41666666666666669</v>
      </c>
      <c r="AH6" s="49" t="s">
        <v>162</v>
      </c>
      <c r="AI6" s="52">
        <v>0.50877192982456143</v>
      </c>
      <c r="AJ6" s="49" t="s">
        <v>187</v>
      </c>
      <c r="AK6" s="56">
        <v>84600</v>
      </c>
    </row>
    <row r="7" spans="1:37" x14ac:dyDescent="0.4">
      <c r="A7" s="46">
        <v>5</v>
      </c>
      <c r="B7" s="49" t="s">
        <v>162</v>
      </c>
      <c r="C7" s="114">
        <v>24</v>
      </c>
      <c r="D7" s="47" t="s">
        <v>188</v>
      </c>
      <c r="E7" s="48">
        <v>-13.399999999999999</v>
      </c>
      <c r="F7" s="49" t="s">
        <v>188</v>
      </c>
      <c r="G7" s="61">
        <v>-1.1166666666666665</v>
      </c>
      <c r="H7" s="49" t="s">
        <v>188</v>
      </c>
      <c r="I7" s="53">
        <v>1550.6754603476463</v>
      </c>
      <c r="J7" s="49" t="s">
        <v>189</v>
      </c>
      <c r="K7" s="50">
        <v>2.0270270270270272</v>
      </c>
      <c r="L7" s="49" t="s">
        <v>188</v>
      </c>
      <c r="M7" s="51">
        <v>0.33333333333333331</v>
      </c>
      <c r="N7" s="49" t="s">
        <v>191</v>
      </c>
      <c r="O7" s="51">
        <v>0.34285714285714286</v>
      </c>
      <c r="P7" s="49" t="s">
        <v>138</v>
      </c>
      <c r="Q7" s="52">
        <v>0.29937106918238993</v>
      </c>
      <c r="R7" s="49" t="s">
        <v>162</v>
      </c>
      <c r="S7" s="52">
        <v>0.15865384615384615</v>
      </c>
      <c r="T7" s="49" t="s">
        <v>191</v>
      </c>
      <c r="U7" s="53">
        <v>8502.5</v>
      </c>
      <c r="V7" s="49" t="s">
        <v>162</v>
      </c>
      <c r="W7" s="53">
        <v>-8390.9090909090901</v>
      </c>
      <c r="X7" s="49" t="s">
        <v>138</v>
      </c>
      <c r="Y7" s="51">
        <v>9.5238095238095233E-2</v>
      </c>
      <c r="Z7" s="49" t="s">
        <v>191</v>
      </c>
      <c r="AA7" s="52">
        <v>0.29929577464788731</v>
      </c>
      <c r="AB7" s="49" t="s">
        <v>138</v>
      </c>
      <c r="AC7" s="52">
        <v>0.18553459119496854</v>
      </c>
      <c r="AD7" s="49" t="s">
        <v>188</v>
      </c>
      <c r="AE7" s="52">
        <v>0.51515151515151514</v>
      </c>
      <c r="AF7" s="49" t="s">
        <v>138</v>
      </c>
      <c r="AG7" s="52">
        <v>0.38305084745762713</v>
      </c>
      <c r="AH7" s="49" t="s">
        <v>187</v>
      </c>
      <c r="AI7" s="52">
        <v>0.48888888888888887</v>
      </c>
      <c r="AJ7" s="49" t="s">
        <v>188</v>
      </c>
      <c r="AK7" s="56">
        <v>83700</v>
      </c>
    </row>
    <row r="8" spans="1:37" x14ac:dyDescent="0.4">
      <c r="A8" s="46">
        <v>6</v>
      </c>
      <c r="B8" s="49" t="s">
        <v>187</v>
      </c>
      <c r="C8" s="114">
        <v>15</v>
      </c>
      <c r="D8" s="47" t="s">
        <v>162</v>
      </c>
      <c r="E8" s="48">
        <v>-54.29999999999999</v>
      </c>
      <c r="F8" s="49" t="s">
        <v>162</v>
      </c>
      <c r="G8" s="61">
        <v>-2.2624999999999997</v>
      </c>
      <c r="H8" s="49" t="s">
        <v>187</v>
      </c>
      <c r="I8" s="53">
        <v>1502.387739697532</v>
      </c>
      <c r="J8" s="49" t="s">
        <v>188</v>
      </c>
      <c r="K8" s="50">
        <v>2.0833333333333335</v>
      </c>
      <c r="L8" s="49" t="s">
        <v>138</v>
      </c>
      <c r="M8" s="51">
        <v>0.33333333333333331</v>
      </c>
      <c r="N8" s="49" t="s">
        <v>189</v>
      </c>
      <c r="O8" s="51">
        <v>0.3783783783783784</v>
      </c>
      <c r="P8" s="49" t="s">
        <v>191</v>
      </c>
      <c r="Q8" s="52">
        <v>0.28169014084507044</v>
      </c>
      <c r="R8" s="49" t="s">
        <v>138</v>
      </c>
      <c r="S8" s="52">
        <v>0.15974842767295597</v>
      </c>
      <c r="T8" s="49" t="s">
        <v>187</v>
      </c>
      <c r="U8" s="53">
        <v>7735.5555555555557</v>
      </c>
      <c r="V8" s="49" t="s">
        <v>209</v>
      </c>
      <c r="W8" s="53">
        <v>-8863.1578947368416</v>
      </c>
      <c r="X8" s="49" t="s">
        <v>209</v>
      </c>
      <c r="Y8" s="51">
        <v>0.1111111111111111</v>
      </c>
      <c r="Z8" s="49" t="s">
        <v>209</v>
      </c>
      <c r="AA8" s="52">
        <v>0.27777777777777779</v>
      </c>
      <c r="AB8" s="49" t="s">
        <v>191</v>
      </c>
      <c r="AC8" s="52">
        <v>0.18309859154929578</v>
      </c>
      <c r="AD8" s="49" t="s">
        <v>126</v>
      </c>
      <c r="AE8" s="52">
        <v>0.50793650793650791</v>
      </c>
      <c r="AF8" s="49" t="s">
        <v>187</v>
      </c>
      <c r="AG8" s="52">
        <v>0.32258064516129031</v>
      </c>
      <c r="AH8" s="49" t="s">
        <v>138</v>
      </c>
      <c r="AI8" s="52">
        <v>0.46218487394957986</v>
      </c>
      <c r="AJ8" s="49" t="s">
        <v>189</v>
      </c>
      <c r="AK8" s="56">
        <v>83400</v>
      </c>
    </row>
    <row r="9" spans="1:37" x14ac:dyDescent="0.4">
      <c r="A9" s="46">
        <v>7</v>
      </c>
      <c r="B9" s="49" t="s">
        <v>188</v>
      </c>
      <c r="C9" s="114">
        <v>12</v>
      </c>
      <c r="D9" s="47" t="s">
        <v>209</v>
      </c>
      <c r="E9" s="48">
        <v>-245.1</v>
      </c>
      <c r="F9" s="49" t="s">
        <v>191</v>
      </c>
      <c r="G9" s="61">
        <v>-11.82</v>
      </c>
      <c r="H9" s="49" t="s">
        <v>209</v>
      </c>
      <c r="I9" s="53">
        <v>1458.4719141494811</v>
      </c>
      <c r="J9" s="49" t="s">
        <v>191</v>
      </c>
      <c r="K9" s="50">
        <v>2.1714285714285713</v>
      </c>
      <c r="L9" s="49" t="s">
        <v>191</v>
      </c>
      <c r="M9" s="51">
        <v>0.17142857142857143</v>
      </c>
      <c r="N9" s="49" t="s">
        <v>188</v>
      </c>
      <c r="O9" s="51">
        <v>0.41666666666666669</v>
      </c>
      <c r="P9" s="49" t="s">
        <v>162</v>
      </c>
      <c r="Q9" s="52">
        <v>0.27403846153846156</v>
      </c>
      <c r="R9" s="49" t="s">
        <v>191</v>
      </c>
      <c r="S9" s="52">
        <v>0.19366197183098591</v>
      </c>
      <c r="T9" s="49" t="s">
        <v>189</v>
      </c>
      <c r="U9" s="53">
        <v>7587.0370370370374</v>
      </c>
      <c r="V9" s="49" t="s">
        <v>188</v>
      </c>
      <c r="W9" s="53">
        <v>-8985.7142857142862</v>
      </c>
      <c r="X9" s="49" t="s">
        <v>162</v>
      </c>
      <c r="Y9" s="51">
        <v>0.125</v>
      </c>
      <c r="Z9" s="49" t="s">
        <v>187</v>
      </c>
      <c r="AA9" s="52">
        <v>0.27272727272727271</v>
      </c>
      <c r="AB9" s="49" t="s">
        <v>126</v>
      </c>
      <c r="AC9" s="52">
        <v>0.1496881496881497</v>
      </c>
      <c r="AD9" s="49" t="s">
        <v>209</v>
      </c>
      <c r="AE9" s="52">
        <v>0.5</v>
      </c>
      <c r="AF9" s="49" t="s">
        <v>209</v>
      </c>
      <c r="AG9" s="52">
        <v>0.1875</v>
      </c>
      <c r="AH9" s="49" t="s">
        <v>126</v>
      </c>
      <c r="AI9" s="52">
        <v>0.41666666666666669</v>
      </c>
      <c r="AJ9" s="49" t="s">
        <v>162</v>
      </c>
      <c r="AK9" s="56">
        <v>64600</v>
      </c>
    </row>
    <row r="10" spans="1:37" x14ac:dyDescent="0.4">
      <c r="A10" s="46">
        <v>8</v>
      </c>
      <c r="B10" s="49" t="s">
        <v>209</v>
      </c>
      <c r="C10" s="114">
        <v>9</v>
      </c>
      <c r="D10" s="47" t="s">
        <v>191</v>
      </c>
      <c r="E10" s="48">
        <v>-413.7</v>
      </c>
      <c r="F10" s="49" t="s">
        <v>209</v>
      </c>
      <c r="G10" s="61">
        <v>-27.233333333333334</v>
      </c>
      <c r="H10" s="49" t="s">
        <v>191</v>
      </c>
      <c r="I10" s="53">
        <v>1344.4274814773617</v>
      </c>
      <c r="J10" s="49" t="s">
        <v>209</v>
      </c>
      <c r="K10" s="50">
        <v>2.5555555555555554</v>
      </c>
      <c r="L10" s="49" t="s">
        <v>209</v>
      </c>
      <c r="M10" s="51">
        <v>0.1111111111111111</v>
      </c>
      <c r="N10" s="49" t="s">
        <v>209</v>
      </c>
      <c r="O10" s="51">
        <v>0.66666666666666663</v>
      </c>
      <c r="P10" s="49" t="s">
        <v>209</v>
      </c>
      <c r="Q10" s="52">
        <v>0.20833333333333334</v>
      </c>
      <c r="R10" s="49" t="s">
        <v>209</v>
      </c>
      <c r="S10" s="52">
        <v>0.2638888888888889</v>
      </c>
      <c r="T10" s="49" t="s">
        <v>209</v>
      </c>
      <c r="U10" s="53">
        <v>6533.333333333333</v>
      </c>
      <c r="V10" s="49" t="s">
        <v>191</v>
      </c>
      <c r="W10" s="53">
        <v>-9372.7272727272721</v>
      </c>
      <c r="X10" s="49" t="s">
        <v>191</v>
      </c>
      <c r="Y10" s="51">
        <v>0.2</v>
      </c>
      <c r="Z10" s="49" t="s">
        <v>189</v>
      </c>
      <c r="AA10" s="52">
        <v>0.20370370370370369</v>
      </c>
      <c r="AB10" s="49" t="s">
        <v>188</v>
      </c>
      <c r="AC10" s="52">
        <v>0.1348314606741573</v>
      </c>
      <c r="AD10" s="49" t="s">
        <v>191</v>
      </c>
      <c r="AE10" s="52">
        <v>0.49411764705882355</v>
      </c>
      <c r="AF10" s="49" t="s">
        <v>162</v>
      </c>
      <c r="AG10" s="52">
        <v>0.17499999999999999</v>
      </c>
      <c r="AH10" s="49" t="s">
        <v>189</v>
      </c>
      <c r="AI10" s="52">
        <v>0.3888888888888889</v>
      </c>
      <c r="AJ10" s="49" t="s">
        <v>209</v>
      </c>
      <c r="AK10" s="56">
        <v>47600</v>
      </c>
    </row>
  </sheetData>
  <sortState xmlns:xlrd2="http://schemas.microsoft.com/office/spreadsheetml/2017/richdata2" ref="AJ3:AK55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821A-9A64-4BA4-BF1F-E5D504FDC09B}">
  <sheetPr codeName="Sheet4"/>
  <dimension ref="A1:R19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189</v>
      </c>
      <c r="C2" s="134"/>
      <c r="E2" s="26" t="s">
        <v>66</v>
      </c>
      <c r="F2" s="23" t="s">
        <v>22</v>
      </c>
      <c r="G2" s="11">
        <v>307</v>
      </c>
      <c r="H2" s="87">
        <f>IF(B$20=0,0,G2/B$20)</f>
        <v>0.64495798319327735</v>
      </c>
      <c r="I2" s="57">
        <v>4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-26.455026455026456</v>
      </c>
      <c r="Q2" s="76">
        <v>189</v>
      </c>
      <c r="R2" s="63">
        <v>-5000</v>
      </c>
    </row>
    <row r="3" spans="1:18" x14ac:dyDescent="0.4">
      <c r="A3" s="19" t="s">
        <v>8</v>
      </c>
      <c r="B3" s="135">
        <v>1590</v>
      </c>
      <c r="C3" s="136"/>
      <c r="E3" s="27" t="s">
        <v>64</v>
      </c>
      <c r="F3" s="24" t="s">
        <v>20</v>
      </c>
      <c r="G3" s="12">
        <v>277</v>
      </c>
      <c r="H3" s="88">
        <f>IF(B$20=0,0,G3/B$20)</f>
        <v>0.58193277310924374</v>
      </c>
      <c r="I3" s="58">
        <v>6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10.75268817204301</v>
      </c>
      <c r="Q3" s="77">
        <v>186</v>
      </c>
      <c r="R3" s="64">
        <v>2000</v>
      </c>
    </row>
    <row r="4" spans="1:18" x14ac:dyDescent="0.4">
      <c r="A4" s="19" t="s">
        <v>6</v>
      </c>
      <c r="B4" s="137">
        <v>1.0658141036401503E-14</v>
      </c>
      <c r="C4" s="138"/>
      <c r="E4" s="27" t="s">
        <v>72</v>
      </c>
      <c r="F4" s="24" t="s">
        <v>27</v>
      </c>
      <c r="G4" s="12">
        <v>227</v>
      </c>
      <c r="H4" s="88">
        <f>IF(B$20=0,0,G4/B$20)</f>
        <v>0.47689075630252103</v>
      </c>
      <c r="I4" s="58">
        <v>4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5.4644808743169397</v>
      </c>
      <c r="Q4" s="77">
        <v>183</v>
      </c>
      <c r="R4" s="64">
        <v>1000</v>
      </c>
    </row>
    <row r="5" spans="1:18" x14ac:dyDescent="0.4">
      <c r="A5" s="19" t="s">
        <v>7</v>
      </c>
      <c r="B5" s="125">
        <f>IF(B$2=0,0,B$4/B$2)</f>
        <v>5.6392280615880964E-17</v>
      </c>
      <c r="C5" s="126"/>
      <c r="E5" s="27" t="s">
        <v>158</v>
      </c>
      <c r="F5" s="24" t="s">
        <v>159</v>
      </c>
      <c r="G5" s="12">
        <v>219</v>
      </c>
      <c r="H5" s="88">
        <f>IF(B$20=0,0,G5/B$20)</f>
        <v>0.46008403361344535</v>
      </c>
      <c r="I5" s="58">
        <v>5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-5.6497175141242941</v>
      </c>
      <c r="Q5" s="77">
        <v>177</v>
      </c>
      <c r="R5" s="64">
        <v>-1000</v>
      </c>
    </row>
    <row r="6" spans="1:18" x14ac:dyDescent="0.4">
      <c r="A6" s="19" t="s">
        <v>192</v>
      </c>
      <c r="B6" s="129">
        <v>1604.525423148091</v>
      </c>
      <c r="C6" s="130"/>
      <c r="E6" s="27" t="s">
        <v>68</v>
      </c>
      <c r="F6" s="24" t="s">
        <v>12</v>
      </c>
      <c r="G6" s="12">
        <v>173</v>
      </c>
      <c r="H6" s="88">
        <f>IF(B$20=0,0,G6/B$20)</f>
        <v>0.36344537815126049</v>
      </c>
      <c r="I6" s="58">
        <v>5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0</v>
      </c>
      <c r="Q6" s="77">
        <v>162</v>
      </c>
      <c r="R6" s="64">
        <v>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149</v>
      </c>
      <c r="H7" s="88">
        <f>IF(B$20=0,0,G7/B$20)</f>
        <v>0.31302521008403361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21.276595744680851</v>
      </c>
      <c r="Q7" s="78">
        <v>141</v>
      </c>
      <c r="R7" s="65">
        <v>3000</v>
      </c>
    </row>
    <row r="8" spans="1:18" x14ac:dyDescent="0.4">
      <c r="A8" s="19" t="s">
        <v>2</v>
      </c>
      <c r="B8" s="12">
        <v>63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76</v>
      </c>
      <c r="H8" s="88">
        <f>IF(B$20=0,0,G8/B$20)</f>
        <v>0.15966386554621848</v>
      </c>
      <c r="I8" s="58">
        <v>4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63</v>
      </c>
      <c r="C9" s="6">
        <f t="shared" si="1"/>
        <v>0.33333333333333331</v>
      </c>
      <c r="E9" s="27" t="s">
        <v>65</v>
      </c>
      <c r="F9" s="24" t="s">
        <v>21</v>
      </c>
      <c r="G9" s="12">
        <v>65</v>
      </c>
      <c r="H9" s="88">
        <f>IF(B$20=0,0,G9/B$20)</f>
        <v>0.13655462184873948</v>
      </c>
      <c r="I9" s="58">
        <v>5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63</v>
      </c>
      <c r="C10" s="7">
        <f t="shared" si="1"/>
        <v>0.33333333333333331</v>
      </c>
      <c r="E10" s="27" t="s">
        <v>89</v>
      </c>
      <c r="F10" s="24" t="s">
        <v>44</v>
      </c>
      <c r="G10" s="12">
        <v>62</v>
      </c>
      <c r="H10" s="88">
        <f>IF(B$20=0,0,G10/B$20)</f>
        <v>0.13025210084033614</v>
      </c>
      <c r="I10" s="58">
        <v>5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-8.4079365079365065</v>
      </c>
      <c r="Q10" s="76">
        <v>63</v>
      </c>
      <c r="R10" s="67">
        <v>-529.69999999999993</v>
      </c>
    </row>
    <row r="11" spans="1:18" x14ac:dyDescent="0.4">
      <c r="A11" s="20" t="s">
        <v>183</v>
      </c>
      <c r="B11" s="109">
        <f>IF(B8=0,0,C11/B8)</f>
        <v>47.05555555555555</v>
      </c>
      <c r="C11" s="110">
        <v>2964.4999999999995</v>
      </c>
      <c r="E11" s="27" t="s">
        <v>70</v>
      </c>
      <c r="F11" s="24" t="s">
        <v>25</v>
      </c>
      <c r="G11" s="12">
        <v>56</v>
      </c>
      <c r="H11" s="88">
        <f>IF(B$20=0,0,G11/B$20)</f>
        <v>0.11764705882352941</v>
      </c>
      <c r="I11" s="58">
        <v>5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2.5809523809523811</v>
      </c>
      <c r="Q11" s="77">
        <v>63</v>
      </c>
      <c r="R11" s="68">
        <v>162.60000000000002</v>
      </c>
    </row>
    <row r="12" spans="1:18" x14ac:dyDescent="0.4">
      <c r="A12" s="20" t="s">
        <v>184</v>
      </c>
      <c r="B12" s="109">
        <f>IF(B9=0,0,C12/B9)</f>
        <v>-2.028571428571428</v>
      </c>
      <c r="C12" s="110">
        <v>-127.79999999999997</v>
      </c>
      <c r="E12" s="27" t="s">
        <v>71</v>
      </c>
      <c r="F12" s="24" t="s">
        <v>26</v>
      </c>
      <c r="G12" s="12">
        <v>34</v>
      </c>
      <c r="H12" s="88">
        <f>IF(B$20=0,0,G12/B$20)</f>
        <v>7.1428571428571425E-2</v>
      </c>
      <c r="I12" s="58">
        <v>6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5.826984126984124</v>
      </c>
      <c r="Q12" s="78">
        <v>63</v>
      </c>
      <c r="R12" s="69">
        <v>367.0999999999998</v>
      </c>
    </row>
    <row r="13" spans="1:18" x14ac:dyDescent="0.4">
      <c r="A13" s="20" t="s">
        <v>185</v>
      </c>
      <c r="B13" s="109">
        <f>IF(B10=0,0,C13/B10)</f>
        <v>-45.026984126984125</v>
      </c>
      <c r="C13" s="110">
        <v>-2836.7</v>
      </c>
      <c r="E13" s="27" t="s">
        <v>86</v>
      </c>
      <c r="F13" s="24" t="s">
        <v>41</v>
      </c>
      <c r="G13" s="12">
        <v>32</v>
      </c>
      <c r="H13" s="88">
        <f>IF(B$20=0,0,G13/B$20)</f>
        <v>6.7226890756302518E-2</v>
      </c>
      <c r="I13" s="58">
        <v>3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81</v>
      </c>
      <c r="F14" s="24" t="s">
        <v>36</v>
      </c>
      <c r="G14" s="12">
        <v>16</v>
      </c>
      <c r="H14" s="88">
        <f>IF(B$20=0,0,G14/B$20)</f>
        <v>3.3613445378151259E-2</v>
      </c>
      <c r="I14" s="58">
        <v>5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18</v>
      </c>
      <c r="C15" s="9">
        <f t="shared" si="1"/>
        <v>9.5238095238095233E-2</v>
      </c>
      <c r="E15" s="27" t="s">
        <v>83</v>
      </c>
      <c r="F15" s="24" t="s">
        <v>38</v>
      </c>
      <c r="G15" s="12">
        <v>14</v>
      </c>
      <c r="H15" s="88">
        <f>IF(B$20=0,0,G15/B$20)</f>
        <v>2.9411764705882353E-2</v>
      </c>
      <c r="I15" s="58">
        <v>4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509</v>
      </c>
      <c r="C16" s="10">
        <f>IF(B$3=0,0,B16/B$3)</f>
        <v>0.320125786163522</v>
      </c>
      <c r="E16" s="27" t="s">
        <v>78</v>
      </c>
      <c r="F16" s="24" t="s">
        <v>33</v>
      </c>
      <c r="G16" s="12">
        <v>11</v>
      </c>
      <c r="H16" s="88">
        <f>IF(B$20=0,0,G16/B$20)</f>
        <v>2.3109243697478993E-2</v>
      </c>
      <c r="I16" s="58">
        <v>4</v>
      </c>
      <c r="K16" s="74">
        <v>14</v>
      </c>
      <c r="L16" s="119">
        <v>33.6</v>
      </c>
      <c r="M16" s="117">
        <v>1614.4779292016872</v>
      </c>
      <c r="O16" s="74" t="s">
        <v>191</v>
      </c>
      <c r="P16" s="83">
        <f>IF(Q16=0,0,R16/Q16)</f>
        <v>17.730000000000004</v>
      </c>
      <c r="Q16" s="77">
        <v>70</v>
      </c>
      <c r="R16" s="68">
        <v>1241.1000000000004</v>
      </c>
    </row>
    <row r="17" spans="1:18" x14ac:dyDescent="0.4">
      <c r="A17" s="19" t="s">
        <v>118</v>
      </c>
      <c r="B17" s="12">
        <v>295</v>
      </c>
      <c r="C17" s="6">
        <f>IF(B$3=0,0,B17/B$3)</f>
        <v>0.18553459119496854</v>
      </c>
      <c r="E17" s="27" t="s">
        <v>91</v>
      </c>
      <c r="F17" s="24" t="s">
        <v>46</v>
      </c>
      <c r="G17" s="12">
        <v>7</v>
      </c>
      <c r="H17" s="88">
        <f>IF(B$20=0,0,G17/B$20)</f>
        <v>1.4705882352941176E-2</v>
      </c>
      <c r="I17" s="58">
        <v>3</v>
      </c>
      <c r="K17" s="74">
        <v>15</v>
      </c>
      <c r="L17" s="119">
        <v>0</v>
      </c>
      <c r="M17" s="117">
        <v>1607.9530616264772</v>
      </c>
      <c r="O17" s="74" t="s">
        <v>162</v>
      </c>
      <c r="P17" s="83">
        <f>IF(Q17=0,0,R17/Q17)</f>
        <v>3.3937499999999932</v>
      </c>
      <c r="Q17" s="77">
        <v>48</v>
      </c>
      <c r="R17" s="68">
        <v>162.89999999999966</v>
      </c>
    </row>
    <row r="18" spans="1:18" x14ac:dyDescent="0.4">
      <c r="A18" s="18" t="s">
        <v>123</v>
      </c>
      <c r="B18" s="11">
        <f>B24</f>
        <v>278</v>
      </c>
      <c r="C18" s="5">
        <f>IF(B$16=0,0,B18/B$16)</f>
        <v>0.5461689587426326</v>
      </c>
      <c r="E18" s="27" t="s">
        <v>73</v>
      </c>
      <c r="F18" s="24" t="s">
        <v>28</v>
      </c>
      <c r="G18" s="12">
        <v>6</v>
      </c>
      <c r="H18" s="88">
        <f>IF(B$20=0,0,G18/B$20)</f>
        <v>1.2605042016806723E-2</v>
      </c>
      <c r="I18" s="58">
        <v>4</v>
      </c>
      <c r="K18" s="74">
        <v>16</v>
      </c>
      <c r="L18" s="119">
        <v>1.4</v>
      </c>
      <c r="M18" s="117">
        <v>1608.3733432567183</v>
      </c>
      <c r="O18" s="74" t="s">
        <v>188</v>
      </c>
      <c r="P18" s="83">
        <f>IF(Q18=0,0,R18/Q18)</f>
        <v>1.6750000000000025</v>
      </c>
      <c r="Q18" s="77">
        <v>24</v>
      </c>
      <c r="R18" s="68">
        <v>40.20000000000006</v>
      </c>
    </row>
    <row r="19" spans="1:18" x14ac:dyDescent="0.4">
      <c r="A19" s="18" t="s">
        <v>124</v>
      </c>
      <c r="B19" s="11">
        <f>B25</f>
        <v>113</v>
      </c>
      <c r="C19" s="5">
        <f>IF(B$17=0,0,B19/B$17)</f>
        <v>0.38305084745762713</v>
      </c>
      <c r="E19" s="27" t="s">
        <v>79</v>
      </c>
      <c r="F19" s="24" t="s">
        <v>34</v>
      </c>
      <c r="G19" s="12">
        <v>5</v>
      </c>
      <c r="H19" s="88">
        <f>IF(B$20=0,0,G19/B$20)</f>
        <v>1.050420168067227E-2</v>
      </c>
      <c r="I19" s="58">
        <v>3</v>
      </c>
      <c r="K19" s="74">
        <v>17</v>
      </c>
      <c r="L19" s="119">
        <v>32.700000000000003</v>
      </c>
      <c r="M19" s="117">
        <v>1614.1731031971779</v>
      </c>
      <c r="O19" s="74" t="s">
        <v>189</v>
      </c>
      <c r="P19" s="83">
        <f>IF(Q19=0,0,R19/Q19)</f>
        <v>-2.1</v>
      </c>
      <c r="Q19" s="77">
        <v>74</v>
      </c>
      <c r="R19" s="68">
        <v>-155.4</v>
      </c>
    </row>
    <row r="20" spans="1:18" x14ac:dyDescent="0.4">
      <c r="A20" s="18" t="s">
        <v>10</v>
      </c>
      <c r="B20" s="11">
        <f>B23+B22</f>
        <v>476</v>
      </c>
      <c r="C20" s="5">
        <f>IF(B$3=0,0,B20/B$3)</f>
        <v>0.29937106918238993</v>
      </c>
      <c r="E20" s="27" t="s">
        <v>75</v>
      </c>
      <c r="F20" s="24" t="s">
        <v>30</v>
      </c>
      <c r="G20" s="12">
        <v>4</v>
      </c>
      <c r="H20" s="88">
        <f>IF(B$20=0,0,G20/B$20)</f>
        <v>8.4033613445378148E-3</v>
      </c>
      <c r="I20" s="58">
        <v>3</v>
      </c>
      <c r="K20" s="74">
        <v>18</v>
      </c>
      <c r="L20" s="119">
        <v>0</v>
      </c>
      <c r="M20" s="117">
        <v>1608.4180645779948</v>
      </c>
      <c r="O20" s="74" t="s">
        <v>126</v>
      </c>
      <c r="P20" s="83">
        <f>IF(Q20=0,0,R20/Q20)</f>
        <v>-13.494736842105263</v>
      </c>
      <c r="Q20" s="77">
        <v>114</v>
      </c>
      <c r="R20" s="68">
        <v>-1538.4</v>
      </c>
    </row>
    <row r="21" spans="1:18" x14ac:dyDescent="0.4">
      <c r="A21" s="19" t="s">
        <v>13</v>
      </c>
      <c r="B21" s="12">
        <v>254</v>
      </c>
      <c r="C21" s="6">
        <f>IF(B$3=0,0,B21/B$3)</f>
        <v>0.15974842767295597</v>
      </c>
      <c r="E21" s="27" t="s">
        <v>74</v>
      </c>
      <c r="F21" s="24" t="s">
        <v>29</v>
      </c>
      <c r="G21" s="12">
        <v>2</v>
      </c>
      <c r="H21" s="88">
        <f>IF(B$20=0,0,G21/B$20)</f>
        <v>4.2016806722689074E-3</v>
      </c>
      <c r="I21" s="58">
        <v>3</v>
      </c>
      <c r="K21" s="74">
        <v>19</v>
      </c>
      <c r="L21" s="119">
        <v>7.6</v>
      </c>
      <c r="M21" s="117">
        <v>1609.3575561905268</v>
      </c>
      <c r="O21" s="74" t="s">
        <v>187</v>
      </c>
      <c r="P21" s="83">
        <f>IF(Q21=0,0,R21/Q21)</f>
        <v>-16.190000000000001</v>
      </c>
      <c r="Q21" s="77">
        <v>30</v>
      </c>
      <c r="R21" s="68">
        <v>-485.7</v>
      </c>
    </row>
    <row r="22" spans="1:18" x14ac:dyDescent="0.4">
      <c r="A22" s="19" t="s">
        <v>12</v>
      </c>
      <c r="B22" s="12">
        <v>220</v>
      </c>
      <c r="C22" s="6">
        <f>IF(B$20=0,0,B22/B$20)</f>
        <v>0.46218487394957986</v>
      </c>
      <c r="E22" s="27" t="s">
        <v>92</v>
      </c>
      <c r="F22" s="24" t="s">
        <v>47</v>
      </c>
      <c r="G22" s="12">
        <v>2</v>
      </c>
      <c r="H22" s="88">
        <f>IF(B$20=0,0,G22/B$20)</f>
        <v>4.2016806722689074E-3</v>
      </c>
      <c r="I22" s="58">
        <v>2</v>
      </c>
      <c r="K22" s="74">
        <v>20</v>
      </c>
      <c r="L22" s="119">
        <v>41.2</v>
      </c>
      <c r="M22" s="117">
        <v>1614.9714108533835</v>
      </c>
    </row>
    <row r="23" spans="1:18" x14ac:dyDescent="0.4">
      <c r="A23" s="19" t="s">
        <v>11</v>
      </c>
      <c r="B23" s="12">
        <v>256</v>
      </c>
      <c r="C23" s="6">
        <f>IF(B$20=0,0,B23/B$20)</f>
        <v>0.53781512605042014</v>
      </c>
      <c r="E23" s="27" t="s">
        <v>93</v>
      </c>
      <c r="F23" s="24" t="s">
        <v>48</v>
      </c>
      <c r="G23" s="12">
        <v>2</v>
      </c>
      <c r="H23" s="88">
        <f>IF(B$20=0,0,G23/B$20)</f>
        <v>4.2016806722689074E-3</v>
      </c>
      <c r="I23" s="58">
        <v>2</v>
      </c>
      <c r="K23" s="74">
        <v>21</v>
      </c>
      <c r="L23" s="119">
        <v>0</v>
      </c>
      <c r="M23" s="117">
        <v>1607.0875823882632</v>
      </c>
    </row>
    <row r="24" spans="1:18" x14ac:dyDescent="0.4">
      <c r="A24" s="19" t="s">
        <v>182</v>
      </c>
      <c r="B24" s="12">
        <v>278</v>
      </c>
      <c r="C24" s="6">
        <f>IF(B$20=0,0,B24/B$20)</f>
        <v>0.58403361344537819</v>
      </c>
      <c r="E24" s="27" t="s">
        <v>154</v>
      </c>
      <c r="F24" s="24" t="s">
        <v>155</v>
      </c>
      <c r="G24" s="12">
        <v>2</v>
      </c>
      <c r="H24" s="88">
        <f>IF(B$20=0,0,G24/B$20)</f>
        <v>4.2016806722689074E-3</v>
      </c>
      <c r="I24" s="58">
        <v>3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113</v>
      </c>
      <c r="C25" s="6">
        <f>IF(B$20=0,0,B25/B$20)</f>
        <v>0.23739495798319327</v>
      </c>
      <c r="E25" s="27" t="s">
        <v>76</v>
      </c>
      <c r="F25" s="24" t="s">
        <v>31</v>
      </c>
      <c r="G25" s="12">
        <v>1</v>
      </c>
      <c r="H25" s="88">
        <f>IF(B$20=0,0,G25/B$20)</f>
        <v>2.1008403361344537E-3</v>
      </c>
      <c r="I25" s="58">
        <v>2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85</v>
      </c>
      <c r="C26" s="6">
        <f>IF(B$20=0,0,B26/B$20)</f>
        <v>0.17857142857142858</v>
      </c>
      <c r="E26" s="27" t="s">
        <v>87</v>
      </c>
      <c r="F26" s="24" t="s">
        <v>42</v>
      </c>
      <c r="G26" s="12">
        <v>1</v>
      </c>
      <c r="H26" s="88">
        <f>IF(B$20=0,0,G26/B$20)</f>
        <v>2.1008403361344537E-3</v>
      </c>
      <c r="I26" s="58">
        <v>2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8809.4537815126059</v>
      </c>
      <c r="C27" s="8">
        <v>4193300</v>
      </c>
      <c r="E27" s="27" t="s">
        <v>90</v>
      </c>
      <c r="F27" s="24" t="s">
        <v>45</v>
      </c>
      <c r="G27" s="12">
        <v>1</v>
      </c>
      <c r="H27" s="88">
        <f>IF(B$20=0,0,G27/B$20)</f>
        <v>2.1008403361344537E-3</v>
      </c>
      <c r="I27" s="58">
        <v>2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9263.9118457300283</v>
      </c>
      <c r="C28" s="96">
        <v>3362800</v>
      </c>
      <c r="E28" s="27" t="s">
        <v>94</v>
      </c>
      <c r="F28" s="24" t="s">
        <v>49</v>
      </c>
      <c r="G28" s="12">
        <v>1</v>
      </c>
      <c r="H28" s="88">
        <f>IF(B$20=0,0,G28/B$20)</f>
        <v>2.1008403361344537E-3</v>
      </c>
      <c r="I28" s="58">
        <v>2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7349.5575221238942</v>
      </c>
      <c r="C29" s="96">
        <v>830500</v>
      </c>
      <c r="E29" s="27" t="s">
        <v>99</v>
      </c>
      <c r="F29" s="24" t="s">
        <v>54</v>
      </c>
      <c r="G29" s="12">
        <v>1</v>
      </c>
      <c r="H29" s="88">
        <f>IF(B$20=0,0,G29/B$20)</f>
        <v>2.1008403361344537E-3</v>
      </c>
      <c r="I29" s="58">
        <v>2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-8328.3464566929142</v>
      </c>
      <c r="C30" s="96">
        <v>-2115400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1</v>
      </c>
      <c r="E31" s="27" t="s">
        <v>80</v>
      </c>
      <c r="F31" s="24" t="s">
        <v>35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43</v>
      </c>
      <c r="C32" s="90">
        <v>5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6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144300</v>
      </c>
      <c r="C34" s="130"/>
      <c r="E34" s="27" t="s">
        <v>85</v>
      </c>
      <c r="F34" s="24" t="s">
        <v>40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3</v>
      </c>
      <c r="C35" s="9">
        <f>IF(B$3=0,0,B35/B$3)</f>
        <v>1.8867924528301887E-3</v>
      </c>
      <c r="E35" s="27" t="s">
        <v>88</v>
      </c>
      <c r="F35" s="24" t="s">
        <v>43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24</v>
      </c>
      <c r="C37" s="98">
        <f t="shared" ref="C37:C49" si="2">IF(B$20=0,0,B37/B$20)</f>
        <v>5.0420168067226892E-2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78</v>
      </c>
      <c r="C38" s="6">
        <f t="shared" si="2"/>
        <v>0.1638655462184874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95</v>
      </c>
      <c r="C39" s="6">
        <f t="shared" si="2"/>
        <v>0.19957983193277312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94</v>
      </c>
      <c r="C40" s="6">
        <f t="shared" si="2"/>
        <v>0.19747899159663865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74</v>
      </c>
      <c r="C41" s="6">
        <f t="shared" si="2"/>
        <v>0.15546218487394958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47</v>
      </c>
      <c r="C42" s="6">
        <f t="shared" si="2"/>
        <v>9.8739495798319324E-2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28</v>
      </c>
      <c r="C43" s="6">
        <f t="shared" si="2"/>
        <v>5.8823529411764705E-2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17</v>
      </c>
      <c r="C44" s="6">
        <f t="shared" si="2"/>
        <v>3.5714285714285712E-2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4</v>
      </c>
      <c r="C45" s="6">
        <f t="shared" si="2"/>
        <v>8.4033613445378148E-3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5</v>
      </c>
      <c r="C46" s="6">
        <f t="shared" si="2"/>
        <v>1.050420168067227E-2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2</v>
      </c>
      <c r="C47" s="6">
        <f t="shared" si="2"/>
        <v>4.2016806722689074E-3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8</v>
      </c>
      <c r="C49" s="9">
        <f t="shared" si="2"/>
        <v>1.680672268907563E-2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  <row r="54" spans="1:13" x14ac:dyDescent="0.4">
      <c r="K54" s="74">
        <v>52</v>
      </c>
      <c r="L54" s="119">
        <v>4.9999999999999858</v>
      </c>
      <c r="M54" s="117">
        <v>1609.1375214464435</v>
      </c>
    </row>
    <row r="55" spans="1:13" x14ac:dyDescent="0.4">
      <c r="K55" s="74">
        <v>53</v>
      </c>
      <c r="L55" s="119">
        <v>40.299999999999983</v>
      </c>
      <c r="M55" s="117">
        <v>1615.5326963177649</v>
      </c>
    </row>
    <row r="56" spans="1:13" x14ac:dyDescent="0.4">
      <c r="K56" s="74">
        <v>54</v>
      </c>
      <c r="L56" s="119">
        <v>-1.4210854715202004E-14</v>
      </c>
      <c r="M56" s="117">
        <v>1608.2815001398583</v>
      </c>
    </row>
    <row r="57" spans="1:13" x14ac:dyDescent="0.4">
      <c r="K57" s="74">
        <v>55</v>
      </c>
      <c r="L57" s="119">
        <v>-54.200000000000017</v>
      </c>
      <c r="M57" s="117">
        <v>1598.3138111390192</v>
      </c>
    </row>
    <row r="58" spans="1:13" x14ac:dyDescent="0.4">
      <c r="K58" s="74">
        <v>56</v>
      </c>
      <c r="L58" s="119">
        <v>21.199999999999989</v>
      </c>
      <c r="M58" s="117">
        <v>1611.733928272185</v>
      </c>
    </row>
    <row r="59" spans="1:13" x14ac:dyDescent="0.4">
      <c r="K59" s="74">
        <v>57</v>
      </c>
      <c r="L59" s="119">
        <v>-1.0658141036401503E-14</v>
      </c>
      <c r="M59" s="117">
        <v>1607.6855247025519</v>
      </c>
    </row>
    <row r="60" spans="1:13" x14ac:dyDescent="0.4">
      <c r="K60" s="74">
        <v>58</v>
      </c>
      <c r="L60" s="119">
        <v>-12.500000000000011</v>
      </c>
      <c r="M60" s="117">
        <v>1605.2274115543366</v>
      </c>
    </row>
    <row r="61" spans="1:13" x14ac:dyDescent="0.4">
      <c r="K61" s="74">
        <v>59</v>
      </c>
      <c r="L61" s="119">
        <v>40.499999999999986</v>
      </c>
      <c r="M61" s="117">
        <v>1614.5740470850105</v>
      </c>
    </row>
    <row r="62" spans="1:13" x14ac:dyDescent="0.4">
      <c r="K62" s="74">
        <v>60</v>
      </c>
      <c r="L62" s="119">
        <v>-1.4210854715202004E-14</v>
      </c>
      <c r="M62" s="117">
        <v>1607.0346028025006</v>
      </c>
    </row>
    <row r="63" spans="1:13" x14ac:dyDescent="0.4">
      <c r="K63" s="74">
        <v>61</v>
      </c>
      <c r="L63" s="119">
        <v>12.099999999999985</v>
      </c>
      <c r="M63" s="117">
        <v>1609.0083951856855</v>
      </c>
    </row>
    <row r="64" spans="1:13" x14ac:dyDescent="0.4">
      <c r="K64" s="74">
        <v>62</v>
      </c>
      <c r="L64" s="119">
        <v>45.999999999999986</v>
      </c>
      <c r="M64" s="117">
        <v>1614.8943448145712</v>
      </c>
    </row>
    <row r="65" spans="11:13" x14ac:dyDescent="0.4">
      <c r="K65" s="74">
        <v>63</v>
      </c>
      <c r="L65" s="119">
        <v>-1.4210854715202004E-14</v>
      </c>
      <c r="M65" s="117">
        <v>1606.3629787456839</v>
      </c>
    </row>
    <row r="66" spans="11:13" x14ac:dyDescent="0.4">
      <c r="K66" s="74">
        <v>64</v>
      </c>
      <c r="L66" s="119">
        <v>-1.8000000000000143</v>
      </c>
      <c r="M66" s="117">
        <v>1605.8388008732097</v>
      </c>
    </row>
    <row r="67" spans="11:13" x14ac:dyDescent="0.4">
      <c r="K67" s="74">
        <v>65</v>
      </c>
      <c r="L67" s="119">
        <v>-32.600000000000016</v>
      </c>
      <c r="M67" s="117">
        <v>1600.0977680679705</v>
      </c>
    </row>
    <row r="68" spans="11:13" x14ac:dyDescent="0.4">
      <c r="K68" s="74">
        <v>66</v>
      </c>
      <c r="L68" s="119">
        <v>-1.4210854715202004E-14</v>
      </c>
      <c r="M68" s="117">
        <v>1605.8031814595627</v>
      </c>
    </row>
    <row r="69" spans="11:13" x14ac:dyDescent="0.4">
      <c r="K69" s="74">
        <v>67</v>
      </c>
      <c r="L69" s="119">
        <v>-55.500000000000014</v>
      </c>
      <c r="M69" s="117">
        <v>1595.6163623708053</v>
      </c>
    </row>
    <row r="70" spans="11:13" x14ac:dyDescent="0.4">
      <c r="K70" s="74">
        <v>68</v>
      </c>
      <c r="L70" s="119">
        <v>-4.5000000000000142</v>
      </c>
      <c r="M70" s="117">
        <v>1604.6606641965805</v>
      </c>
    </row>
    <row r="71" spans="11:13" x14ac:dyDescent="0.4">
      <c r="K71" s="74">
        <v>69</v>
      </c>
      <c r="L71" s="119">
        <v>-1.4210854715202004E-14</v>
      </c>
      <c r="M71" s="117">
        <v>1605.2807002114009</v>
      </c>
    </row>
    <row r="72" spans="11:13" x14ac:dyDescent="0.4">
      <c r="K72" s="74">
        <v>70</v>
      </c>
      <c r="L72" s="119">
        <v>3.4999999999999858</v>
      </c>
      <c r="M72" s="117">
        <v>1605.7170160101325</v>
      </c>
    </row>
    <row r="73" spans="11:13" x14ac:dyDescent="0.4">
      <c r="K73" s="74">
        <v>71</v>
      </c>
      <c r="L73" s="119">
        <v>32.499999999999986</v>
      </c>
      <c r="M73" s="117">
        <v>1610.7407139140716</v>
      </c>
    </row>
    <row r="74" spans="11:13" x14ac:dyDescent="0.4">
      <c r="K74" s="74">
        <v>72</v>
      </c>
      <c r="L74" s="119">
        <v>-1.4210854715202004E-14</v>
      </c>
      <c r="M74" s="117">
        <v>1604.6642696305871</v>
      </c>
    </row>
    <row r="75" spans="11:13" x14ac:dyDescent="0.4">
      <c r="K75" s="74">
        <v>73</v>
      </c>
      <c r="L75" s="119">
        <v>40.599999999999987</v>
      </c>
      <c r="M75" s="117">
        <v>1611.7822840128035</v>
      </c>
    </row>
    <row r="76" spans="11:13" x14ac:dyDescent="0.4">
      <c r="K76" s="74">
        <v>74</v>
      </c>
      <c r="L76" s="119">
        <v>60.299999999999983</v>
      </c>
      <c r="M76" s="117">
        <v>1615.0955903087267</v>
      </c>
    </row>
    <row r="77" spans="11:13" x14ac:dyDescent="0.4">
      <c r="K77" s="74">
        <v>75</v>
      </c>
      <c r="L77" s="119">
        <v>-1.4210854715202004E-14</v>
      </c>
      <c r="M77" s="117">
        <v>1603.9890167668743</v>
      </c>
    </row>
    <row r="78" spans="11:13" x14ac:dyDescent="0.4">
      <c r="K78" s="74">
        <v>76</v>
      </c>
      <c r="L78" s="119">
        <v>34.199999999999989</v>
      </c>
      <c r="M78" s="117">
        <v>1609.9530826662731</v>
      </c>
    </row>
    <row r="79" spans="11:13" x14ac:dyDescent="0.4">
      <c r="K79" s="74">
        <v>77</v>
      </c>
      <c r="L79" s="119">
        <v>41.399999999999991</v>
      </c>
      <c r="M79" s="117">
        <v>1611.0213641702755</v>
      </c>
    </row>
    <row r="80" spans="11:13" x14ac:dyDescent="0.4">
      <c r="K80" s="74">
        <v>78</v>
      </c>
      <c r="L80" s="119">
        <v>-7.1054273576010019E-15</v>
      </c>
      <c r="M80" s="117">
        <v>1603.3352359852538</v>
      </c>
    </row>
    <row r="81" spans="11:13" x14ac:dyDescent="0.4">
      <c r="K81" s="74">
        <v>79</v>
      </c>
      <c r="L81" s="119">
        <v>-10.200000000000006</v>
      </c>
      <c r="M81" s="117">
        <v>1601.4492245693423</v>
      </c>
    </row>
    <row r="82" spans="11:13" x14ac:dyDescent="0.4">
      <c r="K82" s="74">
        <v>80</v>
      </c>
      <c r="L82" s="119">
        <v>57.399999999999991</v>
      </c>
      <c r="M82" s="117">
        <v>1613.5785292219261</v>
      </c>
    </row>
    <row r="83" spans="11:13" x14ac:dyDescent="0.4">
      <c r="K83" s="74">
        <v>81</v>
      </c>
      <c r="L83" s="119">
        <v>-7.1054273576010019E-15</v>
      </c>
      <c r="M83" s="117">
        <v>1603.1350580465946</v>
      </c>
    </row>
    <row r="84" spans="11:13" x14ac:dyDescent="0.4">
      <c r="K84" s="74">
        <v>82</v>
      </c>
      <c r="L84" s="119">
        <v>-33.000000000000007</v>
      </c>
      <c r="M84" s="117">
        <v>1597.1462476983152</v>
      </c>
    </row>
    <row r="85" spans="11:13" x14ac:dyDescent="0.4">
      <c r="K85" s="74">
        <v>83</v>
      </c>
      <c r="L85" s="119">
        <v>-34.20000000000001</v>
      </c>
      <c r="M85" s="117">
        <v>1596.9173702121252</v>
      </c>
    </row>
    <row r="86" spans="11:13" x14ac:dyDescent="0.4">
      <c r="K86" s="74">
        <v>84</v>
      </c>
      <c r="L86" s="119">
        <v>-7.1054273576010019E-15</v>
      </c>
      <c r="M86" s="117">
        <v>1603.0618659908525</v>
      </c>
    </row>
    <row r="87" spans="11:13" x14ac:dyDescent="0.4">
      <c r="K87" s="74">
        <v>85</v>
      </c>
      <c r="L87" s="119">
        <v>2.3999999999999928</v>
      </c>
      <c r="M87" s="117">
        <v>1603.4454947949075</v>
      </c>
    </row>
    <row r="88" spans="11:13" x14ac:dyDescent="0.4">
      <c r="K88" s="74">
        <v>86</v>
      </c>
      <c r="L88" s="119">
        <v>48.099999999999994</v>
      </c>
      <c r="M88" s="117">
        <v>1611.6208218261381</v>
      </c>
    </row>
    <row r="89" spans="11:13" x14ac:dyDescent="0.4">
      <c r="K89" s="74">
        <v>87</v>
      </c>
      <c r="L89" s="119">
        <v>-7.1054273576010019E-15</v>
      </c>
      <c r="M89" s="117">
        <v>1602.8630968951813</v>
      </c>
    </row>
    <row r="90" spans="11:13" x14ac:dyDescent="0.4">
      <c r="K90" s="74">
        <v>88</v>
      </c>
      <c r="L90" s="119">
        <v>61.399999999999991</v>
      </c>
      <c r="M90" s="117">
        <v>1613.8739183138102</v>
      </c>
    </row>
    <row r="91" spans="11:13" x14ac:dyDescent="0.4">
      <c r="K91" s="74">
        <v>89</v>
      </c>
      <c r="L91" s="119">
        <v>9.7999999999999901</v>
      </c>
      <c r="M91" s="117">
        <v>1604.4786748039273</v>
      </c>
    </row>
    <row r="92" spans="11:13" x14ac:dyDescent="0.4">
      <c r="K92" s="74">
        <v>90</v>
      </c>
      <c r="L92" s="119">
        <v>-1.0658141036401503E-14</v>
      </c>
      <c r="M92" s="117">
        <v>1602.6638027551037</v>
      </c>
    </row>
    <row r="93" spans="11:13" x14ac:dyDescent="0.4">
      <c r="K93" s="74">
        <v>91</v>
      </c>
      <c r="L93" s="119">
        <v>-9.7000000000000099</v>
      </c>
      <c r="M93" s="117">
        <v>1600.871819938573</v>
      </c>
    </row>
    <row r="94" spans="11:13" x14ac:dyDescent="0.4">
      <c r="K94" s="74">
        <v>92</v>
      </c>
      <c r="L94" s="119">
        <v>-49.800000000000011</v>
      </c>
      <c r="M94" s="117">
        <v>1593.6185890189415</v>
      </c>
    </row>
    <row r="95" spans="11:13" x14ac:dyDescent="0.4">
      <c r="K95" s="74">
        <v>93</v>
      </c>
      <c r="L95" s="119">
        <v>-1.4210854715202004E-14</v>
      </c>
      <c r="M95" s="117">
        <v>1602.5908774848278</v>
      </c>
    </row>
    <row r="96" spans="11:13" x14ac:dyDescent="0.4">
      <c r="K96" s="74">
        <v>94</v>
      </c>
      <c r="L96" s="119">
        <v>-45.100000000000016</v>
      </c>
      <c r="M96" s="117">
        <v>1594.4333322199188</v>
      </c>
    </row>
    <row r="97" spans="11:13" x14ac:dyDescent="0.4">
      <c r="K97" s="74">
        <v>95</v>
      </c>
      <c r="L97" s="119">
        <v>-54.200000000000017</v>
      </c>
      <c r="M97" s="117">
        <v>1592.8047322265993</v>
      </c>
    </row>
    <row r="98" spans="11:13" x14ac:dyDescent="0.4">
      <c r="K98" s="74">
        <v>96</v>
      </c>
      <c r="L98" s="119">
        <v>-1.4210854715202004E-14</v>
      </c>
      <c r="M98" s="117">
        <v>1602.5799038332398</v>
      </c>
    </row>
    <row r="99" spans="11:13" x14ac:dyDescent="0.4">
      <c r="K99" s="74">
        <v>97</v>
      </c>
      <c r="L99" s="119">
        <v>-44.100000000000016</v>
      </c>
      <c r="M99" s="117">
        <v>1594.6024244102402</v>
      </c>
    </row>
    <row r="100" spans="11:13" x14ac:dyDescent="0.4">
      <c r="K100" s="74">
        <v>98</v>
      </c>
      <c r="L100" s="119">
        <v>22.999999999999979</v>
      </c>
      <c r="M100" s="117">
        <v>1606.6888098637787</v>
      </c>
    </row>
    <row r="101" spans="11:13" x14ac:dyDescent="0.4">
      <c r="K101" s="74">
        <v>99</v>
      </c>
      <c r="L101" s="119">
        <v>-2.1316282072803006E-14</v>
      </c>
      <c r="M101" s="117">
        <v>1602.4846770045961</v>
      </c>
    </row>
    <row r="102" spans="11:13" x14ac:dyDescent="0.4">
      <c r="K102" s="74">
        <v>100</v>
      </c>
      <c r="L102" s="119">
        <v>31.499999999999979</v>
      </c>
      <c r="M102" s="117">
        <v>1608.4757689425685</v>
      </c>
    </row>
    <row r="103" spans="11:13" x14ac:dyDescent="0.4">
      <c r="K103" s="74">
        <v>101</v>
      </c>
      <c r="L103" s="119">
        <v>-8.9000000000000199</v>
      </c>
      <c r="M103" s="117">
        <v>1601.4889143289131</v>
      </c>
    </row>
    <row r="104" spans="11:13" x14ac:dyDescent="0.4">
      <c r="K104" s="74">
        <v>102</v>
      </c>
      <c r="L104" s="119">
        <v>-1.9539925233402755E-14</v>
      </c>
      <c r="M104" s="117">
        <v>1603.4179808429396</v>
      </c>
    </row>
    <row r="105" spans="11:13" x14ac:dyDescent="0.4">
      <c r="K105" s="74">
        <v>103</v>
      </c>
      <c r="L105" s="119">
        <v>30.199999999999982</v>
      </c>
      <c r="M105" s="117">
        <v>1609.1694729578819</v>
      </c>
    </row>
    <row r="106" spans="11:13" x14ac:dyDescent="0.4">
      <c r="K106" s="74">
        <v>104</v>
      </c>
      <c r="L106" s="119">
        <v>26.499999999999982</v>
      </c>
      <c r="M106" s="117">
        <v>1608.7844561201346</v>
      </c>
    </row>
    <row r="107" spans="11:13" x14ac:dyDescent="0.4">
      <c r="K107" s="74">
        <v>105</v>
      </c>
      <c r="L107" s="119">
        <v>-1.7763568394002505E-14</v>
      </c>
      <c r="M107" s="117">
        <v>1604.2977493834137</v>
      </c>
    </row>
    <row r="108" spans="11:13" x14ac:dyDescent="0.4">
      <c r="K108" s="74">
        <v>106</v>
      </c>
      <c r="L108" s="119">
        <v>-33.800000000000011</v>
      </c>
      <c r="M108" s="117">
        <v>1598.5239628871132</v>
      </c>
    </row>
    <row r="109" spans="11:13" x14ac:dyDescent="0.4">
      <c r="K109" s="74">
        <v>107</v>
      </c>
      <c r="L109" s="119">
        <v>-6.6000000000000121</v>
      </c>
      <c r="M109" s="117">
        <v>1603.7648191097906</v>
      </c>
    </row>
    <row r="110" spans="11:13" x14ac:dyDescent="0.4">
      <c r="K110" s="74">
        <v>108</v>
      </c>
      <c r="L110" s="119">
        <v>-1.2434497875801753E-14</v>
      </c>
      <c r="M110" s="117">
        <v>1605.2662301951318</v>
      </c>
    </row>
    <row r="111" spans="11:13" x14ac:dyDescent="0.4">
      <c r="K111" s="74">
        <v>109</v>
      </c>
      <c r="L111" s="119">
        <v>68.399999999999991</v>
      </c>
      <c r="M111" s="117">
        <v>1617.882632813961</v>
      </c>
    </row>
    <row r="112" spans="11:13" x14ac:dyDescent="0.4">
      <c r="K112" s="74">
        <v>110</v>
      </c>
      <c r="L112" s="119">
        <v>55.79999999999999</v>
      </c>
      <c r="M112" s="117">
        <v>1615.8433370170771</v>
      </c>
    </row>
    <row r="113" spans="11:13" x14ac:dyDescent="0.4">
      <c r="K113" s="74">
        <v>111</v>
      </c>
      <c r="L113" s="119">
        <v>-7.1054273576010019E-15</v>
      </c>
      <c r="M113" s="117">
        <v>1606.0402769949746</v>
      </c>
    </row>
    <row r="114" spans="11:13" x14ac:dyDescent="0.4">
      <c r="K114" s="74">
        <v>112</v>
      </c>
      <c r="L114" s="119">
        <v>-45.300000000000004</v>
      </c>
      <c r="M114" s="117">
        <v>1598.1860353330048</v>
      </c>
    </row>
    <row r="115" spans="11:13" x14ac:dyDescent="0.4">
      <c r="K115" s="74">
        <v>113</v>
      </c>
      <c r="L115" s="119">
        <v>-40.6</v>
      </c>
      <c r="M115" s="117">
        <v>1599.3789191210069</v>
      </c>
    </row>
    <row r="116" spans="11:13" x14ac:dyDescent="0.4">
      <c r="K116" s="74">
        <v>114</v>
      </c>
      <c r="L116" s="119">
        <v>0</v>
      </c>
      <c r="M116" s="117">
        <v>1607.0266456062809</v>
      </c>
    </row>
    <row r="117" spans="11:13" x14ac:dyDescent="0.4">
      <c r="K117" s="74">
        <v>115</v>
      </c>
      <c r="L117" s="119">
        <v>-30.1</v>
      </c>
      <c r="M117" s="117">
        <v>1601.9024857326433</v>
      </c>
    </row>
    <row r="118" spans="11:13" x14ac:dyDescent="0.4">
      <c r="K118" s="74">
        <v>116</v>
      </c>
      <c r="L118" s="119">
        <v>-36.1</v>
      </c>
      <c r="M118" s="117">
        <v>1601.1470708182474</v>
      </c>
    </row>
    <row r="119" spans="11:13" x14ac:dyDescent="0.4">
      <c r="K119" s="74">
        <v>117</v>
      </c>
      <c r="L119" s="119">
        <v>0</v>
      </c>
      <c r="M119" s="117">
        <v>1607.974188393338</v>
      </c>
    </row>
    <row r="120" spans="11:13" x14ac:dyDescent="0.4">
      <c r="K120" s="74">
        <v>118</v>
      </c>
      <c r="L120" s="119">
        <v>34</v>
      </c>
      <c r="M120" s="117">
        <v>1614.3823432629779</v>
      </c>
    </row>
    <row r="121" spans="11:13" x14ac:dyDescent="0.4">
      <c r="K121" s="74">
        <v>119</v>
      </c>
      <c r="L121" s="119">
        <v>0.89999999999999858</v>
      </c>
      <c r="M121" s="117">
        <v>1608.6740492034</v>
      </c>
    </row>
    <row r="122" spans="11:13" x14ac:dyDescent="0.4">
      <c r="K122" s="74">
        <v>120</v>
      </c>
      <c r="L122" s="119">
        <v>-1.4432899320127035E-15</v>
      </c>
      <c r="M122" s="117">
        <v>1608.7960049081796</v>
      </c>
    </row>
    <row r="123" spans="11:13" x14ac:dyDescent="0.4">
      <c r="K123" s="74">
        <v>121</v>
      </c>
      <c r="L123" s="119">
        <v>-32</v>
      </c>
      <c r="M123" s="117">
        <v>1603.3192288787304</v>
      </c>
    </row>
    <row r="124" spans="11:13" x14ac:dyDescent="0.4">
      <c r="K124" s="74">
        <v>122</v>
      </c>
      <c r="L124" s="119">
        <v>-29.2</v>
      </c>
      <c r="M124" s="117">
        <v>1604.1393135054579</v>
      </c>
    </row>
    <row r="125" spans="11:13" x14ac:dyDescent="0.4">
      <c r="K125" s="74">
        <v>123</v>
      </c>
      <c r="L125" s="119">
        <v>0</v>
      </c>
      <c r="M125" s="117">
        <v>1609.7064776244251</v>
      </c>
    </row>
    <row r="126" spans="11:13" x14ac:dyDescent="0.4">
      <c r="K126" s="74">
        <v>124</v>
      </c>
      <c r="L126" s="119">
        <v>7.2</v>
      </c>
      <c r="M126" s="117">
        <v>1611.2802387586785</v>
      </c>
    </row>
    <row r="127" spans="11:13" x14ac:dyDescent="0.4">
      <c r="K127" s="74">
        <v>125</v>
      </c>
      <c r="L127" s="119">
        <v>-49.599999999999994</v>
      </c>
      <c r="M127" s="117">
        <v>1601.3245573261265</v>
      </c>
    </row>
    <row r="128" spans="11:13" x14ac:dyDescent="0.4">
      <c r="K128" s="74">
        <v>126</v>
      </c>
      <c r="L128" s="119">
        <v>7.1054273576010019E-15</v>
      </c>
      <c r="M128" s="117">
        <v>1610.5806099821698</v>
      </c>
    </row>
    <row r="129" spans="11:13" x14ac:dyDescent="0.4">
      <c r="K129" s="74">
        <v>127</v>
      </c>
      <c r="L129" s="119">
        <v>16.300000000000008</v>
      </c>
      <c r="M129" s="117">
        <v>1613.7871263222767</v>
      </c>
    </row>
    <row r="130" spans="11:13" x14ac:dyDescent="0.4">
      <c r="K130" s="74">
        <v>128</v>
      </c>
      <c r="L130" s="119">
        <v>59.900000000000006</v>
      </c>
      <c r="M130" s="117">
        <v>1621.888403564343</v>
      </c>
    </row>
    <row r="131" spans="11:13" x14ac:dyDescent="0.4">
      <c r="K131" s="74">
        <v>129</v>
      </c>
      <c r="L131" s="119">
        <v>7.1054273576010019E-15</v>
      </c>
      <c r="M131" s="117">
        <v>1611.311073142957</v>
      </c>
    </row>
    <row r="132" spans="11:13" x14ac:dyDescent="0.4">
      <c r="K132" s="74">
        <v>130</v>
      </c>
      <c r="L132" s="119">
        <v>-30.799999999999994</v>
      </c>
      <c r="M132" s="117">
        <v>1606.0352067040992</v>
      </c>
    </row>
    <row r="133" spans="11:13" x14ac:dyDescent="0.4">
      <c r="K133" s="74">
        <v>131</v>
      </c>
      <c r="L133" s="119">
        <v>-38.399999999999991</v>
      </c>
      <c r="M133" s="117">
        <v>1604.9669954638746</v>
      </c>
    </row>
    <row r="134" spans="11:13" x14ac:dyDescent="0.4">
      <c r="K134" s="74">
        <v>132</v>
      </c>
      <c r="L134" s="119">
        <v>7.1054273576010019E-15</v>
      </c>
      <c r="M134" s="117">
        <v>1612.1851934910912</v>
      </c>
    </row>
    <row r="135" spans="11:13" x14ac:dyDescent="0.4">
      <c r="K135" s="74">
        <v>133</v>
      </c>
      <c r="L135" s="119">
        <v>-99.4</v>
      </c>
      <c r="M135" s="117">
        <v>1594.1600823301446</v>
      </c>
    </row>
    <row r="136" spans="11:13" x14ac:dyDescent="0.4">
      <c r="K136" s="74">
        <v>134</v>
      </c>
      <c r="L136" s="119">
        <v>-129.30000000000001</v>
      </c>
      <c r="M136" s="117">
        <v>1588.7531218361637</v>
      </c>
    </row>
    <row r="137" spans="11:13" x14ac:dyDescent="0.4">
      <c r="K137" s="74">
        <v>135</v>
      </c>
      <c r="L137" s="119">
        <v>0</v>
      </c>
      <c r="M137" s="117">
        <v>1612.0346031051467</v>
      </c>
    </row>
    <row r="138" spans="11:13" x14ac:dyDescent="0.4">
      <c r="K138" s="74">
        <v>136</v>
      </c>
      <c r="L138" s="119">
        <v>-58.1</v>
      </c>
      <c r="M138" s="117">
        <v>1601.4443954865158</v>
      </c>
    </row>
    <row r="139" spans="11:13" x14ac:dyDescent="0.4">
      <c r="K139" s="74">
        <v>137</v>
      </c>
      <c r="L139" s="119">
        <v>7.6000000000000014</v>
      </c>
      <c r="M139" s="117">
        <v>1613.2017291135967</v>
      </c>
    </row>
    <row r="140" spans="11:13" x14ac:dyDescent="0.4">
      <c r="K140" s="74">
        <v>138</v>
      </c>
      <c r="L140" s="119">
        <v>1.7763568394002505E-15</v>
      </c>
      <c r="M140" s="117">
        <v>1611.6945187389151</v>
      </c>
    </row>
    <row r="141" spans="11:13" x14ac:dyDescent="0.4">
      <c r="K141" s="74">
        <v>139</v>
      </c>
      <c r="L141" s="119">
        <v>1.0000000000000018</v>
      </c>
      <c r="M141" s="117">
        <v>1611.7443516264816</v>
      </c>
    </row>
    <row r="142" spans="11:13" x14ac:dyDescent="0.4">
      <c r="K142" s="74">
        <v>140</v>
      </c>
      <c r="L142" s="119">
        <v>35.299999999999997</v>
      </c>
      <c r="M142" s="117">
        <v>1617.7878855167228</v>
      </c>
    </row>
    <row r="143" spans="11:13" x14ac:dyDescent="0.4">
      <c r="K143" s="74">
        <v>141</v>
      </c>
      <c r="L143" s="119">
        <v>0</v>
      </c>
      <c r="M143" s="117">
        <v>1611.2671582036226</v>
      </c>
    </row>
    <row r="144" spans="11:13" x14ac:dyDescent="0.4">
      <c r="K144" s="74">
        <v>142</v>
      </c>
      <c r="L144" s="119">
        <v>-48</v>
      </c>
      <c r="M144" s="117">
        <v>1602.4995552544008</v>
      </c>
    </row>
    <row r="145" spans="11:13" x14ac:dyDescent="0.4">
      <c r="K145" s="74">
        <v>143</v>
      </c>
      <c r="L145" s="119">
        <v>-1.2000000000000028</v>
      </c>
      <c r="M145" s="117">
        <v>1610.8485579228743</v>
      </c>
    </row>
    <row r="146" spans="11:13" x14ac:dyDescent="0.4">
      <c r="K146" s="74">
        <v>144</v>
      </c>
      <c r="L146" s="119">
        <v>-2.886579864025407E-15</v>
      </c>
      <c r="M146" s="117">
        <v>1610.9394665753371</v>
      </c>
    </row>
    <row r="147" spans="11:13" x14ac:dyDescent="0.4">
      <c r="K147" s="74">
        <v>145</v>
      </c>
      <c r="L147" s="119">
        <v>-0.40000000000000291</v>
      </c>
      <c r="M147" s="117">
        <v>1610.741829775885</v>
      </c>
    </row>
    <row r="148" spans="11:13" x14ac:dyDescent="0.4">
      <c r="K148" s="74">
        <v>146</v>
      </c>
      <c r="L148" s="119">
        <v>37.799999999999997</v>
      </c>
      <c r="M148" s="117">
        <v>1617.4933787972298</v>
      </c>
    </row>
    <row r="149" spans="11:13" x14ac:dyDescent="0.4">
      <c r="K149" s="74">
        <v>147</v>
      </c>
      <c r="L149" s="119">
        <v>0</v>
      </c>
      <c r="M149" s="117">
        <v>1610.5244185244464</v>
      </c>
    </row>
    <row r="150" spans="11:13" x14ac:dyDescent="0.4">
      <c r="K150" s="74">
        <v>148</v>
      </c>
      <c r="L150" s="119">
        <v>-5.8</v>
      </c>
      <c r="M150" s="117">
        <v>1609.3512720132999</v>
      </c>
    </row>
    <row r="151" spans="11:13" x14ac:dyDescent="0.4">
      <c r="K151" s="74">
        <v>149</v>
      </c>
      <c r="L151" s="119">
        <v>52.7</v>
      </c>
      <c r="M151" s="117">
        <v>1619.75916438122</v>
      </c>
    </row>
    <row r="152" spans="11:13" x14ac:dyDescent="0.4">
      <c r="K152" s="74">
        <v>150</v>
      </c>
      <c r="L152" s="119">
        <v>0</v>
      </c>
      <c r="M152" s="117">
        <v>1610.0886093949327</v>
      </c>
    </row>
    <row r="153" spans="11:13" x14ac:dyDescent="0.4">
      <c r="K153" s="74">
        <v>151</v>
      </c>
      <c r="L153" s="119">
        <v>-2.5</v>
      </c>
      <c r="M153" s="117">
        <v>1609.5180777385631</v>
      </c>
    </row>
    <row r="154" spans="11:13" x14ac:dyDescent="0.4">
      <c r="K154" s="74">
        <v>152</v>
      </c>
      <c r="L154" s="119">
        <v>-26.4</v>
      </c>
      <c r="M154" s="117">
        <v>1605.0989692721316</v>
      </c>
    </row>
    <row r="155" spans="11:13" x14ac:dyDescent="0.4">
      <c r="K155" s="74">
        <v>153</v>
      </c>
      <c r="L155" s="119">
        <v>0</v>
      </c>
      <c r="M155" s="117">
        <v>1609.7603754564989</v>
      </c>
    </row>
    <row r="156" spans="11:13" x14ac:dyDescent="0.4">
      <c r="K156" s="74">
        <v>154</v>
      </c>
      <c r="L156" s="119">
        <v>61.8</v>
      </c>
      <c r="M156" s="117">
        <v>1620.62181320376</v>
      </c>
    </row>
    <row r="157" spans="11:13" x14ac:dyDescent="0.4">
      <c r="K157" s="74">
        <v>155</v>
      </c>
      <c r="L157" s="119">
        <v>-12</v>
      </c>
      <c r="M157" s="117">
        <v>1607.0100823245375</v>
      </c>
    </row>
    <row r="158" spans="11:13" x14ac:dyDescent="0.4">
      <c r="K158" s="74">
        <v>156</v>
      </c>
      <c r="L158" s="119">
        <v>0</v>
      </c>
      <c r="M158" s="117">
        <v>1608.9240218305904</v>
      </c>
    </row>
    <row r="159" spans="11:13" x14ac:dyDescent="0.4">
      <c r="K159" s="74">
        <v>157</v>
      </c>
      <c r="L159" s="119">
        <v>-27.1</v>
      </c>
      <c r="M159" s="117">
        <v>1603.8904776996069</v>
      </c>
    </row>
    <row r="160" spans="11:13" x14ac:dyDescent="0.4">
      <c r="K160" s="74">
        <v>158</v>
      </c>
      <c r="L160" s="119">
        <v>-29.700000000000003</v>
      </c>
      <c r="M160" s="117">
        <v>1603.2971348334092</v>
      </c>
    </row>
    <row r="161" spans="11:13" x14ac:dyDescent="0.4">
      <c r="K161" s="74">
        <v>159</v>
      </c>
      <c r="L161" s="119">
        <v>-3.5527136788005009E-15</v>
      </c>
      <c r="M161" s="117">
        <v>1608.5213520244088</v>
      </c>
    </row>
    <row r="162" spans="11:13" x14ac:dyDescent="0.4">
      <c r="K162" s="74">
        <v>160</v>
      </c>
      <c r="L162" s="119">
        <v>-27.500000000000004</v>
      </c>
      <c r="M162" s="117">
        <v>1603.4182239122624</v>
      </c>
    </row>
    <row r="163" spans="11:13" x14ac:dyDescent="0.4">
      <c r="K163" s="74">
        <v>161</v>
      </c>
      <c r="L163" s="119">
        <v>-27.600000000000005</v>
      </c>
      <c r="M163" s="117">
        <v>1603.277714568789</v>
      </c>
    </row>
    <row r="164" spans="11:13" x14ac:dyDescent="0.4">
      <c r="K164" s="74">
        <v>162</v>
      </c>
      <c r="L164" s="119">
        <v>-3.5527136788005009E-15</v>
      </c>
      <c r="M164" s="117">
        <v>1608.1240482813762</v>
      </c>
    </row>
    <row r="165" spans="11:13" x14ac:dyDescent="0.4">
      <c r="K165" s="74">
        <v>163</v>
      </c>
      <c r="L165" s="119">
        <v>45.7</v>
      </c>
      <c r="M165" s="117">
        <v>1616.1993039916879</v>
      </c>
    </row>
    <row r="166" spans="11:13" x14ac:dyDescent="0.4">
      <c r="K166" s="74">
        <v>164</v>
      </c>
      <c r="L166" s="119">
        <v>-17.699999999999996</v>
      </c>
      <c r="M166" s="117">
        <v>1604.5881081677378</v>
      </c>
    </row>
    <row r="167" spans="11:13" x14ac:dyDescent="0.4">
      <c r="K167" s="74">
        <v>165</v>
      </c>
      <c r="L167" s="119">
        <v>3.5527136788005009E-15</v>
      </c>
      <c r="M167" s="117">
        <v>1607.6445795187315</v>
      </c>
    </row>
    <row r="168" spans="11:13" x14ac:dyDescent="0.4">
      <c r="K168" s="74">
        <v>166</v>
      </c>
      <c r="L168" s="119">
        <v>-40.799999999999997</v>
      </c>
      <c r="M168" s="117">
        <v>1600.152712041619</v>
      </c>
    </row>
    <row r="169" spans="11:13" x14ac:dyDescent="0.4">
      <c r="K169" s="74">
        <v>167</v>
      </c>
      <c r="L169" s="119">
        <v>-47.5</v>
      </c>
      <c r="M169" s="117">
        <v>1598.8437957693693</v>
      </c>
    </row>
    <row r="170" spans="11:13" x14ac:dyDescent="0.4">
      <c r="K170" s="74">
        <v>168</v>
      </c>
      <c r="L170" s="119">
        <v>0</v>
      </c>
      <c r="M170" s="117">
        <v>1607.298732994753</v>
      </c>
    </row>
    <row r="171" spans="11:13" x14ac:dyDescent="0.4">
      <c r="K171" s="74">
        <v>169</v>
      </c>
      <c r="L171" s="119">
        <v>-2.2999999999999998</v>
      </c>
      <c r="M171" s="117">
        <v>1606.7389405967845</v>
      </c>
    </row>
    <row r="172" spans="11:13" x14ac:dyDescent="0.4">
      <c r="K172" s="74">
        <v>170</v>
      </c>
      <c r="L172" s="119">
        <v>-59</v>
      </c>
      <c r="M172" s="117">
        <v>1596.3905069532038</v>
      </c>
    </row>
    <row r="173" spans="11:13" x14ac:dyDescent="0.4">
      <c r="K173" s="74">
        <v>171</v>
      </c>
      <c r="L173" s="119">
        <v>0</v>
      </c>
      <c r="M173" s="117">
        <v>1606.9301639114847</v>
      </c>
    </row>
    <row r="174" spans="11:13" x14ac:dyDescent="0.4">
      <c r="K174" s="74">
        <v>172</v>
      </c>
      <c r="L174" s="119">
        <v>-10.9</v>
      </c>
      <c r="M174" s="117">
        <v>1604.8245829280158</v>
      </c>
    </row>
    <row r="175" spans="11:13" x14ac:dyDescent="0.4">
      <c r="K175" s="74">
        <v>173</v>
      </c>
      <c r="L175" s="119">
        <v>-58.9</v>
      </c>
      <c r="M175" s="117">
        <v>1596.0536354304477</v>
      </c>
    </row>
    <row r="176" spans="11:13" x14ac:dyDescent="0.4">
      <c r="K176" s="74">
        <v>174</v>
      </c>
      <c r="L176" s="119">
        <v>0</v>
      </c>
      <c r="M176" s="117">
        <v>1606.577313617865</v>
      </c>
    </row>
    <row r="177" spans="11:13" x14ac:dyDescent="0.4">
      <c r="K177" s="74">
        <v>175</v>
      </c>
      <c r="L177" s="119">
        <v>68.7</v>
      </c>
      <c r="M177" s="117">
        <v>1618.8018497361579</v>
      </c>
    </row>
    <row r="178" spans="11:13" x14ac:dyDescent="0.4">
      <c r="K178" s="74">
        <v>176</v>
      </c>
      <c r="L178" s="119">
        <v>68.2</v>
      </c>
      <c r="M178" s="117">
        <v>1618.4970386377411</v>
      </c>
    </row>
    <row r="179" spans="11:13" x14ac:dyDescent="0.4">
      <c r="K179" s="74">
        <v>177</v>
      </c>
      <c r="L179" s="119">
        <v>0</v>
      </c>
      <c r="M179" s="117">
        <v>1606.0080564059147</v>
      </c>
    </row>
    <row r="180" spans="11:13" x14ac:dyDescent="0.4">
      <c r="K180" s="74">
        <v>178</v>
      </c>
      <c r="L180" s="119">
        <v>26.5</v>
      </c>
      <c r="M180" s="117">
        <v>1610.6400080674791</v>
      </c>
    </row>
    <row r="181" spans="11:13" x14ac:dyDescent="0.4">
      <c r="K181" s="74">
        <v>179</v>
      </c>
      <c r="L181" s="119">
        <v>26</v>
      </c>
      <c r="M181" s="117">
        <v>1610.3841680190742</v>
      </c>
    </row>
    <row r="182" spans="11:13" x14ac:dyDescent="0.4">
      <c r="K182" s="74">
        <v>180</v>
      </c>
      <c r="L182" s="119">
        <v>0</v>
      </c>
      <c r="M182" s="117">
        <v>1605.5398630109598</v>
      </c>
    </row>
    <row r="183" spans="11:13" x14ac:dyDescent="0.4">
      <c r="K183" s="74">
        <v>181</v>
      </c>
      <c r="L183" s="119">
        <v>-21.6</v>
      </c>
      <c r="M183" s="117">
        <v>1601.5166238328941</v>
      </c>
    </row>
    <row r="184" spans="11:13" x14ac:dyDescent="0.4">
      <c r="K184" s="74">
        <v>182</v>
      </c>
      <c r="L184" s="119">
        <v>-87.199999999999989</v>
      </c>
      <c r="M184" s="117">
        <v>1589.5975240898968</v>
      </c>
    </row>
    <row r="185" spans="11:13" x14ac:dyDescent="0.4">
      <c r="K185" s="74">
        <v>183</v>
      </c>
      <c r="L185" s="119">
        <v>1.4210854715202004E-14</v>
      </c>
      <c r="M185" s="117">
        <v>1605.2539389453573</v>
      </c>
    </row>
    <row r="186" spans="11:13" x14ac:dyDescent="0.4">
      <c r="K186" s="74">
        <v>184</v>
      </c>
      <c r="L186" s="119">
        <v>-24.799999999999986</v>
      </c>
      <c r="M186" s="117">
        <v>1600.6564153116851</v>
      </c>
    </row>
    <row r="187" spans="11:13" x14ac:dyDescent="0.4">
      <c r="K187" s="74">
        <v>185</v>
      </c>
      <c r="L187" s="119">
        <v>3.6000000000000121</v>
      </c>
      <c r="M187" s="117">
        <v>1605.6624768198151</v>
      </c>
    </row>
    <row r="188" spans="11:13" x14ac:dyDescent="0.4">
      <c r="K188" s="74">
        <v>186</v>
      </c>
      <c r="L188" s="119">
        <v>1.1990408665951691E-14</v>
      </c>
      <c r="M188" s="117">
        <v>1604.8785019588961</v>
      </c>
    </row>
    <row r="189" spans="11:13" x14ac:dyDescent="0.4">
      <c r="K189" s="74">
        <v>187</v>
      </c>
      <c r="L189" s="119">
        <v>-61.099999999999987</v>
      </c>
      <c r="M189" s="117">
        <v>1593.7492309471427</v>
      </c>
    </row>
    <row r="190" spans="11:13" x14ac:dyDescent="0.4">
      <c r="K190" s="74">
        <v>188</v>
      </c>
      <c r="L190" s="119">
        <v>25.20000000000001</v>
      </c>
      <c r="M190" s="117">
        <v>1609.2187355614599</v>
      </c>
    </row>
    <row r="191" spans="11:13" x14ac:dyDescent="0.4">
      <c r="K191" s="74">
        <v>189</v>
      </c>
      <c r="L191" s="119">
        <v>1.0658141036401503E-14</v>
      </c>
      <c r="M191" s="117">
        <v>1604.525423148091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EF0B1-E093-4AF4-98B9-5B27BD554AB7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24</v>
      </c>
      <c r="C2" s="134"/>
      <c r="E2" s="26" t="s">
        <v>64</v>
      </c>
      <c r="F2" s="23" t="s">
        <v>20</v>
      </c>
      <c r="G2" s="11">
        <v>44</v>
      </c>
      <c r="H2" s="87">
        <f>IF(B$20=0,0,G2/B$20)</f>
        <v>0.77192982456140347</v>
      </c>
      <c r="I2" s="57">
        <v>1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737.5</v>
      </c>
      <c r="Q2" s="76">
        <v>24</v>
      </c>
      <c r="R2" s="63">
        <v>17700</v>
      </c>
    </row>
    <row r="3" spans="1:18" x14ac:dyDescent="0.4">
      <c r="A3" s="19" t="s">
        <v>8</v>
      </c>
      <c r="B3" s="135">
        <v>208</v>
      </c>
      <c r="C3" s="136"/>
      <c r="E3" s="27" t="s">
        <v>66</v>
      </c>
      <c r="F3" s="24" t="s">
        <v>22</v>
      </c>
      <c r="G3" s="12">
        <v>34</v>
      </c>
      <c r="H3" s="88">
        <f>IF(B$20=0,0,G3/B$20)</f>
        <v>0.59649122807017541</v>
      </c>
      <c r="I3" s="58">
        <v>5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-1769.5652173913043</v>
      </c>
      <c r="Q3" s="77">
        <v>23</v>
      </c>
      <c r="R3" s="64">
        <v>-40700</v>
      </c>
    </row>
    <row r="4" spans="1:18" x14ac:dyDescent="0.4">
      <c r="A4" s="19" t="s">
        <v>6</v>
      </c>
      <c r="B4" s="137">
        <v>-54.29999999999999</v>
      </c>
      <c r="C4" s="138"/>
      <c r="E4" s="27" t="s">
        <v>68</v>
      </c>
      <c r="F4" s="24" t="s">
        <v>12</v>
      </c>
      <c r="G4" s="12">
        <v>27</v>
      </c>
      <c r="H4" s="88">
        <f>IF(B$20=0,0,G4/B$20)</f>
        <v>0.47368421052631576</v>
      </c>
      <c r="I4" s="58">
        <v>3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-865.21739130434787</v>
      </c>
      <c r="Q4" s="77">
        <v>23</v>
      </c>
      <c r="R4" s="64">
        <v>-19900</v>
      </c>
    </row>
    <row r="5" spans="1:18" x14ac:dyDescent="0.4">
      <c r="A5" s="19" t="s">
        <v>7</v>
      </c>
      <c r="B5" s="125">
        <f>IF(B$2=0,0,B$4/B$2)</f>
        <v>-2.2624999999999997</v>
      </c>
      <c r="C5" s="126"/>
      <c r="E5" s="27" t="s">
        <v>158</v>
      </c>
      <c r="F5" s="24" t="s">
        <v>159</v>
      </c>
      <c r="G5" s="12">
        <v>27</v>
      </c>
      <c r="H5" s="88">
        <f>IF(B$20=0,0,G5/B$20)</f>
        <v>0.47368421052631576</v>
      </c>
      <c r="I5" s="58">
        <v>3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-3663.6363636363635</v>
      </c>
      <c r="Q5" s="77">
        <v>22</v>
      </c>
      <c r="R5" s="64">
        <v>-80600</v>
      </c>
    </row>
    <row r="6" spans="1:18" x14ac:dyDescent="0.4">
      <c r="A6" s="19" t="s">
        <v>192</v>
      </c>
      <c r="B6" s="129">
        <v>1590.8436947948335</v>
      </c>
      <c r="C6" s="130"/>
      <c r="E6" s="27" t="s">
        <v>67</v>
      </c>
      <c r="F6" s="24" t="s">
        <v>23</v>
      </c>
      <c r="G6" s="12">
        <v>22</v>
      </c>
      <c r="H6" s="88">
        <f>IF(B$20=0,0,G6/B$20)</f>
        <v>0.38596491228070173</v>
      </c>
      <c r="I6" s="58">
        <v>3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2985.7142857142858</v>
      </c>
      <c r="Q6" s="77">
        <v>21</v>
      </c>
      <c r="R6" s="64">
        <v>62700</v>
      </c>
    </row>
    <row r="7" spans="1:18" x14ac:dyDescent="0.4">
      <c r="A7" s="19" t="s">
        <v>1</v>
      </c>
      <c r="B7" s="139">
        <f>IF(B$2=0,0,(B$8*1+B$9*2+B$10*3)/B$2)</f>
        <v>1.9583333333333333</v>
      </c>
      <c r="C7" s="140"/>
      <c r="E7" s="27" t="s">
        <v>69</v>
      </c>
      <c r="F7" s="24" t="s">
        <v>24</v>
      </c>
      <c r="G7" s="12">
        <v>18</v>
      </c>
      <c r="H7" s="88">
        <f>IF(B$20=0,0,G7/B$20)</f>
        <v>0.31578947368421051</v>
      </c>
      <c r="I7" s="58">
        <v>1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666.66666666666663</v>
      </c>
      <c r="Q7" s="78">
        <v>18</v>
      </c>
      <c r="R7" s="65">
        <v>12000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0.375</v>
      </c>
      <c r="E8" s="27" t="s">
        <v>72</v>
      </c>
      <c r="F8" s="24" t="s">
        <v>27</v>
      </c>
      <c r="G8" s="12">
        <v>17</v>
      </c>
      <c r="H8" s="88">
        <f>IF(B$20=0,0,G8/B$20)</f>
        <v>0.2982456140350877</v>
      </c>
      <c r="I8" s="58">
        <v>8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1"/>
        <v>0.29166666666666669</v>
      </c>
      <c r="E9" s="27" t="s">
        <v>70</v>
      </c>
      <c r="F9" s="24" t="s">
        <v>25</v>
      </c>
      <c r="G9" s="12">
        <v>10</v>
      </c>
      <c r="H9" s="88">
        <f>IF(B$20=0,0,G9/B$20)</f>
        <v>0.17543859649122806</v>
      </c>
      <c r="I9" s="58">
        <v>2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8</v>
      </c>
      <c r="C10" s="7">
        <f t="shared" si="1"/>
        <v>0.33333333333333331</v>
      </c>
      <c r="E10" s="27" t="s">
        <v>65</v>
      </c>
      <c r="F10" s="24" t="s">
        <v>21</v>
      </c>
      <c r="G10" s="12">
        <v>8</v>
      </c>
      <c r="H10" s="88">
        <f>IF(B$20=0,0,G10/B$20)</f>
        <v>0.14035087719298245</v>
      </c>
      <c r="I10" s="58">
        <v>4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-2.4499999999999988</v>
      </c>
      <c r="Q10" s="76">
        <v>12</v>
      </c>
      <c r="R10" s="67">
        <v>-29.399999999999988</v>
      </c>
    </row>
    <row r="11" spans="1:18" x14ac:dyDescent="0.4">
      <c r="A11" s="20" t="s">
        <v>183</v>
      </c>
      <c r="B11" s="109">
        <f>IF(B8=0,0,C11/B8)</f>
        <v>37.066666666666663</v>
      </c>
      <c r="C11" s="110">
        <v>333.59999999999997</v>
      </c>
      <c r="E11" s="27" t="s">
        <v>71</v>
      </c>
      <c r="F11" s="24" t="s">
        <v>26</v>
      </c>
      <c r="G11" s="12">
        <v>5</v>
      </c>
      <c r="H11" s="88">
        <f>IF(B$20=0,0,G11/B$20)</f>
        <v>8.771929824561403E-2</v>
      </c>
      <c r="I11" s="58">
        <v>3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-8.85</v>
      </c>
      <c r="Q11" s="77">
        <v>4</v>
      </c>
      <c r="R11" s="68">
        <v>-35.4</v>
      </c>
    </row>
    <row r="12" spans="1:18" x14ac:dyDescent="0.4">
      <c r="A12" s="20" t="s">
        <v>184</v>
      </c>
      <c r="B12" s="109">
        <f>IF(B9=0,0,C12/B9)</f>
        <v>-1.8142857142857143</v>
      </c>
      <c r="C12" s="110">
        <v>-12.7</v>
      </c>
      <c r="E12" s="27" t="s">
        <v>89</v>
      </c>
      <c r="F12" s="24" t="s">
        <v>44</v>
      </c>
      <c r="G12" s="12">
        <v>5</v>
      </c>
      <c r="H12" s="88">
        <f>IF(B$20=0,0,G12/B$20)</f>
        <v>8.771929824561403E-2</v>
      </c>
      <c r="I12" s="58">
        <v>8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1.3125000000000009</v>
      </c>
      <c r="Q12" s="78">
        <v>8</v>
      </c>
      <c r="R12" s="69">
        <v>10.500000000000007</v>
      </c>
    </row>
    <row r="13" spans="1:18" x14ac:dyDescent="0.4">
      <c r="A13" s="20" t="s">
        <v>185</v>
      </c>
      <c r="B13" s="109">
        <f>IF(B10=0,0,C13/B10)</f>
        <v>-46.9</v>
      </c>
      <c r="C13" s="110">
        <v>-375.2</v>
      </c>
      <c r="E13" s="27" t="s">
        <v>86</v>
      </c>
      <c r="F13" s="24" t="s">
        <v>41</v>
      </c>
      <c r="G13" s="12">
        <v>4</v>
      </c>
      <c r="H13" s="88">
        <f>IF(B$20=0,0,G13/B$20)</f>
        <v>7.0175438596491224E-2</v>
      </c>
      <c r="I13" s="58">
        <v>2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-3.8825396825396843</v>
      </c>
      <c r="C14" s="126"/>
      <c r="E14" s="27" t="s">
        <v>73</v>
      </c>
      <c r="F14" s="24" t="s">
        <v>28</v>
      </c>
      <c r="G14" s="12">
        <v>2</v>
      </c>
      <c r="H14" s="88">
        <f>IF(B$20=0,0,G14/B$20)</f>
        <v>3.5087719298245612E-2</v>
      </c>
      <c r="I14" s="58">
        <v>2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3</v>
      </c>
      <c r="C15" s="9">
        <f t="shared" si="1"/>
        <v>0.125</v>
      </c>
      <c r="E15" s="27" t="s">
        <v>78</v>
      </c>
      <c r="F15" s="24" t="s">
        <v>33</v>
      </c>
      <c r="G15" s="12">
        <v>2</v>
      </c>
      <c r="H15" s="88">
        <f>IF(B$20=0,0,G15/B$20)</f>
        <v>3.5087719298245612E-2</v>
      </c>
      <c r="I15" s="58">
        <v>2</v>
      </c>
      <c r="K15" s="74">
        <v>13</v>
      </c>
      <c r="L15" s="119">
        <v>-120.60000000000001</v>
      </c>
      <c r="M15" s="117">
        <v>1573.7060279447555</v>
      </c>
      <c r="O15" s="73" t="s">
        <v>189</v>
      </c>
      <c r="P15" s="82">
        <f>IF(Q15=0,0,R15/Q15)</f>
        <v>6.3473684210526304</v>
      </c>
      <c r="Q15" s="76">
        <v>19</v>
      </c>
      <c r="R15" s="67">
        <v>120.59999999999998</v>
      </c>
    </row>
    <row r="16" spans="1:18" x14ac:dyDescent="0.4">
      <c r="A16" s="22" t="s">
        <v>121</v>
      </c>
      <c r="B16" s="15">
        <v>80</v>
      </c>
      <c r="C16" s="10">
        <f>IF(B$3=0,0,B16/B$3)</f>
        <v>0.38461538461538464</v>
      </c>
      <c r="E16" s="27" t="s">
        <v>81</v>
      </c>
      <c r="F16" s="24" t="s">
        <v>36</v>
      </c>
      <c r="G16" s="12">
        <v>2</v>
      </c>
      <c r="H16" s="88">
        <f>IF(B$20=0,0,G16/B$20)</f>
        <v>3.5087719298245612E-2</v>
      </c>
      <c r="I16" s="58">
        <v>4</v>
      </c>
      <c r="K16" s="74">
        <v>14</v>
      </c>
      <c r="L16" s="119">
        <v>-111.7</v>
      </c>
      <c r="M16" s="117">
        <v>1575.8017917770869</v>
      </c>
      <c r="O16" s="74" t="s">
        <v>126</v>
      </c>
      <c r="P16" s="83">
        <f>IF(Q16=0,0,R16/Q16)</f>
        <v>0.68333333333333546</v>
      </c>
      <c r="Q16" s="77">
        <v>18</v>
      </c>
      <c r="R16" s="68">
        <v>12.300000000000038</v>
      </c>
    </row>
    <row r="17" spans="1:18" x14ac:dyDescent="0.4">
      <c r="A17" s="19" t="s">
        <v>118</v>
      </c>
      <c r="B17" s="12">
        <v>40</v>
      </c>
      <c r="C17" s="6">
        <f>IF(B$3=0,0,B17/B$3)</f>
        <v>0.19230769230769232</v>
      </c>
      <c r="E17" s="27" t="s">
        <v>83</v>
      </c>
      <c r="F17" s="24" t="s">
        <v>38</v>
      </c>
      <c r="G17" s="12">
        <v>2</v>
      </c>
      <c r="H17" s="88">
        <f>IF(B$20=0,0,G17/B$20)</f>
        <v>3.5087719298245612E-2</v>
      </c>
      <c r="I17" s="58">
        <v>3</v>
      </c>
      <c r="K17" s="74">
        <v>15</v>
      </c>
      <c r="L17" s="119">
        <v>-138.19999999999999</v>
      </c>
      <c r="M17" s="117">
        <v>1571.5129810264243</v>
      </c>
      <c r="O17" s="74" t="s">
        <v>187</v>
      </c>
      <c r="P17" s="83">
        <f>IF(Q17=0,0,R17/Q17)</f>
        <v>-26.890909090909091</v>
      </c>
      <c r="Q17" s="77">
        <v>11</v>
      </c>
      <c r="R17" s="68">
        <v>-295.8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0.55000000000000004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4</v>
      </c>
      <c r="K18" s="74">
        <v>16</v>
      </c>
      <c r="L18" s="119">
        <v>-131.6</v>
      </c>
      <c r="M18" s="117">
        <v>1573.2079031402657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0.17499999999999999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-187.39999999999998</v>
      </c>
      <c r="M19" s="117">
        <v>1563.6606557214241</v>
      </c>
    </row>
    <row r="20" spans="1:18" x14ac:dyDescent="0.4">
      <c r="A20" s="18" t="s">
        <v>10</v>
      </c>
      <c r="B20" s="11">
        <f>B23+B22</f>
        <v>57</v>
      </c>
      <c r="C20" s="5">
        <f>IF(B$3=0,0,B20/B$3)</f>
        <v>0.27403846153846156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-146.79999999999998</v>
      </c>
      <c r="M20" s="117">
        <v>1571.5226917870955</v>
      </c>
    </row>
    <row r="21" spans="1:18" x14ac:dyDescent="0.4">
      <c r="A21" s="19" t="s">
        <v>13</v>
      </c>
      <c r="B21" s="12">
        <v>33</v>
      </c>
      <c r="C21" s="6">
        <f>IF(B$3=0,0,B21/B$3)</f>
        <v>0.15865384615384615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-110.69999999999999</v>
      </c>
      <c r="M21" s="117">
        <v>1578.5275556363729</v>
      </c>
    </row>
    <row r="22" spans="1:18" x14ac:dyDescent="0.4">
      <c r="A22" s="19" t="s">
        <v>12</v>
      </c>
      <c r="B22" s="12">
        <v>29</v>
      </c>
      <c r="C22" s="6">
        <f>IF(B$20=0,0,B22/B$20)</f>
        <v>0.50877192982456143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-111.6</v>
      </c>
      <c r="M22" s="117">
        <v>1578.8303903025546</v>
      </c>
    </row>
    <row r="23" spans="1:18" x14ac:dyDescent="0.4">
      <c r="A23" s="19" t="s">
        <v>11</v>
      </c>
      <c r="B23" s="12">
        <v>28</v>
      </c>
      <c r="C23" s="6">
        <f>IF(B$20=0,0,B23/B$20)</f>
        <v>0.49122807017543857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-82.399999999999991</v>
      </c>
      <c r="M23" s="117">
        <v>1584.5494079607392</v>
      </c>
    </row>
    <row r="24" spans="1:18" x14ac:dyDescent="0.4">
      <c r="A24" s="19" t="s">
        <v>182</v>
      </c>
      <c r="B24" s="12">
        <v>44</v>
      </c>
      <c r="C24" s="6">
        <f>IF(B$20=0,0,B24/B$20)</f>
        <v>0.77192982456140347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-32.79999999999999</v>
      </c>
      <c r="M24" s="117">
        <v>1593.9061115129748</v>
      </c>
    </row>
    <row r="25" spans="1:18" x14ac:dyDescent="0.4">
      <c r="A25" s="19" t="s">
        <v>180</v>
      </c>
      <c r="B25" s="12">
        <v>7</v>
      </c>
      <c r="C25" s="6">
        <f>IF(B$20=0,0,B25/B$20)</f>
        <v>0.12280701754385964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-92.699999999999989</v>
      </c>
      <c r="M25" s="117">
        <v>1583.4966748438969</v>
      </c>
    </row>
    <row r="26" spans="1:18" x14ac:dyDescent="0.4">
      <c r="A26" s="19" t="s">
        <v>181</v>
      </c>
      <c r="B26" s="12">
        <v>6</v>
      </c>
      <c r="C26" s="6">
        <f>IF(B$20=0,0,B26/B$20)</f>
        <v>0.10526315789473684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-54.29999999999999</v>
      </c>
      <c r="M26" s="117">
        <v>1590.8436947948335</v>
      </c>
    </row>
    <row r="27" spans="1:18" x14ac:dyDescent="0.4">
      <c r="A27" s="19" t="s">
        <v>5</v>
      </c>
      <c r="B27" s="16">
        <f>IF(B$20=0,0,C27/B$20)</f>
        <v>8870.1754385964905</v>
      </c>
      <c r="C27" s="8">
        <v>505600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9024</v>
      </c>
      <c r="C28" s="96">
        <v>451200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7771.4285714285716</v>
      </c>
      <c r="C29" s="96">
        <v>54400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163</v>
      </c>
      <c r="B30" s="95">
        <f>IF(B$21=0,0,C30/B$21)</f>
        <v>-8390.9090909090901</v>
      </c>
      <c r="C30" s="96">
        <v>-276900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157</v>
      </c>
      <c r="B32" s="12">
        <v>26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64600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1.7543859649122806E-2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0.14035087719298245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13</v>
      </c>
      <c r="C39" s="6">
        <f t="shared" si="2"/>
        <v>0.22807017543859648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11</v>
      </c>
      <c r="C40" s="6">
        <f t="shared" si="2"/>
        <v>0.19298245614035087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10</v>
      </c>
      <c r="C41" s="6">
        <f t="shared" si="2"/>
        <v>0.17543859649122806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6</v>
      </c>
      <c r="C42" s="6">
        <f t="shared" si="2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7.0175438596491224E-2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3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1</v>
      </c>
      <c r="C45" s="6">
        <f t="shared" si="2"/>
        <v>1.7543859649122806E-2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487B6-B510-42C7-B039-93FE45302B96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2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4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5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8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7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2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7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6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2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6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7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2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6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3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1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5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28BA-30F6-4ED1-8ADB-FAEC4938DAC1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37</v>
      </c>
      <c r="C2" s="134"/>
      <c r="E2" s="26" t="s">
        <v>66</v>
      </c>
      <c r="F2" s="23" t="s">
        <v>22</v>
      </c>
      <c r="G2" s="11">
        <v>87</v>
      </c>
      <c r="H2" s="87">
        <f>IF(B$20=0,0,G2/B$20)</f>
        <v>0.80555555555555558</v>
      </c>
      <c r="I2" s="57">
        <v>1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-332.43243243243245</v>
      </c>
      <c r="Q2" s="76">
        <v>37</v>
      </c>
      <c r="R2" s="63">
        <v>-12300</v>
      </c>
    </row>
    <row r="3" spans="1:18" x14ac:dyDescent="0.4">
      <c r="A3" s="19" t="s">
        <v>8</v>
      </c>
      <c r="B3" s="135">
        <v>324</v>
      </c>
      <c r="C3" s="136"/>
      <c r="E3" s="27" t="s">
        <v>72</v>
      </c>
      <c r="F3" s="24" t="s">
        <v>27</v>
      </c>
      <c r="G3" s="12">
        <v>65</v>
      </c>
      <c r="H3" s="88">
        <f>IF(B$20=0,0,G3/B$20)</f>
        <v>0.60185185185185186</v>
      </c>
      <c r="I3" s="58">
        <v>1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2263.8888888888887</v>
      </c>
      <c r="Q3" s="77">
        <v>36</v>
      </c>
      <c r="R3" s="64">
        <v>81500</v>
      </c>
    </row>
    <row r="4" spans="1:18" x14ac:dyDescent="0.4">
      <c r="A4" s="19" t="s">
        <v>6</v>
      </c>
      <c r="B4" s="137">
        <v>51.79999999999999</v>
      </c>
      <c r="C4" s="138"/>
      <c r="E4" s="27" t="s">
        <v>158</v>
      </c>
      <c r="F4" s="24" t="s">
        <v>159</v>
      </c>
      <c r="G4" s="12">
        <v>45</v>
      </c>
      <c r="H4" s="88">
        <f>IF(B$20=0,0,G4/B$20)</f>
        <v>0.41666666666666669</v>
      </c>
      <c r="I4" s="58">
        <v>6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-744.44444444444446</v>
      </c>
      <c r="Q4" s="77">
        <v>36</v>
      </c>
      <c r="R4" s="64">
        <v>-26800</v>
      </c>
    </row>
    <row r="5" spans="1:18" x14ac:dyDescent="0.4">
      <c r="A5" s="19" t="s">
        <v>7</v>
      </c>
      <c r="B5" s="125">
        <f>IF(B$2=0,0,B$4/B$2)</f>
        <v>1.3999999999999997</v>
      </c>
      <c r="C5" s="126"/>
      <c r="E5" s="27" t="s">
        <v>64</v>
      </c>
      <c r="F5" s="24" t="s">
        <v>20</v>
      </c>
      <c r="G5" s="12">
        <v>44</v>
      </c>
      <c r="H5" s="88">
        <f>IF(B$20=0,0,G5/B$20)</f>
        <v>0.40740740740740738</v>
      </c>
      <c r="I5" s="58">
        <v>8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3760</v>
      </c>
      <c r="Q5" s="77">
        <v>35</v>
      </c>
      <c r="R5" s="64">
        <v>131600</v>
      </c>
    </row>
    <row r="6" spans="1:18" x14ac:dyDescent="0.4">
      <c r="A6" s="19" t="s">
        <v>192</v>
      </c>
      <c r="B6" s="129">
        <v>1570.9218609148634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0.27777777777777779</v>
      </c>
      <c r="I6" s="58">
        <v>8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-2343.75</v>
      </c>
      <c r="Q6" s="77">
        <v>32</v>
      </c>
      <c r="R6" s="64">
        <v>-75000</v>
      </c>
    </row>
    <row r="7" spans="1:18" x14ac:dyDescent="0.4">
      <c r="A7" s="19" t="s">
        <v>1</v>
      </c>
      <c r="B7" s="139">
        <f>IF(B$2=0,0,(B$8*1+B$9*2+B$10*3)/B$2)</f>
        <v>2.0270270270270272</v>
      </c>
      <c r="C7" s="140"/>
      <c r="E7" s="27" t="s">
        <v>70</v>
      </c>
      <c r="F7" s="24" t="s">
        <v>25</v>
      </c>
      <c r="G7" s="12">
        <v>13</v>
      </c>
      <c r="H7" s="88">
        <f>IF(B$20=0,0,G7/B$20)</f>
        <v>0.12037037037037036</v>
      </c>
      <c r="I7" s="58">
        <v>4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-628.57142857142856</v>
      </c>
      <c r="Q7" s="78">
        <v>28</v>
      </c>
      <c r="R7" s="65">
        <v>-17600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0.35135135135135137</v>
      </c>
      <c r="E8" s="27" t="s">
        <v>67</v>
      </c>
      <c r="F8" s="24" t="s">
        <v>23</v>
      </c>
      <c r="G8" s="12">
        <v>12</v>
      </c>
      <c r="H8" s="88">
        <f>IF(B$20=0,0,G8/B$20)</f>
        <v>0.1111111111111111</v>
      </c>
      <c r="I8" s="58">
        <v>8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10</v>
      </c>
      <c r="C9" s="6">
        <f t="shared" si="1"/>
        <v>0.27027027027027029</v>
      </c>
      <c r="E9" s="27" t="s">
        <v>65</v>
      </c>
      <c r="F9" s="24" t="s">
        <v>21</v>
      </c>
      <c r="G9" s="12">
        <v>11</v>
      </c>
      <c r="H9" s="88">
        <f>IF(B$20=0,0,G9/B$20)</f>
        <v>0.10185185185185185</v>
      </c>
      <c r="I9" s="58">
        <v>8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14</v>
      </c>
      <c r="C10" s="7">
        <f t="shared" si="1"/>
        <v>0.3783783783783784</v>
      </c>
      <c r="E10" s="27" t="s">
        <v>69</v>
      </c>
      <c r="F10" s="24" t="s">
        <v>24</v>
      </c>
      <c r="G10" s="12">
        <v>10</v>
      </c>
      <c r="H10" s="88">
        <f>IF(B$20=0,0,G10/B$20)</f>
        <v>9.2592592592592587E-2</v>
      </c>
      <c r="I10" s="58">
        <v>8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-1.9833333333333318</v>
      </c>
      <c r="Q10" s="76">
        <v>12</v>
      </c>
      <c r="R10" s="67">
        <v>-23.799999999999983</v>
      </c>
    </row>
    <row r="11" spans="1:18" x14ac:dyDescent="0.4">
      <c r="A11" s="20" t="s">
        <v>183</v>
      </c>
      <c r="B11" s="109">
        <f>IF(B8=0,0,C11/B8)</f>
        <v>46.007692307692309</v>
      </c>
      <c r="C11" s="110">
        <v>598.1</v>
      </c>
      <c r="E11" s="27" t="s">
        <v>89</v>
      </c>
      <c r="F11" s="24" t="s">
        <v>44</v>
      </c>
      <c r="G11" s="12">
        <v>10</v>
      </c>
      <c r="H11" s="88">
        <f>IF(B$20=0,0,G11/B$20)</f>
        <v>9.2592592592592587E-2</v>
      </c>
      <c r="I11" s="58">
        <v>7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3.6066666666666669</v>
      </c>
      <c r="Q11" s="77">
        <v>15</v>
      </c>
      <c r="R11" s="68">
        <v>54.1</v>
      </c>
    </row>
    <row r="12" spans="1:18" x14ac:dyDescent="0.4">
      <c r="A12" s="20" t="s">
        <v>184</v>
      </c>
      <c r="B12" s="109">
        <f>IF(B9=0,0,C12/B9)</f>
        <v>0.48000000000000043</v>
      </c>
      <c r="C12" s="110">
        <v>4.8000000000000043</v>
      </c>
      <c r="E12" s="27" t="s">
        <v>86</v>
      </c>
      <c r="F12" s="24" t="s">
        <v>41</v>
      </c>
      <c r="G12" s="12">
        <v>7</v>
      </c>
      <c r="H12" s="88">
        <f>IF(B$20=0,0,G12/B$20)</f>
        <v>6.4814814814814811E-2</v>
      </c>
      <c r="I12" s="58">
        <v>4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2.15</v>
      </c>
      <c r="Q12" s="78">
        <v>10</v>
      </c>
      <c r="R12" s="69">
        <v>21.5</v>
      </c>
    </row>
    <row r="13" spans="1:18" x14ac:dyDescent="0.4">
      <c r="A13" s="20" t="s">
        <v>185</v>
      </c>
      <c r="B13" s="109">
        <f>IF(B10=0,0,C13/B10)</f>
        <v>-39.364285714285714</v>
      </c>
      <c r="C13" s="110">
        <v>-551.1</v>
      </c>
      <c r="E13" s="27" t="s">
        <v>71</v>
      </c>
      <c r="F13" s="24" t="s">
        <v>26</v>
      </c>
      <c r="G13" s="12">
        <v>6</v>
      </c>
      <c r="H13" s="88">
        <f>IF(B$20=0,0,G13/B$20)</f>
        <v>5.5555555555555552E-2</v>
      </c>
      <c r="I13" s="58">
        <v>7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2.3744688644688665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3.7037037037037035E-2</v>
      </c>
      <c r="I14" s="58">
        <v>2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78</v>
      </c>
      <c r="F15" s="24" t="s">
        <v>33</v>
      </c>
      <c r="G15" s="12">
        <v>3</v>
      </c>
      <c r="H15" s="88">
        <f>IF(B$20=0,0,G15/B$20)</f>
        <v>2.7777777777777776E-2</v>
      </c>
      <c r="I15" s="58">
        <v>3</v>
      </c>
      <c r="K15" s="74">
        <v>13</v>
      </c>
      <c r="L15" s="119">
        <v>-132.5</v>
      </c>
      <c r="M15" s="117">
        <v>1525.3958783244625</v>
      </c>
      <c r="O15" s="73" t="s">
        <v>191</v>
      </c>
      <c r="P15" s="82">
        <f>IF(Q15=0,0,R15/Q15)</f>
        <v>24.314285714285713</v>
      </c>
      <c r="Q15" s="76">
        <v>14</v>
      </c>
      <c r="R15" s="67">
        <v>340.4</v>
      </c>
    </row>
    <row r="16" spans="1:18" x14ac:dyDescent="0.4">
      <c r="A16" s="22" t="s">
        <v>121</v>
      </c>
      <c r="B16" s="15">
        <v>66</v>
      </c>
      <c r="C16" s="10">
        <f>IF(B$3=0,0,B16/B$3)</f>
        <v>0.20370370370370369</v>
      </c>
      <c r="E16" s="27" t="s">
        <v>81</v>
      </c>
      <c r="F16" s="24" t="s">
        <v>36</v>
      </c>
      <c r="G16" s="12">
        <v>3</v>
      </c>
      <c r="H16" s="88">
        <f>IF(B$20=0,0,G16/B$20)</f>
        <v>2.7777777777777776E-2</v>
      </c>
      <c r="I16" s="58">
        <v>6</v>
      </c>
      <c r="K16" s="74">
        <v>14</v>
      </c>
      <c r="L16" s="119">
        <v>-165.5</v>
      </c>
      <c r="M16" s="117">
        <v>1519.8735030545158</v>
      </c>
      <c r="O16" s="74" t="s">
        <v>126</v>
      </c>
      <c r="P16" s="83">
        <f>IF(Q16=0,0,R16/Q16)</f>
        <v>2.4870967741935464</v>
      </c>
      <c r="Q16" s="77">
        <v>31</v>
      </c>
      <c r="R16" s="68">
        <v>77.099999999999937</v>
      </c>
    </row>
    <row r="17" spans="1:18" x14ac:dyDescent="0.4">
      <c r="A17" s="19" t="s">
        <v>118</v>
      </c>
      <c r="B17" s="12">
        <v>72</v>
      </c>
      <c r="C17" s="6">
        <f>IF(B$3=0,0,B17/B$3)</f>
        <v>0.22222222222222221</v>
      </c>
      <c r="E17" s="27" t="s">
        <v>73</v>
      </c>
      <c r="F17" s="24" t="s">
        <v>28</v>
      </c>
      <c r="G17" s="12">
        <v>1</v>
      </c>
      <c r="H17" s="88">
        <f>IF(B$20=0,0,G17/B$20)</f>
        <v>9.2592592592592587E-3</v>
      </c>
      <c r="I17" s="58">
        <v>6</v>
      </c>
      <c r="K17" s="74">
        <v>15</v>
      </c>
      <c r="L17" s="119">
        <v>-119.8</v>
      </c>
      <c r="M17" s="117">
        <v>1528.5502620361888</v>
      </c>
      <c r="O17" s="74" t="s">
        <v>162</v>
      </c>
      <c r="P17" s="83">
        <f>IF(Q17=0,0,R17/Q17)</f>
        <v>-6.3473684210526296</v>
      </c>
      <c r="Q17" s="77">
        <v>19</v>
      </c>
      <c r="R17" s="68">
        <v>-120.59999999999997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0.65151515151515149</v>
      </c>
      <c r="E18" s="27" t="s">
        <v>74</v>
      </c>
      <c r="F18" s="24" t="s">
        <v>29</v>
      </c>
      <c r="G18" s="12">
        <v>1</v>
      </c>
      <c r="H18" s="88">
        <f>IF(B$20=0,0,G18/B$20)</f>
        <v>9.2592592592592587E-3</v>
      </c>
      <c r="I18" s="58">
        <v>2</v>
      </c>
      <c r="K18" s="74">
        <v>16</v>
      </c>
      <c r="L18" s="119">
        <v>-171.4</v>
      </c>
      <c r="M18" s="117">
        <v>1519.6669604639717</v>
      </c>
      <c r="O18" s="74" t="s">
        <v>187</v>
      </c>
      <c r="P18" s="83">
        <f>IF(Q18=0,0,R18/Q18)</f>
        <v>-14.15</v>
      </c>
      <c r="Q18" s="77">
        <v>10</v>
      </c>
      <c r="R18" s="68">
        <v>-141.5</v>
      </c>
    </row>
    <row r="19" spans="1:18" x14ac:dyDescent="0.4">
      <c r="A19" s="18" t="s">
        <v>124</v>
      </c>
      <c r="B19" s="11">
        <f>B25</f>
        <v>35</v>
      </c>
      <c r="C19" s="5">
        <f>IF(B$17=0,0,B19/B$17)</f>
        <v>0.4861111111111111</v>
      </c>
      <c r="E19" s="27" t="s">
        <v>87</v>
      </c>
      <c r="F19" s="24" t="s">
        <v>42</v>
      </c>
      <c r="G19" s="12">
        <v>1</v>
      </c>
      <c r="H19" s="88">
        <f>IF(B$20=0,0,G19/B$20)</f>
        <v>9.2592592592592587E-3</v>
      </c>
      <c r="I19" s="58">
        <v>1</v>
      </c>
      <c r="K19" s="74">
        <v>17</v>
      </c>
      <c r="L19" s="119">
        <v>-211.5</v>
      </c>
      <c r="M19" s="117">
        <v>1512.9009587011878</v>
      </c>
    </row>
    <row r="20" spans="1:18" x14ac:dyDescent="0.4">
      <c r="A20" s="18" t="s">
        <v>10</v>
      </c>
      <c r="B20" s="11">
        <f>B23+B22</f>
        <v>108</v>
      </c>
      <c r="C20" s="5">
        <f>IF(B$3=0,0,B20/B$3)</f>
        <v>0.33333333333333331</v>
      </c>
      <c r="E20" s="27" t="s">
        <v>91</v>
      </c>
      <c r="F20" s="24" t="s">
        <v>46</v>
      </c>
      <c r="G20" s="12">
        <v>1</v>
      </c>
      <c r="H20" s="88">
        <f>IF(B$20=0,0,G20/B$20)</f>
        <v>9.2592592592592587E-3</v>
      </c>
      <c r="I20" s="58">
        <v>5</v>
      </c>
      <c r="K20" s="74">
        <v>18</v>
      </c>
      <c r="L20" s="119">
        <v>-220.6</v>
      </c>
      <c r="M20" s="117">
        <v>1511.7615529489808</v>
      </c>
    </row>
    <row r="21" spans="1:18" x14ac:dyDescent="0.4">
      <c r="A21" s="19" t="s">
        <v>13</v>
      </c>
      <c r="B21" s="12">
        <v>45</v>
      </c>
      <c r="C21" s="6">
        <f>IF(B$3=0,0,B21/B$3)</f>
        <v>0.1388888888888889</v>
      </c>
      <c r="E21" s="27" t="s">
        <v>94</v>
      </c>
      <c r="F21" s="24" t="s">
        <v>49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-153.5</v>
      </c>
      <c r="M21" s="117">
        <v>1524.3449836312868</v>
      </c>
    </row>
    <row r="22" spans="1:18" x14ac:dyDescent="0.4">
      <c r="A22" s="19" t="s">
        <v>12</v>
      </c>
      <c r="B22" s="12">
        <v>42</v>
      </c>
      <c r="C22" s="6">
        <f>IF(B$20=0,0,B22/B$20)</f>
        <v>0.3888888888888889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-122</v>
      </c>
      <c r="M22" s="117">
        <v>1530.804913729499</v>
      </c>
    </row>
    <row r="23" spans="1:18" x14ac:dyDescent="0.4">
      <c r="A23" s="19" t="s">
        <v>11</v>
      </c>
      <c r="B23" s="12">
        <v>66</v>
      </c>
      <c r="C23" s="6">
        <f>IF(B$20=0,0,B23/B$20)</f>
        <v>0.61111111111111116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-91.8</v>
      </c>
      <c r="M23" s="117">
        <v>1536.992084247122</v>
      </c>
    </row>
    <row r="24" spans="1:18" x14ac:dyDescent="0.4">
      <c r="A24" s="19" t="s">
        <v>182</v>
      </c>
      <c r="B24" s="12">
        <v>43</v>
      </c>
      <c r="C24" s="6">
        <f>IF(B$20=0,0,B24/B$20)</f>
        <v>0.39814814814814814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-125.6</v>
      </c>
      <c r="M24" s="117">
        <v>1531.6221317416391</v>
      </c>
    </row>
    <row r="25" spans="1:18" x14ac:dyDescent="0.4">
      <c r="A25" s="19" t="s">
        <v>180</v>
      </c>
      <c r="B25" s="12">
        <v>35</v>
      </c>
      <c r="C25" s="6">
        <f>IF(B$20=0,0,B25/B$20)</f>
        <v>0.32407407407407407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-57.199999999999989</v>
      </c>
      <c r="M25" s="117">
        <v>1544.6803989511893</v>
      </c>
    </row>
    <row r="26" spans="1:18" x14ac:dyDescent="0.4">
      <c r="A26" s="19" t="s">
        <v>181</v>
      </c>
      <c r="B26" s="12">
        <v>30</v>
      </c>
      <c r="C26" s="6">
        <f>IF(B$20=0,0,B26/B$20)</f>
        <v>0.27777777777777779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-102.49999999999999</v>
      </c>
      <c r="M26" s="117">
        <v>1537.1943165574821</v>
      </c>
    </row>
    <row r="27" spans="1:18" x14ac:dyDescent="0.4">
      <c r="A27" s="19" t="s">
        <v>5</v>
      </c>
      <c r="B27" s="16">
        <f>IF(B$20=0,0,C27/B$20)</f>
        <v>7587.0370370370374</v>
      </c>
      <c r="C27" s="8">
        <v>819400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-132.6</v>
      </c>
      <c r="M27" s="117">
        <v>1532.4891506581373</v>
      </c>
    </row>
    <row r="28" spans="1:18" x14ac:dyDescent="0.4">
      <c r="A28" s="20" t="s">
        <v>164</v>
      </c>
      <c r="B28" s="95">
        <f>IF($B$20-B$19=0,0,C28/($B$20-B$19))</f>
        <v>7434.2465753424658</v>
      </c>
      <c r="C28" s="96">
        <v>542700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-98.6</v>
      </c>
      <c r="M28" s="117">
        <v>1539.3502157541884</v>
      </c>
    </row>
    <row r="29" spans="1:18" x14ac:dyDescent="0.4">
      <c r="A29" s="20" t="s">
        <v>165</v>
      </c>
      <c r="B29" s="95">
        <f>IF(B$19=0,0,C29/B$19)</f>
        <v>7905.7142857142853</v>
      </c>
      <c r="C29" s="96">
        <v>276700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-130.6</v>
      </c>
      <c r="M29" s="117">
        <v>1534.2901144596633</v>
      </c>
    </row>
    <row r="30" spans="1:18" x14ac:dyDescent="0.4">
      <c r="A30" s="20" t="s">
        <v>163</v>
      </c>
      <c r="B30" s="95">
        <f>IF(B$21=0,0,C30/B$21)</f>
        <v>-8264.4444444444453</v>
      </c>
      <c r="C30" s="96">
        <v>-371900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-123.39999999999999</v>
      </c>
      <c r="M30" s="117">
        <v>1536.3163737729053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-107.1</v>
      </c>
      <c r="M31" s="117">
        <v>1539.9684755302678</v>
      </c>
    </row>
    <row r="32" spans="1:18" x14ac:dyDescent="0.4">
      <c r="A32" s="19" t="s">
        <v>157</v>
      </c>
      <c r="B32" s="12">
        <v>22</v>
      </c>
      <c r="C32" s="90">
        <v>20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-137.9</v>
      </c>
      <c r="M32" s="117">
        <v>1535.1206646770863</v>
      </c>
    </row>
    <row r="33" spans="1:13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-167.8</v>
      </c>
      <c r="M33" s="117">
        <v>1530.0679406890238</v>
      </c>
    </row>
    <row r="34" spans="1:13" x14ac:dyDescent="0.4">
      <c r="A34" s="22" t="s">
        <v>179</v>
      </c>
      <c r="B34" s="129">
        <v>83400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-102.10000000000001</v>
      </c>
      <c r="M34" s="117">
        <v>1542.2535330448895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-67.800000000000011</v>
      </c>
      <c r="M35" s="117">
        <v>1548.7140118466202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-21.000000000000014</v>
      </c>
      <c r="M36" s="117">
        <v>1557.3857277755405</v>
      </c>
    </row>
    <row r="37" spans="1:13" x14ac:dyDescent="0.4">
      <c r="A37" s="54" t="s">
        <v>170</v>
      </c>
      <c r="B37" s="123">
        <v>5</v>
      </c>
      <c r="C37" s="98">
        <f t="shared" ref="C37:C49" si="2">IF(B$20=0,0,B37/B$20)</f>
        <v>4.6296296296296294E-2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17.199999999999989</v>
      </c>
      <c r="M37" s="117">
        <v>1564.4574134088873</v>
      </c>
    </row>
    <row r="38" spans="1:13" x14ac:dyDescent="0.4">
      <c r="A38" s="19" t="s">
        <v>166</v>
      </c>
      <c r="B38" s="12">
        <v>21</v>
      </c>
      <c r="C38" s="6">
        <f t="shared" si="2"/>
        <v>0.19444444444444445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75.699999999999989</v>
      </c>
      <c r="M38" s="117">
        <v>1575.1346689284339</v>
      </c>
    </row>
    <row r="39" spans="1:13" x14ac:dyDescent="0.4">
      <c r="A39" s="19" t="s">
        <v>167</v>
      </c>
      <c r="B39" s="124">
        <v>32</v>
      </c>
      <c r="C39" s="6">
        <f t="shared" si="2"/>
        <v>0.29629629629629628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51.79999999999999</v>
      </c>
      <c r="M39" s="117">
        <v>1570.9218609148634</v>
      </c>
    </row>
    <row r="40" spans="1:13" x14ac:dyDescent="0.4">
      <c r="A40" s="19" t="s">
        <v>168</v>
      </c>
      <c r="B40" s="124">
        <v>19</v>
      </c>
      <c r="C40" s="6">
        <f t="shared" si="2"/>
        <v>0.17592592592592593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169</v>
      </c>
      <c r="B41" s="124">
        <v>17</v>
      </c>
      <c r="C41" s="6">
        <f t="shared" si="2"/>
        <v>0.15740740740740741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171</v>
      </c>
      <c r="B42" s="124">
        <v>8</v>
      </c>
      <c r="C42" s="6">
        <f t="shared" si="2"/>
        <v>7.407407407407407E-2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172</v>
      </c>
      <c r="B43" s="124">
        <v>3</v>
      </c>
      <c r="C43" s="6">
        <f t="shared" si="2"/>
        <v>2.7777777777777776E-2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173</v>
      </c>
      <c r="B44" s="124">
        <v>1</v>
      </c>
      <c r="C44" s="6">
        <f t="shared" si="2"/>
        <v>9.2592592592592587E-3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175</v>
      </c>
      <c r="B46" s="124">
        <v>1</v>
      </c>
      <c r="C46" s="6">
        <f t="shared" si="2"/>
        <v>9.2592592592592587E-3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9.2592592592592587E-3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89378-DBCC-4676-A286-9EF536201043}">
  <sheetPr codeName="Sheet13"/>
  <dimension ref="A1:R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57</v>
      </c>
      <c r="C2" s="134"/>
      <c r="E2" s="26" t="s">
        <v>64</v>
      </c>
      <c r="F2" s="23" t="s">
        <v>20</v>
      </c>
      <c r="G2" s="11">
        <v>94</v>
      </c>
      <c r="H2" s="87">
        <f>IF(B$20=0,0,G2/B$20)</f>
        <v>0.65277777777777779</v>
      </c>
      <c r="I2" s="57">
        <v>3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-12.280701754385966</v>
      </c>
      <c r="Q2" s="76">
        <v>57</v>
      </c>
      <c r="R2" s="63">
        <v>-700</v>
      </c>
    </row>
    <row r="3" spans="1:18" x14ac:dyDescent="0.4">
      <c r="A3" s="19" t="s">
        <v>8</v>
      </c>
      <c r="B3" s="135">
        <v>481</v>
      </c>
      <c r="C3" s="136"/>
      <c r="E3" s="27" t="s">
        <v>66</v>
      </c>
      <c r="F3" s="24" t="s">
        <v>22</v>
      </c>
      <c r="G3" s="12">
        <v>81</v>
      </c>
      <c r="H3" s="88">
        <f>IF(B$20=0,0,G3/B$20)</f>
        <v>0.5625</v>
      </c>
      <c r="I3" s="58">
        <v>6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1837.5</v>
      </c>
      <c r="Q3" s="77">
        <v>56</v>
      </c>
      <c r="R3" s="64">
        <v>102900</v>
      </c>
    </row>
    <row r="4" spans="1:18" x14ac:dyDescent="0.4">
      <c r="A4" s="19" t="s">
        <v>6</v>
      </c>
      <c r="B4" s="137">
        <v>512.79999999999973</v>
      </c>
      <c r="C4" s="138"/>
      <c r="E4" s="27" t="s">
        <v>67</v>
      </c>
      <c r="F4" s="24" t="s">
        <v>23</v>
      </c>
      <c r="G4" s="12">
        <v>67</v>
      </c>
      <c r="H4" s="88">
        <f>IF(B$20=0,0,G4/B$20)</f>
        <v>0.46527777777777779</v>
      </c>
      <c r="I4" s="58">
        <v>1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878.18181818181813</v>
      </c>
      <c r="Q4" s="77">
        <v>55</v>
      </c>
      <c r="R4" s="64">
        <v>48300</v>
      </c>
    </row>
    <row r="5" spans="1:18" x14ac:dyDescent="0.4">
      <c r="A5" s="19" t="s">
        <v>7</v>
      </c>
      <c r="B5" s="125">
        <f>IF(B$2=0,0,B$4/B$2)</f>
        <v>8.9964912280701714</v>
      </c>
      <c r="C5" s="126"/>
      <c r="E5" s="27" t="s">
        <v>72</v>
      </c>
      <c r="F5" s="24" t="s">
        <v>27</v>
      </c>
      <c r="G5" s="12">
        <v>65</v>
      </c>
      <c r="H5" s="88">
        <f>IF(B$20=0,0,G5/B$20)</f>
        <v>0.4513888888888889</v>
      </c>
      <c r="I5" s="58">
        <v>6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2058.4905660377358</v>
      </c>
      <c r="Q5" s="77">
        <v>53</v>
      </c>
      <c r="R5" s="64">
        <v>109100</v>
      </c>
    </row>
    <row r="6" spans="1:18" x14ac:dyDescent="0.4">
      <c r="A6" s="19" t="s">
        <v>192</v>
      </c>
      <c r="B6" s="129">
        <v>1854.1215244978414</v>
      </c>
      <c r="C6" s="130"/>
      <c r="E6" s="27" t="s">
        <v>158</v>
      </c>
      <c r="F6" s="24" t="s">
        <v>159</v>
      </c>
      <c r="G6" s="12">
        <v>60</v>
      </c>
      <c r="H6" s="88">
        <f>IF(B$20=0,0,G6/B$20)</f>
        <v>0.41666666666666669</v>
      </c>
      <c r="I6" s="58">
        <v>6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1677.0833333333333</v>
      </c>
      <c r="Q6" s="77">
        <v>48</v>
      </c>
      <c r="R6" s="64">
        <v>80500</v>
      </c>
    </row>
    <row r="7" spans="1:18" x14ac:dyDescent="0.4">
      <c r="A7" s="19" t="s">
        <v>1</v>
      </c>
      <c r="B7" s="139">
        <f>IF(B$2=0,0,(B$8*1+B$9*2+B$10*3)/B$2)</f>
        <v>1.8421052631578947</v>
      </c>
      <c r="C7" s="140"/>
      <c r="E7" s="27" t="s">
        <v>68</v>
      </c>
      <c r="F7" s="24" t="s">
        <v>12</v>
      </c>
      <c r="G7" s="12">
        <v>47</v>
      </c>
      <c r="H7" s="88">
        <f>IF(B$20=0,0,G7/B$20)</f>
        <v>0.3263888888888889</v>
      </c>
      <c r="I7" s="58">
        <v>6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116.27906976744185</v>
      </c>
      <c r="Q7" s="78">
        <v>43</v>
      </c>
      <c r="R7" s="65">
        <v>5000</v>
      </c>
    </row>
    <row r="8" spans="1:18" x14ac:dyDescent="0.4">
      <c r="A8" s="19" t="s">
        <v>2</v>
      </c>
      <c r="B8" s="12">
        <v>23</v>
      </c>
      <c r="C8" s="6">
        <f t="shared" ref="C8:C15" si="1">IF(B$2=0,0,B8/B$2)</f>
        <v>0.40350877192982454</v>
      </c>
      <c r="E8" s="27" t="s">
        <v>89</v>
      </c>
      <c r="F8" s="24" t="s">
        <v>44</v>
      </c>
      <c r="G8" s="12">
        <v>24</v>
      </c>
      <c r="H8" s="88">
        <f>IF(B$20=0,0,G8/B$20)</f>
        <v>0.16666666666666666</v>
      </c>
      <c r="I8" s="58">
        <v>2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20</v>
      </c>
      <c r="C9" s="6">
        <f t="shared" si="1"/>
        <v>0.35087719298245612</v>
      </c>
      <c r="E9" s="27" t="s">
        <v>69</v>
      </c>
      <c r="F9" s="24" t="s">
        <v>24</v>
      </c>
      <c r="G9" s="12">
        <v>21</v>
      </c>
      <c r="H9" s="88">
        <f>IF(B$20=0,0,G9/B$20)</f>
        <v>0.14583333333333334</v>
      </c>
      <c r="I9" s="58">
        <v>5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14</v>
      </c>
      <c r="C10" s="7">
        <f t="shared" si="1"/>
        <v>0.24561403508771928</v>
      </c>
      <c r="E10" s="27" t="s">
        <v>65</v>
      </c>
      <c r="F10" s="24" t="s">
        <v>21</v>
      </c>
      <c r="G10" s="12">
        <v>17</v>
      </c>
      <c r="H10" s="88">
        <f>IF(B$20=0,0,G10/B$20)</f>
        <v>0.11805555555555555</v>
      </c>
      <c r="I10" s="58">
        <v>7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4.6437499999999998</v>
      </c>
      <c r="Q10" s="76">
        <v>16</v>
      </c>
      <c r="R10" s="67">
        <v>74.3</v>
      </c>
    </row>
    <row r="11" spans="1:18" x14ac:dyDescent="0.4">
      <c r="A11" s="20" t="s">
        <v>183</v>
      </c>
      <c r="B11" s="109">
        <f>IF(B8=0,0,C11/B8)</f>
        <v>49.54782608695654</v>
      </c>
      <c r="C11" s="110">
        <v>1139.6000000000004</v>
      </c>
      <c r="E11" s="27" t="s">
        <v>70</v>
      </c>
      <c r="F11" s="24" t="s">
        <v>25</v>
      </c>
      <c r="G11" s="12">
        <v>15</v>
      </c>
      <c r="H11" s="88">
        <f>IF(B$20=0,0,G11/B$20)</f>
        <v>0.10416666666666667</v>
      </c>
      <c r="I11" s="58">
        <v>6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10</v>
      </c>
      <c r="Q11" s="77">
        <v>17</v>
      </c>
      <c r="R11" s="68">
        <v>170</v>
      </c>
    </row>
    <row r="12" spans="1:18" x14ac:dyDescent="0.4">
      <c r="A12" s="20" t="s">
        <v>184</v>
      </c>
      <c r="B12" s="109">
        <f>IF(B9=0,0,C12/B9)</f>
        <v>-2.39</v>
      </c>
      <c r="C12" s="110">
        <v>-47.800000000000004</v>
      </c>
      <c r="E12" s="27" t="s">
        <v>86</v>
      </c>
      <c r="F12" s="24" t="s">
        <v>41</v>
      </c>
      <c r="G12" s="12">
        <v>14</v>
      </c>
      <c r="H12" s="88">
        <f>IF(B$20=0,0,G12/B$20)</f>
        <v>9.7222222222222224E-2</v>
      </c>
      <c r="I12" s="58">
        <v>1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11.1875</v>
      </c>
      <c r="Q12" s="78">
        <v>24</v>
      </c>
      <c r="R12" s="69">
        <v>268.5</v>
      </c>
    </row>
    <row r="13" spans="1:18" x14ac:dyDescent="0.4">
      <c r="A13" s="20" t="s">
        <v>185</v>
      </c>
      <c r="B13" s="109">
        <f>IF(B10=0,0,C13/B10)</f>
        <v>-41.357142857142854</v>
      </c>
      <c r="C13" s="110">
        <v>-579</v>
      </c>
      <c r="E13" s="27" t="s">
        <v>71</v>
      </c>
      <c r="F13" s="24" t="s">
        <v>26</v>
      </c>
      <c r="G13" s="12">
        <v>8</v>
      </c>
      <c r="H13" s="88">
        <f>IF(B$20=0,0,G13/B$20)</f>
        <v>5.5555555555555552E-2</v>
      </c>
      <c r="I13" s="58">
        <v>7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1.9335610766045619</v>
      </c>
      <c r="C14" s="126"/>
      <c r="E14" s="27" t="s">
        <v>78</v>
      </c>
      <c r="F14" s="24" t="s">
        <v>33</v>
      </c>
      <c r="G14" s="12">
        <v>3</v>
      </c>
      <c r="H14" s="88">
        <f>IF(B$20=0,0,G14/B$20)</f>
        <v>2.0833333333333332E-2</v>
      </c>
      <c r="I14" s="58">
        <v>6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3</v>
      </c>
      <c r="C15" s="9">
        <f t="shared" si="1"/>
        <v>5.2631578947368418E-2</v>
      </c>
      <c r="E15" s="27" t="s">
        <v>79</v>
      </c>
      <c r="F15" s="24" t="s">
        <v>34</v>
      </c>
      <c r="G15" s="12">
        <v>3</v>
      </c>
      <c r="H15" s="88">
        <f>IF(B$20=0,0,G15/B$20)</f>
        <v>2.0833333333333332E-2</v>
      </c>
      <c r="I15" s="58">
        <v>2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189</v>
      </c>
      <c r="C16" s="10">
        <f>IF(B$3=0,0,B16/B$3)</f>
        <v>0.39293139293139295</v>
      </c>
      <c r="E16" s="27" t="s">
        <v>81</v>
      </c>
      <c r="F16" s="24" t="s">
        <v>36</v>
      </c>
      <c r="G16" s="12">
        <v>3</v>
      </c>
      <c r="H16" s="88">
        <f>IF(B$20=0,0,G16/B$20)</f>
        <v>2.0833333333333332E-2</v>
      </c>
      <c r="I16" s="58">
        <v>7</v>
      </c>
      <c r="K16" s="74">
        <v>14</v>
      </c>
      <c r="L16" s="119">
        <v>244.7</v>
      </c>
      <c r="M16" s="117">
        <v>1871.5564856013168</v>
      </c>
      <c r="O16" s="74" t="s">
        <v>191</v>
      </c>
      <c r="P16" s="83">
        <f>IF(Q16=0,0,R16/Q16)</f>
        <v>26.497142857142858</v>
      </c>
      <c r="Q16" s="77">
        <v>35</v>
      </c>
      <c r="R16" s="68">
        <v>927.40000000000009</v>
      </c>
    </row>
    <row r="17" spans="1:18" x14ac:dyDescent="0.4">
      <c r="A17" s="19" t="s">
        <v>118</v>
      </c>
      <c r="B17" s="12">
        <v>72</v>
      </c>
      <c r="C17" s="6">
        <f>IF(B$3=0,0,B17/B$3)</f>
        <v>0.1496881496881497</v>
      </c>
      <c r="E17" s="27" t="s">
        <v>83</v>
      </c>
      <c r="F17" s="24" t="s">
        <v>38</v>
      </c>
      <c r="G17" s="12">
        <v>3</v>
      </c>
      <c r="H17" s="88">
        <f>IF(B$20=0,0,G17/B$20)</f>
        <v>2.0833333333333332E-2</v>
      </c>
      <c r="I17" s="58">
        <v>6</v>
      </c>
      <c r="K17" s="74">
        <v>15</v>
      </c>
      <c r="L17" s="119">
        <v>278.59999999999997</v>
      </c>
      <c r="M17" s="117">
        <v>1875.867146687709</v>
      </c>
      <c r="O17" s="74" t="s">
        <v>188</v>
      </c>
      <c r="P17" s="83">
        <f>IF(Q17=0,0,R17/Q17)</f>
        <v>19.166666666666668</v>
      </c>
      <c r="Q17" s="77">
        <v>12</v>
      </c>
      <c r="R17" s="68">
        <v>230.00000000000003</v>
      </c>
    </row>
    <row r="18" spans="1:18" x14ac:dyDescent="0.4">
      <c r="A18" s="18" t="s">
        <v>123</v>
      </c>
      <c r="B18" s="11">
        <f>B24</f>
        <v>96</v>
      </c>
      <c r="C18" s="5">
        <f>IF(B$16=0,0,B18/B$16)</f>
        <v>0.50793650793650791</v>
      </c>
      <c r="E18" s="27" t="s">
        <v>91</v>
      </c>
      <c r="F18" s="24" t="s">
        <v>46</v>
      </c>
      <c r="G18" s="12">
        <v>3</v>
      </c>
      <c r="H18" s="88">
        <f>IF(B$20=0,0,G18/B$20)</f>
        <v>2.0833333333333332E-2</v>
      </c>
      <c r="I18" s="58">
        <v>2</v>
      </c>
      <c r="K18" s="74">
        <v>16</v>
      </c>
      <c r="L18" s="119">
        <v>247.79999999999995</v>
      </c>
      <c r="M18" s="117">
        <v>1868.5059438075828</v>
      </c>
      <c r="O18" s="74" t="s">
        <v>162</v>
      </c>
      <c r="P18" s="83">
        <f>IF(Q18=0,0,R18/Q18)</f>
        <v>-0.68333333333333401</v>
      </c>
      <c r="Q18" s="77">
        <v>18</v>
      </c>
      <c r="R18" s="68">
        <v>-12.300000000000011</v>
      </c>
    </row>
    <row r="19" spans="1:18" x14ac:dyDescent="0.4">
      <c r="A19" s="18" t="s">
        <v>124</v>
      </c>
      <c r="B19" s="11">
        <f>B25</f>
        <v>30</v>
      </c>
      <c r="C19" s="5">
        <f>IF(B$17=0,0,B19/B$17)</f>
        <v>0.41666666666666669</v>
      </c>
      <c r="E19" s="27" t="s">
        <v>75</v>
      </c>
      <c r="F19" s="24" t="s">
        <v>30</v>
      </c>
      <c r="G19" s="12">
        <v>2</v>
      </c>
      <c r="H19" s="88">
        <f>IF(B$20=0,0,G19/B$20)</f>
        <v>1.3888888888888888E-2</v>
      </c>
      <c r="I19" s="58">
        <v>2</v>
      </c>
      <c r="K19" s="74">
        <v>17</v>
      </c>
      <c r="L19" s="119">
        <v>298.79999999999995</v>
      </c>
      <c r="M19" s="117">
        <v>1875.9129081447372</v>
      </c>
      <c r="O19" s="74" t="s">
        <v>189</v>
      </c>
      <c r="P19" s="83">
        <f>IF(Q19=0,0,R19/Q19)</f>
        <v>-2.4870967741935464</v>
      </c>
      <c r="Q19" s="77">
        <v>31</v>
      </c>
      <c r="R19" s="68">
        <v>-77.099999999999937</v>
      </c>
    </row>
    <row r="20" spans="1:18" x14ac:dyDescent="0.4">
      <c r="A20" s="18" t="s">
        <v>10</v>
      </c>
      <c r="B20" s="11">
        <f>B23+B22</f>
        <v>144</v>
      </c>
      <c r="C20" s="5">
        <f>IF(B$3=0,0,B20/B$3)</f>
        <v>0.29937629937629939</v>
      </c>
      <c r="E20" s="27" t="s">
        <v>92</v>
      </c>
      <c r="F20" s="24" t="s">
        <v>47</v>
      </c>
      <c r="G20" s="12">
        <v>2</v>
      </c>
      <c r="H20" s="88">
        <f>IF(B$20=0,0,G20/B$20)</f>
        <v>1.3888888888888888E-2</v>
      </c>
      <c r="I20" s="58">
        <v>1</v>
      </c>
      <c r="K20" s="74">
        <v>18</v>
      </c>
      <c r="L20" s="119">
        <v>327.79999999999995</v>
      </c>
      <c r="M20" s="117">
        <v>1879.3154306958688</v>
      </c>
      <c r="O20" s="74" t="s">
        <v>187</v>
      </c>
      <c r="P20" s="83">
        <f>IF(Q20=0,0,R20/Q20)</f>
        <v>-5.3777777777777764</v>
      </c>
      <c r="Q20" s="77">
        <v>9</v>
      </c>
      <c r="R20" s="68">
        <v>-48.399999999999991</v>
      </c>
    </row>
    <row r="21" spans="1:18" x14ac:dyDescent="0.4">
      <c r="A21" s="19" t="s">
        <v>13</v>
      </c>
      <c r="B21" s="12">
        <v>69</v>
      </c>
      <c r="C21" s="6">
        <f>IF(B$3=0,0,B21/B$3)</f>
        <v>0.14345114345114346</v>
      </c>
      <c r="E21" s="27" t="s">
        <v>93</v>
      </c>
      <c r="F21" s="24" t="s">
        <v>48</v>
      </c>
      <c r="G21" s="12">
        <v>2</v>
      </c>
      <c r="H21" s="88">
        <f>IF(B$20=0,0,G21/B$20)</f>
        <v>1.3888888888888888E-2</v>
      </c>
      <c r="I21" s="58">
        <v>1</v>
      </c>
      <c r="K21" s="74">
        <v>19</v>
      </c>
      <c r="L21" s="119">
        <v>347.49999999999994</v>
      </c>
      <c r="M21" s="117">
        <v>1881.0235381116936</v>
      </c>
    </row>
    <row r="22" spans="1:18" x14ac:dyDescent="0.4">
      <c r="A22" s="19" t="s">
        <v>12</v>
      </c>
      <c r="B22" s="12">
        <v>60</v>
      </c>
      <c r="C22" s="6">
        <f>IF(B$20=0,0,B22/B$20)</f>
        <v>0.41666666666666669</v>
      </c>
      <c r="E22" s="27" t="s">
        <v>76</v>
      </c>
      <c r="F22" s="24" t="s">
        <v>31</v>
      </c>
      <c r="G22" s="12">
        <v>1</v>
      </c>
      <c r="H22" s="88">
        <f>IF(B$20=0,0,G22/B$20)</f>
        <v>6.9444444444444441E-3</v>
      </c>
      <c r="I22" s="58">
        <v>1</v>
      </c>
      <c r="K22" s="74">
        <v>20</v>
      </c>
      <c r="L22" s="119">
        <v>354.69999999999993</v>
      </c>
      <c r="M22" s="117">
        <v>1880.4653968830235</v>
      </c>
    </row>
    <row r="23" spans="1:18" x14ac:dyDescent="0.4">
      <c r="A23" s="19" t="s">
        <v>11</v>
      </c>
      <c r="B23" s="12">
        <v>84</v>
      </c>
      <c r="C23" s="6">
        <f>IF(B$20=0,0,B23/B$20)</f>
        <v>0.58333333333333337</v>
      </c>
      <c r="E23" s="27" t="s">
        <v>99</v>
      </c>
      <c r="F23" s="24" t="s">
        <v>54</v>
      </c>
      <c r="G23" s="12">
        <v>1</v>
      </c>
      <c r="H23" s="88">
        <f>IF(B$20=0,0,G23/B$20)</f>
        <v>6.9444444444444441E-3</v>
      </c>
      <c r="I23" s="58">
        <v>1</v>
      </c>
      <c r="K23" s="74">
        <v>21</v>
      </c>
      <c r="L23" s="119">
        <v>297.29999999999995</v>
      </c>
      <c r="M23" s="117">
        <v>1868.4206045017254</v>
      </c>
    </row>
    <row r="24" spans="1:18" x14ac:dyDescent="0.4">
      <c r="A24" s="19" t="s">
        <v>182</v>
      </c>
      <c r="B24" s="12">
        <v>96</v>
      </c>
      <c r="C24" s="6">
        <f>IF(B$20=0,0,B24/B$20)</f>
        <v>0.66666666666666663</v>
      </c>
      <c r="E24" s="27" t="s">
        <v>154</v>
      </c>
      <c r="F24" s="24" t="s">
        <v>155</v>
      </c>
      <c r="G24" s="12">
        <v>1</v>
      </c>
      <c r="H24" s="88">
        <f>IF(B$20=0,0,G24/B$20)</f>
        <v>6.9444444444444441E-3</v>
      </c>
      <c r="I24" s="58">
        <v>2</v>
      </c>
      <c r="K24" s="74">
        <v>22</v>
      </c>
      <c r="L24" s="119">
        <v>331.49999999999994</v>
      </c>
      <c r="M24" s="117">
        <v>1872.9360808747151</v>
      </c>
    </row>
    <row r="25" spans="1:18" x14ac:dyDescent="0.4">
      <c r="A25" s="19" t="s">
        <v>180</v>
      </c>
      <c r="B25" s="12">
        <v>30</v>
      </c>
      <c r="C25" s="6">
        <f>IF(B$20=0,0,B25/B$20)</f>
        <v>0.20833333333333334</v>
      </c>
      <c r="E25" s="27" t="s">
        <v>73</v>
      </c>
      <c r="F25" s="24" t="s">
        <v>28</v>
      </c>
      <c r="G25" s="12">
        <v>0</v>
      </c>
      <c r="H25" s="88">
        <f>IF(B$20=0,0,G25/B$20)</f>
        <v>0</v>
      </c>
      <c r="I25" s="58">
        <v>7</v>
      </c>
      <c r="K25" s="74">
        <v>23</v>
      </c>
      <c r="L25" s="119">
        <v>283.39999999999992</v>
      </c>
      <c r="M25" s="117">
        <v>1862.6104643894669</v>
      </c>
    </row>
    <row r="26" spans="1:18" x14ac:dyDescent="0.4">
      <c r="A26" s="19" t="s">
        <v>181</v>
      </c>
      <c r="B26" s="12">
        <v>18</v>
      </c>
      <c r="C26" s="6">
        <f>IF(B$20=0,0,B26/B$20)</f>
        <v>0.125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273.59999999999991</v>
      </c>
      <c r="M26" s="117">
        <v>1859.2468016031301</v>
      </c>
    </row>
    <row r="27" spans="1:18" x14ac:dyDescent="0.4">
      <c r="A27" s="19" t="s">
        <v>5</v>
      </c>
      <c r="B27" s="16">
        <f>IF(B$20=0,0,C27/B$20)</f>
        <v>10192.361111111111</v>
      </c>
      <c r="C27" s="8">
        <v>1467700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323.39999999999992</v>
      </c>
      <c r="M27" s="117">
        <v>1866.6253207935113</v>
      </c>
    </row>
    <row r="28" spans="1:18" x14ac:dyDescent="0.4">
      <c r="A28" s="20" t="s">
        <v>164</v>
      </c>
      <c r="B28" s="95">
        <f>IF($B$20-B$19=0,0,C28/($B$20-B$19))</f>
        <v>10892.982456140351</v>
      </c>
      <c r="C28" s="96">
        <v>1241800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377.59999999999991</v>
      </c>
      <c r="M28" s="117">
        <v>1874.7575688687502</v>
      </c>
    </row>
    <row r="29" spans="1:18" x14ac:dyDescent="0.4">
      <c r="A29" s="20" t="s">
        <v>165</v>
      </c>
      <c r="B29" s="95">
        <f>IF(B$19=0,0,C29/B$19)</f>
        <v>7530</v>
      </c>
      <c r="C29" s="96">
        <v>225900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354.59999999999991</v>
      </c>
      <c r="M29" s="117">
        <v>1868.9450234555377</v>
      </c>
    </row>
    <row r="30" spans="1:18" x14ac:dyDescent="0.4">
      <c r="A30" s="20" t="s">
        <v>163</v>
      </c>
      <c r="B30" s="95">
        <f>IF(B$21=0,0,C30/B$21)</f>
        <v>-7589.855072463768</v>
      </c>
      <c r="C30" s="96">
        <v>-523700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314.19999999999993</v>
      </c>
      <c r="M30" s="117">
        <v>1860.3953533148044</v>
      </c>
    </row>
    <row r="31" spans="1:18" x14ac:dyDescent="0.4">
      <c r="A31" s="19" t="s">
        <v>156</v>
      </c>
      <c r="B31" s="12">
        <v>5</v>
      </c>
      <c r="C31" s="90">
        <v>1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310.49999999999994</v>
      </c>
      <c r="M31" s="117">
        <v>1858.5029811949155</v>
      </c>
    </row>
    <row r="32" spans="1:18" x14ac:dyDescent="0.4">
      <c r="A32" s="19" t="s">
        <v>157</v>
      </c>
      <c r="B32" s="12">
        <v>47</v>
      </c>
      <c r="C32" s="90">
        <v>5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337.69999999999993</v>
      </c>
      <c r="M32" s="117">
        <v>1862.1839633077459</v>
      </c>
    </row>
    <row r="33" spans="1:13" x14ac:dyDescent="0.4">
      <c r="A33" s="54" t="s">
        <v>135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325.09999999999991</v>
      </c>
      <c r="M33" s="117">
        <v>1858.6788595278995</v>
      </c>
    </row>
    <row r="34" spans="1:13" x14ac:dyDescent="0.4">
      <c r="A34" s="22" t="s">
        <v>179</v>
      </c>
      <c r="B34" s="129">
        <v>144300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329.7999999999999</v>
      </c>
      <c r="M34" s="117">
        <v>1858.3087863707322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323.7999999999999</v>
      </c>
      <c r="M35" s="117">
        <v>1856.0149336525078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290.69999999999987</v>
      </c>
      <c r="M36" s="117">
        <v>1848.8568440505928</v>
      </c>
    </row>
    <row r="37" spans="1:13" x14ac:dyDescent="0.4">
      <c r="A37" s="54" t="s">
        <v>170</v>
      </c>
      <c r="B37" s="123">
        <v>9</v>
      </c>
      <c r="C37" s="98">
        <f t="shared" ref="C37:C49" si="2">IF(B$20=0,0,B37/B$20)</f>
        <v>6.25E-2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293.49999999999989</v>
      </c>
      <c r="M37" s="117">
        <v>1848.2037029862893</v>
      </c>
    </row>
    <row r="38" spans="1:13" x14ac:dyDescent="0.4">
      <c r="A38" s="19" t="s">
        <v>166</v>
      </c>
      <c r="B38" s="12">
        <v>16</v>
      </c>
      <c r="C38" s="6">
        <f t="shared" si="2"/>
        <v>0.1111111111111111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236.69999999999987</v>
      </c>
      <c r="M38" s="117">
        <v>1836.8264807683715</v>
      </c>
    </row>
    <row r="39" spans="1:13" x14ac:dyDescent="0.4">
      <c r="A39" s="19" t="s">
        <v>167</v>
      </c>
      <c r="B39" s="124">
        <v>28</v>
      </c>
      <c r="C39" s="6">
        <f t="shared" si="2"/>
        <v>0.19444444444444445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280.2999999999999</v>
      </c>
      <c r="M39" s="117">
        <v>1843.5895218837613</v>
      </c>
    </row>
    <row r="40" spans="1:13" x14ac:dyDescent="0.4">
      <c r="A40" s="19" t="s">
        <v>168</v>
      </c>
      <c r="B40" s="124">
        <v>22</v>
      </c>
      <c r="C40" s="6">
        <f t="shared" si="2"/>
        <v>0.15277777777777779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272.69999999999987</v>
      </c>
      <c r="M40" s="117">
        <v>1841.0959847524587</v>
      </c>
    </row>
    <row r="41" spans="1:13" x14ac:dyDescent="0.4">
      <c r="A41" s="19" t="s">
        <v>169</v>
      </c>
      <c r="B41" s="124">
        <v>21</v>
      </c>
      <c r="C41" s="6">
        <f t="shared" si="2"/>
        <v>0.14583333333333334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401.99999999999989</v>
      </c>
      <c r="M41" s="117">
        <v>1862.8634088439439</v>
      </c>
    </row>
    <row r="42" spans="1:13" x14ac:dyDescent="0.4">
      <c r="A42" s="19" t="s">
        <v>171</v>
      </c>
      <c r="B42" s="124">
        <v>22</v>
      </c>
      <c r="C42" s="6">
        <f t="shared" si="2"/>
        <v>0.15277777777777779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394.39999999999986</v>
      </c>
      <c r="M42" s="117">
        <v>1859.8582283908802</v>
      </c>
    </row>
    <row r="43" spans="1:13" x14ac:dyDescent="0.4">
      <c r="A43" s="19" t="s">
        <v>172</v>
      </c>
      <c r="B43" s="124">
        <v>12</v>
      </c>
      <c r="C43" s="6">
        <f t="shared" si="2"/>
        <v>8.3333333333333329E-2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359.09999999999985</v>
      </c>
      <c r="M43" s="117">
        <v>1851.8850790205349</v>
      </c>
    </row>
    <row r="44" spans="1:13" x14ac:dyDescent="0.4">
      <c r="A44" s="19" t="s">
        <v>173</v>
      </c>
      <c r="B44" s="124">
        <v>6</v>
      </c>
      <c r="C44" s="6">
        <f t="shared" si="2"/>
        <v>4.1666666666666664E-2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360.29999999999984</v>
      </c>
      <c r="M44" s="117">
        <v>1850.5297685464118</v>
      </c>
    </row>
    <row r="45" spans="1:13" x14ac:dyDescent="0.4">
      <c r="A45" s="19" t="s">
        <v>174</v>
      </c>
      <c r="B45" s="124">
        <v>1</v>
      </c>
      <c r="C45" s="6">
        <f t="shared" si="2"/>
        <v>6.9444444444444441E-3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322.49999999999983</v>
      </c>
      <c r="M45" s="117">
        <v>1842.1625899351334</v>
      </c>
    </row>
    <row r="46" spans="1:13" x14ac:dyDescent="0.4">
      <c r="A46" s="19" t="s">
        <v>175</v>
      </c>
      <c r="B46" s="124">
        <v>1</v>
      </c>
      <c r="C46" s="6">
        <f t="shared" si="2"/>
        <v>6.9444444444444441E-3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269.79999999999984</v>
      </c>
      <c r="M46" s="117">
        <v>1831.1576143955226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296.19999999999982</v>
      </c>
      <c r="M47" s="117">
        <v>1834.4626687091495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308.19999999999982</v>
      </c>
      <c r="M48" s="117">
        <v>1835.0118926968946</v>
      </c>
    </row>
    <row r="49" spans="1:13" x14ac:dyDescent="0.4">
      <c r="A49" s="21" t="s">
        <v>178</v>
      </c>
      <c r="B49" s="97">
        <v>6</v>
      </c>
      <c r="C49" s="9">
        <f t="shared" si="2"/>
        <v>4.1666666666666664E-2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337.89999999999981</v>
      </c>
      <c r="M49" s="117">
        <v>1838.8458213407132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365.49999999999983</v>
      </c>
      <c r="M50" s="117">
        <v>1842.2787464126689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383.19999999999982</v>
      </c>
      <c r="M51" s="117">
        <v>1843.9090739341927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430.69999999999982</v>
      </c>
      <c r="M52" s="117">
        <v>1850.8936194905875</v>
      </c>
    </row>
    <row r="53" spans="1:13" x14ac:dyDescent="0.4">
      <c r="K53" s="74">
        <v>51</v>
      </c>
      <c r="L53" s="119">
        <v>489.69999999999982</v>
      </c>
      <c r="M53" s="117">
        <v>1859.906257773644</v>
      </c>
    </row>
    <row r="54" spans="1:13" x14ac:dyDescent="0.4">
      <c r="K54" s="74">
        <v>52</v>
      </c>
      <c r="L54" s="119">
        <v>548.5999999999998</v>
      </c>
      <c r="M54" s="117">
        <v>1868.8468202270021</v>
      </c>
    </row>
    <row r="55" spans="1:13" x14ac:dyDescent="0.4">
      <c r="K55" s="74">
        <v>53</v>
      </c>
      <c r="L55" s="119">
        <v>480.39999999999981</v>
      </c>
      <c r="M55" s="117">
        <v>1854.8557393056401</v>
      </c>
    </row>
    <row r="56" spans="1:13" x14ac:dyDescent="0.4">
      <c r="K56" s="74">
        <v>54</v>
      </c>
      <c r="L56" s="119">
        <v>454.39999999999981</v>
      </c>
      <c r="M56" s="117">
        <v>1848.5446048698063</v>
      </c>
    </row>
    <row r="57" spans="1:13" x14ac:dyDescent="0.4">
      <c r="K57" s="74">
        <v>55</v>
      </c>
      <c r="L57" s="119">
        <v>541.5999999999998</v>
      </c>
      <c r="M57" s="117">
        <v>1862.6473372405876</v>
      </c>
    </row>
    <row r="58" spans="1:13" x14ac:dyDescent="0.4">
      <c r="K58" s="74">
        <v>56</v>
      </c>
      <c r="L58" s="119">
        <v>537.99999999999977</v>
      </c>
      <c r="M58" s="117">
        <v>1860.3214532171442</v>
      </c>
    </row>
    <row r="59" spans="1:13" x14ac:dyDescent="0.4">
      <c r="K59" s="74">
        <v>57</v>
      </c>
      <c r="L59" s="119">
        <v>512.79999999999973</v>
      </c>
      <c r="M59" s="117">
        <v>1854.1215244978414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1BE2D-4820-4411-BA99-2BF49F382022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35</v>
      </c>
      <c r="C2" s="134"/>
      <c r="E2" s="26" t="s">
        <v>66</v>
      </c>
      <c r="F2" s="23" t="s">
        <v>22</v>
      </c>
      <c r="G2" s="11">
        <v>56</v>
      </c>
      <c r="H2" s="87">
        <f>IF(B$20=0,0,G2/B$20)</f>
        <v>0.7</v>
      </c>
      <c r="I2" s="57">
        <v>3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-1151.4285714285713</v>
      </c>
      <c r="Q2" s="76">
        <v>35</v>
      </c>
      <c r="R2" s="63">
        <v>-40300</v>
      </c>
    </row>
    <row r="3" spans="1:18" x14ac:dyDescent="0.4">
      <c r="A3" s="19" t="s">
        <v>8</v>
      </c>
      <c r="B3" s="135">
        <v>284</v>
      </c>
      <c r="C3" s="136"/>
      <c r="E3" s="27" t="s">
        <v>158</v>
      </c>
      <c r="F3" s="24" t="s">
        <v>159</v>
      </c>
      <c r="G3" s="12">
        <v>47</v>
      </c>
      <c r="H3" s="88">
        <f>IF(B$20=0,0,G3/B$20)</f>
        <v>0.58750000000000002</v>
      </c>
      <c r="I3" s="58">
        <v>1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-2260</v>
      </c>
      <c r="Q3" s="77">
        <v>35</v>
      </c>
      <c r="R3" s="64">
        <v>-79100</v>
      </c>
    </row>
    <row r="4" spans="1:18" x14ac:dyDescent="0.4">
      <c r="A4" s="19" t="s">
        <v>6</v>
      </c>
      <c r="B4" s="137">
        <v>-413.7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0.52500000000000002</v>
      </c>
      <c r="I4" s="58">
        <v>7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2073.5294117647059</v>
      </c>
      <c r="Q4" s="77">
        <v>34</v>
      </c>
      <c r="R4" s="64">
        <v>70500</v>
      </c>
    </row>
    <row r="5" spans="1:18" x14ac:dyDescent="0.4">
      <c r="A5" s="19" t="s">
        <v>7</v>
      </c>
      <c r="B5" s="125">
        <f>IF(B$2=0,0,B$4/B$2)</f>
        <v>-11.82</v>
      </c>
      <c r="C5" s="126"/>
      <c r="E5" s="27" t="s">
        <v>72</v>
      </c>
      <c r="F5" s="24" t="s">
        <v>27</v>
      </c>
      <c r="G5" s="12">
        <v>40</v>
      </c>
      <c r="H5" s="88">
        <f>IF(B$20=0,0,G5/B$20)</f>
        <v>0.5</v>
      </c>
      <c r="I5" s="58">
        <v>2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-5842.424242424242</v>
      </c>
      <c r="Q5" s="77">
        <v>33</v>
      </c>
      <c r="R5" s="64">
        <v>-192800</v>
      </c>
    </row>
    <row r="6" spans="1:18" x14ac:dyDescent="0.4">
      <c r="A6" s="19" t="s">
        <v>192</v>
      </c>
      <c r="B6" s="129">
        <v>1344.4274814773617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0.4</v>
      </c>
      <c r="I6" s="58">
        <v>4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-3627.5862068965516</v>
      </c>
      <c r="Q6" s="77">
        <v>29</v>
      </c>
      <c r="R6" s="64">
        <v>-105200</v>
      </c>
    </row>
    <row r="7" spans="1:18" x14ac:dyDescent="0.4">
      <c r="A7" s="19" t="s">
        <v>1</v>
      </c>
      <c r="B7" s="139">
        <f>IF(B$2=0,0,(B$8*1+B$9*2+B$10*3)/B$2)</f>
        <v>2.1714285714285713</v>
      </c>
      <c r="C7" s="140"/>
      <c r="E7" s="27" t="s">
        <v>67</v>
      </c>
      <c r="F7" s="24" t="s">
        <v>23</v>
      </c>
      <c r="G7" s="12">
        <v>22</v>
      </c>
      <c r="H7" s="88">
        <f>IF(B$20=0,0,G7/B$20)</f>
        <v>0.27500000000000002</v>
      </c>
      <c r="I7" s="58">
        <v>6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-300</v>
      </c>
      <c r="Q7" s="78">
        <v>25</v>
      </c>
      <c r="R7" s="65">
        <v>-7500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0.17142857142857143</v>
      </c>
      <c r="E8" s="27" t="s">
        <v>69</v>
      </c>
      <c r="F8" s="24" t="s">
        <v>24</v>
      </c>
      <c r="G8" s="12">
        <v>14</v>
      </c>
      <c r="H8" s="88">
        <f>IF(B$20=0,0,G8/B$20)</f>
        <v>0.17499999999999999</v>
      </c>
      <c r="I8" s="58">
        <v>3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0.48571428571428571</v>
      </c>
      <c r="E9" s="27" t="s">
        <v>65</v>
      </c>
      <c r="F9" s="24" t="s">
        <v>21</v>
      </c>
      <c r="G9" s="12">
        <v>12</v>
      </c>
      <c r="H9" s="88">
        <f>IF(B$20=0,0,G9/B$20)</f>
        <v>0.15</v>
      </c>
      <c r="I9" s="58">
        <v>3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12</v>
      </c>
      <c r="C10" s="7">
        <f t="shared" si="1"/>
        <v>0.34285714285714286</v>
      </c>
      <c r="E10" s="27" t="s">
        <v>89</v>
      </c>
      <c r="F10" s="24" t="s">
        <v>44</v>
      </c>
      <c r="G10" s="12">
        <v>11</v>
      </c>
      <c r="H10" s="88">
        <f>IF(B$20=0,0,G10/B$20)</f>
        <v>0.13750000000000001</v>
      </c>
      <c r="I10" s="58">
        <v>3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-19.416666666666668</v>
      </c>
      <c r="Q10" s="76">
        <v>12</v>
      </c>
      <c r="R10" s="67">
        <v>-233</v>
      </c>
    </row>
    <row r="11" spans="1:18" x14ac:dyDescent="0.4">
      <c r="A11" s="20" t="s">
        <v>183</v>
      </c>
      <c r="B11" s="109">
        <f>IF(B8=0,0,C11/B8)</f>
        <v>53.083333333333336</v>
      </c>
      <c r="C11" s="110">
        <v>318.5</v>
      </c>
      <c r="E11" s="27" t="s">
        <v>70</v>
      </c>
      <c r="F11" s="24" t="s">
        <v>25</v>
      </c>
      <c r="G11" s="12">
        <v>10</v>
      </c>
      <c r="H11" s="88">
        <f>IF(B$20=0,0,G11/B$20)</f>
        <v>0.125</v>
      </c>
      <c r="I11" s="58">
        <v>3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-8.6571428571428548</v>
      </c>
      <c r="Q11" s="77">
        <v>14</v>
      </c>
      <c r="R11" s="68">
        <v>-121.19999999999997</v>
      </c>
    </row>
    <row r="12" spans="1:18" x14ac:dyDescent="0.4">
      <c r="A12" s="20" t="s">
        <v>184</v>
      </c>
      <c r="B12" s="109">
        <f>IF(B9=0,0,C12/B9)</f>
        <v>-1.1941176470588233</v>
      </c>
      <c r="C12" s="110">
        <v>-20.299999999999997</v>
      </c>
      <c r="E12" s="27" t="s">
        <v>71</v>
      </c>
      <c r="F12" s="24" t="s">
        <v>26</v>
      </c>
      <c r="G12" s="12">
        <v>6</v>
      </c>
      <c r="H12" s="88">
        <f>IF(B$20=0,0,G12/B$20)</f>
        <v>7.4999999999999997E-2</v>
      </c>
      <c r="I12" s="58">
        <v>4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-6.6111111111111107</v>
      </c>
      <c r="Q12" s="78">
        <v>9</v>
      </c>
      <c r="R12" s="69">
        <v>-59.5</v>
      </c>
    </row>
    <row r="13" spans="1:18" x14ac:dyDescent="0.4">
      <c r="A13" s="20" t="s">
        <v>185</v>
      </c>
      <c r="B13" s="109">
        <f>IF(B10=0,0,C13/B10)</f>
        <v>-59.32500000000001</v>
      </c>
      <c r="C13" s="110">
        <v>-711.90000000000009</v>
      </c>
      <c r="E13" s="27" t="s">
        <v>86</v>
      </c>
      <c r="F13" s="24" t="s">
        <v>41</v>
      </c>
      <c r="G13" s="12">
        <v>4</v>
      </c>
      <c r="H13" s="88">
        <f>IF(B$20=0,0,G13/B$20)</f>
        <v>0.05</v>
      </c>
      <c r="I13" s="58">
        <v>5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-2.4785947712418328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3.7499999999999999E-2</v>
      </c>
      <c r="I14" s="58">
        <v>3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7</v>
      </c>
      <c r="C15" s="9">
        <f t="shared" si="1"/>
        <v>0.2</v>
      </c>
      <c r="E15" s="27" t="s">
        <v>75</v>
      </c>
      <c r="F15" s="24" t="s">
        <v>30</v>
      </c>
      <c r="G15" s="12">
        <v>2</v>
      </c>
      <c r="H15" s="88">
        <f>IF(B$20=0,0,G15/B$20)</f>
        <v>2.5000000000000001E-2</v>
      </c>
      <c r="I15" s="58">
        <v>1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85</v>
      </c>
      <c r="C16" s="10">
        <f>IF(B$3=0,0,B16/B$3)</f>
        <v>0.29929577464788731</v>
      </c>
      <c r="E16" s="27" t="s">
        <v>79</v>
      </c>
      <c r="F16" s="24" t="s">
        <v>34</v>
      </c>
      <c r="G16" s="12">
        <v>2</v>
      </c>
      <c r="H16" s="88">
        <f>IF(B$20=0,0,G16/B$20)</f>
        <v>2.5000000000000001E-2</v>
      </c>
      <c r="I16" s="58">
        <v>1</v>
      </c>
      <c r="K16" s="74">
        <v>14</v>
      </c>
      <c r="L16" s="119">
        <v>91.899999999999991</v>
      </c>
      <c r="M16" s="117">
        <v>1406.5002296359867</v>
      </c>
      <c r="O16" s="74" t="s">
        <v>188</v>
      </c>
      <c r="P16" s="83">
        <f>IF(Q16=0,0,R16/Q16)</f>
        <v>-15.816666666666665</v>
      </c>
      <c r="Q16" s="77">
        <v>12</v>
      </c>
      <c r="R16" s="68">
        <v>-189.79999999999998</v>
      </c>
    </row>
    <row r="17" spans="1:18" x14ac:dyDescent="0.4">
      <c r="A17" s="19" t="s">
        <v>118</v>
      </c>
      <c r="B17" s="12">
        <v>52</v>
      </c>
      <c r="C17" s="6">
        <f>IF(B$3=0,0,B17/B$3)</f>
        <v>0.18309859154929578</v>
      </c>
      <c r="E17" s="27" t="s">
        <v>83</v>
      </c>
      <c r="F17" s="24" t="s">
        <v>38</v>
      </c>
      <c r="G17" s="12">
        <v>2</v>
      </c>
      <c r="H17" s="88">
        <f>IF(B$20=0,0,G17/B$20)</f>
        <v>2.5000000000000001E-2</v>
      </c>
      <c r="I17" s="58">
        <v>5</v>
      </c>
      <c r="K17" s="74">
        <v>15</v>
      </c>
      <c r="L17" s="119">
        <v>46.79999999999999</v>
      </c>
      <c r="M17" s="117">
        <v>1399.5192282581706</v>
      </c>
      <c r="O17" s="74" t="s">
        <v>189</v>
      </c>
      <c r="P17" s="83">
        <f>IF(Q17=0,0,R17/Q17)</f>
        <v>-24.314285714285717</v>
      </c>
      <c r="Q17" s="77">
        <v>14</v>
      </c>
      <c r="R17" s="68">
        <v>-340.40000000000003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0.49411764705882355</v>
      </c>
      <c r="E18" s="27" t="s">
        <v>73</v>
      </c>
      <c r="F18" s="24" t="s">
        <v>28</v>
      </c>
      <c r="G18" s="12">
        <v>1</v>
      </c>
      <c r="H18" s="88">
        <f>IF(B$20=0,0,G18/B$20)</f>
        <v>1.2500000000000001E-2</v>
      </c>
      <c r="I18" s="58">
        <v>5</v>
      </c>
      <c r="K18" s="74">
        <v>16</v>
      </c>
      <c r="L18" s="119">
        <v>2.6999999999999886</v>
      </c>
      <c r="M18" s="117">
        <v>1392.7601128886215</v>
      </c>
      <c r="O18" s="74" t="s">
        <v>126</v>
      </c>
      <c r="P18" s="83">
        <f>IF(Q18=0,0,R18/Q18)</f>
        <v>-26.497142857142865</v>
      </c>
      <c r="Q18" s="77">
        <v>35</v>
      </c>
      <c r="R18" s="68">
        <v>-927.40000000000032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0.44230769230769229</v>
      </c>
      <c r="E19" s="27" t="s">
        <v>90</v>
      </c>
      <c r="F19" s="24" t="s">
        <v>45</v>
      </c>
      <c r="G19" s="12">
        <v>1</v>
      </c>
      <c r="H19" s="88">
        <f>IF(B$20=0,0,G19/B$20)</f>
        <v>1.2500000000000001E-2</v>
      </c>
      <c r="I19" s="58">
        <v>1</v>
      </c>
      <c r="K19" s="74">
        <v>17</v>
      </c>
      <c r="L19" s="119">
        <v>-96.700000000000017</v>
      </c>
      <c r="M19" s="117">
        <v>1376.0515522112898</v>
      </c>
    </row>
    <row r="20" spans="1:18" x14ac:dyDescent="0.4">
      <c r="A20" s="18" t="s">
        <v>10</v>
      </c>
      <c r="B20" s="11">
        <f>B23+B22</f>
        <v>80</v>
      </c>
      <c r="C20" s="5">
        <f>IF(B$3=0,0,B20/B$3)</f>
        <v>0.28169014084507044</v>
      </c>
      <c r="E20" s="27" t="s">
        <v>91</v>
      </c>
      <c r="F20" s="24" t="s">
        <v>46</v>
      </c>
      <c r="G20" s="12">
        <v>1</v>
      </c>
      <c r="H20" s="88">
        <f>IF(B$20=0,0,G20/B$20)</f>
        <v>1.2500000000000001E-2</v>
      </c>
      <c r="I20" s="58">
        <v>4</v>
      </c>
      <c r="K20" s="74">
        <v>18</v>
      </c>
      <c r="L20" s="119">
        <v>-154.80000000000001</v>
      </c>
      <c r="M20" s="117">
        <v>1366.8772428980221</v>
      </c>
    </row>
    <row r="21" spans="1:18" x14ac:dyDescent="0.4">
      <c r="A21" s="19" t="s">
        <v>13</v>
      </c>
      <c r="B21" s="12">
        <v>55</v>
      </c>
      <c r="C21" s="6">
        <f>IF(B$3=0,0,B21/B$3)</f>
        <v>0.19366197183098591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-153.80000000000001</v>
      </c>
      <c r="M21" s="117">
        <v>1368.3959794406339</v>
      </c>
    </row>
    <row r="22" spans="1:18" x14ac:dyDescent="0.4">
      <c r="A22" s="19" t="s">
        <v>12</v>
      </c>
      <c r="B22" s="12">
        <v>42</v>
      </c>
      <c r="C22" s="6">
        <f>IF(B$20=0,0,B22/B$20)</f>
        <v>0.52500000000000002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-201.8</v>
      </c>
      <c r="M22" s="117">
        <v>1361.0856035639902</v>
      </c>
    </row>
    <row r="23" spans="1:18" x14ac:dyDescent="0.4">
      <c r="A23" s="19" t="s">
        <v>11</v>
      </c>
      <c r="B23" s="12">
        <v>38</v>
      </c>
      <c r="C23" s="6">
        <f>IF(B$20=0,0,B23/B$20)</f>
        <v>0.47499999999999998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-202.20000000000002</v>
      </c>
      <c r="M23" s="117">
        <v>1362.3870899426063</v>
      </c>
    </row>
    <row r="24" spans="1:18" x14ac:dyDescent="0.4">
      <c r="A24" s="19" t="s">
        <v>182</v>
      </c>
      <c r="B24" s="12">
        <v>42</v>
      </c>
      <c r="C24" s="6">
        <f>IF(B$20=0,0,B24/B$20)</f>
        <v>0.52500000000000002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-208.00000000000003</v>
      </c>
      <c r="M24" s="117">
        <v>1362.7027674029507</v>
      </c>
    </row>
    <row r="25" spans="1:18" x14ac:dyDescent="0.4">
      <c r="A25" s="19" t="s">
        <v>180</v>
      </c>
      <c r="B25" s="12">
        <v>23</v>
      </c>
      <c r="C25" s="6">
        <f>IF(B$20=0,0,B25/B$20)</f>
        <v>0.28749999999999998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-210.50000000000003</v>
      </c>
      <c r="M25" s="117">
        <v>1363.6165507985329</v>
      </c>
    </row>
    <row r="26" spans="1:18" x14ac:dyDescent="0.4">
      <c r="A26" s="19" t="s">
        <v>181</v>
      </c>
      <c r="B26" s="12">
        <v>15</v>
      </c>
      <c r="C26" s="6">
        <f>IF(B$20=0,0,B26/B$20)</f>
        <v>0.1875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-284.3</v>
      </c>
      <c r="M26" s="117">
        <v>1351.5468514937418</v>
      </c>
    </row>
    <row r="27" spans="1:18" x14ac:dyDescent="0.4">
      <c r="A27" s="19" t="s">
        <v>5</v>
      </c>
      <c r="B27" s="16">
        <f>IF(B$20=0,0,C27/B$20)</f>
        <v>8502.5</v>
      </c>
      <c r="C27" s="8">
        <v>680200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-286.90000000000003</v>
      </c>
      <c r="M27" s="117">
        <v>1352.4675703847793</v>
      </c>
    </row>
    <row r="28" spans="1:18" x14ac:dyDescent="0.4">
      <c r="A28" s="20" t="s">
        <v>164</v>
      </c>
      <c r="B28" s="95">
        <f>IF($B$20-B$19=0,0,C28/($B$20-B$19))</f>
        <v>8970.1754385964905</v>
      </c>
      <c r="C28" s="96">
        <v>511300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-287.00000000000006</v>
      </c>
      <c r="M28" s="117">
        <v>1353.8327649624705</v>
      </c>
    </row>
    <row r="29" spans="1:18" x14ac:dyDescent="0.4">
      <c r="A29" s="20" t="s">
        <v>165</v>
      </c>
      <c r="B29" s="95">
        <f>IF(B$19=0,0,C29/B$19)</f>
        <v>7343.478260869565</v>
      </c>
      <c r="C29" s="96">
        <v>168900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-350.40000000000003</v>
      </c>
      <c r="M29" s="117">
        <v>1343.7957683726956</v>
      </c>
    </row>
    <row r="30" spans="1:18" x14ac:dyDescent="0.4">
      <c r="A30" s="20" t="s">
        <v>163</v>
      </c>
      <c r="B30" s="95">
        <f>IF(B$21=0,0,C30/B$21)</f>
        <v>-9372.7272727272721</v>
      </c>
      <c r="C30" s="96">
        <v>-515500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-357.1</v>
      </c>
      <c r="M30" s="117">
        <v>1344.0249937624594</v>
      </c>
    </row>
    <row r="31" spans="1:18" x14ac:dyDescent="0.4">
      <c r="A31" s="19" t="s">
        <v>156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-413.8</v>
      </c>
      <c r="M31" s="117">
        <v>1335.2528437998847</v>
      </c>
    </row>
    <row r="32" spans="1:18" x14ac:dyDescent="0.4">
      <c r="A32" s="19" t="s">
        <v>157</v>
      </c>
      <c r="B32" s="12">
        <v>21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-461.8</v>
      </c>
      <c r="M32" s="117">
        <v>1328.0993267370854</v>
      </c>
    </row>
    <row r="33" spans="1:13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-462.3</v>
      </c>
      <c r="M33" s="117">
        <v>1329.538730776663</v>
      </c>
    </row>
    <row r="34" spans="1:13" x14ac:dyDescent="0.4">
      <c r="A34" s="22" t="s">
        <v>179</v>
      </c>
      <c r="B34" s="129">
        <v>101300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-462.8</v>
      </c>
      <c r="M34" s="117">
        <v>1330.9694983920031</v>
      </c>
    </row>
    <row r="35" spans="1:13" x14ac:dyDescent="0.4">
      <c r="A35" s="21" t="s">
        <v>136</v>
      </c>
      <c r="B35" s="29">
        <v>2</v>
      </c>
      <c r="C35" s="9">
        <f>IF(B$3=0,0,B35/B$3)</f>
        <v>7.0422535211267607E-3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-528.4</v>
      </c>
      <c r="M35" s="117">
        <v>1320.673681401651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-500</v>
      </c>
      <c r="M36" s="117">
        <v>1327.3596393132411</v>
      </c>
    </row>
    <row r="37" spans="1:13" x14ac:dyDescent="0.4">
      <c r="A37" s="54" t="s">
        <v>170</v>
      </c>
      <c r="B37" s="123">
        <v>2</v>
      </c>
      <c r="C37" s="98">
        <f t="shared" ref="C37:C49" si="2">IF(B$20=0,0,B37/B$20)</f>
        <v>2.5000000000000001E-2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-413.7</v>
      </c>
      <c r="M37" s="117">
        <v>1344.4274814773617</v>
      </c>
    </row>
    <row r="38" spans="1:13" x14ac:dyDescent="0.4">
      <c r="A38" s="19" t="s">
        <v>166</v>
      </c>
      <c r="B38" s="12">
        <v>16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13" x14ac:dyDescent="0.4">
      <c r="A39" s="19" t="s">
        <v>167</v>
      </c>
      <c r="B39" s="124">
        <v>11</v>
      </c>
      <c r="C39" s="6">
        <f t="shared" si="2"/>
        <v>0.13750000000000001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168</v>
      </c>
      <c r="B40" s="124">
        <v>22</v>
      </c>
      <c r="C40" s="6">
        <f t="shared" si="2"/>
        <v>0.27500000000000002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169</v>
      </c>
      <c r="B41" s="124">
        <v>14</v>
      </c>
      <c r="C41" s="6">
        <f t="shared" si="2"/>
        <v>0.17499999999999999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171</v>
      </c>
      <c r="B42" s="124">
        <v>4</v>
      </c>
      <c r="C42" s="6">
        <f t="shared" si="2"/>
        <v>0.05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172</v>
      </c>
      <c r="B43" s="124">
        <v>5</v>
      </c>
      <c r="C43" s="6">
        <f t="shared" si="2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173</v>
      </c>
      <c r="B44" s="124">
        <v>1</v>
      </c>
      <c r="C44" s="6">
        <f t="shared" si="2"/>
        <v>1.2500000000000001E-2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174</v>
      </c>
      <c r="B45" s="124">
        <v>2</v>
      </c>
      <c r="C45" s="6">
        <f t="shared" si="2"/>
        <v>2.5000000000000001E-2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175</v>
      </c>
      <c r="B46" s="124">
        <v>3</v>
      </c>
      <c r="C46" s="6">
        <f t="shared" si="2"/>
        <v>3.7499999999999999E-2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83627-774E-4927-9F7B-396F8F2D6C96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2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5">
        <v>72</v>
      </c>
      <c r="C3" s="136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37">
        <v>-245.1</v>
      </c>
      <c r="C4" s="138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4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5">
        <f>IF(B$2=0,0,B$4/B$2)</f>
        <v>-27.233333333333334</v>
      </c>
      <c r="C5" s="126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7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29">
        <v>1458.4719141494811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4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2.5555555555555554</v>
      </c>
      <c r="C7" s="140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8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6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6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1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4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-6.416666666666667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4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8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7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47600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5E009-47D7-4315-AD78-193EB76B2679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12</v>
      </c>
      <c r="C2" s="134"/>
      <c r="E2" s="26" t="s">
        <v>64</v>
      </c>
      <c r="F2" s="23" t="s">
        <v>20</v>
      </c>
      <c r="G2" s="11">
        <v>16</v>
      </c>
      <c r="H2" s="87">
        <f>IF(B$20=0,0,G2/B$20)</f>
        <v>0.59259259259259256</v>
      </c>
      <c r="I2" s="57">
        <v>5</v>
      </c>
      <c r="K2" s="73">
        <v>0</v>
      </c>
      <c r="L2" s="118">
        <v>0</v>
      </c>
      <c r="M2" s="116">
        <v>1551.4699038276274</v>
      </c>
      <c r="O2" s="73" t="s">
        <v>127</v>
      </c>
      <c r="P2" s="79">
        <f t="shared" ref="P2:P7" si="0">IF(Q2=0,0,R2/Q2)</f>
        <v>1525</v>
      </c>
      <c r="Q2" s="76">
        <v>12</v>
      </c>
      <c r="R2" s="63">
        <v>18300</v>
      </c>
    </row>
    <row r="3" spans="1:18" x14ac:dyDescent="0.4">
      <c r="A3" s="19" t="s">
        <v>8</v>
      </c>
      <c r="B3" s="135">
        <v>89</v>
      </c>
      <c r="C3" s="136"/>
      <c r="E3" s="27" t="s">
        <v>158</v>
      </c>
      <c r="F3" s="24" t="s">
        <v>159</v>
      </c>
      <c r="G3" s="12">
        <v>15</v>
      </c>
      <c r="H3" s="88">
        <f>IF(B$20=0,0,G3/B$20)</f>
        <v>0.55555555555555558</v>
      </c>
      <c r="I3" s="58">
        <v>2</v>
      </c>
      <c r="K3" s="74">
        <v>1</v>
      </c>
      <c r="L3" s="119">
        <v>61.8</v>
      </c>
      <c r="M3" s="117">
        <v>1562.6810844046615</v>
      </c>
      <c r="O3" s="74" t="s">
        <v>128</v>
      </c>
      <c r="P3" s="80">
        <f t="shared" si="0"/>
        <v>-2191.6666666666665</v>
      </c>
      <c r="Q3" s="77">
        <v>12</v>
      </c>
      <c r="R3" s="64">
        <v>-26300</v>
      </c>
    </row>
    <row r="4" spans="1:18" x14ac:dyDescent="0.4">
      <c r="A4" s="19" t="s">
        <v>6</v>
      </c>
      <c r="B4" s="137">
        <v>-13.399999999999999</v>
      </c>
      <c r="C4" s="138"/>
      <c r="E4" s="27" t="s">
        <v>68</v>
      </c>
      <c r="F4" s="24" t="s">
        <v>12</v>
      </c>
      <c r="G4" s="12">
        <v>14</v>
      </c>
      <c r="H4" s="88">
        <f>IF(B$20=0,0,G4/B$20)</f>
        <v>0.51851851851851849</v>
      </c>
      <c r="I4" s="58">
        <v>2</v>
      </c>
      <c r="K4" s="74">
        <v>2</v>
      </c>
      <c r="L4" s="119">
        <v>34.699999999999996</v>
      </c>
      <c r="M4" s="117">
        <v>1557.9249978982336</v>
      </c>
      <c r="O4" s="74" t="s">
        <v>129</v>
      </c>
      <c r="P4" s="80">
        <f t="shared" si="0"/>
        <v>-2550</v>
      </c>
      <c r="Q4" s="77">
        <v>12</v>
      </c>
      <c r="R4" s="64">
        <v>-30600</v>
      </c>
    </row>
    <row r="5" spans="1:18" x14ac:dyDescent="0.4">
      <c r="A5" s="19" t="s">
        <v>7</v>
      </c>
      <c r="B5" s="125">
        <f>IF(B$2=0,0,B$4/B$2)</f>
        <v>-1.1166666666666665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0.48148148148148145</v>
      </c>
      <c r="I5" s="58">
        <v>3</v>
      </c>
      <c r="K5" s="74">
        <v>3</v>
      </c>
      <c r="L5" s="119">
        <v>7.1999999999999957</v>
      </c>
      <c r="M5" s="117">
        <v>1553.1254479108443</v>
      </c>
      <c r="O5" s="74" t="s">
        <v>130</v>
      </c>
      <c r="P5" s="80">
        <f t="shared" si="0"/>
        <v>675</v>
      </c>
      <c r="Q5" s="77">
        <v>12</v>
      </c>
      <c r="R5" s="64">
        <v>8100</v>
      </c>
    </row>
    <row r="6" spans="1:18" x14ac:dyDescent="0.4">
      <c r="A6" s="19" t="s">
        <v>192</v>
      </c>
      <c r="B6" s="129">
        <v>1550.6754603476463</v>
      </c>
      <c r="C6" s="130"/>
      <c r="E6" s="27" t="s">
        <v>67</v>
      </c>
      <c r="F6" s="24" t="s">
        <v>23</v>
      </c>
      <c r="G6" s="12">
        <v>12</v>
      </c>
      <c r="H6" s="88">
        <f>IF(B$20=0,0,G6/B$20)</f>
        <v>0.44444444444444442</v>
      </c>
      <c r="I6" s="58">
        <v>2</v>
      </c>
      <c r="K6" s="74">
        <v>4</v>
      </c>
      <c r="L6" s="119">
        <v>52.9</v>
      </c>
      <c r="M6" s="117">
        <v>1561.5306952233793</v>
      </c>
      <c r="O6" s="74" t="s">
        <v>131</v>
      </c>
      <c r="P6" s="80">
        <f t="shared" si="0"/>
        <v>9910</v>
      </c>
      <c r="Q6" s="77">
        <v>10</v>
      </c>
      <c r="R6" s="64">
        <v>99100</v>
      </c>
    </row>
    <row r="7" spans="1:18" x14ac:dyDescent="0.4">
      <c r="A7" s="19" t="s">
        <v>1</v>
      </c>
      <c r="B7" s="139">
        <f>IF(B$2=0,0,(B$8*1+B$9*2+B$10*3)/B$2)</f>
        <v>2.0833333333333335</v>
      </c>
      <c r="C7" s="140"/>
      <c r="E7" s="27" t="s">
        <v>66</v>
      </c>
      <c r="F7" s="24" t="s">
        <v>22</v>
      </c>
      <c r="G7" s="12">
        <v>11</v>
      </c>
      <c r="H7" s="88">
        <f>IF(B$20=0,0,G7/B$20)</f>
        <v>0.40740740740740738</v>
      </c>
      <c r="I7" s="58">
        <v>7</v>
      </c>
      <c r="K7" s="74">
        <v>5</v>
      </c>
      <c r="L7" s="119">
        <v>12.100000000000001</v>
      </c>
      <c r="M7" s="117">
        <v>1554.315511052039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6</v>
      </c>
      <c r="H8" s="88">
        <f>IF(B$20=0,0,G8/B$20)</f>
        <v>0.22222222222222221</v>
      </c>
      <c r="I8" s="58">
        <v>1</v>
      </c>
      <c r="K8" s="74">
        <v>6</v>
      </c>
      <c r="L8" s="119">
        <v>9.8000000000000007</v>
      </c>
      <c r="M8" s="117">
        <v>1554.0736179857267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0.25</v>
      </c>
      <c r="E9" s="27" t="s">
        <v>69</v>
      </c>
      <c r="F9" s="24" t="s">
        <v>24</v>
      </c>
      <c r="G9" s="12">
        <v>5</v>
      </c>
      <c r="H9" s="88">
        <f>IF(B$20=0,0,G9/B$20)</f>
        <v>0.18518518518518517</v>
      </c>
      <c r="I9" s="58">
        <v>2</v>
      </c>
      <c r="K9" s="74">
        <v>7</v>
      </c>
      <c r="L9" s="119">
        <v>-1.0999999999999996</v>
      </c>
      <c r="M9" s="117">
        <v>1552.2851762778123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89</v>
      </c>
      <c r="F10" s="24" t="s">
        <v>44</v>
      </c>
      <c r="G10" s="12">
        <v>5</v>
      </c>
      <c r="H10" s="88">
        <f>IF(B$20=0,0,G10/B$20)</f>
        <v>0.18518518518518517</v>
      </c>
      <c r="I10" s="58">
        <v>1</v>
      </c>
      <c r="K10" s="74">
        <v>8</v>
      </c>
      <c r="L10" s="119">
        <v>67.600000000000009</v>
      </c>
      <c r="M10" s="117">
        <v>1564.8354652201454</v>
      </c>
      <c r="O10" s="73" t="s">
        <v>150</v>
      </c>
      <c r="P10" s="82">
        <f>IF(Q10=0,0,R10/Q10)</f>
        <v>-18.380000000000003</v>
      </c>
      <c r="Q10" s="76">
        <v>5</v>
      </c>
      <c r="R10" s="67">
        <v>-91.9</v>
      </c>
    </row>
    <row r="11" spans="1:18" x14ac:dyDescent="0.4">
      <c r="A11" s="20" t="s">
        <v>183</v>
      </c>
      <c r="B11" s="109">
        <f>IF(B8=0,0,C11/B8)</f>
        <v>50.674999999999997</v>
      </c>
      <c r="C11" s="110">
        <v>202.7</v>
      </c>
      <c r="E11" s="27" t="s">
        <v>81</v>
      </c>
      <c r="F11" s="24" t="s">
        <v>36</v>
      </c>
      <c r="G11" s="12">
        <v>3</v>
      </c>
      <c r="H11" s="88">
        <f>IF(B$20=0,0,G11/B$20)</f>
        <v>0.1111111111111111</v>
      </c>
      <c r="I11" s="58">
        <v>1</v>
      </c>
      <c r="K11" s="74">
        <v>9</v>
      </c>
      <c r="L11" s="119">
        <v>94.100000000000009</v>
      </c>
      <c r="M11" s="117">
        <v>1569.7144524288244</v>
      </c>
      <c r="O11" s="74" t="s">
        <v>151</v>
      </c>
      <c r="P11" s="83">
        <f>IF(Q11=0,0,R11/Q11)</f>
        <v>42.733333333333327</v>
      </c>
      <c r="Q11" s="77">
        <v>3</v>
      </c>
      <c r="R11" s="68">
        <v>128.19999999999999</v>
      </c>
    </row>
    <row r="12" spans="1:18" x14ac:dyDescent="0.4">
      <c r="A12" s="20" t="s">
        <v>184</v>
      </c>
      <c r="B12" s="109">
        <f>IF(B9=0,0,C12/B9)</f>
        <v>-11.6</v>
      </c>
      <c r="C12" s="110">
        <v>-34.799999999999997</v>
      </c>
      <c r="E12" s="27" t="s">
        <v>71</v>
      </c>
      <c r="F12" s="24" t="s">
        <v>26</v>
      </c>
      <c r="G12" s="12">
        <v>2</v>
      </c>
      <c r="H12" s="88">
        <f>IF(B$20=0,0,G12/B$20)</f>
        <v>7.407407407407407E-2</v>
      </c>
      <c r="I12" s="58">
        <v>5</v>
      </c>
      <c r="K12" s="74">
        <v>10</v>
      </c>
      <c r="L12" s="119">
        <v>72.5</v>
      </c>
      <c r="M12" s="117">
        <v>1565.9061657142515</v>
      </c>
      <c r="O12" s="75" t="s">
        <v>152</v>
      </c>
      <c r="P12" s="84">
        <f>IF(Q12=0,0,R12/Q12)</f>
        <v>-12.425000000000001</v>
      </c>
      <c r="Q12" s="78">
        <v>4</v>
      </c>
      <c r="R12" s="69">
        <v>-49.7</v>
      </c>
    </row>
    <row r="13" spans="1:18" x14ac:dyDescent="0.4">
      <c r="A13" s="20" t="s">
        <v>185</v>
      </c>
      <c r="B13" s="109">
        <f>IF(B10=0,0,C13/B10)</f>
        <v>-36.260000000000005</v>
      </c>
      <c r="C13" s="110">
        <v>-181.3</v>
      </c>
      <c r="E13" s="27" t="s">
        <v>78</v>
      </c>
      <c r="F13" s="24" t="s">
        <v>33</v>
      </c>
      <c r="G13" s="12">
        <v>2</v>
      </c>
      <c r="H13" s="88">
        <f>IF(B$20=0,0,G13/B$20)</f>
        <v>7.407407407407407E-2</v>
      </c>
      <c r="I13" s="58">
        <v>1</v>
      </c>
      <c r="K13" s="74">
        <v>11</v>
      </c>
      <c r="L13" s="119">
        <v>47.7</v>
      </c>
      <c r="M13" s="117">
        <v>1561.5447287199661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0.93833333333333024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7.407407407407407E-2</v>
      </c>
      <c r="I14" s="58">
        <v>1</v>
      </c>
      <c r="K14" s="74">
        <v>12</v>
      </c>
      <c r="L14" s="119">
        <v>-13.399999999999999</v>
      </c>
      <c r="M14" s="117">
        <v>1550.6754603476463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8.3333333333333329E-2</v>
      </c>
      <c r="E15" s="27" t="s">
        <v>70</v>
      </c>
      <c r="F15" s="24" t="s">
        <v>25</v>
      </c>
      <c r="G15" s="12">
        <v>1</v>
      </c>
      <c r="H15" s="88">
        <f>IF(B$20=0,0,G15/B$20)</f>
        <v>3.7037037037037035E-2</v>
      </c>
      <c r="I15" s="58">
        <v>8</v>
      </c>
      <c r="O15" s="73" t="s">
        <v>191</v>
      </c>
      <c r="P15" s="82">
        <f>IF(Q15=0,0,R15/Q15)</f>
        <v>15.816666666666663</v>
      </c>
      <c r="Q15" s="76">
        <v>12</v>
      </c>
      <c r="R15" s="67">
        <v>189.79999999999995</v>
      </c>
    </row>
    <row r="16" spans="1:18" x14ac:dyDescent="0.4">
      <c r="A16" s="22" t="s">
        <v>121</v>
      </c>
      <c r="B16" s="15">
        <v>33</v>
      </c>
      <c r="C16" s="10">
        <f>IF(B$3=0,0,B16/B$3)</f>
        <v>0.3707865168539326</v>
      </c>
      <c r="E16" s="27" t="s">
        <v>86</v>
      </c>
      <c r="F16" s="24" t="s">
        <v>41</v>
      </c>
      <c r="G16" s="12">
        <v>1</v>
      </c>
      <c r="H16" s="88">
        <f>IF(B$20=0,0,G16/B$20)</f>
        <v>3.7037037037037035E-2</v>
      </c>
      <c r="I16" s="58">
        <v>7</v>
      </c>
      <c r="O16" s="74" t="s">
        <v>126</v>
      </c>
      <c r="P16" s="83">
        <f>IF(Q16=0,0,R16/Q16)</f>
        <v>-19.166666666666671</v>
      </c>
      <c r="Q16" s="77">
        <v>12</v>
      </c>
      <c r="R16" s="68">
        <v>-230.00000000000006</v>
      </c>
    </row>
    <row r="17" spans="1:9" x14ac:dyDescent="0.4">
      <c r="A17" s="19" t="s">
        <v>118</v>
      </c>
      <c r="B17" s="12">
        <v>12</v>
      </c>
      <c r="C17" s="6">
        <f>IF(B$3=0,0,B17/B$3)</f>
        <v>0.1348314606741573</v>
      </c>
      <c r="E17" s="27" t="s">
        <v>154</v>
      </c>
      <c r="F17" s="24" t="s">
        <v>155</v>
      </c>
      <c r="G17" s="12">
        <v>1</v>
      </c>
      <c r="H17" s="88">
        <f>IF(B$20=0,0,G17/B$20)</f>
        <v>3.7037037037037035E-2</v>
      </c>
      <c r="I17" s="58">
        <v>1</v>
      </c>
    </row>
    <row r="18" spans="1:9" x14ac:dyDescent="0.4">
      <c r="A18" s="18" t="s">
        <v>123</v>
      </c>
      <c r="B18" s="11">
        <f>B24</f>
        <v>17</v>
      </c>
      <c r="C18" s="5">
        <f>IF(B$16=0,0,B18/B$16)</f>
        <v>0.51515151515151514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4</v>
      </c>
    </row>
    <row r="20" spans="1:9" x14ac:dyDescent="0.4">
      <c r="A20" s="18" t="s">
        <v>10</v>
      </c>
      <c r="B20" s="11">
        <f>B23+B22</f>
        <v>27</v>
      </c>
      <c r="C20" s="5">
        <f>IF(B$3=0,0,B20/B$3)</f>
        <v>0.30337078651685395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4</v>
      </c>
    </row>
    <row r="21" spans="1:9" x14ac:dyDescent="0.4">
      <c r="A21" s="19" t="s">
        <v>13</v>
      </c>
      <c r="B21" s="12">
        <v>14</v>
      </c>
      <c r="C21" s="6">
        <f>IF(B$3=0,0,B21/B$3)</f>
        <v>0.15730337078651685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15</v>
      </c>
      <c r="C22" s="6">
        <f>IF(B$20=0,0,B22/B$20)</f>
        <v>0.55555555555555558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12</v>
      </c>
      <c r="C23" s="6">
        <f>IF(B$20=0,0,B23/B$20)</f>
        <v>0.44444444444444442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</row>
    <row r="24" spans="1:9" x14ac:dyDescent="0.4">
      <c r="A24" s="19" t="s">
        <v>182</v>
      </c>
      <c r="B24" s="12">
        <v>17</v>
      </c>
      <c r="C24" s="6">
        <f>IF(B$20=0,0,B24/B$20)</f>
        <v>0.62962962962962965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5</v>
      </c>
      <c r="C25" s="6">
        <f>IF(B$20=0,0,B25/B$20)</f>
        <v>0.18518518518518517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5</v>
      </c>
      <c r="C26" s="6">
        <f>IF(B$20=0,0,B26/B$20)</f>
        <v>0.18518518518518517</v>
      </c>
      <c r="E26" s="27" t="s">
        <v>83</v>
      </c>
      <c r="F26" s="24" t="s">
        <v>38</v>
      </c>
      <c r="G26" s="12">
        <v>0</v>
      </c>
      <c r="H26" s="88">
        <f>IF(B$20=0,0,G26/B$20)</f>
        <v>0</v>
      </c>
      <c r="I26" s="58">
        <v>7</v>
      </c>
    </row>
    <row r="27" spans="1:9" x14ac:dyDescent="0.4">
      <c r="A27" s="19" t="s">
        <v>5</v>
      </c>
      <c r="B27" s="16">
        <f>IF(B$20=0,0,C27/B$20)</f>
        <v>10159.259259259259</v>
      </c>
      <c r="C27" s="8">
        <v>274300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11440.90909090909</v>
      </c>
      <c r="C28" s="96">
        <v>251700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4520</v>
      </c>
      <c r="C29" s="96">
        <v>22600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-8985.7142857142862</v>
      </c>
      <c r="C30" s="96">
        <v>-125800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156</v>
      </c>
      <c r="B31" s="12">
        <v>3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157</v>
      </c>
      <c r="B32" s="12">
        <v>15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83700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6</v>
      </c>
      <c r="C38" s="6">
        <f t="shared" si="2"/>
        <v>0.22222222222222221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3</v>
      </c>
      <c r="C39" s="6">
        <f t="shared" si="2"/>
        <v>0.1111111111111111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3</v>
      </c>
    </row>
    <row r="40" spans="1:9" x14ac:dyDescent="0.4">
      <c r="A40" s="19" t="s">
        <v>168</v>
      </c>
      <c r="B40" s="124">
        <v>3</v>
      </c>
      <c r="C40" s="6">
        <f t="shared" si="2"/>
        <v>0.1111111111111111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4</v>
      </c>
      <c r="C41" s="6">
        <f t="shared" si="2"/>
        <v>0.14814814814814814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0.1111111111111111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0.14814814814814814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2</v>
      </c>
      <c r="C47" s="6">
        <f t="shared" si="2"/>
        <v>7.407407407407407E-2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3.7037037037037035E-2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77451-AA83-496F-9637-FA5605BBE9BB}">
  <sheetPr codeName="Sheet20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188</v>
      </c>
      <c r="B1" s="34" t="s">
        <v>188</v>
      </c>
      <c r="C1" s="34" t="s">
        <v>188</v>
      </c>
      <c r="D1" s="35" t="s">
        <v>188</v>
      </c>
      <c r="E1" s="34" t="s">
        <v>188</v>
      </c>
      <c r="F1" s="34" t="s">
        <v>188</v>
      </c>
      <c r="G1" s="34" t="s">
        <v>188</v>
      </c>
      <c r="H1" s="34" t="s">
        <v>188</v>
      </c>
      <c r="I1" s="34" t="s">
        <v>188</v>
      </c>
      <c r="J1" s="34" t="s">
        <v>188</v>
      </c>
      <c r="K1" s="34" t="s">
        <v>188</v>
      </c>
      <c r="L1" s="34" t="s">
        <v>188</v>
      </c>
      <c r="M1" s="34" t="s">
        <v>188</v>
      </c>
      <c r="N1" s="34" t="s">
        <v>188</v>
      </c>
      <c r="O1" s="34" t="s">
        <v>188</v>
      </c>
      <c r="P1" s="34" t="s">
        <v>188</v>
      </c>
      <c r="Q1" s="34" t="s">
        <v>188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61.8</v>
      </c>
      <c r="C4" s="30">
        <v>61.8</v>
      </c>
      <c r="D4" s="35">
        <v>1</v>
      </c>
      <c r="E4" s="31">
        <v>1</v>
      </c>
      <c r="F4" s="31">
        <v>0</v>
      </c>
      <c r="G4" s="31">
        <v>0.55555555555555558</v>
      </c>
      <c r="H4" s="31">
        <v>0.22222222222222221</v>
      </c>
      <c r="I4" s="32">
        <v>12360</v>
      </c>
      <c r="J4" s="32">
        <v>-10000</v>
      </c>
      <c r="K4" s="31">
        <v>0</v>
      </c>
      <c r="L4" s="31">
        <v>0.33333333333333331</v>
      </c>
      <c r="M4" s="31">
        <v>0.22222222222222221</v>
      </c>
      <c r="N4" s="31">
        <v>1</v>
      </c>
      <c r="O4" s="31">
        <v>0.5</v>
      </c>
      <c r="P4" s="31">
        <v>0.4</v>
      </c>
    </row>
    <row r="5" spans="1:17" x14ac:dyDescent="0.4">
      <c r="A5" s="33">
        <v>2</v>
      </c>
      <c r="B5" s="30">
        <v>34.699999999999996</v>
      </c>
      <c r="C5" s="30">
        <v>17.349999999999998</v>
      </c>
      <c r="D5" s="35">
        <v>2</v>
      </c>
      <c r="E5" s="31">
        <v>0.5</v>
      </c>
      <c r="F5" s="31">
        <v>0.5</v>
      </c>
      <c r="G5" s="31">
        <v>0.5</v>
      </c>
      <c r="H5" s="31">
        <v>0.25</v>
      </c>
      <c r="I5" s="32">
        <v>9162.5</v>
      </c>
      <c r="J5" s="32">
        <v>-7900</v>
      </c>
      <c r="K5" s="31">
        <v>0</v>
      </c>
      <c r="L5" s="31">
        <v>0.25</v>
      </c>
      <c r="M5" s="31">
        <v>0.3125</v>
      </c>
      <c r="N5" s="31">
        <v>0.75</v>
      </c>
      <c r="O5" s="31">
        <v>0.6</v>
      </c>
      <c r="P5" s="31">
        <v>0.375</v>
      </c>
    </row>
    <row r="6" spans="1:17" x14ac:dyDescent="0.4">
      <c r="A6" s="33">
        <v>3</v>
      </c>
      <c r="B6" s="30">
        <v>7.1999999999999957</v>
      </c>
      <c r="C6" s="30">
        <v>2.3999999999999986</v>
      </c>
      <c r="D6" s="35">
        <v>2.3333333333333335</v>
      </c>
      <c r="E6" s="31">
        <v>0.33333333333333331</v>
      </c>
      <c r="F6" s="31">
        <v>0.66666666666666663</v>
      </c>
      <c r="G6" s="31">
        <v>0.47826086956521741</v>
      </c>
      <c r="H6" s="31">
        <v>0.2608695652173913</v>
      </c>
      <c r="I6" s="32">
        <v>8354.545454545454</v>
      </c>
      <c r="J6" s="32">
        <v>-9200</v>
      </c>
      <c r="K6" s="31">
        <v>0</v>
      </c>
      <c r="L6" s="31">
        <v>0.34782608695652173</v>
      </c>
      <c r="M6" s="31">
        <v>0.21739130434782608</v>
      </c>
      <c r="N6" s="31">
        <v>0.75</v>
      </c>
      <c r="O6" s="31">
        <v>0.6</v>
      </c>
      <c r="P6" s="31">
        <v>0.45454545454545453</v>
      </c>
    </row>
    <row r="7" spans="1:17" x14ac:dyDescent="0.4">
      <c r="A7" s="33">
        <v>4</v>
      </c>
      <c r="B7" s="30">
        <v>52.9</v>
      </c>
      <c r="C7" s="30">
        <v>13.225</v>
      </c>
      <c r="D7" s="35">
        <v>2</v>
      </c>
      <c r="E7" s="31">
        <v>0.5</v>
      </c>
      <c r="F7" s="31">
        <v>0.5</v>
      </c>
      <c r="G7" s="31">
        <v>0.4838709677419355</v>
      </c>
      <c r="H7" s="31">
        <v>0.19354838709677419</v>
      </c>
      <c r="I7" s="32">
        <v>8706.6666666666661</v>
      </c>
      <c r="J7" s="32">
        <v>-9200</v>
      </c>
      <c r="K7" s="31">
        <v>0</v>
      </c>
      <c r="L7" s="31">
        <v>0.35483870967741937</v>
      </c>
      <c r="M7" s="31">
        <v>0.19354838709677419</v>
      </c>
      <c r="N7" s="31">
        <v>0.72727272727272729</v>
      </c>
      <c r="O7" s="31">
        <v>0.66666666666666663</v>
      </c>
      <c r="P7" s="31">
        <v>0.53333333333333333</v>
      </c>
    </row>
    <row r="8" spans="1:17" x14ac:dyDescent="0.4">
      <c r="A8" s="33">
        <v>5</v>
      </c>
      <c r="B8" s="30">
        <v>12.100000000000001</v>
      </c>
      <c r="C8" s="30">
        <v>2.4200000000000004</v>
      </c>
      <c r="D8" s="35">
        <v>2.2000000000000002</v>
      </c>
      <c r="E8" s="31">
        <v>0.4</v>
      </c>
      <c r="F8" s="31">
        <v>0.6</v>
      </c>
      <c r="G8" s="31">
        <v>0.43243243243243246</v>
      </c>
      <c r="H8" s="31">
        <v>0.1891891891891892</v>
      </c>
      <c r="I8" s="32">
        <v>8293.75</v>
      </c>
      <c r="J8" s="32">
        <v>-10171.428571428571</v>
      </c>
      <c r="K8" s="31">
        <v>0</v>
      </c>
      <c r="L8" s="31">
        <v>0.3783783783783784</v>
      </c>
      <c r="M8" s="31">
        <v>0.1891891891891892</v>
      </c>
      <c r="N8" s="31">
        <v>0.6428571428571429</v>
      </c>
      <c r="O8" s="31">
        <v>0.5714285714285714</v>
      </c>
      <c r="P8" s="31">
        <v>0.5625</v>
      </c>
    </row>
    <row r="9" spans="1:17" x14ac:dyDescent="0.4">
      <c r="A9" s="33">
        <v>6</v>
      </c>
      <c r="B9" s="30">
        <v>9.8000000000000007</v>
      </c>
      <c r="C9" s="30">
        <v>1.6333333333333335</v>
      </c>
      <c r="D9" s="35">
        <v>2.1666666666666665</v>
      </c>
      <c r="E9" s="31">
        <v>0.33333333333333331</v>
      </c>
      <c r="F9" s="31">
        <v>0.5</v>
      </c>
      <c r="G9" s="31">
        <v>0.40476190476190477</v>
      </c>
      <c r="H9" s="31">
        <v>0.19047619047619047</v>
      </c>
      <c r="I9" s="32">
        <v>8511.7647058823532</v>
      </c>
      <c r="J9" s="32">
        <v>-9062.5</v>
      </c>
      <c r="K9" s="31">
        <v>0</v>
      </c>
      <c r="L9" s="31">
        <v>0.40476190476190477</v>
      </c>
      <c r="M9" s="31">
        <v>0.16666666666666666</v>
      </c>
      <c r="N9" s="31">
        <v>0.58823529411764708</v>
      </c>
      <c r="O9" s="31">
        <v>0.5714285714285714</v>
      </c>
      <c r="P9" s="31">
        <v>0.52941176470588236</v>
      </c>
    </row>
    <row r="10" spans="1:17" x14ac:dyDescent="0.4">
      <c r="A10" s="33">
        <v>7</v>
      </c>
      <c r="B10" s="30">
        <v>-1.0999999999999996</v>
      </c>
      <c r="C10" s="30">
        <v>-0.15714285714285708</v>
      </c>
      <c r="D10" s="35">
        <v>2.1428571428571428</v>
      </c>
      <c r="E10" s="31">
        <v>0.2857142857142857</v>
      </c>
      <c r="F10" s="31">
        <v>0.42857142857142855</v>
      </c>
      <c r="G10" s="31">
        <v>0.36734693877551022</v>
      </c>
      <c r="H10" s="31">
        <v>0.18367346938775511</v>
      </c>
      <c r="I10" s="32">
        <v>8466.6666666666661</v>
      </c>
      <c r="J10" s="32">
        <v>-9833.3333333333339</v>
      </c>
      <c r="K10" s="31">
        <v>0</v>
      </c>
      <c r="L10" s="31">
        <v>0.40816326530612246</v>
      </c>
      <c r="M10" s="31">
        <v>0.14285714285714285</v>
      </c>
      <c r="N10" s="31">
        <v>0.55000000000000004</v>
      </c>
      <c r="O10" s="31">
        <v>0.5714285714285714</v>
      </c>
      <c r="P10" s="31">
        <v>0.5</v>
      </c>
    </row>
    <row r="11" spans="1:17" x14ac:dyDescent="0.4">
      <c r="A11" s="33">
        <v>8</v>
      </c>
      <c r="B11" s="30">
        <v>67.600000000000009</v>
      </c>
      <c r="C11" s="30">
        <v>8.4500000000000011</v>
      </c>
      <c r="D11" s="35">
        <v>2</v>
      </c>
      <c r="E11" s="31">
        <v>0.375</v>
      </c>
      <c r="F11" s="31">
        <v>0.375</v>
      </c>
      <c r="G11" s="31">
        <v>0.35087719298245612</v>
      </c>
      <c r="H11" s="31">
        <v>0.17543859649122806</v>
      </c>
      <c r="I11" s="32">
        <v>10620</v>
      </c>
      <c r="J11" s="32">
        <v>-9050</v>
      </c>
      <c r="K11" s="31">
        <v>0</v>
      </c>
      <c r="L11" s="31">
        <v>0.42105263157894735</v>
      </c>
      <c r="M11" s="31">
        <v>0.12280701754385964</v>
      </c>
      <c r="N11" s="31">
        <v>0.54166666666666663</v>
      </c>
      <c r="O11" s="31">
        <v>0.5714285714285714</v>
      </c>
      <c r="P11" s="31">
        <v>0.55000000000000004</v>
      </c>
    </row>
    <row r="12" spans="1:17" x14ac:dyDescent="0.4">
      <c r="A12" s="33">
        <v>9</v>
      </c>
      <c r="B12" s="30">
        <v>94.100000000000009</v>
      </c>
      <c r="C12" s="30">
        <v>10.455555555555556</v>
      </c>
      <c r="D12" s="35">
        <v>1.8888888888888888</v>
      </c>
      <c r="E12" s="31">
        <v>0.44444444444444442</v>
      </c>
      <c r="F12" s="31">
        <v>0.33333333333333331</v>
      </c>
      <c r="G12" s="31">
        <v>0.34920634920634919</v>
      </c>
      <c r="H12" s="31">
        <v>0.15873015873015872</v>
      </c>
      <c r="I12" s="32">
        <v>10563.636363636364</v>
      </c>
      <c r="J12" s="32">
        <v>-9050</v>
      </c>
      <c r="K12" s="31">
        <v>0</v>
      </c>
      <c r="L12" s="31">
        <v>0.3968253968253968</v>
      </c>
      <c r="M12" s="31">
        <v>0.1111111111111111</v>
      </c>
      <c r="N12" s="31">
        <v>0.56000000000000005</v>
      </c>
      <c r="O12" s="31">
        <v>0.5714285714285714</v>
      </c>
      <c r="P12" s="31">
        <v>0.59090909090909094</v>
      </c>
    </row>
    <row r="13" spans="1:17" x14ac:dyDescent="0.4">
      <c r="A13" s="33">
        <v>10</v>
      </c>
      <c r="B13" s="30">
        <v>72.5</v>
      </c>
      <c r="C13" s="30">
        <v>7.25</v>
      </c>
      <c r="D13" s="35">
        <v>1.9</v>
      </c>
      <c r="E13" s="31">
        <v>0.4</v>
      </c>
      <c r="F13" s="31">
        <v>0.3</v>
      </c>
      <c r="G13" s="31">
        <v>0.3188405797101449</v>
      </c>
      <c r="H13" s="31">
        <v>0.15942028985507245</v>
      </c>
      <c r="I13" s="32">
        <v>10563.636363636364</v>
      </c>
      <c r="J13" s="32">
        <v>-8463.636363636364</v>
      </c>
      <c r="K13" s="31">
        <v>0</v>
      </c>
      <c r="L13" s="31">
        <v>0.37681159420289856</v>
      </c>
      <c r="M13" s="31">
        <v>0.11594202898550725</v>
      </c>
      <c r="N13" s="31">
        <v>0.53846153846153844</v>
      </c>
      <c r="O13" s="31">
        <v>0.5</v>
      </c>
      <c r="P13" s="31">
        <v>0.59090909090909094</v>
      </c>
    </row>
    <row r="14" spans="1:17" x14ac:dyDescent="0.4">
      <c r="A14" s="33">
        <v>11</v>
      </c>
      <c r="B14" s="30">
        <v>47.7</v>
      </c>
      <c r="C14" s="30">
        <v>4.3363636363636369</v>
      </c>
      <c r="D14" s="35">
        <v>2</v>
      </c>
      <c r="E14" s="31">
        <v>0.36363636363636365</v>
      </c>
      <c r="F14" s="31">
        <v>0.36363636363636365</v>
      </c>
      <c r="G14" s="31">
        <v>0.31168831168831168</v>
      </c>
      <c r="H14" s="31">
        <v>0.14285714285714285</v>
      </c>
      <c r="I14" s="32">
        <v>10266.666666666666</v>
      </c>
      <c r="J14" s="32">
        <v>-8463.636363636364</v>
      </c>
      <c r="K14" s="31">
        <v>0</v>
      </c>
      <c r="L14" s="31">
        <v>0.36363636363636365</v>
      </c>
      <c r="M14" s="31">
        <v>0.11688311688311688</v>
      </c>
      <c r="N14" s="31">
        <v>0.5357142857142857</v>
      </c>
      <c r="O14" s="31">
        <v>0.44444444444444442</v>
      </c>
      <c r="P14" s="31">
        <v>0.58333333333333337</v>
      </c>
    </row>
    <row r="15" spans="1:17" x14ac:dyDescent="0.4">
      <c r="A15" s="33">
        <v>12</v>
      </c>
      <c r="B15" s="30">
        <v>-13.399999999999999</v>
      </c>
      <c r="C15" s="30">
        <v>-1.1166666666666665</v>
      </c>
      <c r="D15" s="35">
        <v>2.0833333333333335</v>
      </c>
      <c r="E15" s="31">
        <v>0.33333333333333331</v>
      </c>
      <c r="F15" s="31">
        <v>0.41666666666666669</v>
      </c>
      <c r="G15" s="31">
        <v>0.30337078651685395</v>
      </c>
      <c r="H15" s="31">
        <v>0.15730337078651685</v>
      </c>
      <c r="I15" s="32">
        <v>10159.259259259259</v>
      </c>
      <c r="J15" s="32">
        <v>-8985.7142857142862</v>
      </c>
      <c r="K15" s="31">
        <v>8.3333333333333329E-2</v>
      </c>
      <c r="L15" s="31">
        <v>0.3707865168539326</v>
      </c>
      <c r="M15" s="31">
        <v>0.1348314606741573</v>
      </c>
      <c r="N15" s="31">
        <v>0.51515151515151514</v>
      </c>
      <c r="O15" s="31">
        <v>0.41666666666666669</v>
      </c>
      <c r="P15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10356-6A10-4C25-8BCA-52DCD729FF14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8E1FE-FC88-4DD4-954C-0AC7BC49096B}">
  <sheetPr codeName="Sheet16"/>
  <dimension ref="A1:Q3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 x14ac:dyDescent="0.4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 x14ac:dyDescent="0.4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 x14ac:dyDescent="0.4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 x14ac:dyDescent="0.4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 x14ac:dyDescent="0.4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 x14ac:dyDescent="0.4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 x14ac:dyDescent="0.4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  <row r="20" spans="1:16" x14ac:dyDescent="0.4">
      <c r="A20" s="33">
        <v>17</v>
      </c>
      <c r="B20" s="30">
        <v>-96.700000000000017</v>
      </c>
      <c r="C20" s="30">
        <v>-5.6882352941176482</v>
      </c>
      <c r="D20" s="35">
        <v>2.0588235294117645</v>
      </c>
      <c r="E20" s="31">
        <v>0.23529411764705882</v>
      </c>
      <c r="F20" s="31">
        <v>0.29411764705882354</v>
      </c>
      <c r="G20" s="31">
        <v>0.28260869565217389</v>
      </c>
      <c r="H20" s="31">
        <v>0.16666666666666666</v>
      </c>
      <c r="I20" s="32">
        <v>8946.1538461538457</v>
      </c>
      <c r="J20" s="32">
        <v>-9060.8695652173919</v>
      </c>
      <c r="K20" s="31">
        <v>0.11764705882352941</v>
      </c>
      <c r="L20" s="31">
        <v>0.35507246376811596</v>
      </c>
      <c r="M20" s="31">
        <v>0.16666666666666666</v>
      </c>
      <c r="N20" s="31">
        <v>0.51020408163265307</v>
      </c>
      <c r="O20" s="31">
        <v>0.52173913043478259</v>
      </c>
      <c r="P20" s="31">
        <v>0.41025641025641024</v>
      </c>
    </row>
    <row r="21" spans="1:16" x14ac:dyDescent="0.4">
      <c r="A21" s="33">
        <v>18</v>
      </c>
      <c r="B21" s="30">
        <v>-154.80000000000001</v>
      </c>
      <c r="C21" s="30">
        <v>-8.6000000000000014</v>
      </c>
      <c r="D21" s="35">
        <v>2.1111111111111112</v>
      </c>
      <c r="E21" s="31">
        <v>0.22222222222222221</v>
      </c>
      <c r="F21" s="31">
        <v>0.33333333333333331</v>
      </c>
      <c r="G21" s="31">
        <v>0.26845637583892618</v>
      </c>
      <c r="H21" s="31">
        <v>0.18791946308724833</v>
      </c>
      <c r="I21" s="32">
        <v>9012.5</v>
      </c>
      <c r="J21" s="32">
        <v>-8664.2857142857138</v>
      </c>
      <c r="K21" s="31">
        <v>0.16666666666666666</v>
      </c>
      <c r="L21" s="31">
        <v>0.33557046979865773</v>
      </c>
      <c r="M21" s="31">
        <v>0.17449664429530201</v>
      </c>
      <c r="N21" s="31">
        <v>0.52</v>
      </c>
      <c r="O21" s="31">
        <v>0.46153846153846156</v>
      </c>
      <c r="P21" s="31">
        <v>0.4</v>
      </c>
    </row>
    <row r="22" spans="1:16" x14ac:dyDescent="0.4">
      <c r="A22" s="33">
        <v>19</v>
      </c>
      <c r="B22" s="30">
        <v>-153.80000000000001</v>
      </c>
      <c r="C22" s="30">
        <v>-8.094736842105263</v>
      </c>
      <c r="D22" s="35">
        <v>2.1052631578947367</v>
      </c>
      <c r="E22" s="31">
        <v>0.21052631578947367</v>
      </c>
      <c r="F22" s="31">
        <v>0.31578947368421051</v>
      </c>
      <c r="G22" s="31">
        <v>0.26874999999999999</v>
      </c>
      <c r="H22" s="31">
        <v>0.19375000000000001</v>
      </c>
      <c r="I22" s="32">
        <v>8969.7674418604656</v>
      </c>
      <c r="J22" s="32">
        <v>-8283.8709677419356</v>
      </c>
      <c r="K22" s="31">
        <v>0.15789473684210525</v>
      </c>
      <c r="L22" s="31">
        <v>0.31874999999999998</v>
      </c>
      <c r="M22" s="31">
        <v>0.16250000000000001</v>
      </c>
      <c r="N22" s="31">
        <v>0.52941176470588236</v>
      </c>
      <c r="O22" s="31">
        <v>0.46153846153846156</v>
      </c>
      <c r="P22" s="31">
        <v>0.41860465116279072</v>
      </c>
    </row>
    <row r="23" spans="1:16" x14ac:dyDescent="0.4">
      <c r="A23" s="33">
        <v>20</v>
      </c>
      <c r="B23" s="30">
        <v>-201.8</v>
      </c>
      <c r="C23" s="30">
        <v>-10.09</v>
      </c>
      <c r="D23" s="35">
        <v>2.15</v>
      </c>
      <c r="E23" s="31">
        <v>0.2</v>
      </c>
      <c r="F23" s="31">
        <v>0.35</v>
      </c>
      <c r="G23" s="31">
        <v>0.25882352941176473</v>
      </c>
      <c r="H23" s="31">
        <v>0.2</v>
      </c>
      <c r="I23" s="32">
        <v>8825</v>
      </c>
      <c r="J23" s="32">
        <v>-8097.0588235294117</v>
      </c>
      <c r="K23" s="31">
        <v>0.15</v>
      </c>
      <c r="L23" s="31">
        <v>0.31176470588235294</v>
      </c>
      <c r="M23" s="31">
        <v>0.15294117647058825</v>
      </c>
      <c r="N23" s="31">
        <v>0.50943396226415094</v>
      </c>
      <c r="O23" s="31">
        <v>0.46153846153846156</v>
      </c>
      <c r="P23" s="31">
        <v>0.40909090909090912</v>
      </c>
    </row>
    <row r="24" spans="1:16" x14ac:dyDescent="0.4">
      <c r="A24" s="33">
        <v>21</v>
      </c>
      <c r="B24" s="30">
        <v>-202.20000000000002</v>
      </c>
      <c r="C24" s="30">
        <v>-9.6285714285714299</v>
      </c>
      <c r="D24" s="35">
        <v>2.1428571428571428</v>
      </c>
      <c r="E24" s="31">
        <v>0.19047619047619047</v>
      </c>
      <c r="F24" s="31">
        <v>0.33333333333333331</v>
      </c>
      <c r="G24" s="31">
        <v>0.26815642458100558</v>
      </c>
      <c r="H24" s="31">
        <v>0.2011173184357542</v>
      </c>
      <c r="I24" s="32">
        <v>8591.6666666666661</v>
      </c>
      <c r="J24" s="32">
        <v>-8036.1111111111113</v>
      </c>
      <c r="K24" s="31">
        <v>0.14285714285714285</v>
      </c>
      <c r="L24" s="31">
        <v>0.32402234636871508</v>
      </c>
      <c r="M24" s="31">
        <v>0.16201117318435754</v>
      </c>
      <c r="N24" s="31">
        <v>0.5</v>
      </c>
      <c r="O24" s="31">
        <v>0.48275862068965519</v>
      </c>
      <c r="P24" s="31">
        <v>0.41666666666666669</v>
      </c>
    </row>
    <row r="25" spans="1:16" x14ac:dyDescent="0.4">
      <c r="A25" s="33">
        <v>22</v>
      </c>
      <c r="B25" s="30">
        <v>-208.00000000000003</v>
      </c>
      <c r="C25" s="30">
        <v>-9.454545454545455</v>
      </c>
      <c r="D25" s="35">
        <v>2.1363636363636362</v>
      </c>
      <c r="E25" s="31">
        <v>0.18181818181818182</v>
      </c>
      <c r="F25" s="31">
        <v>0.31818181818181818</v>
      </c>
      <c r="G25" s="31">
        <v>0.27127659574468083</v>
      </c>
      <c r="H25" s="31">
        <v>0.20212765957446807</v>
      </c>
      <c r="I25" s="32">
        <v>8503.9215686274511</v>
      </c>
      <c r="J25" s="32">
        <v>-7918.4210526315792</v>
      </c>
      <c r="K25" s="31">
        <v>0.13636363636363635</v>
      </c>
      <c r="L25" s="31">
        <v>0.32446808510638298</v>
      </c>
      <c r="M25" s="31">
        <v>0.15957446808510639</v>
      </c>
      <c r="N25" s="31">
        <v>0.49180327868852458</v>
      </c>
      <c r="O25" s="31">
        <v>0.5</v>
      </c>
      <c r="P25" s="31">
        <v>0.41176470588235292</v>
      </c>
    </row>
    <row r="26" spans="1:16" x14ac:dyDescent="0.4">
      <c r="A26" s="33">
        <v>23</v>
      </c>
      <c r="B26" s="30">
        <v>-210.50000000000003</v>
      </c>
      <c r="C26" s="30">
        <v>-9.1521739130434803</v>
      </c>
      <c r="D26" s="35">
        <v>2.1304347826086958</v>
      </c>
      <c r="E26" s="31">
        <v>0.17391304347826086</v>
      </c>
      <c r="F26" s="31">
        <v>0.30434782608695654</v>
      </c>
      <c r="G26" s="31">
        <v>0.27179487179487177</v>
      </c>
      <c r="H26" s="31">
        <v>0.2</v>
      </c>
      <c r="I26" s="32">
        <v>8388.6792452830196</v>
      </c>
      <c r="J26" s="32">
        <v>-7782.0512820512822</v>
      </c>
      <c r="K26" s="31">
        <v>0.13043478260869565</v>
      </c>
      <c r="L26" s="31">
        <v>0.32307692307692309</v>
      </c>
      <c r="M26" s="31">
        <v>0.1641025641025641</v>
      </c>
      <c r="N26" s="31">
        <v>0.49206349206349204</v>
      </c>
      <c r="O26" s="31">
        <v>0.5</v>
      </c>
      <c r="P26" s="31">
        <v>0.41509433962264153</v>
      </c>
    </row>
    <row r="27" spans="1:16" x14ac:dyDescent="0.4">
      <c r="A27" s="33">
        <v>24</v>
      </c>
      <c r="B27" s="30">
        <v>-284.3</v>
      </c>
      <c r="C27" s="30">
        <v>-11.845833333333333</v>
      </c>
      <c r="D27" s="35">
        <v>2.1666666666666665</v>
      </c>
      <c r="E27" s="31">
        <v>0.16666666666666666</v>
      </c>
      <c r="F27" s="31">
        <v>0.33333333333333331</v>
      </c>
      <c r="G27" s="31">
        <v>0.26470588235294118</v>
      </c>
      <c r="H27" s="31">
        <v>0.20588235294117646</v>
      </c>
      <c r="I27" s="32">
        <v>8455.5555555555547</v>
      </c>
      <c r="J27" s="32">
        <v>-8411.9047619047615</v>
      </c>
      <c r="K27" s="31">
        <v>0.16666666666666666</v>
      </c>
      <c r="L27" s="31">
        <v>0.32843137254901961</v>
      </c>
      <c r="M27" s="31">
        <v>0.16176470588235295</v>
      </c>
      <c r="N27" s="31">
        <v>0.47761194029850745</v>
      </c>
      <c r="O27" s="31">
        <v>0.48484848484848486</v>
      </c>
      <c r="P27" s="31">
        <v>0.40740740740740738</v>
      </c>
    </row>
    <row r="28" spans="1:16" x14ac:dyDescent="0.4">
      <c r="A28" s="33">
        <v>25</v>
      </c>
      <c r="B28" s="30">
        <v>-286.90000000000003</v>
      </c>
      <c r="C28" s="30">
        <v>-11.476000000000001</v>
      </c>
      <c r="D28" s="35">
        <v>2.16</v>
      </c>
      <c r="E28" s="31">
        <v>0.16</v>
      </c>
      <c r="F28" s="31">
        <v>0.32</v>
      </c>
      <c r="G28" s="31">
        <v>0.26066350710900477</v>
      </c>
      <c r="H28" s="31">
        <v>0.20853080568720378</v>
      </c>
      <c r="I28" s="32">
        <v>8520</v>
      </c>
      <c r="J28" s="32">
        <v>-8347.7272727272721</v>
      </c>
      <c r="K28" s="31">
        <v>0.16</v>
      </c>
      <c r="L28" s="31">
        <v>0.32227488151658767</v>
      </c>
      <c r="M28" s="31">
        <v>0.15639810426540285</v>
      </c>
      <c r="N28" s="31">
        <v>0.48529411764705882</v>
      </c>
      <c r="O28" s="31">
        <v>0.48484848484848486</v>
      </c>
      <c r="P28" s="31">
        <v>0.41818181818181815</v>
      </c>
    </row>
    <row r="29" spans="1:16" x14ac:dyDescent="0.4">
      <c r="A29" s="33">
        <v>26</v>
      </c>
      <c r="B29" s="30">
        <v>-287.00000000000006</v>
      </c>
      <c r="C29" s="30">
        <v>-11.03846153846154</v>
      </c>
      <c r="D29" s="35">
        <v>2.1538461538461537</v>
      </c>
      <c r="E29" s="31">
        <v>0.15384615384615385</v>
      </c>
      <c r="F29" s="31">
        <v>0.30769230769230771</v>
      </c>
      <c r="G29" s="31">
        <v>0.26146788990825687</v>
      </c>
      <c r="H29" s="31">
        <v>0.20642201834862386</v>
      </c>
      <c r="I29" s="32">
        <v>8431.5789473684217</v>
      </c>
      <c r="J29" s="32">
        <v>-8220</v>
      </c>
      <c r="K29" s="31">
        <v>0.15384615384615385</v>
      </c>
      <c r="L29" s="31">
        <v>0.32110091743119268</v>
      </c>
      <c r="M29" s="31">
        <v>0.15596330275229359</v>
      </c>
      <c r="N29" s="31">
        <v>0.48571428571428571</v>
      </c>
      <c r="O29" s="31">
        <v>0.5</v>
      </c>
      <c r="P29" s="31">
        <v>0.43859649122807015</v>
      </c>
    </row>
    <row r="30" spans="1:16" x14ac:dyDescent="0.4">
      <c r="A30" s="33">
        <v>27</v>
      </c>
      <c r="B30" s="30">
        <v>-350.40000000000003</v>
      </c>
      <c r="C30" s="30">
        <v>-12.97777777777778</v>
      </c>
      <c r="D30" s="35">
        <v>2.1851851851851851</v>
      </c>
      <c r="E30" s="31">
        <v>0.14814814814814814</v>
      </c>
      <c r="F30" s="31">
        <v>0.33333333333333331</v>
      </c>
      <c r="G30" s="31">
        <v>0.25221238938053098</v>
      </c>
      <c r="H30" s="31">
        <v>0.20353982300884957</v>
      </c>
      <c r="I30" s="32">
        <v>8431.5789473684217</v>
      </c>
      <c r="J30" s="32">
        <v>-8302.173913043478</v>
      </c>
      <c r="K30" s="31">
        <v>0.18518518518518517</v>
      </c>
      <c r="L30" s="31">
        <v>0.31415929203539822</v>
      </c>
      <c r="M30" s="31">
        <v>0.16814159292035399</v>
      </c>
      <c r="N30" s="31">
        <v>0.47887323943661969</v>
      </c>
      <c r="O30" s="31">
        <v>0.44736842105263158</v>
      </c>
      <c r="P30" s="31">
        <v>0.43859649122807015</v>
      </c>
    </row>
    <row r="31" spans="1:16" x14ac:dyDescent="0.4">
      <c r="A31" s="33">
        <v>28</v>
      </c>
      <c r="B31" s="30">
        <v>-357.1</v>
      </c>
      <c r="C31" s="30">
        <v>-12.75357142857143</v>
      </c>
      <c r="D31" s="35">
        <v>2.1785714285714284</v>
      </c>
      <c r="E31" s="31">
        <v>0.14285714285714285</v>
      </c>
      <c r="F31" s="31">
        <v>0.32142857142857145</v>
      </c>
      <c r="G31" s="31">
        <v>0.25862068965517243</v>
      </c>
      <c r="H31" s="31">
        <v>0.20258620689655171</v>
      </c>
      <c r="I31" s="32">
        <v>8220</v>
      </c>
      <c r="J31" s="32">
        <v>-8508.510638297872</v>
      </c>
      <c r="K31" s="31">
        <v>0.17857142857142858</v>
      </c>
      <c r="L31" s="31">
        <v>0.31896551724137934</v>
      </c>
      <c r="M31" s="31">
        <v>0.16379310344827586</v>
      </c>
      <c r="N31" s="31">
        <v>0.48648648648648651</v>
      </c>
      <c r="O31" s="31">
        <v>0.44736842105263158</v>
      </c>
      <c r="P31" s="31">
        <v>0.46666666666666667</v>
      </c>
    </row>
    <row r="32" spans="1:16" x14ac:dyDescent="0.4">
      <c r="A32" s="33">
        <v>29</v>
      </c>
      <c r="B32" s="30">
        <v>-413.8</v>
      </c>
      <c r="C32" s="30">
        <v>-14.26896551724138</v>
      </c>
      <c r="D32" s="35">
        <v>2.2068965517241379</v>
      </c>
      <c r="E32" s="31">
        <v>0.13793103448275862</v>
      </c>
      <c r="F32" s="31">
        <v>0.34482758620689657</v>
      </c>
      <c r="G32" s="31">
        <v>0.25738396624472576</v>
      </c>
      <c r="H32" s="31">
        <v>0.20253164556962025</v>
      </c>
      <c r="I32" s="32">
        <v>8172.1311475409839</v>
      </c>
      <c r="J32" s="32">
        <v>-8581.25</v>
      </c>
      <c r="K32" s="31">
        <v>0.20689655172413793</v>
      </c>
      <c r="L32" s="31">
        <v>0.31645569620253167</v>
      </c>
      <c r="M32" s="31">
        <v>0.16455696202531644</v>
      </c>
      <c r="N32" s="31">
        <v>0.49333333333333335</v>
      </c>
      <c r="O32" s="31">
        <v>0.4358974358974359</v>
      </c>
      <c r="P32" s="31">
        <v>0.47540983606557374</v>
      </c>
    </row>
    <row r="33" spans="1:16" x14ac:dyDescent="0.4">
      <c r="A33" s="33">
        <v>30</v>
      </c>
      <c r="B33" s="30">
        <v>-461.8</v>
      </c>
      <c r="C33" s="30">
        <v>-15.393333333333334</v>
      </c>
      <c r="D33" s="35">
        <v>2.2333333333333334</v>
      </c>
      <c r="E33" s="31">
        <v>0.13333333333333333</v>
      </c>
      <c r="F33" s="31">
        <v>0.36666666666666664</v>
      </c>
      <c r="G33" s="31">
        <v>0.25819672131147542</v>
      </c>
      <c r="H33" s="31">
        <v>0.20901639344262296</v>
      </c>
      <c r="I33" s="32">
        <v>7979.3650793650795</v>
      </c>
      <c r="J33" s="32">
        <v>-8698.0392156862745</v>
      </c>
      <c r="K33" s="31">
        <v>0.2</v>
      </c>
      <c r="L33" s="31">
        <v>0.31147540983606559</v>
      </c>
      <c r="M33" s="31">
        <v>0.16393442622950818</v>
      </c>
      <c r="N33" s="31">
        <v>0.48684210526315791</v>
      </c>
      <c r="O33" s="31">
        <v>0.42499999999999999</v>
      </c>
      <c r="P33" s="31">
        <v>0.49206349206349204</v>
      </c>
    </row>
    <row r="34" spans="1:16" x14ac:dyDescent="0.4">
      <c r="A34" s="33">
        <v>31</v>
      </c>
      <c r="B34" s="30">
        <v>-462.3</v>
      </c>
      <c r="C34" s="30">
        <v>-14.912903225806453</v>
      </c>
      <c r="D34" s="35">
        <v>2.225806451612903</v>
      </c>
      <c r="E34" s="31">
        <v>0.12903225806451613</v>
      </c>
      <c r="F34" s="31">
        <v>0.35483870967741937</v>
      </c>
      <c r="G34" s="31">
        <v>0.26587301587301587</v>
      </c>
      <c r="H34" s="31">
        <v>0.20238095238095238</v>
      </c>
      <c r="I34" s="32">
        <v>8129.8507462686566</v>
      </c>
      <c r="J34" s="32">
        <v>-8698.0392156862745</v>
      </c>
      <c r="K34" s="31">
        <v>0.19354838709677419</v>
      </c>
      <c r="L34" s="31">
        <v>0.31349206349206349</v>
      </c>
      <c r="M34" s="31">
        <v>0.17063492063492064</v>
      </c>
      <c r="N34" s="31">
        <v>0.48101265822784811</v>
      </c>
      <c r="O34" s="31">
        <v>0.44186046511627908</v>
      </c>
      <c r="P34" s="31">
        <v>0.5074626865671642</v>
      </c>
    </row>
    <row r="35" spans="1:16" x14ac:dyDescent="0.4">
      <c r="A35" s="33">
        <v>32</v>
      </c>
      <c r="B35" s="30">
        <v>-462.8</v>
      </c>
      <c r="C35" s="30">
        <v>-14.4625</v>
      </c>
      <c r="D35" s="35">
        <v>2.21875</v>
      </c>
      <c r="E35" s="31">
        <v>0.125</v>
      </c>
      <c r="F35" s="31">
        <v>0.34375</v>
      </c>
      <c r="G35" s="31">
        <v>0.26356589147286824</v>
      </c>
      <c r="H35" s="31">
        <v>0.19767441860465115</v>
      </c>
      <c r="I35" s="32">
        <v>8245.5882352941171</v>
      </c>
      <c r="J35" s="32">
        <v>-8698.0392156862745</v>
      </c>
      <c r="K35" s="31">
        <v>0.1875</v>
      </c>
      <c r="L35" s="31">
        <v>0.30620155038759689</v>
      </c>
      <c r="M35" s="31">
        <v>0.17829457364341086</v>
      </c>
      <c r="N35" s="31">
        <v>0.48101265822784811</v>
      </c>
      <c r="O35" s="31">
        <v>0.43478260869565216</v>
      </c>
      <c r="P35" s="31">
        <v>0.51470588235294112</v>
      </c>
    </row>
    <row r="36" spans="1:16" x14ac:dyDescent="0.4">
      <c r="A36" s="33">
        <v>33</v>
      </c>
      <c r="B36" s="30">
        <v>-528.4</v>
      </c>
      <c r="C36" s="30">
        <v>-16.012121212121212</v>
      </c>
      <c r="D36" s="35">
        <v>2.2424242424242422</v>
      </c>
      <c r="E36" s="31">
        <v>0.12121212121212122</v>
      </c>
      <c r="F36" s="31">
        <v>0.36363636363636365</v>
      </c>
      <c r="G36" s="31">
        <v>0.26515151515151514</v>
      </c>
      <c r="H36" s="31">
        <v>0.19696969696969696</v>
      </c>
      <c r="I36" s="32">
        <v>8218.5714285714294</v>
      </c>
      <c r="J36" s="32">
        <v>-9453.8461538461543</v>
      </c>
      <c r="K36" s="31">
        <v>0.21212121212121213</v>
      </c>
      <c r="L36" s="31">
        <v>0.30303030303030304</v>
      </c>
      <c r="M36" s="31">
        <v>0.18560606060606061</v>
      </c>
      <c r="N36" s="31">
        <v>0.47499999999999998</v>
      </c>
      <c r="O36" s="31">
        <v>0.42857142857142855</v>
      </c>
      <c r="P36" s="31">
        <v>0.51428571428571423</v>
      </c>
    </row>
    <row r="37" spans="1:16" x14ac:dyDescent="0.4">
      <c r="A37" s="33">
        <v>34</v>
      </c>
      <c r="B37" s="30">
        <v>-500</v>
      </c>
      <c r="C37" s="30">
        <v>-14.705882352941176</v>
      </c>
      <c r="D37" s="35">
        <v>2.2058823529411766</v>
      </c>
      <c r="E37" s="31">
        <v>0.14705882352941177</v>
      </c>
      <c r="F37" s="31">
        <v>0.35294117647058826</v>
      </c>
      <c r="G37" s="31">
        <v>0.26838235294117646</v>
      </c>
      <c r="H37" s="31">
        <v>0.19485294117647059</v>
      </c>
      <c r="I37" s="32">
        <v>8205.4794520547948</v>
      </c>
      <c r="J37" s="32">
        <v>-9313.2075471698117</v>
      </c>
      <c r="K37" s="31">
        <v>0.20588235294117646</v>
      </c>
      <c r="L37" s="31">
        <v>0.3014705882352941</v>
      </c>
      <c r="M37" s="31">
        <v>0.18382352941176472</v>
      </c>
      <c r="N37" s="31">
        <v>0.47560975609756095</v>
      </c>
      <c r="O37" s="31">
        <v>0.44</v>
      </c>
      <c r="P37" s="31">
        <v>0.52054794520547942</v>
      </c>
    </row>
    <row r="38" spans="1:16" x14ac:dyDescent="0.4">
      <c r="A38" s="33">
        <v>35</v>
      </c>
      <c r="B38" s="30">
        <v>-413.7</v>
      </c>
      <c r="C38" s="30">
        <v>-11.82</v>
      </c>
      <c r="D38" s="35">
        <v>2.1714285714285713</v>
      </c>
      <c r="E38" s="31">
        <v>0.17142857142857143</v>
      </c>
      <c r="F38" s="31">
        <v>0.34285714285714286</v>
      </c>
      <c r="G38" s="31">
        <v>0.28169014084507044</v>
      </c>
      <c r="H38" s="31">
        <v>0.19366197183098591</v>
      </c>
      <c r="I38" s="32">
        <v>8502.5</v>
      </c>
      <c r="J38" s="32">
        <v>-9372.7272727272721</v>
      </c>
      <c r="K38" s="31">
        <v>0.2</v>
      </c>
      <c r="L38" s="31">
        <v>0.29929577464788731</v>
      </c>
      <c r="M38" s="31">
        <v>0.18309859154929578</v>
      </c>
      <c r="N38" s="31">
        <v>0.49411764705882355</v>
      </c>
      <c r="O38" s="31">
        <v>0.44230769230769229</v>
      </c>
      <c r="P38" s="31">
        <v>0.52500000000000002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C956C-4075-46C6-8A19-3BD72AFE55BC}">
  <sheetPr codeName="Sheet14"/>
  <dimension ref="A1:Q6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 x14ac:dyDescent="0.4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 x14ac:dyDescent="0.4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 x14ac:dyDescent="0.4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 x14ac:dyDescent="0.4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 x14ac:dyDescent="0.4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 x14ac:dyDescent="0.4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 x14ac:dyDescent="0.4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 x14ac:dyDescent="0.4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 x14ac:dyDescent="0.4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 x14ac:dyDescent="0.4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 x14ac:dyDescent="0.4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 x14ac:dyDescent="0.4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 x14ac:dyDescent="0.4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 x14ac:dyDescent="0.4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 x14ac:dyDescent="0.4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 x14ac:dyDescent="0.4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  <row r="31" spans="1:16" x14ac:dyDescent="0.4">
      <c r="A31" s="33">
        <v>28</v>
      </c>
      <c r="B31" s="30">
        <v>314.19999999999993</v>
      </c>
      <c r="C31" s="30">
        <v>11.22142857142857</v>
      </c>
      <c r="D31" s="35">
        <v>1.7857142857142858</v>
      </c>
      <c r="E31" s="31">
        <v>0.4642857142857143</v>
      </c>
      <c r="F31" s="31">
        <v>0.25</v>
      </c>
      <c r="G31" s="31">
        <v>0.31063829787234043</v>
      </c>
      <c r="H31" s="31">
        <v>0.13617021276595745</v>
      </c>
      <c r="I31" s="32">
        <v>9427.3972602739723</v>
      </c>
      <c r="J31" s="32">
        <v>-8650</v>
      </c>
      <c r="K31" s="31">
        <v>3.5714285714285712E-2</v>
      </c>
      <c r="L31" s="31">
        <v>0.38297872340425532</v>
      </c>
      <c r="M31" s="31">
        <v>0.14468085106382977</v>
      </c>
      <c r="N31" s="31">
        <v>0.52222222222222225</v>
      </c>
      <c r="O31" s="31">
        <v>0.52941176470588236</v>
      </c>
      <c r="P31" s="31">
        <v>0.42465753424657532</v>
      </c>
    </row>
    <row r="32" spans="1:16" x14ac:dyDescent="0.4">
      <c r="A32" s="33">
        <v>29</v>
      </c>
      <c r="B32" s="30">
        <v>310.49999999999994</v>
      </c>
      <c r="C32" s="30">
        <v>10.706896551724135</v>
      </c>
      <c r="D32" s="35">
        <v>1.7931034482758621</v>
      </c>
      <c r="E32" s="31">
        <v>0.44827586206896552</v>
      </c>
      <c r="F32" s="31">
        <v>0.2413793103448276</v>
      </c>
      <c r="G32" s="31">
        <v>0.3048780487804878</v>
      </c>
      <c r="H32" s="31">
        <v>0.13821138211382114</v>
      </c>
      <c r="I32" s="32">
        <v>9442.6666666666661</v>
      </c>
      <c r="J32" s="32">
        <v>-8588.2352941176468</v>
      </c>
      <c r="K32" s="31">
        <v>3.4482758620689655E-2</v>
      </c>
      <c r="L32" s="31">
        <v>0.38211382113821141</v>
      </c>
      <c r="M32" s="31">
        <v>0.13821138211382114</v>
      </c>
      <c r="N32" s="31">
        <v>0.52127659574468088</v>
      </c>
      <c r="O32" s="31">
        <v>0.52941176470588236</v>
      </c>
      <c r="P32" s="31">
        <v>0.44</v>
      </c>
    </row>
    <row r="33" spans="1:16" x14ac:dyDescent="0.4">
      <c r="A33" s="33">
        <v>30</v>
      </c>
      <c r="B33" s="30">
        <v>337.69999999999993</v>
      </c>
      <c r="C33" s="30">
        <v>11.256666666666664</v>
      </c>
      <c r="D33" s="35">
        <v>1.7666666666666666</v>
      </c>
      <c r="E33" s="31">
        <v>0.46666666666666667</v>
      </c>
      <c r="F33" s="31">
        <v>0.23333333333333334</v>
      </c>
      <c r="G33" s="31">
        <v>0.3046875</v>
      </c>
      <c r="H33" s="31">
        <v>0.1328125</v>
      </c>
      <c r="I33" s="32">
        <v>9496.1538461538457</v>
      </c>
      <c r="J33" s="32">
        <v>-8588.2352941176468</v>
      </c>
      <c r="K33" s="31">
        <v>3.3333333333333333E-2</v>
      </c>
      <c r="L33" s="31">
        <v>0.38671875</v>
      </c>
      <c r="M33" s="31">
        <v>0.13671875</v>
      </c>
      <c r="N33" s="31">
        <v>0.51515151515151514</v>
      </c>
      <c r="O33" s="31">
        <v>0.54285714285714282</v>
      </c>
      <c r="P33" s="31">
        <v>0.44871794871794873</v>
      </c>
    </row>
    <row r="34" spans="1:16" x14ac:dyDescent="0.4">
      <c r="A34" s="33">
        <v>31</v>
      </c>
      <c r="B34" s="30">
        <v>325.09999999999991</v>
      </c>
      <c r="C34" s="30">
        <v>10.487096774193546</v>
      </c>
      <c r="D34" s="35">
        <v>1.7741935483870968</v>
      </c>
      <c r="E34" s="31">
        <v>0.45161290322580644</v>
      </c>
      <c r="F34" s="31">
        <v>0.22580645161290322</v>
      </c>
      <c r="G34" s="31">
        <v>0.30188679245283018</v>
      </c>
      <c r="H34" s="31">
        <v>0.13962264150943396</v>
      </c>
      <c r="I34" s="32">
        <v>9458.75</v>
      </c>
      <c r="J34" s="32">
        <v>-8421.6216216216217</v>
      </c>
      <c r="K34" s="31">
        <v>3.2258064516129031E-2</v>
      </c>
      <c r="L34" s="31">
        <v>0.38867924528301889</v>
      </c>
      <c r="M34" s="31">
        <v>0.13584905660377358</v>
      </c>
      <c r="N34" s="31">
        <v>0.5145631067961165</v>
      </c>
      <c r="O34" s="31">
        <v>0.52777777777777779</v>
      </c>
      <c r="P34" s="31">
        <v>0.45</v>
      </c>
    </row>
    <row r="35" spans="1:16" x14ac:dyDescent="0.4">
      <c r="A35" s="33">
        <v>32</v>
      </c>
      <c r="B35" s="30">
        <v>329.7999999999999</v>
      </c>
      <c r="C35" s="30">
        <v>10.306249999999997</v>
      </c>
      <c r="D35" s="35">
        <v>1.78125</v>
      </c>
      <c r="E35" s="31">
        <v>0.4375</v>
      </c>
      <c r="F35" s="31">
        <v>0.21875</v>
      </c>
      <c r="G35" s="31">
        <v>0.30656934306569344</v>
      </c>
      <c r="H35" s="31">
        <v>0.13868613138686131</v>
      </c>
      <c r="I35" s="32">
        <v>9555.9523809523816</v>
      </c>
      <c r="J35" s="32">
        <v>-8515.78947368421</v>
      </c>
      <c r="K35" s="31">
        <v>3.125E-2</v>
      </c>
      <c r="L35" s="31">
        <v>0.3978102189781022</v>
      </c>
      <c r="M35" s="31">
        <v>0.13503649635036497</v>
      </c>
      <c r="N35" s="31">
        <v>0.52293577981651373</v>
      </c>
      <c r="O35" s="31">
        <v>0.51351351351351349</v>
      </c>
      <c r="P35" s="31">
        <v>0.4642857142857143</v>
      </c>
    </row>
    <row r="36" spans="1:16" x14ac:dyDescent="0.4">
      <c r="A36" s="33">
        <v>33</v>
      </c>
      <c r="B36" s="30">
        <v>323.7999999999999</v>
      </c>
      <c r="C36" s="30">
        <v>9.8121212121212089</v>
      </c>
      <c r="D36" s="35">
        <v>1.7878787878787878</v>
      </c>
      <c r="E36" s="31">
        <v>0.42424242424242425</v>
      </c>
      <c r="F36" s="31">
        <v>0.21212121212121213</v>
      </c>
      <c r="G36" s="31">
        <v>0.30175438596491228</v>
      </c>
      <c r="H36" s="31">
        <v>0.14736842105263157</v>
      </c>
      <c r="I36" s="32">
        <v>9612.790697674418</v>
      </c>
      <c r="J36" s="32">
        <v>-8104.7619047619046</v>
      </c>
      <c r="K36" s="31">
        <v>3.0303030303030304E-2</v>
      </c>
      <c r="L36" s="31">
        <v>0.40350877192982454</v>
      </c>
      <c r="M36" s="31">
        <v>0.14035087719298245</v>
      </c>
      <c r="N36" s="31">
        <v>0.5130434782608696</v>
      </c>
      <c r="O36" s="31">
        <v>0.47499999999999998</v>
      </c>
      <c r="P36" s="31">
        <v>0.46511627906976744</v>
      </c>
    </row>
    <row r="37" spans="1:16" x14ac:dyDescent="0.4">
      <c r="A37" s="33">
        <v>34</v>
      </c>
      <c r="B37" s="30">
        <v>290.69999999999987</v>
      </c>
      <c r="C37" s="30">
        <v>8.5499999999999972</v>
      </c>
      <c r="D37" s="35">
        <v>1.8235294117647058</v>
      </c>
      <c r="E37" s="31">
        <v>0.41176470588235292</v>
      </c>
      <c r="F37" s="31">
        <v>0.23529411764705882</v>
      </c>
      <c r="G37" s="31">
        <v>0.30303030303030304</v>
      </c>
      <c r="H37" s="31">
        <v>0.14814814814814814</v>
      </c>
      <c r="I37" s="32">
        <v>9450</v>
      </c>
      <c r="J37" s="32">
        <v>-8000</v>
      </c>
      <c r="K37" s="31">
        <v>2.9411764705882353E-2</v>
      </c>
      <c r="L37" s="31">
        <v>0.40067340067340068</v>
      </c>
      <c r="M37" s="31">
        <v>0.13804713804713806</v>
      </c>
      <c r="N37" s="31">
        <v>0.52100840336134457</v>
      </c>
      <c r="O37" s="31">
        <v>0.46341463414634149</v>
      </c>
      <c r="P37" s="31">
        <v>0.46666666666666667</v>
      </c>
    </row>
    <row r="38" spans="1:16" x14ac:dyDescent="0.4">
      <c r="A38" s="33">
        <v>35</v>
      </c>
      <c r="B38" s="30">
        <v>293.49999999999989</v>
      </c>
      <c r="C38" s="30">
        <v>8.3857142857142826</v>
      </c>
      <c r="D38" s="35">
        <v>1.8285714285714285</v>
      </c>
      <c r="E38" s="31">
        <v>0.4</v>
      </c>
      <c r="F38" s="31">
        <v>0.22857142857142856</v>
      </c>
      <c r="G38" s="31">
        <v>0.29870129870129869</v>
      </c>
      <c r="H38" s="31">
        <v>0.14935064935064934</v>
      </c>
      <c r="I38" s="32">
        <v>9570.652173913044</v>
      </c>
      <c r="J38" s="32">
        <v>-7976.086956521739</v>
      </c>
      <c r="K38" s="31">
        <v>2.8571428571428571E-2</v>
      </c>
      <c r="L38" s="31">
        <v>0.39610389610389612</v>
      </c>
      <c r="M38" s="31">
        <v>0.13636363636363635</v>
      </c>
      <c r="N38" s="31">
        <v>0.51639344262295084</v>
      </c>
      <c r="O38" s="31">
        <v>0.47619047619047616</v>
      </c>
      <c r="P38" s="31">
        <v>0.45652173913043476</v>
      </c>
    </row>
    <row r="39" spans="1:16" x14ac:dyDescent="0.4">
      <c r="A39" s="33">
        <v>36</v>
      </c>
      <c r="B39" s="30">
        <v>236.69999999999987</v>
      </c>
      <c r="C39" s="30">
        <v>6.5749999999999966</v>
      </c>
      <c r="D39" s="35">
        <v>1.8611111111111112</v>
      </c>
      <c r="E39" s="31">
        <v>0.3888888888888889</v>
      </c>
      <c r="F39" s="31">
        <v>0.25</v>
      </c>
      <c r="G39" s="31">
        <v>0.29581993569131831</v>
      </c>
      <c r="H39" s="31">
        <v>0.15755627009646303</v>
      </c>
      <c r="I39" s="32">
        <v>9570.652173913044</v>
      </c>
      <c r="J39" s="32">
        <v>-8157.1428571428569</v>
      </c>
      <c r="K39" s="31">
        <v>5.5555555555555552E-2</v>
      </c>
      <c r="L39" s="31">
        <v>0.39549839228295819</v>
      </c>
      <c r="M39" s="31">
        <v>0.13504823151125403</v>
      </c>
      <c r="N39" s="31">
        <v>0.51219512195121952</v>
      </c>
      <c r="O39" s="31">
        <v>0.47619047619047616</v>
      </c>
      <c r="P39" s="31">
        <v>0.45652173913043476</v>
      </c>
    </row>
    <row r="40" spans="1:16" x14ac:dyDescent="0.4">
      <c r="A40" s="33">
        <v>37</v>
      </c>
      <c r="B40" s="30">
        <v>280.2999999999999</v>
      </c>
      <c r="C40" s="30">
        <v>7.5756756756756731</v>
      </c>
      <c r="D40" s="35">
        <v>1.8378378378378379</v>
      </c>
      <c r="E40" s="31">
        <v>0.40540540540540543</v>
      </c>
      <c r="F40" s="31">
        <v>0.24324324324324326</v>
      </c>
      <c r="G40" s="31">
        <v>0.29375000000000001</v>
      </c>
      <c r="H40" s="31">
        <v>0.15625</v>
      </c>
      <c r="I40" s="32">
        <v>9762.7659574468089</v>
      </c>
      <c r="J40" s="32">
        <v>-8046</v>
      </c>
      <c r="K40" s="31">
        <v>5.4054054054054057E-2</v>
      </c>
      <c r="L40" s="31">
        <v>0.39374999999999999</v>
      </c>
      <c r="M40" s="31">
        <v>0.13437499999999999</v>
      </c>
      <c r="N40" s="31">
        <v>0.51587301587301593</v>
      </c>
      <c r="O40" s="31">
        <v>0.46511627906976744</v>
      </c>
      <c r="P40" s="31">
        <v>0.45744680851063829</v>
      </c>
    </row>
    <row r="41" spans="1:16" x14ac:dyDescent="0.4">
      <c r="A41" s="33">
        <v>38</v>
      </c>
      <c r="B41" s="30">
        <v>272.69999999999987</v>
      </c>
      <c r="C41" s="30">
        <v>7.1763157894736809</v>
      </c>
      <c r="D41" s="35">
        <v>1.8421052631578947</v>
      </c>
      <c r="E41" s="31">
        <v>0.39473684210526316</v>
      </c>
      <c r="F41" s="31">
        <v>0.23684210526315788</v>
      </c>
      <c r="G41" s="31">
        <v>0.29090909090909089</v>
      </c>
      <c r="H41" s="31">
        <v>0.15757575757575756</v>
      </c>
      <c r="I41" s="32">
        <v>9663.5416666666661</v>
      </c>
      <c r="J41" s="32">
        <v>-7886.5384615384619</v>
      </c>
      <c r="K41" s="31">
        <v>5.2631578947368418E-2</v>
      </c>
      <c r="L41" s="31">
        <v>0.39090909090909093</v>
      </c>
      <c r="M41" s="31">
        <v>0.13636363636363635</v>
      </c>
      <c r="N41" s="31">
        <v>0.51162790697674421</v>
      </c>
      <c r="O41" s="31">
        <v>0.46666666666666667</v>
      </c>
      <c r="P41" s="31">
        <v>0.44791666666666669</v>
      </c>
    </row>
    <row r="42" spans="1:16" x14ac:dyDescent="0.4">
      <c r="A42" s="33">
        <v>39</v>
      </c>
      <c r="B42" s="30">
        <v>401.99999999999989</v>
      </c>
      <c r="C42" s="30">
        <v>10.307692307692305</v>
      </c>
      <c r="D42" s="35">
        <v>1.8205128205128205</v>
      </c>
      <c r="E42" s="31">
        <v>0.41025641025641024</v>
      </c>
      <c r="F42" s="31">
        <v>0.23076923076923078</v>
      </c>
      <c r="G42" s="31">
        <v>0.29850746268656714</v>
      </c>
      <c r="H42" s="31">
        <v>0.15522388059701492</v>
      </c>
      <c r="I42" s="32">
        <v>10330</v>
      </c>
      <c r="J42" s="32">
        <v>-7886.5384615384619</v>
      </c>
      <c r="K42" s="31">
        <v>5.128205128205128E-2</v>
      </c>
      <c r="L42" s="31">
        <v>0.39402985074626867</v>
      </c>
      <c r="M42" s="31">
        <v>0.13432835820895522</v>
      </c>
      <c r="N42" s="31">
        <v>0.52272727272727271</v>
      </c>
      <c r="O42" s="31">
        <v>0.46666666666666667</v>
      </c>
      <c r="P42" s="31">
        <v>0.44</v>
      </c>
    </row>
    <row r="43" spans="1:16" x14ac:dyDescent="0.4">
      <c r="A43" s="33">
        <v>40</v>
      </c>
      <c r="B43" s="30">
        <v>394.39999999999986</v>
      </c>
      <c r="C43" s="30">
        <v>9.8599999999999959</v>
      </c>
      <c r="D43" s="35">
        <v>1.825</v>
      </c>
      <c r="E43" s="31">
        <v>0.4</v>
      </c>
      <c r="F43" s="31">
        <v>0.22500000000000001</v>
      </c>
      <c r="G43" s="31">
        <v>0.2947976878612717</v>
      </c>
      <c r="H43" s="31">
        <v>0.15895953757225434</v>
      </c>
      <c r="I43" s="32">
        <v>10296.078431372549</v>
      </c>
      <c r="J43" s="32">
        <v>-7825.454545454545</v>
      </c>
      <c r="K43" s="31">
        <v>0.05</v>
      </c>
      <c r="L43" s="31">
        <v>0.40173410404624277</v>
      </c>
      <c r="M43" s="31">
        <v>0.13294797687861271</v>
      </c>
      <c r="N43" s="31">
        <v>0.51079136690647486</v>
      </c>
      <c r="O43" s="31">
        <v>0.45652173913043476</v>
      </c>
      <c r="P43" s="31">
        <v>0.43137254901960786</v>
      </c>
    </row>
    <row r="44" spans="1:16" x14ac:dyDescent="0.4">
      <c r="A44" s="33">
        <v>41</v>
      </c>
      <c r="B44" s="30">
        <v>359.09999999999985</v>
      </c>
      <c r="C44" s="30">
        <v>8.7585365853658494</v>
      </c>
      <c r="D44" s="35">
        <v>1.8536585365853659</v>
      </c>
      <c r="E44" s="31">
        <v>0.3902439024390244</v>
      </c>
      <c r="F44" s="31">
        <v>0.24390243902439024</v>
      </c>
      <c r="G44" s="31">
        <v>0.29971988795518206</v>
      </c>
      <c r="H44" s="31">
        <v>0.15966386554621848</v>
      </c>
      <c r="I44" s="32">
        <v>9984.1121495327097</v>
      </c>
      <c r="J44" s="32">
        <v>-7838.5964912280706</v>
      </c>
      <c r="K44" s="31">
        <v>4.878048780487805E-2</v>
      </c>
      <c r="L44" s="31">
        <v>0.39775910364145656</v>
      </c>
      <c r="M44" s="31">
        <v>0.13445378151260504</v>
      </c>
      <c r="N44" s="31">
        <v>0.52112676056338025</v>
      </c>
      <c r="O44" s="31">
        <v>0.45833333333333331</v>
      </c>
      <c r="P44" s="31">
        <v>0.41121495327102803</v>
      </c>
    </row>
    <row r="45" spans="1:16" x14ac:dyDescent="0.4">
      <c r="A45" s="33">
        <v>42</v>
      </c>
      <c r="B45" s="30">
        <v>360.29999999999984</v>
      </c>
      <c r="C45" s="30">
        <v>8.5785714285714256</v>
      </c>
      <c r="D45" s="35">
        <v>1.8571428571428572</v>
      </c>
      <c r="E45" s="31">
        <v>0.38095238095238093</v>
      </c>
      <c r="F45" s="31">
        <v>0.23809523809523808</v>
      </c>
      <c r="G45" s="31">
        <v>0.29972752043596729</v>
      </c>
      <c r="H45" s="31">
        <v>0.15803814713896458</v>
      </c>
      <c r="I45" s="32">
        <v>9771.818181818182</v>
      </c>
      <c r="J45" s="32">
        <v>-7748.2758620689656</v>
      </c>
      <c r="K45" s="31">
        <v>4.7619047619047616E-2</v>
      </c>
      <c r="L45" s="31">
        <v>0.39509536784741145</v>
      </c>
      <c r="M45" s="31">
        <v>0.14168937329700274</v>
      </c>
      <c r="N45" s="31">
        <v>0.51724137931034486</v>
      </c>
      <c r="O45" s="31">
        <v>0.46153846153846156</v>
      </c>
      <c r="P45" s="31">
        <v>0.41818181818181815</v>
      </c>
    </row>
    <row r="46" spans="1:16" x14ac:dyDescent="0.4">
      <c r="A46" s="33">
        <v>43</v>
      </c>
      <c r="B46" s="30">
        <v>322.49999999999983</v>
      </c>
      <c r="C46" s="30">
        <v>7.4999999999999964</v>
      </c>
      <c r="D46" s="35">
        <v>1.8837209302325582</v>
      </c>
      <c r="E46" s="31">
        <v>0.37209302325581395</v>
      </c>
      <c r="F46" s="31">
        <v>0.2558139534883721</v>
      </c>
      <c r="G46" s="31">
        <v>0.29521276595744683</v>
      </c>
      <c r="H46" s="31">
        <v>0.15691489361702127</v>
      </c>
      <c r="I46" s="32">
        <v>9727.0270270270266</v>
      </c>
      <c r="J46" s="32">
        <v>-7752.5423728813557</v>
      </c>
      <c r="K46" s="31">
        <v>4.6511627906976744E-2</v>
      </c>
      <c r="L46" s="31">
        <v>0.39893617021276595</v>
      </c>
      <c r="M46" s="31">
        <v>0.14095744680851063</v>
      </c>
      <c r="N46" s="31">
        <v>0.50666666666666671</v>
      </c>
      <c r="O46" s="31">
        <v>0.45283018867924529</v>
      </c>
      <c r="P46" s="31">
        <v>0.4144144144144144</v>
      </c>
    </row>
    <row r="47" spans="1:16" x14ac:dyDescent="0.4">
      <c r="A47" s="33">
        <v>44</v>
      </c>
      <c r="B47" s="30">
        <v>269.79999999999984</v>
      </c>
      <c r="C47" s="30">
        <v>6.1318181818181783</v>
      </c>
      <c r="D47" s="35">
        <v>1.9090909090909092</v>
      </c>
      <c r="E47" s="31">
        <v>0.36363636363636365</v>
      </c>
      <c r="F47" s="31">
        <v>0.27272727272727271</v>
      </c>
      <c r="G47" s="31">
        <v>0.29090909090909089</v>
      </c>
      <c r="H47" s="31">
        <v>0.15844155844155844</v>
      </c>
      <c r="I47" s="32">
        <v>9691.9642857142862</v>
      </c>
      <c r="J47" s="32">
        <v>-7821.311475409836</v>
      </c>
      <c r="K47" s="31">
        <v>4.5454545454545456E-2</v>
      </c>
      <c r="L47" s="31">
        <v>0.40259740259740262</v>
      </c>
      <c r="M47" s="31">
        <v>0.14285714285714285</v>
      </c>
      <c r="N47" s="31">
        <v>0.49032258064516127</v>
      </c>
      <c r="O47" s="31">
        <v>0.45454545454545453</v>
      </c>
      <c r="P47" s="31">
        <v>0.4107142857142857</v>
      </c>
    </row>
    <row r="48" spans="1:16" x14ac:dyDescent="0.4">
      <c r="A48" s="33">
        <v>45</v>
      </c>
      <c r="B48" s="30">
        <v>296.19999999999982</v>
      </c>
      <c r="C48" s="30">
        <v>6.5822222222222182</v>
      </c>
      <c r="D48" s="35">
        <v>1.8888888888888888</v>
      </c>
      <c r="E48" s="31">
        <v>0.37777777777777777</v>
      </c>
      <c r="F48" s="31">
        <v>0.26666666666666666</v>
      </c>
      <c r="G48" s="31">
        <v>0.29336734693877553</v>
      </c>
      <c r="H48" s="31">
        <v>0.16326530612244897</v>
      </c>
      <c r="I48" s="32">
        <v>9636.5217391304341</v>
      </c>
      <c r="J48" s="32">
        <v>-7662.5</v>
      </c>
      <c r="K48" s="31">
        <v>4.4444444444444446E-2</v>
      </c>
      <c r="L48" s="31">
        <v>0.40561224489795916</v>
      </c>
      <c r="M48" s="31">
        <v>0.14030612244897958</v>
      </c>
      <c r="N48" s="31">
        <v>0.49056603773584906</v>
      </c>
      <c r="O48" s="31">
        <v>0.45454545454545453</v>
      </c>
      <c r="P48" s="31">
        <v>0.41739130434782606</v>
      </c>
    </row>
    <row r="49" spans="1:16" x14ac:dyDescent="0.4">
      <c r="A49" s="33">
        <v>46</v>
      </c>
      <c r="B49" s="30">
        <v>308.19999999999982</v>
      </c>
      <c r="C49" s="30">
        <v>6.6999999999999957</v>
      </c>
      <c r="D49" s="35">
        <v>1.8913043478260869</v>
      </c>
      <c r="E49" s="31">
        <v>0.36956521739130432</v>
      </c>
      <c r="F49" s="31">
        <v>0.2608695652173913</v>
      </c>
      <c r="G49" s="31">
        <v>0.29177057356608477</v>
      </c>
      <c r="H49" s="31">
        <v>0.16209476309226933</v>
      </c>
      <c r="I49" s="32">
        <v>9813.6752136752129</v>
      </c>
      <c r="J49" s="32">
        <v>-7667.6923076923076</v>
      </c>
      <c r="K49" s="31">
        <v>4.3478260869565216E-2</v>
      </c>
      <c r="L49" s="31">
        <v>0.40648379052369077</v>
      </c>
      <c r="M49" s="31">
        <v>0.13715710723192021</v>
      </c>
      <c r="N49" s="31">
        <v>0.48466257668711654</v>
      </c>
      <c r="O49" s="31">
        <v>0.45454545454545453</v>
      </c>
      <c r="P49" s="31">
        <v>0.41025641025641024</v>
      </c>
    </row>
    <row r="50" spans="1:16" x14ac:dyDescent="0.4">
      <c r="A50" s="33">
        <v>47</v>
      </c>
      <c r="B50" s="30">
        <v>337.89999999999981</v>
      </c>
      <c r="C50" s="30">
        <v>7.1893617021276555</v>
      </c>
      <c r="D50" s="35">
        <v>1.8723404255319149</v>
      </c>
      <c r="E50" s="31">
        <v>0.38297872340425532</v>
      </c>
      <c r="F50" s="31">
        <v>0.25531914893617019</v>
      </c>
      <c r="G50" s="31">
        <v>0.29411764705882354</v>
      </c>
      <c r="H50" s="31">
        <v>0.16176470588235295</v>
      </c>
      <c r="I50" s="32">
        <v>9765</v>
      </c>
      <c r="J50" s="32">
        <v>-7672.727272727273</v>
      </c>
      <c r="K50" s="31">
        <v>4.2553191489361701E-2</v>
      </c>
      <c r="L50" s="31">
        <v>0.40686274509803921</v>
      </c>
      <c r="M50" s="31">
        <v>0.13725490196078433</v>
      </c>
      <c r="N50" s="31">
        <v>0.48795180722891568</v>
      </c>
      <c r="O50" s="31">
        <v>0.44642857142857145</v>
      </c>
      <c r="P50" s="31">
        <v>0.4</v>
      </c>
    </row>
    <row r="51" spans="1:16" x14ac:dyDescent="0.4">
      <c r="A51" s="33">
        <v>48</v>
      </c>
      <c r="B51" s="30">
        <v>365.49999999999983</v>
      </c>
      <c r="C51" s="30">
        <v>7.6145833333333295</v>
      </c>
      <c r="D51" s="35">
        <v>1.8541666666666667</v>
      </c>
      <c r="E51" s="31">
        <v>0.39583333333333331</v>
      </c>
      <c r="F51" s="31">
        <v>0.25</v>
      </c>
      <c r="G51" s="31">
        <v>0.29397590361445786</v>
      </c>
      <c r="H51" s="31">
        <v>0.15903614457831325</v>
      </c>
      <c r="I51" s="32">
        <v>9798.3606557377043</v>
      </c>
      <c r="J51" s="32">
        <v>-7672.727272727273</v>
      </c>
      <c r="K51" s="31">
        <v>4.1666666666666664E-2</v>
      </c>
      <c r="L51" s="31">
        <v>0.40722891566265063</v>
      </c>
      <c r="M51" s="31">
        <v>0.14216867469879518</v>
      </c>
      <c r="N51" s="31">
        <v>0.48520710059171596</v>
      </c>
      <c r="O51" s="31">
        <v>0.44067796610169491</v>
      </c>
      <c r="P51" s="31">
        <v>0.39344262295081966</v>
      </c>
    </row>
    <row r="52" spans="1:16" x14ac:dyDescent="0.4">
      <c r="A52" s="33">
        <v>49</v>
      </c>
      <c r="B52" s="30">
        <v>383.19999999999982</v>
      </c>
      <c r="C52" s="30">
        <v>7.8204081632653022</v>
      </c>
      <c r="D52" s="35">
        <v>1.8571428571428572</v>
      </c>
      <c r="E52" s="31">
        <v>0.38775510204081631</v>
      </c>
      <c r="F52" s="31">
        <v>0.24489795918367346</v>
      </c>
      <c r="G52" s="31">
        <v>0.29550827423167847</v>
      </c>
      <c r="H52" s="31">
        <v>0.15839243498817968</v>
      </c>
      <c r="I52" s="32">
        <v>9835.2000000000007</v>
      </c>
      <c r="J52" s="32">
        <v>-7601.4925373134329</v>
      </c>
      <c r="K52" s="31">
        <v>4.0816326530612242E-2</v>
      </c>
      <c r="L52" s="31">
        <v>0.40661938534278957</v>
      </c>
      <c r="M52" s="31">
        <v>0.14657210401891252</v>
      </c>
      <c r="N52" s="31">
        <v>0.48837209302325579</v>
      </c>
      <c r="O52" s="31">
        <v>0.43548387096774194</v>
      </c>
      <c r="P52" s="31">
        <v>0.4</v>
      </c>
    </row>
    <row r="53" spans="1:16" x14ac:dyDescent="0.4">
      <c r="A53" s="33">
        <v>50</v>
      </c>
      <c r="B53" s="30">
        <v>430.69999999999982</v>
      </c>
      <c r="C53" s="30">
        <v>8.6139999999999972</v>
      </c>
      <c r="D53" s="35">
        <v>1.84</v>
      </c>
      <c r="E53" s="31">
        <v>0.4</v>
      </c>
      <c r="F53" s="31">
        <v>0.24</v>
      </c>
      <c r="G53" s="31">
        <v>0.29603729603729606</v>
      </c>
      <c r="H53" s="31">
        <v>0.15617715617715619</v>
      </c>
      <c r="I53" s="32">
        <v>9948.031496062993</v>
      </c>
      <c r="J53" s="32">
        <v>-7601.4925373134329</v>
      </c>
      <c r="K53" s="31">
        <v>0.04</v>
      </c>
      <c r="L53" s="31">
        <v>0.40559440559440557</v>
      </c>
      <c r="M53" s="31">
        <v>0.14685314685314685</v>
      </c>
      <c r="N53" s="31">
        <v>0.4942528735632184</v>
      </c>
      <c r="O53" s="31">
        <v>0.42857142857142855</v>
      </c>
      <c r="P53" s="31">
        <v>0.39370078740157483</v>
      </c>
    </row>
    <row r="54" spans="1:16" x14ac:dyDescent="0.4">
      <c r="A54" s="33">
        <v>51</v>
      </c>
      <c r="B54" s="30">
        <v>489.69999999999982</v>
      </c>
      <c r="C54" s="30">
        <v>9.6019607843137216</v>
      </c>
      <c r="D54" s="35">
        <v>1.8235294117647058</v>
      </c>
      <c r="E54" s="31">
        <v>0.41176470588235292</v>
      </c>
      <c r="F54" s="31">
        <v>0.23529411764705882</v>
      </c>
      <c r="G54" s="31">
        <v>0.29953917050691242</v>
      </c>
      <c r="H54" s="31">
        <v>0.15437788018433179</v>
      </c>
      <c r="I54" s="32">
        <v>9990</v>
      </c>
      <c r="J54" s="32">
        <v>-7601.4925373134329</v>
      </c>
      <c r="K54" s="31">
        <v>3.9215686274509803E-2</v>
      </c>
      <c r="L54" s="31">
        <v>0.40783410138248849</v>
      </c>
      <c r="M54" s="31">
        <v>0.14516129032258066</v>
      </c>
      <c r="N54" s="31">
        <v>0.50282485875706218</v>
      </c>
      <c r="O54" s="31">
        <v>0.42857142857142855</v>
      </c>
      <c r="P54" s="31">
        <v>0.4</v>
      </c>
    </row>
    <row r="55" spans="1:16" x14ac:dyDescent="0.4">
      <c r="A55" s="33">
        <v>52</v>
      </c>
      <c r="B55" s="30">
        <v>548.5999999999998</v>
      </c>
      <c r="C55" s="30">
        <v>10.549999999999995</v>
      </c>
      <c r="D55" s="35">
        <v>1.8076923076923077</v>
      </c>
      <c r="E55" s="31">
        <v>0.42307692307692307</v>
      </c>
      <c r="F55" s="31">
        <v>0.23076923076923078</v>
      </c>
      <c r="G55" s="31">
        <v>0.30158730158730157</v>
      </c>
      <c r="H55" s="31">
        <v>0.15192743764172337</v>
      </c>
      <c r="I55" s="32">
        <v>10065.413533834586</v>
      </c>
      <c r="J55" s="32">
        <v>-7601.4925373134329</v>
      </c>
      <c r="K55" s="31">
        <v>3.8461538461538464E-2</v>
      </c>
      <c r="L55" s="31">
        <v>0.40362811791383219</v>
      </c>
      <c r="M55" s="31">
        <v>0.14512471655328799</v>
      </c>
      <c r="N55" s="31">
        <v>0.5056179775280899</v>
      </c>
      <c r="O55" s="31">
        <v>0.4375</v>
      </c>
      <c r="P55" s="31">
        <v>0.39097744360902253</v>
      </c>
    </row>
    <row r="56" spans="1:16" x14ac:dyDescent="0.4">
      <c r="A56" s="33">
        <v>53</v>
      </c>
      <c r="B56" s="30">
        <v>480.39999999999981</v>
      </c>
      <c r="C56" s="30">
        <v>9.0641509433962231</v>
      </c>
      <c r="D56" s="35">
        <v>1.8301886792452831</v>
      </c>
      <c r="E56" s="31">
        <v>0.41509433962264153</v>
      </c>
      <c r="F56" s="31">
        <v>0.24528301886792453</v>
      </c>
      <c r="G56" s="31">
        <v>0.2984409799554566</v>
      </c>
      <c r="H56" s="31">
        <v>0.1492204899777283</v>
      </c>
      <c r="I56" s="32">
        <v>10029.850746268658</v>
      </c>
      <c r="J56" s="32">
        <v>-7601.4925373134329</v>
      </c>
      <c r="K56" s="31">
        <v>5.6603773584905662E-2</v>
      </c>
      <c r="L56" s="31">
        <v>0.40311804008908686</v>
      </c>
      <c r="M56" s="31">
        <v>0.14253897550111358</v>
      </c>
      <c r="N56" s="31">
        <v>0.50276243093922657</v>
      </c>
      <c r="O56" s="31">
        <v>0.4375</v>
      </c>
      <c r="P56" s="31">
        <v>0.39552238805970147</v>
      </c>
    </row>
    <row r="57" spans="1:16" x14ac:dyDescent="0.4">
      <c r="A57" s="33">
        <v>54</v>
      </c>
      <c r="B57" s="30">
        <v>454.39999999999981</v>
      </c>
      <c r="C57" s="30">
        <v>8.414814814814811</v>
      </c>
      <c r="D57" s="35">
        <v>1.8518518518518519</v>
      </c>
      <c r="E57" s="31">
        <v>0.40740740740740738</v>
      </c>
      <c r="F57" s="31">
        <v>0.25925925925925924</v>
      </c>
      <c r="G57" s="31">
        <v>0.29890109890109889</v>
      </c>
      <c r="H57" s="31">
        <v>0.14725274725274726</v>
      </c>
      <c r="I57" s="32">
        <v>10000</v>
      </c>
      <c r="J57" s="32">
        <v>-7601.4925373134329</v>
      </c>
      <c r="K57" s="31">
        <v>5.5555555555555552E-2</v>
      </c>
      <c r="L57" s="31">
        <v>0.4</v>
      </c>
      <c r="M57" s="31">
        <v>0.14505494505494507</v>
      </c>
      <c r="N57" s="31">
        <v>0.5</v>
      </c>
      <c r="O57" s="31">
        <v>0.43939393939393939</v>
      </c>
      <c r="P57" s="31">
        <v>0.40441176470588236</v>
      </c>
    </row>
    <row r="58" spans="1:16" x14ac:dyDescent="0.4">
      <c r="A58" s="33">
        <v>55</v>
      </c>
      <c r="B58" s="30">
        <v>541.5999999999998</v>
      </c>
      <c r="C58" s="30">
        <v>9.8472727272727241</v>
      </c>
      <c r="D58" s="35">
        <v>1.8363636363636364</v>
      </c>
      <c r="E58" s="31">
        <v>0.41818181818181815</v>
      </c>
      <c r="F58" s="31">
        <v>0.25454545454545452</v>
      </c>
      <c r="G58" s="31">
        <v>0.30151843817787416</v>
      </c>
      <c r="H58" s="31">
        <v>0.14533622559652928</v>
      </c>
      <c r="I58" s="32">
        <v>10267.625899280576</v>
      </c>
      <c r="J58" s="32">
        <v>-7601.4925373134329</v>
      </c>
      <c r="K58" s="31">
        <v>5.4545454545454543E-2</v>
      </c>
      <c r="L58" s="31">
        <v>0.39479392624728848</v>
      </c>
      <c r="M58" s="31">
        <v>0.14967462039045554</v>
      </c>
      <c r="N58" s="31">
        <v>0.5</v>
      </c>
      <c r="O58" s="31">
        <v>0.43478260869565216</v>
      </c>
      <c r="P58" s="31">
        <v>0.41007194244604317</v>
      </c>
    </row>
    <row r="59" spans="1:16" x14ac:dyDescent="0.4">
      <c r="A59" s="33">
        <v>56</v>
      </c>
      <c r="B59" s="30">
        <v>537.99999999999977</v>
      </c>
      <c r="C59" s="30">
        <v>9.6071428571428523</v>
      </c>
      <c r="D59" s="35">
        <v>1.8392857142857142</v>
      </c>
      <c r="E59" s="31">
        <v>0.4107142857142857</v>
      </c>
      <c r="F59" s="31">
        <v>0.25</v>
      </c>
      <c r="G59" s="31">
        <v>0.30277185501066101</v>
      </c>
      <c r="H59" s="31">
        <v>0.14498933901918976</v>
      </c>
      <c r="I59" s="32">
        <v>10172.535211267606</v>
      </c>
      <c r="J59" s="32">
        <v>-7525</v>
      </c>
      <c r="K59" s="31">
        <v>5.3571428571428568E-2</v>
      </c>
      <c r="L59" s="31">
        <v>0.39658848614072495</v>
      </c>
      <c r="M59" s="31">
        <v>0.14925373134328357</v>
      </c>
      <c r="N59" s="31">
        <v>0.5053763440860215</v>
      </c>
      <c r="O59" s="31">
        <v>0.42857142857142855</v>
      </c>
      <c r="P59" s="31">
        <v>0.42253521126760563</v>
      </c>
    </row>
    <row r="60" spans="1:16" x14ac:dyDescent="0.4">
      <c r="A60" s="33">
        <v>57</v>
      </c>
      <c r="B60" s="30">
        <v>512.79999999999973</v>
      </c>
      <c r="C60" s="30">
        <v>8.9964912280701714</v>
      </c>
      <c r="D60" s="35">
        <v>1.8421052631578947</v>
      </c>
      <c r="E60" s="31">
        <v>0.40350877192982454</v>
      </c>
      <c r="F60" s="31">
        <v>0.24561403508771928</v>
      </c>
      <c r="G60" s="31">
        <v>0.29937629937629939</v>
      </c>
      <c r="H60" s="31">
        <v>0.14345114345114346</v>
      </c>
      <c r="I60" s="32">
        <v>10192.361111111111</v>
      </c>
      <c r="J60" s="32">
        <v>-7589.855072463768</v>
      </c>
      <c r="K60" s="31">
        <v>5.2631578947368418E-2</v>
      </c>
      <c r="L60" s="31">
        <v>0.39293139293139295</v>
      </c>
      <c r="M60" s="31">
        <v>0.1496881496881497</v>
      </c>
      <c r="N60" s="31">
        <v>0.50793650793650791</v>
      </c>
      <c r="O60" s="31">
        <v>0.41666666666666669</v>
      </c>
      <c r="P60" s="31">
        <v>0.41666666666666669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18B8-0C35-4B01-A38F-F6DC136B0FE8}">
  <sheetPr codeName="Sheet12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 x14ac:dyDescent="0.4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 x14ac:dyDescent="0.4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 x14ac:dyDescent="0.4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 x14ac:dyDescent="0.4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 x14ac:dyDescent="0.4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 x14ac:dyDescent="0.4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 x14ac:dyDescent="0.4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  <row r="23" spans="1:16" x14ac:dyDescent="0.4">
      <c r="A23" s="33">
        <v>20</v>
      </c>
      <c r="B23" s="30">
        <v>-122</v>
      </c>
      <c r="C23" s="30">
        <v>-6.1</v>
      </c>
      <c r="D23" s="35">
        <v>2.15</v>
      </c>
      <c r="E23" s="31">
        <v>0.25</v>
      </c>
      <c r="F23" s="31">
        <v>0.4</v>
      </c>
      <c r="G23" s="31">
        <v>0.30538922155688625</v>
      </c>
      <c r="H23" s="31">
        <v>0.1437125748502994</v>
      </c>
      <c r="I23" s="32">
        <v>8088.2352941176468</v>
      </c>
      <c r="J23" s="32">
        <v>-9754.1666666666661</v>
      </c>
      <c r="K23" s="31">
        <v>0.1</v>
      </c>
      <c r="L23" s="31">
        <v>0.19760479041916168</v>
      </c>
      <c r="M23" s="31">
        <v>0.20359281437125748</v>
      </c>
      <c r="N23" s="31">
        <v>0.63636363636363635</v>
      </c>
      <c r="O23" s="31">
        <v>0.35294117647058826</v>
      </c>
      <c r="P23" s="31">
        <v>0.39215686274509803</v>
      </c>
    </row>
    <row r="24" spans="1:16" x14ac:dyDescent="0.4">
      <c r="A24" s="33">
        <v>21</v>
      </c>
      <c r="B24" s="30">
        <v>-91.8</v>
      </c>
      <c r="C24" s="30">
        <v>-4.371428571428571</v>
      </c>
      <c r="D24" s="35">
        <v>2.0952380952380953</v>
      </c>
      <c r="E24" s="31">
        <v>0.2857142857142857</v>
      </c>
      <c r="F24" s="31">
        <v>0.38095238095238093</v>
      </c>
      <c r="G24" s="31">
        <v>0.3089887640449438</v>
      </c>
      <c r="H24" s="31">
        <v>0.1404494382022472</v>
      </c>
      <c r="I24" s="32">
        <v>8212.7272727272721</v>
      </c>
      <c r="J24" s="32">
        <v>-10084</v>
      </c>
      <c r="K24" s="31">
        <v>9.5238095238095233E-2</v>
      </c>
      <c r="L24" s="31">
        <v>0.19662921348314608</v>
      </c>
      <c r="M24" s="31">
        <v>0.19662921348314608</v>
      </c>
      <c r="N24" s="31">
        <v>0.62857142857142856</v>
      </c>
      <c r="O24" s="31">
        <v>0.37142857142857144</v>
      </c>
      <c r="P24" s="31">
        <v>0.38181818181818183</v>
      </c>
    </row>
    <row r="25" spans="1:16" x14ac:dyDescent="0.4">
      <c r="A25" s="33">
        <v>22</v>
      </c>
      <c r="B25" s="30">
        <v>-125.6</v>
      </c>
      <c r="C25" s="30">
        <v>-5.709090909090909</v>
      </c>
      <c r="D25" s="35">
        <v>2.1363636363636362</v>
      </c>
      <c r="E25" s="31">
        <v>0.27272727272727271</v>
      </c>
      <c r="F25" s="31">
        <v>0.40909090909090912</v>
      </c>
      <c r="G25" s="31">
        <v>0.30851063829787234</v>
      </c>
      <c r="H25" s="31">
        <v>0.13829787234042554</v>
      </c>
      <c r="I25" s="32">
        <v>8127.5862068965516</v>
      </c>
      <c r="J25" s="32">
        <v>-10003.846153846154</v>
      </c>
      <c r="K25" s="31">
        <v>9.0909090909090912E-2</v>
      </c>
      <c r="L25" s="31">
        <v>0.19680851063829788</v>
      </c>
      <c r="M25" s="31">
        <v>0.19148936170212766</v>
      </c>
      <c r="N25" s="31">
        <v>0.6216216216216216</v>
      </c>
      <c r="O25" s="31">
        <v>0.3888888888888889</v>
      </c>
      <c r="P25" s="31">
        <v>0.41379310344827586</v>
      </c>
    </row>
    <row r="26" spans="1:16" x14ac:dyDescent="0.4">
      <c r="A26" s="33">
        <v>23</v>
      </c>
      <c r="B26" s="30">
        <v>-57.199999999999989</v>
      </c>
      <c r="C26" s="30">
        <v>-2.4869565217391298</v>
      </c>
      <c r="D26" s="35">
        <v>2.0869565217391304</v>
      </c>
      <c r="E26" s="31">
        <v>0.30434782608695654</v>
      </c>
      <c r="F26" s="31">
        <v>0.39130434782608697</v>
      </c>
      <c r="G26" s="31">
        <v>0.31979695431472083</v>
      </c>
      <c r="H26" s="31">
        <v>0.13705583756345177</v>
      </c>
      <c r="I26" s="32">
        <v>8174.6031746031749</v>
      </c>
      <c r="J26" s="32">
        <v>-9825.9259259259252</v>
      </c>
      <c r="K26" s="31">
        <v>8.6956521739130432E-2</v>
      </c>
      <c r="L26" s="31">
        <v>0.20304568527918782</v>
      </c>
      <c r="M26" s="31">
        <v>0.20304568527918782</v>
      </c>
      <c r="N26" s="31">
        <v>0.625</v>
      </c>
      <c r="O26" s="31">
        <v>0.42499999999999999</v>
      </c>
      <c r="P26" s="31">
        <v>0.3968253968253968</v>
      </c>
    </row>
    <row r="27" spans="1:16" x14ac:dyDescent="0.4">
      <c r="A27" s="33">
        <v>24</v>
      </c>
      <c r="B27" s="30">
        <v>-102.49999999999999</v>
      </c>
      <c r="C27" s="30">
        <v>-4.270833333333333</v>
      </c>
      <c r="D27" s="35">
        <v>2.125</v>
      </c>
      <c r="E27" s="31">
        <v>0.29166666666666669</v>
      </c>
      <c r="F27" s="31">
        <v>0.41666666666666669</v>
      </c>
      <c r="G27" s="31">
        <v>0.3155339805825243</v>
      </c>
      <c r="H27" s="31">
        <v>0.13106796116504854</v>
      </c>
      <c r="I27" s="32">
        <v>8200</v>
      </c>
      <c r="J27" s="32">
        <v>-9825.9259259259252</v>
      </c>
      <c r="K27" s="31">
        <v>8.3333333333333329E-2</v>
      </c>
      <c r="L27" s="31">
        <v>0.1941747572815534</v>
      </c>
      <c r="M27" s="31">
        <v>0.21359223300970873</v>
      </c>
      <c r="N27" s="31">
        <v>0.625</v>
      </c>
      <c r="O27" s="31">
        <v>0.43181818181818182</v>
      </c>
      <c r="P27" s="31">
        <v>0.4</v>
      </c>
    </row>
    <row r="28" spans="1:16" x14ac:dyDescent="0.4">
      <c r="A28" s="33">
        <v>25</v>
      </c>
      <c r="B28" s="30">
        <v>-132.6</v>
      </c>
      <c r="C28" s="30">
        <v>-5.3039999999999994</v>
      </c>
      <c r="D28" s="35">
        <v>2.16</v>
      </c>
      <c r="E28" s="31">
        <v>0.28000000000000003</v>
      </c>
      <c r="F28" s="31">
        <v>0.44</v>
      </c>
      <c r="G28" s="31">
        <v>0.32258064516129031</v>
      </c>
      <c r="H28" s="31">
        <v>0.13824884792626729</v>
      </c>
      <c r="I28" s="32">
        <v>8008.5714285714284</v>
      </c>
      <c r="J28" s="32">
        <v>-9740</v>
      </c>
      <c r="K28" s="31">
        <v>0.08</v>
      </c>
      <c r="L28" s="31">
        <v>0.19354838709677419</v>
      </c>
      <c r="M28" s="31">
        <v>0.22119815668202766</v>
      </c>
      <c r="N28" s="31">
        <v>0.61904761904761907</v>
      </c>
      <c r="O28" s="31">
        <v>0.4375</v>
      </c>
      <c r="P28" s="31">
        <v>0.4</v>
      </c>
    </row>
    <row r="29" spans="1:16" x14ac:dyDescent="0.4">
      <c r="A29" s="33">
        <v>26</v>
      </c>
      <c r="B29" s="30">
        <v>-98.6</v>
      </c>
      <c r="C29" s="30">
        <v>-3.7923076923076922</v>
      </c>
      <c r="D29" s="35">
        <v>2.1153846153846154</v>
      </c>
      <c r="E29" s="31">
        <v>0.30769230769230771</v>
      </c>
      <c r="F29" s="31">
        <v>0.42307692307692307</v>
      </c>
      <c r="G29" s="31">
        <v>0.32314410480349343</v>
      </c>
      <c r="H29" s="31">
        <v>0.13537117903930132</v>
      </c>
      <c r="I29" s="32">
        <v>7975.6756756756758</v>
      </c>
      <c r="J29" s="32">
        <v>-9551.6129032258068</v>
      </c>
      <c r="K29" s="31">
        <v>7.6923076923076927E-2</v>
      </c>
      <c r="L29" s="31">
        <v>0.1965065502183406</v>
      </c>
      <c r="M29" s="31">
        <v>0.22270742358078602</v>
      </c>
      <c r="N29" s="31">
        <v>0.6</v>
      </c>
      <c r="O29" s="31">
        <v>0.47058823529411764</v>
      </c>
      <c r="P29" s="31">
        <v>0.40540540540540543</v>
      </c>
    </row>
    <row r="30" spans="1:16" x14ac:dyDescent="0.4">
      <c r="A30" s="33">
        <v>27</v>
      </c>
      <c r="B30" s="30">
        <v>-130.6</v>
      </c>
      <c r="C30" s="30">
        <v>-4.837037037037037</v>
      </c>
      <c r="D30" s="35">
        <v>2.1481481481481484</v>
      </c>
      <c r="E30" s="31">
        <v>0.29629629629629628</v>
      </c>
      <c r="F30" s="31">
        <v>0.44444444444444442</v>
      </c>
      <c r="G30" s="31">
        <v>0.32500000000000001</v>
      </c>
      <c r="H30" s="31">
        <v>0.14166666666666666</v>
      </c>
      <c r="I30" s="32">
        <v>7756.4102564102568</v>
      </c>
      <c r="J30" s="32">
        <v>-9252.9411764705874</v>
      </c>
      <c r="K30" s="31">
        <v>7.407407407407407E-2</v>
      </c>
      <c r="L30" s="31">
        <v>0.19583333333333333</v>
      </c>
      <c r="M30" s="31">
        <v>0.22500000000000001</v>
      </c>
      <c r="N30" s="31">
        <v>0.61702127659574468</v>
      </c>
      <c r="O30" s="31">
        <v>0.48148148148148145</v>
      </c>
      <c r="P30" s="31">
        <v>0.39743589743589741</v>
      </c>
    </row>
    <row r="31" spans="1:16" x14ac:dyDescent="0.4">
      <c r="A31" s="33">
        <v>28</v>
      </c>
      <c r="B31" s="30">
        <v>-123.39999999999999</v>
      </c>
      <c r="C31" s="30">
        <v>-4.4071428571428566</v>
      </c>
      <c r="D31" s="35">
        <v>2.1428571428571428</v>
      </c>
      <c r="E31" s="31">
        <v>0.2857142857142857</v>
      </c>
      <c r="F31" s="31">
        <v>0.42857142857142855</v>
      </c>
      <c r="G31" s="31">
        <v>0.32510288065843623</v>
      </c>
      <c r="H31" s="31">
        <v>0.13991769547325103</v>
      </c>
      <c r="I31" s="32">
        <v>7724.0506329113923</v>
      </c>
      <c r="J31" s="32">
        <v>-9252.9411764705874</v>
      </c>
      <c r="K31" s="31">
        <v>7.1428571428571425E-2</v>
      </c>
      <c r="L31" s="31">
        <v>0.19753086419753085</v>
      </c>
      <c r="M31" s="31">
        <v>0.22222222222222221</v>
      </c>
      <c r="N31" s="31">
        <v>0.625</v>
      </c>
      <c r="O31" s="31">
        <v>0.48148148148148145</v>
      </c>
      <c r="P31" s="31">
        <v>0.39240506329113922</v>
      </c>
    </row>
    <row r="32" spans="1:16" x14ac:dyDescent="0.4">
      <c r="A32" s="33">
        <v>29</v>
      </c>
      <c r="B32" s="30">
        <v>-107.1</v>
      </c>
      <c r="C32" s="30">
        <v>-3.693103448275862</v>
      </c>
      <c r="D32" s="35">
        <v>2.1379310344827585</v>
      </c>
      <c r="E32" s="31">
        <v>0.27586206896551724</v>
      </c>
      <c r="F32" s="31">
        <v>0.41379310344827586</v>
      </c>
      <c r="G32" s="31">
        <v>0.33333333333333331</v>
      </c>
      <c r="H32" s="31">
        <v>0.1388888888888889</v>
      </c>
      <c r="I32" s="32">
        <v>7615.4761904761908</v>
      </c>
      <c r="J32" s="32">
        <v>-9137.1428571428569</v>
      </c>
      <c r="K32" s="31">
        <v>6.8965517241379309E-2</v>
      </c>
      <c r="L32" s="31">
        <v>0.20238095238095238</v>
      </c>
      <c r="M32" s="31">
        <v>0.22222222222222221</v>
      </c>
      <c r="N32" s="31">
        <v>0.6470588235294118</v>
      </c>
      <c r="O32" s="31">
        <v>0.5</v>
      </c>
      <c r="P32" s="31">
        <v>0.39285714285714285</v>
      </c>
    </row>
    <row r="33" spans="1:16" x14ac:dyDescent="0.4">
      <c r="A33" s="33">
        <v>30</v>
      </c>
      <c r="B33" s="30">
        <v>-137.9</v>
      </c>
      <c r="C33" s="30">
        <v>-4.5966666666666667</v>
      </c>
      <c r="D33" s="35">
        <v>2.1666666666666665</v>
      </c>
      <c r="E33" s="31">
        <v>0.26666666666666666</v>
      </c>
      <c r="F33" s="31">
        <v>0.43333333333333335</v>
      </c>
      <c r="G33" s="31">
        <v>0.3282442748091603</v>
      </c>
      <c r="H33" s="31">
        <v>0.14503816793893129</v>
      </c>
      <c r="I33" s="32">
        <v>7643.0232558139533</v>
      </c>
      <c r="J33" s="32">
        <v>-9031.5789473684217</v>
      </c>
      <c r="K33" s="31">
        <v>6.6666666666666666E-2</v>
      </c>
      <c r="L33" s="31">
        <v>0.20229007633587787</v>
      </c>
      <c r="M33" s="31">
        <v>0.22519083969465647</v>
      </c>
      <c r="N33" s="31">
        <v>0.64150943396226412</v>
      </c>
      <c r="O33" s="31">
        <v>0.49152542372881358</v>
      </c>
      <c r="P33" s="31">
        <v>0.40697674418604651</v>
      </c>
    </row>
    <row r="34" spans="1:16" x14ac:dyDescent="0.4">
      <c r="A34" s="33">
        <v>31</v>
      </c>
      <c r="B34" s="30">
        <v>-167.8</v>
      </c>
      <c r="C34" s="30">
        <v>-5.4129032258064518</v>
      </c>
      <c r="D34" s="35">
        <v>2.161290322580645</v>
      </c>
      <c r="E34" s="31">
        <v>0.25806451612903225</v>
      </c>
      <c r="F34" s="31">
        <v>0.41935483870967744</v>
      </c>
      <c r="G34" s="31">
        <v>0.32209737827715357</v>
      </c>
      <c r="H34" s="31">
        <v>0.14606741573033707</v>
      </c>
      <c r="I34" s="32">
        <v>7643.0232558139533</v>
      </c>
      <c r="J34" s="32">
        <v>-8900</v>
      </c>
      <c r="K34" s="31">
        <v>6.4516129032258063E-2</v>
      </c>
      <c r="L34" s="31">
        <v>0.20599250936329588</v>
      </c>
      <c r="M34" s="31">
        <v>0.2247191011235955</v>
      </c>
      <c r="N34" s="31">
        <v>0.61818181818181817</v>
      </c>
      <c r="O34" s="31">
        <v>0.48333333333333334</v>
      </c>
      <c r="P34" s="31">
        <v>0.40697674418604651</v>
      </c>
    </row>
    <row r="35" spans="1:16" x14ac:dyDescent="0.4">
      <c r="A35" s="33">
        <v>32</v>
      </c>
      <c r="B35" s="30">
        <v>-102.10000000000001</v>
      </c>
      <c r="C35" s="30">
        <v>-3.1906250000000003</v>
      </c>
      <c r="D35" s="35">
        <v>2.125</v>
      </c>
      <c r="E35" s="31">
        <v>0.28125</v>
      </c>
      <c r="F35" s="31">
        <v>0.40625</v>
      </c>
      <c r="G35" s="31">
        <v>0.3273381294964029</v>
      </c>
      <c r="H35" s="31">
        <v>0.14028776978417265</v>
      </c>
      <c r="I35" s="32">
        <v>7505.4945054945056</v>
      </c>
      <c r="J35" s="32">
        <v>-8900</v>
      </c>
      <c r="K35" s="31">
        <v>6.25E-2</v>
      </c>
      <c r="L35" s="31">
        <v>0.20143884892086331</v>
      </c>
      <c r="M35" s="31">
        <v>0.21582733812949639</v>
      </c>
      <c r="N35" s="31">
        <v>0.625</v>
      </c>
      <c r="O35" s="31">
        <v>0.48333333333333334</v>
      </c>
      <c r="P35" s="31">
        <v>0.38461538461538464</v>
      </c>
    </row>
    <row r="36" spans="1:16" x14ac:dyDescent="0.4">
      <c r="A36" s="33">
        <v>33</v>
      </c>
      <c r="B36" s="30">
        <v>-67.800000000000011</v>
      </c>
      <c r="C36" s="30">
        <v>-2.0545454545454547</v>
      </c>
      <c r="D36" s="35">
        <v>2.0909090909090908</v>
      </c>
      <c r="E36" s="31">
        <v>0.30303030303030304</v>
      </c>
      <c r="F36" s="31">
        <v>0.39393939393939392</v>
      </c>
      <c r="G36" s="31">
        <v>0.32525951557093424</v>
      </c>
      <c r="H36" s="31">
        <v>0.1453287197231834</v>
      </c>
      <c r="I36" s="32">
        <v>7631.9148936170213</v>
      </c>
      <c r="J36" s="32">
        <v>-8480.9523809523816</v>
      </c>
      <c r="K36" s="31">
        <v>6.0606060606060608E-2</v>
      </c>
      <c r="L36" s="31">
        <v>0.20069204152249134</v>
      </c>
      <c r="M36" s="31">
        <v>0.2179930795847751</v>
      </c>
      <c r="N36" s="31">
        <v>0.62068965517241381</v>
      </c>
      <c r="O36" s="31">
        <v>0.47619047619047616</v>
      </c>
      <c r="P36" s="31">
        <v>0.38297872340425532</v>
      </c>
    </row>
    <row r="37" spans="1:16" x14ac:dyDescent="0.4">
      <c r="A37" s="33">
        <v>34</v>
      </c>
      <c r="B37" s="30">
        <v>-21.000000000000014</v>
      </c>
      <c r="C37" s="30">
        <v>-0.61764705882352988</v>
      </c>
      <c r="D37" s="35">
        <v>2.0588235294117645</v>
      </c>
      <c r="E37" s="31">
        <v>0.3235294117647059</v>
      </c>
      <c r="F37" s="31">
        <v>0.38235294117647056</v>
      </c>
      <c r="G37" s="31">
        <v>0.32775919732441472</v>
      </c>
      <c r="H37" s="31">
        <v>0.14381270903010032</v>
      </c>
      <c r="I37" s="32">
        <v>7563.2653061224491</v>
      </c>
      <c r="J37" s="32">
        <v>-8351.1627906976737</v>
      </c>
      <c r="K37" s="31">
        <v>5.8823529411764705E-2</v>
      </c>
      <c r="L37" s="31">
        <v>0.20401337792642141</v>
      </c>
      <c r="M37" s="31">
        <v>0.21739130434782608</v>
      </c>
      <c r="N37" s="31">
        <v>0.62295081967213117</v>
      </c>
      <c r="O37" s="31">
        <v>0.47692307692307695</v>
      </c>
      <c r="P37" s="31">
        <v>0.37755102040816324</v>
      </c>
    </row>
    <row r="38" spans="1:16" x14ac:dyDescent="0.4">
      <c r="A38" s="33">
        <v>35</v>
      </c>
      <c r="B38" s="30">
        <v>17.199999999999989</v>
      </c>
      <c r="C38" s="30">
        <v>0.4914285714285711</v>
      </c>
      <c r="D38" s="35">
        <v>2.0285714285714285</v>
      </c>
      <c r="E38" s="31">
        <v>0.34285714285714286</v>
      </c>
      <c r="F38" s="31">
        <v>0.37142857142857144</v>
      </c>
      <c r="G38" s="31">
        <v>0.33116883116883117</v>
      </c>
      <c r="H38" s="31">
        <v>0.1461038961038961</v>
      </c>
      <c r="I38" s="32">
        <v>7600</v>
      </c>
      <c r="J38" s="32">
        <v>-8264.4444444444453</v>
      </c>
      <c r="K38" s="31">
        <v>5.7142857142857141E-2</v>
      </c>
      <c r="L38" s="31">
        <v>0.20454545454545456</v>
      </c>
      <c r="M38" s="31">
        <v>0.21753246753246752</v>
      </c>
      <c r="N38" s="31">
        <v>0.63492063492063489</v>
      </c>
      <c r="O38" s="31">
        <v>0.47761194029850745</v>
      </c>
      <c r="P38" s="31">
        <v>0.38235294117647056</v>
      </c>
    </row>
    <row r="39" spans="1:16" x14ac:dyDescent="0.4">
      <c r="A39" s="33">
        <v>36</v>
      </c>
      <c r="B39" s="30">
        <v>75.699999999999989</v>
      </c>
      <c r="C39" s="30">
        <v>2.1027777777777774</v>
      </c>
      <c r="D39" s="35">
        <v>2</v>
      </c>
      <c r="E39" s="31">
        <v>0.3611111111111111</v>
      </c>
      <c r="F39" s="31">
        <v>0.3611111111111111</v>
      </c>
      <c r="G39" s="31">
        <v>0.33438485804416401</v>
      </c>
      <c r="H39" s="31">
        <v>0.14195583596214512</v>
      </c>
      <c r="I39" s="32">
        <v>7632.0754716981128</v>
      </c>
      <c r="J39" s="32">
        <v>-8264.4444444444453</v>
      </c>
      <c r="K39" s="31">
        <v>5.5555555555555552E-2</v>
      </c>
      <c r="L39" s="31">
        <v>0.20504731861198738</v>
      </c>
      <c r="M39" s="31">
        <v>0.22082018927444794</v>
      </c>
      <c r="N39" s="31">
        <v>0.64615384615384619</v>
      </c>
      <c r="O39" s="31">
        <v>0.48571428571428571</v>
      </c>
      <c r="P39" s="31">
        <v>0.39622641509433965</v>
      </c>
    </row>
    <row r="40" spans="1:16" x14ac:dyDescent="0.4">
      <c r="A40" s="33">
        <v>37</v>
      </c>
      <c r="B40" s="30">
        <v>51.79999999999999</v>
      </c>
      <c r="C40" s="30">
        <v>1.3999999999999997</v>
      </c>
      <c r="D40" s="35">
        <v>2.0270270270270272</v>
      </c>
      <c r="E40" s="31">
        <v>0.35135135135135137</v>
      </c>
      <c r="F40" s="31">
        <v>0.3783783783783784</v>
      </c>
      <c r="G40" s="31">
        <v>0.33333333333333331</v>
      </c>
      <c r="H40" s="31">
        <v>0.1388888888888889</v>
      </c>
      <c r="I40" s="32">
        <v>7587.0370370370374</v>
      </c>
      <c r="J40" s="32">
        <v>-8264.4444444444453</v>
      </c>
      <c r="K40" s="31">
        <v>5.4054054054054057E-2</v>
      </c>
      <c r="L40" s="31">
        <v>0.20370370370370369</v>
      </c>
      <c r="M40" s="31">
        <v>0.22222222222222221</v>
      </c>
      <c r="N40" s="31">
        <v>0.65151515151515149</v>
      </c>
      <c r="O40" s="31">
        <v>0.4861111111111111</v>
      </c>
      <c r="P40" s="31">
        <v>0.3888888888888889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0DB0E-016C-401A-B55B-C11CDF311B63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7CE3C-75B7-429A-9340-39E083CAB883}">
  <sheetPr codeName="Sheet8"/>
  <dimension ref="A1:Q2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  <row r="17" spans="1:16" x14ac:dyDescent="0.4">
      <c r="A17" s="33">
        <v>14</v>
      </c>
      <c r="B17" s="30">
        <v>-111.7</v>
      </c>
      <c r="C17" s="30">
        <v>-7.9785714285714286</v>
      </c>
      <c r="D17" s="35">
        <v>2.0714285714285716</v>
      </c>
      <c r="E17" s="31">
        <v>0.2857142857142857</v>
      </c>
      <c r="F17" s="31">
        <v>0.35714285714285715</v>
      </c>
      <c r="G17" s="31">
        <v>0.25663716814159293</v>
      </c>
      <c r="H17" s="31">
        <v>0.18584070796460178</v>
      </c>
      <c r="I17" s="32">
        <v>8275.8620689655181</v>
      </c>
      <c r="J17" s="32">
        <v>-8376.1904761904771</v>
      </c>
      <c r="K17" s="31">
        <v>7.1428571428571425E-2</v>
      </c>
      <c r="L17" s="31">
        <v>0.37168141592920356</v>
      </c>
      <c r="M17" s="31">
        <v>0.18584070796460178</v>
      </c>
      <c r="N17" s="31">
        <v>0.52380952380952384</v>
      </c>
      <c r="O17" s="31">
        <v>0.14285714285714285</v>
      </c>
      <c r="P17" s="31">
        <v>0.58620689655172409</v>
      </c>
    </row>
    <row r="18" spans="1:16" x14ac:dyDescent="0.4">
      <c r="A18" s="33">
        <v>15</v>
      </c>
      <c r="B18" s="30">
        <v>-138.19999999999999</v>
      </c>
      <c r="C18" s="30">
        <v>-9.2133333333333329</v>
      </c>
      <c r="D18" s="35">
        <v>2.1333333333333333</v>
      </c>
      <c r="E18" s="31">
        <v>0.26666666666666666</v>
      </c>
      <c r="F18" s="31">
        <v>0.4</v>
      </c>
      <c r="G18" s="31">
        <v>0.25806451612903225</v>
      </c>
      <c r="H18" s="31">
        <v>0.18548387096774194</v>
      </c>
      <c r="I18" s="32">
        <v>8687.5</v>
      </c>
      <c r="J18" s="32">
        <v>-8691.3043478260861</v>
      </c>
      <c r="K18" s="31">
        <v>6.6666666666666666E-2</v>
      </c>
      <c r="L18" s="31">
        <v>0.37096774193548387</v>
      </c>
      <c r="M18" s="31">
        <v>0.18548387096774194</v>
      </c>
      <c r="N18" s="31">
        <v>0.54347826086956519</v>
      </c>
      <c r="O18" s="31">
        <v>0.13043478260869565</v>
      </c>
      <c r="P18" s="31">
        <v>0.5625</v>
      </c>
    </row>
    <row r="19" spans="1:16" x14ac:dyDescent="0.4">
      <c r="A19" s="33">
        <v>16</v>
      </c>
      <c r="B19" s="30">
        <v>-131.6</v>
      </c>
      <c r="C19" s="30">
        <v>-8.2249999999999996</v>
      </c>
      <c r="D19" s="35">
        <v>2.125</v>
      </c>
      <c r="E19" s="31">
        <v>0.25</v>
      </c>
      <c r="F19" s="31">
        <v>0.375</v>
      </c>
      <c r="G19" s="31">
        <v>0.2537313432835821</v>
      </c>
      <c r="H19" s="31">
        <v>0.17910447761194029</v>
      </c>
      <c r="I19" s="32">
        <v>9117.6470588235297</v>
      </c>
      <c r="J19" s="32">
        <v>-8462.5</v>
      </c>
      <c r="K19" s="31">
        <v>6.25E-2</v>
      </c>
      <c r="L19" s="31">
        <v>0.36567164179104478</v>
      </c>
      <c r="M19" s="31">
        <v>0.20149253731343283</v>
      </c>
      <c r="N19" s="31">
        <v>0.53061224489795922</v>
      </c>
      <c r="O19" s="31">
        <v>0.14814814814814814</v>
      </c>
      <c r="P19" s="31">
        <v>0.55882352941176472</v>
      </c>
    </row>
    <row r="20" spans="1:16" x14ac:dyDescent="0.4">
      <c r="A20" s="33">
        <v>17</v>
      </c>
      <c r="B20" s="30">
        <v>-187.39999999999998</v>
      </c>
      <c r="C20" s="30">
        <v>-11.023529411764704</v>
      </c>
      <c r="D20" s="35">
        <v>2.1764705882352939</v>
      </c>
      <c r="E20" s="31">
        <v>0.23529411764705882</v>
      </c>
      <c r="F20" s="31">
        <v>0.41176470588235292</v>
      </c>
      <c r="G20" s="31">
        <v>0.24475524475524477</v>
      </c>
      <c r="H20" s="31">
        <v>0.18181818181818182</v>
      </c>
      <c r="I20" s="32">
        <v>9005.7142857142862</v>
      </c>
      <c r="J20" s="32">
        <v>-8734.6153846153848</v>
      </c>
      <c r="K20" s="31">
        <v>0.11764705882352941</v>
      </c>
      <c r="L20" s="31">
        <v>0.37062937062937062</v>
      </c>
      <c r="M20" s="31">
        <v>0.19580419580419581</v>
      </c>
      <c r="N20" s="31">
        <v>0.50943396226415094</v>
      </c>
      <c r="O20" s="31">
        <v>0.14285714285714285</v>
      </c>
      <c r="P20" s="31">
        <v>0.54285714285714282</v>
      </c>
    </row>
    <row r="21" spans="1:16" x14ac:dyDescent="0.4">
      <c r="A21" s="33">
        <v>18</v>
      </c>
      <c r="B21" s="30">
        <v>-146.79999999999998</v>
      </c>
      <c r="C21" s="30">
        <v>-8.155555555555555</v>
      </c>
      <c r="D21" s="35">
        <v>2.1111111111111112</v>
      </c>
      <c r="E21" s="31">
        <v>0.27777777777777779</v>
      </c>
      <c r="F21" s="31">
        <v>0.3888888888888889</v>
      </c>
      <c r="G21" s="31">
        <v>0.25</v>
      </c>
      <c r="H21" s="31">
        <v>0.17763157894736842</v>
      </c>
      <c r="I21" s="32">
        <v>9547.3684210526317</v>
      </c>
      <c r="J21" s="32">
        <v>-8707.4074074074069</v>
      </c>
      <c r="K21" s="31">
        <v>0.1111111111111111</v>
      </c>
      <c r="L21" s="31">
        <v>0.38157894736842107</v>
      </c>
      <c r="M21" s="31">
        <v>0.19078947368421054</v>
      </c>
      <c r="N21" s="31">
        <v>0.51724137931034486</v>
      </c>
      <c r="O21" s="31">
        <v>0.13793103448275862</v>
      </c>
      <c r="P21" s="31">
        <v>0.57894736842105265</v>
      </c>
    </row>
    <row r="22" spans="1:16" x14ac:dyDescent="0.4">
      <c r="A22" s="33">
        <v>19</v>
      </c>
      <c r="B22" s="30">
        <v>-110.69999999999999</v>
      </c>
      <c r="C22" s="30">
        <v>-5.8263157894736839</v>
      </c>
      <c r="D22" s="35">
        <v>2.0526315789473686</v>
      </c>
      <c r="E22" s="31">
        <v>0.31578947368421051</v>
      </c>
      <c r="F22" s="31">
        <v>0.36842105263157893</v>
      </c>
      <c r="G22" s="31">
        <v>0.25766871165644173</v>
      </c>
      <c r="H22" s="31">
        <v>0.16564417177914109</v>
      </c>
      <c r="I22" s="32">
        <v>9316.6666666666661</v>
      </c>
      <c r="J22" s="32">
        <v>-8707.4074074074069</v>
      </c>
      <c r="K22" s="31">
        <v>0.10526315789473684</v>
      </c>
      <c r="L22" s="31">
        <v>0.37423312883435583</v>
      </c>
      <c r="M22" s="31">
        <v>0.20245398773006135</v>
      </c>
      <c r="N22" s="31">
        <v>0.52459016393442626</v>
      </c>
      <c r="O22" s="31">
        <v>0.18181818181818182</v>
      </c>
      <c r="P22" s="31">
        <v>0.54761904761904767</v>
      </c>
    </row>
    <row r="23" spans="1:16" x14ac:dyDescent="0.4">
      <c r="A23" s="33">
        <v>20</v>
      </c>
      <c r="B23" s="30">
        <v>-111.6</v>
      </c>
      <c r="C23" s="30">
        <v>-5.58</v>
      </c>
      <c r="D23" s="35">
        <v>2.0499999999999998</v>
      </c>
      <c r="E23" s="31">
        <v>0.3</v>
      </c>
      <c r="F23" s="31">
        <v>0.35</v>
      </c>
      <c r="G23" s="31">
        <v>0.25714285714285712</v>
      </c>
      <c r="H23" s="31">
        <v>0.16</v>
      </c>
      <c r="I23" s="32">
        <v>9400</v>
      </c>
      <c r="J23" s="32">
        <v>-8825</v>
      </c>
      <c r="K23" s="31">
        <v>0.1</v>
      </c>
      <c r="L23" s="31">
        <v>0.38285714285714284</v>
      </c>
      <c r="M23" s="31">
        <v>0.19428571428571428</v>
      </c>
      <c r="N23" s="31">
        <v>0.52238805970149249</v>
      </c>
      <c r="O23" s="31">
        <v>0.17647058823529413</v>
      </c>
      <c r="P23" s="31">
        <v>0.57777777777777772</v>
      </c>
    </row>
    <row r="24" spans="1:16" x14ac:dyDescent="0.4">
      <c r="A24" s="33">
        <v>21</v>
      </c>
      <c r="B24" s="30">
        <v>-82.399999999999991</v>
      </c>
      <c r="C24" s="30">
        <v>-3.9238095238095232</v>
      </c>
      <c r="D24" s="35">
        <v>2</v>
      </c>
      <c r="E24" s="31">
        <v>0.33333333333333331</v>
      </c>
      <c r="F24" s="31">
        <v>0.33333333333333331</v>
      </c>
      <c r="G24" s="31">
        <v>0.27419354838709675</v>
      </c>
      <c r="H24" s="31">
        <v>0.16129032258064516</v>
      </c>
      <c r="I24" s="32">
        <v>8917.6470588235297</v>
      </c>
      <c r="J24" s="32">
        <v>-8966.6666666666661</v>
      </c>
      <c r="K24" s="31">
        <v>9.5238095238095233E-2</v>
      </c>
      <c r="L24" s="31">
        <v>0.38709677419354838</v>
      </c>
      <c r="M24" s="31">
        <v>0.18817204301075269</v>
      </c>
      <c r="N24" s="31">
        <v>0.54166666666666663</v>
      </c>
      <c r="O24" s="31">
        <v>0.17142857142857143</v>
      </c>
      <c r="P24" s="31">
        <v>0.56862745098039214</v>
      </c>
    </row>
    <row r="25" spans="1:16" x14ac:dyDescent="0.4">
      <c r="A25" s="33">
        <v>22</v>
      </c>
      <c r="B25" s="30">
        <v>-32.79999999999999</v>
      </c>
      <c r="C25" s="30">
        <v>-1.4909090909090905</v>
      </c>
      <c r="D25" s="35">
        <v>1.9545454545454546</v>
      </c>
      <c r="E25" s="31">
        <v>0.36363636363636365</v>
      </c>
      <c r="F25" s="31">
        <v>0.31818181818181818</v>
      </c>
      <c r="G25" s="31">
        <v>0.28042328042328041</v>
      </c>
      <c r="H25" s="31">
        <v>0.15873015873015872</v>
      </c>
      <c r="I25" s="32">
        <v>9101.8867924528295</v>
      </c>
      <c r="J25" s="32">
        <v>-8966.6666666666661</v>
      </c>
      <c r="K25" s="31">
        <v>9.0909090909090912E-2</v>
      </c>
      <c r="L25" s="31">
        <v>0.39153439153439151</v>
      </c>
      <c r="M25" s="31">
        <v>0.18518518518518517</v>
      </c>
      <c r="N25" s="31">
        <v>0.55405405405405406</v>
      </c>
      <c r="O25" s="31">
        <v>0.17142857142857143</v>
      </c>
      <c r="P25" s="31">
        <v>0.54716981132075471</v>
      </c>
    </row>
    <row r="26" spans="1:16" x14ac:dyDescent="0.4">
      <c r="A26" s="33">
        <v>23</v>
      </c>
      <c r="B26" s="30">
        <v>-92.699999999999989</v>
      </c>
      <c r="C26" s="30">
        <v>-4.0304347826086948</v>
      </c>
      <c r="D26" s="35">
        <v>2</v>
      </c>
      <c r="E26" s="31">
        <v>0.34782608695652173</v>
      </c>
      <c r="F26" s="31">
        <v>0.34782608695652173</v>
      </c>
      <c r="G26" s="31">
        <v>0.26767676767676768</v>
      </c>
      <c r="H26" s="31">
        <v>0.16161616161616163</v>
      </c>
      <c r="I26" s="32">
        <v>9101.8867924528295</v>
      </c>
      <c r="J26" s="32">
        <v>-8590.625</v>
      </c>
      <c r="K26" s="31">
        <v>0.13043478260869565</v>
      </c>
      <c r="L26" s="31">
        <v>0.3888888888888889</v>
      </c>
      <c r="M26" s="31">
        <v>0.19191919191919191</v>
      </c>
      <c r="N26" s="31">
        <v>0.53246753246753242</v>
      </c>
      <c r="O26" s="31">
        <v>0.15789473684210525</v>
      </c>
      <c r="P26" s="31">
        <v>0.54716981132075471</v>
      </c>
    </row>
    <row r="27" spans="1:16" x14ac:dyDescent="0.4">
      <c r="A27" s="33">
        <v>24</v>
      </c>
      <c r="B27" s="30">
        <v>-54.29999999999999</v>
      </c>
      <c r="C27" s="30">
        <v>-2.2624999999999997</v>
      </c>
      <c r="D27" s="35">
        <v>1.9583333333333333</v>
      </c>
      <c r="E27" s="31">
        <v>0.375</v>
      </c>
      <c r="F27" s="31">
        <v>0.33333333333333331</v>
      </c>
      <c r="G27" s="31">
        <v>0.27403846153846156</v>
      </c>
      <c r="H27" s="31">
        <v>0.15865384615384615</v>
      </c>
      <c r="I27" s="32">
        <v>8870.1754385964905</v>
      </c>
      <c r="J27" s="32">
        <v>-8390.9090909090901</v>
      </c>
      <c r="K27" s="31">
        <v>0.125</v>
      </c>
      <c r="L27" s="31">
        <v>0.38461538461538464</v>
      </c>
      <c r="M27" s="31">
        <v>0.19230769230769232</v>
      </c>
      <c r="N27" s="31">
        <v>0.55000000000000004</v>
      </c>
      <c r="O27" s="31">
        <v>0.17499999999999999</v>
      </c>
      <c r="P27" s="31">
        <v>0.50877192982456143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4CC05-8BC9-4238-AFCC-7CE2742EA77D}">
  <sheetPr codeName="Sheet6"/>
  <dimension ref="A1:Q6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 x14ac:dyDescent="0.4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 x14ac:dyDescent="0.4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 x14ac:dyDescent="0.4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 x14ac:dyDescent="0.4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 x14ac:dyDescent="0.4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 x14ac:dyDescent="0.4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 x14ac:dyDescent="0.4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 x14ac:dyDescent="0.4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 x14ac:dyDescent="0.4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 x14ac:dyDescent="0.4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 x14ac:dyDescent="0.4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 x14ac:dyDescent="0.4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 x14ac:dyDescent="0.4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 x14ac:dyDescent="0.4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 x14ac:dyDescent="0.4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 x14ac:dyDescent="0.4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  <row r="37" spans="1:16" x14ac:dyDescent="0.4">
      <c r="A37" s="33">
        <v>34</v>
      </c>
      <c r="B37" s="30">
        <v>-1.9539925233402755E-14</v>
      </c>
      <c r="C37" s="30">
        <v>-1.9156789444512506E-16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0.15845070422535212</v>
      </c>
      <c r="I37" s="32">
        <v>8493.2270916334655</v>
      </c>
      <c r="J37" s="32">
        <v>-8440.7407407407409</v>
      </c>
      <c r="K37" s="31">
        <v>6.8627450980392163E-2</v>
      </c>
      <c r="L37" s="31">
        <v>0.31572769953051644</v>
      </c>
      <c r="M37" s="31">
        <v>0.18544600938967137</v>
      </c>
      <c r="N37" s="31">
        <v>0.56133828996282531</v>
      </c>
      <c r="O37" s="31">
        <v>0.36075949367088606</v>
      </c>
      <c r="P37" s="31">
        <v>0.46215139442231074</v>
      </c>
    </row>
    <row r="38" spans="1:16" x14ac:dyDescent="0.4">
      <c r="A38" s="33">
        <v>35</v>
      </c>
      <c r="B38" s="30">
        <v>-1.7763568394002505E-14</v>
      </c>
      <c r="C38" s="30">
        <v>-1.6917684184764289E-16</v>
      </c>
      <c r="D38" s="35">
        <v>2</v>
      </c>
      <c r="E38" s="31">
        <v>0.33333333333333331</v>
      </c>
      <c r="F38" s="31">
        <v>0.33333333333333331</v>
      </c>
      <c r="G38" s="31">
        <v>0.29378531073446329</v>
      </c>
      <c r="H38" s="31">
        <v>0.15819209039548024</v>
      </c>
      <c r="I38" s="32">
        <v>8573.0769230769238</v>
      </c>
      <c r="J38" s="32">
        <v>-8547.8571428571431</v>
      </c>
      <c r="K38" s="31">
        <v>6.6666666666666666E-2</v>
      </c>
      <c r="L38" s="31">
        <v>0.31525423728813562</v>
      </c>
      <c r="M38" s="31">
        <v>0.18192090395480226</v>
      </c>
      <c r="N38" s="31">
        <v>0.56272401433691754</v>
      </c>
      <c r="O38" s="31">
        <v>0.36024844720496896</v>
      </c>
      <c r="P38" s="31">
        <v>0.46153846153846156</v>
      </c>
    </row>
    <row r="39" spans="1:16" x14ac:dyDescent="0.4">
      <c r="A39" s="33">
        <v>36</v>
      </c>
      <c r="B39" s="30">
        <v>-1.2434497875801753E-14</v>
      </c>
      <c r="C39" s="30">
        <v>-1.1513423959075697E-16</v>
      </c>
      <c r="D39" s="35">
        <v>2</v>
      </c>
      <c r="E39" s="31">
        <v>0.33333333333333331</v>
      </c>
      <c r="F39" s="31">
        <v>0.33333333333333331</v>
      </c>
      <c r="G39" s="31">
        <v>0.29289617486338798</v>
      </c>
      <c r="H39" s="31">
        <v>0.15519125683060109</v>
      </c>
      <c r="I39" s="32">
        <v>8631.3432835820895</v>
      </c>
      <c r="J39" s="32">
        <v>-8506.3380281690133</v>
      </c>
      <c r="K39" s="31">
        <v>6.4814814814814811E-2</v>
      </c>
      <c r="L39" s="31">
        <v>0.31584699453551912</v>
      </c>
      <c r="M39" s="31">
        <v>0.18251366120218579</v>
      </c>
      <c r="N39" s="31">
        <v>0.55709342560553632</v>
      </c>
      <c r="O39" s="31">
        <v>0.3652694610778443</v>
      </c>
      <c r="P39" s="31">
        <v>0.47014925373134331</v>
      </c>
    </row>
    <row r="40" spans="1:16" x14ac:dyDescent="0.4">
      <c r="A40" s="33">
        <v>37</v>
      </c>
      <c r="B40" s="30">
        <v>-7.1054273576010019E-15</v>
      </c>
      <c r="C40" s="30">
        <v>-6.4012859077486503E-17</v>
      </c>
      <c r="D40" s="35">
        <v>2</v>
      </c>
      <c r="E40" s="31">
        <v>0.33333333333333331</v>
      </c>
      <c r="F40" s="31">
        <v>0.33333333333333331</v>
      </c>
      <c r="G40" s="31">
        <v>0.2929936305732484</v>
      </c>
      <c r="H40" s="31">
        <v>0.15711252653927812</v>
      </c>
      <c r="I40" s="32">
        <v>8615.9420289855079</v>
      </c>
      <c r="J40" s="32">
        <v>-8491.2162162162167</v>
      </c>
      <c r="K40" s="31">
        <v>7.2072072072072071E-2</v>
      </c>
      <c r="L40" s="31">
        <v>0.31847133757961782</v>
      </c>
      <c r="M40" s="31">
        <v>0.18365180467091294</v>
      </c>
      <c r="N40" s="31">
        <v>0.55333333333333334</v>
      </c>
      <c r="O40" s="31">
        <v>0.36994219653179189</v>
      </c>
      <c r="P40" s="31">
        <v>0.46376811594202899</v>
      </c>
    </row>
    <row r="41" spans="1:16" x14ac:dyDescent="0.4">
      <c r="A41" s="33">
        <v>38</v>
      </c>
      <c r="B41" s="30">
        <v>0</v>
      </c>
      <c r="C41" s="30">
        <v>0</v>
      </c>
      <c r="D41" s="35">
        <v>2</v>
      </c>
      <c r="E41" s="31">
        <v>0.33333333333333331</v>
      </c>
      <c r="F41" s="31">
        <v>0.33333333333333331</v>
      </c>
      <c r="G41" s="31">
        <v>0.29411764705882354</v>
      </c>
      <c r="H41" s="31">
        <v>0.15479876160990713</v>
      </c>
      <c r="I41" s="32">
        <v>8735.438596491229</v>
      </c>
      <c r="J41" s="32">
        <v>-8511.3333333333339</v>
      </c>
      <c r="K41" s="31">
        <v>7.0175438596491224E-2</v>
      </c>
      <c r="L41" s="31">
        <v>0.32094943240454077</v>
      </c>
      <c r="M41" s="31">
        <v>0.18472652218782248</v>
      </c>
      <c r="N41" s="31">
        <v>0.5562700964630225</v>
      </c>
      <c r="O41" s="31">
        <v>0.36871508379888268</v>
      </c>
      <c r="P41" s="31">
        <v>0.47368421052631576</v>
      </c>
    </row>
    <row r="42" spans="1:16" x14ac:dyDescent="0.4">
      <c r="A42" s="33">
        <v>39</v>
      </c>
      <c r="B42" s="30">
        <v>0</v>
      </c>
      <c r="C42" s="30">
        <v>0</v>
      </c>
      <c r="D42" s="35">
        <v>2</v>
      </c>
      <c r="E42" s="31">
        <v>0.33333333333333331</v>
      </c>
      <c r="F42" s="31">
        <v>0.33333333333333331</v>
      </c>
      <c r="G42" s="31">
        <v>0.29540918163672653</v>
      </c>
      <c r="H42" s="31">
        <v>0.15668662674650699</v>
      </c>
      <c r="I42" s="32">
        <v>8681.4189189189183</v>
      </c>
      <c r="J42" s="32">
        <v>-8410.1910828025484</v>
      </c>
      <c r="K42" s="31">
        <v>6.8376068376068383E-2</v>
      </c>
      <c r="L42" s="31">
        <v>0.32135728542914171</v>
      </c>
      <c r="M42" s="31">
        <v>0.18962075848303392</v>
      </c>
      <c r="N42" s="31">
        <v>0.55279503105590067</v>
      </c>
      <c r="O42" s="31">
        <v>0.36842105263157893</v>
      </c>
      <c r="P42" s="31">
        <v>0.46959459459459457</v>
      </c>
    </row>
    <row r="43" spans="1:16" x14ac:dyDescent="0.4">
      <c r="A43" s="33">
        <v>40</v>
      </c>
      <c r="B43" s="30">
        <v>-1.4432899320127035E-15</v>
      </c>
      <c r="C43" s="30">
        <v>-1.2027416100105863E-17</v>
      </c>
      <c r="D43" s="35">
        <v>2</v>
      </c>
      <c r="E43" s="31">
        <v>0.33333333333333331</v>
      </c>
      <c r="F43" s="31">
        <v>0.33333333333333331</v>
      </c>
      <c r="G43" s="31">
        <v>0.29576107899807319</v>
      </c>
      <c r="H43" s="31">
        <v>0.15510597302504817</v>
      </c>
      <c r="I43" s="32">
        <v>8647.5570032573287</v>
      </c>
      <c r="J43" s="32">
        <v>-8372.0496894409935</v>
      </c>
      <c r="K43" s="31">
        <v>6.6666666666666666E-2</v>
      </c>
      <c r="L43" s="31">
        <v>0.32273603082851637</v>
      </c>
      <c r="M43" s="31">
        <v>0.18786127167630057</v>
      </c>
      <c r="N43" s="31">
        <v>0.55223880597014929</v>
      </c>
      <c r="O43" s="31">
        <v>0.37435897435897436</v>
      </c>
      <c r="P43" s="31">
        <v>0.47557003257328989</v>
      </c>
    </row>
    <row r="44" spans="1:16" x14ac:dyDescent="0.4">
      <c r="A44" s="33">
        <v>41</v>
      </c>
      <c r="B44" s="30">
        <v>0</v>
      </c>
      <c r="C44" s="30">
        <v>0</v>
      </c>
      <c r="D44" s="35">
        <v>2</v>
      </c>
      <c r="E44" s="31">
        <v>0.33333333333333331</v>
      </c>
      <c r="F44" s="31">
        <v>0.33333333333333331</v>
      </c>
      <c r="G44" s="31">
        <v>0.29785247432306255</v>
      </c>
      <c r="H44" s="31">
        <v>0.15686274509803921</v>
      </c>
      <c r="I44" s="32">
        <v>8562.3824451410655</v>
      </c>
      <c r="J44" s="32">
        <v>-8352.3809523809523</v>
      </c>
      <c r="K44" s="31">
        <v>6.5040650406504072E-2</v>
      </c>
      <c r="L44" s="31">
        <v>0.32212885154061627</v>
      </c>
      <c r="M44" s="31">
        <v>0.18674136321195145</v>
      </c>
      <c r="N44" s="31">
        <v>0.55652173913043479</v>
      </c>
      <c r="O44" s="31">
        <v>0.38</v>
      </c>
      <c r="P44" s="31">
        <v>0.47021943573667713</v>
      </c>
    </row>
    <row r="45" spans="1:16" x14ac:dyDescent="0.4">
      <c r="A45" s="33">
        <v>42</v>
      </c>
      <c r="B45" s="30">
        <v>7.1054273576010019E-15</v>
      </c>
      <c r="C45" s="30">
        <v>5.6392280615880964E-17</v>
      </c>
      <c r="D45" s="35">
        <v>2</v>
      </c>
      <c r="E45" s="31">
        <v>0.33333333333333331</v>
      </c>
      <c r="F45" s="31">
        <v>0.33333333333333331</v>
      </c>
      <c r="G45" s="31">
        <v>0.29814814814814816</v>
      </c>
      <c r="H45" s="31">
        <v>0.15833333333333333</v>
      </c>
      <c r="I45" s="32">
        <v>8584.4720496894406</v>
      </c>
      <c r="J45" s="32">
        <v>-8397.6608187134498</v>
      </c>
      <c r="K45" s="31">
        <v>7.1428571428571425E-2</v>
      </c>
      <c r="L45" s="31">
        <v>0.32314814814814813</v>
      </c>
      <c r="M45" s="31">
        <v>0.18518518518518517</v>
      </c>
      <c r="N45" s="31">
        <v>0.55873925501432664</v>
      </c>
      <c r="O45" s="31">
        <v>0.38</v>
      </c>
      <c r="P45" s="31">
        <v>0.46583850931677018</v>
      </c>
    </row>
    <row r="46" spans="1:16" x14ac:dyDescent="0.4">
      <c r="A46" s="33">
        <v>43</v>
      </c>
      <c r="B46" s="30">
        <v>7.1054273576010019E-15</v>
      </c>
      <c r="C46" s="30">
        <v>5.508083222946513E-17</v>
      </c>
      <c r="D46" s="35">
        <v>2</v>
      </c>
      <c r="E46" s="31">
        <v>0.33333333333333331</v>
      </c>
      <c r="F46" s="31">
        <v>0.33333333333333331</v>
      </c>
      <c r="G46" s="31">
        <v>0.29719963866305332</v>
      </c>
      <c r="H46" s="31">
        <v>0.15808491418247517</v>
      </c>
      <c r="I46" s="32">
        <v>8604.5592705167164</v>
      </c>
      <c r="J46" s="32">
        <v>-8284</v>
      </c>
      <c r="K46" s="31">
        <v>7.7519379844961239E-2</v>
      </c>
      <c r="L46" s="31">
        <v>0.32339656729900634</v>
      </c>
      <c r="M46" s="31">
        <v>0.18608852755194219</v>
      </c>
      <c r="N46" s="31">
        <v>0.55865921787709494</v>
      </c>
      <c r="O46" s="31">
        <v>0.37864077669902912</v>
      </c>
      <c r="P46" s="31">
        <v>0.46504559270516715</v>
      </c>
    </row>
    <row r="47" spans="1:16" x14ac:dyDescent="0.4">
      <c r="A47" s="33">
        <v>44</v>
      </c>
      <c r="B47" s="30">
        <v>7.1054273576010019E-15</v>
      </c>
      <c r="C47" s="30">
        <v>5.3828995133340925E-17</v>
      </c>
      <c r="D47" s="35">
        <v>2</v>
      </c>
      <c r="E47" s="31">
        <v>0.33333333333333331</v>
      </c>
      <c r="F47" s="31">
        <v>0.33333333333333331</v>
      </c>
      <c r="G47" s="31">
        <v>0.29639401934916448</v>
      </c>
      <c r="H47" s="31">
        <v>0.15919085312225154</v>
      </c>
      <c r="I47" s="32">
        <v>8551.0385756676551</v>
      </c>
      <c r="J47" s="32">
        <v>-8192.8176795580112</v>
      </c>
      <c r="K47" s="31">
        <v>7.575757575757576E-2</v>
      </c>
      <c r="L47" s="31">
        <v>0.32189973614775724</v>
      </c>
      <c r="M47" s="31">
        <v>0.18733509234828497</v>
      </c>
      <c r="N47" s="31">
        <v>0.56010928961748629</v>
      </c>
      <c r="O47" s="31">
        <v>0.38028169014084506</v>
      </c>
      <c r="P47" s="31">
        <v>0.4599406528189911</v>
      </c>
    </row>
    <row r="48" spans="1:16" x14ac:dyDescent="0.4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0.296875</v>
      </c>
      <c r="H48" s="31">
        <v>0.16059027777777779</v>
      </c>
      <c r="I48" s="32">
        <v>8745.3216374269014</v>
      </c>
      <c r="J48" s="32">
        <v>-8346.4864864864867</v>
      </c>
      <c r="K48" s="31">
        <v>8.1481481481481488E-2</v>
      </c>
      <c r="L48" s="31">
        <v>0.32291666666666669</v>
      </c>
      <c r="M48" s="31">
        <v>0.18663194444444445</v>
      </c>
      <c r="N48" s="31">
        <v>0.55913978494623651</v>
      </c>
      <c r="O48" s="31">
        <v>0.38139534883720932</v>
      </c>
      <c r="P48" s="31">
        <v>0.45614035087719296</v>
      </c>
    </row>
    <row r="49" spans="1:16" x14ac:dyDescent="0.4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0.29535864978902954</v>
      </c>
      <c r="H49" s="31">
        <v>0.16286919831223629</v>
      </c>
      <c r="I49" s="32">
        <v>8701.1428571428569</v>
      </c>
      <c r="J49" s="32">
        <v>-8282.9015544041449</v>
      </c>
      <c r="K49" s="31">
        <v>8.6956521739130432E-2</v>
      </c>
      <c r="L49" s="31">
        <v>0.32151898734177214</v>
      </c>
      <c r="M49" s="31">
        <v>0.18481012658227849</v>
      </c>
      <c r="N49" s="31">
        <v>0.55643044619422577</v>
      </c>
      <c r="O49" s="31">
        <v>0.37442922374429222</v>
      </c>
      <c r="P49" s="31">
        <v>0.44571428571428573</v>
      </c>
    </row>
    <row r="50" spans="1:16" x14ac:dyDescent="0.4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0.29638752052545159</v>
      </c>
      <c r="H50" s="31">
        <v>0.16502463054187191</v>
      </c>
      <c r="I50" s="32">
        <v>8651.2465373961222</v>
      </c>
      <c r="J50" s="32">
        <v>-8150.746268656716</v>
      </c>
      <c r="K50" s="31">
        <v>8.5106382978723402E-2</v>
      </c>
      <c r="L50" s="31">
        <v>0.31773399014778325</v>
      </c>
      <c r="M50" s="31">
        <v>0.18390804597701149</v>
      </c>
      <c r="N50" s="31">
        <v>0.56072351421188626</v>
      </c>
      <c r="O50" s="31">
        <v>0.375</v>
      </c>
      <c r="P50" s="31">
        <v>0.44044321329639891</v>
      </c>
    </row>
    <row r="51" spans="1:16" x14ac:dyDescent="0.4">
      <c r="A51" s="33">
        <v>48</v>
      </c>
      <c r="B51" s="30">
        <v>-2.886579864025407E-15</v>
      </c>
      <c r="C51" s="30">
        <v>-2.0045693500176437E-17</v>
      </c>
      <c r="D51" s="35">
        <v>2</v>
      </c>
      <c r="E51" s="31">
        <v>0.33333333333333331</v>
      </c>
      <c r="F51" s="31">
        <v>0.33333333333333331</v>
      </c>
      <c r="G51" s="31">
        <v>0.29567307692307693</v>
      </c>
      <c r="H51" s="31">
        <v>0.16506410256410256</v>
      </c>
      <c r="I51" s="32">
        <v>8553.1165311653112</v>
      </c>
      <c r="J51" s="32">
        <v>-8069.4174757281553</v>
      </c>
      <c r="K51" s="31">
        <v>8.3333333333333329E-2</v>
      </c>
      <c r="L51" s="31">
        <v>0.31650641025641024</v>
      </c>
      <c r="M51" s="31">
        <v>0.18429487179487181</v>
      </c>
      <c r="N51" s="31">
        <v>0.55696202531645567</v>
      </c>
      <c r="O51" s="31">
        <v>0.37826086956521737</v>
      </c>
      <c r="P51" s="31">
        <v>0.43902439024390244</v>
      </c>
    </row>
    <row r="52" spans="1:16" x14ac:dyDescent="0.4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0.2964705882352941</v>
      </c>
      <c r="H52" s="31">
        <v>0.16549019607843138</v>
      </c>
      <c r="I52" s="32">
        <v>8515.8730158730159</v>
      </c>
      <c r="J52" s="32">
        <v>-8043.1279620853084</v>
      </c>
      <c r="K52" s="31">
        <v>8.1632653061224483E-2</v>
      </c>
      <c r="L52" s="31">
        <v>0.3192156862745098</v>
      </c>
      <c r="M52" s="31">
        <v>0.18509803921568627</v>
      </c>
      <c r="N52" s="31">
        <v>0.55282555282555279</v>
      </c>
      <c r="O52" s="31">
        <v>0.38135593220338981</v>
      </c>
      <c r="P52" s="31">
        <v>0.43915343915343913</v>
      </c>
    </row>
    <row r="53" spans="1:16" x14ac:dyDescent="0.4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0.2964669738863287</v>
      </c>
      <c r="H53" s="31">
        <v>0.1651305683563748</v>
      </c>
      <c r="I53" s="32">
        <v>8497.1502590673572</v>
      </c>
      <c r="J53" s="32">
        <v>-8039.0697674418607</v>
      </c>
      <c r="K53" s="31">
        <v>0.08</v>
      </c>
      <c r="L53" s="31">
        <v>0.32027649769585254</v>
      </c>
      <c r="M53" s="31">
        <v>0.18586789554531491</v>
      </c>
      <c r="N53" s="31">
        <v>0.5467625899280576</v>
      </c>
      <c r="O53" s="31">
        <v>0.38842975206611569</v>
      </c>
      <c r="P53" s="31">
        <v>0.44041450777202074</v>
      </c>
    </row>
    <row r="54" spans="1:16" x14ac:dyDescent="0.4">
      <c r="A54" s="33">
        <v>51</v>
      </c>
      <c r="B54" s="30">
        <v>0</v>
      </c>
      <c r="C54" s="30">
        <v>0</v>
      </c>
      <c r="D54" s="35">
        <v>2</v>
      </c>
      <c r="E54" s="31">
        <v>0.33333333333333331</v>
      </c>
      <c r="F54" s="31">
        <v>0.33333333333333331</v>
      </c>
      <c r="G54" s="31">
        <v>0.29705215419501135</v>
      </c>
      <c r="H54" s="31">
        <v>0.1655328798185941</v>
      </c>
      <c r="I54" s="32">
        <v>8457.7608142493646</v>
      </c>
      <c r="J54" s="32">
        <v>-7964.8401826484014</v>
      </c>
      <c r="K54" s="31">
        <v>7.8431372549019607E-2</v>
      </c>
      <c r="L54" s="31">
        <v>0.32048374905517762</v>
      </c>
      <c r="M54" s="31">
        <v>0.18594104308390022</v>
      </c>
      <c r="N54" s="31">
        <v>0.54716981132075471</v>
      </c>
      <c r="O54" s="31">
        <v>0.3902439024390244</v>
      </c>
      <c r="P54" s="31">
        <v>0.44020356234096691</v>
      </c>
    </row>
    <row r="55" spans="1:16" x14ac:dyDescent="0.4">
      <c r="A55" s="33">
        <v>52</v>
      </c>
      <c r="B55" s="30">
        <v>0</v>
      </c>
      <c r="C55" s="30">
        <v>0</v>
      </c>
      <c r="D55" s="35">
        <v>2</v>
      </c>
      <c r="E55" s="31">
        <v>0.33333333333333331</v>
      </c>
      <c r="F55" s="31">
        <v>0.33333333333333331</v>
      </c>
      <c r="G55" s="31">
        <v>0.29703703703703704</v>
      </c>
      <c r="H55" s="31">
        <v>0.16666666666666666</v>
      </c>
      <c r="I55" s="32">
        <v>8572.8179551122194</v>
      </c>
      <c r="J55" s="32">
        <v>-8098.2222222222226</v>
      </c>
      <c r="K55" s="31">
        <v>8.3333333333333329E-2</v>
      </c>
      <c r="L55" s="31">
        <v>0.32222222222222224</v>
      </c>
      <c r="M55" s="31">
        <v>0.18444444444444444</v>
      </c>
      <c r="N55" s="31">
        <v>0.54482758620689653</v>
      </c>
      <c r="O55" s="31">
        <v>0.38955823293172692</v>
      </c>
      <c r="P55" s="31">
        <v>0.43640897755610975</v>
      </c>
    </row>
    <row r="56" spans="1:16" x14ac:dyDescent="0.4">
      <c r="A56" s="33">
        <v>53</v>
      </c>
      <c r="B56" s="30">
        <v>-3.5527136788005009E-15</v>
      </c>
      <c r="C56" s="30">
        <v>-2.2344111187424535E-17</v>
      </c>
      <c r="D56" s="35">
        <v>2</v>
      </c>
      <c r="E56" s="31">
        <v>0.33333333333333331</v>
      </c>
      <c r="F56" s="31">
        <v>0.33333333333333331</v>
      </c>
      <c r="G56" s="31">
        <v>0.2975929978118162</v>
      </c>
      <c r="H56" s="31">
        <v>0.16776075857038658</v>
      </c>
      <c r="I56" s="32">
        <v>8541.176470588236</v>
      </c>
      <c r="J56" s="32">
        <v>-8068.260869565217</v>
      </c>
      <c r="K56" s="31">
        <v>8.1761006289308172E-2</v>
      </c>
      <c r="L56" s="31">
        <v>0.32093362509117435</v>
      </c>
      <c r="M56" s="31">
        <v>0.18453683442742524</v>
      </c>
      <c r="N56" s="31">
        <v>0.54545454545454541</v>
      </c>
      <c r="O56" s="31">
        <v>0.39130434782608697</v>
      </c>
      <c r="P56" s="31">
        <v>0.43382352941176472</v>
      </c>
    </row>
    <row r="57" spans="1:16" x14ac:dyDescent="0.4">
      <c r="A57" s="33">
        <v>54</v>
      </c>
      <c r="B57" s="30">
        <v>-3.5527136788005009E-15</v>
      </c>
      <c r="C57" s="30">
        <v>-2.1930331350620375E-17</v>
      </c>
      <c r="D57" s="35">
        <v>2</v>
      </c>
      <c r="E57" s="31">
        <v>0.33333333333333331</v>
      </c>
      <c r="F57" s="31">
        <v>0.33333333333333331</v>
      </c>
      <c r="G57" s="31">
        <v>0.29813218390804597</v>
      </c>
      <c r="H57" s="31">
        <v>0.16738505747126436</v>
      </c>
      <c r="I57" s="32">
        <v>8527.7108433734938</v>
      </c>
      <c r="J57" s="32">
        <v>-8076.8240343347643</v>
      </c>
      <c r="K57" s="31">
        <v>8.0246913580246909E-2</v>
      </c>
      <c r="L57" s="31">
        <v>0.32255747126436779</v>
      </c>
      <c r="M57" s="31">
        <v>0.1846264367816092</v>
      </c>
      <c r="N57" s="31">
        <v>0.54565701559020041</v>
      </c>
      <c r="O57" s="31">
        <v>0.39299610894941633</v>
      </c>
      <c r="P57" s="31">
        <v>0.43614457831325304</v>
      </c>
    </row>
    <row r="58" spans="1:16" x14ac:dyDescent="0.4">
      <c r="A58" s="33">
        <v>55</v>
      </c>
      <c r="B58" s="30">
        <v>3.5527136788005009E-15</v>
      </c>
      <c r="C58" s="30">
        <v>2.1531598053336369E-17</v>
      </c>
      <c r="D58" s="35">
        <v>2</v>
      </c>
      <c r="E58" s="31">
        <v>0.33333333333333331</v>
      </c>
      <c r="F58" s="31">
        <v>0.33333333333333331</v>
      </c>
      <c r="G58" s="31">
        <v>0.2980225988700565</v>
      </c>
      <c r="H58" s="31">
        <v>0.16596045197740114</v>
      </c>
      <c r="I58" s="32">
        <v>8558.5308056872036</v>
      </c>
      <c r="J58" s="32">
        <v>-8071.489361702128</v>
      </c>
      <c r="K58" s="31">
        <v>8.4848484848484854E-2</v>
      </c>
      <c r="L58" s="31">
        <v>0.32203389830508472</v>
      </c>
      <c r="M58" s="31">
        <v>0.18714689265536724</v>
      </c>
      <c r="N58" s="31">
        <v>0.54605263157894735</v>
      </c>
      <c r="O58" s="31">
        <v>0.38867924528301889</v>
      </c>
      <c r="P58" s="31">
        <v>0.44075829383886256</v>
      </c>
    </row>
    <row r="59" spans="1:16" x14ac:dyDescent="0.4">
      <c r="A59" s="33">
        <v>56</v>
      </c>
      <c r="B59" s="30">
        <v>0</v>
      </c>
      <c r="C59" s="30">
        <v>0</v>
      </c>
      <c r="D59" s="35">
        <v>2</v>
      </c>
      <c r="E59" s="31">
        <v>0.33333333333333331</v>
      </c>
      <c r="F59" s="31">
        <v>0.33333333333333331</v>
      </c>
      <c r="G59" s="31">
        <v>0.29846582984658299</v>
      </c>
      <c r="H59" s="31">
        <v>0.16527196652719664</v>
      </c>
      <c r="I59" s="32">
        <v>8552.336448598131</v>
      </c>
      <c r="J59" s="32">
        <v>-8146.835443037975</v>
      </c>
      <c r="K59" s="31">
        <v>8.3333333333333329E-2</v>
      </c>
      <c r="L59" s="31">
        <v>0.32357043235704325</v>
      </c>
      <c r="M59" s="31">
        <v>0.18619246861924685</v>
      </c>
      <c r="N59" s="31">
        <v>0.54741379310344829</v>
      </c>
      <c r="O59" s="31">
        <v>0.38576779026217228</v>
      </c>
      <c r="P59" s="31">
        <v>0.44392523364485981</v>
      </c>
    </row>
    <row r="60" spans="1:16" x14ac:dyDescent="0.4">
      <c r="A60" s="33">
        <v>57</v>
      </c>
      <c r="B60" s="30">
        <v>0</v>
      </c>
      <c r="C60" s="30">
        <v>0</v>
      </c>
      <c r="D60" s="35">
        <v>2</v>
      </c>
      <c r="E60" s="31">
        <v>0.33333333333333331</v>
      </c>
      <c r="F60" s="31">
        <v>0.33333333333333331</v>
      </c>
      <c r="G60" s="31">
        <v>0.29882677708764666</v>
      </c>
      <c r="H60" s="31">
        <v>0.16494133885438234</v>
      </c>
      <c r="I60" s="32">
        <v>8575.0577367205551</v>
      </c>
      <c r="J60" s="32">
        <v>-8134.3096234309623</v>
      </c>
      <c r="K60" s="31">
        <v>8.771929824561403E-2</v>
      </c>
      <c r="L60" s="31">
        <v>0.32505175983436851</v>
      </c>
      <c r="M60" s="31">
        <v>0.18495514147688061</v>
      </c>
      <c r="N60" s="31">
        <v>0.54989384288747345</v>
      </c>
      <c r="O60" s="31">
        <v>0.38432835820895522</v>
      </c>
      <c r="P60" s="31">
        <v>0.44572748267898382</v>
      </c>
    </row>
    <row r="61" spans="1:16" x14ac:dyDescent="0.4">
      <c r="A61" s="33">
        <v>58</v>
      </c>
      <c r="B61" s="30">
        <v>0</v>
      </c>
      <c r="C61" s="30">
        <v>0</v>
      </c>
      <c r="D61" s="35">
        <v>2</v>
      </c>
      <c r="E61" s="31">
        <v>0.33333333333333331</v>
      </c>
      <c r="F61" s="31">
        <v>0.33333333333333331</v>
      </c>
      <c r="G61" s="31">
        <v>0.29863945578231293</v>
      </c>
      <c r="H61" s="31">
        <v>0.1653061224489796</v>
      </c>
      <c r="I61" s="32">
        <v>8576.0820045558085</v>
      </c>
      <c r="J61" s="32">
        <v>-8196.707818930041</v>
      </c>
      <c r="K61" s="31">
        <v>8.6206896551724144E-2</v>
      </c>
      <c r="L61" s="31">
        <v>0.32380952380952382</v>
      </c>
      <c r="M61" s="31">
        <v>0.18367346938775511</v>
      </c>
      <c r="N61" s="31">
        <v>0.54831932773109249</v>
      </c>
      <c r="O61" s="31">
        <v>0.38518518518518519</v>
      </c>
      <c r="P61" s="31">
        <v>0.44419134396355353</v>
      </c>
    </row>
    <row r="62" spans="1:16" x14ac:dyDescent="0.4">
      <c r="A62" s="33">
        <v>59</v>
      </c>
      <c r="B62" s="30">
        <v>0</v>
      </c>
      <c r="C62" s="30">
        <v>0</v>
      </c>
      <c r="D62" s="35">
        <v>2</v>
      </c>
      <c r="E62" s="31">
        <v>0.33333333333333331</v>
      </c>
      <c r="F62" s="31">
        <v>0.33333333333333331</v>
      </c>
      <c r="G62" s="31">
        <v>0.29852744310575635</v>
      </c>
      <c r="H62" s="31">
        <v>0.16331994645247658</v>
      </c>
      <c r="I62" s="32">
        <v>8682.0627802690578</v>
      </c>
      <c r="J62" s="32">
        <v>-8171.311475409836</v>
      </c>
      <c r="K62" s="31">
        <v>9.03954802259887E-2</v>
      </c>
      <c r="L62" s="31">
        <v>0.3253012048192771</v>
      </c>
      <c r="M62" s="31">
        <v>0.18273092369477911</v>
      </c>
      <c r="N62" s="31">
        <v>0.54526748971193417</v>
      </c>
      <c r="O62" s="31">
        <v>0.38827838827838829</v>
      </c>
      <c r="P62" s="31">
        <v>0.45067264573991034</v>
      </c>
    </row>
    <row r="63" spans="1:16" x14ac:dyDescent="0.4">
      <c r="A63" s="33">
        <v>60</v>
      </c>
      <c r="B63" s="30">
        <v>0</v>
      </c>
      <c r="C63" s="30">
        <v>0</v>
      </c>
      <c r="D63" s="35">
        <v>2</v>
      </c>
      <c r="E63" s="31">
        <v>0.33333333333333331</v>
      </c>
      <c r="F63" s="31">
        <v>0.33333333333333331</v>
      </c>
      <c r="G63" s="31">
        <v>0.29828042328042326</v>
      </c>
      <c r="H63" s="31">
        <v>0.16137566137566137</v>
      </c>
      <c r="I63" s="32">
        <v>8701.1086474501117</v>
      </c>
      <c r="J63" s="32">
        <v>-8171.311475409836</v>
      </c>
      <c r="K63" s="31">
        <v>8.8888888888888892E-2</v>
      </c>
      <c r="L63" s="31">
        <v>0.32275132275132273</v>
      </c>
      <c r="M63" s="31">
        <v>0.18386243386243387</v>
      </c>
      <c r="N63" s="31">
        <v>0.54508196721311475</v>
      </c>
      <c r="O63" s="31">
        <v>0.38848920863309355</v>
      </c>
      <c r="P63" s="31">
        <v>0.4567627494456763</v>
      </c>
    </row>
    <row r="64" spans="1:16" x14ac:dyDescent="0.4">
      <c r="A64" s="33">
        <v>61</v>
      </c>
      <c r="B64" s="30">
        <v>1.4210854715202004E-14</v>
      </c>
      <c r="C64" s="30">
        <v>7.7654943798918053E-17</v>
      </c>
      <c r="D64" s="35">
        <v>2</v>
      </c>
      <c r="E64" s="31">
        <v>0.33333333333333331</v>
      </c>
      <c r="F64" s="31">
        <v>0.33333333333333331</v>
      </c>
      <c r="G64" s="31">
        <v>0.29803921568627451</v>
      </c>
      <c r="H64" s="31">
        <v>0.16078431372549021</v>
      </c>
      <c r="I64" s="32">
        <v>8785.0877192982462</v>
      </c>
      <c r="J64" s="32">
        <v>-8310.5691056910564</v>
      </c>
      <c r="K64" s="31">
        <v>9.2896174863387984E-2</v>
      </c>
      <c r="L64" s="31">
        <v>0.3202614379084967</v>
      </c>
      <c r="M64" s="31">
        <v>0.18627450980392157</v>
      </c>
      <c r="N64" s="31">
        <v>0.54285714285714282</v>
      </c>
      <c r="O64" s="31">
        <v>0.38596491228070173</v>
      </c>
      <c r="P64" s="31">
        <v>0.45833333333333331</v>
      </c>
    </row>
    <row r="65" spans="1:16" x14ac:dyDescent="0.4">
      <c r="A65" s="33">
        <v>62</v>
      </c>
      <c r="B65" s="30">
        <v>1.1990408665951691E-14</v>
      </c>
      <c r="C65" s="30">
        <v>6.4464562720170384E-17</v>
      </c>
      <c r="D65" s="35">
        <v>2</v>
      </c>
      <c r="E65" s="31">
        <v>0.33333333333333331</v>
      </c>
      <c r="F65" s="31">
        <v>0.33333333333333331</v>
      </c>
      <c r="G65" s="31">
        <v>0.29858429858429858</v>
      </c>
      <c r="H65" s="31">
        <v>0.15958815958815958</v>
      </c>
      <c r="I65" s="32">
        <v>8752.1551724137935</v>
      </c>
      <c r="J65" s="32">
        <v>-8261.2903225806458</v>
      </c>
      <c r="K65" s="31">
        <v>9.1397849462365593E-2</v>
      </c>
      <c r="L65" s="31">
        <v>0.32046332046332049</v>
      </c>
      <c r="M65" s="31">
        <v>0.18532818532818532</v>
      </c>
      <c r="N65" s="31">
        <v>0.54417670682730923</v>
      </c>
      <c r="O65" s="31">
        <v>0.38541666666666669</v>
      </c>
      <c r="P65" s="31">
        <v>0.46336206896551724</v>
      </c>
    </row>
    <row r="66" spans="1:16" x14ac:dyDescent="0.4">
      <c r="A66" s="33">
        <v>63</v>
      </c>
      <c r="B66" s="30">
        <v>1.0658141036401503E-14</v>
      </c>
      <c r="C66" s="30">
        <v>5.6392280615880964E-17</v>
      </c>
      <c r="D66" s="35">
        <v>2</v>
      </c>
      <c r="E66" s="31">
        <v>0.33333333333333331</v>
      </c>
      <c r="F66" s="31">
        <v>0.33333333333333331</v>
      </c>
      <c r="G66" s="31">
        <v>0.29937106918238993</v>
      </c>
      <c r="H66" s="31">
        <v>0.15974842767295597</v>
      </c>
      <c r="I66" s="32">
        <v>8809.4537815126059</v>
      </c>
      <c r="J66" s="32">
        <v>-8328.3464566929142</v>
      </c>
      <c r="K66" s="31">
        <v>9.5238095238095233E-2</v>
      </c>
      <c r="L66" s="31">
        <v>0.320125786163522</v>
      </c>
      <c r="M66" s="31">
        <v>0.18553459119496854</v>
      </c>
      <c r="N66" s="31">
        <v>0.5461689587426326</v>
      </c>
      <c r="O66" s="31">
        <v>0.38305084745762713</v>
      </c>
      <c r="P66" s="31">
        <v>0.46218487394957986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567</vt:i4>
      </vt:variant>
    </vt:vector>
  </HeadingPairs>
  <TitlesOfParts>
    <vt:vector size="60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まっつん</vt:lpstr>
      <vt:lpstr>まっつん2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2024-04-28T09:01:18Z</dcterms:modified>
</cp:coreProperties>
</file>