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"/>
    </mc:Choice>
  </mc:AlternateContent>
  <xr:revisionPtr revIDLastSave="0" documentId="13_ncr:1_{A334183A-47A5-45C2-A782-4C3D97440886}" xr6:coauthVersionLast="47" xr6:coauthVersionMax="47" xr10:uidLastSave="{00000000-0000-0000-0000-000000000000}"/>
  <bookViews>
    <workbookView xWindow="1125" yWindow="1125" windowWidth="21600" windowHeight="11505" tabRatio="663" firstSheet="4" activeTab="4" xr2:uid="{00000000-000D-0000-FFFF-FFFF00000000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44" r:id="rId6"/>
    <sheet name="りくと" sheetId="6046" r:id="rId7"/>
    <sheet name="だいち" sheetId="6048" r:id="rId8"/>
    <sheet name="わさび" sheetId="6050" r:id="rId9"/>
    <sheet name="れんたろう" sheetId="6052" r:id="rId10"/>
    <sheet name="たかの" sheetId="6054" r:id="rId11"/>
    <sheet name="ただ" sheetId="6056" r:id="rId12"/>
    <sheet name="ただ2" sheetId="6057" state="hidden" r:id="rId13"/>
    <sheet name="たかの2" sheetId="6055" state="hidden" r:id="rId14"/>
    <sheet name="れんたろう2" sheetId="6053" state="hidden" r:id="rId15"/>
    <sheet name="わさび2" sheetId="6051" state="hidden" r:id="rId16"/>
    <sheet name="だいち2" sheetId="6049" state="hidden" r:id="rId17"/>
    <sheet name="りくと2" sheetId="6047" state="hidden" r:id="rId18"/>
    <sheet name="全体2" sheetId="6045" state="hidden" r:id="rId19"/>
    <sheet name="通算スコア" sheetId="3331" state="hidden" r:id="rId20"/>
    <sheet name="平均スコア" sheetId="3493" state="hidden" r:id="rId21"/>
    <sheet name="平均順位" sheetId="3183" state="hidden" r:id="rId22"/>
    <sheet name="トップ率" sheetId="3185" state="hidden" r:id="rId23"/>
    <sheet name="ラス率" sheetId="4886" state="hidden" r:id="rId24"/>
    <sheet name="アガリ率" sheetId="3189" state="hidden" r:id="rId25"/>
    <sheet name="放銃率" sheetId="3190" state="hidden" r:id="rId26"/>
    <sheet name="平均アガリ点" sheetId="3520" state="hidden" r:id="rId27"/>
    <sheet name="平均放銃点" sheetId="3521" state="hidden" r:id="rId28"/>
    <sheet name="ふっとび率" sheetId="3522" state="hidden" r:id="rId29"/>
    <sheet name="リーチ率" sheetId="3524" state="hidden" r:id="rId30"/>
    <sheet name="副露率" sheetId="3525" state="hidden" r:id="rId31"/>
    <sheet name="リーチ成功率" sheetId="4841" state="hidden" r:id="rId32"/>
    <sheet name="副露成功率" sheetId="3527" state="hidden" r:id="rId33"/>
    <sheet name="ツモ率" sheetId="3528" state="hidden" r:id="rId34"/>
  </sheets>
  <definedNames>
    <definedName name="アガリ数" localSheetId="3">Template1!$B$20</definedName>
    <definedName name="アガリ数" localSheetId="7">だいち!$B$20</definedName>
    <definedName name="アガリ数" localSheetId="10">たかの!$B$20</definedName>
    <definedName name="アガリ数" localSheetId="11">ただ!$B$20</definedName>
    <definedName name="アガリ数" localSheetId="6">りくと!$B$20</definedName>
    <definedName name="アガリ数" localSheetId="9">れんたろう!$B$20</definedName>
    <definedName name="アガリ数" localSheetId="8">わさび!$B$20</definedName>
    <definedName name="アガリ数" localSheetId="5">全体!$B$20</definedName>
    <definedName name="アガリ率" localSheetId="3">Template1!$C$20</definedName>
    <definedName name="アガリ率" localSheetId="7">だいち!$C$20</definedName>
    <definedName name="アガリ率" localSheetId="10">たかの!$C$20</definedName>
    <definedName name="アガリ率" localSheetId="11">ただ!$C$20</definedName>
    <definedName name="アガリ率" localSheetId="6">りくと!$C$20</definedName>
    <definedName name="アガリ率" localSheetId="9">れんたろう!$C$20</definedName>
    <definedName name="アガリ率" localSheetId="8">わさび!$C$20</definedName>
    <definedName name="アガリ率" localSheetId="5">全体!$C$20</definedName>
    <definedName name="ダマアガリ数" localSheetId="3">Template1!$B$26</definedName>
    <definedName name="ダマアガリ数" localSheetId="7">だいち!$B$26</definedName>
    <definedName name="ダマアガリ数" localSheetId="10">たかの!$B$26</definedName>
    <definedName name="ダマアガリ数" localSheetId="11">ただ!$B$26</definedName>
    <definedName name="ダマアガリ数" localSheetId="6">りくと!$B$26</definedName>
    <definedName name="ダマアガリ数" localSheetId="9">れんたろう!$B$26</definedName>
    <definedName name="ダマアガリ数" localSheetId="8">わさび!$B$26</definedName>
    <definedName name="ダマアガリ数" localSheetId="5">全体!$B$26</definedName>
    <definedName name="ダマアガリ率" localSheetId="3">Template1!$C$26</definedName>
    <definedName name="ダマアガリ率" localSheetId="7">だいち!$C$26</definedName>
    <definedName name="ダマアガリ率" localSheetId="10">たかの!$C$26</definedName>
    <definedName name="ダマアガリ率" localSheetId="11">ただ!$C$26</definedName>
    <definedName name="ダマアガリ率" localSheetId="6">りくと!$C$26</definedName>
    <definedName name="ダマアガリ率" localSheetId="9">れんたろう!$C$26</definedName>
    <definedName name="ダマアガリ率" localSheetId="8">わさび!$C$26</definedName>
    <definedName name="ダマアガリ率" localSheetId="5">全体!$C$26</definedName>
    <definedName name="チョンボ数" localSheetId="3">Template1!$B$35</definedName>
    <definedName name="チョンボ数" localSheetId="7">だいち!$B$35</definedName>
    <definedName name="チョンボ数" localSheetId="10">たかの!$B$35</definedName>
    <definedName name="チョンボ数" localSheetId="11">ただ!$B$35</definedName>
    <definedName name="チョンボ数" localSheetId="6">りくと!$B$35</definedName>
    <definedName name="チョンボ数" localSheetId="9">れんたろう!$B$35</definedName>
    <definedName name="チョンボ数" localSheetId="8">わさび!$B$35</definedName>
    <definedName name="チョンボ数" localSheetId="5">全体!$B$35</definedName>
    <definedName name="チョンボ率" localSheetId="3">Template1!$C$35</definedName>
    <definedName name="チョンボ率" localSheetId="7">だいち!$C$35</definedName>
    <definedName name="チョンボ率" localSheetId="10">たかの!$C$35</definedName>
    <definedName name="チョンボ率" localSheetId="11">ただ!$C$35</definedName>
    <definedName name="チョンボ率" localSheetId="6">りくと!$C$35</definedName>
    <definedName name="チョンボ率" localSheetId="9">れんたろう!$C$35</definedName>
    <definedName name="チョンボ率" localSheetId="8">わさび!$C$35</definedName>
    <definedName name="チョンボ率" localSheetId="5">全体!$C$35</definedName>
    <definedName name="ツモ数" localSheetId="3">Template1!$B$22</definedName>
    <definedName name="ツモ数" localSheetId="7">だいち!$B$22</definedName>
    <definedName name="ツモ数" localSheetId="10">たかの!$B$22</definedName>
    <definedName name="ツモ数" localSheetId="11">ただ!$B$22</definedName>
    <definedName name="ツモ数" localSheetId="6">りくと!$B$22</definedName>
    <definedName name="ツモ数" localSheetId="9">れんたろう!$B$22</definedName>
    <definedName name="ツモ数" localSheetId="8">わさび!$B$22</definedName>
    <definedName name="ツモ数" localSheetId="5">全体!$B$22</definedName>
    <definedName name="ツモ率" localSheetId="3">Template1!$C$22</definedName>
    <definedName name="ツモ率" localSheetId="7">だいち!$C$22</definedName>
    <definedName name="ツモ率" localSheetId="10">たかの!$C$22</definedName>
    <definedName name="ツモ率" localSheetId="11">ただ!$C$22</definedName>
    <definedName name="ツモ率" localSheetId="6">りくと!$C$22</definedName>
    <definedName name="ツモ率" localSheetId="9">れんたろう!$C$22</definedName>
    <definedName name="ツモ率" localSheetId="8">わさび!$C$22</definedName>
    <definedName name="ツモ率" localSheetId="5">全体!$C$22</definedName>
    <definedName name="トップ数" localSheetId="3">Template1!$B$8</definedName>
    <definedName name="トップ数" localSheetId="7">だいち!$B$8</definedName>
    <definedName name="トップ数" localSheetId="10">たかの!$B$8</definedName>
    <definedName name="トップ数" localSheetId="11">ただ!$B$8</definedName>
    <definedName name="トップ数" localSheetId="6">りくと!$B$8</definedName>
    <definedName name="トップ数" localSheetId="9">れんたろう!$B$8</definedName>
    <definedName name="トップ数" localSheetId="8">わさび!$B$8</definedName>
    <definedName name="トップ数" localSheetId="5">全体!$B$8</definedName>
    <definedName name="トップ率" localSheetId="3">Template1!$C$8</definedName>
    <definedName name="トップ率" localSheetId="7">だいち!$C$8</definedName>
    <definedName name="トップ率" localSheetId="10">たかの!$C$8</definedName>
    <definedName name="トップ率" localSheetId="11">ただ!$C$8</definedName>
    <definedName name="トップ率" localSheetId="6">りくと!$C$8</definedName>
    <definedName name="トップ率" localSheetId="9">れんたろう!$C$8</definedName>
    <definedName name="トップ率" localSheetId="8">わさび!$C$8</definedName>
    <definedName name="トップ率" localSheetId="5">全体!$C$8</definedName>
    <definedName name="バランス" localSheetId="7">だいち!$B$14</definedName>
    <definedName name="バランス" localSheetId="10">たかの!$B$14</definedName>
    <definedName name="バランス" localSheetId="11">ただ!$B$14</definedName>
    <definedName name="バランス" localSheetId="6">りくと!$B$14</definedName>
    <definedName name="バランス" localSheetId="9">れんたろう!$B$14</definedName>
    <definedName name="バランス" localSheetId="8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7">だいち!$B$15</definedName>
    <definedName name="ふっとび数" localSheetId="10">たかの!$B$15</definedName>
    <definedName name="ふっとび数" localSheetId="11">ただ!$B$15</definedName>
    <definedName name="ふっとび数" localSheetId="6">りくと!$B$15</definedName>
    <definedName name="ふっとび数" localSheetId="9">れんたろう!$B$15</definedName>
    <definedName name="ふっとび数" localSheetId="8">わさび!$B$15</definedName>
    <definedName name="ふっとび数" localSheetId="5">全体!$B$15</definedName>
    <definedName name="ふっとび率" localSheetId="3">Template1!$C$15</definedName>
    <definedName name="ふっとび率" localSheetId="7">だいち!$C$15</definedName>
    <definedName name="ふっとび率" localSheetId="10">たかの!$C$15</definedName>
    <definedName name="ふっとび率" localSheetId="11">ただ!$C$15</definedName>
    <definedName name="ふっとび率" localSheetId="6">りくと!$C$15</definedName>
    <definedName name="ふっとび率" localSheetId="9">れんたろう!$C$15</definedName>
    <definedName name="ふっとび率" localSheetId="8">わさび!$C$15</definedName>
    <definedName name="ふっとび率" localSheetId="5">全体!$C$15</definedName>
    <definedName name="ラス数" localSheetId="3">Template1!$B$10</definedName>
    <definedName name="ラス数" localSheetId="7">だいち!$B$10</definedName>
    <definedName name="ラス数" localSheetId="10">たかの!$B$10</definedName>
    <definedName name="ラス数" localSheetId="11">ただ!$B$10</definedName>
    <definedName name="ラス数" localSheetId="6">りくと!$B$10</definedName>
    <definedName name="ラス数" localSheetId="9">れんたろう!$B$10</definedName>
    <definedName name="ラス数" localSheetId="8">わさび!$B$10</definedName>
    <definedName name="ラス数" localSheetId="5">全体!$B$10</definedName>
    <definedName name="ラス率" localSheetId="3">Template1!$C$10</definedName>
    <definedName name="ラス率" localSheetId="7">だいち!$C$10</definedName>
    <definedName name="ラス率" localSheetId="10">たかの!$C$10</definedName>
    <definedName name="ラス率" localSheetId="11">ただ!$C$10</definedName>
    <definedName name="ラス率" localSheetId="6">りくと!$C$10</definedName>
    <definedName name="ラス率" localSheetId="9">れんたろう!$C$10</definedName>
    <definedName name="ラス率" localSheetId="8">わさび!$C$10</definedName>
    <definedName name="ラス率" localSheetId="5">全体!$C$10</definedName>
    <definedName name="リーチアガリ数" localSheetId="3">Template1!$B$24</definedName>
    <definedName name="リーチアガリ数" localSheetId="7">だいち!$B$24</definedName>
    <definedName name="リーチアガリ数" localSheetId="10">たかの!$B$24</definedName>
    <definedName name="リーチアガリ数" localSheetId="11">ただ!$B$24</definedName>
    <definedName name="リーチアガリ数" localSheetId="6">りくと!$B$24</definedName>
    <definedName name="リーチアガリ数" localSheetId="9">れんたろう!$B$24</definedName>
    <definedName name="リーチアガリ数" localSheetId="8">わさび!$B$24</definedName>
    <definedName name="リーチアガリ数" localSheetId="5">全体!$B$24</definedName>
    <definedName name="リーチアガリ率" localSheetId="3">Template1!$C$24</definedName>
    <definedName name="リーチアガリ率" localSheetId="7">だいち!$C$24</definedName>
    <definedName name="リーチアガリ率" localSheetId="10">たかの!$C$24</definedName>
    <definedName name="リーチアガリ率" localSheetId="11">ただ!$C$24</definedName>
    <definedName name="リーチアガリ率" localSheetId="6">りくと!$C$24</definedName>
    <definedName name="リーチアガリ率" localSheetId="9">れんたろう!$C$24</definedName>
    <definedName name="リーチアガリ率" localSheetId="8">わさび!$C$24</definedName>
    <definedName name="リーチアガリ率" localSheetId="5">全体!$C$24</definedName>
    <definedName name="リーチ数" localSheetId="3">Template1!$B$16</definedName>
    <definedName name="リーチ数" localSheetId="7">だいち!$B$16</definedName>
    <definedName name="リーチ数" localSheetId="10">たかの!$B$16</definedName>
    <definedName name="リーチ数" localSheetId="11">ただ!$B$16</definedName>
    <definedName name="リーチ数" localSheetId="6">りくと!$B$16</definedName>
    <definedName name="リーチ数" localSheetId="9">れんたろう!$B$16</definedName>
    <definedName name="リーチ数" localSheetId="8">わさび!$B$16</definedName>
    <definedName name="リーチ数" localSheetId="5">全体!$B$16</definedName>
    <definedName name="リーチ成功数" localSheetId="3">Template1!$B$18</definedName>
    <definedName name="リーチ成功数" localSheetId="7">だいち!$B$18</definedName>
    <definedName name="リーチ成功数" localSheetId="10">たかの!$B$18</definedName>
    <definedName name="リーチ成功数" localSheetId="11">ただ!$B$18</definedName>
    <definedName name="リーチ成功数" localSheetId="6">りくと!$B$18</definedName>
    <definedName name="リーチ成功数" localSheetId="9">れんたろう!$B$18</definedName>
    <definedName name="リーチ成功数" localSheetId="8">わさび!$B$18</definedName>
    <definedName name="リーチ成功数" localSheetId="5">全体!$B$18</definedName>
    <definedName name="リーチ成功率" localSheetId="3">Template1!$C$18</definedName>
    <definedName name="リーチ成功率" localSheetId="7">だいち!$C$18</definedName>
    <definedName name="リーチ成功率" localSheetId="10">たかの!$C$18</definedName>
    <definedName name="リーチ成功率" localSheetId="11">ただ!$C$18</definedName>
    <definedName name="リーチ成功率" localSheetId="6">りくと!$C$18</definedName>
    <definedName name="リーチ成功率" localSheetId="9">れんたろう!$C$18</definedName>
    <definedName name="リーチ成功率" localSheetId="8">わさび!$C$18</definedName>
    <definedName name="リーチ成功率" localSheetId="5">全体!$C$18</definedName>
    <definedName name="リーチ率" localSheetId="3">Template1!$C$16</definedName>
    <definedName name="リーチ率" localSheetId="7">だいち!$C$16</definedName>
    <definedName name="リーチ率" localSheetId="10">たかの!$C$16</definedName>
    <definedName name="リーチ率" localSheetId="11">ただ!$C$16</definedName>
    <definedName name="リーチ率" localSheetId="6">りくと!$C$16</definedName>
    <definedName name="リーチ率" localSheetId="9">れんたろう!$C$16</definedName>
    <definedName name="リーチ率" localSheetId="8">わさび!$C$16</definedName>
    <definedName name="リーチ率" localSheetId="5">全体!$C$16</definedName>
    <definedName name="レーティング" localSheetId="7">だいち!$B$6</definedName>
    <definedName name="レーティング" localSheetId="10">たかの!$B$6</definedName>
    <definedName name="レーティング" localSheetId="11">ただ!$B$6</definedName>
    <definedName name="レーティング" localSheetId="6">りくと!$B$6</definedName>
    <definedName name="レーティング" localSheetId="9">れんたろう!$B$6</definedName>
    <definedName name="レーティング" localSheetId="8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7">だいち!$B$23</definedName>
    <definedName name="ロン数" localSheetId="10">たかの!$B$23</definedName>
    <definedName name="ロン数" localSheetId="11">ただ!$B$23</definedName>
    <definedName name="ロン数" localSheetId="6">りくと!$B$23</definedName>
    <definedName name="ロン数" localSheetId="9">れんたろう!$B$23</definedName>
    <definedName name="ロン数" localSheetId="8">わさび!$B$23</definedName>
    <definedName name="ロン数" localSheetId="5">全体!$B$23</definedName>
    <definedName name="ロン率" localSheetId="3">Template1!$C$23</definedName>
    <definedName name="ロン率" localSheetId="7">だいち!$C$23</definedName>
    <definedName name="ロン率" localSheetId="10">たかの!$C$23</definedName>
    <definedName name="ロン率" localSheetId="11">ただ!$C$23</definedName>
    <definedName name="ロン率" localSheetId="6">りくと!$C$23</definedName>
    <definedName name="ロン率" localSheetId="9">れんたろう!$C$23</definedName>
    <definedName name="ロン率" localSheetId="8">わさび!$C$23</definedName>
    <definedName name="ロン率" localSheetId="5">全体!$C$23</definedName>
    <definedName name="一位スコア" localSheetId="7">だいち!$B$11</definedName>
    <definedName name="一位スコア" localSheetId="10">たかの!$B$11</definedName>
    <definedName name="一位スコア" localSheetId="11">ただ!$B$11</definedName>
    <definedName name="一位スコア" localSheetId="6">りくと!$B$11</definedName>
    <definedName name="一位スコア" localSheetId="9">れんたろう!$B$11</definedName>
    <definedName name="一位スコア" localSheetId="8">わさび!$B$11</definedName>
    <definedName name="一位スコア" localSheetId="5">全体!$B$11</definedName>
    <definedName name="一位スコア">Template1!$B$11</definedName>
    <definedName name="一位通算スコア" localSheetId="7">だいち!$C$11</definedName>
    <definedName name="一位通算スコア" localSheetId="10">たかの!$C$11</definedName>
    <definedName name="一位通算スコア" localSheetId="11">ただ!$C$11</definedName>
    <definedName name="一位通算スコア" localSheetId="6">りくと!$C$11</definedName>
    <definedName name="一位通算スコア" localSheetId="9">れんたろう!$C$11</definedName>
    <definedName name="一位通算スコア" localSheetId="8">わさび!$C$11</definedName>
    <definedName name="一位通算スコア" localSheetId="5">全体!$C$11</definedName>
    <definedName name="一位通算スコア">Template1!$C$11</definedName>
    <definedName name="一翻数" localSheetId="7">だいち!$B$37</definedName>
    <definedName name="一翻数" localSheetId="10">たかの!$B$37</definedName>
    <definedName name="一翻数" localSheetId="11">ただ!$B$37</definedName>
    <definedName name="一翻数" localSheetId="6">りくと!$B$37</definedName>
    <definedName name="一翻数" localSheetId="9">れんたろう!$B$37</definedName>
    <definedName name="一翻数" localSheetId="8">わさび!$B$37</definedName>
    <definedName name="一翻数" localSheetId="5">全体!$B$37</definedName>
    <definedName name="一翻数">Template1!$B$37</definedName>
    <definedName name="一翻率" localSheetId="7">だいち!$C$37</definedName>
    <definedName name="一翻率" localSheetId="10">たかの!$C$37</definedName>
    <definedName name="一翻率" localSheetId="11">ただ!$C$37</definedName>
    <definedName name="一翻率" localSheetId="6">りくと!$C$37</definedName>
    <definedName name="一翻率" localSheetId="9">れんたろう!$C$37</definedName>
    <definedName name="一翻率" localSheetId="8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7">だいち!$C$31</definedName>
    <definedName name="現行連続アガリ" localSheetId="10">たかの!$C$31</definedName>
    <definedName name="現行連続アガリ" localSheetId="11">ただ!$C$31</definedName>
    <definedName name="現行連続アガリ" localSheetId="6">りくと!$C$31</definedName>
    <definedName name="現行連続アガリ" localSheetId="9">れんたろう!$C$31</definedName>
    <definedName name="現行連続アガリ" localSheetId="8">わさび!$C$31</definedName>
    <definedName name="現行連続アガリ" localSheetId="5">全体!$C$31</definedName>
    <definedName name="現行連続無放銃" localSheetId="3">Template1!$C$32</definedName>
    <definedName name="現行連続無放銃" localSheetId="7">だいち!$C$32</definedName>
    <definedName name="現行連続無放銃" localSheetId="10">たかの!$C$32</definedName>
    <definedName name="現行連続無放銃" localSheetId="11">ただ!$C$32</definedName>
    <definedName name="現行連続無放銃" localSheetId="6">りくと!$C$32</definedName>
    <definedName name="現行連続無放銃" localSheetId="9">れんたろう!$C$32</definedName>
    <definedName name="現行連続無放銃" localSheetId="8">わさび!$C$32</definedName>
    <definedName name="現行連続無放銃" localSheetId="5">全体!$C$32</definedName>
    <definedName name="最高点" localSheetId="3">Template1!$B$34</definedName>
    <definedName name="最高点" localSheetId="7">だいち!$B$34</definedName>
    <definedName name="最高点" localSheetId="10">たかの!$B$34</definedName>
    <definedName name="最高点" localSheetId="11">ただ!$B$34</definedName>
    <definedName name="最高点" localSheetId="6">りくと!$B$34</definedName>
    <definedName name="最高点" localSheetId="9">れんたろう!$B$34</definedName>
    <definedName name="最高点" localSheetId="8">わさび!$B$34</definedName>
    <definedName name="最高点" localSheetId="5">全体!$B$34</definedName>
    <definedName name="最大ドラ数" localSheetId="3">Template1!$B$33</definedName>
    <definedName name="最大ドラ数" localSheetId="7">だいち!$B$33</definedName>
    <definedName name="最大ドラ数" localSheetId="10">たかの!$B$33</definedName>
    <definedName name="最大ドラ数" localSheetId="11">ただ!$B$33</definedName>
    <definedName name="最大ドラ数" localSheetId="6">りくと!$B$33</definedName>
    <definedName name="最大ドラ数" localSheetId="9">れんたろう!$B$33</definedName>
    <definedName name="最大ドラ数" localSheetId="8">わさび!$B$33</definedName>
    <definedName name="最大ドラ数" localSheetId="5">全体!$B$33</definedName>
    <definedName name="最大点数" localSheetId="3">Template1!$B$34</definedName>
    <definedName name="最大点数" localSheetId="7">だいち!$B$34</definedName>
    <definedName name="最大点数" localSheetId="10">たかの!$B$34</definedName>
    <definedName name="最大点数" localSheetId="11">ただ!$B$34</definedName>
    <definedName name="最大点数" localSheetId="6">りくと!$B$34</definedName>
    <definedName name="最大点数" localSheetId="9">れんたろう!$B$34</definedName>
    <definedName name="最大点数" localSheetId="8">わさび!$B$34</definedName>
    <definedName name="最大点数" localSheetId="5">全体!$B$34</definedName>
    <definedName name="三位スコア" localSheetId="7">だいち!$B$13</definedName>
    <definedName name="三位スコア" localSheetId="10">たかの!$B$13</definedName>
    <definedName name="三位スコア" localSheetId="11">ただ!$B$13</definedName>
    <definedName name="三位スコア" localSheetId="6">りくと!$B$13</definedName>
    <definedName name="三位スコア" localSheetId="9">れんたろう!$B$13</definedName>
    <definedName name="三位スコア" localSheetId="8">わさび!$B$13</definedName>
    <definedName name="三位スコア" localSheetId="5">全体!$B$13</definedName>
    <definedName name="三位スコア">Template1!$B$13</definedName>
    <definedName name="三位通算スコア" localSheetId="7">だいち!$C$13</definedName>
    <definedName name="三位通算スコア" localSheetId="10">たかの!$C$13</definedName>
    <definedName name="三位通算スコア" localSheetId="11">ただ!$C$13</definedName>
    <definedName name="三位通算スコア" localSheetId="6">りくと!$C$13</definedName>
    <definedName name="三位通算スコア" localSheetId="9">れんたろう!$C$13</definedName>
    <definedName name="三位通算スコア" localSheetId="8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7">だいち!$B$3</definedName>
    <definedName name="総局数" localSheetId="10">たかの!$B$3</definedName>
    <definedName name="総局数" localSheetId="11">ただ!$B$3</definedName>
    <definedName name="総局数" localSheetId="6">りくと!$B$3</definedName>
    <definedName name="総局数" localSheetId="9">れんたろう!$B$3</definedName>
    <definedName name="総局数" localSheetId="8">わさび!$B$3</definedName>
    <definedName name="総局数" localSheetId="5">全体!$B$3</definedName>
    <definedName name="対戦数" localSheetId="3">Template1!$B$2</definedName>
    <definedName name="対戦数" localSheetId="7">だいち!$B$2</definedName>
    <definedName name="対戦数" localSheetId="10">たかの!$B$2</definedName>
    <definedName name="対戦数" localSheetId="11">ただ!$B$2</definedName>
    <definedName name="対戦数" localSheetId="6">りくと!$B$2</definedName>
    <definedName name="対戦数" localSheetId="9">れんたろう!$B$2</definedName>
    <definedName name="対戦数" localSheetId="8">わさび!$B$2</definedName>
    <definedName name="対戦数" localSheetId="5">全体!$B$2</definedName>
    <definedName name="通算アガリ点" localSheetId="3">Template1!$C$27</definedName>
    <definedName name="通算アガリ点" localSheetId="7">だいち!$C$27</definedName>
    <definedName name="通算アガリ点" localSheetId="10">たかの!$C$27</definedName>
    <definedName name="通算アガリ点" localSheetId="11">ただ!$C$27</definedName>
    <definedName name="通算アガリ点" localSheetId="6">りくと!$C$27</definedName>
    <definedName name="通算アガリ点" localSheetId="9">れんたろう!$C$27</definedName>
    <definedName name="通算アガリ点" localSheetId="8">わさび!$C$27</definedName>
    <definedName name="通算アガリ点" localSheetId="5">全体!$C$27</definedName>
    <definedName name="通算スコア" localSheetId="3">Template1!$B$4</definedName>
    <definedName name="通算スコア" localSheetId="7">だいち!$B$4</definedName>
    <definedName name="通算スコア" localSheetId="10">たかの!$B$4</definedName>
    <definedName name="通算スコア" localSheetId="11">ただ!$B$4</definedName>
    <definedName name="通算スコア" localSheetId="6">りくと!$B$4</definedName>
    <definedName name="通算スコア" localSheetId="9">れんたろう!$B$4</definedName>
    <definedName name="通算スコア" localSheetId="8">わさび!$B$4</definedName>
    <definedName name="通算スコア" localSheetId="5">全体!$B$4</definedName>
    <definedName name="通算副露アガリ点" localSheetId="3">Template1!$C$29</definedName>
    <definedName name="通算副露アガリ点" localSheetId="7">だいち!$C$29</definedName>
    <definedName name="通算副露アガリ点" localSheetId="10">たかの!$C$29</definedName>
    <definedName name="通算副露アガリ点" localSheetId="11">ただ!$C$29</definedName>
    <definedName name="通算副露アガリ点" localSheetId="6">りくと!$C$29</definedName>
    <definedName name="通算副露アガリ点" localSheetId="9">れんたろう!$C$29</definedName>
    <definedName name="通算副露アガリ点" localSheetId="8">わさび!$C$29</definedName>
    <definedName name="通算副露アガリ点" localSheetId="5">全体!$C$29</definedName>
    <definedName name="通算放銃点" localSheetId="3">Template1!$C$30</definedName>
    <definedName name="通算放銃点" localSheetId="7">だいち!$C$30</definedName>
    <definedName name="通算放銃点" localSheetId="10">たかの!$C$30</definedName>
    <definedName name="通算放銃点" localSheetId="11">ただ!$C$30</definedName>
    <definedName name="通算放銃点" localSheetId="6">りくと!$C$30</definedName>
    <definedName name="通算放銃点" localSheetId="9">れんたろう!$C$30</definedName>
    <definedName name="通算放銃点" localSheetId="8">わさび!$C$30</definedName>
    <definedName name="通算放銃点" localSheetId="5">全体!$C$30</definedName>
    <definedName name="通算門前アガリ点" localSheetId="3">Template1!$C$28</definedName>
    <definedName name="通算門前アガリ点" localSheetId="7">だいち!$C$28</definedName>
    <definedName name="通算門前アガリ点" localSheetId="10">たかの!$C$28</definedName>
    <definedName name="通算門前アガリ点" localSheetId="11">ただ!$C$28</definedName>
    <definedName name="通算門前アガリ点" localSheetId="6">りくと!$C$28</definedName>
    <definedName name="通算門前アガリ点" localSheetId="9">れんたろう!$C$28</definedName>
    <definedName name="通算門前アガリ点" localSheetId="8">わさび!$C$28</definedName>
    <definedName name="通算門前アガリ点" localSheetId="5">全体!$C$28</definedName>
    <definedName name="二位スコア" localSheetId="7">だいち!$B$12</definedName>
    <definedName name="二位スコア" localSheetId="10">たかの!$B$12</definedName>
    <definedName name="二位スコア" localSheetId="11">ただ!$B$12</definedName>
    <definedName name="二位スコア" localSheetId="6">りくと!$B$12</definedName>
    <definedName name="二位スコア" localSheetId="9">れんたろう!$B$12</definedName>
    <definedName name="二位スコア" localSheetId="8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7">だいち!$B$9</definedName>
    <definedName name="二位数" localSheetId="10">たかの!$B$9</definedName>
    <definedName name="二位数" localSheetId="11">ただ!$B$9</definedName>
    <definedName name="二位数" localSheetId="6">りくと!$B$9</definedName>
    <definedName name="二位数" localSheetId="9">れんたろう!$B$9</definedName>
    <definedName name="二位数" localSheetId="8">わさび!$B$9</definedName>
    <definedName name="二位数" localSheetId="5">全体!$B$9</definedName>
    <definedName name="二位通算スコア" localSheetId="7">だいち!$C$12</definedName>
    <definedName name="二位通算スコア" localSheetId="10">たかの!$C$12</definedName>
    <definedName name="二位通算スコア" localSheetId="11">ただ!$C$12</definedName>
    <definedName name="二位通算スコア" localSheetId="6">りくと!$C$12</definedName>
    <definedName name="二位通算スコア" localSheetId="9">れんたろう!$C$12</definedName>
    <definedName name="二位通算スコア" localSheetId="8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7">だいち!$C$9</definedName>
    <definedName name="二位率" localSheetId="10">たかの!$C$9</definedName>
    <definedName name="二位率" localSheetId="11">ただ!$C$9</definedName>
    <definedName name="二位率" localSheetId="6">りくと!$C$9</definedName>
    <definedName name="二位率" localSheetId="9">れんたろう!$C$9</definedName>
    <definedName name="二位率" localSheetId="8">わさび!$C$9</definedName>
    <definedName name="二位率" localSheetId="5">全体!$C$9</definedName>
    <definedName name="副露アガリ数" localSheetId="3">Template1!$B$25</definedName>
    <definedName name="副露アガリ数" localSheetId="7">だいち!$B$25</definedName>
    <definedName name="副露アガリ数" localSheetId="10">たかの!$B$25</definedName>
    <definedName name="副露アガリ数" localSheetId="11">ただ!$B$25</definedName>
    <definedName name="副露アガリ数" localSheetId="6">りくと!$B$25</definedName>
    <definedName name="副露アガリ数" localSheetId="9">れんたろう!$B$25</definedName>
    <definedName name="副露アガリ数" localSheetId="8">わさび!$B$25</definedName>
    <definedName name="副露アガリ数" localSheetId="5">全体!$B$25</definedName>
    <definedName name="副露アガリ点" localSheetId="3">Template1!$B$29</definedName>
    <definedName name="副露アガリ点" localSheetId="7">だいち!$B$29</definedName>
    <definedName name="副露アガリ点" localSheetId="10">たかの!$B$29</definedName>
    <definedName name="副露アガリ点" localSheetId="11">ただ!$B$29</definedName>
    <definedName name="副露アガリ点" localSheetId="6">りくと!$B$29</definedName>
    <definedName name="副露アガリ点" localSheetId="9">れんたろう!$B$29</definedName>
    <definedName name="副露アガリ点" localSheetId="8">わさび!$B$29</definedName>
    <definedName name="副露アガリ点" localSheetId="5">全体!$B$29</definedName>
    <definedName name="副露アガリ率" localSheetId="3">Template1!$C$25</definedName>
    <definedName name="副露アガリ率" localSheetId="7">だいち!$C$25</definedName>
    <definedName name="副露アガリ率" localSheetId="10">たかの!$C$25</definedName>
    <definedName name="副露アガリ率" localSheetId="11">ただ!$C$25</definedName>
    <definedName name="副露アガリ率" localSheetId="6">りくと!$C$25</definedName>
    <definedName name="副露アガリ率" localSheetId="9">れんたろう!$C$25</definedName>
    <definedName name="副露アガリ率" localSheetId="8">わさび!$C$25</definedName>
    <definedName name="副露アガリ率" localSheetId="5">全体!$C$25</definedName>
    <definedName name="副露数" localSheetId="3">Template1!$B$17</definedName>
    <definedName name="副露数" localSheetId="7">だいち!$B$17</definedName>
    <definedName name="副露数" localSheetId="10">たかの!$B$17</definedName>
    <definedName name="副露数" localSheetId="11">ただ!$B$17</definedName>
    <definedName name="副露数" localSheetId="6">りくと!$B$17</definedName>
    <definedName name="副露数" localSheetId="9">れんたろう!$B$17</definedName>
    <definedName name="副露数" localSheetId="8">わさび!$B$17</definedName>
    <definedName name="副露数" localSheetId="5">全体!$B$17</definedName>
    <definedName name="副露成功数" localSheetId="3">Template1!$B$19</definedName>
    <definedName name="副露成功数" localSheetId="7">だいち!$B$19</definedName>
    <definedName name="副露成功数" localSheetId="10">たかの!$B$19</definedName>
    <definedName name="副露成功数" localSheetId="11">ただ!$B$19</definedName>
    <definedName name="副露成功数" localSheetId="6">りくと!$B$19</definedName>
    <definedName name="副露成功数" localSheetId="9">れんたろう!$B$19</definedName>
    <definedName name="副露成功数" localSheetId="8">わさび!$B$19</definedName>
    <definedName name="副露成功数" localSheetId="5">全体!$B$19</definedName>
    <definedName name="副露成功率" localSheetId="3">Template1!$C$19</definedName>
    <definedName name="副露成功率" localSheetId="7">だいち!$C$19</definedName>
    <definedName name="副露成功率" localSheetId="10">たかの!$C$19</definedName>
    <definedName name="副露成功率" localSheetId="11">ただ!$C$19</definedName>
    <definedName name="副露成功率" localSheetId="6">りくと!$C$19</definedName>
    <definedName name="副露成功率" localSheetId="9">れんたろう!$C$19</definedName>
    <definedName name="副露成功率" localSheetId="8">わさび!$C$19</definedName>
    <definedName name="副露成功率" localSheetId="5">全体!$C$19</definedName>
    <definedName name="副露率" localSheetId="3">Template1!$C$17</definedName>
    <definedName name="副露率" localSheetId="7">だいち!$C$17</definedName>
    <definedName name="副露率" localSheetId="10">たかの!$C$17</definedName>
    <definedName name="副露率" localSheetId="11">ただ!$C$17</definedName>
    <definedName name="副露率" localSheetId="6">りくと!$C$17</definedName>
    <definedName name="副露率" localSheetId="9">れんたろう!$C$17</definedName>
    <definedName name="副露率" localSheetId="8">わさび!$C$17</definedName>
    <definedName name="副露率" localSheetId="5">全体!$C$17</definedName>
    <definedName name="平均アガリ点" localSheetId="3">Template1!$B$27</definedName>
    <definedName name="平均アガリ点" localSheetId="7">だいち!$B$27</definedName>
    <definedName name="平均アガリ点" localSheetId="10">たかの!$B$27</definedName>
    <definedName name="平均アガリ点" localSheetId="11">ただ!$B$27</definedName>
    <definedName name="平均アガリ点" localSheetId="6">りくと!$B$27</definedName>
    <definedName name="平均アガリ点" localSheetId="9">れんたろう!$B$27</definedName>
    <definedName name="平均アガリ点" localSheetId="8">わさび!$B$27</definedName>
    <definedName name="平均アガリ点" localSheetId="5">全体!$B$27</definedName>
    <definedName name="平均スコア" localSheetId="3">Template1!$B$5</definedName>
    <definedName name="平均スコア" localSheetId="7">だいち!$B$5</definedName>
    <definedName name="平均スコア" localSheetId="10">たかの!$B$5</definedName>
    <definedName name="平均スコア" localSheetId="11">ただ!$B$5</definedName>
    <definedName name="平均スコア" localSheetId="6">りくと!$B$5</definedName>
    <definedName name="平均スコア" localSheetId="9">れんたろう!$B$5</definedName>
    <definedName name="平均スコア" localSheetId="8">わさび!$B$5</definedName>
    <definedName name="平均スコア" localSheetId="5">全体!$B$5</definedName>
    <definedName name="平均順位" localSheetId="3">Template1!$B$7</definedName>
    <definedName name="平均順位" localSheetId="7">だいち!$B$7</definedName>
    <definedName name="平均順位" localSheetId="10">たかの!$B$7</definedName>
    <definedName name="平均順位" localSheetId="11">ただ!$B$7</definedName>
    <definedName name="平均順位" localSheetId="6">りくと!$B$7</definedName>
    <definedName name="平均順位" localSheetId="9">れんたろう!$B$7</definedName>
    <definedName name="平均順位" localSheetId="8">わさび!$B$7</definedName>
    <definedName name="平均順位" localSheetId="5">全体!$B$7</definedName>
    <definedName name="平均放銃点" localSheetId="3">Template1!$B$30</definedName>
    <definedName name="平均放銃点" localSheetId="7">だいち!$B$30</definedName>
    <definedName name="平均放銃点" localSheetId="10">たかの!$B$30</definedName>
    <definedName name="平均放銃点" localSheetId="11">ただ!$B$30</definedName>
    <definedName name="平均放銃点" localSheetId="6">りくと!$B$30</definedName>
    <definedName name="平均放銃点" localSheetId="9">れんたろう!$B$30</definedName>
    <definedName name="平均放銃点" localSheetId="8">わさび!$B$30</definedName>
    <definedName name="平均放銃点" localSheetId="5">全体!$B$30</definedName>
    <definedName name="放銃数" localSheetId="3">Template1!$B$21</definedName>
    <definedName name="放銃数" localSheetId="7">だいち!$B$21</definedName>
    <definedName name="放銃数" localSheetId="10">たかの!$B$21</definedName>
    <definedName name="放銃数" localSheetId="11">ただ!$B$21</definedName>
    <definedName name="放銃数" localSheetId="6">りくと!$B$21</definedName>
    <definedName name="放銃数" localSheetId="9">れんたろう!$B$21</definedName>
    <definedName name="放銃数" localSheetId="8">わさび!$B$21</definedName>
    <definedName name="放銃数" localSheetId="5">全体!$B$21</definedName>
    <definedName name="放銃率" localSheetId="3">Template1!$C$21</definedName>
    <definedName name="放銃率" localSheetId="7">だいち!$C$21</definedName>
    <definedName name="放銃率" localSheetId="10">たかの!$C$21</definedName>
    <definedName name="放銃率" localSheetId="11">ただ!$C$21</definedName>
    <definedName name="放銃率" localSheetId="6">りくと!$C$21</definedName>
    <definedName name="放銃率" localSheetId="9">れんたろう!$C$21</definedName>
    <definedName name="放銃率" localSheetId="8">わさび!$C$21</definedName>
    <definedName name="放銃率" localSheetId="5">全体!$C$21</definedName>
    <definedName name="名前" localSheetId="3">Template1!$B$1</definedName>
    <definedName name="名前" localSheetId="7">だいち!$B$1</definedName>
    <definedName name="名前" localSheetId="10">たかの!$B$1</definedName>
    <definedName name="名前" localSheetId="11">ただ!$B$1</definedName>
    <definedName name="名前" localSheetId="6">りくと!$B$1</definedName>
    <definedName name="名前" localSheetId="9">れんたろう!$B$1</definedName>
    <definedName name="名前" localSheetId="8">わさび!$B$1</definedName>
    <definedName name="名前" localSheetId="5">全体!$B$1</definedName>
    <definedName name="門前アガリ点" localSheetId="3">Template1!$B$28</definedName>
    <definedName name="門前アガリ点" localSheetId="7">だいち!$B$28</definedName>
    <definedName name="門前アガリ点" localSheetId="10">たかの!$B$28</definedName>
    <definedName name="門前アガリ点" localSheetId="11">ただ!$B$28</definedName>
    <definedName name="門前アガリ点" localSheetId="6">りくと!$B$28</definedName>
    <definedName name="門前アガリ点" localSheetId="9">れんたろう!$B$28</definedName>
    <definedName name="門前アガリ点" localSheetId="8">わさび!$B$28</definedName>
    <definedName name="門前アガリ点" localSheetId="5">全体!$B$28</definedName>
    <definedName name="連続アガリ" localSheetId="3">Template1!$B$31</definedName>
    <definedName name="連続アガリ" localSheetId="7">だいち!$B$31</definedName>
    <definedName name="連続アガリ" localSheetId="10">たかの!$B$31</definedName>
    <definedName name="連続アガリ" localSheetId="11">ただ!$B$31</definedName>
    <definedName name="連続アガリ" localSheetId="6">りくと!$B$31</definedName>
    <definedName name="連続アガリ" localSheetId="9">れんたろう!$B$31</definedName>
    <definedName name="連続アガリ" localSheetId="8">わさび!$B$31</definedName>
    <definedName name="連続アガリ" localSheetId="5">全体!$B$31</definedName>
    <definedName name="連続無放銃" localSheetId="3">Template1!$B$32</definedName>
    <definedName name="連続無放銃" localSheetId="7">だいち!$B$32</definedName>
    <definedName name="連続無放銃" localSheetId="10">たかの!$B$32</definedName>
    <definedName name="連続無放銃" localSheetId="11">ただ!$B$32</definedName>
    <definedName name="連続無放銃" localSheetId="6">りくと!$B$32</definedName>
    <definedName name="連続無放銃" localSheetId="9">れんたろう!$B$32</definedName>
    <definedName name="連続無放銃" localSheetId="8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8" i="6048" l="1"/>
  <c r="P16" i="6052"/>
  <c r="P17" i="6056"/>
  <c r="P17" i="6054"/>
  <c r="P17" i="6048"/>
  <c r="P19" i="6048"/>
  <c r="P16" i="6056"/>
  <c r="P15" i="6056"/>
  <c r="C35" i="6056"/>
  <c r="B30" i="6056"/>
  <c r="C21" i="6056"/>
  <c r="B20" i="6056"/>
  <c r="H52" i="6056" s="1"/>
  <c r="B19" i="6056"/>
  <c r="B29" i="6056" s="1"/>
  <c r="B18" i="6056"/>
  <c r="C18" i="6056" s="1"/>
  <c r="C17" i="6056"/>
  <c r="C16" i="6056"/>
  <c r="C15" i="6056"/>
  <c r="B13" i="6056"/>
  <c r="P12" i="6056"/>
  <c r="B12" i="6056"/>
  <c r="P11" i="6056"/>
  <c r="B11" i="6056"/>
  <c r="P10" i="6056"/>
  <c r="C10" i="6056"/>
  <c r="C9" i="6056"/>
  <c r="C8" i="6056"/>
  <c r="P7" i="6056"/>
  <c r="B7" i="6056"/>
  <c r="P6" i="6056"/>
  <c r="P5" i="6056"/>
  <c r="B5" i="6056"/>
  <c r="P4" i="6056"/>
  <c r="P3" i="6056"/>
  <c r="P2" i="6056"/>
  <c r="P15" i="6054"/>
  <c r="P16" i="6054"/>
  <c r="C35" i="6054"/>
  <c r="B30" i="6054"/>
  <c r="C21" i="6054"/>
  <c r="B20" i="6054"/>
  <c r="H51" i="6054" s="1"/>
  <c r="B19" i="6054"/>
  <c r="B29" i="6054" s="1"/>
  <c r="B18" i="6054"/>
  <c r="C18" i="6054" s="1"/>
  <c r="C17" i="6054"/>
  <c r="C16" i="6054"/>
  <c r="C15" i="6054"/>
  <c r="B13" i="6054"/>
  <c r="P12" i="6054"/>
  <c r="B12" i="6054"/>
  <c r="P11" i="6054"/>
  <c r="B11" i="6054"/>
  <c r="P10" i="6054"/>
  <c r="C10" i="6054"/>
  <c r="C9" i="6054"/>
  <c r="C8" i="6054"/>
  <c r="P7" i="6054"/>
  <c r="B7" i="6054"/>
  <c r="P6" i="6054"/>
  <c r="P5" i="6054"/>
  <c r="B5" i="6054"/>
  <c r="P4" i="6054"/>
  <c r="P3" i="6054"/>
  <c r="P2" i="6054"/>
  <c r="P17" i="6044"/>
  <c r="P15" i="6052"/>
  <c r="P17" i="6052"/>
  <c r="C35" i="6052"/>
  <c r="B30" i="6052"/>
  <c r="C21" i="6052"/>
  <c r="B20" i="6052"/>
  <c r="H52" i="6052" s="1"/>
  <c r="C19" i="6052"/>
  <c r="B19" i="6052"/>
  <c r="B29" i="6052" s="1"/>
  <c r="B18" i="6052"/>
  <c r="C18" i="6052" s="1"/>
  <c r="C17" i="6052"/>
  <c r="C16" i="6052"/>
  <c r="C15" i="6052"/>
  <c r="B13" i="6052"/>
  <c r="P12" i="6052"/>
  <c r="B12" i="6052"/>
  <c r="P11" i="6052"/>
  <c r="B11" i="6052"/>
  <c r="P10" i="6052"/>
  <c r="C10" i="6052"/>
  <c r="C9" i="6052"/>
  <c r="C8" i="6052"/>
  <c r="P7" i="6052"/>
  <c r="B7" i="6052"/>
  <c r="P6" i="6052"/>
  <c r="P5" i="6052"/>
  <c r="B5" i="6052"/>
  <c r="P4" i="6052"/>
  <c r="P3" i="6052"/>
  <c r="P2" i="6052"/>
  <c r="P16" i="6044"/>
  <c r="P19" i="6044"/>
  <c r="B14" i="6056" l="1"/>
  <c r="C19" i="6054"/>
  <c r="H18" i="6052"/>
  <c r="H10" i="6052"/>
  <c r="H4" i="6052"/>
  <c r="H6" i="6056"/>
  <c r="H20" i="6056"/>
  <c r="C19" i="6056"/>
  <c r="H14" i="6052"/>
  <c r="H20" i="6052"/>
  <c r="H23" i="6052"/>
  <c r="C22" i="6052"/>
  <c r="C44" i="6052"/>
  <c r="H15" i="6052"/>
  <c r="C23" i="6052"/>
  <c r="H45" i="6052"/>
  <c r="H8" i="6052"/>
  <c r="H6" i="6052"/>
  <c r="H9" i="6052"/>
  <c r="H21" i="6052"/>
  <c r="C25" i="6052"/>
  <c r="H36" i="6052"/>
  <c r="H48" i="6052"/>
  <c r="H2" i="6052"/>
  <c r="H16" i="6052"/>
  <c r="H27" i="6052"/>
  <c r="H37" i="6052"/>
  <c r="C48" i="6052"/>
  <c r="C26" i="6052"/>
  <c r="H40" i="6052"/>
  <c r="H49" i="6052"/>
  <c r="C40" i="6052"/>
  <c r="B27" i="6052"/>
  <c r="H11" i="6052"/>
  <c r="H41" i="6052"/>
  <c r="C20" i="6052"/>
  <c r="H3" i="6052"/>
  <c r="H7" i="6052"/>
  <c r="H19" i="6052"/>
  <c r="H17" i="6052"/>
  <c r="H30" i="6052"/>
  <c r="H44" i="6052"/>
  <c r="H3" i="6056"/>
  <c r="H24" i="6056"/>
  <c r="C40" i="6056"/>
  <c r="C22" i="6056"/>
  <c r="C44" i="6056"/>
  <c r="H27" i="6056"/>
  <c r="H10" i="6056"/>
  <c r="H22" i="6056"/>
  <c r="H49" i="6056"/>
  <c r="C26" i="6056"/>
  <c r="C20" i="6056"/>
  <c r="H36" i="6056"/>
  <c r="H37" i="6056"/>
  <c r="B14" i="6054"/>
  <c r="H25" i="6054"/>
  <c r="H22" i="6054"/>
  <c r="H40" i="6054"/>
  <c r="H42" i="6054"/>
  <c r="H41" i="6056"/>
  <c r="H8" i="6056"/>
  <c r="H31" i="6056"/>
  <c r="H45" i="6056"/>
  <c r="C48" i="6056"/>
  <c r="H30" i="6056"/>
  <c r="H17" i="6056"/>
  <c r="H19" i="6056"/>
  <c r="C25" i="6056"/>
  <c r="H40" i="6056"/>
  <c r="H44" i="6056"/>
  <c r="H48" i="6056"/>
  <c r="H11" i="6056"/>
  <c r="H13" i="6056"/>
  <c r="H25" i="6056"/>
  <c r="H32" i="6056"/>
  <c r="C37" i="6056"/>
  <c r="C41" i="6056"/>
  <c r="C45" i="6056"/>
  <c r="C49" i="6056"/>
  <c r="H5" i="6056"/>
  <c r="H28" i="6056"/>
  <c r="H7" i="6056"/>
  <c r="H12" i="6056"/>
  <c r="H14" i="6056"/>
  <c r="C23" i="6056"/>
  <c r="B27" i="6056"/>
  <c r="H33" i="6056"/>
  <c r="H38" i="6056"/>
  <c r="H42" i="6056"/>
  <c r="H46" i="6056"/>
  <c r="H50" i="6056"/>
  <c r="H26" i="6056"/>
  <c r="H29" i="6056"/>
  <c r="H16" i="6056"/>
  <c r="C38" i="6056"/>
  <c r="C42" i="6056"/>
  <c r="C46" i="6056"/>
  <c r="H51" i="6056"/>
  <c r="H2" i="6056"/>
  <c r="H9" i="6056"/>
  <c r="H18" i="6056"/>
  <c r="H21" i="6056"/>
  <c r="C24" i="6056"/>
  <c r="B28" i="6056"/>
  <c r="H34" i="6056"/>
  <c r="H39" i="6056"/>
  <c r="H43" i="6056"/>
  <c r="H47" i="6056"/>
  <c r="H4" i="6056"/>
  <c r="H23" i="6056"/>
  <c r="H15" i="6056"/>
  <c r="H35" i="6056"/>
  <c r="C39" i="6056"/>
  <c r="C43" i="6056"/>
  <c r="C47" i="6056"/>
  <c r="H34" i="6054"/>
  <c r="H16" i="6054"/>
  <c r="H18" i="6054"/>
  <c r="H24" i="6054"/>
  <c r="H37" i="6054"/>
  <c r="H17" i="6054"/>
  <c r="C26" i="6054"/>
  <c r="C45" i="6054"/>
  <c r="H10" i="6054"/>
  <c r="B28" i="6054"/>
  <c r="C47" i="6054"/>
  <c r="H6" i="6054"/>
  <c r="H4" i="6054"/>
  <c r="H5" i="6054"/>
  <c r="H2" i="6054"/>
  <c r="H9" i="6054"/>
  <c r="H19" i="6054"/>
  <c r="H28" i="6054"/>
  <c r="H35" i="6054"/>
  <c r="H41" i="6054"/>
  <c r="H46" i="6054"/>
  <c r="H52" i="6054"/>
  <c r="H20" i="6054"/>
  <c r="C22" i="6054"/>
  <c r="B27" i="6054"/>
  <c r="C41" i="6054"/>
  <c r="H47" i="6054"/>
  <c r="H8" i="6054"/>
  <c r="H12" i="6054"/>
  <c r="H21" i="6054"/>
  <c r="C23" i="6054"/>
  <c r="H29" i="6054"/>
  <c r="C37" i="6054"/>
  <c r="H43" i="6054"/>
  <c r="H48" i="6054"/>
  <c r="H3" i="6054"/>
  <c r="H14" i="6054"/>
  <c r="C24" i="6054"/>
  <c r="H38" i="6054"/>
  <c r="C43" i="6054"/>
  <c r="H49" i="6054"/>
  <c r="H15" i="6054"/>
  <c r="H31" i="6054"/>
  <c r="H39" i="6054"/>
  <c r="H44" i="6054"/>
  <c r="C49" i="6054"/>
  <c r="H7" i="6054"/>
  <c r="C20" i="6054"/>
  <c r="C25" i="6054"/>
  <c r="H32" i="6054"/>
  <c r="C39" i="6054"/>
  <c r="H45" i="6054"/>
  <c r="H50" i="6054"/>
  <c r="H23" i="6054"/>
  <c r="H13" i="6054"/>
  <c r="H27" i="6054"/>
  <c r="H30" i="6054"/>
  <c r="H36" i="6054"/>
  <c r="C40" i="6054"/>
  <c r="C44" i="6054"/>
  <c r="C48" i="6054"/>
  <c r="H26" i="6054"/>
  <c r="H11" i="6054"/>
  <c r="H33" i="6054"/>
  <c r="C38" i="6054"/>
  <c r="C42" i="6054"/>
  <c r="C46" i="6054"/>
  <c r="B14" i="6052"/>
  <c r="H25" i="6052"/>
  <c r="H28" i="6052"/>
  <c r="H31" i="6052"/>
  <c r="C37" i="6052"/>
  <c r="C41" i="6052"/>
  <c r="C45" i="6052"/>
  <c r="C49" i="6052"/>
  <c r="H32" i="6052"/>
  <c r="H38" i="6052"/>
  <c r="H42" i="6052"/>
  <c r="H46" i="6052"/>
  <c r="H50" i="6052"/>
  <c r="H26" i="6052"/>
  <c r="H13" i="6052"/>
  <c r="H33" i="6052"/>
  <c r="C38" i="6052"/>
  <c r="C42" i="6052"/>
  <c r="C46" i="6052"/>
  <c r="H51" i="6052"/>
  <c r="H22" i="6052"/>
  <c r="C24" i="6052"/>
  <c r="B28" i="6052"/>
  <c r="H34" i="6052"/>
  <c r="H39" i="6052"/>
  <c r="H43" i="6052"/>
  <c r="H47" i="6052"/>
  <c r="H5" i="6052"/>
  <c r="H24" i="6052"/>
  <c r="H12" i="6052"/>
  <c r="H29" i="6052"/>
  <c r="H35" i="6052"/>
  <c r="C39" i="6052"/>
  <c r="C43" i="6052"/>
  <c r="C47" i="6052"/>
  <c r="P16" i="6050" l="1"/>
  <c r="P15" i="6050"/>
  <c r="C35" i="6050"/>
  <c r="B30" i="6050"/>
  <c r="C21" i="6050"/>
  <c r="B20" i="6050"/>
  <c r="H52" i="6050" s="1"/>
  <c r="B19" i="6050"/>
  <c r="B29" i="6050" s="1"/>
  <c r="B18" i="6050"/>
  <c r="C18" i="6050" s="1"/>
  <c r="C17" i="6050"/>
  <c r="C16" i="6050"/>
  <c r="C15" i="6050"/>
  <c r="B13" i="6050"/>
  <c r="P12" i="6050"/>
  <c r="B12" i="6050"/>
  <c r="P11" i="6050"/>
  <c r="B11" i="6050"/>
  <c r="P10" i="6050"/>
  <c r="C10" i="6050"/>
  <c r="C9" i="6050"/>
  <c r="C8" i="6050"/>
  <c r="P7" i="6050"/>
  <c r="B7" i="6050"/>
  <c r="P6" i="6050"/>
  <c r="P5" i="6050"/>
  <c r="B5" i="6050"/>
  <c r="P4" i="6050"/>
  <c r="P3" i="6050"/>
  <c r="P2" i="6050"/>
  <c r="P16" i="6048"/>
  <c r="P15" i="6048"/>
  <c r="C35" i="6048"/>
  <c r="B30" i="6048"/>
  <c r="C21" i="6048"/>
  <c r="B20" i="6048"/>
  <c r="H5" i="6048" s="1"/>
  <c r="B19" i="6048"/>
  <c r="B29" i="6048" s="1"/>
  <c r="B18" i="6048"/>
  <c r="C18" i="6048" s="1"/>
  <c r="C17" i="6048"/>
  <c r="C16" i="6048"/>
  <c r="C15" i="6048"/>
  <c r="B13" i="6048"/>
  <c r="P12" i="6048"/>
  <c r="B12" i="6048"/>
  <c r="P11" i="6048"/>
  <c r="B11" i="6048"/>
  <c r="P10" i="6048"/>
  <c r="C10" i="6048"/>
  <c r="C9" i="6048"/>
  <c r="C8" i="6048"/>
  <c r="P7" i="6048"/>
  <c r="B7" i="6048"/>
  <c r="P6" i="6048"/>
  <c r="P5" i="6048"/>
  <c r="B5" i="6048"/>
  <c r="P4" i="6048"/>
  <c r="P3" i="6048"/>
  <c r="P2" i="6048"/>
  <c r="P18" i="6044"/>
  <c r="P15" i="6046"/>
  <c r="P16" i="6046"/>
  <c r="C35" i="6046"/>
  <c r="B30" i="6046"/>
  <c r="C21" i="6046"/>
  <c r="B20" i="6046"/>
  <c r="H52" i="6046" s="1"/>
  <c r="B19" i="6046"/>
  <c r="B29" i="6046" s="1"/>
  <c r="B18" i="6046"/>
  <c r="C18" i="6046" s="1"/>
  <c r="C17" i="6046"/>
  <c r="C16" i="6046"/>
  <c r="C15" i="6046"/>
  <c r="B13" i="6046"/>
  <c r="P12" i="6046"/>
  <c r="B12" i="6046"/>
  <c r="P11" i="6046"/>
  <c r="B11" i="6046"/>
  <c r="P10" i="6046"/>
  <c r="C10" i="6046"/>
  <c r="C9" i="6046"/>
  <c r="C8" i="6046"/>
  <c r="P7" i="6046"/>
  <c r="B7" i="6046"/>
  <c r="P6" i="6046"/>
  <c r="P5" i="6046"/>
  <c r="B5" i="6046"/>
  <c r="P4" i="6046"/>
  <c r="P3" i="6046"/>
  <c r="P2" i="6046"/>
  <c r="P15" i="6044"/>
  <c r="P20" i="6044"/>
  <c r="C35" i="6044"/>
  <c r="B30" i="6044"/>
  <c r="C21" i="6044"/>
  <c r="B20" i="6044"/>
  <c r="H4" i="6044" s="1"/>
  <c r="B19" i="6044"/>
  <c r="B29" i="6044" s="1"/>
  <c r="B18" i="6044"/>
  <c r="C18" i="6044" s="1"/>
  <c r="C17" i="6044"/>
  <c r="C16" i="6044"/>
  <c r="C15" i="6044"/>
  <c r="B13" i="6044"/>
  <c r="P12" i="6044"/>
  <c r="B12" i="6044"/>
  <c r="P11" i="6044"/>
  <c r="B11" i="6044"/>
  <c r="P10" i="6044"/>
  <c r="C10" i="6044"/>
  <c r="C9" i="6044"/>
  <c r="C8" i="6044"/>
  <c r="P7" i="6044"/>
  <c r="B7" i="6044"/>
  <c r="P6" i="6044"/>
  <c r="P5" i="6044"/>
  <c r="B5" i="6044"/>
  <c r="P4" i="6044"/>
  <c r="P3" i="6044"/>
  <c r="P2" i="6044"/>
  <c r="B14" i="6048" l="1"/>
  <c r="C19" i="6050"/>
  <c r="B14" i="6046"/>
  <c r="C19" i="6048"/>
  <c r="C19" i="6046"/>
  <c r="H7" i="6046"/>
  <c r="H31" i="6046"/>
  <c r="H32" i="6046"/>
  <c r="C19" i="6044"/>
  <c r="H3" i="6050"/>
  <c r="H11" i="6050"/>
  <c r="H45" i="6050"/>
  <c r="H11" i="6048"/>
  <c r="H21" i="6046"/>
  <c r="C25" i="6046"/>
  <c r="B14" i="6050"/>
  <c r="H30" i="6050"/>
  <c r="H2" i="6050"/>
  <c r="H17" i="6050"/>
  <c r="H21" i="6050"/>
  <c r="H31" i="6050"/>
  <c r="H18" i="6050"/>
  <c r="H24" i="6050"/>
  <c r="H38" i="6050"/>
  <c r="H8" i="6050"/>
  <c r="H14" i="6050"/>
  <c r="C23" i="6050"/>
  <c r="H40" i="6050"/>
  <c r="H6" i="6050"/>
  <c r="C25" i="6050"/>
  <c r="C40" i="6050"/>
  <c r="C45" i="6050"/>
  <c r="H46" i="6050"/>
  <c r="H48" i="6050"/>
  <c r="C48" i="6050"/>
  <c r="H41" i="6050"/>
  <c r="H19" i="6050"/>
  <c r="H7" i="6050"/>
  <c r="H10" i="6050"/>
  <c r="H15" i="6050"/>
  <c r="H28" i="6050"/>
  <c r="H36" i="6050"/>
  <c r="H42" i="6050"/>
  <c r="H49" i="6050"/>
  <c r="H27" i="6050"/>
  <c r="C20" i="6050"/>
  <c r="H16" i="6050"/>
  <c r="H23" i="6050"/>
  <c r="B27" i="6050"/>
  <c r="H37" i="6050"/>
  <c r="H44" i="6050"/>
  <c r="C49" i="6050"/>
  <c r="H9" i="6050"/>
  <c r="H32" i="6050"/>
  <c r="H5" i="6050"/>
  <c r="C26" i="6050"/>
  <c r="C41" i="6050"/>
  <c r="H13" i="6050"/>
  <c r="H20" i="6050"/>
  <c r="C22" i="6050"/>
  <c r="C37" i="6050"/>
  <c r="C44" i="6050"/>
  <c r="H50" i="6050"/>
  <c r="H25" i="6050"/>
  <c r="H12" i="6050"/>
  <c r="H33" i="6050"/>
  <c r="C38" i="6050"/>
  <c r="C42" i="6050"/>
  <c r="C46" i="6050"/>
  <c r="H51" i="6050"/>
  <c r="C24" i="6050"/>
  <c r="B28" i="6050"/>
  <c r="H34" i="6050"/>
  <c r="H39" i="6050"/>
  <c r="H43" i="6050"/>
  <c r="H47" i="6050"/>
  <c r="H4" i="6050"/>
  <c r="H22" i="6050"/>
  <c r="H26" i="6050"/>
  <c r="H29" i="6050"/>
  <c r="H35" i="6050"/>
  <c r="C39" i="6050"/>
  <c r="C43" i="6050"/>
  <c r="C47" i="6050"/>
  <c r="H19" i="6048"/>
  <c r="H12" i="6048"/>
  <c r="C39" i="6048"/>
  <c r="C45" i="6048"/>
  <c r="H41" i="6048"/>
  <c r="H3" i="6048"/>
  <c r="H18" i="6048"/>
  <c r="C25" i="6048"/>
  <c r="H33" i="6048"/>
  <c r="H47" i="6048"/>
  <c r="H13" i="6048"/>
  <c r="H23" i="6048"/>
  <c r="C20" i="6048"/>
  <c r="H29" i="6048"/>
  <c r="H34" i="6048"/>
  <c r="C40" i="6048"/>
  <c r="C47" i="6048"/>
  <c r="H2" i="6048"/>
  <c r="H7" i="6048"/>
  <c r="H26" i="6048"/>
  <c r="H30" i="6048"/>
  <c r="H37" i="6048"/>
  <c r="C41" i="6048"/>
  <c r="H49" i="6048"/>
  <c r="H6" i="6048"/>
  <c r="B27" i="6048"/>
  <c r="H43" i="6048"/>
  <c r="C48" i="6048"/>
  <c r="H10" i="6048"/>
  <c r="H25" i="6048"/>
  <c r="H15" i="6048"/>
  <c r="H31" i="6048"/>
  <c r="H38" i="6048"/>
  <c r="C43" i="6048"/>
  <c r="C49" i="6048"/>
  <c r="H17" i="6048"/>
  <c r="H27" i="6048"/>
  <c r="C37" i="6048"/>
  <c r="H45" i="6048"/>
  <c r="H51" i="6048"/>
  <c r="H22" i="6048"/>
  <c r="C23" i="6048"/>
  <c r="H32" i="6048"/>
  <c r="H20" i="6048"/>
  <c r="C44" i="6048"/>
  <c r="H52" i="6048"/>
  <c r="H24" i="6048"/>
  <c r="C22" i="6048"/>
  <c r="C26" i="6048"/>
  <c r="H39" i="6048"/>
  <c r="H42" i="6048"/>
  <c r="H46" i="6048"/>
  <c r="H50" i="6048"/>
  <c r="H28" i="6048"/>
  <c r="H9" i="6048"/>
  <c r="H35" i="6048"/>
  <c r="C38" i="6048"/>
  <c r="C42" i="6048"/>
  <c r="C46" i="6048"/>
  <c r="H21" i="6048"/>
  <c r="H4" i="6048"/>
  <c r="H8" i="6048"/>
  <c r="H16" i="6048"/>
  <c r="H14" i="6048"/>
  <c r="C24" i="6048"/>
  <c r="B28" i="6048"/>
  <c r="H36" i="6048"/>
  <c r="H40" i="6048"/>
  <c r="H44" i="6048"/>
  <c r="H48" i="6048"/>
  <c r="B14" i="6044"/>
  <c r="H17" i="6046"/>
  <c r="C41" i="6046"/>
  <c r="H41" i="6046"/>
  <c r="H24" i="6046"/>
  <c r="H12" i="6046"/>
  <c r="C23" i="6046"/>
  <c r="C44" i="6046"/>
  <c r="H10" i="6046"/>
  <c r="H18" i="6046"/>
  <c r="H36" i="6046"/>
  <c r="H14" i="6046"/>
  <c r="C45" i="6046"/>
  <c r="B27" i="6046"/>
  <c r="C26" i="6046"/>
  <c r="C20" i="6046"/>
  <c r="H37" i="6046"/>
  <c r="H23" i="6046"/>
  <c r="C48" i="6046"/>
  <c r="H45" i="6046"/>
  <c r="H6" i="6046"/>
  <c r="H27" i="6046"/>
  <c r="H11" i="6046"/>
  <c r="C37" i="6046"/>
  <c r="H46" i="6046"/>
  <c r="H3" i="6046"/>
  <c r="H8" i="6046"/>
  <c r="H30" i="6046"/>
  <c r="H38" i="6046"/>
  <c r="H16" i="6046"/>
  <c r="H20" i="6046"/>
  <c r="C22" i="6046"/>
  <c r="C40" i="6046"/>
  <c r="H49" i="6046"/>
  <c r="C49" i="6046"/>
  <c r="H26" i="6046"/>
  <c r="H42" i="6046"/>
  <c r="H50" i="6046"/>
  <c r="H40" i="6046"/>
  <c r="H44" i="6046"/>
  <c r="H48" i="6046"/>
  <c r="H25" i="6046"/>
  <c r="H28" i="6046"/>
  <c r="H33" i="6046"/>
  <c r="C38" i="6046"/>
  <c r="C42" i="6046"/>
  <c r="C46" i="6046"/>
  <c r="H51" i="6046"/>
  <c r="H5" i="6046"/>
  <c r="H4" i="6046"/>
  <c r="H9" i="6046"/>
  <c r="H15" i="6046"/>
  <c r="H19" i="6046"/>
  <c r="C24" i="6046"/>
  <c r="B28" i="6046"/>
  <c r="H34" i="6046"/>
  <c r="H39" i="6046"/>
  <c r="H43" i="6046"/>
  <c r="H47" i="6046"/>
  <c r="H2" i="6046"/>
  <c r="H22" i="6046"/>
  <c r="H13" i="6046"/>
  <c r="H29" i="6046"/>
  <c r="H35" i="6046"/>
  <c r="C39" i="6046"/>
  <c r="C43" i="6046"/>
  <c r="C47" i="6046"/>
  <c r="H14" i="6044"/>
  <c r="H42" i="6044"/>
  <c r="H43" i="6044"/>
  <c r="H10" i="6044"/>
  <c r="H18" i="6044"/>
  <c r="H7" i="6044"/>
  <c r="H15" i="6044"/>
  <c r="H37" i="6044"/>
  <c r="H2" i="6044"/>
  <c r="H49" i="6044"/>
  <c r="H32" i="6044"/>
  <c r="C41" i="6044"/>
  <c r="H12" i="6044"/>
  <c r="C22" i="6044"/>
  <c r="C45" i="6044"/>
  <c r="H6" i="6044"/>
  <c r="H26" i="6044"/>
  <c r="H28" i="6044"/>
  <c r="H47" i="6044"/>
  <c r="C23" i="6044"/>
  <c r="H38" i="6044"/>
  <c r="C47" i="6044"/>
  <c r="H9" i="6044"/>
  <c r="H25" i="6044"/>
  <c r="H31" i="6044"/>
  <c r="H39" i="6044"/>
  <c r="H16" i="6044"/>
  <c r="B27" i="6044"/>
  <c r="C40" i="6044"/>
  <c r="H52" i="6044"/>
  <c r="H5" i="6044"/>
  <c r="C20" i="6044"/>
  <c r="H13" i="6044"/>
  <c r="C49" i="6044"/>
  <c r="H33" i="6044"/>
  <c r="C37" i="6044"/>
  <c r="C43" i="6044"/>
  <c r="C48" i="6044"/>
  <c r="H3" i="6044"/>
  <c r="H8" i="6044"/>
  <c r="H20" i="6044"/>
  <c r="H19" i="6044"/>
  <c r="C25" i="6044"/>
  <c r="H23" i="6044"/>
  <c r="H45" i="6044"/>
  <c r="H50" i="6044"/>
  <c r="H27" i="6044"/>
  <c r="H30" i="6044"/>
  <c r="H34" i="6044"/>
  <c r="C39" i="6044"/>
  <c r="C44" i="6044"/>
  <c r="H17" i="6044"/>
  <c r="H21" i="6044"/>
  <c r="C26" i="6044"/>
  <c r="H35" i="6044"/>
  <c r="H41" i="6044"/>
  <c r="H46" i="6044"/>
  <c r="H51" i="6044"/>
  <c r="H29" i="6044"/>
  <c r="H11" i="6044"/>
  <c r="H22" i="6044"/>
  <c r="C38" i="6044"/>
  <c r="C42" i="6044"/>
  <c r="C46" i="6044"/>
  <c r="H24" i="6044"/>
  <c r="C24" i="6044"/>
  <c r="B28" i="6044"/>
  <c r="H36" i="6044"/>
  <c r="H40" i="6044"/>
  <c r="H44" i="6044"/>
  <c r="H48" i="6044"/>
  <c r="C35" i="6023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<sst xmlns="http://schemas.openxmlformats.org/spreadsheetml/2006/main" count="1908" uniqueCount="231">
  <si>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</si>
  <si>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</si>
  <si>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</si>
  <si>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</si>
  <si>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</si>
  <si>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</si>
  <si>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</si>
  <si>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</si>
  <si>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</si>
  <si>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</si>
  <si>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</si>
  <si>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</si>
  <si>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</si>
  <si>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</si>
  <si>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</si>
  <si>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</si>
  <si>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</si>
  <si>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</si>
  <si>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</si>
  <si>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</si>
  <si>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</si>
  <si>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</si>
  <si>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</si>
  <si>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</si>
  <si>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</si>
  <si>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</si>
  <si>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</si>
  <si>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</si>
  <si>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</si>
  <si>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</si>
  <si>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</si>
  <si>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</si>
  <si>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</si>
  <si>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</si>
  <si>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</si>
  <si>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</si>
  <si>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</si>
  <si>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</si>
  <si>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</si>
  <si>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</si>
  <si>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</si>
  <si>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</si>
  <si>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</si>
  <si>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</si>
  <si>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</si>
  <si>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</si>
  <si>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</si>
  <si>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</si>
  <si>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</si>
  <si>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</si>
  <si>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</si>
  <si>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</si>
  <si>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</si>
  <si>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</si>
  <si>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</si>
  <si>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</si>
  <si>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</si>
  <si>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</si>
  <si>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</si>
  <si>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</si>
  <si>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</si>
  <si>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</si>
  <si>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</si>
  <si>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</si>
  <si>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</si>
  <si>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</si>
  <si>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</si>
  <si>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</si>
  <si>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</si>
  <si>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</si>
  <si>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</si>
  <si>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</si>
  <si>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</si>
  <si>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</si>
  <si>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</si>
  <si>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</si>
  <si>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</si>
  <si>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</si>
  <si>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</si>
  <si>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</si>
  <si>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</si>
  <si>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</si>
  <si>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</si>
  <si>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</si>
  <si>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</si>
  <si>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</si>
  <si>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</si>
  <si>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</si>
  <si>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</si>
  <si>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</si>
  <si>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</si>
  <si>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</si>
  <si>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</si>
  <si>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</si>
  <si>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</si>
  <si>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</si>
  <si>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</si>
  <si>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</si>
  <si>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</si>
  <si>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</si>
  <si>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</si>
  <si>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</si>
  <si>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</si>
  <si>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</si>
  <si>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</si>
  <si>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</si>
  <si>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</si>
  <si>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</si>
  <si>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</si>
  <si>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</si>
  <si>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</si>
  <si>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</si>
  <si>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</si>
  <si>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</si>
  <si>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</si>
  <si>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</si>
  <si>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</si>
  <si>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</si>
  <si>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</si>
  <si>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</si>
  <si>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</si>
  <si>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</si>
  <si>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</si>
  <si>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</si>
  <si>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</si>
  <si>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</si>
  <si>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</si>
  <si>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</si>
  <si>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</si>
  <si>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</si>
  <si>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</si>
  <si>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</si>
  <si>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</si>
  <si>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</si>
  <si>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</si>
  <si>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</si>
  <si>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</si>
  <si>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</si>
  <si>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</si>
  <si>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</si>
  <si>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</si>
  <si>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</si>
  <si>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</si>
  <si>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</si>
  <si>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</si>
  <si>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</si>
  <si>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</si>
  <si>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</si>
  <si>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</si>
  <si>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</si>
  <si>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</si>
  <si>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</si>
  <si>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</si>
  <si>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</si>
  <si>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</si>
  <si>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</si>
  <si>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</si>
  <si>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</si>
  <si>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</si>
  <si>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</si>
  <si>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</si>
  <si>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</si>
  <si>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</si>
  <si>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</si>
  <si>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</si>
  <si>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</si>
  <si>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</si>
  <si>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</si>
  <si>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</si>
  <si>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</si>
  <si>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</si>
  <si>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</si>
  <si>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</si>
  <si>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</si>
  <si>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</si>
  <si>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</si>
  <si>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</si>
  <si>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</si>
  <si>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</si>
  <si>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</si>
  <si>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</si>
  <si>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</si>
  <si>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</si>
  <si>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</si>
  <si>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</si>
  <si>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</si>
  <si>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</si>
  <si>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たかの</t>
  </si>
  <si>
    <t>まっつん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</si>
  <si>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</si>
  <si>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</si>
  <si>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</si>
  <si>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</si>
  <si>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</si>
  <si>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</si>
  <si>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</si>
  <si>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</si>
  <si>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</si>
  <si>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</si>
  <si>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</si>
  <si>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</si>
  <si>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</si>
  <si>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</si>
  <si>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</si>
  <si>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</si>
  <si>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</si>
  <si>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</si>
  <si>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</si>
  <si>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</si>
  <si>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</si>
  <si>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</si>
  <si>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</si>
  <si>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</si>
  <si>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</si>
  <si>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</si>
  <si>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</si>
  <si>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</si>
  <si>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</si>
  <si>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</si>
  <si>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</si>
  <si>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2023-05-02@AllStar.xlsm</t>
  </si>
  <si>
    <t>2023-03-04@Ina.xlsm</t>
  </si>
  <si>
    <t>ただ</t>
    <phoneticPr fontId="1"/>
  </si>
  <si>
    <t>Sheet10</t>
  </si>
  <si>
    <t>Sheet11</t>
  </si>
  <si>
    <t>Sheet12</t>
  </si>
  <si>
    <t>Sheet13</t>
  </si>
  <si>
    <t>Sheet14</t>
  </si>
  <si>
    <t>Sheet15</t>
  </si>
  <si>
    <t>Sheet16</t>
  </si>
  <si>
    <t>Sheet17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</si>
</sst>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3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39" Type="http://schemas.microsoft.com/office/2006/relationships/vbaProject" Target="vbaProject.bin"/><Relationship Id="rId21" Type="http://schemas.openxmlformats.org/officeDocument/2006/relationships/chartsheet" Target="chartsheets/sheet2.xml"/><Relationship Id="rId34" Type="http://schemas.openxmlformats.org/officeDocument/2006/relationships/chartsheet" Target="chartsheets/sheet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chartsheet" Target="chartsheets/sheet14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chartsheet" Target="chartsheets/sheet13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chartsheet" Target="chartsheets/sheet9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3.xml"/><Relationship Id="rId27" Type="http://schemas.openxmlformats.org/officeDocument/2006/relationships/chartsheet" Target="chartsheets/sheet8.xml"/><Relationship Id="rId30" Type="http://schemas.openxmlformats.org/officeDocument/2006/relationships/chartsheet" Target="chartsheets/sheet11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全体!$L$2:$L$80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5</c:v>
                </c:pt>
                <c:pt idx="2">
                  <c:v>40.299999999999997</c:v>
                </c:pt>
                <c:pt idx="3">
                  <c:v>0</c:v>
                </c:pt>
                <c:pt idx="4">
                  <c:v>-54.2</c:v>
                </c:pt>
                <c:pt idx="5">
                  <c:v>21.200000000000003</c:v>
                </c:pt>
                <c:pt idx="6">
                  <c:v>3.5527136788005009E-15</c:v>
                </c:pt>
                <c:pt idx="7">
                  <c:v>-12.499999999999996</c:v>
                </c:pt>
                <c:pt idx="8">
                  <c:v>40.5</c:v>
                </c:pt>
                <c:pt idx="9">
                  <c:v>0</c:v>
                </c:pt>
                <c:pt idx="10">
                  <c:v>12.1</c:v>
                </c:pt>
                <c:pt idx="11">
                  <c:v>46</c:v>
                </c:pt>
                <c:pt idx="12">
                  <c:v>0</c:v>
                </c:pt>
                <c:pt idx="13">
                  <c:v>-1.8</c:v>
                </c:pt>
                <c:pt idx="14">
                  <c:v>-32.6</c:v>
                </c:pt>
                <c:pt idx="15">
                  <c:v>0</c:v>
                </c:pt>
                <c:pt idx="16">
                  <c:v>-55.5</c:v>
                </c:pt>
                <c:pt idx="17">
                  <c:v>-4.5</c:v>
                </c:pt>
                <c:pt idx="18">
                  <c:v>0</c:v>
                </c:pt>
                <c:pt idx="19">
                  <c:v>3.5</c:v>
                </c:pt>
                <c:pt idx="20">
                  <c:v>32.5</c:v>
                </c:pt>
                <c:pt idx="21">
                  <c:v>0</c:v>
                </c:pt>
                <c:pt idx="22">
                  <c:v>40.6</c:v>
                </c:pt>
                <c:pt idx="23">
                  <c:v>60.3</c:v>
                </c:pt>
                <c:pt idx="24">
                  <c:v>0</c:v>
                </c:pt>
                <c:pt idx="25">
                  <c:v>34.200000000000003</c:v>
                </c:pt>
                <c:pt idx="26">
                  <c:v>41.400000000000006</c:v>
                </c:pt>
                <c:pt idx="27">
                  <c:v>7.1054273576010019E-15</c:v>
                </c:pt>
                <c:pt idx="28">
                  <c:v>-57.999999999999993</c:v>
                </c:pt>
                <c:pt idx="29">
                  <c:v>-6.4999999999999929</c:v>
                </c:pt>
                <c:pt idx="30">
                  <c:v>7.1054273576010019E-15</c:v>
                </c:pt>
                <c:pt idx="31">
                  <c:v>30.800000000000008</c:v>
                </c:pt>
                <c:pt idx="32">
                  <c:v>0.60000000000000853</c:v>
                </c:pt>
                <c:pt idx="33">
                  <c:v>8.5487172896137054E-15</c:v>
                </c:pt>
                <c:pt idx="34">
                  <c:v>44.300000000000004</c:v>
                </c:pt>
                <c:pt idx="35">
                  <c:v>-11.299999999999997</c:v>
                </c:pt>
                <c:pt idx="36">
                  <c:v>3.5527136788005009E-15</c:v>
                </c:pt>
                <c:pt idx="37">
                  <c:v>21.600000000000005</c:v>
                </c:pt>
                <c:pt idx="38">
                  <c:v>21.000000000000004</c:v>
                </c:pt>
                <c:pt idx="39">
                  <c:v>3.5527136788005009E-15</c:v>
                </c:pt>
                <c:pt idx="40">
                  <c:v>42.5</c:v>
                </c:pt>
                <c:pt idx="41">
                  <c:v>33.6</c:v>
                </c:pt>
                <c:pt idx="42">
                  <c:v>0</c:v>
                </c:pt>
                <c:pt idx="43">
                  <c:v>1.4</c:v>
                </c:pt>
                <c:pt idx="44">
                  <c:v>32.700000000000003</c:v>
                </c:pt>
                <c:pt idx="45">
                  <c:v>0</c:v>
                </c:pt>
                <c:pt idx="46">
                  <c:v>7.6</c:v>
                </c:pt>
                <c:pt idx="47">
                  <c:v>41.2</c:v>
                </c:pt>
                <c:pt idx="48">
                  <c:v>0</c:v>
                </c:pt>
                <c:pt idx="49">
                  <c:v>-38.700000000000003</c:v>
                </c:pt>
                <c:pt idx="50">
                  <c:v>-7.8000000000000043</c:v>
                </c:pt>
                <c:pt idx="51">
                  <c:v>-4.4408920985006262E-15</c:v>
                </c:pt>
                <c:pt idx="52">
                  <c:v>61.399999999999991</c:v>
                </c:pt>
                <c:pt idx="53">
                  <c:v>6.3999999999999915</c:v>
                </c:pt>
                <c:pt idx="54">
                  <c:v>-8.8817841970012523E-15</c:v>
                </c:pt>
                <c:pt idx="55">
                  <c:v>-0.80000000000000893</c:v>
                </c:pt>
                <c:pt idx="56">
                  <c:v>45.999999999999986</c:v>
                </c:pt>
                <c:pt idx="57">
                  <c:v>-1.4210854715202004E-14</c:v>
                </c:pt>
                <c:pt idx="58">
                  <c:v>-14.700000000000014</c:v>
                </c:pt>
                <c:pt idx="59">
                  <c:v>57.59999999999998</c:v>
                </c:pt>
                <c:pt idx="60">
                  <c:v>-2.1316282072803006E-14</c:v>
                </c:pt>
                <c:pt idx="61">
                  <c:v>31.299999999999979</c:v>
                </c:pt>
                <c:pt idx="62">
                  <c:v>5.2999999999999794</c:v>
                </c:pt>
                <c:pt idx="63">
                  <c:v>-2.042810365310288E-14</c:v>
                </c:pt>
                <c:pt idx="64">
                  <c:v>-58.90000000000002</c:v>
                </c:pt>
                <c:pt idx="65">
                  <c:v>10.699999999999974</c:v>
                </c:pt>
                <c:pt idx="66">
                  <c:v>-2.4868995751603507E-14</c:v>
                </c:pt>
                <c:pt idx="67">
                  <c:v>-45.40000000000002</c:v>
                </c:pt>
                <c:pt idx="68">
                  <c:v>-51.800000000000018</c:v>
                </c:pt>
                <c:pt idx="69">
                  <c:v>-2.1316282072803006E-14</c:v>
                </c:pt>
                <c:pt idx="70">
                  <c:v>4.4999999999999787</c:v>
                </c:pt>
                <c:pt idx="71">
                  <c:v>36.999999999999979</c:v>
                </c:pt>
                <c:pt idx="72">
                  <c:v>-2.1316282072803006E-14</c:v>
                </c:pt>
                <c:pt idx="73">
                  <c:v>-1.5000000000000213</c:v>
                </c:pt>
                <c:pt idx="74">
                  <c:v>-44.90000000000002</c:v>
                </c:pt>
                <c:pt idx="75">
                  <c:v>-2.1316282072803006E-14</c:v>
                </c:pt>
                <c:pt idx="76">
                  <c:v>5.6999999999999789</c:v>
                </c:pt>
                <c:pt idx="77">
                  <c:v>52.799999999999983</c:v>
                </c:pt>
                <c:pt idx="78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7-4C27-81F9-86336E757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-38.46153846153846</c:v>
                </c:pt>
                <c:pt idx="1">
                  <c:v>12.820512820512821</c:v>
                </c:pt>
                <c:pt idx="2">
                  <c:v>0</c:v>
                </c:pt>
                <c:pt idx="3">
                  <c:v>14.492753623188406</c:v>
                </c:pt>
                <c:pt idx="4">
                  <c:v>0</c:v>
                </c:pt>
                <c:pt idx="5">
                  <c:v>15.873015873015873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1-4840-B659-9B95376EB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11</c:v>
                </c:pt>
                <c:pt idx="1">
                  <c:v>31</c:v>
                </c:pt>
                <c:pt idx="2">
                  <c:v>33</c:v>
                </c:pt>
                <c:pt idx="3">
                  <c:v>43</c:v>
                </c:pt>
                <c:pt idx="4">
                  <c:v>36</c:v>
                </c:pt>
                <c:pt idx="5">
                  <c:v>13</c:v>
                </c:pt>
                <c:pt idx="6">
                  <c:v>10</c:v>
                </c:pt>
                <c:pt idx="7">
                  <c:v>9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5-4C68-AE05-D79FB18C3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全体!$M$2:$M$80</c:f>
              <c:numCache>
                <c:formatCode>0</c:formatCode>
                <c:ptCount val="79"/>
                <c:pt idx="0">
                  <c:v>1614.2957512011271</c:v>
                </c:pt>
                <c:pt idx="1">
                  <c:v>1614.5099766939204</c:v>
                </c:pt>
                <c:pt idx="2">
                  <c:v>1620.1769168337569</c:v>
                </c:pt>
                <c:pt idx="3">
                  <c:v>1612.2018553327543</c:v>
                </c:pt>
                <c:pt idx="4">
                  <c:v>1602.2046442007579</c:v>
                </c:pt>
                <c:pt idx="5">
                  <c:v>1615.5954163355534</c:v>
                </c:pt>
                <c:pt idx="6">
                  <c:v>1611.5178438375401</c:v>
                </c:pt>
                <c:pt idx="7">
                  <c:v>1609.0307367745149</c:v>
                </c:pt>
                <c:pt idx="8">
                  <c:v>1618.3485523538679</c:v>
                </c:pt>
                <c:pt idx="9">
                  <c:v>1610.7804610397448</c:v>
                </c:pt>
                <c:pt idx="10">
                  <c:v>1612.7257782735062</c:v>
                </c:pt>
                <c:pt idx="11">
                  <c:v>1618.5834236038652</c:v>
                </c:pt>
                <c:pt idx="12">
                  <c:v>1610.0239230622419</c:v>
                </c:pt>
                <c:pt idx="13">
                  <c:v>1609.4717795238685</c:v>
                </c:pt>
                <c:pt idx="14">
                  <c:v>1603.7029488467253</c:v>
                </c:pt>
                <c:pt idx="15">
                  <c:v>1609.380731153645</c:v>
                </c:pt>
                <c:pt idx="16">
                  <c:v>1599.1664467667231</c:v>
                </c:pt>
                <c:pt idx="17">
                  <c:v>1608.1834480861228</c:v>
                </c:pt>
                <c:pt idx="18">
                  <c:v>1608.7763473976061</c:v>
                </c:pt>
                <c:pt idx="19">
                  <c:v>1609.1856893132203</c:v>
                </c:pt>
                <c:pt idx="20">
                  <c:v>1614.1825751773411</c:v>
                </c:pt>
                <c:pt idx="21">
                  <c:v>1608.079479726277</c:v>
                </c:pt>
                <c:pt idx="22">
                  <c:v>1615.1710028479192</c:v>
                </c:pt>
                <c:pt idx="23">
                  <c:v>1618.4579768308317</c:v>
                </c:pt>
                <c:pt idx="24">
                  <c:v>1607.3252289698466</c:v>
                </c:pt>
                <c:pt idx="25">
                  <c:v>1613.2692775960277</c:v>
                </c:pt>
                <c:pt idx="26">
                  <c:v>1614.3176619304515</c:v>
                </c:pt>
                <c:pt idx="27">
                  <c:v>1606.6117559588688</c:v>
                </c:pt>
                <c:pt idx="28">
                  <c:v>1595.5320854231156</c:v>
                </c:pt>
                <c:pt idx="29">
                  <c:v>1604.2288929105769</c:v>
                </c:pt>
                <c:pt idx="30">
                  <c:v>1604.7735195531134</c:v>
                </c:pt>
                <c:pt idx="31">
                  <c:v>1610.4868784357948</c:v>
                </c:pt>
                <c:pt idx="32">
                  <c:v>1605.1859571651801</c:v>
                </c:pt>
                <c:pt idx="33">
                  <c:v>1605.244841422189</c:v>
                </c:pt>
                <c:pt idx="34">
                  <c:v>1612.7913723736558</c:v>
                </c:pt>
                <c:pt idx="35">
                  <c:v>1602.3106241394139</c:v>
                </c:pt>
                <c:pt idx="36">
                  <c:v>1603.9347603945773</c:v>
                </c:pt>
                <c:pt idx="37">
                  <c:v>1608.0691518322099</c:v>
                </c:pt>
                <c:pt idx="38">
                  <c:v>1608.1827369212167</c:v>
                </c:pt>
                <c:pt idx="39">
                  <c:v>1604.6236404996894</c:v>
                </c:pt>
                <c:pt idx="40">
                  <c:v>1611.8558986566911</c:v>
                </c:pt>
                <c:pt idx="41">
                  <c:v>1609.7927632647509</c:v>
                </c:pt>
                <c:pt idx="42">
                  <c:v>1603.2960066851624</c:v>
                </c:pt>
                <c:pt idx="43">
                  <c:v>1603.8102306450514</c:v>
                </c:pt>
                <c:pt idx="44">
                  <c:v>1609.703369261181</c:v>
                </c:pt>
                <c:pt idx="45">
                  <c:v>1604.041149045614</c:v>
                </c:pt>
                <c:pt idx="46">
                  <c:v>1605.0129021513403</c:v>
                </c:pt>
                <c:pt idx="47">
                  <c:v>1610.6588247384323</c:v>
                </c:pt>
                <c:pt idx="48">
                  <c:v>1602.8068717900017</c:v>
                </c:pt>
                <c:pt idx="49">
                  <c:v>1595.9920305592616</c:v>
                </c:pt>
                <c:pt idx="50">
                  <c:v>1601.7460783759061</c:v>
                </c:pt>
                <c:pt idx="51">
                  <c:v>1603.3076019056507</c:v>
                </c:pt>
                <c:pt idx="52">
                  <c:v>1614.6097562942168</c:v>
                </c:pt>
                <c:pt idx="53">
                  <c:v>1604.8920977564514</c:v>
                </c:pt>
                <c:pt idx="54">
                  <c:v>1603.9807451699128</c:v>
                </c:pt>
                <c:pt idx="55">
                  <c:v>1603.9988606988934</c:v>
                </c:pt>
                <c:pt idx="56">
                  <c:v>1612.5848675346999</c:v>
                </c:pt>
                <c:pt idx="57">
                  <c:v>1604.4153583294917</c:v>
                </c:pt>
                <c:pt idx="58">
                  <c:v>1602.1628661795148</c:v>
                </c:pt>
                <c:pt idx="59">
                  <c:v>1615.5838889824377</c:v>
                </c:pt>
                <c:pt idx="60">
                  <c:v>1605.5423856485431</c:v>
                </c:pt>
                <c:pt idx="61">
                  <c:v>1611.4131313346518</c:v>
                </c:pt>
                <c:pt idx="62">
                  <c:v>1606.934652546644</c:v>
                </c:pt>
                <c:pt idx="63">
                  <c:v>1606.2090446313641</c:v>
                </c:pt>
                <c:pt idx="64">
                  <c:v>1595.203790363576</c:v>
                </c:pt>
                <c:pt idx="65">
                  <c:v>1607.3945676213946</c:v>
                </c:pt>
                <c:pt idx="66">
                  <c:v>1605.0582002156661</c:v>
                </c:pt>
                <c:pt idx="67">
                  <c:v>1597.1438510143721</c:v>
                </c:pt>
                <c:pt idx="68">
                  <c:v>1596.2969879082859</c:v>
                </c:pt>
                <c:pt idx="69">
                  <c:v>1605.9312059808362</c:v>
                </c:pt>
                <c:pt idx="70">
                  <c:v>1607.1016187449511</c:v>
                </c:pt>
                <c:pt idx="71">
                  <c:v>1613.3050090324814</c:v>
                </c:pt>
                <c:pt idx="72">
                  <c:v>1606.9611789782864</c:v>
                </c:pt>
                <c:pt idx="73">
                  <c:v>1606.8534119044166</c:v>
                </c:pt>
                <c:pt idx="74">
                  <c:v>1599.2042914329902</c:v>
                </c:pt>
                <c:pt idx="75">
                  <c:v>1607.4950656843923</c:v>
                </c:pt>
                <c:pt idx="76">
                  <c:v>1608.086095290286</c:v>
                </c:pt>
                <c:pt idx="77">
                  <c:v>1616.1255787185444</c:v>
                </c:pt>
                <c:pt idx="78">
                  <c:v>1606.134825246233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6-4668-BCF8-E48724CF3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C7-480E-B24B-AA68A5ECD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-3166.6666666666665</c:v>
                </c:pt>
                <c:pt idx="1">
                  <c:v>1544.4444444444443</c:v>
                </c:pt>
                <c:pt idx="2">
                  <c:v>-637.5</c:v>
                </c:pt>
                <c:pt idx="3">
                  <c:v>-5214.2857142857147</c:v>
                </c:pt>
                <c:pt idx="4">
                  <c:v>4385.7142857142853</c:v>
                </c:pt>
                <c:pt idx="5">
                  <c:v>-442.85714285714283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F-4529-A0D4-CC9139A2E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E2-4250-985E-E3EC2960D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りくと!$M$2:$M$11</c:f>
              <c:numCache>
                <c:formatCode>0</c:formatCode>
                <c:ptCount val="10"/>
                <c:pt idx="0">
                  <c:v>1372.5824902185618</c:v>
                </c:pt>
                <c:pt idx="1">
                  <c:v>1374.2469952772503</c:v>
                </c:pt>
                <c:pt idx="2">
                  <c:v>1365.6775133055869</c:v>
                </c:pt>
                <c:pt idx="3">
                  <c:v>1364.6654482257534</c:v>
                </c:pt>
                <c:pt idx="4">
                  <c:v>1368.0874555363989</c:v>
                </c:pt>
                <c:pt idx="5">
                  <c:v>1368.9869308031805</c:v>
                </c:pt>
                <c:pt idx="6">
                  <c:v>1360.2150092183615</c:v>
                </c:pt>
                <c:pt idx="7">
                  <c:v>1362.1157191630514</c:v>
                </c:pt>
                <c:pt idx="8">
                  <c:v>1370.683024848073</c:v>
                </c:pt>
                <c:pt idx="9">
                  <c:v>1378.0469266989846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3D-4A99-B85F-0E475FB1A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だいち!$L$2:$L$22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35.299999999999997</c:v>
                </c:pt>
                <c:pt idx="2">
                  <c:v>110.7</c:v>
                </c:pt>
                <c:pt idx="3">
                  <c:v>163.69999999999999</c:v>
                </c:pt>
                <c:pt idx="4">
                  <c:v>197.6</c:v>
                </c:pt>
                <c:pt idx="5">
                  <c:v>166.79999999999998</c:v>
                </c:pt>
                <c:pt idx="6">
                  <c:v>217.79999999999998</c:v>
                </c:pt>
                <c:pt idx="7">
                  <c:v>246.79999999999998</c:v>
                </c:pt>
                <c:pt idx="8">
                  <c:v>266.5</c:v>
                </c:pt>
                <c:pt idx="9">
                  <c:v>273.7</c:v>
                </c:pt>
                <c:pt idx="10">
                  <c:v>304.5</c:v>
                </c:pt>
                <c:pt idx="11">
                  <c:v>283.5</c:v>
                </c:pt>
                <c:pt idx="12">
                  <c:v>250.8</c:v>
                </c:pt>
                <c:pt idx="13">
                  <c:v>212.10000000000002</c:v>
                </c:pt>
                <c:pt idx="14">
                  <c:v>205.70000000000002</c:v>
                </c:pt>
                <c:pt idx="15">
                  <c:v>204.9</c:v>
                </c:pt>
                <c:pt idx="16">
                  <c:v>277.2</c:v>
                </c:pt>
                <c:pt idx="17">
                  <c:v>271.89999999999998</c:v>
                </c:pt>
                <c:pt idx="18">
                  <c:v>323.7</c:v>
                </c:pt>
                <c:pt idx="19">
                  <c:v>356.2</c:v>
                </c:pt>
                <c:pt idx="20">
                  <c:v>354.7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C-4025-93E4-B8971C1DB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2745</c:v>
                </c:pt>
                <c:pt idx="1">
                  <c:v>2675</c:v>
                </c:pt>
                <c:pt idx="2">
                  <c:v>2610.5263157894738</c:v>
                </c:pt>
                <c:pt idx="3">
                  <c:v>3588.2352941176468</c:v>
                </c:pt>
                <c:pt idx="4">
                  <c:v>917.64705882352939</c:v>
                </c:pt>
                <c:pt idx="5">
                  <c:v>5.882352941176471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1F-4D1A-9923-565672516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85-4DE6-9D3A-BEDFFFCC9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だいち!$M$2:$M$22</c:f>
              <c:numCache>
                <c:formatCode>0</c:formatCode>
                <c:ptCount val="21"/>
                <c:pt idx="0">
                  <c:v>1846.5755924228188</c:v>
                </c:pt>
                <c:pt idx="1">
                  <c:v>1850.8501388682819</c:v>
                </c:pt>
                <c:pt idx="2">
                  <c:v>1862.7490380350721</c:v>
                </c:pt>
                <c:pt idx="3">
                  <c:v>1870.5445438068616</c:v>
                </c:pt>
                <c:pt idx="4">
                  <c:v>1874.8552765440204</c:v>
                </c:pt>
                <c:pt idx="5">
                  <c:v>1867.4941448847562</c:v>
                </c:pt>
                <c:pt idx="6">
                  <c:v>1874.9011800154476</c:v>
                </c:pt>
                <c:pt idx="7">
                  <c:v>1878.303772935355</c:v>
                </c:pt>
                <c:pt idx="8">
                  <c:v>1880.0119502977429</c:v>
                </c:pt>
                <c:pt idx="9">
                  <c:v>1879.4598785959565</c:v>
                </c:pt>
                <c:pt idx="10">
                  <c:v>1883.5251193243807</c:v>
                </c:pt>
                <c:pt idx="11">
                  <c:v>1878.3139686084344</c:v>
                </c:pt>
                <c:pt idx="12">
                  <c:v>1871.0400847967837</c:v>
                </c:pt>
                <c:pt idx="13">
                  <c:v>1862.615844288003</c:v>
                </c:pt>
                <c:pt idx="14">
                  <c:v>1860.1581492222749</c:v>
                </c:pt>
                <c:pt idx="15">
                  <c:v>1858.6392003269414</c:v>
                </c:pt>
                <c:pt idx="16">
                  <c:v>1870.5213651249796</c:v>
                </c:pt>
                <c:pt idx="17">
                  <c:v>1868.2142369342298</c:v>
                </c:pt>
                <c:pt idx="18">
                  <c:v>1876.2169515126245</c:v>
                </c:pt>
                <c:pt idx="19">
                  <c:v>1880.8056498035487</c:v>
                </c:pt>
                <c:pt idx="20">
                  <c:v>1879.0548159047273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6-4B29-B418-71C6C0173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-40.299999999999997</c:v>
                </c:pt>
                <c:pt idx="2">
                  <c:v>-61.5</c:v>
                </c:pt>
                <c:pt idx="3">
                  <c:v>-102</c:v>
                </c:pt>
                <c:pt idx="4">
                  <c:v>-148</c:v>
                </c:pt>
                <c:pt idx="5">
                  <c:v>-115.4</c:v>
                </c:pt>
                <c:pt idx="6">
                  <c:v>-110.9</c:v>
                </c:pt>
                <c:pt idx="7">
                  <c:v>-143.4</c:v>
                </c:pt>
                <c:pt idx="8">
                  <c:v>-203.7</c:v>
                </c:pt>
                <c:pt idx="9">
                  <c:v>-245.1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7-4DB9-82BC-43D43B0F8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-1177.7777777777778</c:v>
                </c:pt>
                <c:pt idx="1">
                  <c:v>-2933.3333333333335</c:v>
                </c:pt>
                <c:pt idx="2">
                  <c:v>-4550</c:v>
                </c:pt>
                <c:pt idx="3">
                  <c:v>-1771.4285714285713</c:v>
                </c:pt>
                <c:pt idx="4">
                  <c:v>-6942.8571428571431</c:v>
                </c:pt>
                <c:pt idx="5">
                  <c:v>-1528.5714285714287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C2-4C55-8966-35937910A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1E-4002-A04B-07C8E4A3B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わさび!$M$2:$M$11</c:f>
              <c:numCache>
                <c:formatCode>0</c:formatCode>
                <c:ptCount val="10"/>
                <c:pt idx="0">
                  <c:v>1497.379788</c:v>
                </c:pt>
                <c:pt idx="1">
                  <c:v>1490.1415092719999</c:v>
                </c:pt>
                <c:pt idx="2">
                  <c:v>1486.8166602163678</c:v>
                </c:pt>
                <c:pt idx="3">
                  <c:v>1480.0377602550695</c:v>
                </c:pt>
                <c:pt idx="4">
                  <c:v>1472.3095336935392</c:v>
                </c:pt>
                <c:pt idx="5">
                  <c:v>1478.7756764913779</c:v>
                </c:pt>
                <c:pt idx="6">
                  <c:v>1480.1450224324296</c:v>
                </c:pt>
                <c:pt idx="7">
                  <c:v>1474.846152297835</c:v>
                </c:pt>
                <c:pt idx="8">
                  <c:v>1464.575075384048</c:v>
                </c:pt>
                <c:pt idx="9">
                  <c:v>1457.7676249317437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5-4B52-A9E1-C86F10F3B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れんたろう!$L$2:$L$15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-58</c:v>
                </c:pt>
                <c:pt idx="2">
                  <c:v>-13.700000000000003</c:v>
                </c:pt>
                <c:pt idx="3">
                  <c:v>7.8999999999999986</c:v>
                </c:pt>
                <c:pt idx="4">
                  <c:v>50.4</c:v>
                </c:pt>
                <c:pt idx="5">
                  <c:v>81.7</c:v>
                </c:pt>
                <c:pt idx="6">
                  <c:v>40.5</c:v>
                </c:pt>
                <c:pt idx="7">
                  <c:v>-14.5</c:v>
                </c:pt>
                <c:pt idx="8">
                  <c:v>-29.2</c:v>
                </c:pt>
                <c:pt idx="9">
                  <c:v>-55.2</c:v>
                </c:pt>
                <c:pt idx="10">
                  <c:v>-65.900000000000006</c:v>
                </c:pt>
                <c:pt idx="11">
                  <c:v>-72.300000000000011</c:v>
                </c:pt>
                <c:pt idx="12">
                  <c:v>-67.800000000000011</c:v>
                </c:pt>
                <c:pt idx="13">
                  <c:v>-120.60000000000001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4772-911C-A6FA9FA3F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-1084.6153846153845</c:v>
                </c:pt>
                <c:pt idx="1">
                  <c:v>-3953.8461538461538</c:v>
                </c:pt>
                <c:pt idx="2">
                  <c:v>-907.69230769230774</c:v>
                </c:pt>
                <c:pt idx="3">
                  <c:v>-2091.6666666666665</c:v>
                </c:pt>
                <c:pt idx="4">
                  <c:v>1441.6666666666667</c:v>
                </c:pt>
                <c:pt idx="5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BA-45E3-831E-1F2F3D50C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3</c:v>
                </c:pt>
                <c:pt idx="4">
                  <c:v>8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43-49F0-AF71-F0337F10C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れんたろう!$M$2:$M$15</c:f>
              <c:numCache>
                <c:formatCode>0</c:formatCode>
                <c:ptCount val="14"/>
                <c:pt idx="0">
                  <c:v>1595.6213709809917</c:v>
                </c:pt>
                <c:pt idx="1">
                  <c:v>1584.6076427551059</c:v>
                </c:pt>
                <c:pt idx="2">
                  <c:v>1592.2779968985753</c:v>
                </c:pt>
                <c:pt idx="3">
                  <c:v>1596.4823289171838</c:v>
                </c:pt>
                <c:pt idx="4">
                  <c:v>1603.7634349436807</c:v>
                </c:pt>
                <c:pt idx="5">
                  <c:v>1609.6568543340186</c:v>
                </c:pt>
                <c:pt idx="6">
                  <c:v>1601.8109132080144</c:v>
                </c:pt>
                <c:pt idx="7">
                  <c:v>1592.1700477287663</c:v>
                </c:pt>
                <c:pt idx="8">
                  <c:v>1589.9910274423937</c:v>
                </c:pt>
                <c:pt idx="9">
                  <c:v>1585.6410812777394</c:v>
                </c:pt>
                <c:pt idx="10">
                  <c:v>1583.4352347900731</c:v>
                </c:pt>
                <c:pt idx="11">
                  <c:v>1582.6706233813327</c:v>
                </c:pt>
                <c:pt idx="12">
                  <c:v>1583.9805996410446</c:v>
                </c:pt>
                <c:pt idx="13">
                  <c:v>1574.1827160431983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97-4A07-9B38-7BFA9DE70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51.5</c:v>
                </c:pt>
                <c:pt idx="2">
                  <c:v>21.3</c:v>
                </c:pt>
                <c:pt idx="3">
                  <c:v>-34.299999999999997</c:v>
                </c:pt>
                <c:pt idx="4">
                  <c:v>-34.9</c:v>
                </c:pt>
                <c:pt idx="5">
                  <c:v>-43.8</c:v>
                </c:pt>
                <c:pt idx="6">
                  <c:v>-42.4</c:v>
                </c:pt>
                <c:pt idx="7">
                  <c:v>-8.7999999999999972</c:v>
                </c:pt>
                <c:pt idx="8">
                  <c:v>-0.99999999999999734</c:v>
                </c:pt>
                <c:pt idx="9">
                  <c:v>60.4</c:v>
                </c:pt>
                <c:pt idx="10">
                  <c:v>14.399999999999999</c:v>
                </c:pt>
                <c:pt idx="11">
                  <c:v>45.7</c:v>
                </c:pt>
                <c:pt idx="12">
                  <c:v>115.3</c:v>
                </c:pt>
                <c:pt idx="13">
                  <c:v>69.900000000000006</c:v>
                </c:pt>
                <c:pt idx="14">
                  <c:v>114.80000000000001</c:v>
                </c:pt>
                <c:pt idx="15">
                  <c:v>161.9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F-4718-B51E-993DDC2F7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1526.6666666666667</c:v>
                </c:pt>
                <c:pt idx="1">
                  <c:v>-660</c:v>
                </c:pt>
                <c:pt idx="2">
                  <c:v>-273.33333333333331</c:v>
                </c:pt>
                <c:pt idx="3">
                  <c:v>2400</c:v>
                </c:pt>
                <c:pt idx="4">
                  <c:v>-900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FA-42EC-A0D0-699F2A51D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12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F-4ADD-8224-30554EC37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たかの!$M$2:$M$17</c:f>
              <c:numCache>
                <c:formatCode>0</c:formatCode>
                <c:ptCount val="16"/>
                <c:pt idx="0">
                  <c:v>1463.3989422821498</c:v>
                </c:pt>
                <c:pt idx="1">
                  <c:v>1472.8885486284569</c:v>
                </c:pt>
                <c:pt idx="2">
                  <c:v>1468.4132173366861</c:v>
                </c:pt>
                <c:pt idx="3">
                  <c:v>1458.7987380326661</c:v>
                </c:pt>
                <c:pt idx="4">
                  <c:v>1459.80794560447</c:v>
                </c:pt>
                <c:pt idx="5">
                  <c:v>1458.6570979308431</c:v>
                </c:pt>
                <c:pt idx="6">
                  <c:v>1460.039155343258</c:v>
                </c:pt>
                <c:pt idx="7">
                  <c:v>1466.5549204111985</c:v>
                </c:pt>
                <c:pt idx="8">
                  <c:v>1468.9275908887314</c:v>
                </c:pt>
                <c:pt idx="9">
                  <c:v>1481.0360253433989</c:v>
                </c:pt>
                <c:pt idx="10">
                  <c:v>1473.6558091913384</c:v>
                </c:pt>
                <c:pt idx="11">
                  <c:v>1480.3178743361905</c:v>
                </c:pt>
                <c:pt idx="12">
                  <c:v>1493.1979670901733</c:v>
                </c:pt>
                <c:pt idx="13">
                  <c:v>1485.9547792876322</c:v>
                </c:pt>
                <c:pt idx="14">
                  <c:v>1494.9250506119063</c:v>
                </c:pt>
                <c:pt idx="15">
                  <c:v>1503.6435003082349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74-47D4-A39B-7A038E361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6.5</c:v>
                </c:pt>
                <c:pt idx="2">
                  <c:v>5.9</c:v>
                </c:pt>
                <c:pt idx="3">
                  <c:v>17.200000000000003</c:v>
                </c:pt>
                <c:pt idx="4">
                  <c:v>-16.399999999999999</c:v>
                </c:pt>
                <c:pt idx="5">
                  <c:v>-8.7999999999999989</c:v>
                </c:pt>
                <c:pt idx="6">
                  <c:v>22.1</c:v>
                </c:pt>
                <c:pt idx="7">
                  <c:v>68.900000000000006</c:v>
                </c:pt>
                <c:pt idx="8">
                  <c:v>11.300000000000004</c:v>
                </c:pt>
                <c:pt idx="9">
                  <c:v>-47.599999999999994</c:v>
                </c:pt>
                <c:pt idx="10">
                  <c:v>-84.6</c:v>
                </c:pt>
                <c:pt idx="11">
                  <c:v>-128</c:v>
                </c:pt>
                <c:pt idx="12">
                  <c:v>-122.3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65-4959-B3A8-1B5B5A814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-2300</c:v>
                </c:pt>
                <c:pt idx="1">
                  <c:v>1775</c:v>
                </c:pt>
                <c:pt idx="2">
                  <c:v>650</c:v>
                </c:pt>
                <c:pt idx="3">
                  <c:v>-2000</c:v>
                </c:pt>
                <c:pt idx="4">
                  <c:v>-136.36363636363637</c:v>
                </c:pt>
                <c:pt idx="5">
                  <c:v>-3088.8888888888887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5B-4048-89E6-782F583A7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3">
                  <c:v>6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C2-4771-AF9F-4AAE482F3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ただ!$M$2:$M$14</c:f>
              <c:numCache>
                <c:formatCode>0</c:formatCode>
                <c:ptCount val="13"/>
                <c:pt idx="0">
                  <c:v>1546.9221135131666</c:v>
                </c:pt>
                <c:pt idx="1">
                  <c:v>1547.8105808320875</c:v>
                </c:pt>
                <c:pt idx="2">
                  <c:v>1548.2137173470949</c:v>
                </c:pt>
                <c:pt idx="3">
                  <c:v>1550.1624350430122</c:v>
                </c:pt>
                <c:pt idx="4">
                  <c:v>1544.0234604327541</c:v>
                </c:pt>
                <c:pt idx="5">
                  <c:v>1545.3553196701575</c:v>
                </c:pt>
                <c:pt idx="6">
                  <c:v>1551.4131877521365</c:v>
                </c:pt>
                <c:pt idx="7">
                  <c:v>1560.3147086256238</c:v>
                </c:pt>
                <c:pt idx="8">
                  <c:v>1550.6048203738701</c:v>
                </c:pt>
                <c:pt idx="9">
                  <c:v>1539.933191451627</c:v>
                </c:pt>
                <c:pt idx="10">
                  <c:v>1534.0295923029171</c:v>
                </c:pt>
                <c:pt idx="11">
                  <c:v>1526.8174147490995</c:v>
                </c:pt>
                <c:pt idx="12">
                  <c:v>1527.8925102606049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20-4722-BD0A-0EA248FEF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たかの2!$B$3:$B$18</c:f>
              <c:numCache>
                <c:formatCode>\+0.0;\-0.0;\±0</c:formatCode>
                <c:ptCount val="16"/>
                <c:pt idx="0">
                  <c:v>0</c:v>
                </c:pt>
                <c:pt idx="1">
                  <c:v>51.5</c:v>
                </c:pt>
                <c:pt idx="2">
                  <c:v>21.3</c:v>
                </c:pt>
                <c:pt idx="3">
                  <c:v>-34.299999999999997</c:v>
                </c:pt>
                <c:pt idx="4">
                  <c:v>-34.9</c:v>
                </c:pt>
                <c:pt idx="5">
                  <c:v>-43.8</c:v>
                </c:pt>
                <c:pt idx="6">
                  <c:v>-42.4</c:v>
                </c:pt>
                <c:pt idx="7">
                  <c:v>-8.7999999999999972</c:v>
                </c:pt>
                <c:pt idx="8">
                  <c:v>-0.99999999999999734</c:v>
                </c:pt>
                <c:pt idx="9">
                  <c:v>60.4</c:v>
                </c:pt>
                <c:pt idx="10">
                  <c:v>14.399999999999999</c:v>
                </c:pt>
                <c:pt idx="11">
                  <c:v>45.7</c:v>
                </c:pt>
                <c:pt idx="12">
                  <c:v>115.3</c:v>
                </c:pt>
                <c:pt idx="13">
                  <c:v>69.900000000000006</c:v>
                </c:pt>
                <c:pt idx="14">
                  <c:v>114.80000000000001</c:v>
                </c:pt>
                <c:pt idx="15">
                  <c:v>161.9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たかの2!$B$1:$B$2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通算スコア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7168"/>
        <c:axId val="-1152537712"/>
      </c:scatterChart>
      <c:valAx>
        <c:axId val="-1152537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712"/>
        <c:crossesAt val="-1.4210854715202004E-14"/>
        <c:crossBetween val="midCat"/>
      </c:valAx>
      <c:valAx>
        <c:axId val="-115253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たかの2!$C$3:$C$18</c:f>
              <c:numCache>
                <c:formatCode>\+0.0;\-0.0;\±0</c:formatCode>
                <c:ptCount val="16"/>
                <c:pt idx="1">
                  <c:v>51.5</c:v>
                </c:pt>
                <c:pt idx="2">
                  <c:v>10.65</c:v>
                </c:pt>
                <c:pt idx="3">
                  <c:v>-11.433333333333332</c:v>
                </c:pt>
                <c:pt idx="4">
                  <c:v>-8.7249999999999996</c:v>
                </c:pt>
                <c:pt idx="5">
                  <c:v>-8.76</c:v>
                </c:pt>
                <c:pt idx="6">
                  <c:v>-7.0666666666666664</c:v>
                </c:pt>
                <c:pt idx="7">
                  <c:v>-1.2571428571428567</c:v>
                </c:pt>
                <c:pt idx="8">
                  <c:v>-0.12499999999999967</c:v>
                </c:pt>
                <c:pt idx="9">
                  <c:v>6.7111111111111112</c:v>
                </c:pt>
                <c:pt idx="10">
                  <c:v>1.44</c:v>
                </c:pt>
                <c:pt idx="11">
                  <c:v>4.1545454545454552</c:v>
                </c:pt>
                <c:pt idx="12">
                  <c:v>9.6083333333333325</c:v>
                </c:pt>
                <c:pt idx="13">
                  <c:v>5.3769230769230774</c:v>
                </c:pt>
                <c:pt idx="14">
                  <c:v>8.2000000000000011</c:v>
                </c:pt>
                <c:pt idx="15">
                  <c:v>10.793333333333333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たかの2!$C$1:$C$2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平均スコア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0976"/>
        <c:axId val="-1152543696"/>
      </c:scatterChart>
      <c:valAx>
        <c:axId val="-115254097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696"/>
        <c:crossesAt val="-1.8219044506669235E-16"/>
        <c:crossBetween val="midCat"/>
      </c:valAx>
      <c:valAx>
        <c:axId val="-115254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たかの2!$D$3:$D$18</c:f>
              <c:numCache>
                <c:formatCode>0.00\ "位"</c:formatCode>
                <c:ptCount val="16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2.1666666666666665</c:v>
                </c:pt>
                <c:pt idx="7">
                  <c:v>2</c:v>
                </c:pt>
                <c:pt idx="8">
                  <c:v>2</c:v>
                </c:pt>
                <c:pt idx="9">
                  <c:v>1.8888888888888888</c:v>
                </c:pt>
                <c:pt idx="10">
                  <c:v>2</c:v>
                </c:pt>
                <c:pt idx="11">
                  <c:v>1.9090909090909092</c:v>
                </c:pt>
                <c:pt idx="12">
                  <c:v>1.8333333333333333</c:v>
                </c:pt>
                <c:pt idx="13">
                  <c:v>1.9230769230769231</c:v>
                </c:pt>
                <c:pt idx="14">
                  <c:v>1.8571428571428572</c:v>
                </c:pt>
                <c:pt idx="15">
                  <c:v>1.8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たかの2!$D$1:$D$2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平均順位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8256"/>
        <c:axId val="-1152538800"/>
      </c:scatterChart>
      <c:valAx>
        <c:axId val="-1152538256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800"/>
        <c:crossesAt val="2"/>
        <c:crossBetween val="midCat"/>
      </c:valAx>
      <c:valAx>
        <c:axId val="-1152538800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25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たかの2!$E$3:$E$18</c:f>
              <c:numCache>
                <c:formatCode>0.0%</c:formatCode>
                <c:ptCount val="16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0.46666666666666667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たかの2!$E$1:$E$2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トップ率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888"/>
        <c:axId val="-1152533904"/>
      </c:scatterChart>
      <c:valAx>
        <c:axId val="-115253988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904"/>
        <c:crossesAt val="0.33333333333333331"/>
        <c:crossBetween val="midCat"/>
      </c:valAx>
      <c:valAx>
        <c:axId val="-115253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たかの2!$F$3:$F$18</c:f>
              <c:numCache>
                <c:formatCode>0.0%</c:formatCode>
                <c:ptCount val="16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たかの2!$F$1:$F$2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3152"/>
        <c:axId val="-1152542608"/>
      </c:scatterChart>
      <c:valAx>
        <c:axId val="-115254315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608"/>
        <c:crossesAt val="0.33333333333333331"/>
        <c:crossBetween val="midCat"/>
      </c:valAx>
      <c:valAx>
        <c:axId val="-115254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たかの2!$G$3:$G$18</c:f>
              <c:numCache>
                <c:formatCode>0.0%</c:formatCode>
                <c:ptCount val="16"/>
                <c:pt idx="1">
                  <c:v>0.6</c:v>
                </c:pt>
                <c:pt idx="2">
                  <c:v>0.36363636363636365</c:v>
                </c:pt>
                <c:pt idx="3">
                  <c:v>0.31818181818181818</c:v>
                </c:pt>
                <c:pt idx="4">
                  <c:v>0.32142857142857145</c:v>
                </c:pt>
                <c:pt idx="5">
                  <c:v>0.29411764705882354</c:v>
                </c:pt>
                <c:pt idx="6">
                  <c:v>0.32558139534883723</c:v>
                </c:pt>
                <c:pt idx="7">
                  <c:v>0.34</c:v>
                </c:pt>
                <c:pt idx="8">
                  <c:v>0.33333333333333331</c:v>
                </c:pt>
                <c:pt idx="9">
                  <c:v>0.36619718309859156</c:v>
                </c:pt>
                <c:pt idx="10">
                  <c:v>0.32941176470588235</c:v>
                </c:pt>
                <c:pt idx="11">
                  <c:v>0.33333333333333331</c:v>
                </c:pt>
                <c:pt idx="12">
                  <c:v>0.35514018691588783</c:v>
                </c:pt>
                <c:pt idx="13">
                  <c:v>0.33913043478260868</c:v>
                </c:pt>
                <c:pt idx="14">
                  <c:v>0.33333333333333331</c:v>
                </c:pt>
                <c:pt idx="15">
                  <c:v>0.34090909090909088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たかの2!$G$1:$G$2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アガリ率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344"/>
        <c:axId val="-1152536624"/>
      </c:scatterChart>
      <c:valAx>
        <c:axId val="-11525393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624"/>
        <c:crossesAt val="0.29166666666666669"/>
        <c:crossBetween val="midCat"/>
      </c:valAx>
      <c:valAx>
        <c:axId val="-11525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たかの2!$H$3:$H$18</c:f>
              <c:numCache>
                <c:formatCode>0.0%</c:formatCode>
                <c:ptCount val="16"/>
                <c:pt idx="1">
                  <c:v>0</c:v>
                </c:pt>
                <c:pt idx="2">
                  <c:v>0.18181818181818182</c:v>
                </c:pt>
                <c:pt idx="3">
                  <c:v>0.18181818181818182</c:v>
                </c:pt>
                <c:pt idx="4">
                  <c:v>0.21428571428571427</c:v>
                </c:pt>
                <c:pt idx="5">
                  <c:v>0.23529411764705882</c:v>
                </c:pt>
                <c:pt idx="6">
                  <c:v>0.18604651162790697</c:v>
                </c:pt>
                <c:pt idx="7">
                  <c:v>0.2</c:v>
                </c:pt>
                <c:pt idx="8">
                  <c:v>0.2</c:v>
                </c:pt>
                <c:pt idx="9">
                  <c:v>0.18309859154929578</c:v>
                </c:pt>
                <c:pt idx="10">
                  <c:v>0.17647058823529413</c:v>
                </c:pt>
                <c:pt idx="11">
                  <c:v>0.16666666666666666</c:v>
                </c:pt>
                <c:pt idx="12">
                  <c:v>0.14953271028037382</c:v>
                </c:pt>
                <c:pt idx="13">
                  <c:v>0.15652173913043479</c:v>
                </c:pt>
                <c:pt idx="14">
                  <c:v>0.15447154471544716</c:v>
                </c:pt>
                <c:pt idx="15">
                  <c:v>0.14393939393939395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たかの2!$H$1:$H$2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放銃率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2272"/>
        <c:axId val="-1152533360"/>
      </c:scatterChart>
      <c:valAx>
        <c:axId val="-115253227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360"/>
        <c:crossesAt val="0.15740740740740741"/>
        <c:crossBetween val="midCat"/>
      </c:valAx>
      <c:valAx>
        <c:axId val="-115253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たかの2!$I$3:$I$18</c:f>
              <c:numCache>
                <c:formatCode>0</c:formatCode>
                <c:ptCount val="16"/>
                <c:pt idx="1">
                  <c:v>9333.3333333333339</c:v>
                </c:pt>
                <c:pt idx="2">
                  <c:v>8000</c:v>
                </c:pt>
                <c:pt idx="3">
                  <c:v>5914.2857142857147</c:v>
                </c:pt>
                <c:pt idx="4">
                  <c:v>5777.7777777777774</c:v>
                </c:pt>
                <c:pt idx="5">
                  <c:v>6000</c:v>
                </c:pt>
                <c:pt idx="6">
                  <c:v>5814.2857142857147</c:v>
                </c:pt>
                <c:pt idx="7">
                  <c:v>6335.2941176470586</c:v>
                </c:pt>
                <c:pt idx="8">
                  <c:v>6205</c:v>
                </c:pt>
                <c:pt idx="9">
                  <c:v>6861.5384615384619</c:v>
                </c:pt>
                <c:pt idx="10">
                  <c:v>6842.8571428571431</c:v>
                </c:pt>
                <c:pt idx="11">
                  <c:v>6690.625</c:v>
                </c:pt>
                <c:pt idx="12">
                  <c:v>7205.2631578947367</c:v>
                </c:pt>
                <c:pt idx="13">
                  <c:v>7156.4102564102568</c:v>
                </c:pt>
                <c:pt idx="14">
                  <c:v>7392.6829268292686</c:v>
                </c:pt>
                <c:pt idx="15">
                  <c:v>7735.5555555555557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たかの2!$I$1:$I$2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平均アガリ点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6080"/>
        <c:axId val="-1152531728"/>
      </c:scatterChart>
      <c:valAx>
        <c:axId val="-11525360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728"/>
        <c:crossesAt val="8216.402116402116"/>
        <c:crossBetween val="midCat"/>
      </c:valAx>
      <c:valAx>
        <c:axId val="-115253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たかの2!$J$3:$J$18</c:f>
              <c:numCache>
                <c:formatCode>0</c:formatCode>
                <c:ptCount val="16"/>
                <c:pt idx="1">
                  <c:v>0</c:v>
                </c:pt>
                <c:pt idx="2">
                  <c:v>-6600</c:v>
                </c:pt>
                <c:pt idx="3">
                  <c:v>-13300</c:v>
                </c:pt>
                <c:pt idx="4">
                  <c:v>-10366.666666666666</c:v>
                </c:pt>
                <c:pt idx="5">
                  <c:v>-8425</c:v>
                </c:pt>
                <c:pt idx="6">
                  <c:v>-8425</c:v>
                </c:pt>
                <c:pt idx="7">
                  <c:v>-7800</c:v>
                </c:pt>
                <c:pt idx="8">
                  <c:v>-6716.666666666667</c:v>
                </c:pt>
                <c:pt idx="9">
                  <c:v>-7123.0769230769229</c:v>
                </c:pt>
                <c:pt idx="10">
                  <c:v>-7613.333333333333</c:v>
                </c:pt>
                <c:pt idx="11">
                  <c:v>-7537.5</c:v>
                </c:pt>
                <c:pt idx="12">
                  <c:v>-7537.5</c:v>
                </c:pt>
                <c:pt idx="13">
                  <c:v>-7255.5555555555557</c:v>
                </c:pt>
                <c:pt idx="14">
                  <c:v>-7010.5263157894733</c:v>
                </c:pt>
                <c:pt idx="15">
                  <c:v>-7010.5263157894733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たかの2!$J$1:$J$2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平均放銃点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1184"/>
        <c:axId val="-1161176208"/>
      </c:scatterChart>
      <c:valAx>
        <c:axId val="-115253118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76208"/>
        <c:crossesAt val="-8450"/>
        <c:crossBetween val="midCat"/>
      </c:valAx>
      <c:valAx>
        <c:axId val="-11611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たかの2!$K$3:$K$18</c:f>
              <c:numCache>
                <c:formatCode>0.0%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たかの2!$K$1:$K$2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ふっとび率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61184368"/>
        <c:axId val="-1149411488"/>
      </c:scatterChart>
      <c:valAx>
        <c:axId val="-11611843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1488"/>
        <c:crossesAt val="7.6923076923076927E-2"/>
        <c:crossBetween val="midCat"/>
      </c:valAx>
      <c:valAx>
        <c:axId val="-11494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8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たかの2!$L$3:$L$18</c:f>
              <c:numCache>
                <c:formatCode>0.0%</c:formatCode>
                <c:ptCount val="16"/>
                <c:pt idx="1">
                  <c:v>0.4</c:v>
                </c:pt>
                <c:pt idx="2">
                  <c:v>0.36363636363636365</c:v>
                </c:pt>
                <c:pt idx="3">
                  <c:v>0.36363636363636365</c:v>
                </c:pt>
                <c:pt idx="4">
                  <c:v>0.39285714285714285</c:v>
                </c:pt>
                <c:pt idx="5">
                  <c:v>0.35294117647058826</c:v>
                </c:pt>
                <c:pt idx="6">
                  <c:v>0.32558139534883723</c:v>
                </c:pt>
                <c:pt idx="7">
                  <c:v>0.34</c:v>
                </c:pt>
                <c:pt idx="8">
                  <c:v>0.33333333333333331</c:v>
                </c:pt>
                <c:pt idx="9">
                  <c:v>0.3380281690140845</c:v>
                </c:pt>
                <c:pt idx="10">
                  <c:v>0.30588235294117649</c:v>
                </c:pt>
                <c:pt idx="11">
                  <c:v>0.32291666666666669</c:v>
                </c:pt>
                <c:pt idx="12">
                  <c:v>0.31775700934579437</c:v>
                </c:pt>
                <c:pt idx="13">
                  <c:v>0.29565217391304349</c:v>
                </c:pt>
                <c:pt idx="14">
                  <c:v>0.28455284552845528</c:v>
                </c:pt>
                <c:pt idx="15">
                  <c:v>0.27272727272727271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たかの2!$L$1:$L$2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リーチ率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960"/>
        <c:axId val="-1149410400"/>
      </c:scatterChart>
      <c:valAx>
        <c:axId val="-114940496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400"/>
        <c:crossesAt val="0.32561728395061729"/>
        <c:crossBetween val="midCat"/>
      </c:valAx>
      <c:valAx>
        <c:axId val="-11494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たかの2!$M$3:$M$18</c:f>
              <c:numCache>
                <c:formatCode>0.0%</c:formatCode>
                <c:ptCount val="16"/>
                <c:pt idx="1">
                  <c:v>0.2</c:v>
                </c:pt>
                <c:pt idx="2">
                  <c:v>0.36363636363636365</c:v>
                </c:pt>
                <c:pt idx="3">
                  <c:v>0.22727272727272727</c:v>
                </c:pt>
                <c:pt idx="4">
                  <c:v>0.25</c:v>
                </c:pt>
                <c:pt idx="5">
                  <c:v>0.23529411764705882</c:v>
                </c:pt>
                <c:pt idx="6">
                  <c:v>0.20930232558139536</c:v>
                </c:pt>
                <c:pt idx="7">
                  <c:v>0.26</c:v>
                </c:pt>
                <c:pt idx="8">
                  <c:v>0.23333333333333334</c:v>
                </c:pt>
                <c:pt idx="9">
                  <c:v>0.23943661971830985</c:v>
                </c:pt>
                <c:pt idx="10">
                  <c:v>0.22352941176470589</c:v>
                </c:pt>
                <c:pt idx="11">
                  <c:v>0.20833333333333334</c:v>
                </c:pt>
                <c:pt idx="12">
                  <c:v>0.23364485981308411</c:v>
                </c:pt>
                <c:pt idx="13">
                  <c:v>0.24347826086956523</c:v>
                </c:pt>
                <c:pt idx="14">
                  <c:v>0.23577235772357724</c:v>
                </c:pt>
                <c:pt idx="15">
                  <c:v>0.23484848484848486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たかの2!$M$1:$M$2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副露率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8768"/>
        <c:axId val="-1149406592"/>
      </c:scatterChart>
      <c:valAx>
        <c:axId val="-11494087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592"/>
        <c:crossesAt val="0.17901234567901234"/>
        <c:crossBetween val="midCat"/>
      </c:valAx>
      <c:valAx>
        <c:axId val="-114940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たかの2!$N$3:$N$18</c:f>
              <c:numCache>
                <c:formatCode>0.0%</c:formatCode>
                <c:ptCount val="16"/>
                <c:pt idx="1">
                  <c:v>1</c:v>
                </c:pt>
                <c:pt idx="2">
                  <c:v>0.75</c:v>
                </c:pt>
                <c:pt idx="3">
                  <c:v>0.625</c:v>
                </c:pt>
                <c:pt idx="4">
                  <c:v>0.63636363636363635</c:v>
                </c:pt>
                <c:pt idx="5">
                  <c:v>0.66666666666666663</c:v>
                </c:pt>
                <c:pt idx="6">
                  <c:v>0.7142857142857143</c:v>
                </c:pt>
                <c:pt idx="7">
                  <c:v>0.6470588235294118</c:v>
                </c:pt>
                <c:pt idx="8">
                  <c:v>0.7</c:v>
                </c:pt>
                <c:pt idx="9">
                  <c:v>0.70833333333333337</c:v>
                </c:pt>
                <c:pt idx="10">
                  <c:v>0.69230769230769229</c:v>
                </c:pt>
                <c:pt idx="11">
                  <c:v>0.67741935483870963</c:v>
                </c:pt>
                <c:pt idx="12">
                  <c:v>0.70588235294117652</c:v>
                </c:pt>
                <c:pt idx="13">
                  <c:v>0.70588235294117652</c:v>
                </c:pt>
                <c:pt idx="14">
                  <c:v>0.7142857142857143</c:v>
                </c:pt>
                <c:pt idx="15">
                  <c:v>0.72222222222222221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たかの2!$N$1:$N$2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リーチ成功率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7680"/>
        <c:axId val="-1149409312"/>
      </c:scatterChart>
      <c:valAx>
        <c:axId val="-11494076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9312"/>
        <c:crossesAt val="0.56398104265402849"/>
        <c:crossBetween val="midCat"/>
      </c:valAx>
      <c:valAx>
        <c:axId val="-11494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たかの2!$O$3:$O$18</c:f>
              <c:numCache>
                <c:formatCode>0.0%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0.1111111111111111</c:v>
                </c:pt>
                <c:pt idx="7">
                  <c:v>0.23076923076923078</c:v>
                </c:pt>
                <c:pt idx="8">
                  <c:v>0.21428571428571427</c:v>
                </c:pt>
                <c:pt idx="9">
                  <c:v>0.29411764705882354</c:v>
                </c:pt>
                <c:pt idx="10">
                  <c:v>0.31578947368421051</c:v>
                </c:pt>
                <c:pt idx="11">
                  <c:v>0.3</c:v>
                </c:pt>
                <c:pt idx="12">
                  <c:v>0.36</c:v>
                </c:pt>
                <c:pt idx="13">
                  <c:v>0.32142857142857145</c:v>
                </c:pt>
                <c:pt idx="14">
                  <c:v>0.31034482758620691</c:v>
                </c:pt>
                <c:pt idx="15">
                  <c:v>0.32258064516129031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たかの2!$O$1:$O$2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副露成功率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16928"/>
        <c:axId val="-1149410944"/>
      </c:scatterChart>
      <c:valAx>
        <c:axId val="-114941692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944"/>
        <c:crossesAt val="0.31896551724137934"/>
        <c:crossBetween val="midCat"/>
      </c:valAx>
      <c:valAx>
        <c:axId val="-11494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たかの2!$P$3:$P$18</c:f>
              <c:numCache>
                <c:formatCode>0.0%</c:formatCode>
                <c:ptCount val="16"/>
                <c:pt idx="1">
                  <c:v>0.33333333333333331</c:v>
                </c:pt>
                <c:pt idx="2">
                  <c:v>0.5</c:v>
                </c:pt>
                <c:pt idx="3">
                  <c:v>0.5714285714285714</c:v>
                </c:pt>
                <c:pt idx="4">
                  <c:v>0.44444444444444442</c:v>
                </c:pt>
                <c:pt idx="5">
                  <c:v>0.4</c:v>
                </c:pt>
                <c:pt idx="6">
                  <c:v>0.2857142857142857</c:v>
                </c:pt>
                <c:pt idx="7">
                  <c:v>0.41176470588235292</c:v>
                </c:pt>
                <c:pt idx="8">
                  <c:v>0.35</c:v>
                </c:pt>
                <c:pt idx="9">
                  <c:v>0.42307692307692307</c:v>
                </c:pt>
                <c:pt idx="10">
                  <c:v>0.39285714285714285</c:v>
                </c:pt>
                <c:pt idx="11">
                  <c:v>0.375</c:v>
                </c:pt>
                <c:pt idx="12">
                  <c:v>0.44736842105263158</c:v>
                </c:pt>
                <c:pt idx="13">
                  <c:v>0.46153846153846156</c:v>
                </c:pt>
                <c:pt idx="14">
                  <c:v>0.48780487804878048</c:v>
                </c:pt>
                <c:pt idx="15">
                  <c:v>0.48888888888888887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たかの2!$P$1:$P$2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ツモ率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416"/>
        <c:axId val="-1149406048"/>
      </c:scatterChart>
      <c:valAx>
        <c:axId val="-114940441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048"/>
        <c:crossesAt val="0.46031746031746029"/>
        <c:crossBetween val="midCat"/>
      </c:valAx>
      <c:valAx>
        <c:axId val="-11494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85C34FC-8AB8-48DD-B643-8B2BE93363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F8415AF-462A-4AEE-A13A-2E8E6C0F2B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926AD56-7F8B-4613-AA73-5DFDFC06D2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C8DB168-B9F4-4F60-B78D-6D6759EA8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03C566-51CF-40C4-B4ED-9E9758E11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3B216F4-33D8-4AE4-9999-5F8F9D2494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6A43CD5-1CA9-450D-ADD4-E2CB479CDA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46B2FE6-55FB-4C4F-AE94-813BF84886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F724514-DE5B-4CBD-9E24-BCD41EE85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3FD5F64-D0F5-48BE-A595-CE463D196A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C763697-B0E4-43FC-AC7B-E0EBB1B806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3FBCD99-D67E-46A6-80D1-850725E88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3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9" x14ac:dyDescent="0.4">
      <c r="A1" s="1">
        <v>32874</v>
      </c>
      <c r="B1" s="1">
        <v>2958465</v>
      </c>
    </row>
    <row r="2" spans="1:19" x14ac:dyDescent="0.4">
      <c r="A2" s="2" t="s">
        <v>220</v>
      </c>
      <c r="B2" s="3">
        <v>45048.836782407408</v>
      </c>
      <c r="C2" s="2" t="s">
        <v>211</v>
      </c>
      <c r="D2" s="2" t="s">
        <v>212</v>
      </c>
      <c r="E2" s="2" t="s">
        <v>213</v>
      </c>
      <c r="F2" s="2" t="s">
        <v>214</v>
      </c>
      <c r="G2" s="2" t="s">
        <v>215</v>
      </c>
      <c r="H2" s="2" t="s">
        <v>216</v>
      </c>
      <c r="I2" s="2" t="s">
        <v>217</v>
      </c>
      <c r="J2" s="2" t="s">
        <v>218</v>
      </c>
      <c r="K2" s="2" t="s">
        <v>219</v>
      </c>
    </row>
    <row r="3" spans="1:19" x14ac:dyDescent="0.4">
      <c r="A3" s="2" t="s">
        <v>221</v>
      </c>
      <c r="B3" s="3">
        <v>44990.226365740738</v>
      </c>
      <c r="C3" s="2" t="s">
        <v>211</v>
      </c>
      <c r="D3" s="2" t="s">
        <v>212</v>
      </c>
      <c r="E3" s="2" t="s">
        <v>213</v>
      </c>
      <c r="F3" s="2" t="s">
        <v>214</v>
      </c>
      <c r="G3" s="2" t="s">
        <v>215</v>
      </c>
      <c r="H3" s="2" t="s">
        <v>216</v>
      </c>
      <c r="I3" s="2" t="s">
        <v>217</v>
      </c>
      <c r="J3" s="2" t="s">
        <v>218</v>
      </c>
      <c r="K3" s="2" t="s">
        <v>219</v>
      </c>
      <c r="L3" s="2" t="s">
        <v>223</v>
      </c>
      <c r="M3" s="2" t="s">
        <v>224</v>
      </c>
      <c r="N3" s="2" t="s">
        <v>225</v>
      </c>
      <c r="O3" s="2" t="s">
        <v>226</v>
      </c>
      <c r="P3" s="2" t="s">
        <v>227</v>
      </c>
      <c r="Q3" s="2" t="s">
        <v>228</v>
      </c>
      <c r="R3" s="2" t="s">
        <v>229</v>
      </c>
      <c r="S3" s="2" t="s">
        <v>230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222</v>
      </c>
    </row>
    <row r="2" spans="1:3" x14ac:dyDescent="0.4">
      <c r="A2" t="s">
        <v>126</v>
      </c>
      <c r="B2" s="120">
        <v>20</v>
      </c>
      <c r="C2" s="120">
        <v>1846.5755924228188</v>
      </c>
    </row>
    <row r="3" spans="1:3" x14ac:dyDescent="0.4">
      <c r="A3" t="s">
        <v>138</v>
      </c>
      <c r="B3" s="120">
        <v>78</v>
      </c>
      <c r="C3" s="120">
        <v>1614.2957512011271</v>
      </c>
    </row>
    <row r="4" spans="1:3" x14ac:dyDescent="0.4">
      <c r="A4" t="s">
        <v>162</v>
      </c>
      <c r="B4" s="120">
        <v>13</v>
      </c>
      <c r="C4" s="120">
        <v>1595.6213709809917</v>
      </c>
    </row>
    <row r="5" spans="1:3" x14ac:dyDescent="0.4">
      <c r="A5" t="s">
        <v>188</v>
      </c>
      <c r="C5" s="120">
        <v>1551.4699038276274</v>
      </c>
    </row>
    <row r="6" spans="1:3" x14ac:dyDescent="0.4">
      <c r="A6" t="s">
        <v>189</v>
      </c>
      <c r="B6" s="120">
        <v>12</v>
      </c>
      <c r="C6" s="120">
        <v>1546.9221135131666</v>
      </c>
    </row>
    <row r="7" spans="1:3" x14ac:dyDescent="0.4">
      <c r="A7" t="s">
        <v>207</v>
      </c>
      <c r="C7" s="120">
        <v>1541.223654027415</v>
      </c>
    </row>
    <row r="8" spans="1:3" x14ac:dyDescent="0.4">
      <c r="A8" t="s">
        <v>200</v>
      </c>
      <c r="C8" s="120">
        <v>1519.3079580555725</v>
      </c>
    </row>
    <row r="9" spans="1:3" x14ac:dyDescent="0.4">
      <c r="A9" t="s">
        <v>196</v>
      </c>
      <c r="C9" s="120">
        <v>1519.2052586122145</v>
      </c>
    </row>
    <row r="10" spans="1:3" x14ac:dyDescent="0.4">
      <c r="A10" t="s">
        <v>199</v>
      </c>
      <c r="C10" s="120">
        <v>1503.1020000000001</v>
      </c>
    </row>
    <row r="11" spans="1:3" x14ac:dyDescent="0.4">
      <c r="A11" t="s">
        <v>209</v>
      </c>
      <c r="B11" s="120">
        <v>9</v>
      </c>
      <c r="C11" s="120">
        <v>1497.379788</v>
      </c>
    </row>
    <row r="12" spans="1:3" x14ac:dyDescent="0.4">
      <c r="A12" t="s">
        <v>210</v>
      </c>
      <c r="C12" s="120">
        <v>1493.0891304000002</v>
      </c>
    </row>
    <row r="13" spans="1:3" x14ac:dyDescent="0.4">
      <c r="A13" t="s">
        <v>198</v>
      </c>
      <c r="C13" s="120">
        <v>1491.5152195648213</v>
      </c>
    </row>
    <row r="14" spans="1:3" x14ac:dyDescent="0.4">
      <c r="A14" t="s">
        <v>201</v>
      </c>
      <c r="C14" s="120">
        <v>1489.2889468180317</v>
      </c>
    </row>
    <row r="15" spans="1:3" x14ac:dyDescent="0.4">
      <c r="A15" t="s">
        <v>208</v>
      </c>
      <c r="C15" s="120">
        <v>1488.9447185272431</v>
      </c>
    </row>
    <row r="16" spans="1:3" x14ac:dyDescent="0.4">
      <c r="A16" t="s">
        <v>203</v>
      </c>
      <c r="C16" s="120">
        <v>1484.6521503082251</v>
      </c>
    </row>
    <row r="17" spans="1:8" x14ac:dyDescent="0.4">
      <c r="A17" t="s">
        <v>205</v>
      </c>
      <c r="C17" s="120">
        <v>1484.4200922656562</v>
      </c>
      <c r="G17" s="120"/>
      <c r="H17" s="120"/>
    </row>
    <row r="18" spans="1:8" x14ac:dyDescent="0.4">
      <c r="A18" t="s">
        <v>206</v>
      </c>
      <c r="C18" s="120">
        <v>1483.0119085897741</v>
      </c>
      <c r="G18" s="120"/>
      <c r="H18" s="120"/>
    </row>
    <row r="19" spans="1:8" x14ac:dyDescent="0.4">
      <c r="A19" t="s">
        <v>197</v>
      </c>
      <c r="C19" s="120">
        <v>1476.9680701642462</v>
      </c>
      <c r="G19" s="120"/>
      <c r="H19" s="120"/>
    </row>
    <row r="20" spans="1:8" x14ac:dyDescent="0.4">
      <c r="A20" t="s">
        <v>202</v>
      </c>
      <c r="C20" s="120">
        <v>1476.2954110473599</v>
      </c>
      <c r="G20" s="120"/>
      <c r="H20" s="120"/>
    </row>
    <row r="21" spans="1:8" x14ac:dyDescent="0.4">
      <c r="A21" t="s">
        <v>187</v>
      </c>
      <c r="B21" s="120">
        <v>15</v>
      </c>
      <c r="C21" s="120">
        <v>1463.3989422821498</v>
      </c>
      <c r="G21" s="120"/>
      <c r="H21" s="120"/>
    </row>
    <row r="22" spans="1:8" x14ac:dyDescent="0.4">
      <c r="A22" t="s">
        <v>194</v>
      </c>
      <c r="C22" s="120">
        <v>1445.1125193047092</v>
      </c>
      <c r="G22" s="120"/>
      <c r="H22" s="120"/>
    </row>
    <row r="23" spans="1:8" x14ac:dyDescent="0.4">
      <c r="A23" t="s">
        <v>195</v>
      </c>
      <c r="C23" s="120">
        <v>1384.1908394993188</v>
      </c>
    </row>
    <row r="24" spans="1:8" x14ac:dyDescent="0.4">
      <c r="A24" t="s">
        <v>191</v>
      </c>
      <c r="B24" s="120">
        <v>9</v>
      </c>
      <c r="C24" s="120">
        <v>1372.5824902185618</v>
      </c>
    </row>
    <row r="25" spans="1:8" x14ac:dyDescent="0.4">
      <c r="A25" t="s">
        <v>190</v>
      </c>
      <c r="C25" s="120">
        <v>1340.228259602879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/>
      <c r="C1" s="136"/>
      <c r="E1" s="104" t="s">
        <v>153</v>
      </c>
      <c r="F1" s="100" t="s">
        <v>115</v>
      </c>
      <c r="G1" s="99" t="s">
        <v>116</v>
      </c>
      <c r="H1" s="86" t="s">
        <v>117</v>
      </c>
      <c r="I1" s="100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7">
        <v>0</v>
      </c>
      <c r="C2" s="138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127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9">
        <v>0</v>
      </c>
      <c r="C3" s="140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128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1">
        <v>0</v>
      </c>
      <c r="C4" s="142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129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9">
        <f>IF(B$2=0,0,B$4/B$2)</f>
        <v>0</v>
      </c>
      <c r="C5" s="130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130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192</v>
      </c>
      <c r="B6" s="133">
        <v>1500</v>
      </c>
      <c r="C6" s="134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131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3">
        <f>IF(B$2=0,0,(B$8*1+B$9*2+B$10*3)/B$2)</f>
        <v>0</v>
      </c>
      <c r="C7" s="144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132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150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151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152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186</v>
      </c>
      <c r="B14" s="129">
        <f>AVERAGE(B11:B13)</f>
        <v>0</v>
      </c>
      <c r="C14" s="130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182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164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163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156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157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135</v>
      </c>
      <c r="B33" s="131">
        <v>0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179</v>
      </c>
      <c r="B34" s="133">
        <v>-1000000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170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166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167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168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169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171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172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173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174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175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176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177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178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154</v>
      </c>
      <c r="F50" s="24" t="s">
        <v>155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158</v>
      </c>
      <c r="F51" s="92" t="s">
        <v>159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160</v>
      </c>
      <c r="F52" s="25" t="s">
        <v>161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1"/>
  <dimension ref="A1:AK9"/>
  <sheetViews>
    <sheetView showGridLines="0" tabSelected="1" zoomScale="150" zoomScaleNormal="150" workbookViewId="0">
      <selection activeCell="B3" sqref="B3"/>
    </sheetView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9" t="s">
        <v>9</v>
      </c>
      <c r="C1" s="150"/>
      <c r="D1" s="147" t="s">
        <v>6</v>
      </c>
      <c r="E1" s="148"/>
      <c r="F1" s="147" t="s">
        <v>7</v>
      </c>
      <c r="G1" s="148"/>
      <c r="H1" s="149" t="s">
        <v>192</v>
      </c>
      <c r="I1" s="150"/>
      <c r="J1" s="147" t="s">
        <v>15</v>
      </c>
      <c r="K1" s="148"/>
      <c r="L1" s="147" t="s">
        <v>14</v>
      </c>
      <c r="M1" s="148"/>
      <c r="N1" s="147" t="s">
        <v>148</v>
      </c>
      <c r="O1" s="148"/>
      <c r="P1" s="147" t="s">
        <v>142</v>
      </c>
      <c r="Q1" s="148"/>
      <c r="R1" s="147" t="s">
        <v>143</v>
      </c>
      <c r="S1" s="148"/>
      <c r="T1" s="147" t="s">
        <v>5</v>
      </c>
      <c r="U1" s="148"/>
      <c r="V1" s="147" t="s">
        <v>16</v>
      </c>
      <c r="W1" s="148"/>
      <c r="X1" s="147" t="s">
        <v>17</v>
      </c>
      <c r="Y1" s="148"/>
      <c r="Z1" s="147" t="s">
        <v>122</v>
      </c>
      <c r="AA1" s="148"/>
      <c r="AB1" s="147" t="s">
        <v>119</v>
      </c>
      <c r="AC1" s="148"/>
      <c r="AD1" s="147" t="s">
        <v>125</v>
      </c>
      <c r="AE1" s="148"/>
      <c r="AF1" s="147" t="s">
        <v>144</v>
      </c>
      <c r="AG1" s="148"/>
      <c r="AH1" s="147" t="s">
        <v>137</v>
      </c>
      <c r="AI1" s="148"/>
      <c r="AJ1" s="147" t="s">
        <v>179</v>
      </c>
      <c r="AK1" s="148"/>
    </row>
    <row r="2" spans="1:37" x14ac:dyDescent="0.4">
      <c r="A2" s="36" t="s">
        <v>204</v>
      </c>
      <c r="B2" s="145">
        <v>0.89331074924359799</v>
      </c>
      <c r="C2" s="146"/>
      <c r="D2" s="145">
        <v>0.73451511407898762</v>
      </c>
      <c r="E2" s="146"/>
      <c r="F2" s="145">
        <v>0.63388768509161675</v>
      </c>
      <c r="G2" s="146"/>
      <c r="H2" s="151"/>
      <c r="I2" s="152"/>
      <c r="J2" s="145">
        <v>0.61215809728828963</v>
      </c>
      <c r="K2" s="146"/>
      <c r="L2" s="145">
        <v>0.54710316314179075</v>
      </c>
      <c r="M2" s="146"/>
      <c r="N2" s="145">
        <v>0.69375515734540738</v>
      </c>
      <c r="O2" s="146"/>
      <c r="P2" s="145">
        <v>9.200408922741482E-2</v>
      </c>
      <c r="Q2" s="146"/>
      <c r="R2" s="145">
        <v>0.65711823626683841</v>
      </c>
      <c r="S2" s="146"/>
      <c r="T2" s="145">
        <v>0.90716055158024411</v>
      </c>
      <c r="U2" s="146"/>
      <c r="V2" s="145">
        <v>0.4075479964535747</v>
      </c>
      <c r="W2" s="146"/>
      <c r="X2" s="145">
        <v>0.75359076736100983</v>
      </c>
      <c r="Y2" s="146"/>
      <c r="Z2" s="145">
        <v>0.8228448649168042</v>
      </c>
      <c r="AA2" s="146"/>
      <c r="AB2" s="145">
        <v>-0.76792075008834648</v>
      </c>
      <c r="AC2" s="146"/>
      <c r="AD2" s="145">
        <v>-0.62566687482167549</v>
      </c>
      <c r="AE2" s="146"/>
      <c r="AF2" s="145">
        <v>0.80211396214498432</v>
      </c>
      <c r="AG2" s="146"/>
      <c r="AH2" s="145">
        <v>-0.57702636512517891</v>
      </c>
      <c r="AI2" s="146"/>
      <c r="AJ2" s="145">
        <v>0.58323871569726093</v>
      </c>
      <c r="AK2" s="146"/>
    </row>
    <row r="3" spans="1:37" x14ac:dyDescent="0.4">
      <c r="A3" s="38">
        <v>1</v>
      </c>
      <c r="B3" s="41" t="s">
        <v>138</v>
      </c>
      <c r="C3" s="113">
        <v>26</v>
      </c>
      <c r="D3" s="39" t="s">
        <v>126</v>
      </c>
      <c r="E3" s="40">
        <v>354.7</v>
      </c>
      <c r="F3" s="41" t="s">
        <v>126</v>
      </c>
      <c r="G3" s="60">
        <v>17.734999999999999</v>
      </c>
      <c r="H3" s="41" t="s">
        <v>126</v>
      </c>
      <c r="I3" s="45">
        <v>1879.0548159047273</v>
      </c>
      <c r="J3" s="41" t="s">
        <v>126</v>
      </c>
      <c r="K3" s="42">
        <v>1.7</v>
      </c>
      <c r="L3" s="41" t="s">
        <v>126</v>
      </c>
      <c r="M3" s="43">
        <v>0.5</v>
      </c>
      <c r="N3" s="41" t="s">
        <v>126</v>
      </c>
      <c r="O3" s="43">
        <v>0.2</v>
      </c>
      <c r="P3" s="41" t="s">
        <v>187</v>
      </c>
      <c r="Q3" s="44">
        <v>0.34090909090909088</v>
      </c>
      <c r="R3" s="41" t="s">
        <v>126</v>
      </c>
      <c r="S3" s="44">
        <v>0.11377245508982035</v>
      </c>
      <c r="T3" s="41" t="s">
        <v>126</v>
      </c>
      <c r="U3" s="45">
        <v>9566.0377358490568</v>
      </c>
      <c r="V3" s="41" t="s">
        <v>187</v>
      </c>
      <c r="W3" s="45">
        <v>-7010.5263157894733</v>
      </c>
      <c r="X3" s="41" t="s">
        <v>126</v>
      </c>
      <c r="Y3" s="43">
        <v>0</v>
      </c>
      <c r="Z3" s="41" t="s">
        <v>126</v>
      </c>
      <c r="AA3" s="44">
        <v>0.41916167664670656</v>
      </c>
      <c r="AB3" s="41" t="s">
        <v>187</v>
      </c>
      <c r="AC3" s="44">
        <v>0.23484848484848486</v>
      </c>
      <c r="AD3" s="41" t="s">
        <v>187</v>
      </c>
      <c r="AE3" s="44">
        <v>0.72222222222222221</v>
      </c>
      <c r="AF3" s="41" t="s">
        <v>191</v>
      </c>
      <c r="AG3" s="44">
        <v>0.63636363636363635</v>
      </c>
      <c r="AH3" s="41" t="s">
        <v>209</v>
      </c>
      <c r="AI3" s="44">
        <v>0.66666666666666663</v>
      </c>
      <c r="AJ3" s="41" t="s">
        <v>126</v>
      </c>
      <c r="AK3" s="55">
        <v>90400</v>
      </c>
    </row>
    <row r="4" spans="1:37" x14ac:dyDescent="0.4">
      <c r="A4" s="46">
        <v>2</v>
      </c>
      <c r="B4" s="49" t="s">
        <v>126</v>
      </c>
      <c r="C4" s="114">
        <v>20</v>
      </c>
      <c r="D4" s="47" t="s">
        <v>187</v>
      </c>
      <c r="E4" s="48">
        <v>161.9</v>
      </c>
      <c r="F4" s="49" t="s">
        <v>187</v>
      </c>
      <c r="G4" s="61">
        <v>10.793333333333333</v>
      </c>
      <c r="H4" s="49" t="s">
        <v>138</v>
      </c>
      <c r="I4" s="53">
        <v>1606.134825246233</v>
      </c>
      <c r="J4" s="49" t="s">
        <v>187</v>
      </c>
      <c r="K4" s="50">
        <v>1.8</v>
      </c>
      <c r="L4" s="49" t="s">
        <v>187</v>
      </c>
      <c r="M4" s="51">
        <v>0.46666666666666667</v>
      </c>
      <c r="N4" s="49" t="s">
        <v>191</v>
      </c>
      <c r="O4" s="51">
        <v>0.22222222222222221</v>
      </c>
      <c r="P4" s="49" t="s">
        <v>126</v>
      </c>
      <c r="Q4" s="52">
        <v>0.31736526946107785</v>
      </c>
      <c r="R4" s="49" t="s">
        <v>191</v>
      </c>
      <c r="S4" s="52">
        <v>0.1388888888888889</v>
      </c>
      <c r="T4" s="49" t="s">
        <v>162</v>
      </c>
      <c r="U4" s="53">
        <v>8669.2307692307695</v>
      </c>
      <c r="V4" s="49" t="s">
        <v>126</v>
      </c>
      <c r="W4" s="53">
        <v>-7189.4736842105267</v>
      </c>
      <c r="X4" s="49" t="s">
        <v>187</v>
      </c>
      <c r="Y4" s="51">
        <v>6.6666666666666666E-2</v>
      </c>
      <c r="Z4" s="49" t="s">
        <v>191</v>
      </c>
      <c r="AA4" s="52">
        <v>0.3611111111111111</v>
      </c>
      <c r="AB4" s="49" t="s">
        <v>209</v>
      </c>
      <c r="AC4" s="52">
        <v>0.22222222222222221</v>
      </c>
      <c r="AD4" s="49" t="s">
        <v>189</v>
      </c>
      <c r="AE4" s="52">
        <v>0.7142857142857143</v>
      </c>
      <c r="AF4" s="49" t="s">
        <v>126</v>
      </c>
      <c r="AG4" s="52">
        <v>0.5</v>
      </c>
      <c r="AH4" s="49" t="s">
        <v>162</v>
      </c>
      <c r="AI4" s="52">
        <v>0.53846153846153844</v>
      </c>
      <c r="AJ4" s="49" t="s">
        <v>138</v>
      </c>
      <c r="AK4" s="56">
        <v>90400</v>
      </c>
    </row>
    <row r="5" spans="1:37" x14ac:dyDescent="0.4">
      <c r="A5" s="46">
        <v>3</v>
      </c>
      <c r="B5" s="49" t="s">
        <v>187</v>
      </c>
      <c r="C5" s="114">
        <v>15</v>
      </c>
      <c r="D5" s="47" t="s">
        <v>138</v>
      </c>
      <c r="E5" s="48">
        <v>-1.4210854715202004E-14</v>
      </c>
      <c r="F5" s="49" t="s">
        <v>138</v>
      </c>
      <c r="G5" s="61">
        <v>-1.8219044506669235E-16</v>
      </c>
      <c r="H5" s="49" t="s">
        <v>162</v>
      </c>
      <c r="I5" s="53">
        <v>1574.1827160431983</v>
      </c>
      <c r="J5" s="49" t="s">
        <v>138</v>
      </c>
      <c r="K5" s="50">
        <v>2</v>
      </c>
      <c r="L5" s="49" t="s">
        <v>138</v>
      </c>
      <c r="M5" s="51">
        <v>0.33333333333333331</v>
      </c>
      <c r="N5" s="49" t="s">
        <v>187</v>
      </c>
      <c r="O5" s="51">
        <v>0.26666666666666666</v>
      </c>
      <c r="P5" s="49" t="s">
        <v>189</v>
      </c>
      <c r="Q5" s="52">
        <v>0.30303030303030304</v>
      </c>
      <c r="R5" s="49" t="s">
        <v>187</v>
      </c>
      <c r="S5" s="52">
        <v>0.14393939393939395</v>
      </c>
      <c r="T5" s="49" t="s">
        <v>138</v>
      </c>
      <c r="U5" s="53">
        <v>8216.402116402116</v>
      </c>
      <c r="V5" s="49" t="s">
        <v>162</v>
      </c>
      <c r="W5" s="53">
        <v>-8410</v>
      </c>
      <c r="X5" s="49" t="s">
        <v>162</v>
      </c>
      <c r="Y5" s="51">
        <v>7.6923076923076927E-2</v>
      </c>
      <c r="Z5" s="49" t="s">
        <v>162</v>
      </c>
      <c r="AA5" s="52">
        <v>0.35849056603773582</v>
      </c>
      <c r="AB5" s="49" t="s">
        <v>162</v>
      </c>
      <c r="AC5" s="52">
        <v>0.18867924528301888</v>
      </c>
      <c r="AD5" s="49" t="s">
        <v>138</v>
      </c>
      <c r="AE5" s="52">
        <v>0.56398104265402849</v>
      </c>
      <c r="AF5" s="49" t="s">
        <v>187</v>
      </c>
      <c r="AG5" s="52">
        <v>0.32258064516129031</v>
      </c>
      <c r="AH5" s="49" t="s">
        <v>187</v>
      </c>
      <c r="AI5" s="52">
        <v>0.48888888888888887</v>
      </c>
      <c r="AJ5" s="49" t="s">
        <v>187</v>
      </c>
      <c r="AK5" s="56">
        <v>84600</v>
      </c>
    </row>
    <row r="6" spans="1:37" x14ac:dyDescent="0.4">
      <c r="A6" s="46">
        <v>4</v>
      </c>
      <c r="B6" s="49" t="s">
        <v>162</v>
      </c>
      <c r="C6" s="114">
        <v>13</v>
      </c>
      <c r="D6" s="47" t="s">
        <v>191</v>
      </c>
      <c r="E6" s="48">
        <v>-28.6</v>
      </c>
      <c r="F6" s="49" t="s">
        <v>191</v>
      </c>
      <c r="G6" s="61">
        <v>-3.177777777777778</v>
      </c>
      <c r="H6" s="49" t="s">
        <v>189</v>
      </c>
      <c r="I6" s="53">
        <v>1527.8925102606049</v>
      </c>
      <c r="J6" s="49" t="s">
        <v>191</v>
      </c>
      <c r="K6" s="50">
        <v>2</v>
      </c>
      <c r="L6" s="49" t="s">
        <v>162</v>
      </c>
      <c r="M6" s="51">
        <v>0.30769230769230771</v>
      </c>
      <c r="N6" s="49" t="s">
        <v>138</v>
      </c>
      <c r="O6" s="51">
        <v>0.33333333333333331</v>
      </c>
      <c r="P6" s="49" t="s">
        <v>138</v>
      </c>
      <c r="Q6" s="52">
        <v>0.29166666666666669</v>
      </c>
      <c r="R6" s="49" t="s">
        <v>189</v>
      </c>
      <c r="S6" s="52">
        <v>0.15151515151515152</v>
      </c>
      <c r="T6" s="49" t="s">
        <v>187</v>
      </c>
      <c r="U6" s="53">
        <v>7735.5555555555557</v>
      </c>
      <c r="V6" s="49" t="s">
        <v>138</v>
      </c>
      <c r="W6" s="53">
        <v>-8450</v>
      </c>
      <c r="X6" s="49" t="s">
        <v>138</v>
      </c>
      <c r="Y6" s="51">
        <v>7.6923076923076927E-2</v>
      </c>
      <c r="Z6" s="49" t="s">
        <v>138</v>
      </c>
      <c r="AA6" s="52">
        <v>0.32561728395061729</v>
      </c>
      <c r="AB6" s="49" t="s">
        <v>138</v>
      </c>
      <c r="AC6" s="52">
        <v>0.17901234567901234</v>
      </c>
      <c r="AD6" s="49" t="s">
        <v>126</v>
      </c>
      <c r="AE6" s="52">
        <v>0.52857142857142858</v>
      </c>
      <c r="AF6" s="49" t="s">
        <v>138</v>
      </c>
      <c r="AG6" s="52">
        <v>0.31896551724137934</v>
      </c>
      <c r="AH6" s="49" t="s">
        <v>138</v>
      </c>
      <c r="AI6" s="52">
        <v>0.46031746031746029</v>
      </c>
      <c r="AJ6" s="49" t="s">
        <v>189</v>
      </c>
      <c r="AK6" s="56">
        <v>61800</v>
      </c>
    </row>
    <row r="7" spans="1:37" x14ac:dyDescent="0.4">
      <c r="A7" s="46">
        <v>5</v>
      </c>
      <c r="B7" s="49" t="s">
        <v>189</v>
      </c>
      <c r="C7" s="114">
        <v>12</v>
      </c>
      <c r="D7" s="47" t="s">
        <v>162</v>
      </c>
      <c r="E7" s="48">
        <v>-120.60000000000001</v>
      </c>
      <c r="F7" s="49" t="s">
        <v>162</v>
      </c>
      <c r="G7" s="61">
        <v>-9.2769230769230777</v>
      </c>
      <c r="H7" s="49" t="s">
        <v>187</v>
      </c>
      <c r="I7" s="53">
        <v>1503.6435003082349</v>
      </c>
      <c r="J7" s="49" t="s">
        <v>162</v>
      </c>
      <c r="K7" s="50">
        <v>2.0769230769230771</v>
      </c>
      <c r="L7" s="49" t="s">
        <v>191</v>
      </c>
      <c r="M7" s="51">
        <v>0.22222222222222221</v>
      </c>
      <c r="N7" s="49" t="s">
        <v>162</v>
      </c>
      <c r="O7" s="51">
        <v>0.38461538461538464</v>
      </c>
      <c r="P7" s="49" t="s">
        <v>191</v>
      </c>
      <c r="Q7" s="52">
        <v>0.27777777777777779</v>
      </c>
      <c r="R7" s="49" t="s">
        <v>138</v>
      </c>
      <c r="S7" s="52">
        <v>0.15740740740740741</v>
      </c>
      <c r="T7" s="49" t="s">
        <v>191</v>
      </c>
      <c r="U7" s="53">
        <v>7515</v>
      </c>
      <c r="V7" s="49" t="s">
        <v>209</v>
      </c>
      <c r="W7" s="53">
        <v>-8863.1578947368416</v>
      </c>
      <c r="X7" s="49" t="s">
        <v>209</v>
      </c>
      <c r="Y7" s="51">
        <v>0.1111111111111111</v>
      </c>
      <c r="Z7" s="49" t="s">
        <v>209</v>
      </c>
      <c r="AA7" s="52">
        <v>0.27777777777777779</v>
      </c>
      <c r="AB7" s="49" t="s">
        <v>189</v>
      </c>
      <c r="AC7" s="52">
        <v>0.16161616161616163</v>
      </c>
      <c r="AD7" s="49" t="s">
        <v>162</v>
      </c>
      <c r="AE7" s="52">
        <v>0.5</v>
      </c>
      <c r="AF7" s="49" t="s">
        <v>189</v>
      </c>
      <c r="AG7" s="52">
        <v>0.1875</v>
      </c>
      <c r="AH7" s="49" t="s">
        <v>191</v>
      </c>
      <c r="AI7" s="52">
        <v>0.45</v>
      </c>
      <c r="AJ7" s="49" t="s">
        <v>162</v>
      </c>
      <c r="AK7" s="56">
        <v>59300</v>
      </c>
    </row>
    <row r="8" spans="1:37" x14ac:dyDescent="0.4">
      <c r="A8" s="46">
        <v>6</v>
      </c>
      <c r="B8" s="49" t="s">
        <v>209</v>
      </c>
      <c r="C8" s="114">
        <v>9</v>
      </c>
      <c r="D8" s="47" t="s">
        <v>189</v>
      </c>
      <c r="E8" s="48">
        <v>-122.3</v>
      </c>
      <c r="F8" s="49" t="s">
        <v>189</v>
      </c>
      <c r="G8" s="61">
        <v>-10.191666666666666</v>
      </c>
      <c r="H8" s="49" t="s">
        <v>209</v>
      </c>
      <c r="I8" s="53">
        <v>1457.7676249317437</v>
      </c>
      <c r="J8" s="49" t="s">
        <v>189</v>
      </c>
      <c r="K8" s="50">
        <v>2.25</v>
      </c>
      <c r="L8" s="49" t="s">
        <v>189</v>
      </c>
      <c r="M8" s="51">
        <v>0.16666666666666666</v>
      </c>
      <c r="N8" s="49" t="s">
        <v>189</v>
      </c>
      <c r="O8" s="51">
        <v>0.41666666666666669</v>
      </c>
      <c r="P8" s="49" t="s">
        <v>162</v>
      </c>
      <c r="Q8" s="52">
        <v>0.24528301886792453</v>
      </c>
      <c r="R8" s="49" t="s">
        <v>162</v>
      </c>
      <c r="S8" s="52">
        <v>0.18867924528301888</v>
      </c>
      <c r="T8" s="49" t="s">
        <v>189</v>
      </c>
      <c r="U8" s="53">
        <v>7470</v>
      </c>
      <c r="V8" s="49" t="s">
        <v>191</v>
      </c>
      <c r="W8" s="53">
        <v>-9140</v>
      </c>
      <c r="X8" s="49" t="s">
        <v>191</v>
      </c>
      <c r="Y8" s="51">
        <v>0.1111111111111111</v>
      </c>
      <c r="Z8" s="49" t="s">
        <v>187</v>
      </c>
      <c r="AA8" s="52">
        <v>0.27272727272727271</v>
      </c>
      <c r="AB8" s="49" t="s">
        <v>191</v>
      </c>
      <c r="AC8" s="52">
        <v>0.15277777777777779</v>
      </c>
      <c r="AD8" s="49" t="s">
        <v>209</v>
      </c>
      <c r="AE8" s="52">
        <v>0.5</v>
      </c>
      <c r="AF8" s="49" t="s">
        <v>209</v>
      </c>
      <c r="AG8" s="52">
        <v>0.1875</v>
      </c>
      <c r="AH8" s="49" t="s">
        <v>189</v>
      </c>
      <c r="AI8" s="52">
        <v>0.4</v>
      </c>
      <c r="AJ8" s="49" t="s">
        <v>191</v>
      </c>
      <c r="AK8" s="56">
        <v>55600</v>
      </c>
    </row>
    <row r="9" spans="1:37" x14ac:dyDescent="0.4">
      <c r="A9" s="46">
        <v>7</v>
      </c>
      <c r="B9" s="49" t="s">
        <v>191</v>
      </c>
      <c r="C9" s="114">
        <v>9</v>
      </c>
      <c r="D9" s="47" t="s">
        <v>209</v>
      </c>
      <c r="E9" s="48">
        <v>-245.1</v>
      </c>
      <c r="F9" s="49" t="s">
        <v>209</v>
      </c>
      <c r="G9" s="61">
        <v>-27.233333333333334</v>
      </c>
      <c r="H9" s="49" t="s">
        <v>191</v>
      </c>
      <c r="I9" s="53">
        <v>1378.0469266989846</v>
      </c>
      <c r="J9" s="49" t="s">
        <v>209</v>
      </c>
      <c r="K9" s="50">
        <v>2.5555555555555554</v>
      </c>
      <c r="L9" s="49" t="s">
        <v>209</v>
      </c>
      <c r="M9" s="51">
        <v>0.1111111111111111</v>
      </c>
      <c r="N9" s="49" t="s">
        <v>209</v>
      </c>
      <c r="O9" s="51">
        <v>0.66666666666666663</v>
      </c>
      <c r="P9" s="49" t="s">
        <v>209</v>
      </c>
      <c r="Q9" s="52">
        <v>0.20833333333333334</v>
      </c>
      <c r="R9" s="49" t="s">
        <v>209</v>
      </c>
      <c r="S9" s="52">
        <v>0.2638888888888889</v>
      </c>
      <c r="T9" s="49" t="s">
        <v>209</v>
      </c>
      <c r="U9" s="53">
        <v>6533.333333333333</v>
      </c>
      <c r="V9" s="49" t="s">
        <v>189</v>
      </c>
      <c r="W9" s="53">
        <v>-10940</v>
      </c>
      <c r="X9" s="49" t="s">
        <v>189</v>
      </c>
      <c r="Y9" s="51">
        <v>0.16666666666666666</v>
      </c>
      <c r="Z9" s="49" t="s">
        <v>189</v>
      </c>
      <c r="AA9" s="52">
        <v>0.21212121212121213</v>
      </c>
      <c r="AB9" s="49" t="s">
        <v>126</v>
      </c>
      <c r="AC9" s="52">
        <v>0.1317365269461078</v>
      </c>
      <c r="AD9" s="49" t="s">
        <v>191</v>
      </c>
      <c r="AE9" s="52">
        <v>0.46153846153846156</v>
      </c>
      <c r="AF9" s="49" t="s">
        <v>162</v>
      </c>
      <c r="AG9" s="52">
        <v>0.15</v>
      </c>
      <c r="AH9" s="49" t="s">
        <v>126</v>
      </c>
      <c r="AI9" s="52">
        <v>0.37735849056603776</v>
      </c>
      <c r="AJ9" s="49" t="s">
        <v>209</v>
      </c>
      <c r="AK9" s="56">
        <v>47600</v>
      </c>
    </row>
  </sheetData>
  <sortState xmlns:xlrd2="http://schemas.microsoft.com/office/spreadsheetml/2017/richdata2" ref="AJ3:AK68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FA0A0-8013-4892-B5AE-EB073CC813CF}">
  <sheetPr codeName="Sheet4"/>
  <dimension ref="A1:R8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138</v>
      </c>
      <c r="C1" s="136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7">
        <v>78</v>
      </c>
      <c r="C2" s="138"/>
      <c r="E2" s="26" t="s">
        <v>64</v>
      </c>
      <c r="F2" s="23" t="s">
        <v>20</v>
      </c>
      <c r="G2" s="11">
        <v>119</v>
      </c>
      <c r="H2" s="87">
        <f>IF(B$20=0,0,G2/B$20)</f>
        <v>0.62962962962962965</v>
      </c>
      <c r="I2" s="57">
        <v>4</v>
      </c>
      <c r="K2" s="73">
        <v>0</v>
      </c>
      <c r="L2" s="118">
        <v>0</v>
      </c>
      <c r="M2" s="116">
        <v>1614.2957512011271</v>
      </c>
      <c r="O2" s="73" t="s">
        <v>127</v>
      </c>
      <c r="P2" s="79">
        <f t="shared" ref="P2:P7" si="0">IF(Q2=0,0,R2/Q2)</f>
        <v>-38.46153846153846</v>
      </c>
      <c r="Q2" s="76">
        <v>78</v>
      </c>
      <c r="R2" s="63">
        <v>-3000</v>
      </c>
    </row>
    <row r="3" spans="1:18" x14ac:dyDescent="0.4">
      <c r="A3" s="19" t="s">
        <v>8</v>
      </c>
      <c r="B3" s="139">
        <v>648</v>
      </c>
      <c r="C3" s="140"/>
      <c r="E3" s="27" t="s">
        <v>66</v>
      </c>
      <c r="F3" s="24" t="s">
        <v>22</v>
      </c>
      <c r="G3" s="12">
        <v>116</v>
      </c>
      <c r="H3" s="88">
        <f>IF(B$20=0,0,G3/B$20)</f>
        <v>0.61375661375661372</v>
      </c>
      <c r="I3" s="58">
        <v>4</v>
      </c>
      <c r="K3" s="74">
        <v>1</v>
      </c>
      <c r="L3" s="119">
        <v>5</v>
      </c>
      <c r="M3" s="117">
        <v>1614.5099766939204</v>
      </c>
      <c r="O3" s="74" t="s">
        <v>128</v>
      </c>
      <c r="P3" s="80">
        <f t="shared" si="0"/>
        <v>12.820512820512821</v>
      </c>
      <c r="Q3" s="77">
        <v>78</v>
      </c>
      <c r="R3" s="64">
        <v>1000</v>
      </c>
    </row>
    <row r="4" spans="1:18" x14ac:dyDescent="0.4">
      <c r="A4" s="19" t="s">
        <v>6</v>
      </c>
      <c r="B4" s="141">
        <v>-1.4210854715202004E-14</v>
      </c>
      <c r="C4" s="142"/>
      <c r="E4" s="27" t="s">
        <v>158</v>
      </c>
      <c r="F4" s="24" t="s">
        <v>159</v>
      </c>
      <c r="G4" s="12">
        <v>89</v>
      </c>
      <c r="H4" s="88">
        <f>IF(B$20=0,0,G4/B$20)</f>
        <v>0.47089947089947087</v>
      </c>
      <c r="I4" s="58">
        <v>3</v>
      </c>
      <c r="K4" s="74">
        <v>2</v>
      </c>
      <c r="L4" s="119">
        <v>40.299999999999997</v>
      </c>
      <c r="M4" s="117">
        <v>1620.1769168337569</v>
      </c>
      <c r="O4" s="74" t="s">
        <v>129</v>
      </c>
      <c r="P4" s="80">
        <f t="shared" si="0"/>
        <v>0</v>
      </c>
      <c r="Q4" s="77">
        <v>75</v>
      </c>
      <c r="R4" s="64">
        <v>0</v>
      </c>
    </row>
    <row r="5" spans="1:18" x14ac:dyDescent="0.4">
      <c r="A5" s="19" t="s">
        <v>7</v>
      </c>
      <c r="B5" s="129">
        <f>IF(B$2=0,0,B$4/B$2)</f>
        <v>-1.8219044506669235E-16</v>
      </c>
      <c r="C5" s="130"/>
      <c r="E5" s="27" t="s">
        <v>72</v>
      </c>
      <c r="F5" s="24" t="s">
        <v>27</v>
      </c>
      <c r="G5" s="12">
        <v>71</v>
      </c>
      <c r="H5" s="88">
        <f>IF(B$20=0,0,G5/B$20)</f>
        <v>0.37566137566137564</v>
      </c>
      <c r="I5" s="58">
        <v>5</v>
      </c>
      <c r="K5" s="74">
        <v>3</v>
      </c>
      <c r="L5" s="119">
        <v>0</v>
      </c>
      <c r="M5" s="117">
        <v>1612.2018553327543</v>
      </c>
      <c r="O5" s="74" t="s">
        <v>130</v>
      </c>
      <c r="P5" s="80">
        <f t="shared" si="0"/>
        <v>14.492753623188406</v>
      </c>
      <c r="Q5" s="77">
        <v>69</v>
      </c>
      <c r="R5" s="64">
        <v>1000</v>
      </c>
    </row>
    <row r="6" spans="1:18" x14ac:dyDescent="0.4">
      <c r="A6" s="19" t="s">
        <v>192</v>
      </c>
      <c r="B6" s="133">
        <v>1606.134825246233</v>
      </c>
      <c r="C6" s="134"/>
      <c r="E6" s="27" t="s">
        <v>68</v>
      </c>
      <c r="F6" s="24" t="s">
        <v>12</v>
      </c>
      <c r="G6" s="12">
        <v>70</v>
      </c>
      <c r="H6" s="88">
        <f>IF(B$20=0,0,G6/B$20)</f>
        <v>0.37037037037037035</v>
      </c>
      <c r="I6" s="58">
        <v>4</v>
      </c>
      <c r="K6" s="74">
        <v>4</v>
      </c>
      <c r="L6" s="119">
        <v>-54.2</v>
      </c>
      <c r="M6" s="117">
        <v>1602.2046442007579</v>
      </c>
      <c r="O6" s="74" t="s">
        <v>131</v>
      </c>
      <c r="P6" s="80">
        <f t="shared" si="0"/>
        <v>0</v>
      </c>
      <c r="Q6" s="77">
        <v>69</v>
      </c>
      <c r="R6" s="64">
        <v>0</v>
      </c>
    </row>
    <row r="7" spans="1:18" x14ac:dyDescent="0.4">
      <c r="A7" s="19" t="s">
        <v>1</v>
      </c>
      <c r="B7" s="143">
        <f>IF(B$2=0,0,(B$8*1+B$9*2+B$10*3)/B$2)</f>
        <v>2</v>
      </c>
      <c r="C7" s="144"/>
      <c r="E7" s="27" t="s">
        <v>67</v>
      </c>
      <c r="F7" s="24" t="s">
        <v>23</v>
      </c>
      <c r="G7" s="12">
        <v>60</v>
      </c>
      <c r="H7" s="88">
        <f>IF(B$20=0,0,G7/B$20)</f>
        <v>0.31746031746031744</v>
      </c>
      <c r="I7" s="58">
        <v>4</v>
      </c>
      <c r="K7" s="74">
        <v>5</v>
      </c>
      <c r="L7" s="119">
        <v>21.200000000000003</v>
      </c>
      <c r="M7" s="117">
        <v>1615.5954163355534</v>
      </c>
      <c r="O7" s="75" t="s">
        <v>132</v>
      </c>
      <c r="P7" s="81">
        <f t="shared" si="0"/>
        <v>15.873015873015873</v>
      </c>
      <c r="Q7" s="78">
        <v>63</v>
      </c>
      <c r="R7" s="65">
        <v>1000</v>
      </c>
    </row>
    <row r="8" spans="1:18" x14ac:dyDescent="0.4">
      <c r="A8" s="19" t="s">
        <v>2</v>
      </c>
      <c r="B8" s="12">
        <v>26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33</v>
      </c>
      <c r="H8" s="88">
        <f>IF(B$20=0,0,G8/B$20)</f>
        <v>0.17460317460317459</v>
      </c>
      <c r="I8" s="58">
        <v>3</v>
      </c>
      <c r="K8" s="74">
        <v>6</v>
      </c>
      <c r="L8" s="119">
        <v>3.5527136788005009E-15</v>
      </c>
      <c r="M8" s="117">
        <v>1611.5178438375401</v>
      </c>
      <c r="O8" s="107"/>
      <c r="P8" s="85"/>
      <c r="Q8" s="108"/>
      <c r="R8" s="70"/>
    </row>
    <row r="9" spans="1:18" x14ac:dyDescent="0.4">
      <c r="A9" s="19" t="s">
        <v>3</v>
      </c>
      <c r="B9" s="12">
        <v>26</v>
      </c>
      <c r="C9" s="6">
        <f t="shared" si="1"/>
        <v>0.33333333333333331</v>
      </c>
      <c r="E9" s="27" t="s">
        <v>65</v>
      </c>
      <c r="F9" s="24" t="s">
        <v>21</v>
      </c>
      <c r="G9" s="12">
        <v>31</v>
      </c>
      <c r="H9" s="88">
        <f>IF(B$20=0,0,G9/B$20)</f>
        <v>0.16402116402116401</v>
      </c>
      <c r="I9" s="58">
        <v>4</v>
      </c>
      <c r="K9" s="74">
        <v>7</v>
      </c>
      <c r="L9" s="119">
        <v>-12.499999999999996</v>
      </c>
      <c r="M9" s="117">
        <v>1609.0307367745149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26</v>
      </c>
      <c r="C10" s="7">
        <f t="shared" si="1"/>
        <v>0.33333333333333331</v>
      </c>
      <c r="E10" s="27" t="s">
        <v>70</v>
      </c>
      <c r="F10" s="24" t="s">
        <v>25</v>
      </c>
      <c r="G10" s="12">
        <v>24</v>
      </c>
      <c r="H10" s="88">
        <f>IF(B$20=0,0,G10/B$20)</f>
        <v>0.12698412698412698</v>
      </c>
      <c r="I10" s="58">
        <v>5</v>
      </c>
      <c r="K10" s="74">
        <v>8</v>
      </c>
      <c r="L10" s="119">
        <v>40.5</v>
      </c>
      <c r="M10" s="117">
        <v>1618.3485523538679</v>
      </c>
      <c r="O10" s="73" t="s">
        <v>150</v>
      </c>
      <c r="P10" s="82">
        <f>IF(Q10=0,0,R10/Q10)</f>
        <v>-14.426923076923073</v>
      </c>
      <c r="Q10" s="76">
        <v>26</v>
      </c>
      <c r="R10" s="67">
        <v>-375.09999999999991</v>
      </c>
    </row>
    <row r="11" spans="1:18" x14ac:dyDescent="0.4">
      <c r="A11" s="20" t="s">
        <v>183</v>
      </c>
      <c r="B11" s="109">
        <f>IF(B8=0,0,C11/B8)</f>
        <v>43.430769230769222</v>
      </c>
      <c r="C11" s="110">
        <v>1129.1999999999998</v>
      </c>
      <c r="E11" s="27" t="s">
        <v>89</v>
      </c>
      <c r="F11" s="24" t="s">
        <v>44</v>
      </c>
      <c r="G11" s="12">
        <v>19</v>
      </c>
      <c r="H11" s="88">
        <f>IF(B$20=0,0,G11/B$20)</f>
        <v>0.10052910052910052</v>
      </c>
      <c r="I11" s="58">
        <v>5</v>
      </c>
      <c r="K11" s="74">
        <v>9</v>
      </c>
      <c r="L11" s="119">
        <v>0</v>
      </c>
      <c r="M11" s="117">
        <v>1610.7804610397448</v>
      </c>
      <c r="O11" s="74" t="s">
        <v>151</v>
      </c>
      <c r="P11" s="83">
        <f>IF(Q11=0,0,R11/Q11)</f>
        <v>6.0999999999999988</v>
      </c>
      <c r="Q11" s="77">
        <v>26</v>
      </c>
      <c r="R11" s="68">
        <v>158.59999999999997</v>
      </c>
    </row>
    <row r="12" spans="1:18" x14ac:dyDescent="0.4">
      <c r="A12" s="20" t="s">
        <v>184</v>
      </c>
      <c r="B12" s="109">
        <f>IF(B9=0,0,C12/B9)</f>
        <v>0.20769230769230759</v>
      </c>
      <c r="C12" s="110">
        <v>5.3999999999999977</v>
      </c>
      <c r="E12" s="27" t="s">
        <v>71</v>
      </c>
      <c r="F12" s="24" t="s">
        <v>26</v>
      </c>
      <c r="G12" s="12">
        <v>18</v>
      </c>
      <c r="H12" s="88">
        <f>IF(B$20=0,0,G12/B$20)</f>
        <v>9.5238095238095233E-2</v>
      </c>
      <c r="I12" s="58">
        <v>5</v>
      </c>
      <c r="K12" s="74">
        <v>10</v>
      </c>
      <c r="L12" s="119">
        <v>12.1</v>
      </c>
      <c r="M12" s="117">
        <v>1612.7257782735062</v>
      </c>
      <c r="O12" s="75" t="s">
        <v>152</v>
      </c>
      <c r="P12" s="84">
        <f>IF(Q12=0,0,R12/Q12)</f>
        <v>8.3269230769230784</v>
      </c>
      <c r="Q12" s="78">
        <v>26</v>
      </c>
      <c r="R12" s="69">
        <v>216.50000000000003</v>
      </c>
    </row>
    <row r="13" spans="1:18" x14ac:dyDescent="0.4">
      <c r="A13" s="20" t="s">
        <v>185</v>
      </c>
      <c r="B13" s="109">
        <f>IF(B10=0,0,C13/B10)</f>
        <v>-43.638461538461542</v>
      </c>
      <c r="C13" s="110">
        <v>-1134.6000000000001</v>
      </c>
      <c r="E13" s="27" t="s">
        <v>86</v>
      </c>
      <c r="F13" s="24" t="s">
        <v>41</v>
      </c>
      <c r="G13" s="12">
        <v>13</v>
      </c>
      <c r="H13" s="88">
        <f>IF(B$20=0,0,G13/B$20)</f>
        <v>6.8783068783068779E-2</v>
      </c>
      <c r="I13" s="58">
        <v>3</v>
      </c>
      <c r="K13" s="74">
        <v>11</v>
      </c>
      <c r="L13" s="119">
        <v>46</v>
      </c>
      <c r="M13" s="117">
        <v>1618.5834236038652</v>
      </c>
      <c r="O13" s="103"/>
      <c r="P13" s="71"/>
      <c r="Q13" s="111"/>
      <c r="R13" s="71"/>
    </row>
    <row r="14" spans="1:18" x14ac:dyDescent="0.4">
      <c r="A14" s="20" t="s">
        <v>186</v>
      </c>
      <c r="B14" s="129">
        <f>AVERAGE(B11:B13)</f>
        <v>0</v>
      </c>
      <c r="C14" s="130"/>
      <c r="E14" s="27" t="s">
        <v>78</v>
      </c>
      <c r="F14" s="24" t="s">
        <v>33</v>
      </c>
      <c r="G14" s="12">
        <v>6</v>
      </c>
      <c r="H14" s="88">
        <f>IF(B$20=0,0,G14/B$20)</f>
        <v>3.1746031746031744E-2</v>
      </c>
      <c r="I14" s="58">
        <v>3</v>
      </c>
      <c r="K14" s="74">
        <v>12</v>
      </c>
      <c r="L14" s="119">
        <v>0</v>
      </c>
      <c r="M14" s="117">
        <v>1610.0239230622419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6</v>
      </c>
      <c r="C15" s="9">
        <f t="shared" si="1"/>
        <v>7.6923076923076927E-2</v>
      </c>
      <c r="E15" s="27" t="s">
        <v>83</v>
      </c>
      <c r="F15" s="24" t="s">
        <v>38</v>
      </c>
      <c r="G15" s="12">
        <v>6</v>
      </c>
      <c r="H15" s="88">
        <f>IF(B$20=0,0,G15/B$20)</f>
        <v>3.1746031746031744E-2</v>
      </c>
      <c r="I15" s="58">
        <v>4</v>
      </c>
      <c r="K15" s="74">
        <v>13</v>
      </c>
      <c r="L15" s="119">
        <v>-1.8</v>
      </c>
      <c r="M15" s="117">
        <v>1609.4717795238685</v>
      </c>
      <c r="O15" s="73" t="s">
        <v>209</v>
      </c>
      <c r="P15" s="82">
        <f>IF(Q15=0,0,R15/Q15)</f>
        <v>40.849999999999994</v>
      </c>
      <c r="Q15" s="76">
        <v>18</v>
      </c>
      <c r="R15" s="67">
        <v>735.3</v>
      </c>
    </row>
    <row r="16" spans="1:18" x14ac:dyDescent="0.4">
      <c r="A16" s="22" t="s">
        <v>121</v>
      </c>
      <c r="B16" s="15">
        <v>211</v>
      </c>
      <c r="C16" s="10">
        <f>IF(B$3=0,0,B16/B$3)</f>
        <v>0.32561728395061729</v>
      </c>
      <c r="E16" s="27" t="s">
        <v>81</v>
      </c>
      <c r="F16" s="24" t="s">
        <v>36</v>
      </c>
      <c r="G16" s="12">
        <v>5</v>
      </c>
      <c r="H16" s="88">
        <f>IF(B$20=0,0,G16/B$20)</f>
        <v>2.6455026455026454E-2</v>
      </c>
      <c r="I16" s="58">
        <v>4</v>
      </c>
      <c r="K16" s="74">
        <v>14</v>
      </c>
      <c r="L16" s="119">
        <v>-32.6</v>
      </c>
      <c r="M16" s="117">
        <v>1603.7029488467253</v>
      </c>
      <c r="O16" s="74" t="s">
        <v>189</v>
      </c>
      <c r="P16" s="83">
        <f>IF(Q16=0,0,R16/Q16)</f>
        <v>15.2875</v>
      </c>
      <c r="Q16" s="77">
        <v>24</v>
      </c>
      <c r="R16" s="68">
        <v>366.9</v>
      </c>
    </row>
    <row r="17" spans="1:18" x14ac:dyDescent="0.4">
      <c r="A17" s="19" t="s">
        <v>118</v>
      </c>
      <c r="B17" s="12">
        <v>116</v>
      </c>
      <c r="C17" s="6">
        <f>IF(B$3=0,0,B17/B$3)</f>
        <v>0.17901234567901234</v>
      </c>
      <c r="E17" s="27" t="s">
        <v>73</v>
      </c>
      <c r="F17" s="24" t="s">
        <v>28</v>
      </c>
      <c r="G17" s="12">
        <v>4</v>
      </c>
      <c r="H17" s="88">
        <f>IF(B$20=0,0,G17/B$20)</f>
        <v>2.1164021164021163E-2</v>
      </c>
      <c r="I17" s="58">
        <v>5</v>
      </c>
      <c r="K17" s="74">
        <v>15</v>
      </c>
      <c r="L17" s="119">
        <v>0</v>
      </c>
      <c r="M17" s="117">
        <v>1609.380731153645</v>
      </c>
      <c r="O17" s="74" t="s">
        <v>162</v>
      </c>
      <c r="P17" s="83">
        <f>IF(Q17=0,0,R17/Q17)</f>
        <v>13.915384615384614</v>
      </c>
      <c r="Q17" s="77">
        <v>26</v>
      </c>
      <c r="R17" s="68">
        <v>361.79999999999995</v>
      </c>
    </row>
    <row r="18" spans="1:18" x14ac:dyDescent="0.4">
      <c r="A18" s="18" t="s">
        <v>123</v>
      </c>
      <c r="B18" s="11">
        <f>B24</f>
        <v>119</v>
      </c>
      <c r="C18" s="5">
        <f>IF(B$16=0,0,B18/B$16)</f>
        <v>0.56398104265402849</v>
      </c>
      <c r="E18" s="27" t="s">
        <v>74</v>
      </c>
      <c r="F18" s="24" t="s">
        <v>29</v>
      </c>
      <c r="G18" s="12">
        <v>2</v>
      </c>
      <c r="H18" s="88">
        <f>IF(B$20=0,0,G18/B$20)</f>
        <v>1.0582010582010581E-2</v>
      </c>
      <c r="I18" s="58">
        <v>3</v>
      </c>
      <c r="K18" s="74">
        <v>16</v>
      </c>
      <c r="L18" s="119">
        <v>-55.5</v>
      </c>
      <c r="M18" s="117">
        <v>1599.1664467667231</v>
      </c>
      <c r="O18" s="74" t="s">
        <v>191</v>
      </c>
      <c r="P18" s="83">
        <f>IF(Q18=0,0,R18/Q18)</f>
        <v>4.7666666666666648</v>
      </c>
      <c r="Q18" s="77">
        <v>18</v>
      </c>
      <c r="R18" s="68">
        <v>85.799999999999969</v>
      </c>
    </row>
    <row r="19" spans="1:18" x14ac:dyDescent="0.4">
      <c r="A19" s="18" t="s">
        <v>124</v>
      </c>
      <c r="B19" s="11">
        <f>B25</f>
        <v>37</v>
      </c>
      <c r="C19" s="5">
        <f>IF(B$17=0,0,B19/B$17)</f>
        <v>0.31896551724137934</v>
      </c>
      <c r="E19" s="27" t="s">
        <v>79</v>
      </c>
      <c r="F19" s="24" t="s">
        <v>34</v>
      </c>
      <c r="G19" s="12">
        <v>2</v>
      </c>
      <c r="H19" s="88">
        <f>IF(B$20=0,0,G19/B$20)</f>
        <v>1.0582010582010581E-2</v>
      </c>
      <c r="I19" s="58">
        <v>2</v>
      </c>
      <c r="K19" s="74">
        <v>17</v>
      </c>
      <c r="L19" s="119">
        <v>-4.5</v>
      </c>
      <c r="M19" s="117">
        <v>1608.1834480861228</v>
      </c>
      <c r="O19" s="74" t="s">
        <v>187</v>
      </c>
      <c r="P19" s="83">
        <f>IF(Q19=0,0,R19/Q19)</f>
        <v>-16.190000000000001</v>
      </c>
      <c r="Q19" s="77">
        <v>30</v>
      </c>
      <c r="R19" s="68">
        <v>-485.7</v>
      </c>
    </row>
    <row r="20" spans="1:18" x14ac:dyDescent="0.4">
      <c r="A20" s="18" t="s">
        <v>10</v>
      </c>
      <c r="B20" s="11">
        <f>B23+B22</f>
        <v>189</v>
      </c>
      <c r="C20" s="5">
        <f>IF(B$3=0,0,B20/B$3)</f>
        <v>0.29166666666666669</v>
      </c>
      <c r="E20" s="27" t="s">
        <v>75</v>
      </c>
      <c r="F20" s="24" t="s">
        <v>30</v>
      </c>
      <c r="G20" s="12">
        <v>1</v>
      </c>
      <c r="H20" s="88">
        <f>IF(B$20=0,0,G20/B$20)</f>
        <v>5.2910052910052907E-3</v>
      </c>
      <c r="I20" s="58">
        <v>2</v>
      </c>
      <c r="K20" s="74">
        <v>18</v>
      </c>
      <c r="L20" s="119">
        <v>0</v>
      </c>
      <c r="M20" s="117">
        <v>1608.7763473976061</v>
      </c>
      <c r="O20" s="74" t="s">
        <v>126</v>
      </c>
      <c r="P20" s="83">
        <f>IF(Q20=0,0,R20/Q20)</f>
        <v>-26.602499999999999</v>
      </c>
      <c r="Q20" s="77">
        <v>40</v>
      </c>
      <c r="R20" s="68">
        <v>-1064.0999999999999</v>
      </c>
    </row>
    <row r="21" spans="1:18" x14ac:dyDescent="0.4">
      <c r="A21" s="19" t="s">
        <v>13</v>
      </c>
      <c r="B21" s="12">
        <v>102</v>
      </c>
      <c r="C21" s="6">
        <f>IF(B$3=0,0,B21/B$3)</f>
        <v>0.15740740740740741</v>
      </c>
      <c r="E21" s="27" t="s">
        <v>76</v>
      </c>
      <c r="F21" s="24" t="s">
        <v>31</v>
      </c>
      <c r="G21" s="12">
        <v>1</v>
      </c>
      <c r="H21" s="88">
        <f>IF(B$20=0,0,G21/B$20)</f>
        <v>5.2910052910052907E-3</v>
      </c>
      <c r="I21" s="58">
        <v>2</v>
      </c>
      <c r="K21" s="74">
        <v>19</v>
      </c>
      <c r="L21" s="119">
        <v>3.5</v>
      </c>
      <c r="M21" s="117">
        <v>1609.1856893132203</v>
      </c>
    </row>
    <row r="22" spans="1:18" x14ac:dyDescent="0.4">
      <c r="A22" s="19" t="s">
        <v>12</v>
      </c>
      <c r="B22" s="12">
        <v>87</v>
      </c>
      <c r="C22" s="6">
        <f>IF(B$20=0,0,B22/B$20)</f>
        <v>0.46031746031746029</v>
      </c>
      <c r="E22" s="27" t="s">
        <v>94</v>
      </c>
      <c r="F22" s="24" t="s">
        <v>49</v>
      </c>
      <c r="G22" s="12">
        <v>1</v>
      </c>
      <c r="H22" s="88">
        <f>IF(B$20=0,0,G22/B$20)</f>
        <v>5.2910052910052907E-3</v>
      </c>
      <c r="I22" s="58">
        <v>2</v>
      </c>
      <c r="K22" s="74">
        <v>20</v>
      </c>
      <c r="L22" s="119">
        <v>32.5</v>
      </c>
      <c r="M22" s="117">
        <v>1614.1825751773411</v>
      </c>
    </row>
    <row r="23" spans="1:18" x14ac:dyDescent="0.4">
      <c r="A23" s="19" t="s">
        <v>11</v>
      </c>
      <c r="B23" s="12">
        <v>102</v>
      </c>
      <c r="C23" s="6">
        <f>IF(B$20=0,0,B23/B$20)</f>
        <v>0.53968253968253965</v>
      </c>
      <c r="E23" s="27" t="s">
        <v>99</v>
      </c>
      <c r="F23" s="24" t="s">
        <v>54</v>
      </c>
      <c r="G23" s="12">
        <v>1</v>
      </c>
      <c r="H23" s="88">
        <f>IF(B$20=0,0,G23/B$20)</f>
        <v>5.2910052910052907E-3</v>
      </c>
      <c r="I23" s="58">
        <v>2</v>
      </c>
      <c r="K23" s="74">
        <v>21</v>
      </c>
      <c r="L23" s="119">
        <v>0</v>
      </c>
      <c r="M23" s="117">
        <v>1608.079479726277</v>
      </c>
    </row>
    <row r="24" spans="1:18" x14ac:dyDescent="0.4">
      <c r="A24" s="19" t="s">
        <v>182</v>
      </c>
      <c r="B24" s="12">
        <v>119</v>
      </c>
      <c r="C24" s="6">
        <f>IF(B$20=0,0,B24/B$20)</f>
        <v>0.62962962962962965</v>
      </c>
      <c r="E24" s="27" t="s">
        <v>154</v>
      </c>
      <c r="F24" s="24" t="s">
        <v>155</v>
      </c>
      <c r="G24" s="12">
        <v>1</v>
      </c>
      <c r="H24" s="88">
        <f>IF(B$20=0,0,G24/B$20)</f>
        <v>5.2910052910052907E-3</v>
      </c>
      <c r="I24" s="58">
        <v>2</v>
      </c>
      <c r="K24" s="74">
        <v>22</v>
      </c>
      <c r="L24" s="119">
        <v>40.6</v>
      </c>
      <c r="M24" s="117">
        <v>1615.1710028479192</v>
      </c>
    </row>
    <row r="25" spans="1:18" x14ac:dyDescent="0.4">
      <c r="A25" s="19" t="s">
        <v>180</v>
      </c>
      <c r="B25" s="12">
        <v>37</v>
      </c>
      <c r="C25" s="6">
        <f>IF(B$20=0,0,B25/B$20)</f>
        <v>0.19576719576719576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60.3</v>
      </c>
      <c r="M25" s="117">
        <v>1618.4579768308317</v>
      </c>
    </row>
    <row r="26" spans="1:18" x14ac:dyDescent="0.4">
      <c r="A26" s="19" t="s">
        <v>181</v>
      </c>
      <c r="B26" s="12">
        <v>33</v>
      </c>
      <c r="C26" s="6">
        <f>IF(B$20=0,0,B26/B$20)</f>
        <v>0.17460317460317459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0</v>
      </c>
      <c r="M26" s="117">
        <v>1607.3252289698466</v>
      </c>
    </row>
    <row r="27" spans="1:18" x14ac:dyDescent="0.4">
      <c r="A27" s="19" t="s">
        <v>5</v>
      </c>
      <c r="B27" s="16">
        <f>IF(B$20=0,0,C27/B$20)</f>
        <v>8216.402116402116</v>
      </c>
      <c r="C27" s="8">
        <v>1552900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34.200000000000003</v>
      </c>
      <c r="M27" s="117">
        <v>1613.2692775960277</v>
      </c>
    </row>
    <row r="28" spans="1:18" x14ac:dyDescent="0.4">
      <c r="A28" s="20" t="s">
        <v>164</v>
      </c>
      <c r="B28" s="95">
        <f>IF($B$20-B$19=0,0,C28/($B$20-B$19))</f>
        <v>8376.3157894736851</v>
      </c>
      <c r="C28" s="96">
        <v>1273200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41.400000000000006</v>
      </c>
      <c r="M28" s="117">
        <v>1614.3176619304515</v>
      </c>
    </row>
    <row r="29" spans="1:18" x14ac:dyDescent="0.4">
      <c r="A29" s="20" t="s">
        <v>165</v>
      </c>
      <c r="B29" s="95">
        <f>IF(B$19=0,0,C29/B$19)</f>
        <v>7559.4594594594591</v>
      </c>
      <c r="C29" s="96">
        <v>279700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7.1054273576010019E-15</v>
      </c>
      <c r="M29" s="117">
        <v>1606.6117559588688</v>
      </c>
    </row>
    <row r="30" spans="1:18" x14ac:dyDescent="0.4">
      <c r="A30" s="20" t="s">
        <v>163</v>
      </c>
      <c r="B30" s="95">
        <f>IF(B$21=0,0,C30/B$21)</f>
        <v>-8450</v>
      </c>
      <c r="C30" s="96">
        <v>-861900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-57.999999999999993</v>
      </c>
      <c r="M30" s="117">
        <v>1595.5320854231156</v>
      </c>
    </row>
    <row r="31" spans="1:18" x14ac:dyDescent="0.4">
      <c r="A31" s="19" t="s">
        <v>156</v>
      </c>
      <c r="B31" s="12">
        <v>5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-6.4999999999999929</v>
      </c>
      <c r="M31" s="117">
        <v>1604.2288929105769</v>
      </c>
    </row>
    <row r="32" spans="1:18" x14ac:dyDescent="0.4">
      <c r="A32" s="19" t="s">
        <v>157</v>
      </c>
      <c r="B32" s="12">
        <v>24</v>
      </c>
      <c r="C32" s="90">
        <v>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7.1054273576010019E-15</v>
      </c>
      <c r="M32" s="117">
        <v>1604.7735195531134</v>
      </c>
    </row>
    <row r="33" spans="1:13" x14ac:dyDescent="0.4">
      <c r="A33" s="54" t="s">
        <v>135</v>
      </c>
      <c r="B33" s="131">
        <v>6</v>
      </c>
      <c r="C33" s="132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30.800000000000008</v>
      </c>
      <c r="M33" s="117">
        <v>1610.4868784357948</v>
      </c>
    </row>
    <row r="34" spans="1:13" x14ac:dyDescent="0.4">
      <c r="A34" s="22" t="s">
        <v>179</v>
      </c>
      <c r="B34" s="133">
        <v>90400</v>
      </c>
      <c r="C34" s="134"/>
      <c r="E34" s="27" t="s">
        <v>92</v>
      </c>
      <c r="F34" s="24" t="s">
        <v>47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0.60000000000000853</v>
      </c>
      <c r="M34" s="117">
        <v>1605.1859571651801</v>
      </c>
    </row>
    <row r="35" spans="1:13" x14ac:dyDescent="0.4">
      <c r="A35" s="21" t="s">
        <v>136</v>
      </c>
      <c r="B35" s="29">
        <v>1</v>
      </c>
      <c r="C35" s="9">
        <f>IF(B$3=0,0,B35/B$3)</f>
        <v>1.5432098765432098E-3</v>
      </c>
      <c r="E35" s="27" t="s">
        <v>93</v>
      </c>
      <c r="F35" s="24" t="s">
        <v>48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8.5487172896137054E-15</v>
      </c>
      <c r="M35" s="117">
        <v>1605.244841422189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44.300000000000004</v>
      </c>
      <c r="M36" s="117">
        <v>1612.7913723736558</v>
      </c>
    </row>
    <row r="37" spans="1:13" x14ac:dyDescent="0.4">
      <c r="A37" s="54" t="s">
        <v>170</v>
      </c>
      <c r="B37" s="123">
        <v>11</v>
      </c>
      <c r="C37" s="98">
        <f t="shared" ref="C37:C49" si="2">IF(B$20=0,0,B37/B$20)</f>
        <v>5.8201058201058198E-2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-11.299999999999997</v>
      </c>
      <c r="M37" s="117">
        <v>1602.3106241394139</v>
      </c>
    </row>
    <row r="38" spans="1:13" x14ac:dyDescent="0.4">
      <c r="A38" s="19" t="s">
        <v>166</v>
      </c>
      <c r="B38" s="12">
        <v>31</v>
      </c>
      <c r="C38" s="6">
        <f t="shared" si="2"/>
        <v>0.16402116402116401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1603.9347603945773</v>
      </c>
    </row>
    <row r="39" spans="1:13" x14ac:dyDescent="0.4">
      <c r="A39" s="19" t="s">
        <v>167</v>
      </c>
      <c r="B39" s="124">
        <v>33</v>
      </c>
      <c r="C39" s="6">
        <f t="shared" si="2"/>
        <v>0.17460317460317459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21.600000000000005</v>
      </c>
      <c r="M39" s="117">
        <v>1608.0691518322099</v>
      </c>
    </row>
    <row r="40" spans="1:13" x14ac:dyDescent="0.4">
      <c r="A40" s="19" t="s">
        <v>168</v>
      </c>
      <c r="B40" s="124">
        <v>43</v>
      </c>
      <c r="C40" s="6">
        <f t="shared" si="2"/>
        <v>0.2275132275132275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21.000000000000004</v>
      </c>
      <c r="M40" s="117">
        <v>1608.1827369212167</v>
      </c>
    </row>
    <row r="41" spans="1:13" x14ac:dyDescent="0.4">
      <c r="A41" s="19" t="s">
        <v>169</v>
      </c>
      <c r="B41" s="124">
        <v>36</v>
      </c>
      <c r="C41" s="6">
        <f t="shared" si="2"/>
        <v>0.19047619047619047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3.5527136788005009E-15</v>
      </c>
      <c r="M41" s="117">
        <v>1604.6236404996894</v>
      </c>
    </row>
    <row r="42" spans="1:13" x14ac:dyDescent="0.4">
      <c r="A42" s="19" t="s">
        <v>171</v>
      </c>
      <c r="B42" s="124">
        <v>13</v>
      </c>
      <c r="C42" s="6">
        <f t="shared" si="2"/>
        <v>6.8783068783068779E-2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42.5</v>
      </c>
      <c r="M42" s="117">
        <v>1611.8558986566911</v>
      </c>
    </row>
    <row r="43" spans="1:13" x14ac:dyDescent="0.4">
      <c r="A43" s="19" t="s">
        <v>172</v>
      </c>
      <c r="B43" s="124">
        <v>10</v>
      </c>
      <c r="C43" s="6">
        <f t="shared" si="2"/>
        <v>5.2910052910052907E-2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33.6</v>
      </c>
      <c r="M43" s="117">
        <v>1609.7927632647509</v>
      </c>
    </row>
    <row r="44" spans="1:13" x14ac:dyDescent="0.4">
      <c r="A44" s="19" t="s">
        <v>173</v>
      </c>
      <c r="B44" s="124">
        <v>9</v>
      </c>
      <c r="C44" s="6">
        <f t="shared" si="2"/>
        <v>4.7619047619047616E-2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0</v>
      </c>
      <c r="M44" s="117">
        <v>1603.2960066851624</v>
      </c>
    </row>
    <row r="45" spans="1:13" x14ac:dyDescent="0.4">
      <c r="A45" s="19" t="s">
        <v>174</v>
      </c>
      <c r="B45" s="124">
        <v>1</v>
      </c>
      <c r="C45" s="6">
        <f t="shared" si="2"/>
        <v>5.2910052910052907E-3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1.4</v>
      </c>
      <c r="M45" s="117">
        <v>1603.8102306450514</v>
      </c>
    </row>
    <row r="46" spans="1:13" x14ac:dyDescent="0.4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32.700000000000003</v>
      </c>
      <c r="M46" s="117">
        <v>1609.703369261181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0</v>
      </c>
      <c r="M47" s="117">
        <v>1604.041149045614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7.6</v>
      </c>
      <c r="M48" s="117">
        <v>1605.0129021513403</v>
      </c>
    </row>
    <row r="49" spans="1:13" x14ac:dyDescent="0.4">
      <c r="A49" s="21" t="s">
        <v>178</v>
      </c>
      <c r="B49" s="97">
        <v>2</v>
      </c>
      <c r="C49" s="9">
        <f t="shared" si="2"/>
        <v>1.0582010582010581E-2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41.2</v>
      </c>
      <c r="M49" s="117">
        <v>1610.6588247384323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0</v>
      </c>
      <c r="M50" s="117">
        <v>1602.8068717900017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-38.700000000000003</v>
      </c>
      <c r="M51" s="117">
        <v>1595.9920305592616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-7.8000000000000043</v>
      </c>
      <c r="M52" s="117">
        <v>1601.7460783759061</v>
      </c>
    </row>
    <row r="53" spans="1:13" x14ac:dyDescent="0.4">
      <c r="K53" s="74">
        <v>51</v>
      </c>
      <c r="L53" s="119">
        <v>-4.4408920985006262E-15</v>
      </c>
      <c r="M53" s="117">
        <v>1603.3076019056507</v>
      </c>
    </row>
    <row r="54" spans="1:13" x14ac:dyDescent="0.4">
      <c r="K54" s="74">
        <v>52</v>
      </c>
      <c r="L54" s="119">
        <v>61.399999999999991</v>
      </c>
      <c r="M54" s="117">
        <v>1614.6097562942168</v>
      </c>
    </row>
    <row r="55" spans="1:13" x14ac:dyDescent="0.4">
      <c r="K55" s="74">
        <v>53</v>
      </c>
      <c r="L55" s="119">
        <v>6.3999999999999915</v>
      </c>
      <c r="M55" s="117">
        <v>1604.8920977564514</v>
      </c>
    </row>
    <row r="56" spans="1:13" x14ac:dyDescent="0.4">
      <c r="K56" s="74">
        <v>54</v>
      </c>
      <c r="L56" s="119">
        <v>-8.8817841970012523E-15</v>
      </c>
      <c r="M56" s="117">
        <v>1603.9807451699128</v>
      </c>
    </row>
    <row r="57" spans="1:13" x14ac:dyDescent="0.4">
      <c r="K57" s="74">
        <v>55</v>
      </c>
      <c r="L57" s="119">
        <v>-0.80000000000000893</v>
      </c>
      <c r="M57" s="117">
        <v>1603.9988606988934</v>
      </c>
    </row>
    <row r="58" spans="1:13" x14ac:dyDescent="0.4">
      <c r="K58" s="74">
        <v>56</v>
      </c>
      <c r="L58" s="119">
        <v>45.999999999999986</v>
      </c>
      <c r="M58" s="117">
        <v>1612.5848675346999</v>
      </c>
    </row>
    <row r="59" spans="1:13" x14ac:dyDescent="0.4">
      <c r="K59" s="74">
        <v>57</v>
      </c>
      <c r="L59" s="119">
        <v>-1.4210854715202004E-14</v>
      </c>
      <c r="M59" s="117">
        <v>1604.4153583294917</v>
      </c>
    </row>
    <row r="60" spans="1:13" x14ac:dyDescent="0.4">
      <c r="K60" s="74">
        <v>58</v>
      </c>
      <c r="L60" s="119">
        <v>-14.700000000000014</v>
      </c>
      <c r="M60" s="117">
        <v>1602.1628661795148</v>
      </c>
    </row>
    <row r="61" spans="1:13" x14ac:dyDescent="0.4">
      <c r="K61" s="74">
        <v>59</v>
      </c>
      <c r="L61" s="119">
        <v>57.59999999999998</v>
      </c>
      <c r="M61" s="117">
        <v>1615.5838889824377</v>
      </c>
    </row>
    <row r="62" spans="1:13" x14ac:dyDescent="0.4">
      <c r="K62" s="74">
        <v>60</v>
      </c>
      <c r="L62" s="119">
        <v>-2.1316282072803006E-14</v>
      </c>
      <c r="M62" s="117">
        <v>1605.5423856485431</v>
      </c>
    </row>
    <row r="63" spans="1:13" x14ac:dyDescent="0.4">
      <c r="K63" s="74">
        <v>61</v>
      </c>
      <c r="L63" s="119">
        <v>31.299999999999979</v>
      </c>
      <c r="M63" s="117">
        <v>1611.4131313346518</v>
      </c>
    </row>
    <row r="64" spans="1:13" x14ac:dyDescent="0.4">
      <c r="K64" s="74">
        <v>62</v>
      </c>
      <c r="L64" s="119">
        <v>5.2999999999999794</v>
      </c>
      <c r="M64" s="117">
        <v>1606.934652546644</v>
      </c>
    </row>
    <row r="65" spans="11:13" x14ac:dyDescent="0.4">
      <c r="K65" s="74">
        <v>63</v>
      </c>
      <c r="L65" s="119">
        <v>-2.042810365310288E-14</v>
      </c>
      <c r="M65" s="117">
        <v>1606.2090446313641</v>
      </c>
    </row>
    <row r="66" spans="11:13" x14ac:dyDescent="0.4">
      <c r="K66" s="74">
        <v>64</v>
      </c>
      <c r="L66" s="119">
        <v>-58.90000000000002</v>
      </c>
      <c r="M66" s="117">
        <v>1595.203790363576</v>
      </c>
    </row>
    <row r="67" spans="11:13" x14ac:dyDescent="0.4">
      <c r="K67" s="74">
        <v>65</v>
      </c>
      <c r="L67" s="119">
        <v>10.699999999999974</v>
      </c>
      <c r="M67" s="117">
        <v>1607.3945676213946</v>
      </c>
    </row>
    <row r="68" spans="11:13" x14ac:dyDescent="0.4">
      <c r="K68" s="74">
        <v>66</v>
      </c>
      <c r="L68" s="119">
        <v>-2.4868995751603507E-14</v>
      </c>
      <c r="M68" s="117">
        <v>1605.0582002156661</v>
      </c>
    </row>
    <row r="69" spans="11:13" x14ac:dyDescent="0.4">
      <c r="K69" s="74">
        <v>67</v>
      </c>
      <c r="L69" s="119">
        <v>-45.40000000000002</v>
      </c>
      <c r="M69" s="117">
        <v>1597.1438510143721</v>
      </c>
    </row>
    <row r="70" spans="11:13" x14ac:dyDescent="0.4">
      <c r="K70" s="74">
        <v>68</v>
      </c>
      <c r="L70" s="119">
        <v>-51.800000000000018</v>
      </c>
      <c r="M70" s="117">
        <v>1596.2969879082859</v>
      </c>
    </row>
    <row r="71" spans="11:13" x14ac:dyDescent="0.4">
      <c r="K71" s="74">
        <v>69</v>
      </c>
      <c r="L71" s="119">
        <v>-2.1316282072803006E-14</v>
      </c>
      <c r="M71" s="117">
        <v>1605.9312059808362</v>
      </c>
    </row>
    <row r="72" spans="11:13" x14ac:dyDescent="0.4">
      <c r="K72" s="74">
        <v>70</v>
      </c>
      <c r="L72" s="119">
        <v>4.4999999999999787</v>
      </c>
      <c r="M72" s="117">
        <v>1607.1016187449511</v>
      </c>
    </row>
    <row r="73" spans="11:13" x14ac:dyDescent="0.4">
      <c r="K73" s="74">
        <v>71</v>
      </c>
      <c r="L73" s="119">
        <v>36.999999999999979</v>
      </c>
      <c r="M73" s="117">
        <v>1613.3050090324814</v>
      </c>
    </row>
    <row r="74" spans="11:13" x14ac:dyDescent="0.4">
      <c r="K74" s="74">
        <v>72</v>
      </c>
      <c r="L74" s="119">
        <v>-2.1316282072803006E-14</v>
      </c>
      <c r="M74" s="117">
        <v>1606.9611789782864</v>
      </c>
    </row>
    <row r="75" spans="11:13" x14ac:dyDescent="0.4">
      <c r="K75" s="74">
        <v>73</v>
      </c>
      <c r="L75" s="119">
        <v>-1.5000000000000213</v>
      </c>
      <c r="M75" s="117">
        <v>1606.8534119044166</v>
      </c>
    </row>
    <row r="76" spans="11:13" x14ac:dyDescent="0.4">
      <c r="K76" s="74">
        <v>74</v>
      </c>
      <c r="L76" s="119">
        <v>-44.90000000000002</v>
      </c>
      <c r="M76" s="117">
        <v>1599.2042914329902</v>
      </c>
    </row>
    <row r="77" spans="11:13" x14ac:dyDescent="0.4">
      <c r="K77" s="74">
        <v>75</v>
      </c>
      <c r="L77" s="119">
        <v>-2.1316282072803006E-14</v>
      </c>
      <c r="M77" s="117">
        <v>1607.4950656843923</v>
      </c>
    </row>
    <row r="78" spans="11:13" x14ac:dyDescent="0.4">
      <c r="K78" s="74">
        <v>76</v>
      </c>
      <c r="L78" s="119">
        <v>5.6999999999999789</v>
      </c>
      <c r="M78" s="117">
        <v>1608.086095290286</v>
      </c>
    </row>
    <row r="79" spans="11:13" x14ac:dyDescent="0.4">
      <c r="K79" s="74">
        <v>77</v>
      </c>
      <c r="L79" s="119">
        <v>52.799999999999983</v>
      </c>
      <c r="M79" s="117">
        <v>1616.1255787185444</v>
      </c>
    </row>
    <row r="80" spans="11:13" x14ac:dyDescent="0.4">
      <c r="K80" s="74">
        <v>78</v>
      </c>
      <c r="L80" s="119">
        <v>-1.4210854715202004E-14</v>
      </c>
      <c r="M80" s="117">
        <v>1606.134825246233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8DAAA-F090-4A71-9E5B-54024459D1EB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191</v>
      </c>
      <c r="C1" s="136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7">
        <v>9</v>
      </c>
      <c r="C2" s="138"/>
      <c r="E2" s="26" t="s">
        <v>158</v>
      </c>
      <c r="F2" s="23" t="s">
        <v>159</v>
      </c>
      <c r="G2" s="11">
        <v>13</v>
      </c>
      <c r="H2" s="87">
        <f>IF(B$20=0,0,G2/B$20)</f>
        <v>0.65</v>
      </c>
      <c r="I2" s="57">
        <v>1</v>
      </c>
      <c r="K2" s="73">
        <v>0</v>
      </c>
      <c r="L2" s="118">
        <v>0</v>
      </c>
      <c r="M2" s="116">
        <v>1372.5824902185618</v>
      </c>
      <c r="O2" s="73" t="s">
        <v>127</v>
      </c>
      <c r="P2" s="79">
        <f t="shared" ref="P2:P7" si="0">IF(Q2=0,0,R2/Q2)</f>
        <v>-3166.6666666666665</v>
      </c>
      <c r="Q2" s="76">
        <v>9</v>
      </c>
      <c r="R2" s="63">
        <v>-28500</v>
      </c>
    </row>
    <row r="3" spans="1:18" x14ac:dyDescent="0.4">
      <c r="A3" s="19" t="s">
        <v>8</v>
      </c>
      <c r="B3" s="139">
        <v>72</v>
      </c>
      <c r="C3" s="140"/>
      <c r="E3" s="27" t="s">
        <v>64</v>
      </c>
      <c r="F3" s="24" t="s">
        <v>20</v>
      </c>
      <c r="G3" s="12">
        <v>12</v>
      </c>
      <c r="H3" s="88">
        <f>IF(B$20=0,0,G3/B$20)</f>
        <v>0.6</v>
      </c>
      <c r="I3" s="58">
        <v>5</v>
      </c>
      <c r="K3" s="74">
        <v>1</v>
      </c>
      <c r="L3" s="119">
        <v>5</v>
      </c>
      <c r="M3" s="117">
        <v>1374.2469952772503</v>
      </c>
      <c r="O3" s="74" t="s">
        <v>128</v>
      </c>
      <c r="P3" s="80">
        <f t="shared" si="0"/>
        <v>1544.4444444444443</v>
      </c>
      <c r="Q3" s="77">
        <v>9</v>
      </c>
      <c r="R3" s="64">
        <v>13900</v>
      </c>
    </row>
    <row r="4" spans="1:18" x14ac:dyDescent="0.4">
      <c r="A4" s="19" t="s">
        <v>6</v>
      </c>
      <c r="B4" s="141">
        <v>-28.6</v>
      </c>
      <c r="C4" s="142"/>
      <c r="E4" s="27" t="s">
        <v>66</v>
      </c>
      <c r="F4" s="24" t="s">
        <v>22</v>
      </c>
      <c r="G4" s="12">
        <v>11</v>
      </c>
      <c r="H4" s="88">
        <f>IF(B$20=0,0,G4/B$20)</f>
        <v>0.55000000000000004</v>
      </c>
      <c r="I4" s="58">
        <v>5</v>
      </c>
      <c r="K4" s="74">
        <v>2</v>
      </c>
      <c r="L4" s="119">
        <v>-49.2</v>
      </c>
      <c r="M4" s="117">
        <v>1365.6775133055869</v>
      </c>
      <c r="O4" s="74" t="s">
        <v>129</v>
      </c>
      <c r="P4" s="80">
        <f t="shared" si="0"/>
        <v>-637.5</v>
      </c>
      <c r="Q4" s="77">
        <v>8</v>
      </c>
      <c r="R4" s="64">
        <v>-5100</v>
      </c>
    </row>
    <row r="5" spans="1:18" x14ac:dyDescent="0.4">
      <c r="A5" s="19" t="s">
        <v>7</v>
      </c>
      <c r="B5" s="129">
        <f>IF(B$2=0,0,B$4/B$2)</f>
        <v>-3.177777777777778</v>
      </c>
      <c r="C5" s="130"/>
      <c r="E5" s="27" t="s">
        <v>72</v>
      </c>
      <c r="F5" s="24" t="s">
        <v>27</v>
      </c>
      <c r="G5" s="12">
        <v>9</v>
      </c>
      <c r="H5" s="88">
        <f>IF(B$20=0,0,G5/B$20)</f>
        <v>0.45</v>
      </c>
      <c r="I5" s="58">
        <v>2</v>
      </c>
      <c r="K5" s="74">
        <v>3</v>
      </c>
      <c r="L5" s="119">
        <v>-61.7</v>
      </c>
      <c r="M5" s="117">
        <v>1364.6654482257534</v>
      </c>
      <c r="O5" s="74" t="s">
        <v>130</v>
      </c>
      <c r="P5" s="80">
        <f t="shared" si="0"/>
        <v>-5214.2857142857147</v>
      </c>
      <c r="Q5" s="77">
        <v>7</v>
      </c>
      <c r="R5" s="64">
        <v>-36500</v>
      </c>
    </row>
    <row r="6" spans="1:18" x14ac:dyDescent="0.4">
      <c r="A6" s="19" t="s">
        <v>192</v>
      </c>
      <c r="B6" s="133">
        <v>1378.0469266989846</v>
      </c>
      <c r="C6" s="134"/>
      <c r="E6" s="27" t="s">
        <v>67</v>
      </c>
      <c r="F6" s="24" t="s">
        <v>23</v>
      </c>
      <c r="G6" s="12">
        <v>7</v>
      </c>
      <c r="H6" s="88">
        <f>IF(B$20=0,0,G6/B$20)</f>
        <v>0.35</v>
      </c>
      <c r="I6" s="58">
        <v>2</v>
      </c>
      <c r="K6" s="74">
        <v>4</v>
      </c>
      <c r="L6" s="119">
        <v>-49.6</v>
      </c>
      <c r="M6" s="117">
        <v>1368.0874555363989</v>
      </c>
      <c r="O6" s="74" t="s">
        <v>131</v>
      </c>
      <c r="P6" s="80">
        <f t="shared" si="0"/>
        <v>4385.7142857142853</v>
      </c>
      <c r="Q6" s="77">
        <v>7</v>
      </c>
      <c r="R6" s="64">
        <v>30700</v>
      </c>
    </row>
    <row r="7" spans="1:18" x14ac:dyDescent="0.4">
      <c r="A7" s="19" t="s">
        <v>1</v>
      </c>
      <c r="B7" s="143">
        <f>IF(B$2=0,0,(B$8*1+B$9*2+B$10*3)/B$2)</f>
        <v>2</v>
      </c>
      <c r="C7" s="144"/>
      <c r="E7" s="27" t="s">
        <v>65</v>
      </c>
      <c r="F7" s="24" t="s">
        <v>21</v>
      </c>
      <c r="G7" s="12">
        <v>5</v>
      </c>
      <c r="H7" s="88">
        <f>IF(B$20=0,0,G7/B$20)</f>
        <v>0.25</v>
      </c>
      <c r="I7" s="58">
        <v>1</v>
      </c>
      <c r="K7" s="74">
        <v>5</v>
      </c>
      <c r="L7" s="119">
        <v>-51.4</v>
      </c>
      <c r="M7" s="117">
        <v>1368.9869308031805</v>
      </c>
      <c r="O7" s="75" t="s">
        <v>132</v>
      </c>
      <c r="P7" s="81">
        <f t="shared" si="0"/>
        <v>-442.85714285714283</v>
      </c>
      <c r="Q7" s="78">
        <v>7</v>
      </c>
      <c r="R7" s="65">
        <v>-3100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0.22222222222222221</v>
      </c>
      <c r="E8" s="27" t="s">
        <v>68</v>
      </c>
      <c r="F8" s="24" t="s">
        <v>12</v>
      </c>
      <c r="G8" s="12">
        <v>5</v>
      </c>
      <c r="H8" s="88">
        <f>IF(B$20=0,0,G8/B$20)</f>
        <v>0.25</v>
      </c>
      <c r="I8" s="58">
        <v>7</v>
      </c>
      <c r="K8" s="74">
        <v>6</v>
      </c>
      <c r="L8" s="119">
        <v>-106.9</v>
      </c>
      <c r="M8" s="117">
        <v>1360.2150092183615</v>
      </c>
      <c r="O8" s="107"/>
      <c r="P8" s="85"/>
      <c r="Q8" s="108"/>
      <c r="R8" s="70"/>
    </row>
    <row r="9" spans="1:18" x14ac:dyDescent="0.4">
      <c r="A9" s="19" t="s">
        <v>3</v>
      </c>
      <c r="B9" s="12">
        <v>5</v>
      </c>
      <c r="C9" s="6">
        <f t="shared" si="1"/>
        <v>0.55555555555555558</v>
      </c>
      <c r="E9" s="27" t="s">
        <v>69</v>
      </c>
      <c r="F9" s="24" t="s">
        <v>24</v>
      </c>
      <c r="G9" s="12">
        <v>3</v>
      </c>
      <c r="H9" s="88">
        <f>IF(B$20=0,0,G9/B$20)</f>
        <v>0.15</v>
      </c>
      <c r="I9" s="58">
        <v>4</v>
      </c>
      <c r="K9" s="74">
        <v>7</v>
      </c>
      <c r="L9" s="119">
        <v>-103.4</v>
      </c>
      <c r="M9" s="117">
        <v>1362.1157191630514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2</v>
      </c>
      <c r="C10" s="7">
        <f t="shared" si="1"/>
        <v>0.22222222222222221</v>
      </c>
      <c r="E10" s="27" t="s">
        <v>70</v>
      </c>
      <c r="F10" s="24" t="s">
        <v>25</v>
      </c>
      <c r="G10" s="12">
        <v>3</v>
      </c>
      <c r="H10" s="88">
        <f>IF(B$20=0,0,G10/B$20)</f>
        <v>0.15</v>
      </c>
      <c r="I10" s="58">
        <v>3</v>
      </c>
      <c r="K10" s="74">
        <v>8</v>
      </c>
      <c r="L10" s="119">
        <v>-62.800000000000004</v>
      </c>
      <c r="M10" s="117">
        <v>1370.683024848073</v>
      </c>
      <c r="O10" s="73" t="s">
        <v>150</v>
      </c>
      <c r="P10" s="82">
        <f>IF(Q10=0,0,R10/Q10)</f>
        <v>-28.65</v>
      </c>
      <c r="Q10" s="76">
        <v>2</v>
      </c>
      <c r="R10" s="67">
        <v>-57.3</v>
      </c>
    </row>
    <row r="11" spans="1:18" x14ac:dyDescent="0.4">
      <c r="A11" s="20" t="s">
        <v>183</v>
      </c>
      <c r="B11" s="109">
        <f>IF(B8=0,0,C11/B8)</f>
        <v>37.400000000000006</v>
      </c>
      <c r="C11" s="110">
        <v>74.800000000000011</v>
      </c>
      <c r="E11" s="27" t="s">
        <v>71</v>
      </c>
      <c r="F11" s="24" t="s">
        <v>26</v>
      </c>
      <c r="G11" s="12">
        <v>3</v>
      </c>
      <c r="H11" s="88">
        <f>IF(B$20=0,0,G11/B$20)</f>
        <v>0.15</v>
      </c>
      <c r="I11" s="58">
        <v>2</v>
      </c>
      <c r="K11" s="74">
        <v>9</v>
      </c>
      <c r="L11" s="119">
        <v>-28.6</v>
      </c>
      <c r="M11" s="117">
        <v>1378.0469266989846</v>
      </c>
      <c r="O11" s="74" t="s">
        <v>151</v>
      </c>
      <c r="P11" s="83">
        <f>IF(Q11=0,0,R11/Q11)</f>
        <v>5.82</v>
      </c>
      <c r="Q11" s="77">
        <v>5</v>
      </c>
      <c r="R11" s="68">
        <v>29.1</v>
      </c>
    </row>
    <row r="12" spans="1:18" x14ac:dyDescent="0.4">
      <c r="A12" s="20" t="s">
        <v>184</v>
      </c>
      <c r="B12" s="109">
        <f>IF(B9=0,0,C12/B9)</f>
        <v>1.26</v>
      </c>
      <c r="C12" s="110">
        <v>6.3</v>
      </c>
      <c r="E12" s="27" t="s">
        <v>73</v>
      </c>
      <c r="F12" s="24" t="s">
        <v>28</v>
      </c>
      <c r="G12" s="12">
        <v>1</v>
      </c>
      <c r="H12" s="88">
        <f>IF(B$20=0,0,G12/B$20)</f>
        <v>0.05</v>
      </c>
      <c r="I12" s="58">
        <v>2</v>
      </c>
      <c r="O12" s="75" t="s">
        <v>152</v>
      </c>
      <c r="P12" s="84">
        <f>IF(Q12=0,0,R12/Q12)</f>
        <v>-0.20000000000000018</v>
      </c>
      <c r="Q12" s="78">
        <v>2</v>
      </c>
      <c r="R12" s="69">
        <v>-0.40000000000000036</v>
      </c>
    </row>
    <row r="13" spans="1:18" x14ac:dyDescent="0.4">
      <c r="A13" s="20" t="s">
        <v>185</v>
      </c>
      <c r="B13" s="109">
        <f>IF(B10=0,0,C13/B10)</f>
        <v>-54.85</v>
      </c>
      <c r="C13" s="110">
        <v>-109.7</v>
      </c>
      <c r="E13" s="27" t="s">
        <v>86</v>
      </c>
      <c r="F13" s="24" t="s">
        <v>41</v>
      </c>
      <c r="G13" s="12">
        <v>1</v>
      </c>
      <c r="H13" s="88">
        <f>IF(B$20=0,0,G13/B$20)</f>
        <v>0.05</v>
      </c>
      <c r="I13" s="58">
        <v>4</v>
      </c>
      <c r="O13" s="103"/>
      <c r="P13" s="71"/>
      <c r="Q13" s="111"/>
      <c r="R13" s="71"/>
    </row>
    <row r="14" spans="1:18" x14ac:dyDescent="0.4">
      <c r="A14" s="20" t="s">
        <v>186</v>
      </c>
      <c r="B14" s="129">
        <f>AVERAGE(B11:B13)</f>
        <v>-5.3966666666666656</v>
      </c>
      <c r="C14" s="130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0.1111111111111111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3</v>
      </c>
      <c r="O15" s="73" t="s">
        <v>209</v>
      </c>
      <c r="P15" s="82">
        <f>IF(Q15=0,0,R15/Q15)</f>
        <v>24.055555555555554</v>
      </c>
      <c r="Q15" s="76">
        <v>9</v>
      </c>
      <c r="R15" s="67">
        <v>216.49999999999997</v>
      </c>
    </row>
    <row r="16" spans="1:18" x14ac:dyDescent="0.4">
      <c r="A16" s="22" t="s">
        <v>121</v>
      </c>
      <c r="B16" s="15">
        <v>26</v>
      </c>
      <c r="C16" s="10">
        <f>IF(B$3=0,0,B16/B$3)</f>
        <v>0.3611111111111111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-33.588888888888889</v>
      </c>
      <c r="Q16" s="77">
        <v>9</v>
      </c>
      <c r="R16" s="68">
        <v>-302.3</v>
      </c>
    </row>
    <row r="17" spans="1:9" x14ac:dyDescent="0.4">
      <c r="A17" s="19" t="s">
        <v>118</v>
      </c>
      <c r="B17" s="12">
        <v>11</v>
      </c>
      <c r="C17" s="6">
        <f>IF(B$3=0,0,B17/B$3)</f>
        <v>0.15277777777777779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12</v>
      </c>
      <c r="C18" s="5">
        <f>IF(B$16=0,0,B18/B$16)</f>
        <v>0.46153846153846156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6</v>
      </c>
    </row>
    <row r="19" spans="1:9" x14ac:dyDescent="0.4">
      <c r="A19" s="18" t="s">
        <v>124</v>
      </c>
      <c r="B19" s="11">
        <f>B25</f>
        <v>7</v>
      </c>
      <c r="C19" s="5">
        <f>IF(B$17=0,0,B19/B$17)</f>
        <v>0.63636363636363635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3</v>
      </c>
    </row>
    <row r="20" spans="1:9" x14ac:dyDescent="0.4">
      <c r="A20" s="18" t="s">
        <v>10</v>
      </c>
      <c r="B20" s="11">
        <f>B23+B22</f>
        <v>20</v>
      </c>
      <c r="C20" s="5">
        <f>IF(B$3=0,0,B20/B$3)</f>
        <v>0.27777777777777779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10</v>
      </c>
      <c r="C21" s="6">
        <f>IF(B$3=0,0,B21/B$3)</f>
        <v>0.1388888888888889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6</v>
      </c>
    </row>
    <row r="22" spans="1:9" x14ac:dyDescent="0.4">
      <c r="A22" s="19" t="s">
        <v>12</v>
      </c>
      <c r="B22" s="12">
        <v>9</v>
      </c>
      <c r="C22" s="6">
        <f>IF(B$20=0,0,B22/B$20)</f>
        <v>0.45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11</v>
      </c>
      <c r="C23" s="6">
        <f>IF(B$20=0,0,B23/B$20)</f>
        <v>0.55000000000000004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5</v>
      </c>
    </row>
    <row r="24" spans="1:9" x14ac:dyDescent="0.4">
      <c r="A24" s="19" t="s">
        <v>182</v>
      </c>
      <c r="B24" s="12">
        <v>12</v>
      </c>
      <c r="C24" s="6">
        <f>IF(B$20=0,0,B24/B$20)</f>
        <v>0.6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7</v>
      </c>
      <c r="C25" s="6">
        <f>IF(B$20=0,0,B25/B$20)</f>
        <v>0.35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1</v>
      </c>
      <c r="C26" s="6">
        <f>IF(B$20=0,0,B26/B$20)</f>
        <v>0.05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7515</v>
      </c>
      <c r="C27" s="8">
        <v>150300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164</v>
      </c>
      <c r="B28" s="95">
        <f>IF($B$20-B$19=0,0,C28/($B$20-B$19))</f>
        <v>9507.6923076923085</v>
      </c>
      <c r="C28" s="96">
        <v>123600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6</v>
      </c>
    </row>
    <row r="29" spans="1:9" x14ac:dyDescent="0.4">
      <c r="A29" s="20" t="s">
        <v>165</v>
      </c>
      <c r="B29" s="95">
        <f>IF(B$19=0,0,C29/B$19)</f>
        <v>3814.2857142857142</v>
      </c>
      <c r="C29" s="96">
        <v>26700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163</v>
      </c>
      <c r="B30" s="95">
        <f>IF(B$21=0,0,C30/B$21)</f>
        <v>-9140</v>
      </c>
      <c r="C30" s="96">
        <v>-91400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156</v>
      </c>
      <c r="B31" s="12">
        <v>3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157</v>
      </c>
      <c r="B32" s="12">
        <v>16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31">
        <v>4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33">
        <v>55600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6</v>
      </c>
      <c r="C38" s="6">
        <f t="shared" si="2"/>
        <v>0.3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4</v>
      </c>
      <c r="C39" s="6">
        <f t="shared" si="2"/>
        <v>0.2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5</v>
      </c>
      <c r="C40" s="6">
        <f t="shared" si="2"/>
        <v>0.25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2</v>
      </c>
      <c r="C41" s="6">
        <f t="shared" si="2"/>
        <v>0.1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1</v>
      </c>
      <c r="C42" s="6">
        <f t="shared" si="2"/>
        <v>0.05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2</v>
      </c>
      <c r="C43" s="6">
        <f t="shared" si="2"/>
        <v>0.1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9787-3AD5-44B3-81FE-9DED0F14A9FD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126</v>
      </c>
      <c r="C1" s="136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7">
        <v>20</v>
      </c>
      <c r="C2" s="138"/>
      <c r="E2" s="26" t="s">
        <v>64</v>
      </c>
      <c r="F2" s="23" t="s">
        <v>20</v>
      </c>
      <c r="G2" s="11">
        <v>36</v>
      </c>
      <c r="H2" s="87">
        <f>IF(B$20=0,0,G2/B$20)</f>
        <v>0.67924528301886788</v>
      </c>
      <c r="I2" s="57">
        <v>2</v>
      </c>
      <c r="K2" s="73">
        <v>0</v>
      </c>
      <c r="L2" s="118">
        <v>0</v>
      </c>
      <c r="M2" s="116">
        <v>1846.5755924228188</v>
      </c>
      <c r="O2" s="73" t="s">
        <v>127</v>
      </c>
      <c r="P2" s="79">
        <f t="shared" ref="P2:P7" si="0">IF(Q2=0,0,R2/Q2)</f>
        <v>2745</v>
      </c>
      <c r="Q2" s="76">
        <v>20</v>
      </c>
      <c r="R2" s="63">
        <v>54900</v>
      </c>
    </row>
    <row r="3" spans="1:18" x14ac:dyDescent="0.4">
      <c r="A3" s="19" t="s">
        <v>8</v>
      </c>
      <c r="B3" s="139">
        <v>167</v>
      </c>
      <c r="C3" s="140"/>
      <c r="E3" s="27" t="s">
        <v>67</v>
      </c>
      <c r="F3" s="24" t="s">
        <v>23</v>
      </c>
      <c r="G3" s="12">
        <v>28</v>
      </c>
      <c r="H3" s="88">
        <f>IF(B$20=0,0,G3/B$20)</f>
        <v>0.52830188679245282</v>
      </c>
      <c r="I3" s="58">
        <v>1</v>
      </c>
      <c r="K3" s="74">
        <v>1</v>
      </c>
      <c r="L3" s="119">
        <v>35.299999999999997</v>
      </c>
      <c r="M3" s="117">
        <v>1850.8501388682819</v>
      </c>
      <c r="O3" s="74" t="s">
        <v>128</v>
      </c>
      <c r="P3" s="80">
        <f t="shared" si="0"/>
        <v>2675</v>
      </c>
      <c r="Q3" s="77">
        <v>20</v>
      </c>
      <c r="R3" s="64">
        <v>53500</v>
      </c>
    </row>
    <row r="4" spans="1:18" x14ac:dyDescent="0.4">
      <c r="A4" s="19" t="s">
        <v>6</v>
      </c>
      <c r="B4" s="141">
        <v>354.7</v>
      </c>
      <c r="C4" s="142"/>
      <c r="E4" s="27" t="s">
        <v>66</v>
      </c>
      <c r="F4" s="24" t="s">
        <v>22</v>
      </c>
      <c r="G4" s="12">
        <v>26</v>
      </c>
      <c r="H4" s="88">
        <f>IF(B$20=0,0,G4/B$20)</f>
        <v>0.49056603773584906</v>
      </c>
      <c r="I4" s="58">
        <v>6</v>
      </c>
      <c r="K4" s="74">
        <v>2</v>
      </c>
      <c r="L4" s="119">
        <v>110.7</v>
      </c>
      <c r="M4" s="117">
        <v>1862.7490380350721</v>
      </c>
      <c r="O4" s="74" t="s">
        <v>129</v>
      </c>
      <c r="P4" s="80">
        <f t="shared" si="0"/>
        <v>2610.5263157894738</v>
      </c>
      <c r="Q4" s="77">
        <v>19</v>
      </c>
      <c r="R4" s="64">
        <v>49600</v>
      </c>
    </row>
    <row r="5" spans="1:18" x14ac:dyDescent="0.4">
      <c r="A5" s="19" t="s">
        <v>7</v>
      </c>
      <c r="B5" s="129">
        <f>IF(B$2=0,0,B$4/B$2)</f>
        <v>17.734999999999999</v>
      </c>
      <c r="C5" s="130"/>
      <c r="E5" s="27" t="s">
        <v>158</v>
      </c>
      <c r="F5" s="24" t="s">
        <v>159</v>
      </c>
      <c r="G5" s="12">
        <v>24</v>
      </c>
      <c r="H5" s="88">
        <f>IF(B$20=0,0,G5/B$20)</f>
        <v>0.45283018867924529</v>
      </c>
      <c r="I5" s="58">
        <v>6</v>
      </c>
      <c r="K5" s="74">
        <v>3</v>
      </c>
      <c r="L5" s="119">
        <v>163.69999999999999</v>
      </c>
      <c r="M5" s="117">
        <v>1870.5445438068616</v>
      </c>
      <c r="O5" s="74" t="s">
        <v>130</v>
      </c>
      <c r="P5" s="80">
        <f t="shared" si="0"/>
        <v>3588.2352941176468</v>
      </c>
      <c r="Q5" s="77">
        <v>17</v>
      </c>
      <c r="R5" s="64">
        <v>61000</v>
      </c>
    </row>
    <row r="6" spans="1:18" x14ac:dyDescent="0.4">
      <c r="A6" s="19" t="s">
        <v>192</v>
      </c>
      <c r="B6" s="133">
        <v>1879.0548159047273</v>
      </c>
      <c r="C6" s="134"/>
      <c r="E6" s="27" t="s">
        <v>72</v>
      </c>
      <c r="F6" s="24" t="s">
        <v>27</v>
      </c>
      <c r="G6" s="12">
        <v>22</v>
      </c>
      <c r="H6" s="88">
        <f>IF(B$20=0,0,G6/B$20)</f>
        <v>0.41509433962264153</v>
      </c>
      <c r="I6" s="58">
        <v>3</v>
      </c>
      <c r="K6" s="74">
        <v>4</v>
      </c>
      <c r="L6" s="119">
        <v>197.6</v>
      </c>
      <c r="M6" s="117">
        <v>1874.8552765440204</v>
      </c>
      <c r="O6" s="74" t="s">
        <v>131</v>
      </c>
      <c r="P6" s="80">
        <f t="shared" si="0"/>
        <v>917.64705882352939</v>
      </c>
      <c r="Q6" s="77">
        <v>17</v>
      </c>
      <c r="R6" s="64">
        <v>15600</v>
      </c>
    </row>
    <row r="7" spans="1:18" x14ac:dyDescent="0.4">
      <c r="A7" s="19" t="s">
        <v>1</v>
      </c>
      <c r="B7" s="143">
        <f>IF(B$2=0,0,(B$8*1+B$9*2+B$10*3)/B$2)</f>
        <v>1.7</v>
      </c>
      <c r="C7" s="144"/>
      <c r="E7" s="27" t="s">
        <v>68</v>
      </c>
      <c r="F7" s="24" t="s">
        <v>12</v>
      </c>
      <c r="G7" s="12">
        <v>17</v>
      </c>
      <c r="H7" s="88">
        <f>IF(B$20=0,0,G7/B$20)</f>
        <v>0.32075471698113206</v>
      </c>
      <c r="I7" s="58">
        <v>5</v>
      </c>
      <c r="K7" s="74">
        <v>5</v>
      </c>
      <c r="L7" s="119">
        <v>166.79999999999998</v>
      </c>
      <c r="M7" s="117">
        <v>1867.4941448847562</v>
      </c>
      <c r="O7" s="75" t="s">
        <v>132</v>
      </c>
      <c r="P7" s="81">
        <f t="shared" si="0"/>
        <v>5.882352941176471</v>
      </c>
      <c r="Q7" s="78">
        <v>17</v>
      </c>
      <c r="R7" s="65">
        <v>100</v>
      </c>
    </row>
    <row r="8" spans="1:18" x14ac:dyDescent="0.4">
      <c r="A8" s="19" t="s">
        <v>2</v>
      </c>
      <c r="B8" s="12">
        <v>10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11</v>
      </c>
      <c r="H8" s="88">
        <f>IF(B$20=0,0,G8/B$20)</f>
        <v>0.20754716981132076</v>
      </c>
      <c r="I8" s="58">
        <v>2</v>
      </c>
      <c r="K8" s="74">
        <v>6</v>
      </c>
      <c r="L8" s="119">
        <v>217.79999999999998</v>
      </c>
      <c r="M8" s="117">
        <v>1874.9011800154476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</v>
      </c>
      <c r="E9" s="27" t="s">
        <v>89</v>
      </c>
      <c r="F9" s="24" t="s">
        <v>44</v>
      </c>
      <c r="G9" s="12">
        <v>9</v>
      </c>
      <c r="H9" s="88">
        <f>IF(B$20=0,0,G9/B$20)</f>
        <v>0.16981132075471697</v>
      </c>
      <c r="I9" s="58">
        <v>1</v>
      </c>
      <c r="K9" s="74">
        <v>7</v>
      </c>
      <c r="L9" s="119">
        <v>246.79999999999998</v>
      </c>
      <c r="M9" s="117">
        <v>1878.303772935355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4</v>
      </c>
      <c r="C10" s="7">
        <f t="shared" si="1"/>
        <v>0.2</v>
      </c>
      <c r="E10" s="27" t="s">
        <v>65</v>
      </c>
      <c r="F10" s="24" t="s">
        <v>21</v>
      </c>
      <c r="G10" s="12">
        <v>7</v>
      </c>
      <c r="H10" s="88">
        <f>IF(B$20=0,0,G10/B$20)</f>
        <v>0.13207547169811321</v>
      </c>
      <c r="I10" s="58">
        <v>6</v>
      </c>
      <c r="K10" s="74">
        <v>8</v>
      </c>
      <c r="L10" s="119">
        <v>266.5</v>
      </c>
      <c r="M10" s="117">
        <v>1880.0119502977429</v>
      </c>
      <c r="O10" s="73" t="s">
        <v>150</v>
      </c>
      <c r="P10" s="82">
        <f>IF(Q10=0,0,R10/Q10)</f>
        <v>16.650000000000002</v>
      </c>
      <c r="Q10" s="76">
        <v>6</v>
      </c>
      <c r="R10" s="67">
        <v>99.9</v>
      </c>
    </row>
    <row r="11" spans="1:18" x14ac:dyDescent="0.4">
      <c r="A11" s="20" t="s">
        <v>183</v>
      </c>
      <c r="B11" s="109">
        <f>IF(B8=0,0,C11/B8)</f>
        <v>46.500000000000007</v>
      </c>
      <c r="C11" s="110">
        <v>465.00000000000006</v>
      </c>
      <c r="E11" s="27" t="s">
        <v>70</v>
      </c>
      <c r="F11" s="24" t="s">
        <v>25</v>
      </c>
      <c r="G11" s="12">
        <v>7</v>
      </c>
      <c r="H11" s="88">
        <f>IF(B$20=0,0,G11/B$20)</f>
        <v>0.13207547169811321</v>
      </c>
      <c r="I11" s="58">
        <v>4</v>
      </c>
      <c r="K11" s="74">
        <v>9</v>
      </c>
      <c r="L11" s="119">
        <v>273.7</v>
      </c>
      <c r="M11" s="117">
        <v>1879.4598785959565</v>
      </c>
      <c r="O11" s="74" t="s">
        <v>151</v>
      </c>
      <c r="P11" s="83">
        <f>IF(Q11=0,0,R11/Q11)</f>
        <v>23.72</v>
      </c>
      <c r="Q11" s="77">
        <v>5</v>
      </c>
      <c r="R11" s="68">
        <v>118.6</v>
      </c>
    </row>
    <row r="12" spans="1:18" x14ac:dyDescent="0.4">
      <c r="A12" s="20" t="s">
        <v>184</v>
      </c>
      <c r="B12" s="109">
        <f>IF(B9=0,0,C12/B9)</f>
        <v>2.15</v>
      </c>
      <c r="C12" s="110">
        <v>12.899999999999999</v>
      </c>
      <c r="E12" s="27" t="s">
        <v>86</v>
      </c>
      <c r="F12" s="24" t="s">
        <v>41</v>
      </c>
      <c r="G12" s="12">
        <v>6</v>
      </c>
      <c r="H12" s="88">
        <f>IF(B$20=0,0,G12/B$20)</f>
        <v>0.11320754716981132</v>
      </c>
      <c r="I12" s="58">
        <v>2</v>
      </c>
      <c r="K12" s="74">
        <v>10</v>
      </c>
      <c r="L12" s="119">
        <v>304.5</v>
      </c>
      <c r="M12" s="117">
        <v>1883.5251193243807</v>
      </c>
      <c r="O12" s="75" t="s">
        <v>152</v>
      </c>
      <c r="P12" s="84">
        <f>IF(Q12=0,0,R12/Q12)</f>
        <v>15.133333333333333</v>
      </c>
      <c r="Q12" s="78">
        <v>9</v>
      </c>
      <c r="R12" s="69">
        <v>136.19999999999999</v>
      </c>
    </row>
    <row r="13" spans="1:18" x14ac:dyDescent="0.4">
      <c r="A13" s="20" t="s">
        <v>185</v>
      </c>
      <c r="B13" s="109">
        <f>IF(B10=0,0,C13/B10)</f>
        <v>-30.8</v>
      </c>
      <c r="C13" s="110">
        <v>-123.2</v>
      </c>
      <c r="E13" s="27" t="s">
        <v>71</v>
      </c>
      <c r="F13" s="24" t="s">
        <v>26</v>
      </c>
      <c r="G13" s="12">
        <v>2</v>
      </c>
      <c r="H13" s="88">
        <f>IF(B$20=0,0,G13/B$20)</f>
        <v>3.7735849056603772E-2</v>
      </c>
      <c r="I13" s="58">
        <v>7</v>
      </c>
      <c r="K13" s="74">
        <v>11</v>
      </c>
      <c r="L13" s="119">
        <v>283.5</v>
      </c>
      <c r="M13" s="117">
        <v>1878.3139686084344</v>
      </c>
      <c r="O13" s="103"/>
      <c r="P13" s="71"/>
      <c r="Q13" s="111"/>
      <c r="R13" s="71"/>
    </row>
    <row r="14" spans="1:18" x14ac:dyDescent="0.4">
      <c r="A14" s="20" t="s">
        <v>186</v>
      </c>
      <c r="B14" s="129">
        <f>AVERAGE(B11:B13)</f>
        <v>5.950000000000002</v>
      </c>
      <c r="C14" s="130"/>
      <c r="E14" s="27" t="s">
        <v>79</v>
      </c>
      <c r="F14" s="24" t="s">
        <v>34</v>
      </c>
      <c r="G14" s="12">
        <v>2</v>
      </c>
      <c r="H14" s="88">
        <f>IF(B$20=0,0,G14/B$20)</f>
        <v>3.7735849056603772E-2</v>
      </c>
      <c r="I14" s="58">
        <v>1</v>
      </c>
      <c r="K14" s="74">
        <v>12</v>
      </c>
      <c r="L14" s="119">
        <v>250.8</v>
      </c>
      <c r="M14" s="117">
        <v>1871.0400847967837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83</v>
      </c>
      <c r="F15" s="24" t="s">
        <v>38</v>
      </c>
      <c r="G15" s="12">
        <v>2</v>
      </c>
      <c r="H15" s="88">
        <f>IF(B$20=0,0,G15/B$20)</f>
        <v>3.7735849056603772E-2</v>
      </c>
      <c r="I15" s="58">
        <v>3</v>
      </c>
      <c r="K15" s="74">
        <v>13</v>
      </c>
      <c r="L15" s="119">
        <v>212.10000000000002</v>
      </c>
      <c r="M15" s="117">
        <v>1862.615844288003</v>
      </c>
      <c r="O15" s="73" t="s">
        <v>209</v>
      </c>
      <c r="P15" s="82">
        <f>IF(Q15=0,0,R15/Q15)</f>
        <v>57.644444444444439</v>
      </c>
      <c r="Q15" s="76">
        <v>9</v>
      </c>
      <c r="R15" s="67">
        <v>518.79999999999995</v>
      </c>
    </row>
    <row r="16" spans="1:18" x14ac:dyDescent="0.4">
      <c r="A16" s="22" t="s">
        <v>121</v>
      </c>
      <c r="B16" s="15">
        <v>70</v>
      </c>
      <c r="C16" s="10">
        <f>IF(B$3=0,0,B16/B$3)</f>
        <v>0.41916167664670656</v>
      </c>
      <c r="E16" s="27" t="s">
        <v>75</v>
      </c>
      <c r="F16" s="24" t="s">
        <v>30</v>
      </c>
      <c r="G16" s="12">
        <v>1</v>
      </c>
      <c r="H16" s="88">
        <f>IF(B$20=0,0,G16/B$20)</f>
        <v>1.8867924528301886E-2</v>
      </c>
      <c r="I16" s="58">
        <v>1</v>
      </c>
      <c r="K16" s="74">
        <v>14</v>
      </c>
      <c r="L16" s="119">
        <v>205.70000000000002</v>
      </c>
      <c r="M16" s="117">
        <v>1860.1581492222749</v>
      </c>
      <c r="O16" s="74" t="s">
        <v>191</v>
      </c>
      <c r="P16" s="83">
        <f>IF(Q16=0,0,R16/Q16)</f>
        <v>33.588888888888889</v>
      </c>
      <c r="Q16" s="77">
        <v>9</v>
      </c>
      <c r="R16" s="68">
        <v>302.3</v>
      </c>
    </row>
    <row r="17" spans="1:18" x14ac:dyDescent="0.4">
      <c r="A17" s="19" t="s">
        <v>118</v>
      </c>
      <c r="B17" s="12">
        <v>22</v>
      </c>
      <c r="C17" s="6">
        <f>IF(B$3=0,0,B17/B$3)</f>
        <v>0.1317365269461078</v>
      </c>
      <c r="E17" s="27" t="s">
        <v>76</v>
      </c>
      <c r="F17" s="24" t="s">
        <v>31</v>
      </c>
      <c r="G17" s="12">
        <v>1</v>
      </c>
      <c r="H17" s="88">
        <f>IF(B$20=0,0,G17/B$20)</f>
        <v>1.8867924528301886E-2</v>
      </c>
      <c r="I17" s="58">
        <v>1</v>
      </c>
      <c r="K17" s="74">
        <v>15</v>
      </c>
      <c r="L17" s="119">
        <v>204.9</v>
      </c>
      <c r="M17" s="117">
        <v>1858.6392003269414</v>
      </c>
      <c r="O17" s="74" t="s">
        <v>189</v>
      </c>
      <c r="P17" s="83">
        <f>IF(Q17=0,0,R17/Q17)</f>
        <v>25.916666666666668</v>
      </c>
      <c r="Q17" s="77">
        <v>6</v>
      </c>
      <c r="R17" s="68">
        <v>155.5</v>
      </c>
    </row>
    <row r="18" spans="1:18" x14ac:dyDescent="0.4">
      <c r="A18" s="18" t="s">
        <v>123</v>
      </c>
      <c r="B18" s="11">
        <f>B24</f>
        <v>37</v>
      </c>
      <c r="C18" s="5">
        <f>IF(B$16=0,0,B18/B$16)</f>
        <v>0.52857142857142858</v>
      </c>
      <c r="E18" s="27" t="s">
        <v>78</v>
      </c>
      <c r="F18" s="24" t="s">
        <v>33</v>
      </c>
      <c r="G18" s="12">
        <v>1</v>
      </c>
      <c r="H18" s="88">
        <f>IF(B$20=0,0,G18/B$20)</f>
        <v>1.8867924528301886E-2</v>
      </c>
      <c r="I18" s="58">
        <v>5</v>
      </c>
      <c r="K18" s="74">
        <v>16</v>
      </c>
      <c r="L18" s="119">
        <v>277.2</v>
      </c>
      <c r="M18" s="117">
        <v>1870.5213651249796</v>
      </c>
      <c r="O18" s="74" t="s">
        <v>162</v>
      </c>
      <c r="P18" s="83">
        <f>IF(Q18=0,0,R18/Q18)</f>
        <v>19.414285714285711</v>
      </c>
      <c r="Q18" s="77">
        <v>7</v>
      </c>
      <c r="R18" s="68">
        <v>135.89999999999998</v>
      </c>
    </row>
    <row r="19" spans="1:18" x14ac:dyDescent="0.4">
      <c r="A19" s="18" t="s">
        <v>124</v>
      </c>
      <c r="B19" s="11">
        <f>B25</f>
        <v>11</v>
      </c>
      <c r="C19" s="5">
        <f>IF(B$17=0,0,B19/B$17)</f>
        <v>0.5</v>
      </c>
      <c r="E19" s="27" t="s">
        <v>81</v>
      </c>
      <c r="F19" s="24" t="s">
        <v>36</v>
      </c>
      <c r="G19" s="12">
        <v>1</v>
      </c>
      <c r="H19" s="88">
        <f>IF(B$20=0,0,G19/B$20)</f>
        <v>1.8867924528301886E-2</v>
      </c>
      <c r="I19" s="58">
        <v>5</v>
      </c>
      <c r="K19" s="74">
        <v>17</v>
      </c>
      <c r="L19" s="119">
        <v>271.89999999999998</v>
      </c>
      <c r="M19" s="117">
        <v>1868.2142369342298</v>
      </c>
      <c r="O19" s="74" t="s">
        <v>187</v>
      </c>
      <c r="P19" s="83">
        <f>IF(Q19=0,0,R19/Q19)</f>
        <v>-5.3777777777777764</v>
      </c>
      <c r="Q19" s="77">
        <v>9</v>
      </c>
      <c r="R19" s="68">
        <v>-48.399999999999991</v>
      </c>
    </row>
    <row r="20" spans="1:18" x14ac:dyDescent="0.4">
      <c r="A20" s="18" t="s">
        <v>10</v>
      </c>
      <c r="B20" s="11">
        <f>B23+B22</f>
        <v>53</v>
      </c>
      <c r="C20" s="5">
        <f>IF(B$3=0,0,B20/B$3)</f>
        <v>0.31736526946107785</v>
      </c>
      <c r="E20" s="27" t="s">
        <v>99</v>
      </c>
      <c r="F20" s="24" t="s">
        <v>54</v>
      </c>
      <c r="G20" s="12">
        <v>1</v>
      </c>
      <c r="H20" s="88">
        <f>IF(B$20=0,0,G20/B$20)</f>
        <v>1.8867924528301886E-2</v>
      </c>
      <c r="I20" s="58">
        <v>1</v>
      </c>
      <c r="K20" s="74">
        <v>18</v>
      </c>
      <c r="L20" s="119">
        <v>323.7</v>
      </c>
      <c r="M20" s="117">
        <v>1876.2169515126245</v>
      </c>
    </row>
    <row r="21" spans="1:18" x14ac:dyDescent="0.4">
      <c r="A21" s="19" t="s">
        <v>13</v>
      </c>
      <c r="B21" s="12">
        <v>19</v>
      </c>
      <c r="C21" s="6">
        <f>IF(B$3=0,0,B21/B$3)</f>
        <v>0.11377245508982035</v>
      </c>
      <c r="E21" s="27" t="s">
        <v>154</v>
      </c>
      <c r="F21" s="24" t="s">
        <v>155</v>
      </c>
      <c r="G21" s="12">
        <v>1</v>
      </c>
      <c r="H21" s="88">
        <f>IF(B$20=0,0,G21/B$20)</f>
        <v>1.8867924528301886E-2</v>
      </c>
      <c r="I21" s="58">
        <v>1</v>
      </c>
      <c r="K21" s="74">
        <v>19</v>
      </c>
      <c r="L21" s="119">
        <v>356.2</v>
      </c>
      <c r="M21" s="117">
        <v>1880.8056498035487</v>
      </c>
    </row>
    <row r="22" spans="1:18" x14ac:dyDescent="0.4">
      <c r="A22" s="19" t="s">
        <v>12</v>
      </c>
      <c r="B22" s="12">
        <v>20</v>
      </c>
      <c r="C22" s="6">
        <f>IF(B$20=0,0,B22/B$20)</f>
        <v>0.37735849056603776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354.7</v>
      </c>
      <c r="M22" s="117">
        <v>1879.0548159047273</v>
      </c>
    </row>
    <row r="23" spans="1:18" x14ac:dyDescent="0.4">
      <c r="A23" s="19" t="s">
        <v>11</v>
      </c>
      <c r="B23" s="12">
        <v>33</v>
      </c>
      <c r="C23" s="6">
        <f>IF(B$20=0,0,B23/B$20)</f>
        <v>0.62264150943396224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4</v>
      </c>
    </row>
    <row r="24" spans="1:18" x14ac:dyDescent="0.4">
      <c r="A24" s="19" t="s">
        <v>182</v>
      </c>
      <c r="B24" s="12">
        <v>37</v>
      </c>
      <c r="C24" s="6">
        <f>IF(B$20=0,0,B24/B$20)</f>
        <v>0.69811320754716977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11</v>
      </c>
      <c r="C25" s="6">
        <f>IF(B$20=0,0,B25/B$20)</f>
        <v>0.20754716981132076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5</v>
      </c>
      <c r="C26" s="6">
        <f>IF(B$20=0,0,B26/B$20)</f>
        <v>9.4339622641509441E-2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9566.0377358490568</v>
      </c>
      <c r="C27" s="8">
        <v>507000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9735.7142857142862</v>
      </c>
      <c r="C28" s="96">
        <v>408900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8918.181818181818</v>
      </c>
      <c r="C29" s="96">
        <v>98100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-7189.4736842105267</v>
      </c>
      <c r="C30" s="96">
        <v>-136600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156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24</v>
      </c>
      <c r="C32" s="90">
        <v>0</v>
      </c>
      <c r="E32" s="27" t="s">
        <v>91</v>
      </c>
      <c r="F32" s="24" t="s">
        <v>46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31">
        <v>4</v>
      </c>
      <c r="C33" s="132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33">
        <v>90400</v>
      </c>
      <c r="C34" s="134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3</v>
      </c>
    </row>
    <row r="36" spans="1:9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2</v>
      </c>
      <c r="C37" s="98">
        <f t="shared" ref="C37:C49" si="2">IF(B$20=0,0,B37/B$20)</f>
        <v>3.7735849056603772E-2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2</v>
      </c>
      <c r="C38" s="6">
        <f t="shared" si="2"/>
        <v>3.7735849056603772E-2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11</v>
      </c>
      <c r="C39" s="6">
        <f t="shared" si="2"/>
        <v>0.20754716981132076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12</v>
      </c>
      <c r="C40" s="6">
        <f t="shared" si="2"/>
        <v>0.22641509433962265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14</v>
      </c>
      <c r="C41" s="6">
        <f t="shared" si="2"/>
        <v>0.26415094339622641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4</v>
      </c>
      <c r="C42" s="6">
        <f t="shared" si="2"/>
        <v>7.5471698113207544E-2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5</v>
      </c>
      <c r="C43" s="6">
        <f t="shared" si="2"/>
        <v>9.4339622641509441E-2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2</v>
      </c>
      <c r="C44" s="6">
        <f t="shared" si="2"/>
        <v>3.7735849056603772E-2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1.8867924528301886E-2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559D7-B760-48AC-8DEC-382B29E5C244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209</v>
      </c>
      <c r="C1" s="136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7">
        <v>9</v>
      </c>
      <c r="C2" s="138"/>
      <c r="E2" s="26" t="s">
        <v>64</v>
      </c>
      <c r="F2" s="23" t="s">
        <v>20</v>
      </c>
      <c r="G2" s="11">
        <v>10</v>
      </c>
      <c r="H2" s="87">
        <f>IF(B$20=0,0,G2/B$20)</f>
        <v>0.66666666666666663</v>
      </c>
      <c r="I2" s="57">
        <v>3</v>
      </c>
      <c r="K2" s="73">
        <v>0</v>
      </c>
      <c r="L2" s="118">
        <v>0</v>
      </c>
      <c r="M2" s="116">
        <v>1497.379788</v>
      </c>
      <c r="O2" s="73" t="s">
        <v>127</v>
      </c>
      <c r="P2" s="79">
        <f t="shared" ref="P2:P7" si="0">IF(Q2=0,0,R2/Q2)</f>
        <v>-1177.7777777777778</v>
      </c>
      <c r="Q2" s="76">
        <v>9</v>
      </c>
      <c r="R2" s="63">
        <v>-10600</v>
      </c>
    </row>
    <row r="3" spans="1:18" x14ac:dyDescent="0.4">
      <c r="A3" s="19" t="s">
        <v>8</v>
      </c>
      <c r="B3" s="139">
        <v>72</v>
      </c>
      <c r="C3" s="140"/>
      <c r="E3" s="27" t="s">
        <v>68</v>
      </c>
      <c r="F3" s="24" t="s">
        <v>12</v>
      </c>
      <c r="G3" s="12">
        <v>9</v>
      </c>
      <c r="H3" s="88">
        <f>IF(B$20=0,0,G3/B$20)</f>
        <v>0.6</v>
      </c>
      <c r="I3" s="58">
        <v>1</v>
      </c>
      <c r="K3" s="74">
        <v>1</v>
      </c>
      <c r="L3" s="119">
        <v>-40.299999999999997</v>
      </c>
      <c r="M3" s="117">
        <v>1490.1415092719999</v>
      </c>
      <c r="O3" s="74" t="s">
        <v>128</v>
      </c>
      <c r="P3" s="80">
        <f t="shared" si="0"/>
        <v>-2933.3333333333335</v>
      </c>
      <c r="Q3" s="77">
        <v>9</v>
      </c>
      <c r="R3" s="64">
        <v>-26400</v>
      </c>
    </row>
    <row r="4" spans="1:18" x14ac:dyDescent="0.4">
      <c r="A4" s="19" t="s">
        <v>6</v>
      </c>
      <c r="B4" s="141">
        <v>-245.1</v>
      </c>
      <c r="C4" s="142"/>
      <c r="E4" s="27" t="s">
        <v>158</v>
      </c>
      <c r="F4" s="24" t="s">
        <v>159</v>
      </c>
      <c r="G4" s="12">
        <v>7</v>
      </c>
      <c r="H4" s="88">
        <f>IF(B$20=0,0,G4/B$20)</f>
        <v>0.46666666666666667</v>
      </c>
      <c r="I4" s="58">
        <v>4</v>
      </c>
      <c r="K4" s="74">
        <v>2</v>
      </c>
      <c r="L4" s="119">
        <v>-61.5</v>
      </c>
      <c r="M4" s="117">
        <v>1486.8166602163678</v>
      </c>
      <c r="O4" s="74" t="s">
        <v>129</v>
      </c>
      <c r="P4" s="80">
        <f t="shared" si="0"/>
        <v>-4550</v>
      </c>
      <c r="Q4" s="77">
        <v>8</v>
      </c>
      <c r="R4" s="64">
        <v>-36400</v>
      </c>
    </row>
    <row r="5" spans="1:18" x14ac:dyDescent="0.4">
      <c r="A5" s="19" t="s">
        <v>7</v>
      </c>
      <c r="B5" s="129">
        <f>IF(B$2=0,0,B$4/B$2)</f>
        <v>-27.233333333333334</v>
      </c>
      <c r="C5" s="130"/>
      <c r="E5" s="27" t="s">
        <v>72</v>
      </c>
      <c r="F5" s="24" t="s">
        <v>27</v>
      </c>
      <c r="G5" s="12">
        <v>6</v>
      </c>
      <c r="H5" s="88">
        <f>IF(B$20=0,0,G5/B$20)</f>
        <v>0.4</v>
      </c>
      <c r="I5" s="58">
        <v>4</v>
      </c>
      <c r="K5" s="74">
        <v>3</v>
      </c>
      <c r="L5" s="119">
        <v>-102</v>
      </c>
      <c r="M5" s="117">
        <v>1480.0377602550695</v>
      </c>
      <c r="O5" s="74" t="s">
        <v>130</v>
      </c>
      <c r="P5" s="80">
        <f t="shared" si="0"/>
        <v>-1771.4285714285713</v>
      </c>
      <c r="Q5" s="77">
        <v>7</v>
      </c>
      <c r="R5" s="64">
        <v>-12400</v>
      </c>
    </row>
    <row r="6" spans="1:18" x14ac:dyDescent="0.4">
      <c r="A6" s="19" t="s">
        <v>192</v>
      </c>
      <c r="B6" s="133">
        <v>1457.7676249317437</v>
      </c>
      <c r="C6" s="134"/>
      <c r="E6" s="27" t="s">
        <v>67</v>
      </c>
      <c r="F6" s="24" t="s">
        <v>23</v>
      </c>
      <c r="G6" s="12">
        <v>5</v>
      </c>
      <c r="H6" s="88">
        <f>IF(B$20=0,0,G6/B$20)</f>
        <v>0.33333333333333331</v>
      </c>
      <c r="I6" s="58">
        <v>3</v>
      </c>
      <c r="K6" s="74">
        <v>4</v>
      </c>
      <c r="L6" s="119">
        <v>-148</v>
      </c>
      <c r="M6" s="117">
        <v>1472.3095336935392</v>
      </c>
      <c r="O6" s="74" t="s">
        <v>131</v>
      </c>
      <c r="P6" s="80">
        <f t="shared" si="0"/>
        <v>-6942.8571428571431</v>
      </c>
      <c r="Q6" s="77">
        <v>7</v>
      </c>
      <c r="R6" s="64">
        <v>-48600</v>
      </c>
    </row>
    <row r="7" spans="1:18" x14ac:dyDescent="0.4">
      <c r="A7" s="19" t="s">
        <v>1</v>
      </c>
      <c r="B7" s="143">
        <f>IF(B$2=0,0,(B$8*1+B$9*2+B$10*3)/B$2)</f>
        <v>2.5555555555555554</v>
      </c>
      <c r="C7" s="144"/>
      <c r="E7" s="27" t="s">
        <v>66</v>
      </c>
      <c r="F7" s="24" t="s">
        <v>22</v>
      </c>
      <c r="G7" s="12">
        <v>4</v>
      </c>
      <c r="H7" s="88">
        <f>IF(B$20=0,0,G7/B$20)</f>
        <v>0.26666666666666666</v>
      </c>
      <c r="I7" s="58">
        <v>7</v>
      </c>
      <c r="K7" s="74">
        <v>5</v>
      </c>
      <c r="L7" s="119">
        <v>-115.4</v>
      </c>
      <c r="M7" s="117">
        <v>1478.7756764913779</v>
      </c>
      <c r="O7" s="75" t="s">
        <v>132</v>
      </c>
      <c r="P7" s="81">
        <f t="shared" si="0"/>
        <v>-1528.5714285714287</v>
      </c>
      <c r="Q7" s="78">
        <v>7</v>
      </c>
      <c r="R7" s="65">
        <v>-10700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0.1111111111111111</v>
      </c>
      <c r="E8" s="27" t="s">
        <v>70</v>
      </c>
      <c r="F8" s="24" t="s">
        <v>25</v>
      </c>
      <c r="G8" s="12">
        <v>3</v>
      </c>
      <c r="H8" s="88">
        <f>IF(B$20=0,0,G8/B$20)</f>
        <v>0.2</v>
      </c>
      <c r="I8" s="58">
        <v>1</v>
      </c>
      <c r="K8" s="74">
        <v>6</v>
      </c>
      <c r="L8" s="119">
        <v>-110.9</v>
      </c>
      <c r="M8" s="117">
        <v>1480.1450224324296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0.22222222222222221</v>
      </c>
      <c r="E9" s="27" t="s">
        <v>65</v>
      </c>
      <c r="F9" s="24" t="s">
        <v>21</v>
      </c>
      <c r="G9" s="12">
        <v>2</v>
      </c>
      <c r="H9" s="88">
        <f>IF(B$20=0,0,G9/B$20)</f>
        <v>0.13333333333333333</v>
      </c>
      <c r="I9" s="58">
        <v>5</v>
      </c>
      <c r="K9" s="74">
        <v>7</v>
      </c>
      <c r="L9" s="119">
        <v>-143.4</v>
      </c>
      <c r="M9" s="117">
        <v>1474.846152297835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6</v>
      </c>
      <c r="C10" s="7">
        <f t="shared" si="1"/>
        <v>0.66666666666666663</v>
      </c>
      <c r="E10" s="27" t="s">
        <v>69</v>
      </c>
      <c r="F10" s="24" t="s">
        <v>24</v>
      </c>
      <c r="G10" s="12">
        <v>2</v>
      </c>
      <c r="H10" s="88">
        <f>IF(B$20=0,0,G10/B$20)</f>
        <v>0.13333333333333333</v>
      </c>
      <c r="I10" s="58">
        <v>5</v>
      </c>
      <c r="K10" s="74">
        <v>8</v>
      </c>
      <c r="L10" s="119">
        <v>-203.7</v>
      </c>
      <c r="M10" s="117">
        <v>1464.575075384048</v>
      </c>
      <c r="O10" s="73" t="s">
        <v>150</v>
      </c>
      <c r="P10" s="82">
        <f>IF(Q10=0,0,R10/Q10)</f>
        <v>-39.14</v>
      </c>
      <c r="Q10" s="76">
        <v>5</v>
      </c>
      <c r="R10" s="67">
        <v>-195.70000000000002</v>
      </c>
    </row>
    <row r="11" spans="1:18" x14ac:dyDescent="0.4">
      <c r="A11" s="20" t="s">
        <v>183</v>
      </c>
      <c r="B11" s="109">
        <f>IF(B8=0,0,C11/B8)</f>
        <v>32.6</v>
      </c>
      <c r="C11" s="110">
        <v>32.6</v>
      </c>
      <c r="E11" s="27" t="s">
        <v>71</v>
      </c>
      <c r="F11" s="24" t="s">
        <v>26</v>
      </c>
      <c r="G11" s="12">
        <v>2</v>
      </c>
      <c r="H11" s="88">
        <f>IF(B$20=0,0,G11/B$20)</f>
        <v>0.13333333333333333</v>
      </c>
      <c r="I11" s="58">
        <v>3</v>
      </c>
      <c r="K11" s="74">
        <v>9</v>
      </c>
      <c r="L11" s="119">
        <v>-245.1</v>
      </c>
      <c r="M11" s="117">
        <v>1457.7676249317437</v>
      </c>
      <c r="O11" s="74" t="s">
        <v>151</v>
      </c>
      <c r="P11" s="83">
        <f>IF(Q11=0,0,R11/Q11)</f>
        <v>-43.25</v>
      </c>
      <c r="Q11" s="77">
        <v>2</v>
      </c>
      <c r="R11" s="68">
        <v>-86.5</v>
      </c>
    </row>
    <row r="12" spans="1:18" x14ac:dyDescent="0.4">
      <c r="A12" s="20" t="s">
        <v>184</v>
      </c>
      <c r="B12" s="109">
        <f>IF(B9=0,0,C12/B9)</f>
        <v>-8.35</v>
      </c>
      <c r="C12" s="110">
        <v>-16.7</v>
      </c>
      <c r="E12" s="27" t="s">
        <v>89</v>
      </c>
      <c r="F12" s="24" t="s">
        <v>44</v>
      </c>
      <c r="G12" s="12">
        <v>2</v>
      </c>
      <c r="H12" s="88">
        <f>IF(B$20=0,0,G12/B$20)</f>
        <v>0.13333333333333333</v>
      </c>
      <c r="I12" s="58">
        <v>2</v>
      </c>
      <c r="O12" s="75" t="s">
        <v>152</v>
      </c>
      <c r="P12" s="84">
        <f>IF(Q12=0,0,R12/Q12)</f>
        <v>18.55</v>
      </c>
      <c r="Q12" s="78">
        <v>2</v>
      </c>
      <c r="R12" s="69">
        <v>37.1</v>
      </c>
    </row>
    <row r="13" spans="1:18" x14ac:dyDescent="0.4">
      <c r="A13" s="20" t="s">
        <v>185</v>
      </c>
      <c r="B13" s="109">
        <f>IF(B10=0,0,C13/B10)</f>
        <v>-43.5</v>
      </c>
      <c r="C13" s="110">
        <v>-261</v>
      </c>
      <c r="E13" s="27" t="s">
        <v>73</v>
      </c>
      <c r="F13" s="24" t="s">
        <v>28</v>
      </c>
      <c r="G13" s="12">
        <v>1</v>
      </c>
      <c r="H13" s="88">
        <f>IF(B$20=0,0,G13/B$20)</f>
        <v>6.6666666666666666E-2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186</v>
      </c>
      <c r="B14" s="129">
        <f>AVERAGE(B11:B13)</f>
        <v>-6.416666666666667</v>
      </c>
      <c r="C14" s="130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0.1111111111111111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3</v>
      </c>
      <c r="O15" s="73" t="s">
        <v>191</v>
      </c>
      <c r="P15" s="82">
        <f>IF(Q15=0,0,R15/Q15)</f>
        <v>-24.055555555555557</v>
      </c>
      <c r="Q15" s="76">
        <v>9</v>
      </c>
      <c r="R15" s="67">
        <v>-216.5</v>
      </c>
    </row>
    <row r="16" spans="1:18" x14ac:dyDescent="0.4">
      <c r="A16" s="22" t="s">
        <v>121</v>
      </c>
      <c r="B16" s="15">
        <v>20</v>
      </c>
      <c r="C16" s="10">
        <f>IF(B$3=0,0,B16/B$3)</f>
        <v>0.27777777777777779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-57.644444444444439</v>
      </c>
      <c r="Q16" s="77">
        <v>9</v>
      </c>
      <c r="R16" s="68">
        <v>-518.79999999999995</v>
      </c>
    </row>
    <row r="17" spans="1:9" x14ac:dyDescent="0.4">
      <c r="A17" s="19" t="s">
        <v>118</v>
      </c>
      <c r="B17" s="12">
        <v>16</v>
      </c>
      <c r="C17" s="6">
        <f>IF(B$3=0,0,B17/B$3)</f>
        <v>0.22222222222222221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10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6</v>
      </c>
    </row>
    <row r="19" spans="1:9" x14ac:dyDescent="0.4">
      <c r="A19" s="18" t="s">
        <v>124</v>
      </c>
      <c r="B19" s="11">
        <f>B25</f>
        <v>3</v>
      </c>
      <c r="C19" s="5">
        <f>IF(B$17=0,0,B19/B$17)</f>
        <v>0.1875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3</v>
      </c>
    </row>
    <row r="20" spans="1:9" x14ac:dyDescent="0.4">
      <c r="A20" s="18" t="s">
        <v>10</v>
      </c>
      <c r="B20" s="11">
        <f>B23+B22</f>
        <v>15</v>
      </c>
      <c r="C20" s="5">
        <f>IF(B$3=0,0,B20/B$3)</f>
        <v>0.20833333333333334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19</v>
      </c>
      <c r="C21" s="6">
        <f>IF(B$3=0,0,B21/B$3)</f>
        <v>0.2638888888888889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6</v>
      </c>
    </row>
    <row r="22" spans="1:9" x14ac:dyDescent="0.4">
      <c r="A22" s="19" t="s">
        <v>12</v>
      </c>
      <c r="B22" s="12">
        <v>10</v>
      </c>
      <c r="C22" s="6">
        <f>IF(B$20=0,0,B22/B$20)</f>
        <v>0.66666666666666663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5</v>
      </c>
      <c r="C23" s="6">
        <f>IF(B$20=0,0,B23/B$20)</f>
        <v>0.33333333333333331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5</v>
      </c>
    </row>
    <row r="24" spans="1:9" x14ac:dyDescent="0.4">
      <c r="A24" s="19" t="s">
        <v>182</v>
      </c>
      <c r="B24" s="12">
        <v>10</v>
      </c>
      <c r="C24" s="6">
        <f>IF(B$20=0,0,B24/B$20)</f>
        <v>0.66666666666666663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3</v>
      </c>
      <c r="C25" s="6">
        <f>IF(B$20=0,0,B25/B$20)</f>
        <v>0.2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2</v>
      </c>
      <c r="C26" s="6">
        <f>IF(B$20=0,0,B26/B$20)</f>
        <v>0.13333333333333333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7</v>
      </c>
    </row>
    <row r="27" spans="1:9" x14ac:dyDescent="0.4">
      <c r="A27" s="19" t="s">
        <v>5</v>
      </c>
      <c r="B27" s="16">
        <f>IF(B$20=0,0,C27/B$20)</f>
        <v>6533.333333333333</v>
      </c>
      <c r="C27" s="8">
        <v>98000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164</v>
      </c>
      <c r="B28" s="95">
        <f>IF($B$20-B$19=0,0,C28/($B$20-B$19))</f>
        <v>6666.666666666667</v>
      </c>
      <c r="C28" s="96">
        <v>80000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165</v>
      </c>
      <c r="B29" s="95">
        <f>IF(B$19=0,0,C29/B$19)</f>
        <v>6000</v>
      </c>
      <c r="C29" s="96">
        <v>18000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163</v>
      </c>
      <c r="B30" s="95">
        <f>IF(B$21=0,0,C30/B$21)</f>
        <v>-8863.1578947368416</v>
      </c>
      <c r="C30" s="96">
        <v>-168400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156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157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31">
        <v>2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33">
        <v>47600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1</v>
      </c>
      <c r="C35" s="9">
        <f>IF(B$3=0,0,B35/B$3)</f>
        <v>1.3888888888888888E-2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6.6666666666666666E-2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3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1</v>
      </c>
      <c r="C39" s="6">
        <f t="shared" si="2"/>
        <v>6.6666666666666666E-2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5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5</v>
      </c>
      <c r="C41" s="6">
        <f t="shared" si="2"/>
        <v>0.33333333333333331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9F192-651C-473D-B6FF-6D37BA34C230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162</v>
      </c>
      <c r="C1" s="136"/>
      <c r="E1" s="104" t="s">
        <v>153</v>
      </c>
      <c r="F1" s="126" t="s">
        <v>115</v>
      </c>
      <c r="G1" s="125" t="s">
        <v>116</v>
      </c>
      <c r="H1" s="86" t="s">
        <v>117</v>
      </c>
      <c r="I1" s="126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7">
        <v>13</v>
      </c>
      <c r="C2" s="138"/>
      <c r="E2" s="26" t="s">
        <v>64</v>
      </c>
      <c r="F2" s="23" t="s">
        <v>20</v>
      </c>
      <c r="G2" s="11">
        <v>19</v>
      </c>
      <c r="H2" s="87">
        <f>IF(B$20=0,0,G2/B$20)</f>
        <v>0.73076923076923073</v>
      </c>
      <c r="I2" s="57">
        <v>1</v>
      </c>
      <c r="K2" s="73">
        <v>0</v>
      </c>
      <c r="L2" s="118">
        <v>0</v>
      </c>
      <c r="M2" s="116">
        <v>1595.6213709809917</v>
      </c>
      <c r="O2" s="73" t="s">
        <v>127</v>
      </c>
      <c r="P2" s="79">
        <f t="shared" ref="P2:P7" si="0">IF(Q2=0,0,R2/Q2)</f>
        <v>-1084.6153846153845</v>
      </c>
      <c r="Q2" s="76">
        <v>13</v>
      </c>
      <c r="R2" s="63">
        <v>-14100</v>
      </c>
    </row>
    <row r="3" spans="1:18" x14ac:dyDescent="0.4">
      <c r="A3" s="19" t="s">
        <v>8</v>
      </c>
      <c r="B3" s="139">
        <v>106</v>
      </c>
      <c r="C3" s="140"/>
      <c r="E3" s="27" t="s">
        <v>66</v>
      </c>
      <c r="F3" s="24" t="s">
        <v>22</v>
      </c>
      <c r="G3" s="12">
        <v>16</v>
      </c>
      <c r="H3" s="88">
        <f>IF(B$20=0,0,G3/B$20)</f>
        <v>0.61538461538461542</v>
      </c>
      <c r="I3" s="58">
        <v>3</v>
      </c>
      <c r="K3" s="74">
        <v>1</v>
      </c>
      <c r="L3" s="119">
        <v>-58</v>
      </c>
      <c r="M3" s="117">
        <v>1584.6076427551059</v>
      </c>
      <c r="O3" s="74" t="s">
        <v>128</v>
      </c>
      <c r="P3" s="80">
        <f t="shared" si="0"/>
        <v>-3953.8461538461538</v>
      </c>
      <c r="Q3" s="77">
        <v>13</v>
      </c>
      <c r="R3" s="64">
        <v>-51400</v>
      </c>
    </row>
    <row r="4" spans="1:18" x14ac:dyDescent="0.4">
      <c r="A4" s="19" t="s">
        <v>6</v>
      </c>
      <c r="B4" s="141">
        <v>-120.60000000000001</v>
      </c>
      <c r="C4" s="142"/>
      <c r="E4" s="27" t="s">
        <v>68</v>
      </c>
      <c r="F4" s="24" t="s">
        <v>12</v>
      </c>
      <c r="G4" s="12">
        <v>13</v>
      </c>
      <c r="H4" s="88">
        <f>IF(B$20=0,0,G4/B$20)</f>
        <v>0.5</v>
      </c>
      <c r="I4" s="58">
        <v>2</v>
      </c>
      <c r="K4" s="74">
        <v>2</v>
      </c>
      <c r="L4" s="119">
        <v>-13.700000000000003</v>
      </c>
      <c r="M4" s="117">
        <v>1592.2779968985753</v>
      </c>
      <c r="O4" s="74" t="s">
        <v>129</v>
      </c>
      <c r="P4" s="80">
        <f t="shared" si="0"/>
        <v>-907.69230769230774</v>
      </c>
      <c r="Q4" s="77">
        <v>13</v>
      </c>
      <c r="R4" s="64">
        <v>-11800</v>
      </c>
    </row>
    <row r="5" spans="1:18" x14ac:dyDescent="0.4">
      <c r="A5" s="19" t="s">
        <v>7</v>
      </c>
      <c r="B5" s="129">
        <f>IF(B$2=0,0,B$4/B$2)</f>
        <v>-9.2769230769230777</v>
      </c>
      <c r="C5" s="130"/>
      <c r="E5" s="27" t="s">
        <v>158</v>
      </c>
      <c r="F5" s="24" t="s">
        <v>159</v>
      </c>
      <c r="G5" s="12">
        <v>13</v>
      </c>
      <c r="H5" s="88">
        <f>IF(B$20=0,0,G5/B$20)</f>
        <v>0.5</v>
      </c>
      <c r="I5" s="58">
        <v>2</v>
      </c>
      <c r="K5" s="74">
        <v>3</v>
      </c>
      <c r="L5" s="119">
        <v>7.8999999999999986</v>
      </c>
      <c r="M5" s="117">
        <v>1596.4823289171838</v>
      </c>
      <c r="O5" s="74" t="s">
        <v>130</v>
      </c>
      <c r="P5" s="80">
        <f t="shared" si="0"/>
        <v>-2091.6666666666665</v>
      </c>
      <c r="Q5" s="77">
        <v>12</v>
      </c>
      <c r="R5" s="64">
        <v>-25100</v>
      </c>
    </row>
    <row r="6" spans="1:18" x14ac:dyDescent="0.4">
      <c r="A6" s="19" t="s">
        <v>192</v>
      </c>
      <c r="B6" s="133">
        <v>1574.1827160431983</v>
      </c>
      <c r="C6" s="134"/>
      <c r="E6" s="27" t="s">
        <v>67</v>
      </c>
      <c r="F6" s="24" t="s">
        <v>23</v>
      </c>
      <c r="G6" s="12">
        <v>8</v>
      </c>
      <c r="H6" s="88">
        <f>IF(B$20=0,0,G6/B$20)</f>
        <v>0.30769230769230771</v>
      </c>
      <c r="I6" s="58">
        <v>5</v>
      </c>
      <c r="K6" s="74">
        <v>4</v>
      </c>
      <c r="L6" s="119">
        <v>50.4</v>
      </c>
      <c r="M6" s="117">
        <v>1603.7634349436807</v>
      </c>
      <c r="O6" s="74" t="s">
        <v>131</v>
      </c>
      <c r="P6" s="80">
        <f t="shared" si="0"/>
        <v>1441.6666666666667</v>
      </c>
      <c r="Q6" s="77">
        <v>12</v>
      </c>
      <c r="R6" s="64">
        <v>17300</v>
      </c>
    </row>
    <row r="7" spans="1:18" x14ac:dyDescent="0.4">
      <c r="A7" s="19" t="s">
        <v>1</v>
      </c>
      <c r="B7" s="143">
        <f>IF(B$2=0,0,(B$8*1+B$9*2+B$10*3)/B$2)</f>
        <v>2.0769230769230771</v>
      </c>
      <c r="C7" s="144"/>
      <c r="E7" s="27" t="s">
        <v>69</v>
      </c>
      <c r="F7" s="24" t="s">
        <v>24</v>
      </c>
      <c r="G7" s="12">
        <v>8</v>
      </c>
      <c r="H7" s="88">
        <f>IF(B$20=0,0,G7/B$20)</f>
        <v>0.30769230769230771</v>
      </c>
      <c r="I7" s="58">
        <v>1</v>
      </c>
      <c r="K7" s="74">
        <v>5</v>
      </c>
      <c r="L7" s="119">
        <v>81.7</v>
      </c>
      <c r="M7" s="117">
        <v>1609.6568543340186</v>
      </c>
      <c r="O7" s="75" t="s">
        <v>132</v>
      </c>
      <c r="P7" s="81">
        <f t="shared" si="0"/>
        <v>1000</v>
      </c>
      <c r="Q7" s="78">
        <v>10</v>
      </c>
      <c r="R7" s="65">
        <v>10000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0.30769230769230771</v>
      </c>
      <c r="E8" s="27" t="s">
        <v>65</v>
      </c>
      <c r="F8" s="24" t="s">
        <v>21</v>
      </c>
      <c r="G8" s="12">
        <v>5</v>
      </c>
      <c r="H8" s="88">
        <f>IF(B$20=0,0,G8/B$20)</f>
        <v>0.19230769230769232</v>
      </c>
      <c r="I8" s="58">
        <v>3</v>
      </c>
      <c r="K8" s="74">
        <v>6</v>
      </c>
      <c r="L8" s="119">
        <v>40.5</v>
      </c>
      <c r="M8" s="117">
        <v>1601.8109132080144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0.30769230769230771</v>
      </c>
      <c r="E9" s="27" t="s">
        <v>70</v>
      </c>
      <c r="F9" s="24" t="s">
        <v>25</v>
      </c>
      <c r="G9" s="12">
        <v>5</v>
      </c>
      <c r="H9" s="88">
        <f>IF(B$20=0,0,G9/B$20)</f>
        <v>0.19230769230769232</v>
      </c>
      <c r="I9" s="58">
        <v>2</v>
      </c>
      <c r="K9" s="74">
        <v>7</v>
      </c>
      <c r="L9" s="119">
        <v>-14.5</v>
      </c>
      <c r="M9" s="117">
        <v>1592.1700477287663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5</v>
      </c>
      <c r="C10" s="7">
        <f t="shared" si="1"/>
        <v>0.38461538461538464</v>
      </c>
      <c r="E10" s="27" t="s">
        <v>71</v>
      </c>
      <c r="F10" s="24" t="s">
        <v>26</v>
      </c>
      <c r="G10" s="12">
        <v>4</v>
      </c>
      <c r="H10" s="88">
        <f>IF(B$20=0,0,G10/B$20)</f>
        <v>0.15384615384615385</v>
      </c>
      <c r="I10" s="58">
        <v>1</v>
      </c>
      <c r="K10" s="74">
        <v>8</v>
      </c>
      <c r="L10" s="119">
        <v>-29.2</v>
      </c>
      <c r="M10" s="117">
        <v>1589.9910274423937</v>
      </c>
      <c r="O10" s="73" t="s">
        <v>150</v>
      </c>
      <c r="P10" s="82">
        <f>IF(Q10=0,0,R10/Q10)</f>
        <v>-13.328571428571427</v>
      </c>
      <c r="Q10" s="76">
        <v>7</v>
      </c>
      <c r="R10" s="67">
        <v>-93.3</v>
      </c>
    </row>
    <row r="11" spans="1:18" x14ac:dyDescent="0.4">
      <c r="A11" s="20" t="s">
        <v>183</v>
      </c>
      <c r="B11" s="109">
        <f>IF(B8=0,0,C11/B8)</f>
        <v>34.925000000000004</v>
      </c>
      <c r="C11" s="110">
        <v>139.70000000000002</v>
      </c>
      <c r="E11" s="27" t="s">
        <v>72</v>
      </c>
      <c r="F11" s="24" t="s">
        <v>27</v>
      </c>
      <c r="G11" s="12">
        <v>4</v>
      </c>
      <c r="H11" s="88">
        <f>IF(B$20=0,0,G11/B$20)</f>
        <v>0.15384615384615385</v>
      </c>
      <c r="I11" s="58">
        <v>7</v>
      </c>
      <c r="K11" s="74">
        <v>9</v>
      </c>
      <c r="L11" s="119">
        <v>-55.2</v>
      </c>
      <c r="M11" s="117">
        <v>1585.6410812777394</v>
      </c>
      <c r="O11" s="74" t="s">
        <v>151</v>
      </c>
      <c r="P11" s="83">
        <f>IF(Q11=0,0,R11/Q11)</f>
        <v>-7.75</v>
      </c>
      <c r="Q11" s="77">
        <v>2</v>
      </c>
      <c r="R11" s="68">
        <v>-15.5</v>
      </c>
    </row>
    <row r="12" spans="1:18" x14ac:dyDescent="0.4">
      <c r="A12" s="20" t="s">
        <v>184</v>
      </c>
      <c r="B12" s="109">
        <f>IF(B9=0,0,C12/B9)</f>
        <v>-6.8249999999999993</v>
      </c>
      <c r="C12" s="110">
        <v>-27.299999999999997</v>
      </c>
      <c r="E12" s="27" t="s">
        <v>86</v>
      </c>
      <c r="F12" s="24" t="s">
        <v>41</v>
      </c>
      <c r="G12" s="12">
        <v>3</v>
      </c>
      <c r="H12" s="88">
        <f>IF(B$20=0,0,G12/B$20)</f>
        <v>0.11538461538461539</v>
      </c>
      <c r="I12" s="58">
        <v>1</v>
      </c>
      <c r="K12" s="74">
        <v>10</v>
      </c>
      <c r="L12" s="119">
        <v>-65.900000000000006</v>
      </c>
      <c r="M12" s="117">
        <v>1583.4352347900731</v>
      </c>
      <c r="O12" s="75" t="s">
        <v>152</v>
      </c>
      <c r="P12" s="84">
        <f>IF(Q12=0,0,R12/Q12)</f>
        <v>-2.9499999999999997</v>
      </c>
      <c r="Q12" s="78">
        <v>4</v>
      </c>
      <c r="R12" s="69">
        <v>-11.799999999999999</v>
      </c>
    </row>
    <row r="13" spans="1:18" x14ac:dyDescent="0.4">
      <c r="A13" s="20" t="s">
        <v>185</v>
      </c>
      <c r="B13" s="109">
        <f>IF(B10=0,0,C13/B10)</f>
        <v>-46.6</v>
      </c>
      <c r="C13" s="110">
        <v>-233</v>
      </c>
      <c r="E13" s="27" t="s">
        <v>89</v>
      </c>
      <c r="F13" s="24" t="s">
        <v>44</v>
      </c>
      <c r="G13" s="12">
        <v>3</v>
      </c>
      <c r="H13" s="88">
        <f>IF(B$20=0,0,G13/B$20)</f>
        <v>0.11538461538461539</v>
      </c>
      <c r="I13" s="58">
        <v>3</v>
      </c>
      <c r="K13" s="74">
        <v>11</v>
      </c>
      <c r="L13" s="119">
        <v>-72.300000000000011</v>
      </c>
      <c r="M13" s="117">
        <v>1582.6706233813327</v>
      </c>
      <c r="O13" s="103"/>
      <c r="P13" s="71"/>
      <c r="Q13" s="111"/>
      <c r="R13" s="71"/>
    </row>
    <row r="14" spans="1:18" x14ac:dyDescent="0.4">
      <c r="A14" s="20" t="s">
        <v>186</v>
      </c>
      <c r="B14" s="129">
        <f>AVERAGE(B11:B13)</f>
        <v>-6.1666666666666652</v>
      </c>
      <c r="C14" s="130"/>
      <c r="E14" s="27" t="s">
        <v>78</v>
      </c>
      <c r="F14" s="24" t="s">
        <v>33</v>
      </c>
      <c r="G14" s="12">
        <v>2</v>
      </c>
      <c r="H14" s="88">
        <f>IF(B$20=0,0,G14/B$20)</f>
        <v>7.6923076923076927E-2</v>
      </c>
      <c r="I14" s="58">
        <v>1</v>
      </c>
      <c r="K14" s="74">
        <v>12</v>
      </c>
      <c r="L14" s="119">
        <v>-67.800000000000011</v>
      </c>
      <c r="M14" s="117">
        <v>1583.9805996410446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7.6923076923076927E-2</v>
      </c>
      <c r="E15" s="27" t="s">
        <v>73</v>
      </c>
      <c r="F15" s="24" t="s">
        <v>28</v>
      </c>
      <c r="G15" s="12">
        <v>1</v>
      </c>
      <c r="H15" s="88">
        <f>IF(B$20=0,0,G15/B$20)</f>
        <v>3.8461538461538464E-2</v>
      </c>
      <c r="I15" s="58">
        <v>3</v>
      </c>
      <c r="K15" s="74">
        <v>13</v>
      </c>
      <c r="L15" s="119">
        <v>-120.60000000000001</v>
      </c>
      <c r="M15" s="117">
        <v>1574.1827160431983</v>
      </c>
      <c r="O15" s="73" t="s">
        <v>189</v>
      </c>
      <c r="P15" s="82">
        <f>IF(Q15=0,0,R15/Q15)</f>
        <v>8.7374999999999972</v>
      </c>
      <c r="Q15" s="76">
        <v>8</v>
      </c>
      <c r="R15" s="67">
        <v>69.899999999999977</v>
      </c>
    </row>
    <row r="16" spans="1:18" x14ac:dyDescent="0.4">
      <c r="A16" s="22" t="s">
        <v>121</v>
      </c>
      <c r="B16" s="15">
        <v>38</v>
      </c>
      <c r="C16" s="10">
        <f>IF(B$3=0,0,B16/B$3)</f>
        <v>0.35849056603773582</v>
      </c>
      <c r="E16" s="27" t="s">
        <v>81</v>
      </c>
      <c r="F16" s="24" t="s">
        <v>36</v>
      </c>
      <c r="G16" s="12">
        <v>1</v>
      </c>
      <c r="H16" s="88">
        <f>IF(B$20=0,0,G16/B$20)</f>
        <v>3.8461538461538464E-2</v>
      </c>
      <c r="I16" s="58">
        <v>2</v>
      </c>
      <c r="O16" s="74" t="s">
        <v>126</v>
      </c>
      <c r="P16" s="83">
        <f>IF(Q16=0,0,R16/Q16)</f>
        <v>-19.414285714285711</v>
      </c>
      <c r="Q16" s="77">
        <v>7</v>
      </c>
      <c r="R16" s="68">
        <v>-135.89999999999998</v>
      </c>
    </row>
    <row r="17" spans="1:18" x14ac:dyDescent="0.4">
      <c r="A17" s="19" t="s">
        <v>118</v>
      </c>
      <c r="B17" s="12">
        <v>20</v>
      </c>
      <c r="C17" s="6">
        <f>IF(B$3=0,0,B17/B$3)</f>
        <v>0.18867924528301888</v>
      </c>
      <c r="E17" s="27" t="s">
        <v>83</v>
      </c>
      <c r="F17" s="24" t="s">
        <v>38</v>
      </c>
      <c r="G17" s="12">
        <v>1</v>
      </c>
      <c r="H17" s="88">
        <f>IF(B$20=0,0,G17/B$20)</f>
        <v>3.8461538461538464E-2</v>
      </c>
      <c r="I17" s="58">
        <v>2</v>
      </c>
      <c r="O17" s="74" t="s">
        <v>187</v>
      </c>
      <c r="P17" s="83">
        <f>IF(Q17=0,0,R17/Q17)</f>
        <v>-26.890909090909091</v>
      </c>
      <c r="Q17" s="77">
        <v>11</v>
      </c>
      <c r="R17" s="68">
        <v>-295.8</v>
      </c>
    </row>
    <row r="18" spans="1:18" x14ac:dyDescent="0.4">
      <c r="A18" s="18" t="s">
        <v>123</v>
      </c>
      <c r="B18" s="11">
        <f>B24</f>
        <v>19</v>
      </c>
      <c r="C18" s="5">
        <f>IF(B$16=0,0,B18/B$16)</f>
        <v>0.5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4</v>
      </c>
    </row>
    <row r="19" spans="1:18" x14ac:dyDescent="0.4">
      <c r="A19" s="18" t="s">
        <v>124</v>
      </c>
      <c r="B19" s="11">
        <f>B25</f>
        <v>3</v>
      </c>
      <c r="C19" s="5">
        <f>IF(B$17=0,0,B19/B$17)</f>
        <v>0.15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18" x14ac:dyDescent="0.4">
      <c r="A20" s="18" t="s">
        <v>10</v>
      </c>
      <c r="B20" s="11">
        <f>B23+B22</f>
        <v>26</v>
      </c>
      <c r="C20" s="5">
        <f>IF(B$3=0,0,B20/B$3)</f>
        <v>0.24528301886792453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20</v>
      </c>
      <c r="C21" s="6">
        <f>IF(B$3=0,0,B21/B$3)</f>
        <v>0.18867924528301888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14</v>
      </c>
      <c r="C22" s="6">
        <f>IF(B$20=0,0,B22/B$20)</f>
        <v>0.53846153846153844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12</v>
      </c>
      <c r="C23" s="6">
        <f>IF(B$20=0,0,B23/B$20)</f>
        <v>0.46153846153846156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19</v>
      </c>
      <c r="C24" s="6">
        <f>IF(B$20=0,0,B24/B$20)</f>
        <v>0.73076923076923073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3</v>
      </c>
      <c r="C25" s="6">
        <f>IF(B$20=0,0,B25/B$20)</f>
        <v>0.11538461538461539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4</v>
      </c>
      <c r="C26" s="6">
        <f>IF(B$20=0,0,B26/B$20)</f>
        <v>0.15384615384615385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8669.2307692307695</v>
      </c>
      <c r="C27" s="8">
        <v>225400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8582.608695652174</v>
      </c>
      <c r="C28" s="96">
        <v>197400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9333.3333333333339</v>
      </c>
      <c r="C29" s="96">
        <v>28000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-8410</v>
      </c>
      <c r="C30" s="96">
        <v>-168200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156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17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31">
        <v>4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33">
        <v>59300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7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4</v>
      </c>
      <c r="C38" s="6">
        <f t="shared" si="2"/>
        <v>0.15384615384615385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8">
        <v>5</v>
      </c>
      <c r="C39" s="6">
        <f t="shared" si="2"/>
        <v>0.19230769230769232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8">
        <v>3</v>
      </c>
      <c r="C40" s="6">
        <f t="shared" si="2"/>
        <v>0.11538461538461539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8">
        <v>8</v>
      </c>
      <c r="C41" s="6">
        <f t="shared" si="2"/>
        <v>0.30769230769230771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8">
        <v>2</v>
      </c>
      <c r="C42" s="6">
        <f t="shared" si="2"/>
        <v>7.6923076923076927E-2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8">
        <v>2</v>
      </c>
      <c r="C43" s="6">
        <f t="shared" si="2"/>
        <v>7.6923076923076927E-2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8">
        <v>1</v>
      </c>
      <c r="C44" s="6">
        <f t="shared" si="2"/>
        <v>3.8461538461538464E-2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8">
        <v>1</v>
      </c>
      <c r="C45" s="6">
        <f t="shared" si="2"/>
        <v>3.8461538461538464E-2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1CDDE-BCF5-402C-A625-F7DB91614820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187</v>
      </c>
      <c r="C1" s="136"/>
      <c r="E1" s="104" t="s">
        <v>153</v>
      </c>
      <c r="F1" s="126" t="s">
        <v>115</v>
      </c>
      <c r="G1" s="125" t="s">
        <v>116</v>
      </c>
      <c r="H1" s="86" t="s">
        <v>117</v>
      </c>
      <c r="I1" s="126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7">
        <v>15</v>
      </c>
      <c r="C2" s="138"/>
      <c r="E2" s="26" t="s">
        <v>66</v>
      </c>
      <c r="F2" s="23" t="s">
        <v>22</v>
      </c>
      <c r="G2" s="11">
        <v>34</v>
      </c>
      <c r="H2" s="87">
        <f>IF(B$20=0,0,G2/B$20)</f>
        <v>0.75555555555555554</v>
      </c>
      <c r="I2" s="57">
        <v>2</v>
      </c>
      <c r="K2" s="73">
        <v>0</v>
      </c>
      <c r="L2" s="118">
        <v>0</v>
      </c>
      <c r="M2" s="116">
        <v>1463.3989422821498</v>
      </c>
      <c r="O2" s="73" t="s">
        <v>127</v>
      </c>
      <c r="P2" s="79">
        <f t="shared" ref="P2:P7" si="0">IF(Q2=0,0,R2/Q2)</f>
        <v>1526.6666666666667</v>
      </c>
      <c r="Q2" s="76">
        <v>15</v>
      </c>
      <c r="R2" s="63">
        <v>22900</v>
      </c>
    </row>
    <row r="3" spans="1:18" x14ac:dyDescent="0.4">
      <c r="A3" s="19" t="s">
        <v>8</v>
      </c>
      <c r="B3" s="139">
        <v>132</v>
      </c>
      <c r="C3" s="140"/>
      <c r="E3" s="27" t="s">
        <v>64</v>
      </c>
      <c r="F3" s="24" t="s">
        <v>20</v>
      </c>
      <c r="G3" s="12">
        <v>27</v>
      </c>
      <c r="H3" s="88">
        <f>IF(B$20=0,0,G3/B$20)</f>
        <v>0.6</v>
      </c>
      <c r="I3" s="58">
        <v>5</v>
      </c>
      <c r="K3" s="74">
        <v>1</v>
      </c>
      <c r="L3" s="119">
        <v>51.5</v>
      </c>
      <c r="M3" s="117">
        <v>1472.8885486284569</v>
      </c>
      <c r="O3" s="74" t="s">
        <v>128</v>
      </c>
      <c r="P3" s="80">
        <f t="shared" si="0"/>
        <v>-660</v>
      </c>
      <c r="Q3" s="77">
        <v>15</v>
      </c>
      <c r="R3" s="64">
        <v>-9900</v>
      </c>
    </row>
    <row r="4" spans="1:18" x14ac:dyDescent="0.4">
      <c r="A4" s="19" t="s">
        <v>6</v>
      </c>
      <c r="B4" s="141">
        <v>161.9</v>
      </c>
      <c r="C4" s="142"/>
      <c r="E4" s="27" t="s">
        <v>72</v>
      </c>
      <c r="F4" s="24" t="s">
        <v>27</v>
      </c>
      <c r="G4" s="12">
        <v>21</v>
      </c>
      <c r="H4" s="88">
        <f>IF(B$20=0,0,G4/B$20)</f>
        <v>0.46666666666666667</v>
      </c>
      <c r="I4" s="58">
        <v>1</v>
      </c>
      <c r="K4" s="74">
        <v>2</v>
      </c>
      <c r="L4" s="119">
        <v>21.3</v>
      </c>
      <c r="M4" s="117">
        <v>1468.4132173366861</v>
      </c>
      <c r="O4" s="74" t="s">
        <v>129</v>
      </c>
      <c r="P4" s="80">
        <f t="shared" si="0"/>
        <v>-273.33333333333331</v>
      </c>
      <c r="Q4" s="77">
        <v>15</v>
      </c>
      <c r="R4" s="64">
        <v>-4100</v>
      </c>
    </row>
    <row r="5" spans="1:18" x14ac:dyDescent="0.4">
      <c r="A5" s="19" t="s">
        <v>7</v>
      </c>
      <c r="B5" s="129">
        <f>IF(B$2=0,0,B$4/B$2)</f>
        <v>10.793333333333333</v>
      </c>
      <c r="C5" s="130"/>
      <c r="E5" s="27" t="s">
        <v>158</v>
      </c>
      <c r="F5" s="24" t="s">
        <v>159</v>
      </c>
      <c r="G5" s="12">
        <v>18</v>
      </c>
      <c r="H5" s="88">
        <f>IF(B$20=0,0,G5/B$20)</f>
        <v>0.4</v>
      </c>
      <c r="I5" s="58">
        <v>7</v>
      </c>
      <c r="K5" s="74">
        <v>3</v>
      </c>
      <c r="L5" s="119">
        <v>-34.299999999999997</v>
      </c>
      <c r="M5" s="117">
        <v>1458.7987380326661</v>
      </c>
      <c r="O5" s="74" t="s">
        <v>130</v>
      </c>
      <c r="P5" s="80">
        <f t="shared" si="0"/>
        <v>2400</v>
      </c>
      <c r="Q5" s="77">
        <v>15</v>
      </c>
      <c r="R5" s="64">
        <v>36000</v>
      </c>
    </row>
    <row r="6" spans="1:18" x14ac:dyDescent="0.4">
      <c r="A6" s="19" t="s">
        <v>192</v>
      </c>
      <c r="B6" s="133">
        <v>1503.6435003082349</v>
      </c>
      <c r="C6" s="134"/>
      <c r="E6" s="27" t="s">
        <v>68</v>
      </c>
      <c r="F6" s="24" t="s">
        <v>12</v>
      </c>
      <c r="G6" s="12">
        <v>14</v>
      </c>
      <c r="H6" s="88">
        <f>IF(B$20=0,0,G6/B$20)</f>
        <v>0.31111111111111112</v>
      </c>
      <c r="I6" s="58">
        <v>6</v>
      </c>
      <c r="K6" s="74">
        <v>4</v>
      </c>
      <c r="L6" s="119">
        <v>-34.9</v>
      </c>
      <c r="M6" s="117">
        <v>1459.80794560447</v>
      </c>
      <c r="O6" s="74" t="s">
        <v>131</v>
      </c>
      <c r="P6" s="80">
        <f t="shared" si="0"/>
        <v>-900</v>
      </c>
      <c r="Q6" s="77">
        <v>15</v>
      </c>
      <c r="R6" s="64">
        <v>-13500</v>
      </c>
    </row>
    <row r="7" spans="1:18" x14ac:dyDescent="0.4">
      <c r="A7" s="19" t="s">
        <v>1</v>
      </c>
      <c r="B7" s="143">
        <f>IF(B$2=0,0,(B$8*1+B$9*2+B$10*3)/B$2)</f>
        <v>1.8</v>
      </c>
      <c r="C7" s="144"/>
      <c r="E7" s="27" t="s">
        <v>65</v>
      </c>
      <c r="F7" s="24" t="s">
        <v>21</v>
      </c>
      <c r="G7" s="12">
        <v>9</v>
      </c>
      <c r="H7" s="88">
        <f>IF(B$20=0,0,G7/B$20)</f>
        <v>0.2</v>
      </c>
      <c r="I7" s="58">
        <v>2</v>
      </c>
      <c r="K7" s="74">
        <v>5</v>
      </c>
      <c r="L7" s="119">
        <v>-43.8</v>
      </c>
      <c r="M7" s="117">
        <v>1458.6570979308431</v>
      </c>
      <c r="O7" s="75" t="s">
        <v>132</v>
      </c>
      <c r="P7" s="81">
        <f t="shared" si="0"/>
        <v>2500</v>
      </c>
      <c r="Q7" s="78">
        <v>13</v>
      </c>
      <c r="R7" s="65">
        <v>32500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0.46666666666666667</v>
      </c>
      <c r="E8" s="27" t="s">
        <v>67</v>
      </c>
      <c r="F8" s="24" t="s">
        <v>23</v>
      </c>
      <c r="G8" s="12">
        <v>9</v>
      </c>
      <c r="H8" s="88">
        <f>IF(B$20=0,0,G8/B$20)</f>
        <v>0.2</v>
      </c>
      <c r="I8" s="58">
        <v>6</v>
      </c>
      <c r="K8" s="74">
        <v>6</v>
      </c>
      <c r="L8" s="119">
        <v>-42.4</v>
      </c>
      <c r="M8" s="117">
        <v>1460.039155343258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0.26666666666666666</v>
      </c>
      <c r="E9" s="27" t="s">
        <v>69</v>
      </c>
      <c r="F9" s="24" t="s">
        <v>24</v>
      </c>
      <c r="G9" s="12">
        <v>6</v>
      </c>
      <c r="H9" s="88">
        <f>IF(B$20=0,0,G9/B$20)</f>
        <v>0.13333333333333333</v>
      </c>
      <c r="I9" s="58">
        <v>5</v>
      </c>
      <c r="K9" s="74">
        <v>7</v>
      </c>
      <c r="L9" s="119">
        <v>-8.7999999999999972</v>
      </c>
      <c r="M9" s="117">
        <v>1466.5549204111985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4</v>
      </c>
      <c r="C10" s="7">
        <f t="shared" si="1"/>
        <v>0.26666666666666666</v>
      </c>
      <c r="E10" s="27" t="s">
        <v>71</v>
      </c>
      <c r="F10" s="24" t="s">
        <v>26</v>
      </c>
      <c r="G10" s="12">
        <v>5</v>
      </c>
      <c r="H10" s="88">
        <f>IF(B$20=0,0,G10/B$20)</f>
        <v>0.1111111111111111</v>
      </c>
      <c r="I10" s="58">
        <v>4</v>
      </c>
      <c r="K10" s="74">
        <v>8</v>
      </c>
      <c r="L10" s="119">
        <v>-0.99999999999999734</v>
      </c>
      <c r="M10" s="117">
        <v>1468.9275908887314</v>
      </c>
      <c r="O10" s="73" t="s">
        <v>150</v>
      </c>
      <c r="P10" s="82">
        <f>IF(Q10=0,0,R10/Q10)</f>
        <v>-30.2</v>
      </c>
      <c r="Q10" s="76">
        <v>1</v>
      </c>
      <c r="R10" s="67">
        <v>-30.2</v>
      </c>
    </row>
    <row r="11" spans="1:18" x14ac:dyDescent="0.4">
      <c r="A11" s="20" t="s">
        <v>183</v>
      </c>
      <c r="B11" s="109">
        <f>IF(B8=0,0,C11/B8)</f>
        <v>48.485714285714288</v>
      </c>
      <c r="C11" s="110">
        <v>339.40000000000003</v>
      </c>
      <c r="E11" s="27" t="s">
        <v>89</v>
      </c>
      <c r="F11" s="24" t="s">
        <v>44</v>
      </c>
      <c r="G11" s="12">
        <v>5</v>
      </c>
      <c r="H11" s="88">
        <f>IF(B$20=0,0,G11/B$20)</f>
        <v>0.1111111111111111</v>
      </c>
      <c r="I11" s="58">
        <v>4</v>
      </c>
      <c r="K11" s="74">
        <v>9</v>
      </c>
      <c r="L11" s="119">
        <v>60.4</v>
      </c>
      <c r="M11" s="117">
        <v>1481.0360253433989</v>
      </c>
      <c r="O11" s="74" t="s">
        <v>151</v>
      </c>
      <c r="P11" s="83">
        <f>IF(Q11=0,0,R11/Q11)</f>
        <v>6.6749999999999989</v>
      </c>
      <c r="Q11" s="77">
        <v>8</v>
      </c>
      <c r="R11" s="68">
        <v>53.399999999999991</v>
      </c>
    </row>
    <row r="12" spans="1:18" x14ac:dyDescent="0.4">
      <c r="A12" s="20" t="s">
        <v>184</v>
      </c>
      <c r="B12" s="109">
        <f>IF(B9=0,0,C12/B9)</f>
        <v>-7.4999999999999956E-2</v>
      </c>
      <c r="C12" s="110">
        <v>-0.29999999999999982</v>
      </c>
      <c r="E12" s="27" t="s">
        <v>70</v>
      </c>
      <c r="F12" s="24" t="s">
        <v>25</v>
      </c>
      <c r="G12" s="12">
        <v>4</v>
      </c>
      <c r="H12" s="88">
        <f>IF(B$20=0,0,G12/B$20)</f>
        <v>8.8888888888888892E-2</v>
      </c>
      <c r="I12" s="58">
        <v>6</v>
      </c>
      <c r="K12" s="74">
        <v>10</v>
      </c>
      <c r="L12" s="119">
        <v>14.399999999999999</v>
      </c>
      <c r="M12" s="117">
        <v>1473.6558091913384</v>
      </c>
      <c r="O12" s="75" t="s">
        <v>152</v>
      </c>
      <c r="P12" s="84">
        <f>IF(Q12=0,0,R12/Q12)</f>
        <v>23.116666666666664</v>
      </c>
      <c r="Q12" s="78">
        <v>6</v>
      </c>
      <c r="R12" s="69">
        <v>138.69999999999999</v>
      </c>
    </row>
    <row r="13" spans="1:18" x14ac:dyDescent="0.4">
      <c r="A13" s="20" t="s">
        <v>185</v>
      </c>
      <c r="B13" s="109">
        <f>IF(B10=0,0,C13/B10)</f>
        <v>-44.300000000000004</v>
      </c>
      <c r="C13" s="110">
        <v>-177.20000000000002</v>
      </c>
      <c r="E13" s="27" t="s">
        <v>83</v>
      </c>
      <c r="F13" s="24" t="s">
        <v>38</v>
      </c>
      <c r="G13" s="12">
        <v>3</v>
      </c>
      <c r="H13" s="88">
        <f>IF(B$20=0,0,G13/B$20)</f>
        <v>6.6666666666666666E-2</v>
      </c>
      <c r="I13" s="58">
        <v>1</v>
      </c>
      <c r="K13" s="74">
        <v>11</v>
      </c>
      <c r="L13" s="119">
        <v>45.7</v>
      </c>
      <c r="M13" s="117">
        <v>1480.3178743361905</v>
      </c>
      <c r="O13" s="103"/>
      <c r="P13" s="71"/>
      <c r="Q13" s="111"/>
      <c r="R13" s="71"/>
    </row>
    <row r="14" spans="1:18" x14ac:dyDescent="0.4">
      <c r="A14" s="20" t="s">
        <v>186</v>
      </c>
      <c r="B14" s="129">
        <f>AVERAGE(B11:B13)</f>
        <v>1.3702380952380935</v>
      </c>
      <c r="C14" s="130"/>
      <c r="E14" s="27" t="s">
        <v>81</v>
      </c>
      <c r="F14" s="24" t="s">
        <v>36</v>
      </c>
      <c r="G14" s="12">
        <v>2</v>
      </c>
      <c r="H14" s="88">
        <f>IF(B$20=0,0,G14/B$20)</f>
        <v>4.4444444444444446E-2</v>
      </c>
      <c r="I14" s="58">
        <v>1</v>
      </c>
      <c r="K14" s="74">
        <v>12</v>
      </c>
      <c r="L14" s="119">
        <v>115.3</v>
      </c>
      <c r="M14" s="117">
        <v>1493.1979670901733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6.6666666666666666E-2</v>
      </c>
      <c r="E15" s="27" t="s">
        <v>86</v>
      </c>
      <c r="F15" s="24" t="s">
        <v>41</v>
      </c>
      <c r="G15" s="12">
        <v>2</v>
      </c>
      <c r="H15" s="88">
        <f>IF(B$20=0,0,G15/B$20)</f>
        <v>4.4444444444444446E-2</v>
      </c>
      <c r="I15" s="58">
        <v>5</v>
      </c>
      <c r="K15" s="74">
        <v>13</v>
      </c>
      <c r="L15" s="119">
        <v>69.900000000000006</v>
      </c>
      <c r="M15" s="117">
        <v>1485.9547792876322</v>
      </c>
      <c r="O15" s="73" t="s">
        <v>162</v>
      </c>
      <c r="P15" s="82">
        <f>IF(Q15=0,0,R15/Q15)</f>
        <v>26.890909090909087</v>
      </c>
      <c r="Q15" s="76">
        <v>11</v>
      </c>
      <c r="R15" s="67">
        <v>295.79999999999995</v>
      </c>
    </row>
    <row r="16" spans="1:18" x14ac:dyDescent="0.4">
      <c r="A16" s="22" t="s">
        <v>121</v>
      </c>
      <c r="B16" s="15">
        <v>36</v>
      </c>
      <c r="C16" s="10">
        <f>IF(B$3=0,0,B16/B$3)</f>
        <v>0.27272727272727271</v>
      </c>
      <c r="E16" s="27" t="s">
        <v>73</v>
      </c>
      <c r="F16" s="24" t="s">
        <v>28</v>
      </c>
      <c r="G16" s="12">
        <v>1</v>
      </c>
      <c r="H16" s="88">
        <f>IF(B$20=0,0,G16/B$20)</f>
        <v>2.2222222222222223E-2</v>
      </c>
      <c r="I16" s="58">
        <v>4</v>
      </c>
      <c r="K16" s="74">
        <v>14</v>
      </c>
      <c r="L16" s="119">
        <v>114.80000000000001</v>
      </c>
      <c r="M16" s="117">
        <v>1494.9250506119063</v>
      </c>
      <c r="O16" s="74" t="s">
        <v>189</v>
      </c>
      <c r="P16" s="83">
        <f>IF(Q16=0,0,R16/Q16)</f>
        <v>14.15</v>
      </c>
      <c r="Q16" s="77">
        <v>10</v>
      </c>
      <c r="R16" s="68">
        <v>141.5</v>
      </c>
    </row>
    <row r="17" spans="1:18" x14ac:dyDescent="0.4">
      <c r="A17" s="19" t="s">
        <v>118</v>
      </c>
      <c r="B17" s="12">
        <v>31</v>
      </c>
      <c r="C17" s="6">
        <f>IF(B$3=0,0,B17/B$3)</f>
        <v>0.23484848484848486</v>
      </c>
      <c r="E17" s="27" t="s">
        <v>74</v>
      </c>
      <c r="F17" s="24" t="s">
        <v>29</v>
      </c>
      <c r="G17" s="12">
        <v>1</v>
      </c>
      <c r="H17" s="88">
        <f>IF(B$20=0,0,G17/B$20)</f>
        <v>2.2222222222222223E-2</v>
      </c>
      <c r="I17" s="58">
        <v>2</v>
      </c>
      <c r="K17" s="74">
        <v>15</v>
      </c>
      <c r="L17" s="119">
        <v>161.9</v>
      </c>
      <c r="M17" s="117">
        <v>1503.6435003082349</v>
      </c>
      <c r="O17" s="74" t="s">
        <v>126</v>
      </c>
      <c r="P17" s="83">
        <f>IF(Q17=0,0,R17/Q17)</f>
        <v>5.3777777777777782</v>
      </c>
      <c r="Q17" s="77">
        <v>9</v>
      </c>
      <c r="R17" s="68">
        <v>48.400000000000006</v>
      </c>
    </row>
    <row r="18" spans="1:18" x14ac:dyDescent="0.4">
      <c r="A18" s="18" t="s">
        <v>123</v>
      </c>
      <c r="B18" s="11">
        <f>B24</f>
        <v>26</v>
      </c>
      <c r="C18" s="5">
        <f>IF(B$16=0,0,B18/B$16)</f>
        <v>0.72222222222222221</v>
      </c>
      <c r="E18" s="27" t="s">
        <v>78</v>
      </c>
      <c r="F18" s="24" t="s">
        <v>33</v>
      </c>
      <c r="G18" s="12">
        <v>1</v>
      </c>
      <c r="H18" s="88">
        <f>IF(B$20=0,0,G18/B$20)</f>
        <v>2.2222222222222223E-2</v>
      </c>
      <c r="I18" s="58">
        <v>4</v>
      </c>
    </row>
    <row r="19" spans="1:18" x14ac:dyDescent="0.4">
      <c r="A19" s="18" t="s">
        <v>124</v>
      </c>
      <c r="B19" s="11">
        <f>B25</f>
        <v>10</v>
      </c>
      <c r="C19" s="5">
        <f>IF(B$17=0,0,B19/B$17)</f>
        <v>0.32258064516129031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18" x14ac:dyDescent="0.4">
      <c r="A20" s="18" t="s">
        <v>10</v>
      </c>
      <c r="B20" s="11">
        <f>B23+B22</f>
        <v>45</v>
      </c>
      <c r="C20" s="5">
        <f>IF(B$3=0,0,B20/B$3)</f>
        <v>0.34090909090909088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19</v>
      </c>
      <c r="C21" s="6">
        <f>IF(B$3=0,0,B21/B$3)</f>
        <v>0.14393939393939395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22</v>
      </c>
      <c r="C22" s="6">
        <f>IF(B$20=0,0,B22/B$20)</f>
        <v>0.48888888888888887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23</v>
      </c>
      <c r="C23" s="6">
        <f>IF(B$20=0,0,B23/B$20)</f>
        <v>0.51111111111111107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26</v>
      </c>
      <c r="C24" s="6">
        <f>IF(B$20=0,0,B24/B$20)</f>
        <v>0.57777777777777772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10</v>
      </c>
      <c r="C25" s="6">
        <f>IF(B$20=0,0,B25/B$20)</f>
        <v>0.22222222222222221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9</v>
      </c>
      <c r="C26" s="6">
        <f>IF(B$20=0,0,B26/B$20)</f>
        <v>0.2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7735.5555555555557</v>
      </c>
      <c r="C27" s="8">
        <v>348100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8117.1428571428569</v>
      </c>
      <c r="C28" s="96">
        <v>284100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6400</v>
      </c>
      <c r="C29" s="96">
        <v>64000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-7010.5263157894733</v>
      </c>
      <c r="C30" s="96">
        <v>-133200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156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15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31">
        <v>6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33">
        <v>84600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7">
        <v>5</v>
      </c>
      <c r="C37" s="98">
        <f t="shared" ref="C37:C49" si="2">IF(B$20=0,0,B37/B$20)</f>
        <v>0.1111111111111111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8</v>
      </c>
      <c r="C38" s="6">
        <f t="shared" si="2"/>
        <v>0.17777777777777778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8">
        <v>7</v>
      </c>
      <c r="C39" s="6">
        <f t="shared" si="2"/>
        <v>0.15555555555555556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8">
        <v>12</v>
      </c>
      <c r="C40" s="6">
        <f t="shared" si="2"/>
        <v>0.26666666666666666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8">
        <v>3</v>
      </c>
      <c r="C41" s="6">
        <f t="shared" si="2"/>
        <v>6.6666666666666666E-2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8">
        <v>4</v>
      </c>
      <c r="C42" s="6">
        <f t="shared" si="2"/>
        <v>8.8888888888888892E-2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8">
        <v>6</v>
      </c>
      <c r="C44" s="6">
        <f t="shared" si="2"/>
        <v>0.13333333333333333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B3BCD-D813-428B-A774-74A4881BF456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189</v>
      </c>
      <c r="C1" s="136"/>
      <c r="E1" s="104" t="s">
        <v>153</v>
      </c>
      <c r="F1" s="126" t="s">
        <v>115</v>
      </c>
      <c r="G1" s="125" t="s">
        <v>116</v>
      </c>
      <c r="H1" s="86" t="s">
        <v>117</v>
      </c>
      <c r="I1" s="126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7">
        <v>12</v>
      </c>
      <c r="C2" s="138"/>
      <c r="E2" s="26" t="s">
        <v>66</v>
      </c>
      <c r="F2" s="23" t="s">
        <v>22</v>
      </c>
      <c r="G2" s="11">
        <v>25</v>
      </c>
      <c r="H2" s="87">
        <f>IF(B$20=0,0,G2/B$20)</f>
        <v>0.83333333333333337</v>
      </c>
      <c r="I2" s="57">
        <v>1</v>
      </c>
      <c r="K2" s="73">
        <v>0</v>
      </c>
      <c r="L2" s="118">
        <v>0</v>
      </c>
      <c r="M2" s="116">
        <v>1546.9221135131666</v>
      </c>
      <c r="O2" s="73" t="s">
        <v>127</v>
      </c>
      <c r="P2" s="79">
        <f t="shared" ref="P2:P7" si="0">IF(Q2=0,0,R2/Q2)</f>
        <v>-2300</v>
      </c>
      <c r="Q2" s="76">
        <v>12</v>
      </c>
      <c r="R2" s="63">
        <v>-27600</v>
      </c>
    </row>
    <row r="3" spans="1:18" x14ac:dyDescent="0.4">
      <c r="A3" s="19" t="s">
        <v>8</v>
      </c>
      <c r="B3" s="139">
        <v>99</v>
      </c>
      <c r="C3" s="140"/>
      <c r="E3" s="27" t="s">
        <v>64</v>
      </c>
      <c r="F3" s="24" t="s">
        <v>20</v>
      </c>
      <c r="G3" s="12">
        <v>15</v>
      </c>
      <c r="H3" s="88">
        <f>IF(B$20=0,0,G3/B$20)</f>
        <v>0.5</v>
      </c>
      <c r="I3" s="58">
        <v>7</v>
      </c>
      <c r="K3" s="74">
        <v>1</v>
      </c>
      <c r="L3" s="119">
        <v>6.5</v>
      </c>
      <c r="M3" s="117">
        <v>1547.8105808320875</v>
      </c>
      <c r="O3" s="74" t="s">
        <v>128</v>
      </c>
      <c r="P3" s="80">
        <f t="shared" si="0"/>
        <v>1775</v>
      </c>
      <c r="Q3" s="77">
        <v>12</v>
      </c>
      <c r="R3" s="64">
        <v>21300</v>
      </c>
    </row>
    <row r="4" spans="1:18" x14ac:dyDescent="0.4">
      <c r="A4" s="19" t="s">
        <v>6</v>
      </c>
      <c r="B4" s="141">
        <v>-122.3</v>
      </c>
      <c r="C4" s="142"/>
      <c r="E4" s="27" t="s">
        <v>158</v>
      </c>
      <c r="F4" s="24" t="s">
        <v>159</v>
      </c>
      <c r="G4" s="12">
        <v>14</v>
      </c>
      <c r="H4" s="88">
        <f>IF(B$20=0,0,G4/B$20)</f>
        <v>0.46666666666666667</v>
      </c>
      <c r="I4" s="58">
        <v>4</v>
      </c>
      <c r="K4" s="74">
        <v>2</v>
      </c>
      <c r="L4" s="119">
        <v>5.9</v>
      </c>
      <c r="M4" s="117">
        <v>1548.2137173470949</v>
      </c>
      <c r="O4" s="74" t="s">
        <v>129</v>
      </c>
      <c r="P4" s="80">
        <f t="shared" si="0"/>
        <v>650</v>
      </c>
      <c r="Q4" s="77">
        <v>12</v>
      </c>
      <c r="R4" s="64">
        <v>7800</v>
      </c>
    </row>
    <row r="5" spans="1:18" x14ac:dyDescent="0.4">
      <c r="A5" s="19" t="s">
        <v>7</v>
      </c>
      <c r="B5" s="129">
        <f>IF(B$2=0,0,B$4/B$2)</f>
        <v>-10.191666666666666</v>
      </c>
      <c r="C5" s="130"/>
      <c r="E5" s="27" t="s">
        <v>68</v>
      </c>
      <c r="F5" s="24" t="s">
        <v>12</v>
      </c>
      <c r="G5" s="12">
        <v>12</v>
      </c>
      <c r="H5" s="88">
        <f>IF(B$20=0,0,G5/B$20)</f>
        <v>0.4</v>
      </c>
      <c r="I5" s="58">
        <v>3</v>
      </c>
      <c r="K5" s="74">
        <v>3</v>
      </c>
      <c r="L5" s="119">
        <v>17.200000000000003</v>
      </c>
      <c r="M5" s="117">
        <v>1550.1624350430122</v>
      </c>
      <c r="O5" s="74" t="s">
        <v>130</v>
      </c>
      <c r="P5" s="80">
        <f t="shared" si="0"/>
        <v>-2000</v>
      </c>
      <c r="Q5" s="77">
        <v>11</v>
      </c>
      <c r="R5" s="64">
        <v>-22000</v>
      </c>
    </row>
    <row r="6" spans="1:18" x14ac:dyDescent="0.4">
      <c r="A6" s="19" t="s">
        <v>192</v>
      </c>
      <c r="B6" s="133">
        <v>1527.8925102606049</v>
      </c>
      <c r="C6" s="134"/>
      <c r="E6" s="27" t="s">
        <v>72</v>
      </c>
      <c r="F6" s="24" t="s">
        <v>27</v>
      </c>
      <c r="G6" s="12">
        <v>9</v>
      </c>
      <c r="H6" s="88">
        <f>IF(B$20=0,0,G6/B$20)</f>
        <v>0.3</v>
      </c>
      <c r="I6" s="58">
        <v>6</v>
      </c>
      <c r="K6" s="74">
        <v>4</v>
      </c>
      <c r="L6" s="119">
        <v>-16.399999999999999</v>
      </c>
      <c r="M6" s="117">
        <v>1544.0234604327541</v>
      </c>
      <c r="O6" s="74" t="s">
        <v>131</v>
      </c>
      <c r="P6" s="80">
        <f t="shared" si="0"/>
        <v>-136.36363636363637</v>
      </c>
      <c r="Q6" s="77">
        <v>11</v>
      </c>
      <c r="R6" s="64">
        <v>-1500</v>
      </c>
    </row>
    <row r="7" spans="1:18" x14ac:dyDescent="0.4">
      <c r="A7" s="19" t="s">
        <v>1</v>
      </c>
      <c r="B7" s="143">
        <f>IF(B$2=0,0,(B$8*1+B$9*2+B$10*3)/B$2)</f>
        <v>2.25</v>
      </c>
      <c r="C7" s="144"/>
      <c r="E7" s="27" t="s">
        <v>65</v>
      </c>
      <c r="F7" s="24" t="s">
        <v>21</v>
      </c>
      <c r="G7" s="12">
        <v>3</v>
      </c>
      <c r="H7" s="88">
        <f>IF(B$20=0,0,G7/B$20)</f>
        <v>0.1</v>
      </c>
      <c r="I7" s="58">
        <v>7</v>
      </c>
      <c r="K7" s="74">
        <v>5</v>
      </c>
      <c r="L7" s="119">
        <v>-8.7999999999999989</v>
      </c>
      <c r="M7" s="117">
        <v>1545.3553196701575</v>
      </c>
      <c r="O7" s="75" t="s">
        <v>132</v>
      </c>
      <c r="P7" s="81">
        <f t="shared" si="0"/>
        <v>-3088.8888888888887</v>
      </c>
      <c r="Q7" s="78">
        <v>9</v>
      </c>
      <c r="R7" s="65">
        <v>-27800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0.16666666666666666</v>
      </c>
      <c r="E8" s="27" t="s">
        <v>67</v>
      </c>
      <c r="F8" s="24" t="s">
        <v>23</v>
      </c>
      <c r="G8" s="12">
        <v>3</v>
      </c>
      <c r="H8" s="88">
        <f>IF(B$20=0,0,G8/B$20)</f>
        <v>0.1</v>
      </c>
      <c r="I8" s="58">
        <v>7</v>
      </c>
      <c r="K8" s="74">
        <v>6</v>
      </c>
      <c r="L8" s="119">
        <v>22.1</v>
      </c>
      <c r="M8" s="117">
        <v>1551.4131877521365</v>
      </c>
      <c r="O8" s="107"/>
      <c r="P8" s="85"/>
      <c r="Q8" s="108"/>
      <c r="R8" s="70"/>
    </row>
    <row r="9" spans="1:18" x14ac:dyDescent="0.4">
      <c r="A9" s="19" t="s">
        <v>3</v>
      </c>
      <c r="B9" s="12">
        <v>5</v>
      </c>
      <c r="C9" s="6">
        <f t="shared" si="1"/>
        <v>0.41666666666666669</v>
      </c>
      <c r="E9" s="27" t="s">
        <v>69</v>
      </c>
      <c r="F9" s="24" t="s">
        <v>24</v>
      </c>
      <c r="G9" s="12">
        <v>3</v>
      </c>
      <c r="H9" s="88">
        <f>IF(B$20=0,0,G9/B$20)</f>
        <v>0.1</v>
      </c>
      <c r="I9" s="58">
        <v>7</v>
      </c>
      <c r="K9" s="74">
        <v>7</v>
      </c>
      <c r="L9" s="119">
        <v>68.900000000000006</v>
      </c>
      <c r="M9" s="117">
        <v>1560.3147086256238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6.6666666666666666E-2</v>
      </c>
      <c r="I10" s="58">
        <v>7</v>
      </c>
      <c r="K10" s="74">
        <v>8</v>
      </c>
      <c r="L10" s="119">
        <v>11.300000000000004</v>
      </c>
      <c r="M10" s="117">
        <v>1550.6048203738701</v>
      </c>
      <c r="O10" s="73" t="s">
        <v>150</v>
      </c>
      <c r="P10" s="82">
        <f>IF(Q10=0,0,R10/Q10)</f>
        <v>-19.7</v>
      </c>
      <c r="Q10" s="76">
        <v>5</v>
      </c>
      <c r="R10" s="67">
        <v>-98.5</v>
      </c>
    </row>
    <row r="11" spans="1:18" x14ac:dyDescent="0.4">
      <c r="A11" s="20" t="s">
        <v>183</v>
      </c>
      <c r="B11" s="109">
        <f>IF(B8=0,0,C11/B8)</f>
        <v>38.849999999999994</v>
      </c>
      <c r="C11" s="110">
        <v>77.699999999999989</v>
      </c>
      <c r="E11" s="27" t="s">
        <v>71</v>
      </c>
      <c r="F11" s="24" t="s">
        <v>26</v>
      </c>
      <c r="G11" s="12">
        <v>2</v>
      </c>
      <c r="H11" s="88">
        <f>IF(B$20=0,0,G11/B$20)</f>
        <v>6.6666666666666666E-2</v>
      </c>
      <c r="I11" s="58">
        <v>6</v>
      </c>
      <c r="K11" s="74">
        <v>9</v>
      </c>
      <c r="L11" s="119">
        <v>-47.599999999999994</v>
      </c>
      <c r="M11" s="117">
        <v>1539.933191451627</v>
      </c>
      <c r="O11" s="74" t="s">
        <v>151</v>
      </c>
      <c r="P11" s="83">
        <f>IF(Q11=0,0,R11/Q11)</f>
        <v>14.875</v>
      </c>
      <c r="Q11" s="77">
        <v>4</v>
      </c>
      <c r="R11" s="68">
        <v>59.5</v>
      </c>
    </row>
    <row r="12" spans="1:18" x14ac:dyDescent="0.4">
      <c r="A12" s="20" t="s">
        <v>184</v>
      </c>
      <c r="B12" s="109">
        <f>IF(B9=0,0,C12/B9)</f>
        <v>6.1000000000000005</v>
      </c>
      <c r="C12" s="110">
        <v>30.500000000000004</v>
      </c>
      <c r="E12" s="27" t="s">
        <v>78</v>
      </c>
      <c r="F12" s="24" t="s">
        <v>33</v>
      </c>
      <c r="G12" s="12">
        <v>2</v>
      </c>
      <c r="H12" s="88">
        <f>IF(B$20=0,0,G12/B$20)</f>
        <v>6.6666666666666666E-2</v>
      </c>
      <c r="I12" s="58">
        <v>2</v>
      </c>
      <c r="K12" s="74">
        <v>10</v>
      </c>
      <c r="L12" s="119">
        <v>-84.6</v>
      </c>
      <c r="M12" s="117">
        <v>1534.0295923029171</v>
      </c>
      <c r="O12" s="75" t="s">
        <v>152</v>
      </c>
      <c r="P12" s="84">
        <f>IF(Q12=0,0,R12/Q12)</f>
        <v>-27.766666666666666</v>
      </c>
      <c r="Q12" s="78">
        <v>3</v>
      </c>
      <c r="R12" s="69">
        <v>-83.3</v>
      </c>
    </row>
    <row r="13" spans="1:18" x14ac:dyDescent="0.4">
      <c r="A13" s="20" t="s">
        <v>185</v>
      </c>
      <c r="B13" s="109">
        <f>IF(B10=0,0,C13/B10)</f>
        <v>-46.1</v>
      </c>
      <c r="C13" s="110">
        <v>-230.5</v>
      </c>
      <c r="E13" s="27" t="s">
        <v>74</v>
      </c>
      <c r="F13" s="24" t="s">
        <v>29</v>
      </c>
      <c r="G13" s="12">
        <v>1</v>
      </c>
      <c r="H13" s="88">
        <f>IF(B$20=0,0,G13/B$20)</f>
        <v>3.3333333333333333E-2</v>
      </c>
      <c r="I13" s="58">
        <v>1</v>
      </c>
      <c r="K13" s="74">
        <v>11</v>
      </c>
      <c r="L13" s="119">
        <v>-128</v>
      </c>
      <c r="M13" s="117">
        <v>1526.8174147490995</v>
      </c>
      <c r="O13" s="103"/>
      <c r="P13" s="71"/>
      <c r="Q13" s="111"/>
      <c r="R13" s="71"/>
    </row>
    <row r="14" spans="1:18" x14ac:dyDescent="0.4">
      <c r="A14" s="20" t="s">
        <v>186</v>
      </c>
      <c r="B14" s="129">
        <f>AVERAGE(B11:B13)</f>
        <v>-0.38333333333333525</v>
      </c>
      <c r="C14" s="130"/>
      <c r="E14" s="27" t="s">
        <v>81</v>
      </c>
      <c r="F14" s="24" t="s">
        <v>36</v>
      </c>
      <c r="G14" s="12">
        <v>1</v>
      </c>
      <c r="H14" s="88">
        <f>IF(B$20=0,0,G14/B$20)</f>
        <v>3.3333333333333333E-2</v>
      </c>
      <c r="I14" s="58">
        <v>3</v>
      </c>
      <c r="K14" s="74">
        <v>12</v>
      </c>
      <c r="L14" s="119">
        <v>-122.3</v>
      </c>
      <c r="M14" s="117">
        <v>1527.8925102606049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86</v>
      </c>
      <c r="F15" s="24" t="s">
        <v>41</v>
      </c>
      <c r="G15" s="12">
        <v>1</v>
      </c>
      <c r="H15" s="88">
        <f>IF(B$20=0,0,G15/B$20)</f>
        <v>3.3333333333333333E-2</v>
      </c>
      <c r="I15" s="58">
        <v>6</v>
      </c>
      <c r="O15" s="73" t="s">
        <v>162</v>
      </c>
      <c r="P15" s="82">
        <f>IF(Q15=0,0,R15/Q15)</f>
        <v>-8.7374999999999972</v>
      </c>
      <c r="Q15" s="76">
        <v>8</v>
      </c>
      <c r="R15" s="67">
        <v>-69.899999999999977</v>
      </c>
    </row>
    <row r="16" spans="1:18" x14ac:dyDescent="0.4">
      <c r="A16" s="22" t="s">
        <v>121</v>
      </c>
      <c r="B16" s="15">
        <v>21</v>
      </c>
      <c r="C16" s="10">
        <f>IF(B$3=0,0,B16/B$3)</f>
        <v>0.21212121212121213</v>
      </c>
      <c r="E16" s="27" t="s">
        <v>94</v>
      </c>
      <c r="F16" s="24" t="s">
        <v>49</v>
      </c>
      <c r="G16" s="12">
        <v>1</v>
      </c>
      <c r="H16" s="88">
        <f>IF(B$20=0,0,G16/B$20)</f>
        <v>3.3333333333333333E-2</v>
      </c>
      <c r="I16" s="58">
        <v>1</v>
      </c>
      <c r="O16" s="74" t="s">
        <v>187</v>
      </c>
      <c r="P16" s="83">
        <f>IF(Q16=0,0,R16/Q16)</f>
        <v>-14.15</v>
      </c>
      <c r="Q16" s="77">
        <v>10</v>
      </c>
      <c r="R16" s="68">
        <v>-141.5</v>
      </c>
    </row>
    <row r="17" spans="1:18" x14ac:dyDescent="0.4">
      <c r="A17" s="19" t="s">
        <v>118</v>
      </c>
      <c r="B17" s="12">
        <v>16</v>
      </c>
      <c r="C17" s="6">
        <f>IF(B$3=0,0,B17/B$3)</f>
        <v>0.16161616161616163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O17" s="74" t="s">
        <v>126</v>
      </c>
      <c r="P17" s="83">
        <f>IF(Q17=0,0,R17/Q17)</f>
        <v>-25.916666666666668</v>
      </c>
      <c r="Q17" s="77">
        <v>6</v>
      </c>
      <c r="R17" s="68">
        <v>-155.5</v>
      </c>
    </row>
    <row r="18" spans="1:18" x14ac:dyDescent="0.4">
      <c r="A18" s="18" t="s">
        <v>123</v>
      </c>
      <c r="B18" s="11">
        <f>B24</f>
        <v>15</v>
      </c>
      <c r="C18" s="5">
        <f>IF(B$16=0,0,B18/B$16)</f>
        <v>0.7142857142857143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3</v>
      </c>
    </row>
    <row r="19" spans="1:18" x14ac:dyDescent="0.4">
      <c r="A19" s="18" t="s">
        <v>124</v>
      </c>
      <c r="B19" s="11">
        <f>B25</f>
        <v>3</v>
      </c>
      <c r="C19" s="5">
        <f>IF(B$17=0,0,B19/B$17)</f>
        <v>0.1875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3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0.30303030303030304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1</v>
      </c>
    </row>
    <row r="21" spans="1:18" x14ac:dyDescent="0.4">
      <c r="A21" s="19" t="s">
        <v>13</v>
      </c>
      <c r="B21" s="12">
        <v>15</v>
      </c>
      <c r="C21" s="6">
        <f>IF(B$3=0,0,B21/B$3)</f>
        <v>0.15151515151515152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12</v>
      </c>
      <c r="C22" s="6">
        <f>IF(B$20=0,0,B22/B$20)</f>
        <v>0.4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18</v>
      </c>
      <c r="C23" s="6">
        <f>IF(B$20=0,0,B23/B$20)</f>
        <v>0.6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15</v>
      </c>
      <c r="C24" s="6">
        <f>IF(B$20=0,0,B24/B$20)</f>
        <v>0.5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180</v>
      </c>
      <c r="B25" s="12">
        <v>3</v>
      </c>
      <c r="C25" s="6">
        <f>IF(B$20=0,0,B25/B$20)</f>
        <v>0.1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12</v>
      </c>
      <c r="C26" s="6">
        <f>IF(B$20=0,0,B26/B$20)</f>
        <v>0.4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7470</v>
      </c>
      <c r="C27" s="8">
        <v>224100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6637.0370370370374</v>
      </c>
      <c r="C28" s="96">
        <v>179200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14966.666666666666</v>
      </c>
      <c r="C29" s="96">
        <v>44900</v>
      </c>
      <c r="E29" s="27" t="s">
        <v>89</v>
      </c>
      <c r="F29" s="24" t="s">
        <v>44</v>
      </c>
      <c r="G29" s="12">
        <v>0</v>
      </c>
      <c r="H29" s="88">
        <f>IF(B$20=0,0,G29/B$20)</f>
        <v>0</v>
      </c>
      <c r="I29" s="58">
        <v>6</v>
      </c>
    </row>
    <row r="30" spans="1:18" x14ac:dyDescent="0.4">
      <c r="A30" s="20" t="s">
        <v>163</v>
      </c>
      <c r="B30" s="95">
        <f>IF(B$21=0,0,C30/B$21)</f>
        <v>-10940</v>
      </c>
      <c r="C30" s="96">
        <v>-164100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156</v>
      </c>
      <c r="B31" s="12">
        <v>4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13</v>
      </c>
      <c r="C32" s="90">
        <v>6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31">
        <v>6</v>
      </c>
      <c r="C33" s="132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33">
        <v>61800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7">
        <v>3</v>
      </c>
      <c r="C37" s="98">
        <f t="shared" ref="C37:C49" si="2">IF(B$20=0,0,B37/B$20)</f>
        <v>0.1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8</v>
      </c>
      <c r="C38" s="6">
        <f t="shared" si="2"/>
        <v>0.26666666666666666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8">
        <v>5</v>
      </c>
      <c r="C39" s="6">
        <f t="shared" si="2"/>
        <v>0.16666666666666666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8">
        <v>6</v>
      </c>
      <c r="C40" s="6">
        <f t="shared" si="2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8">
        <v>4</v>
      </c>
      <c r="C41" s="6">
        <f t="shared" si="2"/>
        <v>0.13333333333333333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8">
        <v>2</v>
      </c>
      <c r="C42" s="6">
        <f t="shared" si="2"/>
        <v>6.6666666666666666E-2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8">
        <v>1</v>
      </c>
      <c r="C43" s="6">
        <f t="shared" si="2"/>
        <v>3.3333333333333333E-2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8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3.3333333333333333E-2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1B3D5-6A7B-4C5C-9C19-010213A491C5}">
  <sheetPr codeName="Sheet18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6.5</v>
      </c>
      <c r="C4" s="30">
        <v>6.5</v>
      </c>
      <c r="D4" s="35">
        <v>2</v>
      </c>
      <c r="E4" s="31">
        <v>0</v>
      </c>
      <c r="F4" s="31">
        <v>0</v>
      </c>
      <c r="G4" s="31">
        <v>0.2</v>
      </c>
      <c r="H4" s="31">
        <v>0</v>
      </c>
      <c r="I4" s="32">
        <v>12000</v>
      </c>
      <c r="J4" s="32">
        <v>0</v>
      </c>
      <c r="K4" s="31">
        <v>0</v>
      </c>
      <c r="L4" s="31">
        <v>0.2</v>
      </c>
      <c r="M4" s="31">
        <v>0</v>
      </c>
      <c r="N4" s="31">
        <v>1</v>
      </c>
      <c r="O4" s="31">
        <v>0</v>
      </c>
      <c r="P4" s="31">
        <v>0</v>
      </c>
    </row>
    <row r="5" spans="1:17" x14ac:dyDescent="0.4">
      <c r="A5" s="33">
        <v>2</v>
      </c>
      <c r="B5" s="30">
        <v>5.9</v>
      </c>
      <c r="C5" s="30">
        <v>2.95</v>
      </c>
      <c r="D5" s="35">
        <v>2</v>
      </c>
      <c r="E5" s="31">
        <v>0</v>
      </c>
      <c r="F5" s="31">
        <v>0</v>
      </c>
      <c r="G5" s="31">
        <v>0.36363636363636365</v>
      </c>
      <c r="H5" s="31">
        <v>0.18181818181818182</v>
      </c>
      <c r="I5" s="32">
        <v>6950</v>
      </c>
      <c r="J5" s="32">
        <v>-7950</v>
      </c>
      <c r="K5" s="31">
        <v>0</v>
      </c>
      <c r="L5" s="31">
        <v>0.36363636363636365</v>
      </c>
      <c r="M5" s="31">
        <v>0</v>
      </c>
      <c r="N5" s="31">
        <v>1</v>
      </c>
      <c r="O5" s="31">
        <v>0</v>
      </c>
      <c r="P5" s="31">
        <v>0</v>
      </c>
    </row>
    <row r="6" spans="1:17" x14ac:dyDescent="0.4">
      <c r="A6" s="33">
        <v>3</v>
      </c>
      <c r="B6" s="30">
        <v>17.200000000000003</v>
      </c>
      <c r="C6" s="30">
        <v>5.7333333333333343</v>
      </c>
      <c r="D6" s="35">
        <v>2</v>
      </c>
      <c r="E6" s="31">
        <v>0</v>
      </c>
      <c r="F6" s="31">
        <v>0</v>
      </c>
      <c r="G6" s="31">
        <v>0.31818181818181818</v>
      </c>
      <c r="H6" s="31">
        <v>0.18181818181818182</v>
      </c>
      <c r="I6" s="32">
        <v>10114.285714285714</v>
      </c>
      <c r="J6" s="32">
        <v>-12975</v>
      </c>
      <c r="K6" s="31">
        <v>0</v>
      </c>
      <c r="L6" s="31">
        <v>0.31818181818181818</v>
      </c>
      <c r="M6" s="31">
        <v>0.13636363636363635</v>
      </c>
      <c r="N6" s="31">
        <v>0.7142857142857143</v>
      </c>
      <c r="O6" s="31">
        <v>0.33333333333333331</v>
      </c>
      <c r="P6" s="31">
        <v>0.14285714285714285</v>
      </c>
    </row>
    <row r="7" spans="1:17" x14ac:dyDescent="0.4">
      <c r="A7" s="33">
        <v>4</v>
      </c>
      <c r="B7" s="30">
        <v>-16.399999999999999</v>
      </c>
      <c r="C7" s="30">
        <v>-4.0999999999999996</v>
      </c>
      <c r="D7" s="35">
        <v>2.25</v>
      </c>
      <c r="E7" s="31">
        <v>0</v>
      </c>
      <c r="F7" s="31">
        <v>0.25</v>
      </c>
      <c r="G7" s="31">
        <v>0.32142857142857145</v>
      </c>
      <c r="H7" s="31">
        <v>0.17857142857142858</v>
      </c>
      <c r="I7" s="32">
        <v>8388.8888888888887</v>
      </c>
      <c r="J7" s="32">
        <v>-11980</v>
      </c>
      <c r="K7" s="31">
        <v>0</v>
      </c>
      <c r="L7" s="31">
        <v>0.32142857142857145</v>
      </c>
      <c r="M7" s="31">
        <v>0.14285714285714285</v>
      </c>
      <c r="N7" s="31">
        <v>0.66666666666666663</v>
      </c>
      <c r="O7" s="31">
        <v>0.25</v>
      </c>
      <c r="P7" s="31">
        <v>0.22222222222222221</v>
      </c>
    </row>
    <row r="8" spans="1:17" x14ac:dyDescent="0.4">
      <c r="A8" s="33">
        <v>5</v>
      </c>
      <c r="B8" s="30">
        <v>-8.7999999999999989</v>
      </c>
      <c r="C8" s="30">
        <v>-1.7599999999999998</v>
      </c>
      <c r="D8" s="35">
        <v>2.2000000000000002</v>
      </c>
      <c r="E8" s="31">
        <v>0</v>
      </c>
      <c r="F8" s="31">
        <v>0.2</v>
      </c>
      <c r="G8" s="31">
        <v>0.34285714285714286</v>
      </c>
      <c r="H8" s="31">
        <v>0.14285714285714285</v>
      </c>
      <c r="I8" s="32">
        <v>7841.666666666667</v>
      </c>
      <c r="J8" s="32">
        <v>-11980</v>
      </c>
      <c r="K8" s="31">
        <v>0</v>
      </c>
      <c r="L8" s="31">
        <v>0.31428571428571428</v>
      </c>
      <c r="M8" s="31">
        <v>0.11428571428571428</v>
      </c>
      <c r="N8" s="31">
        <v>0.72727272727272729</v>
      </c>
      <c r="O8" s="31">
        <v>0.25</v>
      </c>
      <c r="P8" s="31">
        <v>0.16666666666666666</v>
      </c>
    </row>
    <row r="9" spans="1:17" x14ac:dyDescent="0.4">
      <c r="A9" s="33">
        <v>6</v>
      </c>
      <c r="B9" s="30">
        <v>22.1</v>
      </c>
      <c r="C9" s="30">
        <v>3.6833333333333336</v>
      </c>
      <c r="D9" s="35">
        <v>2</v>
      </c>
      <c r="E9" s="31">
        <v>0.16666666666666666</v>
      </c>
      <c r="F9" s="31">
        <v>0.16666666666666666</v>
      </c>
      <c r="G9" s="31">
        <v>0.37777777777777777</v>
      </c>
      <c r="H9" s="31">
        <v>0.13333333333333333</v>
      </c>
      <c r="I9" s="32">
        <v>6805.8823529411766</v>
      </c>
      <c r="J9" s="32">
        <v>-10850</v>
      </c>
      <c r="K9" s="31">
        <v>0</v>
      </c>
      <c r="L9" s="31">
        <v>0.31111111111111112</v>
      </c>
      <c r="M9" s="31">
        <v>0.1111111111111111</v>
      </c>
      <c r="N9" s="31">
        <v>0.7142857142857143</v>
      </c>
      <c r="O9" s="31">
        <v>0.4</v>
      </c>
      <c r="P9" s="31">
        <v>0.23529411764705882</v>
      </c>
    </row>
    <row r="10" spans="1:17" x14ac:dyDescent="0.4">
      <c r="A10" s="33">
        <v>7</v>
      </c>
      <c r="B10" s="30">
        <v>68.900000000000006</v>
      </c>
      <c r="C10" s="30">
        <v>9.8428571428571434</v>
      </c>
      <c r="D10" s="35">
        <v>1.8571428571428572</v>
      </c>
      <c r="E10" s="31">
        <v>0.2857142857142857</v>
      </c>
      <c r="F10" s="31">
        <v>0.14285714285714285</v>
      </c>
      <c r="G10" s="31">
        <v>0.38983050847457629</v>
      </c>
      <c r="H10" s="31">
        <v>0.13559322033898305</v>
      </c>
      <c r="I10" s="32">
        <v>6869.565217391304</v>
      </c>
      <c r="J10" s="32">
        <v>-10637.5</v>
      </c>
      <c r="K10" s="31">
        <v>0</v>
      </c>
      <c r="L10" s="31">
        <v>0.23728813559322035</v>
      </c>
      <c r="M10" s="31">
        <v>0.13559322033898305</v>
      </c>
      <c r="N10" s="31">
        <v>0.7142857142857143</v>
      </c>
      <c r="O10" s="31">
        <v>0.375</v>
      </c>
      <c r="P10" s="31">
        <v>0.34782608695652173</v>
      </c>
    </row>
    <row r="11" spans="1:17" x14ac:dyDescent="0.4">
      <c r="A11" s="33">
        <v>8</v>
      </c>
      <c r="B11" s="30">
        <v>11.300000000000004</v>
      </c>
      <c r="C11" s="30">
        <v>1.4125000000000005</v>
      </c>
      <c r="D11" s="35">
        <v>2</v>
      </c>
      <c r="E11" s="31">
        <v>0.25</v>
      </c>
      <c r="F11" s="31">
        <v>0.25</v>
      </c>
      <c r="G11" s="31">
        <v>0.35384615384615387</v>
      </c>
      <c r="H11" s="31">
        <v>0.13846153846153847</v>
      </c>
      <c r="I11" s="32">
        <v>6869.565217391304</v>
      </c>
      <c r="J11" s="32">
        <v>-10344.444444444445</v>
      </c>
      <c r="K11" s="31">
        <v>0.125</v>
      </c>
      <c r="L11" s="31">
        <v>0.2153846153846154</v>
      </c>
      <c r="M11" s="31">
        <v>0.13846153846153847</v>
      </c>
      <c r="N11" s="31">
        <v>0.7142857142857143</v>
      </c>
      <c r="O11" s="31">
        <v>0.33333333333333331</v>
      </c>
      <c r="P11" s="31">
        <v>0.34782608695652173</v>
      </c>
    </row>
    <row r="12" spans="1:17" x14ac:dyDescent="0.4">
      <c r="A12" s="33">
        <v>9</v>
      </c>
      <c r="B12" s="30">
        <v>-47.599999999999994</v>
      </c>
      <c r="C12" s="30">
        <v>-5.2888888888888879</v>
      </c>
      <c r="D12" s="35">
        <v>2.1111111111111112</v>
      </c>
      <c r="E12" s="31">
        <v>0.22222222222222221</v>
      </c>
      <c r="F12" s="31">
        <v>0.33333333333333331</v>
      </c>
      <c r="G12" s="31">
        <v>0.31578947368421051</v>
      </c>
      <c r="H12" s="31">
        <v>0.13157894736842105</v>
      </c>
      <c r="I12" s="32">
        <v>6908.333333333333</v>
      </c>
      <c r="J12" s="32">
        <v>-10910</v>
      </c>
      <c r="K12" s="31">
        <v>0.22222222222222221</v>
      </c>
      <c r="L12" s="31">
        <v>0.21052631578947367</v>
      </c>
      <c r="M12" s="31">
        <v>0.14473684210526316</v>
      </c>
      <c r="N12" s="31">
        <v>0.6875</v>
      </c>
      <c r="O12" s="31">
        <v>0.27272727272727271</v>
      </c>
      <c r="P12" s="31">
        <v>0.375</v>
      </c>
    </row>
    <row r="13" spans="1:17" x14ac:dyDescent="0.4">
      <c r="A13" s="33">
        <v>10</v>
      </c>
      <c r="B13" s="30">
        <v>-84.6</v>
      </c>
      <c r="C13" s="30">
        <v>-8.4599999999999991</v>
      </c>
      <c r="D13" s="35">
        <v>2.2000000000000002</v>
      </c>
      <c r="E13" s="31">
        <v>0.2</v>
      </c>
      <c r="F13" s="31">
        <v>0.4</v>
      </c>
      <c r="G13" s="31">
        <v>0.29268292682926828</v>
      </c>
      <c r="H13" s="31">
        <v>0.14634146341463414</v>
      </c>
      <c r="I13" s="32">
        <v>6908.333333333333</v>
      </c>
      <c r="J13" s="32">
        <v>-10258.333333333334</v>
      </c>
      <c r="K13" s="31">
        <v>0.2</v>
      </c>
      <c r="L13" s="31">
        <v>0.2073170731707317</v>
      </c>
      <c r="M13" s="31">
        <v>0.15853658536585366</v>
      </c>
      <c r="N13" s="31">
        <v>0.6470588235294118</v>
      </c>
      <c r="O13" s="31">
        <v>0.23076923076923078</v>
      </c>
      <c r="P13" s="31">
        <v>0.375</v>
      </c>
    </row>
    <row r="14" spans="1:17" x14ac:dyDescent="0.4">
      <c r="A14" s="33">
        <v>11</v>
      </c>
      <c r="B14" s="30">
        <v>-128</v>
      </c>
      <c r="C14" s="30">
        <v>-11.636363636363637</v>
      </c>
      <c r="D14" s="35">
        <v>2.2727272727272729</v>
      </c>
      <c r="E14" s="31">
        <v>0.18181818181818182</v>
      </c>
      <c r="F14" s="31">
        <v>0.45454545454545453</v>
      </c>
      <c r="G14" s="31">
        <v>0.3</v>
      </c>
      <c r="H14" s="31">
        <v>0.15555555555555556</v>
      </c>
      <c r="I14" s="32">
        <v>7200</v>
      </c>
      <c r="J14" s="32">
        <v>-11650</v>
      </c>
      <c r="K14" s="31">
        <v>0.18181818181818182</v>
      </c>
      <c r="L14" s="31">
        <v>0.21111111111111111</v>
      </c>
      <c r="M14" s="31">
        <v>0.15555555555555556</v>
      </c>
      <c r="N14" s="31">
        <v>0.68421052631578949</v>
      </c>
      <c r="O14" s="31">
        <v>0.21428571428571427</v>
      </c>
      <c r="P14" s="31">
        <v>0.33333333333333331</v>
      </c>
    </row>
    <row r="15" spans="1:17" x14ac:dyDescent="0.4">
      <c r="A15" s="33">
        <v>12</v>
      </c>
      <c r="B15" s="30">
        <v>-122.3</v>
      </c>
      <c r="C15" s="30">
        <v>-10.191666666666666</v>
      </c>
      <c r="D15" s="35">
        <v>2.25</v>
      </c>
      <c r="E15" s="31">
        <v>0.16666666666666666</v>
      </c>
      <c r="F15" s="31">
        <v>0.41666666666666669</v>
      </c>
      <c r="G15" s="31">
        <v>0.30303030303030304</v>
      </c>
      <c r="H15" s="31">
        <v>0.15151515151515152</v>
      </c>
      <c r="I15" s="32">
        <v>7470</v>
      </c>
      <c r="J15" s="32">
        <v>-10940</v>
      </c>
      <c r="K15" s="31">
        <v>0.16666666666666666</v>
      </c>
      <c r="L15" s="31">
        <v>0.21212121212121213</v>
      </c>
      <c r="M15" s="31">
        <v>0.16161616161616163</v>
      </c>
      <c r="N15" s="31">
        <v>0.7142857142857143</v>
      </c>
      <c r="O15" s="31">
        <v>0.1875</v>
      </c>
      <c r="P15" s="31">
        <v>0.4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DF9E2-F6A2-4F8B-B8E6-5812AE6AD1A2}">
  <sheetPr codeName="Sheet16"/>
  <dimension ref="A1:Q1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187</v>
      </c>
      <c r="B1" s="34" t="s">
        <v>187</v>
      </c>
      <c r="C1" s="34" t="s">
        <v>187</v>
      </c>
      <c r="D1" s="35" t="s">
        <v>187</v>
      </c>
      <c r="E1" s="34" t="s">
        <v>187</v>
      </c>
      <c r="F1" s="34" t="s">
        <v>187</v>
      </c>
      <c r="G1" s="34" t="s">
        <v>187</v>
      </c>
      <c r="H1" s="34" t="s">
        <v>187</v>
      </c>
      <c r="I1" s="34" t="s">
        <v>187</v>
      </c>
      <c r="J1" s="34" t="s">
        <v>187</v>
      </c>
      <c r="K1" s="34" t="s">
        <v>187</v>
      </c>
      <c r="L1" s="34" t="s">
        <v>187</v>
      </c>
      <c r="M1" s="34" t="s">
        <v>187</v>
      </c>
      <c r="N1" s="34" t="s">
        <v>187</v>
      </c>
      <c r="O1" s="34" t="s">
        <v>187</v>
      </c>
      <c r="P1" s="34" t="s">
        <v>187</v>
      </c>
      <c r="Q1" s="34" t="s">
        <v>187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51.5</v>
      </c>
      <c r="C4" s="30">
        <v>51.5</v>
      </c>
      <c r="D4" s="35">
        <v>1</v>
      </c>
      <c r="E4" s="31">
        <v>1</v>
      </c>
      <c r="F4" s="31">
        <v>0</v>
      </c>
      <c r="G4" s="31">
        <v>0.6</v>
      </c>
      <c r="H4" s="31">
        <v>0</v>
      </c>
      <c r="I4" s="32">
        <v>9333.3333333333339</v>
      </c>
      <c r="J4" s="32">
        <v>0</v>
      </c>
      <c r="K4" s="31">
        <v>0</v>
      </c>
      <c r="L4" s="31">
        <v>0.4</v>
      </c>
      <c r="M4" s="31">
        <v>0.2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21.3</v>
      </c>
      <c r="C5" s="30">
        <v>10.65</v>
      </c>
      <c r="D5" s="35">
        <v>2</v>
      </c>
      <c r="E5" s="31">
        <v>0.5</v>
      </c>
      <c r="F5" s="31">
        <v>0.5</v>
      </c>
      <c r="G5" s="31">
        <v>0.36363636363636365</v>
      </c>
      <c r="H5" s="31">
        <v>0.18181818181818182</v>
      </c>
      <c r="I5" s="32">
        <v>8000</v>
      </c>
      <c r="J5" s="32">
        <v>-6600</v>
      </c>
      <c r="K5" s="31">
        <v>0</v>
      </c>
      <c r="L5" s="31">
        <v>0.36363636363636365</v>
      </c>
      <c r="M5" s="31">
        <v>0.36363636363636365</v>
      </c>
      <c r="N5" s="31">
        <v>0.75</v>
      </c>
      <c r="O5" s="31">
        <v>0</v>
      </c>
      <c r="P5" s="31">
        <v>0.5</v>
      </c>
    </row>
    <row r="6" spans="1:17" x14ac:dyDescent="0.4">
      <c r="A6" s="33">
        <v>3</v>
      </c>
      <c r="B6" s="30">
        <v>-34.299999999999997</v>
      </c>
      <c r="C6" s="30">
        <v>-11.433333333333332</v>
      </c>
      <c r="D6" s="35">
        <v>2.3333333333333335</v>
      </c>
      <c r="E6" s="31">
        <v>0.33333333333333331</v>
      </c>
      <c r="F6" s="31">
        <v>0.66666666666666663</v>
      </c>
      <c r="G6" s="31">
        <v>0.31818181818181818</v>
      </c>
      <c r="H6" s="31">
        <v>0.18181818181818182</v>
      </c>
      <c r="I6" s="32">
        <v>5914.2857142857147</v>
      </c>
      <c r="J6" s="32">
        <v>-13300</v>
      </c>
      <c r="K6" s="31">
        <v>0.33333333333333331</v>
      </c>
      <c r="L6" s="31">
        <v>0.36363636363636365</v>
      </c>
      <c r="M6" s="31">
        <v>0.22727272727272727</v>
      </c>
      <c r="N6" s="31">
        <v>0.625</v>
      </c>
      <c r="O6" s="31">
        <v>0</v>
      </c>
      <c r="P6" s="31">
        <v>0.5714285714285714</v>
      </c>
    </row>
    <row r="7" spans="1:17" x14ac:dyDescent="0.4">
      <c r="A7" s="33">
        <v>4</v>
      </c>
      <c r="B7" s="30">
        <v>-34.9</v>
      </c>
      <c r="C7" s="30">
        <v>-8.7249999999999996</v>
      </c>
      <c r="D7" s="35">
        <v>2.25</v>
      </c>
      <c r="E7" s="31">
        <v>0.25</v>
      </c>
      <c r="F7" s="31">
        <v>0.5</v>
      </c>
      <c r="G7" s="31">
        <v>0.32142857142857145</v>
      </c>
      <c r="H7" s="31">
        <v>0.21428571428571427</v>
      </c>
      <c r="I7" s="32">
        <v>5777.7777777777774</v>
      </c>
      <c r="J7" s="32">
        <v>-10366.666666666666</v>
      </c>
      <c r="K7" s="31">
        <v>0.25</v>
      </c>
      <c r="L7" s="31">
        <v>0.39285714285714285</v>
      </c>
      <c r="M7" s="31">
        <v>0.25</v>
      </c>
      <c r="N7" s="31">
        <v>0.63636363636363635</v>
      </c>
      <c r="O7" s="31">
        <v>0</v>
      </c>
      <c r="P7" s="31">
        <v>0.44444444444444442</v>
      </c>
    </row>
    <row r="8" spans="1:17" x14ac:dyDescent="0.4">
      <c r="A8" s="33">
        <v>5</v>
      </c>
      <c r="B8" s="30">
        <v>-43.8</v>
      </c>
      <c r="C8" s="30">
        <v>-8.76</v>
      </c>
      <c r="D8" s="35">
        <v>2.2000000000000002</v>
      </c>
      <c r="E8" s="31">
        <v>0.2</v>
      </c>
      <c r="F8" s="31">
        <v>0.4</v>
      </c>
      <c r="G8" s="31">
        <v>0.29411764705882354</v>
      </c>
      <c r="H8" s="31">
        <v>0.23529411764705882</v>
      </c>
      <c r="I8" s="32">
        <v>6000</v>
      </c>
      <c r="J8" s="32">
        <v>-8425</v>
      </c>
      <c r="K8" s="31">
        <v>0.2</v>
      </c>
      <c r="L8" s="31">
        <v>0.35294117647058826</v>
      </c>
      <c r="M8" s="31">
        <v>0.23529411764705882</v>
      </c>
      <c r="N8" s="31">
        <v>0.66666666666666663</v>
      </c>
      <c r="O8" s="31">
        <v>0</v>
      </c>
      <c r="P8" s="31">
        <v>0.4</v>
      </c>
    </row>
    <row r="9" spans="1:17" x14ac:dyDescent="0.4">
      <c r="A9" s="33">
        <v>6</v>
      </c>
      <c r="B9" s="30">
        <v>-42.4</v>
      </c>
      <c r="C9" s="30">
        <v>-7.0666666666666664</v>
      </c>
      <c r="D9" s="35">
        <v>2.1666666666666665</v>
      </c>
      <c r="E9" s="31">
        <v>0.16666666666666666</v>
      </c>
      <c r="F9" s="31">
        <v>0.33333333333333331</v>
      </c>
      <c r="G9" s="31">
        <v>0.32558139534883723</v>
      </c>
      <c r="H9" s="31">
        <v>0.18604651162790697</v>
      </c>
      <c r="I9" s="32">
        <v>5814.2857142857147</v>
      </c>
      <c r="J9" s="32">
        <v>-8425</v>
      </c>
      <c r="K9" s="31">
        <v>0.16666666666666666</v>
      </c>
      <c r="L9" s="31">
        <v>0.32558139534883723</v>
      </c>
      <c r="M9" s="31">
        <v>0.20930232558139536</v>
      </c>
      <c r="N9" s="31">
        <v>0.7142857142857143</v>
      </c>
      <c r="O9" s="31">
        <v>0.1111111111111111</v>
      </c>
      <c r="P9" s="31">
        <v>0.2857142857142857</v>
      </c>
    </row>
    <row r="10" spans="1:17" x14ac:dyDescent="0.4">
      <c r="A10" s="33">
        <v>7</v>
      </c>
      <c r="B10" s="30">
        <v>-8.7999999999999972</v>
      </c>
      <c r="C10" s="30">
        <v>-1.2571428571428567</v>
      </c>
      <c r="D10" s="35">
        <v>2</v>
      </c>
      <c r="E10" s="31">
        <v>0.2857142857142857</v>
      </c>
      <c r="F10" s="31">
        <v>0.2857142857142857</v>
      </c>
      <c r="G10" s="31">
        <v>0.34</v>
      </c>
      <c r="H10" s="31">
        <v>0.2</v>
      </c>
      <c r="I10" s="32">
        <v>6335.2941176470586</v>
      </c>
      <c r="J10" s="32">
        <v>-7800</v>
      </c>
      <c r="K10" s="31">
        <v>0.14285714285714285</v>
      </c>
      <c r="L10" s="31">
        <v>0.34</v>
      </c>
      <c r="M10" s="31">
        <v>0.26</v>
      </c>
      <c r="N10" s="31">
        <v>0.6470588235294118</v>
      </c>
      <c r="O10" s="31">
        <v>0.23076923076923078</v>
      </c>
      <c r="P10" s="31">
        <v>0.41176470588235292</v>
      </c>
    </row>
    <row r="11" spans="1:17" x14ac:dyDescent="0.4">
      <c r="A11" s="33">
        <v>8</v>
      </c>
      <c r="B11" s="30">
        <v>-0.99999999999999734</v>
      </c>
      <c r="C11" s="30">
        <v>-0.12499999999999967</v>
      </c>
      <c r="D11" s="35">
        <v>2</v>
      </c>
      <c r="E11" s="31">
        <v>0.25</v>
      </c>
      <c r="F11" s="31">
        <v>0.25</v>
      </c>
      <c r="G11" s="31">
        <v>0.33333333333333331</v>
      </c>
      <c r="H11" s="31">
        <v>0.2</v>
      </c>
      <c r="I11" s="32">
        <v>6205</v>
      </c>
      <c r="J11" s="32">
        <v>-6716.666666666667</v>
      </c>
      <c r="K11" s="31">
        <v>0.125</v>
      </c>
      <c r="L11" s="31">
        <v>0.33333333333333331</v>
      </c>
      <c r="M11" s="31">
        <v>0.23333333333333334</v>
      </c>
      <c r="N11" s="31">
        <v>0.7</v>
      </c>
      <c r="O11" s="31">
        <v>0.21428571428571427</v>
      </c>
      <c r="P11" s="31">
        <v>0.35</v>
      </c>
    </row>
    <row r="12" spans="1:17" x14ac:dyDescent="0.4">
      <c r="A12" s="33">
        <v>9</v>
      </c>
      <c r="B12" s="30">
        <v>60.4</v>
      </c>
      <c r="C12" s="30">
        <v>6.7111111111111112</v>
      </c>
      <c r="D12" s="35">
        <v>1.8888888888888888</v>
      </c>
      <c r="E12" s="31">
        <v>0.33333333333333331</v>
      </c>
      <c r="F12" s="31">
        <v>0.22222222222222221</v>
      </c>
      <c r="G12" s="31">
        <v>0.36619718309859156</v>
      </c>
      <c r="H12" s="31">
        <v>0.18309859154929578</v>
      </c>
      <c r="I12" s="32">
        <v>6861.5384615384619</v>
      </c>
      <c r="J12" s="32">
        <v>-7123.0769230769229</v>
      </c>
      <c r="K12" s="31">
        <v>0.1111111111111111</v>
      </c>
      <c r="L12" s="31">
        <v>0.3380281690140845</v>
      </c>
      <c r="M12" s="31">
        <v>0.23943661971830985</v>
      </c>
      <c r="N12" s="31">
        <v>0.70833333333333337</v>
      </c>
      <c r="O12" s="31">
        <v>0.29411764705882354</v>
      </c>
      <c r="P12" s="31">
        <v>0.42307692307692307</v>
      </c>
    </row>
    <row r="13" spans="1:17" x14ac:dyDescent="0.4">
      <c r="A13" s="33">
        <v>10</v>
      </c>
      <c r="B13" s="30">
        <v>14.399999999999999</v>
      </c>
      <c r="C13" s="30">
        <v>1.44</v>
      </c>
      <c r="D13" s="35">
        <v>2</v>
      </c>
      <c r="E13" s="31">
        <v>0.3</v>
      </c>
      <c r="F13" s="31">
        <v>0.3</v>
      </c>
      <c r="G13" s="31">
        <v>0.32941176470588235</v>
      </c>
      <c r="H13" s="31">
        <v>0.17647058823529413</v>
      </c>
      <c r="I13" s="32">
        <v>6842.8571428571431</v>
      </c>
      <c r="J13" s="32">
        <v>-7613.333333333333</v>
      </c>
      <c r="K13" s="31">
        <v>0.1</v>
      </c>
      <c r="L13" s="31">
        <v>0.30588235294117649</v>
      </c>
      <c r="M13" s="31">
        <v>0.22352941176470589</v>
      </c>
      <c r="N13" s="31">
        <v>0.69230769230769229</v>
      </c>
      <c r="O13" s="31">
        <v>0.31578947368421051</v>
      </c>
      <c r="P13" s="31">
        <v>0.39285714285714285</v>
      </c>
    </row>
    <row r="14" spans="1:17" x14ac:dyDescent="0.4">
      <c r="A14" s="33">
        <v>11</v>
      </c>
      <c r="B14" s="30">
        <v>45.7</v>
      </c>
      <c r="C14" s="30">
        <v>4.1545454545454552</v>
      </c>
      <c r="D14" s="35">
        <v>1.9090909090909092</v>
      </c>
      <c r="E14" s="31">
        <v>0.36363636363636365</v>
      </c>
      <c r="F14" s="31">
        <v>0.27272727272727271</v>
      </c>
      <c r="G14" s="31">
        <v>0.33333333333333331</v>
      </c>
      <c r="H14" s="31">
        <v>0.16666666666666666</v>
      </c>
      <c r="I14" s="32">
        <v>6690.625</v>
      </c>
      <c r="J14" s="32">
        <v>-7537.5</v>
      </c>
      <c r="K14" s="31">
        <v>9.0909090909090912E-2</v>
      </c>
      <c r="L14" s="31">
        <v>0.32291666666666669</v>
      </c>
      <c r="M14" s="31">
        <v>0.20833333333333334</v>
      </c>
      <c r="N14" s="31">
        <v>0.67741935483870963</v>
      </c>
      <c r="O14" s="31">
        <v>0.3</v>
      </c>
      <c r="P14" s="31">
        <v>0.375</v>
      </c>
    </row>
    <row r="15" spans="1:17" x14ac:dyDescent="0.4">
      <c r="A15" s="33">
        <v>12</v>
      </c>
      <c r="B15" s="30">
        <v>115.3</v>
      </c>
      <c r="C15" s="30">
        <v>9.6083333333333325</v>
      </c>
      <c r="D15" s="35">
        <v>1.8333333333333333</v>
      </c>
      <c r="E15" s="31">
        <v>0.41666666666666669</v>
      </c>
      <c r="F15" s="31">
        <v>0.25</v>
      </c>
      <c r="G15" s="31">
        <v>0.35514018691588783</v>
      </c>
      <c r="H15" s="31">
        <v>0.14953271028037382</v>
      </c>
      <c r="I15" s="32">
        <v>7205.2631578947367</v>
      </c>
      <c r="J15" s="32">
        <v>-7537.5</v>
      </c>
      <c r="K15" s="31">
        <v>8.3333333333333329E-2</v>
      </c>
      <c r="L15" s="31">
        <v>0.31775700934579437</v>
      </c>
      <c r="M15" s="31">
        <v>0.23364485981308411</v>
      </c>
      <c r="N15" s="31">
        <v>0.70588235294117652</v>
      </c>
      <c r="O15" s="31">
        <v>0.36</v>
      </c>
      <c r="P15" s="31">
        <v>0.44736842105263158</v>
      </c>
    </row>
    <row r="16" spans="1:17" x14ac:dyDescent="0.4">
      <c r="A16" s="33">
        <v>13</v>
      </c>
      <c r="B16" s="30">
        <v>69.900000000000006</v>
      </c>
      <c r="C16" s="30">
        <v>5.3769230769230774</v>
      </c>
      <c r="D16" s="35">
        <v>1.9230769230769231</v>
      </c>
      <c r="E16" s="31">
        <v>0.38461538461538464</v>
      </c>
      <c r="F16" s="31">
        <v>0.30769230769230771</v>
      </c>
      <c r="G16" s="31">
        <v>0.33913043478260868</v>
      </c>
      <c r="H16" s="31">
        <v>0.15652173913043479</v>
      </c>
      <c r="I16" s="32">
        <v>7156.4102564102568</v>
      </c>
      <c r="J16" s="32">
        <v>-7255.5555555555557</v>
      </c>
      <c r="K16" s="31">
        <v>7.6923076923076927E-2</v>
      </c>
      <c r="L16" s="31">
        <v>0.29565217391304349</v>
      </c>
      <c r="M16" s="31">
        <v>0.24347826086956523</v>
      </c>
      <c r="N16" s="31">
        <v>0.70588235294117652</v>
      </c>
      <c r="O16" s="31">
        <v>0.32142857142857145</v>
      </c>
      <c r="P16" s="31">
        <v>0.46153846153846156</v>
      </c>
    </row>
    <row r="17" spans="1:16" x14ac:dyDescent="0.4">
      <c r="A17" s="33">
        <v>14</v>
      </c>
      <c r="B17" s="30">
        <v>114.80000000000001</v>
      </c>
      <c r="C17" s="30">
        <v>8.2000000000000011</v>
      </c>
      <c r="D17" s="35">
        <v>1.8571428571428572</v>
      </c>
      <c r="E17" s="31">
        <v>0.42857142857142855</v>
      </c>
      <c r="F17" s="31">
        <v>0.2857142857142857</v>
      </c>
      <c r="G17" s="31">
        <v>0.33333333333333331</v>
      </c>
      <c r="H17" s="31">
        <v>0.15447154471544716</v>
      </c>
      <c r="I17" s="32">
        <v>7392.6829268292686</v>
      </c>
      <c r="J17" s="32">
        <v>-7010.5263157894733</v>
      </c>
      <c r="K17" s="31">
        <v>7.1428571428571425E-2</v>
      </c>
      <c r="L17" s="31">
        <v>0.28455284552845528</v>
      </c>
      <c r="M17" s="31">
        <v>0.23577235772357724</v>
      </c>
      <c r="N17" s="31">
        <v>0.7142857142857143</v>
      </c>
      <c r="O17" s="31">
        <v>0.31034482758620691</v>
      </c>
      <c r="P17" s="31">
        <v>0.48780487804878048</v>
      </c>
    </row>
    <row r="18" spans="1:16" x14ac:dyDescent="0.4">
      <c r="A18" s="33">
        <v>15</v>
      </c>
      <c r="B18" s="30">
        <v>161.9</v>
      </c>
      <c r="C18" s="30">
        <v>10.793333333333333</v>
      </c>
      <c r="D18" s="35">
        <v>1.8</v>
      </c>
      <c r="E18" s="31">
        <v>0.46666666666666667</v>
      </c>
      <c r="F18" s="31">
        <v>0.26666666666666666</v>
      </c>
      <c r="G18" s="31">
        <v>0.34090909090909088</v>
      </c>
      <c r="H18" s="31">
        <v>0.14393939393939395</v>
      </c>
      <c r="I18" s="32">
        <v>7735.5555555555557</v>
      </c>
      <c r="J18" s="32">
        <v>-7010.5263157894733</v>
      </c>
      <c r="K18" s="31">
        <v>6.6666666666666666E-2</v>
      </c>
      <c r="L18" s="31">
        <v>0.27272727272727271</v>
      </c>
      <c r="M18" s="31">
        <v>0.23484848484848486</v>
      </c>
      <c r="N18" s="31">
        <v>0.72222222222222221</v>
      </c>
      <c r="O18" s="31">
        <v>0.32258064516129031</v>
      </c>
      <c r="P18" s="31">
        <v>0.48888888888888887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8E22-1815-4A21-BA17-66AA4C47055C}">
  <sheetPr codeName="Sheet14"/>
  <dimension ref="A1:Q1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162</v>
      </c>
      <c r="B1" s="34" t="s">
        <v>162</v>
      </c>
      <c r="C1" s="34" t="s">
        <v>162</v>
      </c>
      <c r="D1" s="35" t="s">
        <v>162</v>
      </c>
      <c r="E1" s="34" t="s">
        <v>162</v>
      </c>
      <c r="F1" s="34" t="s">
        <v>162</v>
      </c>
      <c r="G1" s="34" t="s">
        <v>162</v>
      </c>
      <c r="H1" s="34" t="s">
        <v>162</v>
      </c>
      <c r="I1" s="34" t="s">
        <v>162</v>
      </c>
      <c r="J1" s="34" t="s">
        <v>162</v>
      </c>
      <c r="K1" s="34" t="s">
        <v>162</v>
      </c>
      <c r="L1" s="34" t="s">
        <v>162</v>
      </c>
      <c r="M1" s="34" t="s">
        <v>162</v>
      </c>
      <c r="N1" s="34" t="s">
        <v>162</v>
      </c>
      <c r="O1" s="34" t="s">
        <v>162</v>
      </c>
      <c r="P1" s="34" t="s">
        <v>162</v>
      </c>
      <c r="Q1" s="34" t="s">
        <v>162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-58</v>
      </c>
      <c r="C4" s="30">
        <v>-58</v>
      </c>
      <c r="D4" s="35">
        <v>3</v>
      </c>
      <c r="E4" s="31">
        <v>0</v>
      </c>
      <c r="F4" s="31">
        <v>1</v>
      </c>
      <c r="G4" s="31">
        <v>0</v>
      </c>
      <c r="H4" s="31">
        <v>0.6</v>
      </c>
      <c r="I4" s="32">
        <v>0</v>
      </c>
      <c r="J4" s="32">
        <v>-12000</v>
      </c>
      <c r="K4" s="31">
        <v>1</v>
      </c>
      <c r="L4" s="31">
        <v>0.2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-13.700000000000003</v>
      </c>
      <c r="C5" s="30">
        <v>-6.8500000000000014</v>
      </c>
      <c r="D5" s="35">
        <v>2</v>
      </c>
      <c r="E5" s="31">
        <v>0.5</v>
      </c>
      <c r="F5" s="31">
        <v>0.5</v>
      </c>
      <c r="G5" s="31">
        <v>0.125</v>
      </c>
      <c r="H5" s="31">
        <v>0.25</v>
      </c>
      <c r="I5" s="32">
        <v>18000</v>
      </c>
      <c r="J5" s="32">
        <v>-10300</v>
      </c>
      <c r="K5" s="31">
        <v>0.5</v>
      </c>
      <c r="L5" s="31">
        <v>0.25</v>
      </c>
      <c r="M5" s="31">
        <v>0.1875</v>
      </c>
      <c r="N5" s="31">
        <v>0.5</v>
      </c>
      <c r="O5" s="31">
        <v>0</v>
      </c>
      <c r="P5" s="31">
        <v>0</v>
      </c>
    </row>
    <row r="6" spans="1:17" x14ac:dyDescent="0.4">
      <c r="A6" s="33">
        <v>3</v>
      </c>
      <c r="B6" s="30">
        <v>7.8999999999999986</v>
      </c>
      <c r="C6" s="30">
        <v>2.6333333333333329</v>
      </c>
      <c r="D6" s="35">
        <v>1.6666666666666667</v>
      </c>
      <c r="E6" s="31">
        <v>0.66666666666666663</v>
      </c>
      <c r="F6" s="31">
        <v>0.33333333333333331</v>
      </c>
      <c r="G6" s="31">
        <v>0.18181818181818182</v>
      </c>
      <c r="H6" s="31">
        <v>0.27272727272727271</v>
      </c>
      <c r="I6" s="32">
        <v>11800</v>
      </c>
      <c r="J6" s="32">
        <v>-8633.3333333333339</v>
      </c>
      <c r="K6" s="31">
        <v>0.33333333333333331</v>
      </c>
      <c r="L6" s="31">
        <v>0.22727272727272727</v>
      </c>
      <c r="M6" s="31">
        <v>0.18181818181818182</v>
      </c>
      <c r="N6" s="31">
        <v>0.6</v>
      </c>
      <c r="O6" s="31">
        <v>0</v>
      </c>
      <c r="P6" s="31">
        <v>0.25</v>
      </c>
    </row>
    <row r="7" spans="1:17" x14ac:dyDescent="0.4">
      <c r="A7" s="33">
        <v>4</v>
      </c>
      <c r="B7" s="30">
        <v>50.4</v>
      </c>
      <c r="C7" s="30">
        <v>12.6</v>
      </c>
      <c r="D7" s="35">
        <v>1.5</v>
      </c>
      <c r="E7" s="31">
        <v>0.75</v>
      </c>
      <c r="F7" s="31">
        <v>0.25</v>
      </c>
      <c r="G7" s="31">
        <v>0.25</v>
      </c>
      <c r="H7" s="31">
        <v>0.21428571428571427</v>
      </c>
      <c r="I7" s="32">
        <v>9928.5714285714294</v>
      </c>
      <c r="J7" s="32">
        <v>-8633.3333333333339</v>
      </c>
      <c r="K7" s="31">
        <v>0.25</v>
      </c>
      <c r="L7" s="31">
        <v>0.21428571428571427</v>
      </c>
      <c r="M7" s="31">
        <v>0.17857142857142858</v>
      </c>
      <c r="N7" s="31">
        <v>0.66666666666666663</v>
      </c>
      <c r="O7" s="31">
        <v>0</v>
      </c>
      <c r="P7" s="31">
        <v>0.42857142857142855</v>
      </c>
    </row>
    <row r="8" spans="1:17" x14ac:dyDescent="0.4">
      <c r="A8" s="33">
        <v>5</v>
      </c>
      <c r="B8" s="30">
        <v>81.7</v>
      </c>
      <c r="C8" s="30">
        <v>16.34</v>
      </c>
      <c r="D8" s="35">
        <v>1.4</v>
      </c>
      <c r="E8" s="31">
        <v>0.8</v>
      </c>
      <c r="F8" s="31">
        <v>0.2</v>
      </c>
      <c r="G8" s="31">
        <v>0.27027027027027029</v>
      </c>
      <c r="H8" s="31">
        <v>0.24324324324324326</v>
      </c>
      <c r="I8" s="32">
        <v>10320</v>
      </c>
      <c r="J8" s="32">
        <v>-7966.666666666667</v>
      </c>
      <c r="K8" s="31">
        <v>0.2</v>
      </c>
      <c r="L8" s="31">
        <v>0.21621621621621623</v>
      </c>
      <c r="M8" s="31">
        <v>0.21621621621621623</v>
      </c>
      <c r="N8" s="31">
        <v>0.75</v>
      </c>
      <c r="O8" s="31">
        <v>0.125</v>
      </c>
      <c r="P8" s="31">
        <v>0.5</v>
      </c>
    </row>
    <row r="9" spans="1:17" x14ac:dyDescent="0.4">
      <c r="A9" s="33">
        <v>6</v>
      </c>
      <c r="B9" s="30">
        <v>40.5</v>
      </c>
      <c r="C9" s="30">
        <v>6.75</v>
      </c>
      <c r="D9" s="35">
        <v>1.6666666666666667</v>
      </c>
      <c r="E9" s="31">
        <v>0.66666666666666663</v>
      </c>
      <c r="F9" s="31">
        <v>0.33333333333333331</v>
      </c>
      <c r="G9" s="31">
        <v>0.25</v>
      </c>
      <c r="H9" s="31">
        <v>0.22727272727272727</v>
      </c>
      <c r="I9" s="32">
        <v>9636.363636363636</v>
      </c>
      <c r="J9" s="32">
        <v>-7970</v>
      </c>
      <c r="K9" s="31">
        <v>0.16666666666666666</v>
      </c>
      <c r="L9" s="31">
        <v>0.25</v>
      </c>
      <c r="M9" s="31">
        <v>0.22727272727272727</v>
      </c>
      <c r="N9" s="31">
        <v>0.63636363636363635</v>
      </c>
      <c r="O9" s="31">
        <v>0.1</v>
      </c>
      <c r="P9" s="31">
        <v>0.54545454545454541</v>
      </c>
    </row>
    <row r="10" spans="1:17" x14ac:dyDescent="0.4">
      <c r="A10" s="33">
        <v>7</v>
      </c>
      <c r="B10" s="30">
        <v>-14.5</v>
      </c>
      <c r="C10" s="30">
        <v>-2.0714285714285716</v>
      </c>
      <c r="D10" s="35">
        <v>1.8571428571428572</v>
      </c>
      <c r="E10" s="31">
        <v>0.5714285714285714</v>
      </c>
      <c r="F10" s="31">
        <v>0.42857142857142855</v>
      </c>
      <c r="G10" s="31">
        <v>0.23636363636363636</v>
      </c>
      <c r="H10" s="31">
        <v>0.23636363636363636</v>
      </c>
      <c r="I10" s="32">
        <v>9369.2307692307695</v>
      </c>
      <c r="J10" s="32">
        <v>-8161.5384615384619</v>
      </c>
      <c r="K10" s="31">
        <v>0.14285714285714285</v>
      </c>
      <c r="L10" s="31">
        <v>0.23636363636363636</v>
      </c>
      <c r="M10" s="31">
        <v>0.2</v>
      </c>
      <c r="N10" s="31">
        <v>0.61538461538461542</v>
      </c>
      <c r="O10" s="31">
        <v>9.0909090909090912E-2</v>
      </c>
      <c r="P10" s="31">
        <v>0.61538461538461542</v>
      </c>
    </row>
    <row r="11" spans="1:17" x14ac:dyDescent="0.4">
      <c r="A11" s="33">
        <v>8</v>
      </c>
      <c r="B11" s="30">
        <v>-29.2</v>
      </c>
      <c r="C11" s="30">
        <v>-3.65</v>
      </c>
      <c r="D11" s="35">
        <v>1.875</v>
      </c>
      <c r="E11" s="31">
        <v>0.5</v>
      </c>
      <c r="F11" s="31">
        <v>0.375</v>
      </c>
      <c r="G11" s="31">
        <v>0.22950819672131148</v>
      </c>
      <c r="H11" s="31">
        <v>0.21311475409836064</v>
      </c>
      <c r="I11" s="32">
        <v>9271.4285714285706</v>
      </c>
      <c r="J11" s="32">
        <v>-8161.5384615384619</v>
      </c>
      <c r="K11" s="31">
        <v>0.125</v>
      </c>
      <c r="L11" s="31">
        <v>0.29508196721311475</v>
      </c>
      <c r="M11" s="31">
        <v>0.18032786885245902</v>
      </c>
      <c r="N11" s="31">
        <v>0.5</v>
      </c>
      <c r="O11" s="31">
        <v>9.0909090909090912E-2</v>
      </c>
      <c r="P11" s="31">
        <v>0.5714285714285714</v>
      </c>
    </row>
    <row r="12" spans="1:17" x14ac:dyDescent="0.4">
      <c r="A12" s="33">
        <v>9</v>
      </c>
      <c r="B12" s="30">
        <v>-55.2</v>
      </c>
      <c r="C12" s="30">
        <v>-6.1333333333333337</v>
      </c>
      <c r="D12" s="35">
        <v>2</v>
      </c>
      <c r="E12" s="31">
        <v>0.44444444444444442</v>
      </c>
      <c r="F12" s="31">
        <v>0.44444444444444442</v>
      </c>
      <c r="G12" s="31">
        <v>0.22222222222222221</v>
      </c>
      <c r="H12" s="31">
        <v>0.20833333333333334</v>
      </c>
      <c r="I12" s="32">
        <v>9237.5</v>
      </c>
      <c r="J12" s="32">
        <v>-8386.6666666666661</v>
      </c>
      <c r="K12" s="31">
        <v>0.1111111111111111</v>
      </c>
      <c r="L12" s="31">
        <v>0.31944444444444442</v>
      </c>
      <c r="M12" s="31">
        <v>0.22222222222222221</v>
      </c>
      <c r="N12" s="31">
        <v>0.47826086956521741</v>
      </c>
      <c r="O12" s="31">
        <v>6.25E-2</v>
      </c>
      <c r="P12" s="31">
        <v>0.5625</v>
      </c>
    </row>
    <row r="13" spans="1:17" x14ac:dyDescent="0.4">
      <c r="A13" s="33">
        <v>10</v>
      </c>
      <c r="B13" s="30">
        <v>-65.900000000000006</v>
      </c>
      <c r="C13" s="30">
        <v>-6.5900000000000007</v>
      </c>
      <c r="D13" s="35">
        <v>2</v>
      </c>
      <c r="E13" s="31">
        <v>0.4</v>
      </c>
      <c r="F13" s="31">
        <v>0.4</v>
      </c>
      <c r="G13" s="31">
        <v>0.21686746987951808</v>
      </c>
      <c r="H13" s="31">
        <v>0.18072289156626506</v>
      </c>
      <c r="I13" s="32">
        <v>9255.5555555555547</v>
      </c>
      <c r="J13" s="32">
        <v>-8386.6666666666661</v>
      </c>
      <c r="K13" s="31">
        <v>0.1</v>
      </c>
      <c r="L13" s="31">
        <v>0.33734939759036142</v>
      </c>
      <c r="M13" s="31">
        <v>0.19277108433734941</v>
      </c>
      <c r="N13" s="31">
        <v>0.4642857142857143</v>
      </c>
      <c r="O13" s="31">
        <v>6.25E-2</v>
      </c>
      <c r="P13" s="31">
        <v>0.61111111111111116</v>
      </c>
    </row>
    <row r="14" spans="1:17" x14ac:dyDescent="0.4">
      <c r="A14" s="33">
        <v>11</v>
      </c>
      <c r="B14" s="30">
        <v>-72.300000000000011</v>
      </c>
      <c r="C14" s="30">
        <v>-6.5727272727272741</v>
      </c>
      <c r="D14" s="35">
        <v>2</v>
      </c>
      <c r="E14" s="31">
        <v>0.36363636363636365</v>
      </c>
      <c r="F14" s="31">
        <v>0.36363636363636365</v>
      </c>
      <c r="G14" s="31">
        <v>0.24175824175824176</v>
      </c>
      <c r="H14" s="31">
        <v>0.18681318681318682</v>
      </c>
      <c r="I14" s="32">
        <v>8700</v>
      </c>
      <c r="J14" s="32">
        <v>-8411.7647058823532</v>
      </c>
      <c r="K14" s="31">
        <v>9.0909090909090912E-2</v>
      </c>
      <c r="L14" s="31">
        <v>0.32967032967032966</v>
      </c>
      <c r="M14" s="31">
        <v>0.2087912087912088</v>
      </c>
      <c r="N14" s="31">
        <v>0.5</v>
      </c>
      <c r="O14" s="31">
        <v>0.15789473684210525</v>
      </c>
      <c r="P14" s="31">
        <v>0.59090909090909094</v>
      </c>
    </row>
    <row r="15" spans="1:17" x14ac:dyDescent="0.4">
      <c r="A15" s="33">
        <v>12</v>
      </c>
      <c r="B15" s="30">
        <v>-67.800000000000011</v>
      </c>
      <c r="C15" s="30">
        <v>-5.6500000000000012</v>
      </c>
      <c r="D15" s="35">
        <v>2</v>
      </c>
      <c r="E15" s="31">
        <v>0.33333333333333331</v>
      </c>
      <c r="F15" s="31">
        <v>0.33333333333333331</v>
      </c>
      <c r="G15" s="31">
        <v>0.25773195876288657</v>
      </c>
      <c r="H15" s="31">
        <v>0.19587628865979381</v>
      </c>
      <c r="I15" s="32">
        <v>8536</v>
      </c>
      <c r="J15" s="32">
        <v>-8221.0526315789466</v>
      </c>
      <c r="K15" s="31">
        <v>8.3333333333333329E-2</v>
      </c>
      <c r="L15" s="31">
        <v>0.35051546391752575</v>
      </c>
      <c r="M15" s="31">
        <v>0.19587628865979381</v>
      </c>
      <c r="N15" s="31">
        <v>0.52941176470588236</v>
      </c>
      <c r="O15" s="31">
        <v>0.15789473684210525</v>
      </c>
      <c r="P15" s="31">
        <v>0.52</v>
      </c>
    </row>
    <row r="16" spans="1:17" x14ac:dyDescent="0.4">
      <c r="A16" s="33">
        <v>13</v>
      </c>
      <c r="B16" s="30">
        <v>-120.60000000000001</v>
      </c>
      <c r="C16" s="30">
        <v>-9.2769230769230777</v>
      </c>
      <c r="D16" s="35">
        <v>2.0769230769230771</v>
      </c>
      <c r="E16" s="31">
        <v>0.30769230769230771</v>
      </c>
      <c r="F16" s="31">
        <v>0.38461538461538464</v>
      </c>
      <c r="G16" s="31">
        <v>0.24528301886792453</v>
      </c>
      <c r="H16" s="31">
        <v>0.18867924528301888</v>
      </c>
      <c r="I16" s="32">
        <v>8669.2307692307695</v>
      </c>
      <c r="J16" s="32">
        <v>-8410</v>
      </c>
      <c r="K16" s="31">
        <v>7.6923076923076927E-2</v>
      </c>
      <c r="L16" s="31">
        <v>0.35849056603773582</v>
      </c>
      <c r="M16" s="31">
        <v>0.18867924528301888</v>
      </c>
      <c r="N16" s="31">
        <v>0.5</v>
      </c>
      <c r="O16" s="31">
        <v>0.15</v>
      </c>
      <c r="P16" s="31">
        <v>0.53846153846153844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8D8C9-4755-42E9-A0A5-5BFBF131B644}">
  <sheetPr codeName="Sheet12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209</v>
      </c>
      <c r="B1" s="34" t="s">
        <v>209</v>
      </c>
      <c r="C1" s="34" t="s">
        <v>209</v>
      </c>
      <c r="D1" s="35" t="s">
        <v>209</v>
      </c>
      <c r="E1" s="34" t="s">
        <v>209</v>
      </c>
      <c r="F1" s="34" t="s">
        <v>209</v>
      </c>
      <c r="G1" s="34" t="s">
        <v>209</v>
      </c>
      <c r="H1" s="34" t="s">
        <v>209</v>
      </c>
      <c r="I1" s="34" t="s">
        <v>209</v>
      </c>
      <c r="J1" s="34" t="s">
        <v>209</v>
      </c>
      <c r="K1" s="34" t="s">
        <v>209</v>
      </c>
      <c r="L1" s="34" t="s">
        <v>209</v>
      </c>
      <c r="M1" s="34" t="s">
        <v>209</v>
      </c>
      <c r="N1" s="34" t="s">
        <v>209</v>
      </c>
      <c r="O1" s="34" t="s">
        <v>209</v>
      </c>
      <c r="P1" s="34" t="s">
        <v>209</v>
      </c>
      <c r="Q1" s="34" t="s">
        <v>209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-40.299999999999997</v>
      </c>
      <c r="C4" s="30">
        <v>-40.299999999999997</v>
      </c>
      <c r="D4" s="35">
        <v>3</v>
      </c>
      <c r="E4" s="31">
        <v>0</v>
      </c>
      <c r="F4" s="31">
        <v>1</v>
      </c>
      <c r="G4" s="31">
        <v>0.25</v>
      </c>
      <c r="H4" s="31">
        <v>0.375</v>
      </c>
      <c r="I4" s="32">
        <v>7200</v>
      </c>
      <c r="J4" s="32">
        <v>-9333.3333333333339</v>
      </c>
      <c r="K4" s="31">
        <v>0</v>
      </c>
      <c r="L4" s="31">
        <v>0.25</v>
      </c>
      <c r="M4" s="31">
        <v>0.125</v>
      </c>
      <c r="N4" s="31">
        <v>0.5</v>
      </c>
      <c r="O4" s="31">
        <v>0</v>
      </c>
      <c r="P4" s="31">
        <v>0.5</v>
      </c>
    </row>
    <row r="5" spans="1:17" x14ac:dyDescent="0.4">
      <c r="A5" s="33">
        <v>2</v>
      </c>
      <c r="B5" s="30">
        <v>-61.5</v>
      </c>
      <c r="C5" s="30">
        <v>-30.75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0.27777777777777779</v>
      </c>
      <c r="I5" s="32">
        <v>6225</v>
      </c>
      <c r="J5" s="32">
        <v>-11440</v>
      </c>
      <c r="K5" s="31">
        <v>0</v>
      </c>
      <c r="L5" s="31">
        <v>0.27777777777777779</v>
      </c>
      <c r="M5" s="31">
        <v>0.1111111111111111</v>
      </c>
      <c r="N5" s="31">
        <v>0.6</v>
      </c>
      <c r="O5" s="31">
        <v>0</v>
      </c>
      <c r="P5" s="31">
        <v>0.75</v>
      </c>
    </row>
    <row r="6" spans="1:17" x14ac:dyDescent="0.4">
      <c r="A6" s="33">
        <v>3</v>
      </c>
      <c r="B6" s="30">
        <v>-102</v>
      </c>
      <c r="C6" s="30">
        <v>-34</v>
      </c>
      <c r="D6" s="35">
        <v>2.6666666666666665</v>
      </c>
      <c r="E6" s="31">
        <v>0</v>
      </c>
      <c r="F6" s="31">
        <v>0.66666666666666663</v>
      </c>
      <c r="G6" s="31">
        <v>0.21428571428571427</v>
      </c>
      <c r="H6" s="31">
        <v>0.25</v>
      </c>
      <c r="I6" s="32">
        <v>5700</v>
      </c>
      <c r="J6" s="32">
        <v>-10442.857142857143</v>
      </c>
      <c r="K6" s="31">
        <v>0</v>
      </c>
      <c r="L6" s="31">
        <v>0.39285714285714285</v>
      </c>
      <c r="M6" s="31">
        <v>0.10714285714285714</v>
      </c>
      <c r="N6" s="31">
        <v>0.45454545454545453</v>
      </c>
      <c r="O6" s="31">
        <v>0</v>
      </c>
      <c r="P6" s="31">
        <v>0.66666666666666663</v>
      </c>
    </row>
    <row r="7" spans="1:17" x14ac:dyDescent="0.4">
      <c r="A7" s="33">
        <v>4</v>
      </c>
      <c r="B7" s="30">
        <v>-148</v>
      </c>
      <c r="C7" s="30">
        <v>-37</v>
      </c>
      <c r="D7" s="35">
        <v>2.75</v>
      </c>
      <c r="E7" s="31">
        <v>0</v>
      </c>
      <c r="F7" s="31">
        <v>0.75</v>
      </c>
      <c r="G7" s="31">
        <v>0.1891891891891892</v>
      </c>
      <c r="H7" s="31">
        <v>0.27027027027027029</v>
      </c>
      <c r="I7" s="32">
        <v>6028.5714285714284</v>
      </c>
      <c r="J7" s="32">
        <v>-9080</v>
      </c>
      <c r="K7" s="31">
        <v>0</v>
      </c>
      <c r="L7" s="31">
        <v>0.35135135135135137</v>
      </c>
      <c r="M7" s="31">
        <v>0.13513513513513514</v>
      </c>
      <c r="N7" s="31">
        <v>0.38461538461538464</v>
      </c>
      <c r="O7" s="31">
        <v>0.2</v>
      </c>
      <c r="P7" s="31">
        <v>0.5714285714285714</v>
      </c>
    </row>
    <row r="8" spans="1:17" x14ac:dyDescent="0.4">
      <c r="A8" s="33">
        <v>5</v>
      </c>
      <c r="B8" s="30">
        <v>-115.4</v>
      </c>
      <c r="C8" s="30">
        <v>-23.080000000000002</v>
      </c>
      <c r="D8" s="35">
        <v>2.4</v>
      </c>
      <c r="E8" s="31">
        <v>0.2</v>
      </c>
      <c r="F8" s="31">
        <v>0.6</v>
      </c>
      <c r="G8" s="31">
        <v>0.22727272727272727</v>
      </c>
      <c r="H8" s="31">
        <v>0.25</v>
      </c>
      <c r="I8" s="32">
        <v>6430</v>
      </c>
      <c r="J8" s="32">
        <v>-8981.818181818182</v>
      </c>
      <c r="K8" s="31">
        <v>0</v>
      </c>
      <c r="L8" s="31">
        <v>0.34090909090909088</v>
      </c>
      <c r="M8" s="31">
        <v>0.13636363636363635</v>
      </c>
      <c r="N8" s="31">
        <v>0.46666666666666667</v>
      </c>
      <c r="O8" s="31">
        <v>0.16666666666666666</v>
      </c>
      <c r="P8" s="31">
        <v>0.7</v>
      </c>
    </row>
    <row r="9" spans="1:17" x14ac:dyDescent="0.4">
      <c r="A9" s="33">
        <v>6</v>
      </c>
      <c r="B9" s="30">
        <v>-110.9</v>
      </c>
      <c r="C9" s="30">
        <v>-18.483333333333334</v>
      </c>
      <c r="D9" s="35">
        <v>2.3333333333333335</v>
      </c>
      <c r="E9" s="31">
        <v>0.16666666666666666</v>
      </c>
      <c r="F9" s="31">
        <v>0.5</v>
      </c>
      <c r="G9" s="31">
        <v>0.23404255319148937</v>
      </c>
      <c r="H9" s="31">
        <v>0.23404255319148937</v>
      </c>
      <c r="I9" s="32">
        <v>6572.727272727273</v>
      </c>
      <c r="J9" s="32">
        <v>-8981.818181818182</v>
      </c>
      <c r="K9" s="31">
        <v>0</v>
      </c>
      <c r="L9" s="31">
        <v>0.34042553191489361</v>
      </c>
      <c r="M9" s="31">
        <v>0.1702127659574468</v>
      </c>
      <c r="N9" s="31">
        <v>0.5</v>
      </c>
      <c r="O9" s="31">
        <v>0.125</v>
      </c>
      <c r="P9" s="31">
        <v>0.63636363636363635</v>
      </c>
    </row>
    <row r="10" spans="1:17" x14ac:dyDescent="0.4">
      <c r="A10" s="33">
        <v>7</v>
      </c>
      <c r="B10" s="30">
        <v>-143.4</v>
      </c>
      <c r="C10" s="30">
        <v>-20.485714285714288</v>
      </c>
      <c r="D10" s="35">
        <v>2.4285714285714284</v>
      </c>
      <c r="E10" s="31">
        <v>0.14285714285714285</v>
      </c>
      <c r="F10" s="31">
        <v>0.5714285714285714</v>
      </c>
      <c r="G10" s="31">
        <v>0.22222222222222221</v>
      </c>
      <c r="H10" s="31">
        <v>0.25925925925925924</v>
      </c>
      <c r="I10" s="32">
        <v>6691.666666666667</v>
      </c>
      <c r="J10" s="32">
        <v>-8628.5714285714294</v>
      </c>
      <c r="K10" s="31">
        <v>0</v>
      </c>
      <c r="L10" s="31">
        <v>0.29629629629629628</v>
      </c>
      <c r="M10" s="31">
        <v>0.20370370370370369</v>
      </c>
      <c r="N10" s="31">
        <v>0.5</v>
      </c>
      <c r="O10" s="31">
        <v>0.18181818181818182</v>
      </c>
      <c r="P10" s="31">
        <v>0.66666666666666663</v>
      </c>
    </row>
    <row r="11" spans="1:17" x14ac:dyDescent="0.4">
      <c r="A11" s="33">
        <v>8</v>
      </c>
      <c r="B11" s="30">
        <v>-203.7</v>
      </c>
      <c r="C11" s="30">
        <v>-25.462499999999999</v>
      </c>
      <c r="D11" s="35">
        <v>2.5</v>
      </c>
      <c r="E11" s="31">
        <v>0.125</v>
      </c>
      <c r="F11" s="31">
        <v>0.625</v>
      </c>
      <c r="G11" s="31">
        <v>0.2</v>
      </c>
      <c r="H11" s="31">
        <v>0.26666666666666666</v>
      </c>
      <c r="I11" s="32">
        <v>6691.666666666667</v>
      </c>
      <c r="J11" s="32">
        <v>-9050</v>
      </c>
      <c r="K11" s="31">
        <v>0.125</v>
      </c>
      <c r="L11" s="31">
        <v>0.28333333333333333</v>
      </c>
      <c r="M11" s="31">
        <v>0.21666666666666667</v>
      </c>
      <c r="N11" s="31">
        <v>0.47058823529411764</v>
      </c>
      <c r="O11" s="31">
        <v>0.15384615384615385</v>
      </c>
      <c r="P11" s="31">
        <v>0.66666666666666663</v>
      </c>
    </row>
    <row r="12" spans="1:17" x14ac:dyDescent="0.4">
      <c r="A12" s="33">
        <v>9</v>
      </c>
      <c r="B12" s="30">
        <v>-245.1</v>
      </c>
      <c r="C12" s="30">
        <v>-27.233333333333334</v>
      </c>
      <c r="D12" s="35">
        <v>2.5555555555555554</v>
      </c>
      <c r="E12" s="31">
        <v>0.1111111111111111</v>
      </c>
      <c r="F12" s="31">
        <v>0.66666666666666663</v>
      </c>
      <c r="G12" s="31">
        <v>0.20833333333333334</v>
      </c>
      <c r="H12" s="31">
        <v>0.2638888888888889</v>
      </c>
      <c r="I12" s="32">
        <v>6533.333333333333</v>
      </c>
      <c r="J12" s="32">
        <v>-8863.1578947368416</v>
      </c>
      <c r="K12" s="31">
        <v>0.1111111111111111</v>
      </c>
      <c r="L12" s="31">
        <v>0.27777777777777779</v>
      </c>
      <c r="M12" s="31">
        <v>0.22222222222222221</v>
      </c>
      <c r="N12" s="31">
        <v>0.5</v>
      </c>
      <c r="O12" s="31">
        <v>0.1875</v>
      </c>
      <c r="P12" s="31">
        <v>0.66666666666666663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9668A-7A49-4054-8141-BD0448381B18}">
  <sheetPr codeName="Sheet10"/>
  <dimension ref="A1:Q2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35.299999999999997</v>
      </c>
      <c r="C4" s="30">
        <v>35.299999999999997</v>
      </c>
      <c r="D4" s="35">
        <v>1</v>
      </c>
      <c r="E4" s="31">
        <v>1</v>
      </c>
      <c r="F4" s="31">
        <v>0</v>
      </c>
      <c r="G4" s="31">
        <v>0.375</v>
      </c>
      <c r="H4" s="31">
        <v>0</v>
      </c>
      <c r="I4" s="32">
        <v>7066.666666666667</v>
      </c>
      <c r="J4" s="32">
        <v>0</v>
      </c>
      <c r="K4" s="31">
        <v>0</v>
      </c>
      <c r="L4" s="31">
        <v>0.625</v>
      </c>
      <c r="M4" s="31">
        <v>0</v>
      </c>
      <c r="N4" s="31">
        <v>0.6</v>
      </c>
      <c r="O4" s="31">
        <v>0</v>
      </c>
      <c r="P4" s="31">
        <v>0</v>
      </c>
    </row>
    <row r="5" spans="1:17" x14ac:dyDescent="0.4">
      <c r="A5" s="33">
        <v>2</v>
      </c>
      <c r="B5" s="30">
        <v>110.7</v>
      </c>
      <c r="C5" s="30">
        <v>55.35</v>
      </c>
      <c r="D5" s="35">
        <v>1</v>
      </c>
      <c r="E5" s="31">
        <v>1</v>
      </c>
      <c r="F5" s="31">
        <v>0</v>
      </c>
      <c r="G5" s="31">
        <v>0.3888888888888889</v>
      </c>
      <c r="H5" s="31">
        <v>0</v>
      </c>
      <c r="I5" s="32">
        <v>11028.571428571429</v>
      </c>
      <c r="J5" s="32">
        <v>0</v>
      </c>
      <c r="K5" s="31">
        <v>0</v>
      </c>
      <c r="L5" s="31">
        <v>0.55555555555555558</v>
      </c>
      <c r="M5" s="31">
        <v>5.5555555555555552E-2</v>
      </c>
      <c r="N5" s="31">
        <v>0.7</v>
      </c>
      <c r="O5" s="31">
        <v>0</v>
      </c>
      <c r="P5" s="31">
        <v>0.14285714285714285</v>
      </c>
    </row>
    <row r="6" spans="1:17" x14ac:dyDescent="0.4">
      <c r="A6" s="33">
        <v>3</v>
      </c>
      <c r="B6" s="30">
        <v>163.69999999999999</v>
      </c>
      <c r="C6" s="30">
        <v>54.566666666666663</v>
      </c>
      <c r="D6" s="35">
        <v>1</v>
      </c>
      <c r="E6" s="31">
        <v>1</v>
      </c>
      <c r="F6" s="31">
        <v>0</v>
      </c>
      <c r="G6" s="31">
        <v>0.39285714285714285</v>
      </c>
      <c r="H6" s="31">
        <v>3.5714285714285712E-2</v>
      </c>
      <c r="I6" s="32">
        <v>10090.90909090909</v>
      </c>
      <c r="J6" s="32">
        <v>-1300</v>
      </c>
      <c r="K6" s="31">
        <v>0</v>
      </c>
      <c r="L6" s="31">
        <v>0.5</v>
      </c>
      <c r="M6" s="31">
        <v>0.17857142857142858</v>
      </c>
      <c r="N6" s="31">
        <v>0.5714285714285714</v>
      </c>
      <c r="O6" s="31">
        <v>0.6</v>
      </c>
      <c r="P6" s="31">
        <v>0.36363636363636365</v>
      </c>
    </row>
    <row r="7" spans="1:17" x14ac:dyDescent="0.4">
      <c r="A7" s="33">
        <v>4</v>
      </c>
      <c r="B7" s="30">
        <v>197.6</v>
      </c>
      <c r="C7" s="30">
        <v>49.4</v>
      </c>
      <c r="D7" s="35">
        <v>1</v>
      </c>
      <c r="E7" s="31">
        <v>1</v>
      </c>
      <c r="F7" s="31">
        <v>0</v>
      </c>
      <c r="G7" s="31">
        <v>0.3783783783783784</v>
      </c>
      <c r="H7" s="31">
        <v>2.7027027027027029E-2</v>
      </c>
      <c r="I7" s="32">
        <v>9192.8571428571431</v>
      </c>
      <c r="J7" s="32">
        <v>-1300</v>
      </c>
      <c r="K7" s="31">
        <v>0</v>
      </c>
      <c r="L7" s="31">
        <v>0.45945945945945948</v>
      </c>
      <c r="M7" s="31">
        <v>0.16216216216216217</v>
      </c>
      <c r="N7" s="31">
        <v>0.58823529411764708</v>
      </c>
      <c r="O7" s="31">
        <v>0.66666666666666663</v>
      </c>
      <c r="P7" s="31">
        <v>0.2857142857142857</v>
      </c>
    </row>
    <row r="8" spans="1:17" x14ac:dyDescent="0.4">
      <c r="A8" s="33">
        <v>5</v>
      </c>
      <c r="B8" s="30">
        <v>166.79999999999998</v>
      </c>
      <c r="C8" s="30">
        <v>33.36</v>
      </c>
      <c r="D8" s="35">
        <v>1.4</v>
      </c>
      <c r="E8" s="31">
        <v>0.8</v>
      </c>
      <c r="F8" s="31">
        <v>0.2</v>
      </c>
      <c r="G8" s="31">
        <v>0.34090909090909088</v>
      </c>
      <c r="H8" s="31">
        <v>4.5454545454545456E-2</v>
      </c>
      <c r="I8" s="32">
        <v>9380</v>
      </c>
      <c r="J8" s="32">
        <v>-6650</v>
      </c>
      <c r="K8" s="31">
        <v>0</v>
      </c>
      <c r="L8" s="31">
        <v>0.45454545454545453</v>
      </c>
      <c r="M8" s="31">
        <v>0.13636363636363635</v>
      </c>
      <c r="N8" s="31">
        <v>0.55000000000000004</v>
      </c>
      <c r="O8" s="31">
        <v>0.66666666666666663</v>
      </c>
      <c r="P8" s="31">
        <v>0.33333333333333331</v>
      </c>
    </row>
    <row r="9" spans="1:17" x14ac:dyDescent="0.4">
      <c r="A9" s="33">
        <v>6</v>
      </c>
      <c r="B9" s="30">
        <v>217.79999999999998</v>
      </c>
      <c r="C9" s="30">
        <v>36.299999999999997</v>
      </c>
      <c r="D9" s="35">
        <v>1.3333333333333333</v>
      </c>
      <c r="E9" s="31">
        <v>0.83333333333333337</v>
      </c>
      <c r="F9" s="31">
        <v>0.16666666666666666</v>
      </c>
      <c r="G9" s="31">
        <v>0.36170212765957449</v>
      </c>
      <c r="H9" s="31">
        <v>4.2553191489361701E-2</v>
      </c>
      <c r="I9" s="32">
        <v>10041.176470588236</v>
      </c>
      <c r="J9" s="32">
        <v>-6650</v>
      </c>
      <c r="K9" s="31">
        <v>0</v>
      </c>
      <c r="L9" s="31">
        <v>0.44680851063829785</v>
      </c>
      <c r="M9" s="31">
        <v>0.14893617021276595</v>
      </c>
      <c r="N9" s="31">
        <v>0.5714285714285714</v>
      </c>
      <c r="O9" s="31">
        <v>0.7142857142857143</v>
      </c>
      <c r="P9" s="31">
        <v>0.35294117647058826</v>
      </c>
    </row>
    <row r="10" spans="1:17" x14ac:dyDescent="0.4">
      <c r="A10" s="33">
        <v>7</v>
      </c>
      <c r="B10" s="30">
        <v>246.79999999999998</v>
      </c>
      <c r="C10" s="30">
        <v>35.257142857142853</v>
      </c>
      <c r="D10" s="35">
        <v>1.2857142857142858</v>
      </c>
      <c r="E10" s="31">
        <v>0.8571428571428571</v>
      </c>
      <c r="F10" s="31">
        <v>0.14285714285714285</v>
      </c>
      <c r="G10" s="31">
        <v>0.37037037037037035</v>
      </c>
      <c r="H10" s="31">
        <v>3.7037037037037035E-2</v>
      </c>
      <c r="I10" s="32">
        <v>9235</v>
      </c>
      <c r="J10" s="32">
        <v>-6650</v>
      </c>
      <c r="K10" s="31">
        <v>0</v>
      </c>
      <c r="L10" s="31">
        <v>0.44444444444444442</v>
      </c>
      <c r="M10" s="31">
        <v>0.16666666666666666</v>
      </c>
      <c r="N10" s="31">
        <v>0.58333333333333337</v>
      </c>
      <c r="O10" s="31">
        <v>0.55555555555555558</v>
      </c>
      <c r="P10" s="31">
        <v>0.35</v>
      </c>
    </row>
    <row r="11" spans="1:17" x14ac:dyDescent="0.4">
      <c r="A11" s="33">
        <v>8</v>
      </c>
      <c r="B11" s="30">
        <v>266.5</v>
      </c>
      <c r="C11" s="30">
        <v>33.3125</v>
      </c>
      <c r="D11" s="35">
        <v>1.375</v>
      </c>
      <c r="E11" s="31">
        <v>0.75</v>
      </c>
      <c r="F11" s="31">
        <v>0.125</v>
      </c>
      <c r="G11" s="31">
        <v>0.38333333333333336</v>
      </c>
      <c r="H11" s="31">
        <v>3.3333333333333333E-2</v>
      </c>
      <c r="I11" s="32">
        <v>9073.9130434782601</v>
      </c>
      <c r="J11" s="32">
        <v>-6650</v>
      </c>
      <c r="K11" s="31">
        <v>0</v>
      </c>
      <c r="L11" s="31">
        <v>0.45</v>
      </c>
      <c r="M11" s="31">
        <v>0.16666666666666666</v>
      </c>
      <c r="N11" s="31">
        <v>0.62962962962962965</v>
      </c>
      <c r="O11" s="31">
        <v>0.5</v>
      </c>
      <c r="P11" s="31">
        <v>0.39130434782608697</v>
      </c>
    </row>
    <row r="12" spans="1:17" x14ac:dyDescent="0.4">
      <c r="A12" s="33">
        <v>9</v>
      </c>
      <c r="B12" s="30">
        <v>273.7</v>
      </c>
      <c r="C12" s="30">
        <v>30.411111111111111</v>
      </c>
      <c r="D12" s="35">
        <v>1.4444444444444444</v>
      </c>
      <c r="E12" s="31">
        <v>0.66666666666666663</v>
      </c>
      <c r="F12" s="31">
        <v>0.1111111111111111</v>
      </c>
      <c r="G12" s="31">
        <v>0.3611111111111111</v>
      </c>
      <c r="H12" s="31">
        <v>4.1666666666666664E-2</v>
      </c>
      <c r="I12" s="32">
        <v>9050</v>
      </c>
      <c r="J12" s="32">
        <v>-8433.3333333333339</v>
      </c>
      <c r="K12" s="31">
        <v>0</v>
      </c>
      <c r="L12" s="31">
        <v>0.44444444444444442</v>
      </c>
      <c r="M12" s="31">
        <v>0.16666666666666666</v>
      </c>
      <c r="N12" s="31">
        <v>0.625</v>
      </c>
      <c r="O12" s="31">
        <v>0.41666666666666669</v>
      </c>
      <c r="P12" s="31">
        <v>0.38461538461538464</v>
      </c>
    </row>
    <row r="13" spans="1:17" x14ac:dyDescent="0.4">
      <c r="A13" s="33">
        <v>10</v>
      </c>
      <c r="B13" s="30">
        <v>304.5</v>
      </c>
      <c r="C13" s="30">
        <v>30.45</v>
      </c>
      <c r="D13" s="35">
        <v>1.4</v>
      </c>
      <c r="E13" s="31">
        <v>0.7</v>
      </c>
      <c r="F13" s="31">
        <v>0.1</v>
      </c>
      <c r="G13" s="31">
        <v>0.35897435897435898</v>
      </c>
      <c r="H13" s="31">
        <v>5.128205128205128E-2</v>
      </c>
      <c r="I13" s="32">
        <v>8971.4285714285706</v>
      </c>
      <c r="J13" s="32">
        <v>-6975</v>
      </c>
      <c r="K13" s="31">
        <v>0</v>
      </c>
      <c r="L13" s="31">
        <v>0.4358974358974359</v>
      </c>
      <c r="M13" s="31">
        <v>0.16666666666666666</v>
      </c>
      <c r="N13" s="31">
        <v>0.61764705882352944</v>
      </c>
      <c r="O13" s="31">
        <v>0.46153846153846156</v>
      </c>
      <c r="P13" s="31">
        <v>0.35714285714285715</v>
      </c>
    </row>
    <row r="14" spans="1:17" x14ac:dyDescent="0.4">
      <c r="A14" s="33">
        <v>11</v>
      </c>
      <c r="B14" s="30">
        <v>283.5</v>
      </c>
      <c r="C14" s="30">
        <v>25.772727272727273</v>
      </c>
      <c r="D14" s="35">
        <v>1.5454545454545454</v>
      </c>
      <c r="E14" s="31">
        <v>0.63636363636363635</v>
      </c>
      <c r="F14" s="31">
        <v>0.18181818181818182</v>
      </c>
      <c r="G14" s="31">
        <v>0.35714285714285715</v>
      </c>
      <c r="H14" s="31">
        <v>5.9523809523809521E-2</v>
      </c>
      <c r="I14" s="32">
        <v>8673.3333333333339</v>
      </c>
      <c r="J14" s="32">
        <v>-7180</v>
      </c>
      <c r="K14" s="31">
        <v>0</v>
      </c>
      <c r="L14" s="31">
        <v>0.40476190476190477</v>
      </c>
      <c r="M14" s="31">
        <v>0.17857142857142858</v>
      </c>
      <c r="N14" s="31">
        <v>0.61764705882352944</v>
      </c>
      <c r="O14" s="31">
        <v>0.53333333333333333</v>
      </c>
      <c r="P14" s="31">
        <v>0.33333333333333331</v>
      </c>
    </row>
    <row r="15" spans="1:17" x14ac:dyDescent="0.4">
      <c r="A15" s="33">
        <v>12</v>
      </c>
      <c r="B15" s="30">
        <v>250.8</v>
      </c>
      <c r="C15" s="30">
        <v>20.900000000000002</v>
      </c>
      <c r="D15" s="35">
        <v>1.6666666666666667</v>
      </c>
      <c r="E15" s="31">
        <v>0.58333333333333337</v>
      </c>
      <c r="F15" s="31">
        <v>0.25</v>
      </c>
      <c r="G15" s="31">
        <v>0.33333333333333331</v>
      </c>
      <c r="H15" s="31">
        <v>7.5268817204301078E-2</v>
      </c>
      <c r="I15" s="32">
        <v>8780.645161290322</v>
      </c>
      <c r="J15" s="32">
        <v>-6442.8571428571431</v>
      </c>
      <c r="K15" s="31">
        <v>0</v>
      </c>
      <c r="L15" s="31">
        <v>0.43010752688172044</v>
      </c>
      <c r="M15" s="31">
        <v>0.17204301075268819</v>
      </c>
      <c r="N15" s="31">
        <v>0.55000000000000004</v>
      </c>
      <c r="O15" s="31">
        <v>0.5</v>
      </c>
      <c r="P15" s="31">
        <v>0.35483870967741937</v>
      </c>
    </row>
    <row r="16" spans="1:17" x14ac:dyDescent="0.4">
      <c r="A16" s="33">
        <v>13</v>
      </c>
      <c r="B16" s="30">
        <v>212.10000000000002</v>
      </c>
      <c r="C16" s="30">
        <v>16.315384615384616</v>
      </c>
      <c r="D16" s="35">
        <v>1.7692307692307692</v>
      </c>
      <c r="E16" s="31">
        <v>0.53846153846153844</v>
      </c>
      <c r="F16" s="31">
        <v>0.30769230769230771</v>
      </c>
      <c r="G16" s="31">
        <v>0.31067961165048541</v>
      </c>
      <c r="H16" s="31">
        <v>9.7087378640776698E-2</v>
      </c>
      <c r="I16" s="32">
        <v>8881.25</v>
      </c>
      <c r="J16" s="32">
        <v>-6830</v>
      </c>
      <c r="K16" s="31">
        <v>0</v>
      </c>
      <c r="L16" s="31">
        <v>0.43689320388349512</v>
      </c>
      <c r="M16" s="31">
        <v>0.1553398058252427</v>
      </c>
      <c r="N16" s="31">
        <v>0.51111111111111107</v>
      </c>
      <c r="O16" s="31">
        <v>0.5</v>
      </c>
      <c r="P16" s="31">
        <v>0.375</v>
      </c>
    </row>
    <row r="17" spans="1:16" x14ac:dyDescent="0.4">
      <c r="A17" s="33">
        <v>14</v>
      </c>
      <c r="B17" s="30">
        <v>205.70000000000002</v>
      </c>
      <c r="C17" s="30">
        <v>14.692857142857145</v>
      </c>
      <c r="D17" s="35">
        <v>1.7857142857142858</v>
      </c>
      <c r="E17" s="31">
        <v>0.5</v>
      </c>
      <c r="F17" s="31">
        <v>0.2857142857142857</v>
      </c>
      <c r="G17" s="31">
        <v>0.2982456140350877</v>
      </c>
      <c r="H17" s="31">
        <v>8.771929824561403E-2</v>
      </c>
      <c r="I17" s="32">
        <v>8994.1176470588234</v>
      </c>
      <c r="J17" s="32">
        <v>-6830</v>
      </c>
      <c r="K17" s="31">
        <v>0</v>
      </c>
      <c r="L17" s="31">
        <v>0.42982456140350878</v>
      </c>
      <c r="M17" s="31">
        <v>0.14912280701754385</v>
      </c>
      <c r="N17" s="31">
        <v>0.48979591836734693</v>
      </c>
      <c r="O17" s="31">
        <v>0.47058823529411764</v>
      </c>
      <c r="P17" s="31">
        <v>0.35294117647058826</v>
      </c>
    </row>
    <row r="18" spans="1:16" x14ac:dyDescent="0.4">
      <c r="A18" s="33">
        <v>15</v>
      </c>
      <c r="B18" s="30">
        <v>204.9</v>
      </c>
      <c r="C18" s="30">
        <v>13.66</v>
      </c>
      <c r="D18" s="35">
        <v>1.8</v>
      </c>
      <c r="E18" s="31">
        <v>0.46666666666666667</v>
      </c>
      <c r="F18" s="31">
        <v>0.26666666666666666</v>
      </c>
      <c r="G18" s="31">
        <v>0.296875</v>
      </c>
      <c r="H18" s="31">
        <v>0.1015625</v>
      </c>
      <c r="I18" s="32">
        <v>9028.9473684210534</v>
      </c>
      <c r="J18" s="32">
        <v>-6569.2307692307695</v>
      </c>
      <c r="K18" s="31">
        <v>0</v>
      </c>
      <c r="L18" s="31">
        <v>0.421875</v>
      </c>
      <c r="M18" s="31">
        <v>0.140625</v>
      </c>
      <c r="N18" s="31">
        <v>0.51851851851851849</v>
      </c>
      <c r="O18" s="31">
        <v>0.44444444444444442</v>
      </c>
      <c r="P18" s="31">
        <v>0.34210526315789475</v>
      </c>
    </row>
    <row r="19" spans="1:16" x14ac:dyDescent="0.4">
      <c r="A19" s="33">
        <v>16</v>
      </c>
      <c r="B19" s="30">
        <v>277.2</v>
      </c>
      <c r="C19" s="30">
        <v>17.324999999999999</v>
      </c>
      <c r="D19" s="35">
        <v>1.75</v>
      </c>
      <c r="E19" s="31">
        <v>0.5</v>
      </c>
      <c r="F19" s="31">
        <v>0.25</v>
      </c>
      <c r="G19" s="31">
        <v>0.31343283582089554</v>
      </c>
      <c r="H19" s="31">
        <v>9.7014925373134331E-2</v>
      </c>
      <c r="I19" s="32">
        <v>9235.7142857142862</v>
      </c>
      <c r="J19" s="32">
        <v>-6569.2307692307695</v>
      </c>
      <c r="K19" s="31">
        <v>0</v>
      </c>
      <c r="L19" s="31">
        <v>0.44029850746268656</v>
      </c>
      <c r="M19" s="31">
        <v>0.13432835820895522</v>
      </c>
      <c r="N19" s="31">
        <v>0.52542372881355937</v>
      </c>
      <c r="O19" s="31">
        <v>0.44444444444444442</v>
      </c>
      <c r="P19" s="31">
        <v>0.40476190476190477</v>
      </c>
    </row>
    <row r="20" spans="1:16" x14ac:dyDescent="0.4">
      <c r="A20" s="33">
        <v>17</v>
      </c>
      <c r="B20" s="30">
        <v>271.89999999999998</v>
      </c>
      <c r="C20" s="30">
        <v>15.994117647058822</v>
      </c>
      <c r="D20" s="35">
        <v>1.7647058823529411</v>
      </c>
      <c r="E20" s="31">
        <v>0.47058823529411764</v>
      </c>
      <c r="F20" s="31">
        <v>0.23529411764705882</v>
      </c>
      <c r="G20" s="31">
        <v>0.31034482758620691</v>
      </c>
      <c r="H20" s="31">
        <v>0.1103448275862069</v>
      </c>
      <c r="I20" s="32">
        <v>9051.1111111111113</v>
      </c>
      <c r="J20" s="32">
        <v>-6412.5</v>
      </c>
      <c r="K20" s="31">
        <v>0</v>
      </c>
      <c r="L20" s="31">
        <v>0.44137931034482758</v>
      </c>
      <c r="M20" s="31">
        <v>0.1310344827586207</v>
      </c>
      <c r="N20" s="31">
        <v>0.515625</v>
      </c>
      <c r="O20" s="31">
        <v>0.42105263157894735</v>
      </c>
      <c r="P20" s="31">
        <v>0.4</v>
      </c>
    </row>
    <row r="21" spans="1:16" x14ac:dyDescent="0.4">
      <c r="A21" s="33">
        <v>18</v>
      </c>
      <c r="B21" s="30">
        <v>323.7</v>
      </c>
      <c r="C21" s="30">
        <v>17.983333333333334</v>
      </c>
      <c r="D21" s="35">
        <v>1.7222222222222223</v>
      </c>
      <c r="E21" s="31">
        <v>0.5</v>
      </c>
      <c r="F21" s="31">
        <v>0.22222222222222221</v>
      </c>
      <c r="G21" s="31">
        <v>0.31372549019607843</v>
      </c>
      <c r="H21" s="31">
        <v>0.10457516339869281</v>
      </c>
      <c r="I21" s="32">
        <v>9343.75</v>
      </c>
      <c r="J21" s="32">
        <v>-6412.5</v>
      </c>
      <c r="K21" s="31">
        <v>0</v>
      </c>
      <c r="L21" s="31">
        <v>0.43137254901960786</v>
      </c>
      <c r="M21" s="31">
        <v>0.12418300653594772</v>
      </c>
      <c r="N21" s="31">
        <v>0.53030303030303028</v>
      </c>
      <c r="O21" s="31">
        <v>0.42105263157894735</v>
      </c>
      <c r="P21" s="31">
        <v>0.39583333333333331</v>
      </c>
    </row>
    <row r="22" spans="1:16" x14ac:dyDescent="0.4">
      <c r="A22" s="33">
        <v>19</v>
      </c>
      <c r="B22" s="30">
        <v>356.2</v>
      </c>
      <c r="C22" s="30">
        <v>18.747368421052631</v>
      </c>
      <c r="D22" s="35">
        <v>1.6842105263157894</v>
      </c>
      <c r="E22" s="31">
        <v>0.52631578947368418</v>
      </c>
      <c r="F22" s="31">
        <v>0.21052631578947367</v>
      </c>
      <c r="G22" s="31">
        <v>0.32075471698113206</v>
      </c>
      <c r="H22" s="31">
        <v>0.1069182389937107</v>
      </c>
      <c r="I22" s="32">
        <v>9156.8627450980384</v>
      </c>
      <c r="J22" s="32">
        <v>-6505.8823529411766</v>
      </c>
      <c r="K22" s="31">
        <v>0</v>
      </c>
      <c r="L22" s="31">
        <v>0.42767295597484278</v>
      </c>
      <c r="M22" s="31">
        <v>0.12578616352201258</v>
      </c>
      <c r="N22" s="31">
        <v>0.54411764705882348</v>
      </c>
      <c r="O22" s="31">
        <v>0.45</v>
      </c>
      <c r="P22" s="31">
        <v>0.39215686274509803</v>
      </c>
    </row>
    <row r="23" spans="1:16" x14ac:dyDescent="0.4">
      <c r="A23" s="33">
        <v>20</v>
      </c>
      <c r="B23" s="30">
        <v>354.7</v>
      </c>
      <c r="C23" s="30">
        <v>17.734999999999999</v>
      </c>
      <c r="D23" s="35">
        <v>1.7</v>
      </c>
      <c r="E23" s="31">
        <v>0.5</v>
      </c>
      <c r="F23" s="31">
        <v>0.2</v>
      </c>
      <c r="G23" s="31">
        <v>0.31736526946107785</v>
      </c>
      <c r="H23" s="31">
        <v>0.11377245508982035</v>
      </c>
      <c r="I23" s="32">
        <v>9566.0377358490568</v>
      </c>
      <c r="J23" s="32">
        <v>-7189.4736842105267</v>
      </c>
      <c r="K23" s="31">
        <v>0</v>
      </c>
      <c r="L23" s="31">
        <v>0.41916167664670656</v>
      </c>
      <c r="M23" s="31">
        <v>0.1317365269461078</v>
      </c>
      <c r="N23" s="31">
        <v>0.52857142857142858</v>
      </c>
      <c r="O23" s="31">
        <v>0.5</v>
      </c>
      <c r="P23" s="31">
        <v>0.37735849056603776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F5477-AB2D-49D3-9622-79FA60DF6649}">
  <sheetPr codeName="Sheet8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191</v>
      </c>
      <c r="B1" s="34" t="s">
        <v>191</v>
      </c>
      <c r="C1" s="34" t="s">
        <v>191</v>
      </c>
      <c r="D1" s="35" t="s">
        <v>191</v>
      </c>
      <c r="E1" s="34" t="s">
        <v>191</v>
      </c>
      <c r="F1" s="34" t="s">
        <v>191</v>
      </c>
      <c r="G1" s="34" t="s">
        <v>191</v>
      </c>
      <c r="H1" s="34" t="s">
        <v>191</v>
      </c>
      <c r="I1" s="34" t="s">
        <v>191</v>
      </c>
      <c r="J1" s="34" t="s">
        <v>191</v>
      </c>
      <c r="K1" s="34" t="s">
        <v>191</v>
      </c>
      <c r="L1" s="34" t="s">
        <v>191</v>
      </c>
      <c r="M1" s="34" t="s">
        <v>191</v>
      </c>
      <c r="N1" s="34" t="s">
        <v>191</v>
      </c>
      <c r="O1" s="34" t="s">
        <v>191</v>
      </c>
      <c r="P1" s="34" t="s">
        <v>191</v>
      </c>
      <c r="Q1" s="34" t="s">
        <v>191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</v>
      </c>
      <c r="C4" s="30">
        <v>5</v>
      </c>
      <c r="D4" s="35">
        <v>2</v>
      </c>
      <c r="E4" s="31">
        <v>0</v>
      </c>
      <c r="F4" s="31">
        <v>0</v>
      </c>
      <c r="G4" s="31">
        <v>0.375</v>
      </c>
      <c r="H4" s="31">
        <v>0.25</v>
      </c>
      <c r="I4" s="32">
        <v>7300</v>
      </c>
      <c r="J4" s="32">
        <v>-8400</v>
      </c>
      <c r="K4" s="31">
        <v>0</v>
      </c>
      <c r="L4" s="31">
        <v>0.375</v>
      </c>
      <c r="M4" s="31">
        <v>0.125</v>
      </c>
      <c r="N4" s="31">
        <v>0.66666666666666663</v>
      </c>
      <c r="O4" s="31">
        <v>1</v>
      </c>
      <c r="P4" s="31">
        <v>0.66666666666666663</v>
      </c>
    </row>
    <row r="5" spans="1:17" x14ac:dyDescent="0.4">
      <c r="A5" s="33">
        <v>2</v>
      </c>
      <c r="B5" s="30">
        <v>-49.2</v>
      </c>
      <c r="C5" s="30">
        <v>-24.6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0.22222222222222221</v>
      </c>
      <c r="I5" s="32">
        <v>6775</v>
      </c>
      <c r="J5" s="32">
        <v>-10200</v>
      </c>
      <c r="K5" s="31">
        <v>0</v>
      </c>
      <c r="L5" s="31">
        <v>0.3888888888888889</v>
      </c>
      <c r="M5" s="31">
        <v>0.1111111111111111</v>
      </c>
      <c r="N5" s="31">
        <v>0.42857142857142855</v>
      </c>
      <c r="O5" s="31">
        <v>0.5</v>
      </c>
      <c r="P5" s="31">
        <v>0.5</v>
      </c>
    </row>
    <row r="6" spans="1:17" x14ac:dyDescent="0.4">
      <c r="A6" s="33">
        <v>3</v>
      </c>
      <c r="B6" s="30">
        <v>-61.7</v>
      </c>
      <c r="C6" s="30">
        <v>-20.566666666666666</v>
      </c>
      <c r="D6" s="35">
        <v>2.3333333333333335</v>
      </c>
      <c r="E6" s="31">
        <v>0</v>
      </c>
      <c r="F6" s="31">
        <v>0.33333333333333331</v>
      </c>
      <c r="G6" s="31">
        <v>0.21428571428571427</v>
      </c>
      <c r="H6" s="31">
        <v>0.17857142857142858</v>
      </c>
      <c r="I6" s="32">
        <v>7166.666666666667</v>
      </c>
      <c r="J6" s="32">
        <v>-10560</v>
      </c>
      <c r="K6" s="31">
        <v>0</v>
      </c>
      <c r="L6" s="31">
        <v>0.32142857142857145</v>
      </c>
      <c r="M6" s="31">
        <v>0.14285714285714285</v>
      </c>
      <c r="N6" s="31">
        <v>0.44444444444444442</v>
      </c>
      <c r="O6" s="31">
        <v>0.5</v>
      </c>
      <c r="P6" s="31">
        <v>0.33333333333333331</v>
      </c>
    </row>
    <row r="7" spans="1:17" x14ac:dyDescent="0.4">
      <c r="A7" s="33">
        <v>4</v>
      </c>
      <c r="B7" s="30">
        <v>-49.6</v>
      </c>
      <c r="C7" s="30">
        <v>-12.4</v>
      </c>
      <c r="D7" s="35">
        <v>2.25</v>
      </c>
      <c r="E7" s="31">
        <v>0</v>
      </c>
      <c r="F7" s="31">
        <v>0.25</v>
      </c>
      <c r="G7" s="31">
        <v>0.24324324324324326</v>
      </c>
      <c r="H7" s="31">
        <v>0.16216216216216217</v>
      </c>
      <c r="I7" s="32">
        <v>6677.7777777777774</v>
      </c>
      <c r="J7" s="32">
        <v>-10133.333333333334</v>
      </c>
      <c r="K7" s="31">
        <v>0</v>
      </c>
      <c r="L7" s="31">
        <v>0.27027027027027029</v>
      </c>
      <c r="M7" s="31">
        <v>0.13513513513513514</v>
      </c>
      <c r="N7" s="31">
        <v>0.5</v>
      </c>
      <c r="O7" s="31">
        <v>0.6</v>
      </c>
      <c r="P7" s="31">
        <v>0.55555555555555558</v>
      </c>
    </row>
    <row r="8" spans="1:17" x14ac:dyDescent="0.4">
      <c r="A8" s="33">
        <v>5</v>
      </c>
      <c r="B8" s="30">
        <v>-51.4</v>
      </c>
      <c r="C8" s="30">
        <v>-10.28</v>
      </c>
      <c r="D8" s="35">
        <v>2.2000000000000002</v>
      </c>
      <c r="E8" s="31">
        <v>0</v>
      </c>
      <c r="F8" s="31">
        <v>0.2</v>
      </c>
      <c r="G8" s="31">
        <v>0.25</v>
      </c>
      <c r="H8" s="31">
        <v>0.13636363636363635</v>
      </c>
      <c r="I8" s="32">
        <v>7281.818181818182</v>
      </c>
      <c r="J8" s="32">
        <v>-10133.333333333334</v>
      </c>
      <c r="K8" s="31">
        <v>0</v>
      </c>
      <c r="L8" s="31">
        <v>0.31818181818181818</v>
      </c>
      <c r="M8" s="31">
        <v>0.13636363636363635</v>
      </c>
      <c r="N8" s="31">
        <v>0.5</v>
      </c>
      <c r="O8" s="31">
        <v>0.5</v>
      </c>
      <c r="P8" s="31">
        <v>0.45454545454545453</v>
      </c>
    </row>
    <row r="9" spans="1:17" x14ac:dyDescent="0.4">
      <c r="A9" s="33">
        <v>6</v>
      </c>
      <c r="B9" s="30">
        <v>-106.9</v>
      </c>
      <c r="C9" s="30">
        <v>-17.816666666666666</v>
      </c>
      <c r="D9" s="35">
        <v>2.3333333333333335</v>
      </c>
      <c r="E9" s="31">
        <v>0</v>
      </c>
      <c r="F9" s="31">
        <v>0.33333333333333331</v>
      </c>
      <c r="G9" s="31">
        <v>0.23404255319148937</v>
      </c>
      <c r="H9" s="31">
        <v>0.1702127659574468</v>
      </c>
      <c r="I9" s="32">
        <v>7281.818181818182</v>
      </c>
      <c r="J9" s="32">
        <v>-10850</v>
      </c>
      <c r="K9" s="31">
        <v>0.16666666666666666</v>
      </c>
      <c r="L9" s="31">
        <v>0.31914893617021278</v>
      </c>
      <c r="M9" s="31">
        <v>0.1276595744680851</v>
      </c>
      <c r="N9" s="31">
        <v>0.46666666666666667</v>
      </c>
      <c r="O9" s="31">
        <v>0.5</v>
      </c>
      <c r="P9" s="31">
        <v>0.45454545454545453</v>
      </c>
    </row>
    <row r="10" spans="1:17" x14ac:dyDescent="0.4">
      <c r="A10" s="33">
        <v>7</v>
      </c>
      <c r="B10" s="30">
        <v>-103.4</v>
      </c>
      <c r="C10" s="30">
        <v>-14.771428571428572</v>
      </c>
      <c r="D10" s="35">
        <v>2.2857142857142856</v>
      </c>
      <c r="E10" s="31">
        <v>0</v>
      </c>
      <c r="F10" s="31">
        <v>0.2857142857142857</v>
      </c>
      <c r="G10" s="31">
        <v>0.22222222222222221</v>
      </c>
      <c r="H10" s="31">
        <v>0.14814814814814814</v>
      </c>
      <c r="I10" s="32">
        <v>7675</v>
      </c>
      <c r="J10" s="32">
        <v>-10850</v>
      </c>
      <c r="K10" s="31">
        <v>0.14285714285714285</v>
      </c>
      <c r="L10" s="31">
        <v>0.35185185185185186</v>
      </c>
      <c r="M10" s="31">
        <v>0.1111111111111111</v>
      </c>
      <c r="N10" s="31">
        <v>0.42105263157894735</v>
      </c>
      <c r="O10" s="31">
        <v>0.5</v>
      </c>
      <c r="P10" s="31">
        <v>0.41666666666666669</v>
      </c>
    </row>
    <row r="11" spans="1:17" x14ac:dyDescent="0.4">
      <c r="A11" s="33">
        <v>8</v>
      </c>
      <c r="B11" s="30">
        <v>-62.800000000000004</v>
      </c>
      <c r="C11" s="30">
        <v>-7.8500000000000005</v>
      </c>
      <c r="D11" s="35">
        <v>2.125</v>
      </c>
      <c r="E11" s="31">
        <v>0.125</v>
      </c>
      <c r="F11" s="31">
        <v>0.25</v>
      </c>
      <c r="G11" s="31">
        <v>0.25</v>
      </c>
      <c r="H11" s="31">
        <v>0.13333333333333333</v>
      </c>
      <c r="I11" s="32">
        <v>7846.666666666667</v>
      </c>
      <c r="J11" s="32">
        <v>-10850</v>
      </c>
      <c r="K11" s="31">
        <v>0.125</v>
      </c>
      <c r="L11" s="31">
        <v>0.35</v>
      </c>
      <c r="M11" s="31">
        <v>0.11666666666666667</v>
      </c>
      <c r="N11" s="31">
        <v>0.47619047619047616</v>
      </c>
      <c r="O11" s="31">
        <v>0.5714285714285714</v>
      </c>
      <c r="P11" s="31">
        <v>0.46666666666666667</v>
      </c>
    </row>
    <row r="12" spans="1:17" x14ac:dyDescent="0.4">
      <c r="A12" s="33">
        <v>9</v>
      </c>
      <c r="B12" s="30">
        <v>-28.6</v>
      </c>
      <c r="C12" s="30">
        <v>-3.177777777777778</v>
      </c>
      <c r="D12" s="35">
        <v>2</v>
      </c>
      <c r="E12" s="31">
        <v>0.22222222222222221</v>
      </c>
      <c r="F12" s="31">
        <v>0.22222222222222221</v>
      </c>
      <c r="G12" s="31">
        <v>0.27777777777777779</v>
      </c>
      <c r="H12" s="31">
        <v>0.1388888888888889</v>
      </c>
      <c r="I12" s="32">
        <v>7515</v>
      </c>
      <c r="J12" s="32">
        <v>-9140</v>
      </c>
      <c r="K12" s="31">
        <v>0.1111111111111111</v>
      </c>
      <c r="L12" s="31">
        <v>0.3611111111111111</v>
      </c>
      <c r="M12" s="31">
        <v>0.15277777777777779</v>
      </c>
      <c r="N12" s="31">
        <v>0.46153846153846156</v>
      </c>
      <c r="O12" s="31">
        <v>0.63636363636363635</v>
      </c>
      <c r="P12" s="31">
        <v>0.45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7E166-9984-45F5-90AB-4089035D3D63}">
  <sheetPr codeName="Sheet6"/>
  <dimension ref="A1:Q2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138</v>
      </c>
      <c r="B1" s="34" t="s">
        <v>138</v>
      </c>
      <c r="C1" s="34" t="s">
        <v>138</v>
      </c>
      <c r="D1" s="35" t="s">
        <v>138</v>
      </c>
      <c r="E1" s="34" t="s">
        <v>138</v>
      </c>
      <c r="F1" s="34" t="s">
        <v>138</v>
      </c>
      <c r="G1" s="34" t="s">
        <v>138</v>
      </c>
      <c r="H1" s="34" t="s">
        <v>138</v>
      </c>
      <c r="I1" s="34" t="s">
        <v>138</v>
      </c>
      <c r="J1" s="34" t="s">
        <v>138</v>
      </c>
      <c r="K1" s="34" t="s">
        <v>138</v>
      </c>
      <c r="L1" s="34" t="s">
        <v>138</v>
      </c>
      <c r="M1" s="34" t="s">
        <v>138</v>
      </c>
      <c r="N1" s="34" t="s">
        <v>138</v>
      </c>
      <c r="O1" s="34" t="s">
        <v>138</v>
      </c>
      <c r="P1" s="34" t="s">
        <v>138</v>
      </c>
      <c r="Q1" s="34" t="s">
        <v>138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0.20833333333333334</v>
      </c>
      <c r="I4" s="32">
        <v>7187.5</v>
      </c>
      <c r="J4" s="32">
        <v>-8960</v>
      </c>
      <c r="K4" s="31">
        <v>0</v>
      </c>
      <c r="L4" s="31">
        <v>0.41666666666666669</v>
      </c>
      <c r="M4" s="31">
        <v>8.3333333333333329E-2</v>
      </c>
      <c r="N4" s="31">
        <v>0.6</v>
      </c>
      <c r="O4" s="31">
        <v>0.5</v>
      </c>
      <c r="P4" s="31">
        <v>0.375</v>
      </c>
    </row>
    <row r="5" spans="1:17" x14ac:dyDescent="0.4">
      <c r="A5" s="33">
        <v>2</v>
      </c>
      <c r="B5" s="30">
        <v>3.5527136788005009E-15</v>
      </c>
      <c r="C5" s="30">
        <v>5.9211894646675012E-16</v>
      </c>
      <c r="D5" s="35">
        <v>2</v>
      </c>
      <c r="E5" s="31">
        <v>0.33333333333333331</v>
      </c>
      <c r="F5" s="31">
        <v>0.33333333333333331</v>
      </c>
      <c r="G5" s="31">
        <v>0.27777777777777779</v>
      </c>
      <c r="H5" s="31">
        <v>0.16666666666666666</v>
      </c>
      <c r="I5" s="32">
        <v>8613.3333333333339</v>
      </c>
      <c r="J5" s="32">
        <v>-10888.888888888889</v>
      </c>
      <c r="K5" s="31">
        <v>0</v>
      </c>
      <c r="L5" s="31">
        <v>0.40740740740740738</v>
      </c>
      <c r="M5" s="31">
        <v>9.2592592592592587E-2</v>
      </c>
      <c r="N5" s="31">
        <v>0.59090909090909094</v>
      </c>
      <c r="O5" s="31">
        <v>0.2</v>
      </c>
      <c r="P5" s="31">
        <v>0.4</v>
      </c>
    </row>
    <row r="6" spans="1:17" x14ac:dyDescent="0.4">
      <c r="A6" s="33">
        <v>3</v>
      </c>
      <c r="B6" s="30">
        <v>0</v>
      </c>
      <c r="C6" s="30">
        <v>0</v>
      </c>
      <c r="D6" s="35">
        <v>2</v>
      </c>
      <c r="E6" s="31">
        <v>0.33333333333333331</v>
      </c>
      <c r="F6" s="31">
        <v>0.33333333333333331</v>
      </c>
      <c r="G6" s="31">
        <v>0.27380952380952384</v>
      </c>
      <c r="H6" s="31">
        <v>0.15476190476190477</v>
      </c>
      <c r="I6" s="32">
        <v>8182.608695652174</v>
      </c>
      <c r="J6" s="32">
        <v>-9784.6153846153848</v>
      </c>
      <c r="K6" s="31">
        <v>0</v>
      </c>
      <c r="L6" s="31">
        <v>0.40476190476190477</v>
      </c>
      <c r="M6" s="31">
        <v>0.14285714285714285</v>
      </c>
      <c r="N6" s="31">
        <v>0.5</v>
      </c>
      <c r="O6" s="31">
        <v>0.41666666666666669</v>
      </c>
      <c r="P6" s="31">
        <v>0.43478260869565216</v>
      </c>
    </row>
    <row r="7" spans="1:17" x14ac:dyDescent="0.4">
      <c r="A7" s="33">
        <v>4</v>
      </c>
      <c r="B7" s="30">
        <v>0</v>
      </c>
      <c r="C7" s="30">
        <v>0</v>
      </c>
      <c r="D7" s="35">
        <v>2</v>
      </c>
      <c r="E7" s="31">
        <v>0.33333333333333331</v>
      </c>
      <c r="F7" s="31">
        <v>0.33333333333333331</v>
      </c>
      <c r="G7" s="31">
        <v>0.27027027027027029</v>
      </c>
      <c r="H7" s="31">
        <v>0.15315315315315314</v>
      </c>
      <c r="I7" s="32">
        <v>7700</v>
      </c>
      <c r="J7" s="32">
        <v>-8994.1176470588234</v>
      </c>
      <c r="K7" s="31">
        <v>0</v>
      </c>
      <c r="L7" s="31">
        <v>0.36036036036036034</v>
      </c>
      <c r="M7" s="31">
        <v>0.14414414414414414</v>
      </c>
      <c r="N7" s="31">
        <v>0.5</v>
      </c>
      <c r="O7" s="31">
        <v>0.5</v>
      </c>
      <c r="P7" s="31">
        <v>0.43333333333333335</v>
      </c>
    </row>
    <row r="8" spans="1:17" x14ac:dyDescent="0.4">
      <c r="A8" s="33">
        <v>5</v>
      </c>
      <c r="B8" s="30">
        <v>0</v>
      </c>
      <c r="C8" s="30">
        <v>0</v>
      </c>
      <c r="D8" s="35">
        <v>2</v>
      </c>
      <c r="E8" s="31">
        <v>0.33333333333333331</v>
      </c>
      <c r="F8" s="31">
        <v>0.33333333333333331</v>
      </c>
      <c r="G8" s="31">
        <v>0.27272727272727271</v>
      </c>
      <c r="H8" s="31">
        <v>0.14393939393939395</v>
      </c>
      <c r="I8" s="32">
        <v>7919.4444444444443</v>
      </c>
      <c r="J8" s="32">
        <v>-9100</v>
      </c>
      <c r="K8" s="31">
        <v>0</v>
      </c>
      <c r="L8" s="31">
        <v>0.37121212121212122</v>
      </c>
      <c r="M8" s="31">
        <v>0.13636363636363635</v>
      </c>
      <c r="N8" s="31">
        <v>0.51020408163265307</v>
      </c>
      <c r="O8" s="31">
        <v>0.44444444444444442</v>
      </c>
      <c r="P8" s="31">
        <v>0.47222222222222221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0.27659574468085107</v>
      </c>
      <c r="H9" s="31">
        <v>0.14893617021276595</v>
      </c>
      <c r="I9" s="32">
        <v>8284.6153846153848</v>
      </c>
      <c r="J9" s="32">
        <v>-9471.4285714285706</v>
      </c>
      <c r="K9" s="31">
        <v>5.5555555555555552E-2</v>
      </c>
      <c r="L9" s="31">
        <v>0.36879432624113473</v>
      </c>
      <c r="M9" s="31">
        <v>0.14893617021276595</v>
      </c>
      <c r="N9" s="31">
        <v>0.51923076923076927</v>
      </c>
      <c r="O9" s="31">
        <v>0.42857142857142855</v>
      </c>
      <c r="P9" s="31">
        <v>0.46153846153846156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0.27160493827160492</v>
      </c>
      <c r="H10" s="31">
        <v>0.14814814814814814</v>
      </c>
      <c r="I10" s="32">
        <v>8115.909090909091</v>
      </c>
      <c r="J10" s="32">
        <v>-9204.1666666666661</v>
      </c>
      <c r="K10" s="31">
        <v>4.7619047619047616E-2</v>
      </c>
      <c r="L10" s="31">
        <v>0.36419753086419754</v>
      </c>
      <c r="M10" s="31">
        <v>0.16049382716049382</v>
      </c>
      <c r="N10" s="31">
        <v>0.50847457627118642</v>
      </c>
      <c r="O10" s="31">
        <v>0.38461538461538464</v>
      </c>
      <c r="P10" s="31">
        <v>0.45454545454545453</v>
      </c>
    </row>
    <row r="11" spans="1:17" x14ac:dyDescent="0.4">
      <c r="A11" s="33">
        <v>8</v>
      </c>
      <c r="B11" s="30">
        <v>0</v>
      </c>
      <c r="C11" s="30">
        <v>0</v>
      </c>
      <c r="D11" s="35">
        <v>2</v>
      </c>
      <c r="E11" s="31">
        <v>0.33333333333333331</v>
      </c>
      <c r="F11" s="31">
        <v>0.33333333333333331</v>
      </c>
      <c r="G11" s="31">
        <v>0.27777777777777779</v>
      </c>
      <c r="H11" s="31">
        <v>0.14444444444444443</v>
      </c>
      <c r="I11" s="32">
        <v>8134</v>
      </c>
      <c r="J11" s="32">
        <v>-9419.2307692307695</v>
      </c>
      <c r="K11" s="31">
        <v>8.3333333333333329E-2</v>
      </c>
      <c r="L11" s="31">
        <v>0.3611111111111111</v>
      </c>
      <c r="M11" s="31">
        <v>0.16666666666666666</v>
      </c>
      <c r="N11" s="31">
        <v>0.53846153846153844</v>
      </c>
      <c r="O11" s="31">
        <v>0.36666666666666664</v>
      </c>
      <c r="P11" s="31">
        <v>0.48</v>
      </c>
    </row>
    <row r="12" spans="1:17" x14ac:dyDescent="0.4">
      <c r="A12" s="33">
        <v>9</v>
      </c>
      <c r="B12" s="30">
        <v>7.1054273576010019E-15</v>
      </c>
      <c r="C12" s="30">
        <v>2.631639762074445E-16</v>
      </c>
      <c r="D12" s="35">
        <v>2</v>
      </c>
      <c r="E12" s="31">
        <v>0.33333333333333331</v>
      </c>
      <c r="F12" s="31">
        <v>0.33333333333333331</v>
      </c>
      <c r="G12" s="31">
        <v>0.28240740740740738</v>
      </c>
      <c r="H12" s="31">
        <v>0.14814814814814814</v>
      </c>
      <c r="I12" s="32">
        <v>7927.8688524590161</v>
      </c>
      <c r="J12" s="32">
        <v>-8909.375</v>
      </c>
      <c r="K12" s="31">
        <v>7.407407407407407E-2</v>
      </c>
      <c r="L12" s="31">
        <v>0.3611111111111111</v>
      </c>
      <c r="M12" s="31">
        <v>0.18055555555555555</v>
      </c>
      <c r="N12" s="31">
        <v>0.53846153846153844</v>
      </c>
      <c r="O12" s="31">
        <v>0.38461538461538464</v>
      </c>
      <c r="P12" s="31">
        <v>0.47540983606557374</v>
      </c>
    </row>
    <row r="13" spans="1:17" x14ac:dyDescent="0.4">
      <c r="A13" s="33">
        <v>10</v>
      </c>
      <c r="B13" s="30">
        <v>7.1054273576010019E-15</v>
      </c>
      <c r="C13" s="30">
        <v>2.3684757858670006E-16</v>
      </c>
      <c r="D13" s="35">
        <v>2</v>
      </c>
      <c r="E13" s="31">
        <v>0.33333333333333331</v>
      </c>
      <c r="F13" s="31">
        <v>0.33333333333333331</v>
      </c>
      <c r="G13" s="31">
        <v>0.2813852813852814</v>
      </c>
      <c r="H13" s="31">
        <v>0.15151515151515152</v>
      </c>
      <c r="I13" s="32">
        <v>8055.3846153846152</v>
      </c>
      <c r="J13" s="32">
        <v>-9174.2857142857138</v>
      </c>
      <c r="K13" s="31">
        <v>0.1</v>
      </c>
      <c r="L13" s="31">
        <v>0.354978354978355</v>
      </c>
      <c r="M13" s="31">
        <v>0.17316017316017315</v>
      </c>
      <c r="N13" s="31">
        <v>0.54878048780487809</v>
      </c>
      <c r="O13" s="31">
        <v>0.375</v>
      </c>
      <c r="P13" s="31">
        <v>0.46153846153846156</v>
      </c>
    </row>
    <row r="14" spans="1:17" x14ac:dyDescent="0.4">
      <c r="A14" s="33">
        <v>11</v>
      </c>
      <c r="B14" s="30">
        <v>8.5487172896137054E-15</v>
      </c>
      <c r="C14" s="30">
        <v>2.5905203907920321E-16</v>
      </c>
      <c r="D14" s="35">
        <v>2</v>
      </c>
      <c r="E14" s="31">
        <v>0.33333333333333331</v>
      </c>
      <c r="F14" s="31">
        <v>0.33333333333333331</v>
      </c>
      <c r="G14" s="31">
        <v>0.28514056224899598</v>
      </c>
      <c r="H14" s="31">
        <v>0.1606425702811245</v>
      </c>
      <c r="I14" s="32">
        <v>7877.4647887323945</v>
      </c>
      <c r="J14" s="32">
        <v>-8820</v>
      </c>
      <c r="K14" s="31">
        <v>9.0909090909090912E-2</v>
      </c>
      <c r="L14" s="31">
        <v>0.35742971887550201</v>
      </c>
      <c r="M14" s="31">
        <v>0.17670682730923695</v>
      </c>
      <c r="N14" s="31">
        <v>0.5617977528089888</v>
      </c>
      <c r="O14" s="31">
        <v>0.36363636363636365</v>
      </c>
      <c r="P14" s="31">
        <v>0.43661971830985913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0.28014184397163122</v>
      </c>
      <c r="H15" s="31">
        <v>0.15957446808510639</v>
      </c>
      <c r="I15" s="32">
        <v>8198.7341772151904</v>
      </c>
      <c r="J15" s="32">
        <v>-9644.4444444444453</v>
      </c>
      <c r="K15" s="31">
        <v>0.1111111111111111</v>
      </c>
      <c r="L15" s="31">
        <v>0.35106382978723405</v>
      </c>
      <c r="M15" s="31">
        <v>0.18085106382978725</v>
      </c>
      <c r="N15" s="31">
        <v>0.55555555555555558</v>
      </c>
      <c r="O15" s="31">
        <v>0.33333333333333331</v>
      </c>
      <c r="P15" s="31">
        <v>0.43037974683544306</v>
      </c>
    </row>
    <row r="16" spans="1:17" x14ac:dyDescent="0.4">
      <c r="A16" s="33">
        <v>13</v>
      </c>
      <c r="B16" s="30">
        <v>3.5527136788005009E-15</v>
      </c>
      <c r="C16" s="30">
        <v>9.1095222533346175E-17</v>
      </c>
      <c r="D16" s="35">
        <v>2</v>
      </c>
      <c r="E16" s="31">
        <v>0.33333333333333331</v>
      </c>
      <c r="F16" s="31">
        <v>0.33333333333333331</v>
      </c>
      <c r="G16" s="31">
        <v>0.28333333333333333</v>
      </c>
      <c r="H16" s="31">
        <v>0.16666666666666666</v>
      </c>
      <c r="I16" s="32">
        <v>7982.3529411764703</v>
      </c>
      <c r="J16" s="32">
        <v>-9232</v>
      </c>
      <c r="K16" s="31">
        <v>0.10256410256410256</v>
      </c>
      <c r="L16" s="31">
        <v>0.34333333333333332</v>
      </c>
      <c r="M16" s="31">
        <v>0.18666666666666668</v>
      </c>
      <c r="N16" s="31">
        <v>0.56310679611650483</v>
      </c>
      <c r="O16" s="31">
        <v>0.3392857142857143</v>
      </c>
      <c r="P16" s="31">
        <v>0.41176470588235292</v>
      </c>
    </row>
    <row r="17" spans="1:16" x14ac:dyDescent="0.4">
      <c r="A17" s="33">
        <v>14</v>
      </c>
      <c r="B17" s="30">
        <v>0</v>
      </c>
      <c r="C17" s="30">
        <v>0</v>
      </c>
      <c r="D17" s="35">
        <v>2</v>
      </c>
      <c r="E17" s="31">
        <v>0.33333333333333331</v>
      </c>
      <c r="F17" s="31">
        <v>0.33333333333333331</v>
      </c>
      <c r="G17" s="31">
        <v>0.28616352201257861</v>
      </c>
      <c r="H17" s="31">
        <v>0.16666666666666666</v>
      </c>
      <c r="I17" s="32">
        <v>7840.6593406593411</v>
      </c>
      <c r="J17" s="32">
        <v>-8958.4905660377353</v>
      </c>
      <c r="K17" s="31">
        <v>9.5238095238095233E-2</v>
      </c>
      <c r="L17" s="31">
        <v>0.33647798742138363</v>
      </c>
      <c r="M17" s="31">
        <v>0.18553459119496854</v>
      </c>
      <c r="N17" s="31">
        <v>0.57009345794392519</v>
      </c>
      <c r="O17" s="31">
        <v>0.32203389830508472</v>
      </c>
      <c r="P17" s="31">
        <v>0.4175824175824176</v>
      </c>
    </row>
    <row r="18" spans="1:16" x14ac:dyDescent="0.4">
      <c r="A18" s="33">
        <v>15</v>
      </c>
      <c r="B18" s="30">
        <v>0</v>
      </c>
      <c r="C18" s="30">
        <v>0</v>
      </c>
      <c r="D18" s="35">
        <v>2</v>
      </c>
      <c r="E18" s="31">
        <v>0.33333333333333331</v>
      </c>
      <c r="F18" s="31">
        <v>0.33333333333333331</v>
      </c>
      <c r="G18" s="31">
        <v>0.28695652173913044</v>
      </c>
      <c r="H18" s="31">
        <v>0.1681159420289855</v>
      </c>
      <c r="I18" s="32">
        <v>7884.848484848485</v>
      </c>
      <c r="J18" s="32">
        <v>-8687.9310344827591</v>
      </c>
      <c r="K18" s="31">
        <v>8.8888888888888892E-2</v>
      </c>
      <c r="L18" s="31">
        <v>0.33913043478260868</v>
      </c>
      <c r="M18" s="31">
        <v>0.1855072463768116</v>
      </c>
      <c r="N18" s="31">
        <v>0.5641025641025641</v>
      </c>
      <c r="O18" s="31">
        <v>0.328125</v>
      </c>
      <c r="P18" s="31">
        <v>0.41414141414141414</v>
      </c>
    </row>
    <row r="19" spans="1:16" x14ac:dyDescent="0.4">
      <c r="A19" s="33">
        <v>16</v>
      </c>
      <c r="B19" s="30">
        <v>0</v>
      </c>
      <c r="C19" s="30">
        <v>0</v>
      </c>
      <c r="D19" s="35">
        <v>2</v>
      </c>
      <c r="E19" s="31">
        <v>0.33333333333333331</v>
      </c>
      <c r="F19" s="31">
        <v>0.33333333333333331</v>
      </c>
      <c r="G19" s="31">
        <v>0.2896174863387978</v>
      </c>
      <c r="H19" s="31">
        <v>0.16666666666666666</v>
      </c>
      <c r="I19" s="32">
        <v>7814.1509433962265</v>
      </c>
      <c r="J19" s="32">
        <v>-8565.5737704918029</v>
      </c>
      <c r="K19" s="31">
        <v>8.3333333333333329E-2</v>
      </c>
      <c r="L19" s="31">
        <v>0.34153005464480873</v>
      </c>
      <c r="M19" s="31">
        <v>0.19125683060109289</v>
      </c>
      <c r="N19" s="31">
        <v>0.56000000000000005</v>
      </c>
      <c r="O19" s="31">
        <v>0.32857142857142857</v>
      </c>
      <c r="P19" s="31">
        <v>0.42452830188679247</v>
      </c>
    </row>
    <row r="20" spans="1:16" x14ac:dyDescent="0.4">
      <c r="A20" s="33">
        <v>17</v>
      </c>
      <c r="B20" s="30">
        <v>-4.4408920985006262E-15</v>
      </c>
      <c r="C20" s="30">
        <v>-8.7076315656875022E-17</v>
      </c>
      <c r="D20" s="35">
        <v>2</v>
      </c>
      <c r="E20" s="31">
        <v>0.33333333333333331</v>
      </c>
      <c r="F20" s="31">
        <v>0.33333333333333331</v>
      </c>
      <c r="G20" s="31">
        <v>0.29040404040404039</v>
      </c>
      <c r="H20" s="31">
        <v>0.1691919191919192</v>
      </c>
      <c r="I20" s="32">
        <v>7637.391304347826</v>
      </c>
      <c r="J20" s="32">
        <v>-8261.194029850747</v>
      </c>
      <c r="K20" s="31">
        <v>7.8431372549019607E-2</v>
      </c>
      <c r="L20" s="31">
        <v>0.34343434343434343</v>
      </c>
      <c r="M20" s="31">
        <v>0.18181818181818182</v>
      </c>
      <c r="N20" s="31">
        <v>0.55882352941176472</v>
      </c>
      <c r="O20" s="31">
        <v>0.33333333333333331</v>
      </c>
      <c r="P20" s="31">
        <v>0.41739130434782606</v>
      </c>
    </row>
    <row r="21" spans="1:16" x14ac:dyDescent="0.4">
      <c r="A21" s="33">
        <v>18</v>
      </c>
      <c r="B21" s="30">
        <v>-8.8817841970012523E-15</v>
      </c>
      <c r="C21" s="30">
        <v>-1.6447748512965281E-16</v>
      </c>
      <c r="D21" s="35">
        <v>2</v>
      </c>
      <c r="E21" s="31">
        <v>0.33333333333333331</v>
      </c>
      <c r="F21" s="31">
        <v>0.33333333333333331</v>
      </c>
      <c r="G21" s="31">
        <v>0.29137529137529139</v>
      </c>
      <c r="H21" s="31">
        <v>0.1655011655011655</v>
      </c>
      <c r="I21" s="32">
        <v>7760</v>
      </c>
      <c r="J21" s="32">
        <v>-8336.6197183098593</v>
      </c>
      <c r="K21" s="31">
        <v>7.407407407407407E-2</v>
      </c>
      <c r="L21" s="31">
        <v>0.34032634032634035</v>
      </c>
      <c r="M21" s="31">
        <v>0.17948717948717949</v>
      </c>
      <c r="N21" s="31">
        <v>0.5547945205479452</v>
      </c>
      <c r="O21" s="31">
        <v>0.33766233766233766</v>
      </c>
      <c r="P21" s="31">
        <v>0.432</v>
      </c>
    </row>
    <row r="22" spans="1:16" x14ac:dyDescent="0.4">
      <c r="A22" s="33">
        <v>19</v>
      </c>
      <c r="B22" s="30">
        <v>-1.4210854715202004E-14</v>
      </c>
      <c r="C22" s="30">
        <v>-2.49313240617579E-16</v>
      </c>
      <c r="D22" s="35">
        <v>2</v>
      </c>
      <c r="E22" s="31">
        <v>0.33333333333333331</v>
      </c>
      <c r="F22" s="31">
        <v>0.33333333333333331</v>
      </c>
      <c r="G22" s="31">
        <v>0.29087048832271761</v>
      </c>
      <c r="H22" s="31">
        <v>0.16560509554140126</v>
      </c>
      <c r="I22" s="32">
        <v>7757.6642335766419</v>
      </c>
      <c r="J22" s="32">
        <v>-8341.0256410256407</v>
      </c>
      <c r="K22" s="31">
        <v>7.0175438596491224E-2</v>
      </c>
      <c r="L22" s="31">
        <v>0.32484076433121017</v>
      </c>
      <c r="M22" s="31">
        <v>0.17622080679405519</v>
      </c>
      <c r="N22" s="31">
        <v>0.56209150326797386</v>
      </c>
      <c r="O22" s="31">
        <v>0.33734939759036142</v>
      </c>
      <c r="P22" s="31">
        <v>0.43065693430656932</v>
      </c>
    </row>
    <row r="23" spans="1:16" x14ac:dyDescent="0.4">
      <c r="A23" s="33">
        <v>20</v>
      </c>
      <c r="B23" s="30">
        <v>-2.1316282072803006E-14</v>
      </c>
      <c r="C23" s="30">
        <v>-3.5527136788005011E-16</v>
      </c>
      <c r="D23" s="35">
        <v>2</v>
      </c>
      <c r="E23" s="31">
        <v>0.33333333333333331</v>
      </c>
      <c r="F23" s="31">
        <v>0.33333333333333331</v>
      </c>
      <c r="G23" s="31">
        <v>0.29038854805725972</v>
      </c>
      <c r="H23" s="31">
        <v>0.16155419222903886</v>
      </c>
      <c r="I23" s="32">
        <v>7856.3380281690143</v>
      </c>
      <c r="J23" s="32">
        <v>-8336.7088607594942</v>
      </c>
      <c r="K23" s="31">
        <v>8.3333333333333329E-2</v>
      </c>
      <c r="L23" s="31">
        <v>0.33333333333333331</v>
      </c>
      <c r="M23" s="31">
        <v>0.17177914110429449</v>
      </c>
      <c r="N23" s="31">
        <v>0.55214723926380371</v>
      </c>
      <c r="O23" s="31">
        <v>0.33333333333333331</v>
      </c>
      <c r="P23" s="31">
        <v>0.44366197183098594</v>
      </c>
    </row>
    <row r="24" spans="1:16" x14ac:dyDescent="0.4">
      <c r="A24" s="33">
        <v>21</v>
      </c>
      <c r="B24" s="30">
        <v>-2.042810365310288E-14</v>
      </c>
      <c r="C24" s="30">
        <v>-3.2425561354131554E-16</v>
      </c>
      <c r="D24" s="35">
        <v>2</v>
      </c>
      <c r="E24" s="31">
        <v>0.33333333333333331</v>
      </c>
      <c r="F24" s="31">
        <v>0.33333333333333331</v>
      </c>
      <c r="G24" s="31">
        <v>0.28927203065134099</v>
      </c>
      <c r="H24" s="31">
        <v>0.16283524904214558</v>
      </c>
      <c r="I24" s="32">
        <v>7784.7682119205301</v>
      </c>
      <c r="J24" s="32">
        <v>-8257.6470588235297</v>
      </c>
      <c r="K24" s="31">
        <v>7.9365079365079361E-2</v>
      </c>
      <c r="L24" s="31">
        <v>0.34099616858237547</v>
      </c>
      <c r="M24" s="31">
        <v>0.17432950191570881</v>
      </c>
      <c r="N24" s="31">
        <v>0.5449438202247191</v>
      </c>
      <c r="O24" s="31">
        <v>0.30769230769230771</v>
      </c>
      <c r="P24" s="31">
        <v>0.4370860927152318</v>
      </c>
    </row>
    <row r="25" spans="1:16" x14ac:dyDescent="0.4">
      <c r="A25" s="33">
        <v>22</v>
      </c>
      <c r="B25" s="30">
        <v>-2.4868995751603507E-14</v>
      </c>
      <c r="C25" s="30">
        <v>-3.7680296593338647E-16</v>
      </c>
      <c r="D25" s="35">
        <v>2</v>
      </c>
      <c r="E25" s="31">
        <v>0.33333333333333331</v>
      </c>
      <c r="F25" s="31">
        <v>0.33333333333333331</v>
      </c>
      <c r="G25" s="31">
        <v>0.28828828828828829</v>
      </c>
      <c r="H25" s="31">
        <v>0.15495495495495495</v>
      </c>
      <c r="I25" s="32">
        <v>7886.25</v>
      </c>
      <c r="J25" s="32">
        <v>-8347.6744186046508</v>
      </c>
      <c r="K25" s="31">
        <v>9.0909090909090912E-2</v>
      </c>
      <c r="L25" s="31">
        <v>0.33873873873873872</v>
      </c>
      <c r="M25" s="31">
        <v>0.17657657657657658</v>
      </c>
      <c r="N25" s="31">
        <v>0.5478723404255319</v>
      </c>
      <c r="O25" s="31">
        <v>0.31632653061224492</v>
      </c>
      <c r="P25" s="31">
        <v>0.46250000000000002</v>
      </c>
    </row>
    <row r="26" spans="1:16" x14ac:dyDescent="0.4">
      <c r="A26" s="33">
        <v>23</v>
      </c>
      <c r="B26" s="30">
        <v>-2.1316282072803006E-14</v>
      </c>
      <c r="C26" s="30">
        <v>-3.0893162424352181E-16</v>
      </c>
      <c r="D26" s="35">
        <v>2</v>
      </c>
      <c r="E26" s="31">
        <v>0.33333333333333331</v>
      </c>
      <c r="F26" s="31">
        <v>0.33333333333333331</v>
      </c>
      <c r="G26" s="31">
        <v>0.29015544041450775</v>
      </c>
      <c r="H26" s="31">
        <v>0.15544041450777202</v>
      </c>
      <c r="I26" s="32">
        <v>7935.1190476190477</v>
      </c>
      <c r="J26" s="32">
        <v>-8278.8888888888887</v>
      </c>
      <c r="K26" s="31">
        <v>8.6956521739130432E-2</v>
      </c>
      <c r="L26" s="31">
        <v>0.33160621761658032</v>
      </c>
      <c r="M26" s="31">
        <v>0.17962003454231434</v>
      </c>
      <c r="N26" s="31">
        <v>0.55729166666666663</v>
      </c>
      <c r="O26" s="31">
        <v>0.31730769230769229</v>
      </c>
      <c r="P26" s="31">
        <v>0.4642857142857143</v>
      </c>
    </row>
    <row r="27" spans="1:16" x14ac:dyDescent="0.4">
      <c r="A27" s="33">
        <v>24</v>
      </c>
      <c r="B27" s="30">
        <v>-2.1316282072803006E-14</v>
      </c>
      <c r="C27" s="30">
        <v>-2.9605947323337506E-16</v>
      </c>
      <c r="D27" s="35">
        <v>2</v>
      </c>
      <c r="E27" s="31">
        <v>0.33333333333333331</v>
      </c>
      <c r="F27" s="31">
        <v>0.33333333333333331</v>
      </c>
      <c r="G27" s="31">
        <v>0.29145728643216079</v>
      </c>
      <c r="H27" s="31">
        <v>0.15912897822445563</v>
      </c>
      <c r="I27" s="32">
        <v>7894.2528735632186</v>
      </c>
      <c r="J27" s="32">
        <v>-8213.6842105263149</v>
      </c>
      <c r="K27" s="31">
        <v>8.3333333333333329E-2</v>
      </c>
      <c r="L27" s="31">
        <v>0.33333333333333331</v>
      </c>
      <c r="M27" s="31">
        <v>0.17922948073701842</v>
      </c>
      <c r="N27" s="31">
        <v>0.56281407035175879</v>
      </c>
      <c r="O27" s="31">
        <v>0.31775700934579437</v>
      </c>
      <c r="P27" s="31">
        <v>0.45402298850574713</v>
      </c>
    </row>
    <row r="28" spans="1:16" x14ac:dyDescent="0.4">
      <c r="A28" s="33">
        <v>25</v>
      </c>
      <c r="B28" s="30">
        <v>-2.1316282072803006E-14</v>
      </c>
      <c r="C28" s="30">
        <v>-2.8421709430404008E-16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0.1610305958132045</v>
      </c>
      <c r="I28" s="32">
        <v>8100.5524861878457</v>
      </c>
      <c r="J28" s="32">
        <v>-8489</v>
      </c>
      <c r="K28" s="31">
        <v>0.08</v>
      </c>
      <c r="L28" s="31">
        <v>0.32850241545893721</v>
      </c>
      <c r="M28" s="31">
        <v>0.17874396135265699</v>
      </c>
      <c r="N28" s="31">
        <v>0.56372549019607843</v>
      </c>
      <c r="O28" s="31">
        <v>0.32432432432432434</v>
      </c>
      <c r="P28" s="31">
        <v>0.44751381215469616</v>
      </c>
    </row>
    <row r="29" spans="1:16" x14ac:dyDescent="0.4">
      <c r="A29" s="33">
        <v>26</v>
      </c>
      <c r="B29" s="30">
        <v>-1.4210854715202004E-14</v>
      </c>
      <c r="C29" s="30">
        <v>-1.8219044506669235E-16</v>
      </c>
      <c r="D29" s="35">
        <v>2</v>
      </c>
      <c r="E29" s="31">
        <v>0.33333333333333331</v>
      </c>
      <c r="F29" s="31">
        <v>0.33333333333333331</v>
      </c>
      <c r="G29" s="31">
        <v>0.29166666666666669</v>
      </c>
      <c r="H29" s="31">
        <v>0.15740740740740741</v>
      </c>
      <c r="I29" s="32">
        <v>8216.402116402116</v>
      </c>
      <c r="J29" s="32">
        <v>-8450</v>
      </c>
      <c r="K29" s="31">
        <v>7.6923076923076927E-2</v>
      </c>
      <c r="L29" s="31">
        <v>0.32561728395061729</v>
      </c>
      <c r="M29" s="31">
        <v>0.17901234567901234</v>
      </c>
      <c r="N29" s="31">
        <v>0.56398104265402849</v>
      </c>
      <c r="O29" s="31">
        <v>0.31896551724137934</v>
      </c>
      <c r="P29" s="31">
        <v>0.46031746031746029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504</vt:i4>
      </vt:variant>
    </vt:vector>
  </HeadingPairs>
  <TitlesOfParts>
    <vt:vector size="538" baseType="lpstr">
      <vt:lpstr>Cache</vt:lpstr>
      <vt:lpstr>Template2</vt:lpstr>
      <vt:lpstr>Players</vt:lpstr>
      <vt:lpstr>Template1</vt:lpstr>
      <vt:lpstr>ランキング</vt:lpstr>
      <vt:lpstr>全体</vt:lpstr>
      <vt:lpstr>りくと</vt:lpstr>
      <vt:lpstr>だいち</vt:lpstr>
      <vt:lpstr>わさび</vt:lpstr>
      <vt:lpstr>れんたろう</vt:lpstr>
      <vt:lpstr>たかの</vt:lpstr>
      <vt:lpstr>ただ</vt:lpstr>
      <vt:lpstr>ただ2</vt:lpstr>
      <vt:lpstr>たかの2</vt:lpstr>
      <vt:lpstr>れんたろう2</vt:lpstr>
      <vt:lpstr>わさび2</vt:lpstr>
      <vt:lpstr>だいち2</vt:lpstr>
      <vt:lpstr>りくと2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りくと!ツモ数</vt:lpstr>
      <vt:lpstr>れんたろう!ツモ数</vt:lpstr>
      <vt:lpstr>わさび!ツモ数</vt:lpstr>
      <vt:lpstr>全体!ツモ数</vt:lpstr>
      <vt:lpstr>Template1!ツモ率</vt:lpstr>
      <vt:lpstr>だいち!ツモ率</vt:lpstr>
      <vt:lpstr>たかの!ツモ率</vt:lpstr>
      <vt:lpstr>ただ!ツモ率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りくと!トップ率</vt:lpstr>
      <vt:lpstr>れんたろう!トップ率</vt:lpstr>
      <vt:lpstr>わさび!トップ率</vt:lpstr>
      <vt:lpstr>全体!トップ率</vt:lpstr>
      <vt:lpstr>だいち!バランス</vt:lpstr>
      <vt:lpstr>たかの!バランス</vt:lpstr>
      <vt:lpstr>ただ!バランス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りくと!ラス数</vt:lpstr>
      <vt:lpstr>れんたろう!ラス数</vt:lpstr>
      <vt:lpstr>わさび!ラス数</vt:lpstr>
      <vt:lpstr>全体!ラス数</vt:lpstr>
      <vt:lpstr>Template1!ラス率</vt:lpstr>
      <vt:lpstr>だいち!ラス率</vt:lpstr>
      <vt:lpstr>たかの!ラス率</vt:lpstr>
      <vt:lpstr>ただ!ラス率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りくと!リーチ率</vt:lpstr>
      <vt:lpstr>れんたろう!リーチ率</vt:lpstr>
      <vt:lpstr>わさび!リーチ率</vt:lpstr>
      <vt:lpstr>全体!リーチ率</vt:lpstr>
      <vt:lpstr>だいち!レーティング</vt:lpstr>
      <vt:lpstr>たかの!レーティング</vt:lpstr>
      <vt:lpstr>ただ!レーティング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だいち!ロン数</vt:lpstr>
      <vt:lpstr>たかの!ロン数</vt:lpstr>
      <vt:lpstr>ただ!ロン数</vt:lpstr>
      <vt:lpstr>りくと!ロン数</vt:lpstr>
      <vt:lpstr>れんたろう!ロン数</vt:lpstr>
      <vt:lpstr>わさび!ロン数</vt:lpstr>
      <vt:lpstr>全体!ロン数</vt:lpstr>
      <vt:lpstr>Template1!ロン率</vt:lpstr>
      <vt:lpstr>だいち!ロン率</vt:lpstr>
      <vt:lpstr>たかの!ロン率</vt:lpstr>
      <vt:lpstr>ただ!ロン率</vt:lpstr>
      <vt:lpstr>りくと!ロン率</vt:lpstr>
      <vt:lpstr>れんたろう!ロン率</vt:lpstr>
      <vt:lpstr>わさび!ロン率</vt:lpstr>
      <vt:lpstr>全体!ロン率</vt:lpstr>
      <vt:lpstr>だいち!一位スコア</vt:lpstr>
      <vt:lpstr>たかの!一位スコア</vt:lpstr>
      <vt:lpstr>ただ!一位スコア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りくと!一翻数</vt:lpstr>
      <vt:lpstr>れんたろう!一翻数</vt:lpstr>
      <vt:lpstr>わさび!一翻数</vt:lpstr>
      <vt:lpstr>全体!一翻数</vt:lpstr>
      <vt:lpstr>一翻数</vt:lpstr>
      <vt:lpstr>だいち!一翻率</vt:lpstr>
      <vt:lpstr>たかの!一翻率</vt:lpstr>
      <vt:lpstr>ただ!一翻率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りくと!最大点数</vt:lpstr>
      <vt:lpstr>れんたろう!最大点数</vt:lpstr>
      <vt:lpstr>わさび!最大点数</vt:lpstr>
      <vt:lpstr>全体!最大点数</vt:lpstr>
      <vt:lpstr>だいち!三位スコア</vt:lpstr>
      <vt:lpstr>たかの!三位スコア</vt:lpstr>
      <vt:lpstr>ただ!三位スコア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りくと!総局数</vt:lpstr>
      <vt:lpstr>れんたろう!総局数</vt:lpstr>
      <vt:lpstr>わさび!総局数</vt:lpstr>
      <vt:lpstr>全体!総局数</vt:lpstr>
      <vt:lpstr>Template1!対戦数</vt:lpstr>
      <vt:lpstr>だいち!対戦数</vt:lpstr>
      <vt:lpstr>たかの!対戦数</vt:lpstr>
      <vt:lpstr>ただ!対戦数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だいち!二位スコア</vt:lpstr>
      <vt:lpstr>たかの!二位スコア</vt:lpstr>
      <vt:lpstr>ただ!二位スコア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りくと!二位数</vt:lpstr>
      <vt:lpstr>れんたろう!二位数</vt:lpstr>
      <vt:lpstr>わさび!二位数</vt:lpstr>
      <vt:lpstr>全体!二位数</vt:lpstr>
      <vt:lpstr>だいち!二位通算スコア</vt:lpstr>
      <vt:lpstr>たかの!二位通算スコア</vt:lpstr>
      <vt:lpstr>ただ!二位通算スコア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りくと!放銃数</vt:lpstr>
      <vt:lpstr>れんたろう!放銃数</vt:lpstr>
      <vt:lpstr>わさび!放銃数</vt:lpstr>
      <vt:lpstr>全体!放銃数</vt:lpstr>
      <vt:lpstr>Template1!放銃率</vt:lpstr>
      <vt:lpstr>だいち!放銃率</vt:lpstr>
      <vt:lpstr>たかの!放銃率</vt:lpstr>
      <vt:lpstr>ただ!放銃率</vt:lpstr>
      <vt:lpstr>りくと!放銃率</vt:lpstr>
      <vt:lpstr>れんたろう!放銃率</vt:lpstr>
      <vt:lpstr>わさび!放銃率</vt:lpstr>
      <vt:lpstr>全体!放銃率</vt:lpstr>
      <vt:lpstr>Template1!名前</vt:lpstr>
      <vt:lpstr>だいち!名前</vt:lpstr>
      <vt:lpstr>たかの!名前</vt:lpstr>
      <vt:lpstr>ただ!名前</vt:lpstr>
      <vt:lpstr>りくと!名前</vt:lpstr>
      <vt:lpstr>れんたろう!名前</vt:lpstr>
      <vt:lpstr>わさび!名前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2023-05-02T11:07:25Z</dcterms:modified>
</cp:coreProperties>
</file>