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5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6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8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9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0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2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3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4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6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7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C9B78247-8581-4EE6-9237-356A61CFA9AD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16" r:id="rId6"/>
    <sheet name="れんたろう" sheetId="6218" r:id="rId7"/>
    <sheet name="たかの" sheetId="6220" r:id="rId8"/>
    <sheet name="ただ" sheetId="6222" r:id="rId9"/>
    <sheet name="だいち" sheetId="6224" r:id="rId10"/>
    <sheet name="りくと" sheetId="6226" r:id="rId11"/>
    <sheet name="わさび" sheetId="6228" r:id="rId12"/>
    <sheet name="まっつん" sheetId="6230" r:id="rId13"/>
    <sheet name="ぱぱ" sheetId="6232" r:id="rId14"/>
    <sheet name="やがさき" sheetId="6234" r:id="rId15"/>
    <sheet name="やがさき2" sheetId="6235" state="hidden" r:id="rId16"/>
    <sheet name="ぱぱ2" sheetId="6233" state="hidden" r:id="rId17"/>
    <sheet name="まっつん2" sheetId="6231" state="hidden" r:id="rId18"/>
    <sheet name="わさび2" sheetId="6229" state="hidden" r:id="rId19"/>
    <sheet name="りくと2" sheetId="6227" state="hidden" r:id="rId20"/>
    <sheet name="だいち2" sheetId="6225" state="hidden" r:id="rId21"/>
    <sheet name="ただ2" sheetId="6223" state="hidden" r:id="rId22"/>
    <sheet name="たかの2" sheetId="6221" state="hidden" r:id="rId23"/>
    <sheet name="れんたろう2" sheetId="6219" state="hidden" r:id="rId24"/>
    <sheet name="全体2" sheetId="621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3">ぱぱ!$B$20</definedName>
    <definedName name="アガリ数" localSheetId="12">まっつん!$B$20</definedName>
    <definedName name="アガリ数" localSheetId="14">やがさき!$B$20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3">ぱぱ!$C$20</definedName>
    <definedName name="アガリ率" localSheetId="12">まっつん!$C$20</definedName>
    <definedName name="アガリ率" localSheetId="14">やがさき!$C$20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3">ぱぱ!$B$26</definedName>
    <definedName name="ダマアガリ数" localSheetId="12">まっつん!$B$26</definedName>
    <definedName name="ダマアガリ数" localSheetId="14">やがさき!$B$26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3">ぱぱ!$C$26</definedName>
    <definedName name="ダマアガリ率" localSheetId="12">まっつん!$C$26</definedName>
    <definedName name="ダマアガリ率" localSheetId="14">やがさき!$C$26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3">ぱぱ!$B$35</definedName>
    <definedName name="チョンボ数" localSheetId="12">まっつん!$B$35</definedName>
    <definedName name="チョンボ数" localSheetId="14">やがさき!$B$35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3">ぱぱ!$C$35</definedName>
    <definedName name="チョンボ率" localSheetId="12">まっつん!$C$35</definedName>
    <definedName name="チョンボ率" localSheetId="14">やがさき!$C$35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3">ぱぱ!$B$22</definedName>
    <definedName name="ツモ数" localSheetId="12">まっつん!$B$22</definedName>
    <definedName name="ツモ数" localSheetId="14">やがさき!$B$22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3">ぱぱ!$C$22</definedName>
    <definedName name="ツモ率" localSheetId="12">まっつん!$C$22</definedName>
    <definedName name="ツモ率" localSheetId="14">やがさき!$C$22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3">ぱぱ!$B$8</definedName>
    <definedName name="トップ数" localSheetId="12">まっつん!$B$8</definedName>
    <definedName name="トップ数" localSheetId="14">やがさき!$B$8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3">ぱぱ!$C$8</definedName>
    <definedName name="トップ率" localSheetId="12">まっつん!$C$8</definedName>
    <definedName name="トップ率" localSheetId="14">やがさき!$C$8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3">ぱぱ!$B$14</definedName>
    <definedName name="バランス" localSheetId="12">まっつん!$B$14</definedName>
    <definedName name="バランス" localSheetId="14">やがさき!$B$14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3">ぱぱ!$B$15</definedName>
    <definedName name="ふっとび数" localSheetId="12">まっつん!$B$15</definedName>
    <definedName name="ふっとび数" localSheetId="14">やがさき!$B$15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3">ぱぱ!$C$15</definedName>
    <definedName name="ふっとび率" localSheetId="12">まっつん!$C$15</definedName>
    <definedName name="ふっとび率" localSheetId="14">やがさき!$C$15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3">ぱぱ!$B$10</definedName>
    <definedName name="ラス数" localSheetId="12">まっつん!$B$10</definedName>
    <definedName name="ラス数" localSheetId="14">やがさき!$B$10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3">ぱぱ!$C$10</definedName>
    <definedName name="ラス率" localSheetId="12">まっつん!$C$10</definedName>
    <definedName name="ラス率" localSheetId="14">やがさき!$C$10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3">ぱぱ!$B$24</definedName>
    <definedName name="リーチアガリ数" localSheetId="12">まっつん!$B$24</definedName>
    <definedName name="リーチアガリ数" localSheetId="14">やがさき!$B$24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3">ぱぱ!$C$24</definedName>
    <definedName name="リーチアガリ率" localSheetId="12">まっつん!$C$24</definedName>
    <definedName name="リーチアガリ率" localSheetId="14">やがさき!$C$24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3">ぱぱ!$B$16</definedName>
    <definedName name="リーチ数" localSheetId="12">まっつん!$B$16</definedName>
    <definedName name="リーチ数" localSheetId="14">やがさき!$B$16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3">ぱぱ!$B$18</definedName>
    <definedName name="リーチ成功数" localSheetId="12">まっつん!$B$18</definedName>
    <definedName name="リーチ成功数" localSheetId="14">やがさき!$B$18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3">ぱぱ!$C$18</definedName>
    <definedName name="リーチ成功率" localSheetId="12">まっつん!$C$18</definedName>
    <definedName name="リーチ成功率" localSheetId="14">やがさき!$C$18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3">ぱぱ!$C$16</definedName>
    <definedName name="リーチ率" localSheetId="12">まっつん!$C$16</definedName>
    <definedName name="リーチ率" localSheetId="14">やがさき!$C$16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3">ぱぱ!$B$6</definedName>
    <definedName name="レーティング" localSheetId="12">まっつん!$B$6</definedName>
    <definedName name="レーティング" localSheetId="14">やがさき!$B$6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3">ぱぱ!$B$23</definedName>
    <definedName name="ロン数" localSheetId="12">まっつん!$B$23</definedName>
    <definedName name="ロン数" localSheetId="14">やがさき!$B$23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3">ぱぱ!$C$23</definedName>
    <definedName name="ロン率" localSheetId="12">まっつん!$C$23</definedName>
    <definedName name="ロン率" localSheetId="14">やがさき!$C$23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3">ぱぱ!$B$11</definedName>
    <definedName name="一位スコア" localSheetId="12">まっつん!$B$11</definedName>
    <definedName name="一位スコア" localSheetId="14">やがさき!$B$11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3">ぱぱ!$C$11</definedName>
    <definedName name="一位通算スコア" localSheetId="12">まっつん!$C$11</definedName>
    <definedName name="一位通算スコア" localSheetId="14">やがさき!$C$11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3">ぱぱ!$B$37</definedName>
    <definedName name="一翻数" localSheetId="12">まっつん!$B$37</definedName>
    <definedName name="一翻数" localSheetId="14">やがさき!$B$37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3">ぱぱ!$C$37</definedName>
    <definedName name="一翻率" localSheetId="12">まっつん!$C$37</definedName>
    <definedName name="一翻率" localSheetId="14">やがさき!$C$37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3">ぱぱ!$C$31</definedName>
    <definedName name="現行連続アガリ" localSheetId="12">まっつん!$C$31</definedName>
    <definedName name="現行連続アガリ" localSheetId="14">やがさき!$C$31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3">ぱぱ!$C$32</definedName>
    <definedName name="現行連続無放銃" localSheetId="12">まっつん!$C$32</definedName>
    <definedName name="現行連続無放銃" localSheetId="14">やがさき!$C$32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3">ぱぱ!$B$34</definedName>
    <definedName name="最高点" localSheetId="12">まっつん!$B$34</definedName>
    <definedName name="最高点" localSheetId="14">やがさき!$B$34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3">ぱぱ!$B$33</definedName>
    <definedName name="最大ドラ数" localSheetId="12">まっつん!$B$33</definedName>
    <definedName name="最大ドラ数" localSheetId="14">やがさき!$B$33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3">ぱぱ!$B$34</definedName>
    <definedName name="最大点数" localSheetId="12">まっつん!$B$34</definedName>
    <definedName name="最大点数" localSheetId="14">やがさき!$B$34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3">ぱぱ!$B$13</definedName>
    <definedName name="三位スコア" localSheetId="12">まっつん!$B$13</definedName>
    <definedName name="三位スコア" localSheetId="14">やがさき!$B$13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3">ぱぱ!$C$13</definedName>
    <definedName name="三位通算スコア" localSheetId="12">まっつん!$C$13</definedName>
    <definedName name="三位通算スコア" localSheetId="14">やがさき!$C$13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3">ぱぱ!$B$3</definedName>
    <definedName name="総局数" localSheetId="12">まっつん!$B$3</definedName>
    <definedName name="総局数" localSheetId="14">やがさき!$B$3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3">ぱぱ!$B$2</definedName>
    <definedName name="対戦数" localSheetId="12">まっつん!$B$2</definedName>
    <definedName name="対戦数" localSheetId="14">やがさき!$B$2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3">ぱぱ!$C$27</definedName>
    <definedName name="通算アガリ点" localSheetId="12">まっつん!$C$27</definedName>
    <definedName name="通算アガリ点" localSheetId="14">やがさき!$C$27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3">ぱぱ!$B$4</definedName>
    <definedName name="通算スコア" localSheetId="12">まっつん!$B$4</definedName>
    <definedName name="通算スコア" localSheetId="14">やがさき!$B$4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3">ぱぱ!$C$29</definedName>
    <definedName name="通算副露アガリ点" localSheetId="12">まっつん!$C$29</definedName>
    <definedName name="通算副露アガリ点" localSheetId="14">やがさき!$C$29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3">ぱぱ!$C$30</definedName>
    <definedName name="通算放銃点" localSheetId="12">まっつん!$C$30</definedName>
    <definedName name="通算放銃点" localSheetId="14">やがさき!$C$30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3">ぱぱ!$C$28</definedName>
    <definedName name="通算門前アガリ点" localSheetId="12">まっつん!$C$28</definedName>
    <definedName name="通算門前アガリ点" localSheetId="14">やがさき!$C$28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3">ぱぱ!$B$12</definedName>
    <definedName name="二位スコア" localSheetId="12">まっつん!$B$12</definedName>
    <definedName name="二位スコア" localSheetId="14">やがさき!$B$12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3">ぱぱ!$B$9</definedName>
    <definedName name="二位数" localSheetId="12">まっつん!$B$9</definedName>
    <definedName name="二位数" localSheetId="14">やがさき!$B$9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3">ぱぱ!$C$12</definedName>
    <definedName name="二位通算スコア" localSheetId="12">まっつん!$C$12</definedName>
    <definedName name="二位通算スコア" localSheetId="14">やがさき!$C$12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3">ぱぱ!$C$9</definedName>
    <definedName name="二位率" localSheetId="12">まっつん!$C$9</definedName>
    <definedName name="二位率" localSheetId="14">やがさき!$C$9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3">ぱぱ!$B$25</definedName>
    <definedName name="副露アガリ数" localSheetId="12">まっつん!$B$25</definedName>
    <definedName name="副露アガリ数" localSheetId="14">やがさき!$B$25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3">ぱぱ!$B$29</definedName>
    <definedName name="副露アガリ点" localSheetId="12">まっつん!$B$29</definedName>
    <definedName name="副露アガリ点" localSheetId="14">やがさき!$B$29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3">ぱぱ!$C$25</definedName>
    <definedName name="副露アガリ率" localSheetId="12">まっつん!$C$25</definedName>
    <definedName name="副露アガリ率" localSheetId="14">やがさき!$C$25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3">ぱぱ!$B$17</definedName>
    <definedName name="副露数" localSheetId="12">まっつん!$B$17</definedName>
    <definedName name="副露数" localSheetId="14">やがさき!$B$17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3">ぱぱ!$B$19</definedName>
    <definedName name="副露成功数" localSheetId="12">まっつん!$B$19</definedName>
    <definedName name="副露成功数" localSheetId="14">やがさき!$B$19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3">ぱぱ!$C$19</definedName>
    <definedName name="副露成功率" localSheetId="12">まっつん!$C$19</definedName>
    <definedName name="副露成功率" localSheetId="14">やがさき!$C$19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3">ぱぱ!$C$17</definedName>
    <definedName name="副露率" localSheetId="12">まっつん!$C$17</definedName>
    <definedName name="副露率" localSheetId="14">やがさき!$C$17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3">ぱぱ!$B$27</definedName>
    <definedName name="平均アガリ点" localSheetId="12">まっつん!$B$27</definedName>
    <definedName name="平均アガリ点" localSheetId="14">やがさき!$B$27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3">ぱぱ!$B$5</definedName>
    <definedName name="平均スコア" localSheetId="12">まっつん!$B$5</definedName>
    <definedName name="平均スコア" localSheetId="14">やがさき!$B$5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3">ぱぱ!$B$7</definedName>
    <definedName name="平均順位" localSheetId="12">まっつん!$B$7</definedName>
    <definedName name="平均順位" localSheetId="14">やがさき!$B$7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3">ぱぱ!$B$30</definedName>
    <definedName name="平均放銃点" localSheetId="12">まっつん!$B$30</definedName>
    <definedName name="平均放銃点" localSheetId="14">やがさき!$B$30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3">ぱぱ!$B$21</definedName>
    <definedName name="放銃数" localSheetId="12">まっつん!$B$21</definedName>
    <definedName name="放銃数" localSheetId="14">やがさき!$B$21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3">ぱぱ!$C$21</definedName>
    <definedName name="放銃率" localSheetId="12">まっつん!$C$21</definedName>
    <definedName name="放銃率" localSheetId="14">やがさき!$C$21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3">ぱぱ!$B$1</definedName>
    <definedName name="名前" localSheetId="12">まっつん!$B$1</definedName>
    <definedName name="名前" localSheetId="14">やがさき!$B$1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3">ぱぱ!$B$28</definedName>
    <definedName name="門前アガリ点" localSheetId="12">まっつん!$B$28</definedName>
    <definedName name="門前アガリ点" localSheetId="14">やがさき!$B$28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3">ぱぱ!$B$31</definedName>
    <definedName name="連続アガリ" localSheetId="12">まっつん!$B$31</definedName>
    <definedName name="連続アガリ" localSheetId="14">やがさき!$B$31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3">ぱぱ!$B$32</definedName>
    <definedName name="連続無放銃" localSheetId="12">まっつん!$B$32</definedName>
    <definedName name="連続無放銃" localSheetId="14">やがさき!$B$32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9" i="6222" l="1"/>
  <c r="P15" i="6234"/>
  <c r="P20" i="6226"/>
  <c r="P16" i="6224"/>
  <c r="P23" i="6216"/>
  <c r="P16" i="6234"/>
  <c r="P17" i="6234"/>
  <c r="C35" i="6234"/>
  <c r="B30" i="6234"/>
  <c r="C21" i="6234"/>
  <c r="B20" i="6234"/>
  <c r="H52" i="6234" s="1"/>
  <c r="B19" i="6234"/>
  <c r="B29" i="6234" s="1"/>
  <c r="B18" i="6234"/>
  <c r="C18" i="6234" s="1"/>
  <c r="C17" i="6234"/>
  <c r="C16" i="6234"/>
  <c r="C15" i="6234"/>
  <c r="B13" i="6234"/>
  <c r="P12" i="6234"/>
  <c r="B12" i="6234"/>
  <c r="P11" i="6234"/>
  <c r="B11" i="6234"/>
  <c r="B14" i="6234" s="1"/>
  <c r="P10" i="6234"/>
  <c r="C10" i="6234"/>
  <c r="C9" i="6234"/>
  <c r="C8" i="6234"/>
  <c r="P7" i="6234"/>
  <c r="B7" i="6234"/>
  <c r="P6" i="6234"/>
  <c r="P5" i="6234"/>
  <c r="B5" i="6234"/>
  <c r="P4" i="6234"/>
  <c r="P3" i="6234"/>
  <c r="P2" i="6234"/>
  <c r="H9" i="6234" l="1"/>
  <c r="H31" i="6234"/>
  <c r="C19" i="6234"/>
  <c r="H6" i="6234"/>
  <c r="H19" i="6234"/>
  <c r="H24" i="6234"/>
  <c r="H41" i="6234"/>
  <c r="C41" i="6234"/>
  <c r="H20" i="6234"/>
  <c r="H44" i="6234"/>
  <c r="H3" i="6234"/>
  <c r="H16" i="6234"/>
  <c r="C22" i="6234"/>
  <c r="H49" i="6234"/>
  <c r="C23" i="6234"/>
  <c r="C49" i="6234"/>
  <c r="C37" i="6234"/>
  <c r="H17" i="6234"/>
  <c r="C26" i="6234"/>
  <c r="C45" i="6234"/>
  <c r="C25" i="6234"/>
  <c r="H37" i="6234"/>
  <c r="H45" i="6234"/>
  <c r="H29" i="6234"/>
  <c r="H38" i="6234"/>
  <c r="H46" i="6234"/>
  <c r="H21" i="6234"/>
  <c r="C20" i="6234"/>
  <c r="B27" i="6234"/>
  <c r="H40" i="6234"/>
  <c r="H48" i="6234"/>
  <c r="H8" i="6234"/>
  <c r="H10" i="6234"/>
  <c r="H26" i="6234"/>
  <c r="H32" i="6234"/>
  <c r="H42" i="6234"/>
  <c r="H50" i="6234"/>
  <c r="H7" i="6234"/>
  <c r="H15" i="6234"/>
  <c r="H23" i="6234"/>
  <c r="H11" i="6234"/>
  <c r="H28" i="6234"/>
  <c r="H14" i="6234"/>
  <c r="H36" i="6234"/>
  <c r="C40" i="6234"/>
  <c r="C44" i="6234"/>
  <c r="C48" i="6234"/>
  <c r="H27" i="6234"/>
  <c r="H13" i="6234"/>
  <c r="H33" i="6234"/>
  <c r="C38" i="6234"/>
  <c r="C42" i="6234"/>
  <c r="C46" i="6234"/>
  <c r="H51" i="6234"/>
  <c r="H2" i="6234"/>
  <c r="H4" i="6234"/>
  <c r="H18" i="6234"/>
  <c r="H22" i="6234"/>
  <c r="C24" i="6234"/>
  <c r="B28" i="6234"/>
  <c r="H34" i="6234"/>
  <c r="H39" i="6234"/>
  <c r="H43" i="6234"/>
  <c r="H47" i="6234"/>
  <c r="H5" i="6234"/>
  <c r="H25" i="6234"/>
  <c r="H12" i="6234"/>
  <c r="H30" i="6234"/>
  <c r="H35" i="6234"/>
  <c r="C39" i="6234"/>
  <c r="C43" i="6234"/>
  <c r="C47" i="6234"/>
  <c r="P22" i="6224" l="1"/>
  <c r="P16" i="6232"/>
  <c r="P15" i="6232"/>
  <c r="C35" i="6232"/>
  <c r="B30" i="6232"/>
  <c r="C21" i="6232"/>
  <c r="B20" i="6232"/>
  <c r="H52" i="6232" s="1"/>
  <c r="B19" i="6232"/>
  <c r="B29" i="6232" s="1"/>
  <c r="B18" i="6232"/>
  <c r="C18" i="6232" s="1"/>
  <c r="C17" i="6232"/>
  <c r="C16" i="6232"/>
  <c r="C15" i="6232"/>
  <c r="B13" i="6232"/>
  <c r="P12" i="6232"/>
  <c r="B12" i="6232"/>
  <c r="P11" i="6232"/>
  <c r="B11" i="6232"/>
  <c r="P10" i="6232"/>
  <c r="C10" i="6232"/>
  <c r="C9" i="6232"/>
  <c r="C8" i="6232"/>
  <c r="P7" i="6232"/>
  <c r="B7" i="6232"/>
  <c r="P6" i="6232"/>
  <c r="P5" i="6232"/>
  <c r="B5" i="6232"/>
  <c r="P4" i="6232"/>
  <c r="P3" i="6232"/>
  <c r="P2" i="6232"/>
  <c r="P18" i="6218"/>
  <c r="P21" i="6216"/>
  <c r="C19" i="6232" l="1"/>
  <c r="B14" i="6232"/>
  <c r="C20" i="6232"/>
  <c r="H12" i="6232"/>
  <c r="H22" i="6232"/>
  <c r="H24" i="6232"/>
  <c r="C25" i="6232"/>
  <c r="H41" i="6232"/>
  <c r="H45" i="6232"/>
  <c r="H49" i="6232"/>
  <c r="H29" i="6232"/>
  <c r="H7" i="6232"/>
  <c r="H13" i="6232"/>
  <c r="H26" i="6232"/>
  <c r="H19" i="6232"/>
  <c r="H30" i="6232"/>
  <c r="H20" i="6232"/>
  <c r="H37" i="6232"/>
  <c r="C40" i="6232"/>
  <c r="C44" i="6232"/>
  <c r="C48" i="6232"/>
  <c r="H11" i="6232"/>
  <c r="H4" i="6232"/>
  <c r="H25" i="6232"/>
  <c r="C22" i="6232"/>
  <c r="C26" i="6232"/>
  <c r="H38" i="6232"/>
  <c r="H42" i="6232"/>
  <c r="H46" i="6232"/>
  <c r="H50" i="6232"/>
  <c r="H34" i="6232"/>
  <c r="H3" i="6232"/>
  <c r="H10" i="6232"/>
  <c r="H15" i="6232"/>
  <c r="H28" i="6232"/>
  <c r="H31" i="6232"/>
  <c r="H33" i="6232"/>
  <c r="C37" i="6232"/>
  <c r="C41" i="6232"/>
  <c r="C45" i="6232"/>
  <c r="C49" i="6232"/>
  <c r="H5" i="6232"/>
  <c r="C42" i="6232"/>
  <c r="H9" i="6232"/>
  <c r="H16" i="6232"/>
  <c r="H18" i="6232"/>
  <c r="C23" i="6232"/>
  <c r="B27" i="6232"/>
  <c r="H21" i="6232"/>
  <c r="H39" i="6232"/>
  <c r="H43" i="6232"/>
  <c r="H47" i="6232"/>
  <c r="H51" i="6232"/>
  <c r="C38" i="6232"/>
  <c r="H2" i="6232"/>
  <c r="H8" i="6232"/>
  <c r="H23" i="6232"/>
  <c r="H17" i="6232"/>
  <c r="C24" i="6232"/>
  <c r="B28" i="6232"/>
  <c r="H35" i="6232"/>
  <c r="H40" i="6232"/>
  <c r="H44" i="6232"/>
  <c r="H48" i="6232"/>
  <c r="H6" i="6232"/>
  <c r="C46" i="6232"/>
  <c r="H27" i="6232"/>
  <c r="H14" i="6232"/>
  <c r="H32" i="6232"/>
  <c r="H36" i="6232"/>
  <c r="C39" i="6232"/>
  <c r="C43" i="6232"/>
  <c r="C47" i="6232"/>
  <c r="P15" i="6218" l="1"/>
  <c r="P18" i="6226"/>
  <c r="P18" i="6224" l="1"/>
  <c r="P17" i="6226"/>
  <c r="P18" i="6216"/>
  <c r="P16" i="6230"/>
  <c r="P15" i="6230"/>
  <c r="C35" i="6230"/>
  <c r="B30" i="6230"/>
  <c r="C21" i="6230"/>
  <c r="B20" i="6230"/>
  <c r="H52" i="6230" s="1"/>
  <c r="B19" i="6230"/>
  <c r="B29" i="6230" s="1"/>
  <c r="B18" i="6230"/>
  <c r="C18" i="6230" s="1"/>
  <c r="C17" i="6230"/>
  <c r="C16" i="6230"/>
  <c r="C15" i="6230"/>
  <c r="B13" i="6230"/>
  <c r="P12" i="6230"/>
  <c r="B12" i="6230"/>
  <c r="P11" i="6230"/>
  <c r="B11" i="6230"/>
  <c r="P10" i="6230"/>
  <c r="C10" i="6230"/>
  <c r="C9" i="6230"/>
  <c r="C8" i="6230"/>
  <c r="P7" i="6230"/>
  <c r="B7" i="6230"/>
  <c r="P6" i="6230"/>
  <c r="P5" i="6230"/>
  <c r="B5" i="6230"/>
  <c r="P4" i="6230"/>
  <c r="P3" i="6230"/>
  <c r="P2" i="6230"/>
  <c r="B14" i="6230" l="1"/>
  <c r="C19" i="6230"/>
  <c r="H4" i="6230"/>
  <c r="H2" i="6230"/>
  <c r="H5" i="6230"/>
  <c r="H13" i="6230"/>
  <c r="H26" i="6230"/>
  <c r="H14" i="6230"/>
  <c r="H19" i="6230"/>
  <c r="H6" i="6230"/>
  <c r="H12" i="6230"/>
  <c r="C40" i="6230"/>
  <c r="H42" i="6230"/>
  <c r="H8" i="6230"/>
  <c r="H21" i="6230"/>
  <c r="H24" i="6230"/>
  <c r="C22" i="6230"/>
  <c r="H33" i="6230"/>
  <c r="H45" i="6230"/>
  <c r="C23" i="6230"/>
  <c r="C44" i="6230"/>
  <c r="H18" i="6230"/>
  <c r="H22" i="6230"/>
  <c r="C25" i="6230"/>
  <c r="H37" i="6230"/>
  <c r="H46" i="6230"/>
  <c r="H15" i="6230"/>
  <c r="H11" i="6230"/>
  <c r="H29" i="6230"/>
  <c r="H38" i="6230"/>
  <c r="H49" i="6230"/>
  <c r="C26" i="6230"/>
  <c r="H39" i="6230"/>
  <c r="C48" i="6230"/>
  <c r="C20" i="6230"/>
  <c r="B27" i="6230"/>
  <c r="H41" i="6230"/>
  <c r="H50" i="6230"/>
  <c r="H27" i="6230"/>
  <c r="H30" i="6230"/>
  <c r="H32" i="6230"/>
  <c r="C37" i="6230"/>
  <c r="C41" i="6230"/>
  <c r="C45" i="6230"/>
  <c r="C49" i="6230"/>
  <c r="H43" i="6230"/>
  <c r="H47" i="6230"/>
  <c r="H51" i="6230"/>
  <c r="H28" i="6230"/>
  <c r="H10" i="6230"/>
  <c r="H34" i="6230"/>
  <c r="C38" i="6230"/>
  <c r="C42" i="6230"/>
  <c r="C46" i="6230"/>
  <c r="H17" i="6230"/>
  <c r="H7" i="6230"/>
  <c r="H9" i="6230"/>
  <c r="H20" i="6230"/>
  <c r="H23" i="6230"/>
  <c r="C24" i="6230"/>
  <c r="B28" i="6230"/>
  <c r="H35" i="6230"/>
  <c r="H40" i="6230"/>
  <c r="H44" i="6230"/>
  <c r="H48" i="6230"/>
  <c r="H3" i="6230"/>
  <c r="H25" i="6230"/>
  <c r="H16" i="6230"/>
  <c r="H31" i="6230"/>
  <c r="H36" i="6230"/>
  <c r="C39" i="6230"/>
  <c r="C43" i="6230"/>
  <c r="C47" i="6230"/>
  <c r="P16" i="6226" l="1"/>
  <c r="P15" i="6222"/>
  <c r="P16" i="6228" l="1"/>
  <c r="P15" i="6228"/>
  <c r="C35" i="6228"/>
  <c r="B30" i="6228"/>
  <c r="C21" i="6228"/>
  <c r="B20" i="6228"/>
  <c r="H52" i="6228" s="1"/>
  <c r="B19" i="6228"/>
  <c r="B29" i="6228" s="1"/>
  <c r="B18" i="6228"/>
  <c r="C18" i="6228" s="1"/>
  <c r="C17" i="6228"/>
  <c r="C16" i="6228"/>
  <c r="C15" i="6228"/>
  <c r="B13" i="6228"/>
  <c r="P12" i="6228"/>
  <c r="B12" i="6228"/>
  <c r="P11" i="6228"/>
  <c r="B11" i="6228"/>
  <c r="P10" i="6228"/>
  <c r="C10" i="6228"/>
  <c r="C9" i="6228"/>
  <c r="C8" i="6228"/>
  <c r="P7" i="6228"/>
  <c r="B7" i="6228"/>
  <c r="P6" i="6228"/>
  <c r="P5" i="6228"/>
  <c r="B5" i="6228"/>
  <c r="P4" i="6228"/>
  <c r="P3" i="6228"/>
  <c r="P2" i="6228"/>
  <c r="P17" i="6224"/>
  <c r="P15" i="6224"/>
  <c r="P16" i="6216"/>
  <c r="P15" i="6226"/>
  <c r="P19" i="6226"/>
  <c r="C35" i="6226"/>
  <c r="B30" i="6226"/>
  <c r="C21" i="6226"/>
  <c r="B20" i="6226"/>
  <c r="H52" i="6226" s="1"/>
  <c r="B19" i="6226"/>
  <c r="B29" i="6226" s="1"/>
  <c r="B18" i="6226"/>
  <c r="C18" i="6226" s="1"/>
  <c r="C17" i="6226"/>
  <c r="C16" i="6226"/>
  <c r="C15" i="6226"/>
  <c r="B13" i="6226"/>
  <c r="P12" i="6226"/>
  <c r="B12" i="6226"/>
  <c r="P11" i="6226"/>
  <c r="B11" i="6226"/>
  <c r="P10" i="6226"/>
  <c r="C10" i="6226"/>
  <c r="C9" i="6226"/>
  <c r="C8" i="6226"/>
  <c r="P7" i="6226"/>
  <c r="B7" i="6226"/>
  <c r="P6" i="6226"/>
  <c r="P5" i="6226"/>
  <c r="B5" i="6226"/>
  <c r="P4" i="6226"/>
  <c r="P3" i="6226"/>
  <c r="P2" i="6226"/>
  <c r="P15" i="6216"/>
  <c r="C19" i="6228" l="1"/>
  <c r="C19" i="6226"/>
  <c r="B14" i="6228"/>
  <c r="H3" i="6228"/>
  <c r="B14" i="6226"/>
  <c r="H20" i="6228"/>
  <c r="H13" i="6228"/>
  <c r="C22" i="6228"/>
  <c r="H14" i="6228"/>
  <c r="H11" i="6228"/>
  <c r="C37" i="6228"/>
  <c r="C44" i="6228"/>
  <c r="H8" i="6228"/>
  <c r="H17" i="6228"/>
  <c r="H24" i="6228"/>
  <c r="H38" i="6228"/>
  <c r="H45" i="6228"/>
  <c r="H6" i="6228"/>
  <c r="H30" i="6228"/>
  <c r="H2" i="6228"/>
  <c r="C23" i="6228"/>
  <c r="H40" i="6228"/>
  <c r="C45" i="6228"/>
  <c r="H18" i="6228"/>
  <c r="H21" i="6228"/>
  <c r="C25" i="6228"/>
  <c r="H31" i="6228"/>
  <c r="C40" i="6228"/>
  <c r="H46" i="6228"/>
  <c r="H32" i="6228"/>
  <c r="H48" i="6228"/>
  <c r="H9" i="6228"/>
  <c r="H5" i="6228"/>
  <c r="H19" i="6228"/>
  <c r="C20" i="6228"/>
  <c r="C26" i="6228"/>
  <c r="C41" i="6228"/>
  <c r="C48" i="6228"/>
  <c r="H10" i="6228"/>
  <c r="H15" i="6228"/>
  <c r="H28" i="6228"/>
  <c r="H36" i="6228"/>
  <c r="H42" i="6228"/>
  <c r="H49" i="6228"/>
  <c r="H27" i="6228"/>
  <c r="H41" i="6228"/>
  <c r="H7" i="6228"/>
  <c r="H16" i="6228"/>
  <c r="H23" i="6228"/>
  <c r="B27" i="6228"/>
  <c r="H37" i="6228"/>
  <c r="H44" i="6228"/>
  <c r="C49" i="6228"/>
  <c r="H50" i="6228"/>
  <c r="H25" i="6228"/>
  <c r="H12" i="6228"/>
  <c r="H33" i="6228"/>
  <c r="C38" i="6228"/>
  <c r="C42" i="6228"/>
  <c r="C46" i="6228"/>
  <c r="H51" i="6228"/>
  <c r="C24" i="6228"/>
  <c r="B28" i="6228"/>
  <c r="H34" i="6228"/>
  <c r="H39" i="6228"/>
  <c r="H43" i="6228"/>
  <c r="H47" i="6228"/>
  <c r="H4" i="6228"/>
  <c r="H22" i="6228"/>
  <c r="H26" i="6228"/>
  <c r="H29" i="6228"/>
  <c r="H35" i="6228"/>
  <c r="C39" i="6228"/>
  <c r="C43" i="6228"/>
  <c r="C47" i="6228"/>
  <c r="H23" i="6226"/>
  <c r="H41" i="6226"/>
  <c r="H8" i="6226"/>
  <c r="H19" i="6226"/>
  <c r="H24" i="6226"/>
  <c r="H2" i="6226"/>
  <c r="C25" i="6226"/>
  <c r="C26" i="6226"/>
  <c r="H11" i="6226"/>
  <c r="H30" i="6226"/>
  <c r="H7" i="6226"/>
  <c r="H17" i="6226"/>
  <c r="H40" i="6226"/>
  <c r="C49" i="6226"/>
  <c r="C41" i="6226"/>
  <c r="H44" i="6226"/>
  <c r="H5" i="6226"/>
  <c r="C20" i="6226"/>
  <c r="H31" i="6226"/>
  <c r="H45" i="6226"/>
  <c r="H6" i="6226"/>
  <c r="H12" i="6226"/>
  <c r="H22" i="6226"/>
  <c r="C45" i="6226"/>
  <c r="H10" i="6226"/>
  <c r="H15" i="6226"/>
  <c r="C22" i="6226"/>
  <c r="H37" i="6226"/>
  <c r="H48" i="6226"/>
  <c r="H3" i="6226"/>
  <c r="H18" i="6226"/>
  <c r="C37" i="6226"/>
  <c r="H49" i="6226"/>
  <c r="H26" i="6226"/>
  <c r="H16" i="6226"/>
  <c r="H29" i="6226"/>
  <c r="H21" i="6226"/>
  <c r="H36" i="6226"/>
  <c r="C40" i="6226"/>
  <c r="C44" i="6226"/>
  <c r="C48" i="6226"/>
  <c r="H25" i="6226"/>
  <c r="H14" i="6226"/>
  <c r="C23" i="6226"/>
  <c r="B27" i="6226"/>
  <c r="H32" i="6226"/>
  <c r="H38" i="6226"/>
  <c r="H42" i="6226"/>
  <c r="H46" i="6226"/>
  <c r="H50" i="6226"/>
  <c r="H28" i="6226"/>
  <c r="H9" i="6226"/>
  <c r="H33" i="6226"/>
  <c r="C38" i="6226"/>
  <c r="C42" i="6226"/>
  <c r="C46" i="6226"/>
  <c r="H51" i="6226"/>
  <c r="C24" i="6226"/>
  <c r="B28" i="6226"/>
  <c r="H34" i="6226"/>
  <c r="H39" i="6226"/>
  <c r="H43" i="6226"/>
  <c r="H47" i="6226"/>
  <c r="H4" i="6226"/>
  <c r="H27" i="6226"/>
  <c r="H13" i="6226"/>
  <c r="H20" i="6226"/>
  <c r="H35" i="6226"/>
  <c r="C39" i="6226"/>
  <c r="C43" i="6226"/>
  <c r="C47" i="6226"/>
  <c r="P21" i="6224" l="1"/>
  <c r="P16" i="6218"/>
  <c r="P16" i="6222"/>
  <c r="P17" i="6220"/>
  <c r="P20" i="6216"/>
  <c r="P19" i="6224"/>
  <c r="P20" i="6224"/>
  <c r="C35" i="6224"/>
  <c r="B30" i="6224"/>
  <c r="C21" i="6224"/>
  <c r="B20" i="6224"/>
  <c r="H52" i="6224" s="1"/>
  <c r="B19" i="6224"/>
  <c r="B29" i="6224" s="1"/>
  <c r="B18" i="6224"/>
  <c r="C18" i="6224" s="1"/>
  <c r="C17" i="6224"/>
  <c r="C16" i="6224"/>
  <c r="C15" i="6224"/>
  <c r="B13" i="6224"/>
  <c r="P12" i="6224"/>
  <c r="B12" i="6224"/>
  <c r="P11" i="6224"/>
  <c r="B11" i="6224"/>
  <c r="P10" i="6224"/>
  <c r="C10" i="6224"/>
  <c r="C9" i="6224"/>
  <c r="C8" i="6224"/>
  <c r="P7" i="6224"/>
  <c r="B7" i="6224"/>
  <c r="P6" i="6224"/>
  <c r="P5" i="6224"/>
  <c r="B5" i="6224"/>
  <c r="P4" i="6224"/>
  <c r="P3" i="6224"/>
  <c r="P2" i="6224"/>
  <c r="P18" i="6222"/>
  <c r="P17" i="6222"/>
  <c r="C35" i="6222"/>
  <c r="B30" i="6222"/>
  <c r="B29" i="6222"/>
  <c r="C21" i="6222"/>
  <c r="B20" i="6222"/>
  <c r="H51" i="6222" s="1"/>
  <c r="B19" i="6222"/>
  <c r="C19" i="6222" s="1"/>
  <c r="B18" i="6222"/>
  <c r="C18" i="6222" s="1"/>
  <c r="C17" i="6222"/>
  <c r="C16" i="6222"/>
  <c r="C15" i="6222"/>
  <c r="B13" i="6222"/>
  <c r="P12" i="6222"/>
  <c r="B12" i="6222"/>
  <c r="P11" i="6222"/>
  <c r="B11" i="6222"/>
  <c r="P10" i="6222"/>
  <c r="C10" i="6222"/>
  <c r="C9" i="6222"/>
  <c r="C8" i="6222"/>
  <c r="P7" i="6222"/>
  <c r="B7" i="6222"/>
  <c r="P6" i="6222"/>
  <c r="P5" i="6222"/>
  <c r="B5" i="6222"/>
  <c r="P4" i="6222"/>
  <c r="P3" i="6222"/>
  <c r="P2" i="6222"/>
  <c r="P15" i="6220"/>
  <c r="P16" i="6220"/>
  <c r="C35" i="6220"/>
  <c r="B30" i="6220"/>
  <c r="C21" i="6220"/>
  <c r="B20" i="6220"/>
  <c r="H52" i="6220" s="1"/>
  <c r="B19" i="6220"/>
  <c r="C19" i="6220" s="1"/>
  <c r="B18" i="6220"/>
  <c r="C18" i="6220" s="1"/>
  <c r="C17" i="6220"/>
  <c r="C16" i="6220"/>
  <c r="C15" i="6220"/>
  <c r="B13" i="6220"/>
  <c r="P12" i="6220"/>
  <c r="B12" i="6220"/>
  <c r="P11" i="6220"/>
  <c r="B11" i="6220"/>
  <c r="P10" i="6220"/>
  <c r="C10" i="6220"/>
  <c r="C9" i="6220"/>
  <c r="C8" i="6220"/>
  <c r="P7" i="6220"/>
  <c r="B7" i="6220"/>
  <c r="P6" i="6220"/>
  <c r="P5" i="6220"/>
  <c r="B5" i="6220"/>
  <c r="P4" i="6220"/>
  <c r="P3" i="6220"/>
  <c r="P2" i="6220"/>
  <c r="P19" i="6216"/>
  <c r="P17" i="6218"/>
  <c r="P19" i="6218"/>
  <c r="C35" i="6218"/>
  <c r="B30" i="6218"/>
  <c r="C21" i="6218"/>
  <c r="B20" i="6218"/>
  <c r="H52" i="6218" s="1"/>
  <c r="B19" i="6218"/>
  <c r="C19" i="6218" s="1"/>
  <c r="B18" i="6218"/>
  <c r="C18" i="6218" s="1"/>
  <c r="C17" i="6218"/>
  <c r="C16" i="6218"/>
  <c r="C15" i="6218"/>
  <c r="B13" i="6218"/>
  <c r="P12" i="6218"/>
  <c r="B12" i="6218"/>
  <c r="P11" i="6218"/>
  <c r="B11" i="6218"/>
  <c r="P10" i="6218"/>
  <c r="C10" i="6218"/>
  <c r="C9" i="6218"/>
  <c r="C8" i="6218"/>
  <c r="P7" i="6218"/>
  <c r="B7" i="6218"/>
  <c r="P6" i="6218"/>
  <c r="P5" i="6218"/>
  <c r="B5" i="6218"/>
  <c r="P4" i="6218"/>
  <c r="P3" i="6218"/>
  <c r="P2" i="6218"/>
  <c r="P17" i="6216"/>
  <c r="P22" i="6216"/>
  <c r="C35" i="6216"/>
  <c r="B30" i="6216"/>
  <c r="C21" i="6216"/>
  <c r="B20" i="6216"/>
  <c r="H52" i="6216" s="1"/>
  <c r="B19" i="6216"/>
  <c r="B29" i="6216" s="1"/>
  <c r="B18" i="6216"/>
  <c r="C18" i="6216" s="1"/>
  <c r="C17" i="6216"/>
  <c r="C16" i="6216"/>
  <c r="C15" i="6216"/>
  <c r="B13" i="6216"/>
  <c r="P12" i="6216"/>
  <c r="B12" i="6216"/>
  <c r="P11" i="6216"/>
  <c r="B11" i="6216"/>
  <c r="P10" i="6216"/>
  <c r="C10" i="6216"/>
  <c r="C9" i="6216"/>
  <c r="C8" i="6216"/>
  <c r="P7" i="6216"/>
  <c r="B7" i="6216"/>
  <c r="P6" i="6216"/>
  <c r="P5" i="6216"/>
  <c r="B5" i="6216"/>
  <c r="P4" i="6216"/>
  <c r="P3" i="6216"/>
  <c r="P2" i="6216"/>
  <c r="C19" i="6224" l="1"/>
  <c r="H10" i="6224"/>
  <c r="H49" i="6224"/>
  <c r="H23" i="6224"/>
  <c r="H6" i="6222"/>
  <c r="H24" i="6222"/>
  <c r="B14" i="6224"/>
  <c r="H3" i="6224"/>
  <c r="H7" i="6224"/>
  <c r="H4" i="6224"/>
  <c r="H18" i="6224"/>
  <c r="H9" i="6224"/>
  <c r="H25" i="6224"/>
  <c r="H27" i="6224"/>
  <c r="C20" i="6224"/>
  <c r="H2" i="6224"/>
  <c r="C25" i="6224"/>
  <c r="C26" i="6224"/>
  <c r="H41" i="6224"/>
  <c r="H15" i="6224"/>
  <c r="C22" i="6224"/>
  <c r="H5" i="6222"/>
  <c r="H27" i="6222"/>
  <c r="H7" i="6222"/>
  <c r="H17" i="6222"/>
  <c r="H12" i="6222"/>
  <c r="H16" i="6222"/>
  <c r="H42" i="6222"/>
  <c r="H9" i="6222"/>
  <c r="C25" i="6222"/>
  <c r="B14" i="6220"/>
  <c r="H9" i="6218"/>
  <c r="H4" i="6218"/>
  <c r="H13" i="6218"/>
  <c r="H21" i="6218"/>
  <c r="H15" i="6218"/>
  <c r="H16" i="6218"/>
  <c r="C23" i="6218"/>
  <c r="H35" i="6218"/>
  <c r="H24" i="6218"/>
  <c r="H42" i="6218"/>
  <c r="H49" i="6218"/>
  <c r="C24" i="6218"/>
  <c r="H19" i="6218"/>
  <c r="H39" i="6218"/>
  <c r="C41" i="6218"/>
  <c r="C48" i="6218"/>
  <c r="H50" i="6218"/>
  <c r="H2" i="6218"/>
  <c r="H8" i="6218"/>
  <c r="H26" i="6218"/>
  <c r="H31" i="6218"/>
  <c r="C25" i="6218"/>
  <c r="H20" i="6218"/>
  <c r="H25" i="6218"/>
  <c r="H45" i="6218"/>
  <c r="C49" i="6218"/>
  <c r="H7" i="6218"/>
  <c r="H29" i="6218"/>
  <c r="H12" i="6218"/>
  <c r="C37" i="6218"/>
  <c r="H27" i="6218"/>
  <c r="H33" i="6218"/>
  <c r="H36" i="6218"/>
  <c r="H40" i="6218"/>
  <c r="C44" i="6218"/>
  <c r="H51" i="6218"/>
  <c r="C20" i="6218"/>
  <c r="H43" i="6218"/>
  <c r="H18" i="6218"/>
  <c r="H30" i="6218"/>
  <c r="H14" i="6218"/>
  <c r="C26" i="6218"/>
  <c r="H23" i="6218"/>
  <c r="C39" i="6218"/>
  <c r="H46" i="6218"/>
  <c r="H5" i="6218"/>
  <c r="H10" i="6218"/>
  <c r="H28" i="6218"/>
  <c r="B28" i="6218"/>
  <c r="C22" i="6218"/>
  <c r="H34" i="6218"/>
  <c r="H38" i="6218"/>
  <c r="H41" i="6218"/>
  <c r="C45" i="6218"/>
  <c r="H3" i="6218"/>
  <c r="H32" i="6218"/>
  <c r="B27" i="6218"/>
  <c r="C40" i="6218"/>
  <c r="H47" i="6218"/>
  <c r="B14" i="6222"/>
  <c r="H15" i="6222"/>
  <c r="C39" i="6222"/>
  <c r="C26" i="6222"/>
  <c r="H43" i="6222"/>
  <c r="H10" i="6222"/>
  <c r="B27" i="6222"/>
  <c r="H4" i="6222"/>
  <c r="H32" i="6222"/>
  <c r="H40" i="6222"/>
  <c r="H47" i="6222"/>
  <c r="H35" i="6222"/>
  <c r="C23" i="6222"/>
  <c r="C47" i="6222"/>
  <c r="H19" i="6222"/>
  <c r="H34" i="6222"/>
  <c r="C41" i="6222"/>
  <c r="C48" i="6222"/>
  <c r="H49" i="6222"/>
  <c r="H22" i="6222"/>
  <c r="H14" i="6222"/>
  <c r="B28" i="6222"/>
  <c r="H37" i="6222"/>
  <c r="H44" i="6222"/>
  <c r="H52" i="6222"/>
  <c r="H2" i="6222"/>
  <c r="H11" i="6222"/>
  <c r="H23" i="6222"/>
  <c r="H26" i="6222"/>
  <c r="C22" i="6222"/>
  <c r="C37" i="6222"/>
  <c r="C44" i="6222"/>
  <c r="H18" i="6222"/>
  <c r="H28" i="6222"/>
  <c r="H20" i="6222"/>
  <c r="H38" i="6222"/>
  <c r="H46" i="6222"/>
  <c r="B14" i="6216"/>
  <c r="H4" i="6220"/>
  <c r="H13" i="6220"/>
  <c r="H13" i="6224"/>
  <c r="H26" i="6224"/>
  <c r="H45" i="6224"/>
  <c r="H5" i="6224"/>
  <c r="H12" i="6224"/>
  <c r="H28" i="6224"/>
  <c r="H17" i="6224"/>
  <c r="H32" i="6224"/>
  <c r="H19" i="6224"/>
  <c r="H38" i="6224"/>
  <c r="C40" i="6224"/>
  <c r="C44" i="6224"/>
  <c r="C48" i="6224"/>
  <c r="H39" i="6224"/>
  <c r="H42" i="6224"/>
  <c r="H46" i="6224"/>
  <c r="H50" i="6224"/>
  <c r="H30" i="6224"/>
  <c r="H33" i="6224"/>
  <c r="H20" i="6224"/>
  <c r="C37" i="6224"/>
  <c r="C41" i="6224"/>
  <c r="C45" i="6224"/>
  <c r="C49" i="6224"/>
  <c r="H14" i="6224"/>
  <c r="H16" i="6224"/>
  <c r="C23" i="6224"/>
  <c r="B27" i="6224"/>
  <c r="H22" i="6224"/>
  <c r="H24" i="6224"/>
  <c r="H43" i="6224"/>
  <c r="H47" i="6224"/>
  <c r="H51" i="6224"/>
  <c r="H31" i="6224"/>
  <c r="H8" i="6224"/>
  <c r="H35" i="6224"/>
  <c r="C38" i="6224"/>
  <c r="C42" i="6224"/>
  <c r="C46" i="6224"/>
  <c r="H21" i="6224"/>
  <c r="C24" i="6224"/>
  <c r="B28" i="6224"/>
  <c r="H36" i="6224"/>
  <c r="H40" i="6224"/>
  <c r="H44" i="6224"/>
  <c r="H48" i="6224"/>
  <c r="H6" i="6224"/>
  <c r="H29" i="6224"/>
  <c r="H11" i="6224"/>
  <c r="H34" i="6224"/>
  <c r="H37" i="6224"/>
  <c r="C39" i="6224"/>
  <c r="C43" i="6224"/>
  <c r="C47" i="6224"/>
  <c r="C19" i="6216"/>
  <c r="H10" i="6216"/>
  <c r="H30" i="6222"/>
  <c r="H33" i="6222"/>
  <c r="H39" i="6222"/>
  <c r="C43" i="6222"/>
  <c r="H48" i="6222"/>
  <c r="C24" i="6222"/>
  <c r="H31" i="6222"/>
  <c r="C40" i="6222"/>
  <c r="H45" i="6222"/>
  <c r="C49" i="6222"/>
  <c r="H3" i="6222"/>
  <c r="H25" i="6222"/>
  <c r="C20" i="6222"/>
  <c r="H13" i="6222"/>
  <c r="H36" i="6222"/>
  <c r="H41" i="6222"/>
  <c r="C45" i="6222"/>
  <c r="H50" i="6222"/>
  <c r="H29" i="6222"/>
  <c r="H8" i="6222"/>
  <c r="H21" i="6222"/>
  <c r="C38" i="6222"/>
  <c r="C42" i="6222"/>
  <c r="C46" i="6222"/>
  <c r="H30" i="6220"/>
  <c r="H3" i="6220"/>
  <c r="H39" i="6220"/>
  <c r="H43" i="6220"/>
  <c r="H45" i="6220"/>
  <c r="H6" i="6220"/>
  <c r="H10" i="6220"/>
  <c r="H17" i="6220"/>
  <c r="C20" i="6220"/>
  <c r="C26" i="6220"/>
  <c r="H37" i="6220"/>
  <c r="H44" i="6220"/>
  <c r="H7" i="6220"/>
  <c r="H22" i="6220"/>
  <c r="H28" i="6220"/>
  <c r="C37" i="6220"/>
  <c r="C44" i="6220"/>
  <c r="H40" i="6220"/>
  <c r="H20" i="6220"/>
  <c r="H23" i="6220"/>
  <c r="H25" i="6220"/>
  <c r="H31" i="6220"/>
  <c r="C40" i="6220"/>
  <c r="H48" i="6220"/>
  <c r="H2" i="6220"/>
  <c r="H9" i="6220"/>
  <c r="H19" i="6220"/>
  <c r="C22" i="6220"/>
  <c r="H47" i="6220"/>
  <c r="H16" i="6220"/>
  <c r="B28" i="6220"/>
  <c r="C24" i="6220"/>
  <c r="H34" i="6220"/>
  <c r="H41" i="6220"/>
  <c r="C48" i="6220"/>
  <c r="H8" i="6220"/>
  <c r="H12" i="6220"/>
  <c r="H21" i="6220"/>
  <c r="C25" i="6220"/>
  <c r="C41" i="6220"/>
  <c r="H49" i="6220"/>
  <c r="H27" i="6220"/>
  <c r="H36" i="6220"/>
  <c r="H5" i="6220"/>
  <c r="B29" i="6220"/>
  <c r="C45" i="6220"/>
  <c r="C49" i="6220"/>
  <c r="H18" i="6220"/>
  <c r="H14" i="6220"/>
  <c r="C23" i="6220"/>
  <c r="B27" i="6220"/>
  <c r="H32" i="6220"/>
  <c r="H38" i="6220"/>
  <c r="H42" i="6220"/>
  <c r="H46" i="6220"/>
  <c r="H50" i="6220"/>
  <c r="H26" i="6220"/>
  <c r="H11" i="6220"/>
  <c r="H33" i="6220"/>
  <c r="C38" i="6220"/>
  <c r="C42" i="6220"/>
  <c r="C46" i="6220"/>
  <c r="H51" i="6220"/>
  <c r="H24" i="6220"/>
  <c r="H15" i="6220"/>
  <c r="H29" i="6220"/>
  <c r="H35" i="6220"/>
  <c r="C39" i="6220"/>
  <c r="C43" i="6220"/>
  <c r="C47" i="6220"/>
  <c r="H23" i="6216"/>
  <c r="H11" i="6216"/>
  <c r="C37" i="6216"/>
  <c r="C41" i="6216"/>
  <c r="H13" i="6216"/>
  <c r="H51" i="6216"/>
  <c r="H25" i="6216"/>
  <c r="H37" i="6216"/>
  <c r="H6" i="6216"/>
  <c r="B27" i="6216"/>
  <c r="H43" i="6216"/>
  <c r="H4" i="6216"/>
  <c r="H14" i="6216"/>
  <c r="C45" i="6216"/>
  <c r="H47" i="6216"/>
  <c r="H16" i="6216"/>
  <c r="C20" i="6216"/>
  <c r="H24" i="6216"/>
  <c r="C49" i="6216"/>
  <c r="H7" i="6216"/>
  <c r="H21" i="6216"/>
  <c r="C23" i="6216"/>
  <c r="H26" i="6216"/>
  <c r="B14" i="6218"/>
  <c r="B29" i="6218"/>
  <c r="H22" i="6218"/>
  <c r="H11" i="6218"/>
  <c r="H37" i="6218"/>
  <c r="C38" i="6218"/>
  <c r="C42" i="6218"/>
  <c r="C46" i="6218"/>
  <c r="H17" i="6218"/>
  <c r="H44" i="6218"/>
  <c r="H48" i="6218"/>
  <c r="H6" i="6218"/>
  <c r="C43" i="6218"/>
  <c r="C47" i="6218"/>
  <c r="H20" i="6216"/>
  <c r="H27" i="6216"/>
  <c r="C25" i="6216"/>
  <c r="H41" i="6216"/>
  <c r="H45" i="6216"/>
  <c r="H49" i="6216"/>
  <c r="H35" i="6216"/>
  <c r="H15" i="6216"/>
  <c r="H29" i="6216"/>
  <c r="H18" i="6216"/>
  <c r="H33" i="6216"/>
  <c r="C40" i="6216"/>
  <c r="C44" i="6216"/>
  <c r="C48" i="6216"/>
  <c r="H3" i="6216"/>
  <c r="H34" i="6216"/>
  <c r="C22" i="6216"/>
  <c r="C26" i="6216"/>
  <c r="H39" i="6216"/>
  <c r="H42" i="6216"/>
  <c r="H46" i="6216"/>
  <c r="H50" i="6216"/>
  <c r="H28" i="6216"/>
  <c r="H9" i="6216"/>
  <c r="H31" i="6216"/>
  <c r="C38" i="6216"/>
  <c r="C42" i="6216"/>
  <c r="C46" i="6216"/>
  <c r="H19" i="6216"/>
  <c r="H2" i="6216"/>
  <c r="H8" i="6216"/>
  <c r="H22" i="6216"/>
  <c r="H17" i="6216"/>
  <c r="C24" i="6216"/>
  <c r="B28" i="6216"/>
  <c r="H32" i="6216"/>
  <c r="H40" i="6216"/>
  <c r="H44" i="6216"/>
  <c r="H48" i="6216"/>
  <c r="H5" i="6216"/>
  <c r="H36" i="6216"/>
  <c r="H12" i="6216"/>
  <c r="H30" i="6216"/>
  <c r="H38" i="6216"/>
  <c r="C39" i="6216"/>
  <c r="C43" i="6216"/>
  <c r="C47" i="621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<sst xmlns="http://schemas.openxmlformats.org/spreadsheetml/2006/main" count="2702" uniqueCount="238">
  <si>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</si>
  <si>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</si>
  <si>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</si>
  <si>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</si>
  <si>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</si>
  <si>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</si>
  <si>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</si>
  <si>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</si>
  <si>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</si>
  <si>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</si>
  <si>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</si>
  <si>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</si>
  <si>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</si>
  <si>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</si>
  <si>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</si>
  <si>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</si>
  <si>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</si>
  <si>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</si>
  <si>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</si>
  <si>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</si>
  <si>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</si>
  <si>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</si>
  <si>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</si>
  <si>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</si>
  <si>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</si>
  <si>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</si>
  <si>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</si>
  <si>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</si>
  <si>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</si>
  <si>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</si>
  <si>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</si>
  <si>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</si>
  <si>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</si>
  <si>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</si>
  <si>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</si>
  <si>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</si>
  <si>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</si>
  <si>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</si>
  <si>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</si>
  <si>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</si>
  <si>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</si>
  <si>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</si>
  <si>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</si>
  <si>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</si>
  <si>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</si>
  <si>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</si>
  <si>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</si>
  <si>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</si>
  <si>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</si>
  <si>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</si>
  <si>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</si>
  <si>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</si>
  <si>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</si>
  <si>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</si>
  <si>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</si>
  <si>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</si>
  <si>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</si>
  <si>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</si>
  <si>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</si>
  <si>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</si>
  <si>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</si>
  <si>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</si>
  <si>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</si>
  <si>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</si>
  <si>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</si>
  <si>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</si>
  <si>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</si>
  <si>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</si>
  <si>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</si>
  <si>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</si>
  <si>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</si>
  <si>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</si>
  <si>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</si>
  <si>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</si>
  <si>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</si>
  <si>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</si>
  <si>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</si>
  <si>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</si>
  <si>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</si>
  <si>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</si>
  <si>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</si>
  <si>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</si>
  <si>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</si>
  <si>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</si>
  <si>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</si>
  <si>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</si>
  <si>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</si>
  <si>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</si>
  <si>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</si>
  <si>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</si>
  <si>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</si>
  <si>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</si>
  <si>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</si>
  <si>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</si>
  <si>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</si>
  <si>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</si>
  <si>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</si>
  <si>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</si>
  <si>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</si>
  <si>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</si>
  <si>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</si>
  <si>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</si>
  <si>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</si>
  <si>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</si>
  <si>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</si>
  <si>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</si>
  <si>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</si>
  <si>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</si>
  <si>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</si>
  <si>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</si>
  <si>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</si>
  <si>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</si>
  <si>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</si>
  <si>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</si>
  <si>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</si>
  <si>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</si>
  <si>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</si>
  <si>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</si>
  <si>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</si>
  <si>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</si>
  <si>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</si>
  <si>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</si>
  <si>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</si>
  <si>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</si>
  <si>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</si>
  <si>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</si>
  <si>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</si>
  <si>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</si>
  <si>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</si>
  <si>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</si>
  <si>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</si>
  <si>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</si>
  <si>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</si>
  <si>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</si>
  <si>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</si>
  <si>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</si>
  <si>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</si>
  <si>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</si>
  <si>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</si>
  <si>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</si>
  <si>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</si>
  <si>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</si>
  <si>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</si>
  <si>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</si>
  <si>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</si>
  <si>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</si>
  <si>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</si>
  <si>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</si>
  <si>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</si>
  <si>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</si>
  <si>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</si>
  <si>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</si>
  <si>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</si>
  <si>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</si>
  <si>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</si>
  <si>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</si>
  <si>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</si>
  <si>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</si>
  <si>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</si>
  <si>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</si>
  <si>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</si>
  <si>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</si>
  <si>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</si>
  <si>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</si>
  <si>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</si>
  <si>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</si>
  <si>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</si>
  <si>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</si>
  <si>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</si>
  <si>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</si>
  <si>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</si>
  <si>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</si>
  <si>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</si>
  <si>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</si>
  <si>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</si>
  <si>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</si>
  <si>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</si>
  <si>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</si>
  <si>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</si>
  <si>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</si>
  <si>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</si>
  <si>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</si>
  <si>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</si>
  <si>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</si>
  <si>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</si>
  <si>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</si>
  <si>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</si>
  <si>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</si>
  <si>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</si>
  <si>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</si>
  <si>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</si>
  <si>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</si>
  <si>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</si>
  <si>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</si>
  <si>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</si>
  <si>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</si>
  <si>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</si>
  <si>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</si>
  <si>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</si>
  <si>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</si>
  <si>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</si>
  <si>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</si>
  <si>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</si>
  <si>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</si>
  <si>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</si>
  <si>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</si>
  <si>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</si>
  <si>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</si>
  <si>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</si>
  <si>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</si>
  <si>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</si>
  <si>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</si>
  <si>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</si>
  <si>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</si>
  <si>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</si>
  <si>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</si>
  <si>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</si>
  <si>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</si>
  <si>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</si>
  <si>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2024-08-13@Kohama.xlsm</t>
  </si>
  <si>
    <t>Sheet9</t>
  </si>
  <si>
    <t>Sheet10</t>
  </si>
  <si>
    <t>Sheet11</t>
  </si>
  <si>
    <t>Sheet12</t>
  </si>
  <si>
    <t>2023-03-04@Ina.xlsm</t>
  </si>
  <si>
    <t>Sheet13</t>
  </si>
  <si>
    <t>Sheet14</t>
  </si>
  <si>
    <t>Sheet15</t>
  </si>
  <si>
    <t>Sheet16</t>
  </si>
  <si>
    <t>Sheet17</t>
  </si>
  <si>
    <t>2023-05-02@AllStar.xlsm</t>
  </si>
  <si>
    <t>2023-08-13@Kohama.xlsm</t>
  </si>
  <si>
    <t>2023-10-22@Kohama.xlsm</t>
  </si>
  <si>
    <t>2024-01-04@Kohama.xlsm</t>
  </si>
  <si>
    <t>2024-04-28@Kohama.xlsm</t>
  </si>
  <si>
    <t>2024-08-18@Sparrow.xlsm</t>
  </si>
  <si>
    <t>2025-01-03@Kohama.xlsm</t>
  </si>
  <si>
    <t>やがさき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</si>
</sst>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全体!$L$2:$L$299</c:f>
              <c:numCache>
                <c:formatCode>\+0.0;\-0.0;\±0</c:formatCode>
                <c:ptCount val="298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  <c:pt idx="133">
                  <c:v>-99.4</c:v>
                </c:pt>
                <c:pt idx="134">
                  <c:v>-129.30000000000001</c:v>
                </c:pt>
                <c:pt idx="135">
                  <c:v>0</c:v>
                </c:pt>
                <c:pt idx="136">
                  <c:v>-58.1</c:v>
                </c:pt>
                <c:pt idx="137">
                  <c:v>7.6000000000000014</c:v>
                </c:pt>
                <c:pt idx="138">
                  <c:v>1.7763568394002505E-15</c:v>
                </c:pt>
                <c:pt idx="139">
                  <c:v>1.0000000000000018</c:v>
                </c:pt>
                <c:pt idx="140">
                  <c:v>35.299999999999997</c:v>
                </c:pt>
                <c:pt idx="141">
                  <c:v>0</c:v>
                </c:pt>
                <c:pt idx="142">
                  <c:v>-48</c:v>
                </c:pt>
                <c:pt idx="143">
                  <c:v>-1.2000000000000028</c:v>
                </c:pt>
                <c:pt idx="144">
                  <c:v>-2.886579864025407E-15</c:v>
                </c:pt>
                <c:pt idx="145">
                  <c:v>-0.40000000000000291</c:v>
                </c:pt>
                <c:pt idx="146">
                  <c:v>37.799999999999997</c:v>
                </c:pt>
                <c:pt idx="147">
                  <c:v>0</c:v>
                </c:pt>
                <c:pt idx="148">
                  <c:v>-5.8</c:v>
                </c:pt>
                <c:pt idx="149">
                  <c:v>52.7</c:v>
                </c:pt>
                <c:pt idx="150">
                  <c:v>0</c:v>
                </c:pt>
                <c:pt idx="151">
                  <c:v>-2.5</c:v>
                </c:pt>
                <c:pt idx="152">
                  <c:v>-26.4</c:v>
                </c:pt>
                <c:pt idx="153">
                  <c:v>0</c:v>
                </c:pt>
                <c:pt idx="154">
                  <c:v>61.8</c:v>
                </c:pt>
                <c:pt idx="155">
                  <c:v>-12</c:v>
                </c:pt>
                <c:pt idx="156">
                  <c:v>0</c:v>
                </c:pt>
                <c:pt idx="157">
                  <c:v>-27.1</c:v>
                </c:pt>
                <c:pt idx="158">
                  <c:v>-29.700000000000003</c:v>
                </c:pt>
                <c:pt idx="159">
                  <c:v>-3.5527136788005009E-15</c:v>
                </c:pt>
                <c:pt idx="160">
                  <c:v>-27.500000000000004</c:v>
                </c:pt>
                <c:pt idx="161">
                  <c:v>-27.600000000000005</c:v>
                </c:pt>
                <c:pt idx="162">
                  <c:v>-3.5527136788005009E-15</c:v>
                </c:pt>
                <c:pt idx="163">
                  <c:v>45.7</c:v>
                </c:pt>
                <c:pt idx="164">
                  <c:v>-17.699999999999996</c:v>
                </c:pt>
                <c:pt idx="165">
                  <c:v>3.5527136788005009E-15</c:v>
                </c:pt>
                <c:pt idx="166">
                  <c:v>-40.799999999999997</c:v>
                </c:pt>
                <c:pt idx="167">
                  <c:v>-47.5</c:v>
                </c:pt>
                <c:pt idx="168">
                  <c:v>0</c:v>
                </c:pt>
                <c:pt idx="169">
                  <c:v>-2.2999999999999998</c:v>
                </c:pt>
                <c:pt idx="170">
                  <c:v>-59</c:v>
                </c:pt>
                <c:pt idx="171">
                  <c:v>0</c:v>
                </c:pt>
                <c:pt idx="172">
                  <c:v>-10.9</c:v>
                </c:pt>
                <c:pt idx="173">
                  <c:v>-58.9</c:v>
                </c:pt>
                <c:pt idx="174">
                  <c:v>0</c:v>
                </c:pt>
                <c:pt idx="175">
                  <c:v>68.7</c:v>
                </c:pt>
                <c:pt idx="176">
                  <c:v>68.2</c:v>
                </c:pt>
                <c:pt idx="177">
                  <c:v>0</c:v>
                </c:pt>
                <c:pt idx="178">
                  <c:v>26.5</c:v>
                </c:pt>
                <c:pt idx="179">
                  <c:v>26</c:v>
                </c:pt>
                <c:pt idx="180">
                  <c:v>0</c:v>
                </c:pt>
                <c:pt idx="181">
                  <c:v>-21.6</c:v>
                </c:pt>
                <c:pt idx="182">
                  <c:v>-87.199999999999989</c:v>
                </c:pt>
                <c:pt idx="183">
                  <c:v>1.4210854715202004E-14</c:v>
                </c:pt>
                <c:pt idx="184">
                  <c:v>-24.799999999999986</c:v>
                </c:pt>
                <c:pt idx="185">
                  <c:v>3.6000000000000121</c:v>
                </c:pt>
                <c:pt idx="186">
                  <c:v>1.1990408665951691E-14</c:v>
                </c:pt>
                <c:pt idx="187">
                  <c:v>-61.099999999999987</c:v>
                </c:pt>
                <c:pt idx="188">
                  <c:v>25.20000000000001</c:v>
                </c:pt>
                <c:pt idx="189">
                  <c:v>1.0658141036401503E-14</c:v>
                </c:pt>
                <c:pt idx="190">
                  <c:v>44.200000000000017</c:v>
                </c:pt>
                <c:pt idx="191">
                  <c:v>-19.499999999999986</c:v>
                </c:pt>
                <c:pt idx="192">
                  <c:v>1.4210854715202004E-14</c:v>
                </c:pt>
                <c:pt idx="193">
                  <c:v>-30.599999999999987</c:v>
                </c:pt>
                <c:pt idx="194">
                  <c:v>-35.599999999999987</c:v>
                </c:pt>
                <c:pt idx="195">
                  <c:v>1.4210854715202004E-14</c:v>
                </c:pt>
                <c:pt idx="196">
                  <c:v>37.700000000000017</c:v>
                </c:pt>
                <c:pt idx="197">
                  <c:v>4.5000000000000142</c:v>
                </c:pt>
                <c:pt idx="198">
                  <c:v>1.4210854715202004E-14</c:v>
                </c:pt>
                <c:pt idx="199">
                  <c:v>95.000000000000014</c:v>
                </c:pt>
                <c:pt idx="200">
                  <c:v>72.900000000000006</c:v>
                </c:pt>
                <c:pt idx="201">
                  <c:v>0</c:v>
                </c:pt>
                <c:pt idx="202">
                  <c:v>-44.4</c:v>
                </c:pt>
                <c:pt idx="203">
                  <c:v>-61</c:v>
                </c:pt>
                <c:pt idx="204">
                  <c:v>0</c:v>
                </c:pt>
                <c:pt idx="205">
                  <c:v>4.3</c:v>
                </c:pt>
                <c:pt idx="206">
                  <c:v>30.1</c:v>
                </c:pt>
                <c:pt idx="207">
                  <c:v>0</c:v>
                </c:pt>
                <c:pt idx="208">
                  <c:v>-12.6</c:v>
                </c:pt>
                <c:pt idx="209">
                  <c:v>-47.5</c:v>
                </c:pt>
                <c:pt idx="210">
                  <c:v>0</c:v>
                </c:pt>
                <c:pt idx="211">
                  <c:v>39.200000000000003</c:v>
                </c:pt>
                <c:pt idx="212">
                  <c:v>4</c:v>
                </c:pt>
                <c:pt idx="213">
                  <c:v>0</c:v>
                </c:pt>
                <c:pt idx="214">
                  <c:v>91</c:v>
                </c:pt>
                <c:pt idx="215">
                  <c:v>26.900000000000006</c:v>
                </c:pt>
                <c:pt idx="216">
                  <c:v>7.1054273576010019E-15</c:v>
                </c:pt>
                <c:pt idx="217">
                  <c:v>-10.999999999999993</c:v>
                </c:pt>
                <c:pt idx="218">
                  <c:v>59.000000000000007</c:v>
                </c:pt>
                <c:pt idx="219">
                  <c:v>7.1054273576010019E-15</c:v>
                </c:pt>
                <c:pt idx="220">
                  <c:v>28.800000000000008</c:v>
                </c:pt>
                <c:pt idx="221">
                  <c:v>2.9000000000000092</c:v>
                </c:pt>
                <c:pt idx="222">
                  <c:v>9.3258734068513149E-15</c:v>
                </c:pt>
                <c:pt idx="223">
                  <c:v>-58.199999999999996</c:v>
                </c:pt>
                <c:pt idx="224">
                  <c:v>-17.099999999999994</c:v>
                </c:pt>
                <c:pt idx="225">
                  <c:v>7.1054273576010019E-15</c:v>
                </c:pt>
                <c:pt idx="226">
                  <c:v>47.500000000000007</c:v>
                </c:pt>
                <c:pt idx="227">
                  <c:v>-16.199999999999996</c:v>
                </c:pt>
                <c:pt idx="228">
                  <c:v>3.5527136788005009E-15</c:v>
                </c:pt>
                <c:pt idx="229">
                  <c:v>5.3000000000000034</c:v>
                </c:pt>
                <c:pt idx="230">
                  <c:v>63.800000000000004</c:v>
                </c:pt>
                <c:pt idx="231">
                  <c:v>7.1054273576010019E-15</c:v>
                </c:pt>
                <c:pt idx="232">
                  <c:v>33.300000000000004</c:v>
                </c:pt>
                <c:pt idx="233">
                  <c:v>33.500000000000007</c:v>
                </c:pt>
                <c:pt idx="234">
                  <c:v>7.1054273576010019E-15</c:v>
                </c:pt>
                <c:pt idx="235">
                  <c:v>40.70000000000001</c:v>
                </c:pt>
                <c:pt idx="236">
                  <c:v>47.800000000000011</c:v>
                </c:pt>
                <c:pt idx="237">
                  <c:v>1.4210854715202004E-14</c:v>
                </c:pt>
                <c:pt idx="238">
                  <c:v>64.90000000000002</c:v>
                </c:pt>
                <c:pt idx="239">
                  <c:v>0.4000000000000199</c:v>
                </c:pt>
                <c:pt idx="240">
                  <c:v>1.9872992140790302E-14</c:v>
                </c:pt>
                <c:pt idx="241">
                  <c:v>-28.299999999999979</c:v>
                </c:pt>
                <c:pt idx="242">
                  <c:v>2.4000000000000199</c:v>
                </c:pt>
                <c:pt idx="243">
                  <c:v>1.9984014443252818E-14</c:v>
                </c:pt>
                <c:pt idx="244">
                  <c:v>35.300000000000018</c:v>
                </c:pt>
                <c:pt idx="245">
                  <c:v>-6.3999999999999844</c:v>
                </c:pt>
                <c:pt idx="246">
                  <c:v>1.5987211554602254E-14</c:v>
                </c:pt>
                <c:pt idx="247">
                  <c:v>1.5987211554602254E-14</c:v>
                </c:pt>
                <c:pt idx="248">
                  <c:v>-67.999999999999986</c:v>
                </c:pt>
                <c:pt idx="249">
                  <c:v>1.4210854715202004E-14</c:v>
                </c:pt>
                <c:pt idx="250">
                  <c:v>-18.999999999999986</c:v>
                </c:pt>
                <c:pt idx="251">
                  <c:v>47.000000000000014</c:v>
                </c:pt>
                <c:pt idx="252">
                  <c:v>1.4210854715202004E-14</c:v>
                </c:pt>
                <c:pt idx="253">
                  <c:v>51.400000000000013</c:v>
                </c:pt>
                <c:pt idx="254">
                  <c:v>5.4000000000000128</c:v>
                </c:pt>
                <c:pt idx="255">
                  <c:v>1.2434497875801753E-14</c:v>
                </c:pt>
                <c:pt idx="256">
                  <c:v>48.700000000000017</c:v>
                </c:pt>
                <c:pt idx="257">
                  <c:v>56.000000000000014</c:v>
                </c:pt>
                <c:pt idx="258">
                  <c:v>1.4210854715202004E-14</c:v>
                </c:pt>
                <c:pt idx="259">
                  <c:v>-42.999999999999986</c:v>
                </c:pt>
                <c:pt idx="260">
                  <c:v>14.800000000000011</c:v>
                </c:pt>
                <c:pt idx="261">
                  <c:v>1.0658141036401503E-14</c:v>
                </c:pt>
                <c:pt idx="262">
                  <c:v>-8.9999999999999893</c:v>
                </c:pt>
                <c:pt idx="263">
                  <c:v>-64.599999999999994</c:v>
                </c:pt>
                <c:pt idx="264">
                  <c:v>0</c:v>
                </c:pt>
                <c:pt idx="265">
                  <c:v>-29.1</c:v>
                </c:pt>
                <c:pt idx="266">
                  <c:v>-37.799999999999997</c:v>
                </c:pt>
                <c:pt idx="267">
                  <c:v>0</c:v>
                </c:pt>
                <c:pt idx="268">
                  <c:v>37</c:v>
                </c:pt>
                <c:pt idx="269">
                  <c:v>44.9</c:v>
                </c:pt>
                <c:pt idx="270">
                  <c:v>0</c:v>
                </c:pt>
                <c:pt idx="271">
                  <c:v>-31</c:v>
                </c:pt>
                <c:pt idx="272">
                  <c:v>-33.200000000000003</c:v>
                </c:pt>
                <c:pt idx="273">
                  <c:v>0</c:v>
                </c:pt>
                <c:pt idx="274">
                  <c:v>18.8</c:v>
                </c:pt>
                <c:pt idx="275">
                  <c:v>63.5</c:v>
                </c:pt>
                <c:pt idx="276">
                  <c:v>0</c:v>
                </c:pt>
                <c:pt idx="277">
                  <c:v>-3.3</c:v>
                </c:pt>
                <c:pt idx="278">
                  <c:v>27.599999999999998</c:v>
                </c:pt>
                <c:pt idx="279">
                  <c:v>-3.5527136788005009E-15</c:v>
                </c:pt>
                <c:pt idx="280">
                  <c:v>54.599999999999994</c:v>
                </c:pt>
                <c:pt idx="281">
                  <c:v>-3.5000000000000071</c:v>
                </c:pt>
                <c:pt idx="282">
                  <c:v>-7.1054273576010019E-15</c:v>
                </c:pt>
                <c:pt idx="283">
                  <c:v>54.699999999999996</c:v>
                </c:pt>
                <c:pt idx="284">
                  <c:v>-0.30000000000000426</c:v>
                </c:pt>
                <c:pt idx="285">
                  <c:v>-4.2743586448068527E-15</c:v>
                </c:pt>
                <c:pt idx="286">
                  <c:v>1.3999999999999957</c:v>
                </c:pt>
                <c:pt idx="287">
                  <c:v>-30.600000000000005</c:v>
                </c:pt>
                <c:pt idx="288">
                  <c:v>-3.5527136788005009E-15</c:v>
                </c:pt>
                <c:pt idx="289">
                  <c:v>-1.7000000000000035</c:v>
                </c:pt>
                <c:pt idx="290">
                  <c:v>-33.900000000000006</c:v>
                </c:pt>
                <c:pt idx="291">
                  <c:v>-7.1054273576010019E-15</c:v>
                </c:pt>
                <c:pt idx="292">
                  <c:v>-9.7000000000000064</c:v>
                </c:pt>
                <c:pt idx="293">
                  <c:v>45.599999999999994</c:v>
                </c:pt>
                <c:pt idx="294">
                  <c:v>-7.1054273576010019E-15</c:v>
                </c:pt>
                <c:pt idx="295">
                  <c:v>49.999999999999993</c:v>
                </c:pt>
                <c:pt idx="296">
                  <c:v>42.099999999999994</c:v>
                </c:pt>
                <c:pt idx="297">
                  <c:v>-7.1054273576010019E-15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48-4054-81AF-2BE8F4B70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-37.037037037037038</c:v>
                </c:pt>
                <c:pt idx="1">
                  <c:v>20.833333333333332</c:v>
                </c:pt>
                <c:pt idx="2">
                  <c:v>3.5460992907801416</c:v>
                </c:pt>
                <c:pt idx="3">
                  <c:v>0</c:v>
                </c:pt>
                <c:pt idx="4">
                  <c:v>-16.064257028112451</c:v>
                </c:pt>
                <c:pt idx="5">
                  <c:v>36.529680365296805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32-4A51-97F5-B3375BAAD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38</c:v>
                </c:pt>
                <c:pt idx="1">
                  <c:v>108</c:v>
                </c:pt>
                <c:pt idx="2">
                  <c:v>133</c:v>
                </c:pt>
                <c:pt idx="3">
                  <c:v>143</c:v>
                </c:pt>
                <c:pt idx="4">
                  <c:v>118</c:v>
                </c:pt>
                <c:pt idx="5">
                  <c:v>74</c:v>
                </c:pt>
                <c:pt idx="6">
                  <c:v>44</c:v>
                </c:pt>
                <c:pt idx="7">
                  <c:v>27</c:v>
                </c:pt>
                <c:pt idx="8">
                  <c:v>10</c:v>
                </c:pt>
                <c:pt idx="9">
                  <c:v>5</c:v>
                </c:pt>
                <c:pt idx="10">
                  <c:v>3</c:v>
                </c:pt>
                <c:pt idx="11">
                  <c:v>0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C-488E-845B-5C858C22B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全体!$K$2:$K$299</c:f>
              <c:numCache>
                <c:formatCode>General</c:formatCode>
                <c:ptCount val="2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</c:numCache>
            </c:numRef>
          </c:xVal>
          <c:yVal>
            <c:numRef>
              <c:f>全体!$M$2:$M$299</c:f>
              <c:numCache>
                <c:formatCode>0</c:formatCode>
                <c:ptCount val="298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  <c:pt idx="133">
                  <c:v>1594.1600823301446</c:v>
                </c:pt>
                <c:pt idx="134">
                  <c:v>1588.7531218361637</c:v>
                </c:pt>
                <c:pt idx="135">
                  <c:v>1612.0346031051467</c:v>
                </c:pt>
                <c:pt idx="136">
                  <c:v>1601.4443954865158</c:v>
                </c:pt>
                <c:pt idx="137">
                  <c:v>1613.2017291135967</c:v>
                </c:pt>
                <c:pt idx="138">
                  <c:v>1611.6945187389151</c:v>
                </c:pt>
                <c:pt idx="139">
                  <c:v>1611.7443516264816</c:v>
                </c:pt>
                <c:pt idx="140">
                  <c:v>1617.7878855167228</c:v>
                </c:pt>
                <c:pt idx="141">
                  <c:v>1611.2671582036226</c:v>
                </c:pt>
                <c:pt idx="142">
                  <c:v>1602.4995552544008</c:v>
                </c:pt>
                <c:pt idx="143">
                  <c:v>1610.8485579228743</c:v>
                </c:pt>
                <c:pt idx="144">
                  <c:v>1610.9394665753371</c:v>
                </c:pt>
                <c:pt idx="145">
                  <c:v>1610.741829775885</c:v>
                </c:pt>
                <c:pt idx="146">
                  <c:v>1617.4933787972298</c:v>
                </c:pt>
                <c:pt idx="147">
                  <c:v>1610.5244185244464</c:v>
                </c:pt>
                <c:pt idx="148">
                  <c:v>1609.3512720132999</c:v>
                </c:pt>
                <c:pt idx="149">
                  <c:v>1619.75916438122</c:v>
                </c:pt>
                <c:pt idx="150">
                  <c:v>1610.0886093949327</c:v>
                </c:pt>
                <c:pt idx="151">
                  <c:v>1609.5180777385631</c:v>
                </c:pt>
                <c:pt idx="152">
                  <c:v>1605.0989692721316</c:v>
                </c:pt>
                <c:pt idx="153">
                  <c:v>1609.7603754564989</c:v>
                </c:pt>
                <c:pt idx="154">
                  <c:v>1620.62181320376</c:v>
                </c:pt>
                <c:pt idx="155">
                  <c:v>1607.0100823245375</c:v>
                </c:pt>
                <c:pt idx="156">
                  <c:v>1608.9240218305904</c:v>
                </c:pt>
                <c:pt idx="157">
                  <c:v>1603.8904776996069</c:v>
                </c:pt>
                <c:pt idx="158">
                  <c:v>1603.2971348334092</c:v>
                </c:pt>
                <c:pt idx="159">
                  <c:v>1608.5213520244088</c:v>
                </c:pt>
                <c:pt idx="160">
                  <c:v>1603.4182239122624</c:v>
                </c:pt>
                <c:pt idx="161">
                  <c:v>1603.277714568789</c:v>
                </c:pt>
                <c:pt idx="162">
                  <c:v>1608.1240482813762</c:v>
                </c:pt>
                <c:pt idx="163">
                  <c:v>1616.1993039916879</c:v>
                </c:pt>
                <c:pt idx="164">
                  <c:v>1604.5881081677378</c:v>
                </c:pt>
                <c:pt idx="165">
                  <c:v>1607.6445795187315</c:v>
                </c:pt>
                <c:pt idx="166">
                  <c:v>1600.152712041619</c:v>
                </c:pt>
                <c:pt idx="167">
                  <c:v>1598.8437957693693</c:v>
                </c:pt>
                <c:pt idx="168">
                  <c:v>1607.298732994753</c:v>
                </c:pt>
                <c:pt idx="169">
                  <c:v>1606.7389405967845</c:v>
                </c:pt>
                <c:pt idx="170">
                  <c:v>1596.3905069532038</c:v>
                </c:pt>
                <c:pt idx="171">
                  <c:v>1606.9301639114847</c:v>
                </c:pt>
                <c:pt idx="172">
                  <c:v>1604.8245829280158</c:v>
                </c:pt>
                <c:pt idx="173">
                  <c:v>1596.0536354304477</c:v>
                </c:pt>
                <c:pt idx="174">
                  <c:v>1606.577313617865</c:v>
                </c:pt>
                <c:pt idx="175">
                  <c:v>1618.8018497361579</c:v>
                </c:pt>
                <c:pt idx="176">
                  <c:v>1618.4970386377411</c:v>
                </c:pt>
                <c:pt idx="177">
                  <c:v>1606.0080564059147</c:v>
                </c:pt>
                <c:pt idx="178">
                  <c:v>1610.6400080674791</c:v>
                </c:pt>
                <c:pt idx="179">
                  <c:v>1610.3841680190742</c:v>
                </c:pt>
                <c:pt idx="180">
                  <c:v>1605.5398630109598</c:v>
                </c:pt>
                <c:pt idx="181">
                  <c:v>1601.5166238328941</c:v>
                </c:pt>
                <c:pt idx="182">
                  <c:v>1589.5975240898968</c:v>
                </c:pt>
                <c:pt idx="183">
                  <c:v>1605.2539389453573</c:v>
                </c:pt>
                <c:pt idx="184">
                  <c:v>1600.6564153116851</c:v>
                </c:pt>
                <c:pt idx="185">
                  <c:v>1605.6624768198151</c:v>
                </c:pt>
                <c:pt idx="186">
                  <c:v>1604.8785019588961</c:v>
                </c:pt>
                <c:pt idx="187">
                  <c:v>1593.7492309471427</c:v>
                </c:pt>
                <c:pt idx="188">
                  <c:v>1609.2187355614599</c:v>
                </c:pt>
                <c:pt idx="189">
                  <c:v>1604.525423148091</c:v>
                </c:pt>
                <c:pt idx="190">
                  <c:v>1612.4302706092026</c:v>
                </c:pt>
                <c:pt idx="191">
                  <c:v>1600.8656889855474</c:v>
                </c:pt>
                <c:pt idx="192">
                  <c:v>1604.3464948516341</c:v>
                </c:pt>
                <c:pt idx="193">
                  <c:v>1598.7884158825243</c:v>
                </c:pt>
                <c:pt idx="194">
                  <c:v>1597.8716853872293</c:v>
                </c:pt>
                <c:pt idx="195">
                  <c:v>1604.2684552749058</c:v>
                </c:pt>
                <c:pt idx="196">
                  <c:v>1611.0048445432565</c:v>
                </c:pt>
                <c:pt idx="197">
                  <c:v>1604.938815475997</c:v>
                </c:pt>
                <c:pt idx="198">
                  <c:v>1604.075182583141</c:v>
                </c:pt>
                <c:pt idx="199">
                  <c:v>1621.1267314876422</c:v>
                </c:pt>
                <c:pt idx="200">
                  <c:v>1616.9979710987163</c:v>
                </c:pt>
                <c:pt idx="201">
                  <c:v>1603.7499832721239</c:v>
                </c:pt>
                <c:pt idx="202">
                  <c:v>1595.7114833724911</c:v>
                </c:pt>
                <c:pt idx="203">
                  <c:v>1592.7252144722561</c:v>
                </c:pt>
                <c:pt idx="204">
                  <c:v>1603.7248631854225</c:v>
                </c:pt>
                <c:pt idx="205">
                  <c:v>1604.45851400631</c:v>
                </c:pt>
                <c:pt idx="206">
                  <c:v>1609.0577629222721</c:v>
                </c:pt>
                <c:pt idx="207">
                  <c:v>1603.5674163447384</c:v>
                </c:pt>
                <c:pt idx="208">
                  <c:v>1601.25401184667</c:v>
                </c:pt>
                <c:pt idx="209">
                  <c:v>1594.9404877755899</c:v>
                </c:pt>
                <c:pt idx="210">
                  <c:v>1603.4968448489362</c:v>
                </c:pt>
                <c:pt idx="211">
                  <c:v>1610.5078637798426</c:v>
                </c:pt>
                <c:pt idx="212">
                  <c:v>1604.0848165971636</c:v>
                </c:pt>
                <c:pt idx="213">
                  <c:v>1603.3163076975807</c:v>
                </c:pt>
                <c:pt idx="214">
                  <c:v>1619.6524098513951</c:v>
                </c:pt>
                <c:pt idx="215">
                  <c:v>1607.9724953922866</c:v>
                </c:pt>
                <c:pt idx="216">
                  <c:v>1603.0586604199329</c:v>
                </c:pt>
                <c:pt idx="217">
                  <c:v>1601.0363084574133</c:v>
                </c:pt>
                <c:pt idx="218">
                  <c:v>1613.6060906066689</c:v>
                </c:pt>
                <c:pt idx="219">
                  <c:v>1602.8804540630288</c:v>
                </c:pt>
                <c:pt idx="220">
                  <c:v>1608.0231713386506</c:v>
                </c:pt>
                <c:pt idx="221">
                  <c:v>1603.2890323106187</c:v>
                </c:pt>
                <c:pt idx="222">
                  <c:v>1602.7232981167549</c:v>
                </c:pt>
                <c:pt idx="223">
                  <c:v>1592.2069583280543</c:v>
                </c:pt>
                <c:pt idx="224">
                  <c:v>1599.6277165780859</c:v>
                </c:pt>
                <c:pt idx="225">
                  <c:v>1602.6839502786174</c:v>
                </c:pt>
                <c:pt idx="226">
                  <c:v>1611.4938465769458</c:v>
                </c:pt>
                <c:pt idx="227">
                  <c:v>1600.2348834974841</c:v>
                </c:pt>
                <c:pt idx="228">
                  <c:v>1603.4254741964992</c:v>
                </c:pt>
                <c:pt idx="229">
                  <c:v>1604.4069213513201</c:v>
                </c:pt>
                <c:pt idx="230">
                  <c:v>1614.9584798232122</c:v>
                </c:pt>
                <c:pt idx="231">
                  <c:v>1603.4327289442729</c:v>
                </c:pt>
                <c:pt idx="232">
                  <c:v>1609.4541325706073</c:v>
                </c:pt>
                <c:pt idx="233">
                  <c:v>1609.4814077751837</c:v>
                </c:pt>
                <c:pt idx="234">
                  <c:v>1603.4425193285326</c:v>
                </c:pt>
                <c:pt idx="235">
                  <c:v>1610.7958642125614</c:v>
                </c:pt>
                <c:pt idx="236">
                  <c:v>1612.0570890272859</c:v>
                </c:pt>
                <c:pt idx="237">
                  <c:v>1603.4287464931222</c:v>
                </c:pt>
                <c:pt idx="238">
                  <c:v>1615.1381740141635</c:v>
                </c:pt>
                <c:pt idx="239">
                  <c:v>1603.4853449700786</c:v>
                </c:pt>
                <c:pt idx="240">
                  <c:v>1603.4404329002582</c:v>
                </c:pt>
                <c:pt idx="241">
                  <c:v>1598.3737903028566</c:v>
                </c:pt>
                <c:pt idx="242">
                  <c:v>1603.9575475610395</c:v>
                </c:pt>
                <c:pt idx="243">
                  <c:v>1603.5498022756733</c:v>
                </c:pt>
                <c:pt idx="244">
                  <c:v>1609.9305034620193</c:v>
                </c:pt>
                <c:pt idx="245">
                  <c:v>1602.4129204412473</c:v>
                </c:pt>
                <c:pt idx="246">
                  <c:v>1603.5984429185999</c:v>
                </c:pt>
                <c:pt idx="247">
                  <c:v>1603.6248522610883</c:v>
                </c:pt>
                <c:pt idx="248">
                  <c:v>1591.4111031475218</c:v>
                </c:pt>
                <c:pt idx="249">
                  <c:v>1603.7506365286367</c:v>
                </c:pt>
                <c:pt idx="250">
                  <c:v>1600.3561327094649</c:v>
                </c:pt>
                <c:pt idx="251">
                  <c:v>1612.281995913208</c:v>
                </c:pt>
                <c:pt idx="252">
                  <c:v>1603.7963039377287</c:v>
                </c:pt>
                <c:pt idx="253">
                  <c:v>1613.0735261141024</c:v>
                </c:pt>
                <c:pt idx="254">
                  <c:v>1604.7630849574177</c:v>
                </c:pt>
                <c:pt idx="255">
                  <c:v>1603.8105064476733</c:v>
                </c:pt>
                <c:pt idx="256">
                  <c:v>1612.6016434089872</c:v>
                </c:pt>
                <c:pt idx="257">
                  <c:v>1613.8880335485333</c:v>
                </c:pt>
                <c:pt idx="258">
                  <c:v>1603.772705347242</c:v>
                </c:pt>
                <c:pt idx="259">
                  <c:v>1596.0580691151586</c:v>
                </c:pt>
                <c:pt idx="260">
                  <c:v>1606.5337207004677</c:v>
                </c:pt>
                <c:pt idx="261">
                  <c:v>1603.878518376265</c:v>
                </c:pt>
                <c:pt idx="262">
                  <c:v>1602.2832472660075</c:v>
                </c:pt>
                <c:pt idx="263">
                  <c:v>1592.3095477824115</c:v>
                </c:pt>
                <c:pt idx="264">
                  <c:v>1604.0316904957172</c:v>
                </c:pt>
                <c:pt idx="265">
                  <c:v>1598.8175003527429</c:v>
                </c:pt>
                <c:pt idx="266">
                  <c:v>1597.3065953506264</c:v>
                </c:pt>
                <c:pt idx="267">
                  <c:v>1604.1747557785227</c:v>
                </c:pt>
                <c:pt idx="268">
                  <c:v>1610.8577072438516</c:v>
                </c:pt>
                <c:pt idx="269">
                  <c:v>1612.2625610003884</c:v>
                </c:pt>
                <c:pt idx="270">
                  <c:v>1604.1549856343861</c:v>
                </c:pt>
                <c:pt idx="271">
                  <c:v>1598.3580557205798</c:v>
                </c:pt>
                <c:pt idx="272">
                  <c:v>1597.7799073862564</c:v>
                </c:pt>
                <c:pt idx="273">
                  <c:v>1603.5772279419389</c:v>
                </c:pt>
                <c:pt idx="274">
                  <c:v>1606.7477645742872</c:v>
                </c:pt>
                <c:pt idx="275">
                  <c:v>1614.5612779868416</c:v>
                </c:pt>
                <c:pt idx="276">
                  <c:v>1602.8519103189205</c:v>
                </c:pt>
                <c:pt idx="277">
                  <c:v>1601.910798857007</c:v>
                </c:pt>
                <c:pt idx="278">
                  <c:v>1607.1313340638649</c:v>
                </c:pt>
                <c:pt idx="279">
                  <c:v>1601.7905460594816</c:v>
                </c:pt>
                <c:pt idx="280">
                  <c:v>1610.8698027831247</c:v>
                </c:pt>
                <c:pt idx="281">
                  <c:v>1599.6085839664258</c:v>
                </c:pt>
                <c:pt idx="282">
                  <c:v>1599.5029324626273</c:v>
                </c:pt>
                <c:pt idx="283">
                  <c:v>1609.1419148678515</c:v>
                </c:pt>
                <c:pt idx="284">
                  <c:v>1598.9770633786443</c:v>
                </c:pt>
                <c:pt idx="285">
                  <c:v>1598.8272009983725</c:v>
                </c:pt>
                <c:pt idx="286">
                  <c:v>1598.8762377923822</c:v>
                </c:pt>
                <c:pt idx="287">
                  <c:v>1592.9129803656278</c:v>
                </c:pt>
                <c:pt idx="288">
                  <c:v>1598.253502483434</c:v>
                </c:pt>
                <c:pt idx="289">
                  <c:v>1597.7479814685335</c:v>
                </c:pt>
                <c:pt idx="290">
                  <c:v>1591.7554935797223</c:v>
                </c:pt>
                <c:pt idx="291">
                  <c:v>1597.696960618244</c:v>
                </c:pt>
                <c:pt idx="292">
                  <c:v>1595.7547788545346</c:v>
                </c:pt>
                <c:pt idx="293">
                  <c:v>1605.5242501814073</c:v>
                </c:pt>
                <c:pt idx="294">
                  <c:v>1597.0731046803189</c:v>
                </c:pt>
                <c:pt idx="295">
                  <c:v>1605.8806660522371</c:v>
                </c:pt>
                <c:pt idx="296">
                  <c:v>1604.2133820559236</c:v>
                </c:pt>
                <c:pt idx="297">
                  <c:v>1596.4001017635881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D-431B-B580-4B7B186A7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  <c:pt idx="25">
                  <c:v>-34.79999999999999</c:v>
                </c:pt>
                <c:pt idx="26">
                  <c:v>0.80000000000001137</c:v>
                </c:pt>
                <c:pt idx="27">
                  <c:v>-32.399999999999991</c:v>
                </c:pt>
                <c:pt idx="28">
                  <c:v>62.600000000000009</c:v>
                </c:pt>
                <c:pt idx="29">
                  <c:v>46.000000000000007</c:v>
                </c:pt>
                <c:pt idx="30">
                  <c:v>15.900000000000006</c:v>
                </c:pt>
                <c:pt idx="31">
                  <c:v>63.400000000000006</c:v>
                </c:pt>
                <c:pt idx="32">
                  <c:v>28.200000000000003</c:v>
                </c:pt>
                <c:pt idx="33">
                  <c:v>119.2</c:v>
                </c:pt>
                <c:pt idx="34">
                  <c:v>189.2</c:v>
                </c:pt>
                <c:pt idx="35">
                  <c:v>163.29999999999998</c:v>
                </c:pt>
                <c:pt idx="36">
                  <c:v>105.09999999999998</c:v>
                </c:pt>
                <c:pt idx="37">
                  <c:v>152.59999999999997</c:v>
                </c:pt>
                <c:pt idx="38">
                  <c:v>157.89999999999998</c:v>
                </c:pt>
                <c:pt idx="39">
                  <c:v>191.2</c:v>
                </c:pt>
                <c:pt idx="40">
                  <c:v>231.89999999999998</c:v>
                </c:pt>
                <c:pt idx="41">
                  <c:v>167.39999999999998</c:v>
                </c:pt>
                <c:pt idx="42">
                  <c:v>198.09999999999997</c:v>
                </c:pt>
                <c:pt idx="43">
                  <c:v>156.39999999999998</c:v>
                </c:pt>
                <c:pt idx="44">
                  <c:v>88.399999999999977</c:v>
                </c:pt>
                <c:pt idx="45">
                  <c:v>154.39999999999998</c:v>
                </c:pt>
                <c:pt idx="46">
                  <c:v>108.39999999999998</c:v>
                </c:pt>
                <c:pt idx="47">
                  <c:v>115.69999999999997</c:v>
                </c:pt>
                <c:pt idx="48">
                  <c:v>173.49999999999997</c:v>
                </c:pt>
                <c:pt idx="49">
                  <c:v>117.89999999999998</c:v>
                </c:pt>
                <c:pt idx="50">
                  <c:v>109.19999999999997</c:v>
                </c:pt>
                <c:pt idx="51">
                  <c:v>117.09999999999998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FA-4318-A9FA-4F41E2CCB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-2290.1960784313724</c:v>
                </c:pt>
                <c:pt idx="1">
                  <c:v>-300</c:v>
                </c:pt>
                <c:pt idx="2">
                  <c:v>-151.06382978723406</c:v>
                </c:pt>
                <c:pt idx="3">
                  <c:v>259.09090909090907</c:v>
                </c:pt>
                <c:pt idx="4">
                  <c:v>2166.6666666666665</c:v>
                </c:pt>
                <c:pt idx="5">
                  <c:v>4022.2222222222222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C-4E20-B9D4-B59FFF902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17</c:v>
                </c:pt>
                <c:pt idx="3">
                  <c:v>24</c:v>
                </c:pt>
                <c:pt idx="4">
                  <c:v>18</c:v>
                </c:pt>
                <c:pt idx="5">
                  <c:v>17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C-4DA5-8EDB-F5D7D1D0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れんたろう!$M$2:$M$53</c:f>
              <c:numCache>
                <c:formatCode>0</c:formatCode>
                <c:ptCount val="52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  <c:pt idx="25">
                  <c:v>1594.3846326260646</c:v>
                </c:pt>
                <c:pt idx="26">
                  <c:v>1600.8023248303082</c:v>
                </c:pt>
                <c:pt idx="27">
                  <c:v>1594.7975108813264</c:v>
                </c:pt>
                <c:pt idx="28">
                  <c:v>1611.9047258160385</c:v>
                </c:pt>
                <c:pt idx="29">
                  <c:v>1608.8212974611422</c:v>
                </c:pt>
                <c:pt idx="30">
                  <c:v>1603.3323696763753</c:v>
                </c:pt>
                <c:pt idx="31">
                  <c:v>1611.8383754583169</c:v>
                </c:pt>
                <c:pt idx="32">
                  <c:v>1605.407345205567</c:v>
                </c:pt>
                <c:pt idx="33">
                  <c:v>1621.7309011343336</c:v>
                </c:pt>
                <c:pt idx="34">
                  <c:v>1634.1765157275277</c:v>
                </c:pt>
                <c:pt idx="35">
                  <c:v>1629.2854566331625</c:v>
                </c:pt>
                <c:pt idx="36">
                  <c:v>1618.6097438933637</c:v>
                </c:pt>
                <c:pt idx="37">
                  <c:v>1627.3240854300034</c:v>
                </c:pt>
                <c:pt idx="38">
                  <c:v>1628.1621409174234</c:v>
                </c:pt>
                <c:pt idx="39">
                  <c:v>1634.0351680719189</c:v>
                </c:pt>
                <c:pt idx="40">
                  <c:v>1641.2049570634874</c:v>
                </c:pt>
                <c:pt idx="41">
                  <c:v>1629.3957273211065</c:v>
                </c:pt>
                <c:pt idx="42">
                  <c:v>1634.7933529571799</c:v>
                </c:pt>
                <c:pt idx="43">
                  <c:v>1627.1265928394369</c:v>
                </c:pt>
                <c:pt idx="44">
                  <c:v>1614.7718332824002</c:v>
                </c:pt>
                <c:pt idx="45">
                  <c:v>1626.6112022827058</c:v>
                </c:pt>
                <c:pt idx="46">
                  <c:v>1618.2195350690095</c:v>
                </c:pt>
                <c:pt idx="47">
                  <c:v>1619.4722178585953</c:v>
                </c:pt>
                <c:pt idx="48">
                  <c:v>1629.8073845514436</c:v>
                </c:pt>
                <c:pt idx="49">
                  <c:v>1619.6685402441349</c:v>
                </c:pt>
                <c:pt idx="50">
                  <c:v>1618.0325290026701</c:v>
                </c:pt>
                <c:pt idx="51">
                  <c:v>1619.394333828654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8-4B7A-B1B2-FC6BDA2AC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D5-44F8-A6B9-ECB1B74EF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E-4F6F-BE37-3A408D5E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76-4FDC-9391-6FA00DAAE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13-438B-B716-887B12F3C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  <c:pt idx="31">
                  <c:v>-167.8</c:v>
                </c:pt>
                <c:pt idx="32">
                  <c:v>-102.10000000000001</c:v>
                </c:pt>
                <c:pt idx="33">
                  <c:v>-67.800000000000011</c:v>
                </c:pt>
                <c:pt idx="34">
                  <c:v>-21.000000000000014</c:v>
                </c:pt>
                <c:pt idx="35">
                  <c:v>17.199999999999989</c:v>
                </c:pt>
                <c:pt idx="36">
                  <c:v>75.699999999999989</c:v>
                </c:pt>
                <c:pt idx="37">
                  <c:v>51.79999999999999</c:v>
                </c:pt>
                <c:pt idx="38">
                  <c:v>20.79999999999999</c:v>
                </c:pt>
                <c:pt idx="39">
                  <c:v>39.599999999999994</c:v>
                </c:pt>
                <c:pt idx="40">
                  <c:v>-18.500000000000007</c:v>
                </c:pt>
                <c:pt idx="41">
                  <c:v>-73.5</c:v>
                </c:pt>
                <c:pt idx="42">
                  <c:v>-105.5</c:v>
                </c:pt>
                <c:pt idx="43">
                  <c:v>-137.69999999999999</c:v>
                </c:pt>
                <c:pt idx="44">
                  <c:v>-82.399999999999991</c:v>
                </c:pt>
                <c:pt idx="45">
                  <c:v>-90.3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9-4007-8EC0-D933D9BE5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-106.66666666666667</c:v>
                </c:pt>
                <c:pt idx="1">
                  <c:v>1813.6363636363637</c:v>
                </c:pt>
                <c:pt idx="2">
                  <c:v>-734.09090909090912</c:v>
                </c:pt>
                <c:pt idx="3">
                  <c:v>1251.1627906976744</c:v>
                </c:pt>
                <c:pt idx="4">
                  <c:v>-2066.6666666666665</c:v>
                </c:pt>
                <c:pt idx="5">
                  <c:v>97.142857142857139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EC-45B6-B52B-1B56AE529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23</c:v>
                </c:pt>
                <c:pt idx="2">
                  <c:v>34</c:v>
                </c:pt>
                <c:pt idx="3">
                  <c:v>23</c:v>
                </c:pt>
                <c:pt idx="4">
                  <c:v>19</c:v>
                </c:pt>
                <c:pt idx="5">
                  <c:v>11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0-43FA-AB34-1DCF7F810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  <c:pt idx="31">
                  <c:v>1530.0679406890238</c:v>
                </c:pt>
                <c:pt idx="32">
                  <c:v>1542.2535330448895</c:v>
                </c:pt>
                <c:pt idx="33">
                  <c:v>1548.7140118466202</c:v>
                </c:pt>
                <c:pt idx="34">
                  <c:v>1557.3857277755405</c:v>
                </c:pt>
                <c:pt idx="35">
                  <c:v>1564.4574134088873</c:v>
                </c:pt>
                <c:pt idx="36">
                  <c:v>1575.1346689284339</c:v>
                </c:pt>
                <c:pt idx="37">
                  <c:v>1570.9218609148634</c:v>
                </c:pt>
                <c:pt idx="38">
                  <c:v>1565.3243297493741</c:v>
                </c:pt>
                <c:pt idx="39">
                  <c:v>1568.7243837708779</c:v>
                </c:pt>
                <c:pt idx="40">
                  <c:v>1557.7160374682526</c:v>
                </c:pt>
                <c:pt idx="41">
                  <c:v>1547.8597412434431</c:v>
                </c:pt>
                <c:pt idx="42">
                  <c:v>1542.2025827959824</c:v>
                </c:pt>
                <c:pt idx="43">
                  <c:v>1536.5433672992065</c:v>
                </c:pt>
                <c:pt idx="44">
                  <c:v>1546.6681070954112</c:v>
                </c:pt>
                <c:pt idx="45">
                  <c:v>1545.3560984528388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69A-887E-B3251D6EE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  <c:pt idx="39">
                  <c:v>401.99999999999989</c:v>
                </c:pt>
                <c:pt idx="40">
                  <c:v>394.39999999999986</c:v>
                </c:pt>
                <c:pt idx="41">
                  <c:v>359.09999999999985</c:v>
                </c:pt>
                <c:pt idx="42">
                  <c:v>360.29999999999984</c:v>
                </c:pt>
                <c:pt idx="43">
                  <c:v>322.49999999999983</c:v>
                </c:pt>
                <c:pt idx="44">
                  <c:v>269.79999999999984</c:v>
                </c:pt>
                <c:pt idx="45">
                  <c:v>296.19999999999982</c:v>
                </c:pt>
                <c:pt idx="46">
                  <c:v>308.19999999999982</c:v>
                </c:pt>
                <c:pt idx="47">
                  <c:v>337.89999999999981</c:v>
                </c:pt>
                <c:pt idx="48">
                  <c:v>365.49999999999983</c:v>
                </c:pt>
                <c:pt idx="49">
                  <c:v>383.19999999999982</c:v>
                </c:pt>
                <c:pt idx="50">
                  <c:v>430.69999999999982</c:v>
                </c:pt>
                <c:pt idx="51">
                  <c:v>489.69999999999982</c:v>
                </c:pt>
                <c:pt idx="52">
                  <c:v>548.5999999999998</c:v>
                </c:pt>
                <c:pt idx="53">
                  <c:v>480.39999999999981</c:v>
                </c:pt>
                <c:pt idx="54">
                  <c:v>454.39999999999981</c:v>
                </c:pt>
                <c:pt idx="55">
                  <c:v>541.5999999999998</c:v>
                </c:pt>
                <c:pt idx="56">
                  <c:v>537.99999999999977</c:v>
                </c:pt>
                <c:pt idx="57">
                  <c:v>512.79999999999973</c:v>
                </c:pt>
                <c:pt idx="58">
                  <c:v>449.09999999999974</c:v>
                </c:pt>
                <c:pt idx="59">
                  <c:v>418.49999999999972</c:v>
                </c:pt>
                <c:pt idx="60">
                  <c:v>456.1999999999997</c:v>
                </c:pt>
                <c:pt idx="61">
                  <c:v>434.09999999999968</c:v>
                </c:pt>
                <c:pt idx="62">
                  <c:v>389.6999999999997</c:v>
                </c:pt>
                <c:pt idx="63">
                  <c:v>393.99999999999972</c:v>
                </c:pt>
                <c:pt idx="64">
                  <c:v>381.39999999999969</c:v>
                </c:pt>
                <c:pt idx="65">
                  <c:v>420.59999999999968</c:v>
                </c:pt>
                <c:pt idx="66">
                  <c:v>356.49999999999966</c:v>
                </c:pt>
                <c:pt idx="67">
                  <c:v>345.49999999999966</c:v>
                </c:pt>
                <c:pt idx="68">
                  <c:v>374.29999999999967</c:v>
                </c:pt>
                <c:pt idx="69">
                  <c:v>415.39999999999969</c:v>
                </c:pt>
                <c:pt idx="70">
                  <c:v>431.59999999999968</c:v>
                </c:pt>
                <c:pt idx="71">
                  <c:v>367.79999999999967</c:v>
                </c:pt>
                <c:pt idx="72">
                  <c:v>334.29999999999967</c:v>
                </c:pt>
                <c:pt idx="73">
                  <c:v>286.49999999999966</c:v>
                </c:pt>
                <c:pt idx="74">
                  <c:v>286.09999999999968</c:v>
                </c:pt>
                <c:pt idx="75">
                  <c:v>283.6999999999997</c:v>
                </c:pt>
                <c:pt idx="76">
                  <c:v>290.09999999999968</c:v>
                </c:pt>
                <c:pt idx="77">
                  <c:v>358.09999999999968</c:v>
                </c:pt>
                <c:pt idx="78">
                  <c:v>311.09999999999968</c:v>
                </c:pt>
                <c:pt idx="79">
                  <c:v>305.6999999999997</c:v>
                </c:pt>
                <c:pt idx="80">
                  <c:v>249.6999999999997</c:v>
                </c:pt>
                <c:pt idx="81">
                  <c:v>234.89999999999969</c:v>
                </c:pt>
                <c:pt idx="82">
                  <c:v>299.49999999999966</c:v>
                </c:pt>
                <c:pt idx="83">
                  <c:v>337.29999999999967</c:v>
                </c:pt>
                <c:pt idx="84">
                  <c:v>292.39999999999969</c:v>
                </c:pt>
                <c:pt idx="85">
                  <c:v>290.1999999999997</c:v>
                </c:pt>
                <c:pt idx="86">
                  <c:v>334.89999999999969</c:v>
                </c:pt>
                <c:pt idx="87">
                  <c:v>365.79999999999967</c:v>
                </c:pt>
                <c:pt idx="88">
                  <c:v>420.49999999999966</c:v>
                </c:pt>
                <c:pt idx="89">
                  <c:v>421.89999999999964</c:v>
                </c:pt>
                <c:pt idx="90">
                  <c:v>420.19999999999965</c:v>
                </c:pt>
                <c:pt idx="91">
                  <c:v>410.49999999999966</c:v>
                </c:pt>
                <c:pt idx="92">
                  <c:v>460.49999999999966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CB-4879-BA14-1FBD6E9A7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1741.304347826087</c:v>
                </c:pt>
                <c:pt idx="1">
                  <c:v>340.44943820224717</c:v>
                </c:pt>
                <c:pt idx="2">
                  <c:v>1277.0114942528735</c:v>
                </c:pt>
                <c:pt idx="3">
                  <c:v>944.57831325301208</c:v>
                </c:pt>
                <c:pt idx="4">
                  <c:v>114.28571428571429</c:v>
                </c:pt>
                <c:pt idx="5">
                  <c:v>-1421.7391304347825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C3-46CB-BFF8-00C37DCAB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12</c:v>
                </c:pt>
                <c:pt idx="1">
                  <c:v>23</c:v>
                </c:pt>
                <c:pt idx="2">
                  <c:v>46</c:v>
                </c:pt>
                <c:pt idx="3">
                  <c:v>33</c:v>
                </c:pt>
                <c:pt idx="4">
                  <c:v>36</c:v>
                </c:pt>
                <c:pt idx="5">
                  <c:v>30</c:v>
                </c:pt>
                <c:pt idx="6">
                  <c:v>17</c:v>
                </c:pt>
                <c:pt idx="7">
                  <c:v>11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4-4623-9204-379FBAA29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だいち!$M$2:$M$94</c:f>
              <c:numCache>
                <c:formatCode>0</c:formatCode>
                <c:ptCount val="93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  <c:pt idx="39">
                  <c:v>1862.8634088439439</c:v>
                </c:pt>
                <c:pt idx="40">
                  <c:v>1859.8582283908802</c:v>
                </c:pt>
                <c:pt idx="41">
                  <c:v>1851.8850790205349</c:v>
                </c:pt>
                <c:pt idx="42">
                  <c:v>1850.5297685464118</c:v>
                </c:pt>
                <c:pt idx="43">
                  <c:v>1842.1625899351334</c:v>
                </c:pt>
                <c:pt idx="44">
                  <c:v>1831.1576143955226</c:v>
                </c:pt>
                <c:pt idx="45">
                  <c:v>1834.4626687091495</c:v>
                </c:pt>
                <c:pt idx="46">
                  <c:v>1835.0118926968946</c:v>
                </c:pt>
                <c:pt idx="47">
                  <c:v>1838.8458213407132</c:v>
                </c:pt>
                <c:pt idx="48">
                  <c:v>1842.2787464126689</c:v>
                </c:pt>
                <c:pt idx="49">
                  <c:v>1843.9090739341927</c:v>
                </c:pt>
                <c:pt idx="50">
                  <c:v>1850.8936194905875</c:v>
                </c:pt>
                <c:pt idx="51">
                  <c:v>1859.906257773644</c:v>
                </c:pt>
                <c:pt idx="52">
                  <c:v>1868.8468202270021</c:v>
                </c:pt>
                <c:pt idx="53">
                  <c:v>1854.8557393056401</c:v>
                </c:pt>
                <c:pt idx="54">
                  <c:v>1848.5446048698063</c:v>
                </c:pt>
                <c:pt idx="55">
                  <c:v>1862.6473372405876</c:v>
                </c:pt>
                <c:pt idx="56">
                  <c:v>1860.3214532171442</c:v>
                </c:pt>
                <c:pt idx="57">
                  <c:v>1854.1215244978414</c:v>
                </c:pt>
                <c:pt idx="58">
                  <c:v>1841.1067953508543</c:v>
                </c:pt>
                <c:pt idx="59">
                  <c:v>1834.1281545787492</c:v>
                </c:pt>
                <c:pt idx="60">
                  <c:v>1839.4853856512768</c:v>
                </c:pt>
                <c:pt idx="61">
                  <c:v>1834.0464733373692</c:v>
                </c:pt>
                <c:pt idx="62">
                  <c:v>1824.6261944973451</c:v>
                </c:pt>
                <c:pt idx="63">
                  <c:v>1824.034437330361</c:v>
                </c:pt>
                <c:pt idx="64">
                  <c:v>1820.3982307063789</c:v>
                </c:pt>
                <c:pt idx="65">
                  <c:v>1826.1078413221405</c:v>
                </c:pt>
                <c:pt idx="66">
                  <c:v>1813.1891942742077</c:v>
                </c:pt>
                <c:pt idx="67">
                  <c:v>1809.9060591085624</c:v>
                </c:pt>
                <c:pt idx="68">
                  <c:v>1813.8066227539111</c:v>
                </c:pt>
                <c:pt idx="69">
                  <c:v>1819.8977830173876</c:v>
                </c:pt>
                <c:pt idx="70">
                  <c:v>1821.7703963192832</c:v>
                </c:pt>
                <c:pt idx="71">
                  <c:v>1809.0037739413676</c:v>
                </c:pt>
                <c:pt idx="72">
                  <c:v>1801.7677512977193</c:v>
                </c:pt>
                <c:pt idx="73">
                  <c:v>1792.0011447899331</c:v>
                </c:pt>
                <c:pt idx="74">
                  <c:v>1790.8251379211933</c:v>
                </c:pt>
                <c:pt idx="75">
                  <c:v>1789.2961870936663</c:v>
                </c:pt>
                <c:pt idx="76">
                  <c:v>1789.3604099711042</c:v>
                </c:pt>
                <c:pt idx="77">
                  <c:v>1800.5122475112776</c:v>
                </c:pt>
                <c:pt idx="78">
                  <c:v>1790.89717402621</c:v>
                </c:pt>
                <c:pt idx="79">
                  <c:v>1788.8277909820526</c:v>
                </c:pt>
                <c:pt idx="80">
                  <c:v>1777.6628242361603</c:v>
                </c:pt>
                <c:pt idx="81">
                  <c:v>1773.9808472907434</c:v>
                </c:pt>
                <c:pt idx="82">
                  <c:v>1784.6129622069989</c:v>
                </c:pt>
                <c:pt idx="83">
                  <c:v>1790.3572844337568</c:v>
                </c:pt>
                <c:pt idx="84">
                  <c:v>1781.1811407271543</c:v>
                </c:pt>
                <c:pt idx="85">
                  <c:v>1779.5060538827913</c:v>
                </c:pt>
                <c:pt idx="86">
                  <c:v>1786.2830175594945</c:v>
                </c:pt>
                <c:pt idx="87">
                  <c:v>1790.3973194541375</c:v>
                </c:pt>
                <c:pt idx="88">
                  <c:v>1798.8909355374126</c:v>
                </c:pt>
                <c:pt idx="89">
                  <c:v>1797.7395899241881</c:v>
                </c:pt>
                <c:pt idx="90">
                  <c:v>1796.0371523846429</c:v>
                </c:pt>
                <c:pt idx="91">
                  <c:v>1792.904929470335</c:v>
                </c:pt>
                <c:pt idx="92">
                  <c:v>1800.5374998935131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D-4830-8387-A4BDE0C60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  <c:pt idx="48">
                  <c:v>-442.49999999999989</c:v>
                </c:pt>
                <c:pt idx="49">
                  <c:v>-505.99999999999989</c:v>
                </c:pt>
                <c:pt idx="50">
                  <c:v>-533.59999999999991</c:v>
                </c:pt>
                <c:pt idx="51">
                  <c:v>-530.09999999999991</c:v>
                </c:pt>
                <c:pt idx="52">
                  <c:v>-529.79999999999995</c:v>
                </c:pt>
                <c:pt idx="53">
                  <c:v>-499.19999999999993</c:v>
                </c:pt>
                <c:pt idx="54">
                  <c:v>-465.29999999999995</c:v>
                </c:pt>
                <c:pt idx="55">
                  <c:v>-510.9</c:v>
                </c:pt>
                <c:pt idx="56">
                  <c:v>-553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C-4444-8B45-E48048E50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-1642.8571428571429</c:v>
                </c:pt>
                <c:pt idx="1">
                  <c:v>-1107.1428571428571</c:v>
                </c:pt>
                <c:pt idx="2">
                  <c:v>592.59259259259261</c:v>
                </c:pt>
                <c:pt idx="3">
                  <c:v>-4155.7692307692305</c:v>
                </c:pt>
                <c:pt idx="4">
                  <c:v>-2221.2765957446809</c:v>
                </c:pt>
                <c:pt idx="5">
                  <c:v>-742.85714285714289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18-43D8-8140-823E7E3D0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7</c:v>
                </c:pt>
                <c:pt idx="1">
                  <c:v>27</c:v>
                </c:pt>
                <c:pt idx="2">
                  <c:v>16</c:v>
                </c:pt>
                <c:pt idx="3">
                  <c:v>33</c:v>
                </c:pt>
                <c:pt idx="4">
                  <c:v>24</c:v>
                </c:pt>
                <c:pt idx="5">
                  <c:v>6</c:v>
                </c:pt>
                <c:pt idx="6">
                  <c:v>8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4-4F3D-968B-421734B64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りくと!$M$2:$M$58</c:f>
              <c:numCache>
                <c:formatCode>0</c:formatCode>
                <c:ptCount val="57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  <c:pt idx="17">
                  <c:v>1376.0515522112898</c:v>
                </c:pt>
                <c:pt idx="18">
                  <c:v>1366.8772428980221</c:v>
                </c:pt>
                <c:pt idx="19">
                  <c:v>1368.3959794406339</c:v>
                </c:pt>
                <c:pt idx="20">
                  <c:v>1361.0856035639902</c:v>
                </c:pt>
                <c:pt idx="21">
                  <c:v>1362.3870899426063</c:v>
                </c:pt>
                <c:pt idx="22">
                  <c:v>1362.7027674029507</c:v>
                </c:pt>
                <c:pt idx="23">
                  <c:v>1363.6165507985329</c:v>
                </c:pt>
                <c:pt idx="24">
                  <c:v>1351.5468514937418</c:v>
                </c:pt>
                <c:pt idx="25">
                  <c:v>1352.4675703847793</c:v>
                </c:pt>
                <c:pt idx="26">
                  <c:v>1353.8327649624705</c:v>
                </c:pt>
                <c:pt idx="27">
                  <c:v>1343.7957683726956</c:v>
                </c:pt>
                <c:pt idx="28">
                  <c:v>1344.0249937624594</c:v>
                </c:pt>
                <c:pt idx="29">
                  <c:v>1335.2528437998847</c:v>
                </c:pt>
                <c:pt idx="30">
                  <c:v>1328.0993267370854</c:v>
                </c:pt>
                <c:pt idx="31">
                  <c:v>1329.538730776663</c:v>
                </c:pt>
                <c:pt idx="32">
                  <c:v>1330.9694983920031</c:v>
                </c:pt>
                <c:pt idx="33">
                  <c:v>1320.673681401651</c:v>
                </c:pt>
                <c:pt idx="34">
                  <c:v>1327.3596393132411</c:v>
                </c:pt>
                <c:pt idx="35">
                  <c:v>1344.4274814773617</c:v>
                </c:pt>
                <c:pt idx="36">
                  <c:v>1353.8929165884974</c:v>
                </c:pt>
                <c:pt idx="37">
                  <c:v>1354.4455590889665</c:v>
                </c:pt>
                <c:pt idx="38">
                  <c:v>1355.0848857344326</c:v>
                </c:pt>
                <c:pt idx="39">
                  <c:v>1343.4083764200261</c:v>
                </c:pt>
                <c:pt idx="40">
                  <c:v>1355.903926161506</c:v>
                </c:pt>
                <c:pt idx="41">
                  <c:v>1361.994502604537</c:v>
                </c:pt>
                <c:pt idx="42">
                  <c:v>1357.1165355889098</c:v>
                </c:pt>
                <c:pt idx="43">
                  <c:v>1357.8298363753763</c:v>
                </c:pt>
                <c:pt idx="44">
                  <c:v>1354.4168573571242</c:v>
                </c:pt>
                <c:pt idx="45">
                  <c:v>1345.2463562129815</c:v>
                </c:pt>
                <c:pt idx="46">
                  <c:v>1346.2288780757035</c:v>
                </c:pt>
                <c:pt idx="47">
                  <c:v>1350.8055048072492</c:v>
                </c:pt>
                <c:pt idx="48">
                  <c:v>1358.0846717784057</c:v>
                </c:pt>
                <c:pt idx="49">
                  <c:v>1347.9141637477353</c:v>
                </c:pt>
                <c:pt idx="50">
                  <c:v>1344.1286787652489</c:v>
                </c:pt>
                <c:pt idx="51">
                  <c:v>1345.5559066926573</c:v>
                </c:pt>
                <c:pt idx="52">
                  <c:v>1346.9265712525014</c:v>
                </c:pt>
                <c:pt idx="53">
                  <c:v>1353.7430118249863</c:v>
                </c:pt>
                <c:pt idx="54">
                  <c:v>1361.1125537540363</c:v>
                </c:pt>
                <c:pt idx="55">
                  <c:v>1354.127878431512</c:v>
                </c:pt>
                <c:pt idx="56">
                  <c:v>1347.8151111609229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EC-43ED-B026-4045D921A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E2-4A3B-AD44-A3A40F5BE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4-4C95-94F3-36ED3C1AB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9-4347-937C-2056FB9A4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8-47B4-B840-4B5031025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61.8</c:v>
                </c:pt>
                <c:pt idx="2">
                  <c:v>34.699999999999996</c:v>
                </c:pt>
                <c:pt idx="3">
                  <c:v>7.1999999999999957</c:v>
                </c:pt>
                <c:pt idx="4">
                  <c:v>52.9</c:v>
                </c:pt>
                <c:pt idx="5">
                  <c:v>12.100000000000001</c:v>
                </c:pt>
                <c:pt idx="6">
                  <c:v>9.8000000000000007</c:v>
                </c:pt>
                <c:pt idx="7">
                  <c:v>-1.0999999999999996</c:v>
                </c:pt>
                <c:pt idx="8">
                  <c:v>67.600000000000009</c:v>
                </c:pt>
                <c:pt idx="9">
                  <c:v>94.100000000000009</c:v>
                </c:pt>
                <c:pt idx="10">
                  <c:v>72.5</c:v>
                </c:pt>
                <c:pt idx="11">
                  <c:v>47.7</c:v>
                </c:pt>
                <c:pt idx="12">
                  <c:v>-13.399999999999999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5E-43B3-BD1D-4E6849E2A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1525</c:v>
                </c:pt>
                <c:pt idx="1">
                  <c:v>-2191.6666666666665</c:v>
                </c:pt>
                <c:pt idx="2">
                  <c:v>-2550</c:v>
                </c:pt>
                <c:pt idx="3">
                  <c:v>675</c:v>
                </c:pt>
                <c:pt idx="4">
                  <c:v>9910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A-4287-B931-8DA0D776F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ED-4DAE-B036-66BDCF154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まっつん!$M$2:$M$14</c:f>
              <c:numCache>
                <c:formatCode>0</c:formatCode>
                <c:ptCount val="13"/>
                <c:pt idx="0">
                  <c:v>1551.4699038276274</c:v>
                </c:pt>
                <c:pt idx="1">
                  <c:v>1562.6810844046615</c:v>
                </c:pt>
                <c:pt idx="2">
                  <c:v>1557.9249978982336</c:v>
                </c:pt>
                <c:pt idx="3">
                  <c:v>1553.1254479108443</c:v>
                </c:pt>
                <c:pt idx="4">
                  <c:v>1561.5306952233793</c:v>
                </c:pt>
                <c:pt idx="5">
                  <c:v>1554.315511052039</c:v>
                </c:pt>
                <c:pt idx="6">
                  <c:v>1554.0736179857267</c:v>
                </c:pt>
                <c:pt idx="7">
                  <c:v>1552.2851762778123</c:v>
                </c:pt>
                <c:pt idx="8">
                  <c:v>1564.8354652201454</c:v>
                </c:pt>
                <c:pt idx="9">
                  <c:v>1569.7144524288244</c:v>
                </c:pt>
                <c:pt idx="10">
                  <c:v>1565.9061657142515</c:v>
                </c:pt>
                <c:pt idx="11">
                  <c:v>1561.5447287199661</c:v>
                </c:pt>
                <c:pt idx="12">
                  <c:v>1550.6754603476463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97-4130-A9E3-1C509916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ぱぱ!$L$2:$L$17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-63.7</c:v>
                </c:pt>
                <c:pt idx="2">
                  <c:v>-5.2000000000000028</c:v>
                </c:pt>
                <c:pt idx="3">
                  <c:v>-5.0000000000000027</c:v>
                </c:pt>
                <c:pt idx="4">
                  <c:v>2.099999999999997</c:v>
                </c:pt>
                <c:pt idx="5">
                  <c:v>67</c:v>
                </c:pt>
                <c:pt idx="6">
                  <c:v>38.700000000000003</c:v>
                </c:pt>
                <c:pt idx="7">
                  <c:v>74</c:v>
                </c:pt>
                <c:pt idx="8">
                  <c:v>74</c:v>
                </c:pt>
                <c:pt idx="9">
                  <c:v>55</c:v>
                </c:pt>
                <c:pt idx="10">
                  <c:v>106.4</c:v>
                </c:pt>
                <c:pt idx="11">
                  <c:v>155.10000000000002</c:v>
                </c:pt>
                <c:pt idx="12">
                  <c:v>112.10000000000002</c:v>
                </c:pt>
                <c:pt idx="13">
                  <c:v>103.10000000000002</c:v>
                </c:pt>
                <c:pt idx="14">
                  <c:v>74.000000000000028</c:v>
                </c:pt>
                <c:pt idx="15">
                  <c:v>111.00000000000003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0-4103-B186-EFF9C27B5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1720</c:v>
                </c:pt>
                <c:pt idx="1">
                  <c:v>3107.6923076923076</c:v>
                </c:pt>
                <c:pt idx="2">
                  <c:v>-2215.3846153846152</c:v>
                </c:pt>
                <c:pt idx="3">
                  <c:v>-1308.3333333333333</c:v>
                </c:pt>
                <c:pt idx="4">
                  <c:v>4463.636363636364</c:v>
                </c:pt>
                <c:pt idx="5">
                  <c:v>-2666.6666666666665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8-4E7D-9666-6D700FC6D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F05-97DC-9A736175E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ぱぱ!$M$2:$M$17</c:f>
              <c:numCache>
                <c:formatCode>0</c:formatCode>
                <c:ptCount val="16"/>
                <c:pt idx="0">
                  <c:v>1384.1908394993188</c:v>
                </c:pt>
                <c:pt idx="1">
                  <c:v>1374.2956944623229</c:v>
                </c:pt>
                <c:pt idx="2">
                  <c:v>1386.227920295549</c:v>
                </c:pt>
                <c:pt idx="3">
                  <c:v>1387.5945527737756</c:v>
                </c:pt>
                <c:pt idx="4">
                  <c:v>1390.194985457133</c:v>
                </c:pt>
                <c:pt idx="5">
                  <c:v>1403.1838155443902</c:v>
                </c:pt>
                <c:pt idx="6">
                  <c:v>1399.3187126511239</c:v>
                </c:pt>
                <c:pt idx="7">
                  <c:v>1406.924800375217</c:v>
                </c:pt>
                <c:pt idx="8">
                  <c:v>1408.1312515729658</c:v>
                </c:pt>
                <c:pt idx="9">
                  <c:v>1405.910464063528</c:v>
                </c:pt>
                <c:pt idx="10">
                  <c:v>1416.3750012791468</c:v>
                </c:pt>
                <c:pt idx="11">
                  <c:v>1426.2907512714719</c:v>
                </c:pt>
                <c:pt idx="12">
                  <c:v>1419.6410067638431</c:v>
                </c:pt>
                <c:pt idx="13">
                  <c:v>1419.1511607232601</c:v>
                </c:pt>
                <c:pt idx="14">
                  <c:v>1415.0462537589206</c:v>
                </c:pt>
                <c:pt idx="15">
                  <c:v>1422.8639762363671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4-4A24-B0B4-14FE0AD51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-3.3</c:v>
                </c:pt>
                <c:pt idx="2">
                  <c:v>51.300000000000004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6-42F0-AD06-94F9DE4DE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-7000</c:v>
                </c:pt>
                <c:pt idx="1">
                  <c:v>-2750</c:v>
                </c:pt>
                <c:pt idx="2">
                  <c:v>-1400</c:v>
                </c:pt>
                <c:pt idx="3">
                  <c:v>28250</c:v>
                </c:pt>
                <c:pt idx="4">
                  <c:v>-4900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20-42F1-888D-E9A962AD8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2-4CF3-BB84-3814699D5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やがさき!$M$2:$M$4</c:f>
              <c:numCache>
                <c:formatCode>0</c:formatCode>
                <c:ptCount val="3"/>
                <c:pt idx="0">
                  <c:v>1519.3079580555725</c:v>
                </c:pt>
                <c:pt idx="1">
                  <c:v>1518.868110307239</c:v>
                </c:pt>
                <c:pt idx="2">
                  <c:v>1528.4449016453955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33-4F9D-954A-5CD77FCA6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りくと2!$B$3:$B$59</c:f>
              <c:numCache>
                <c:formatCode>\+0.0;\-0.0;\±0</c:formatCode>
                <c:ptCount val="57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  <c:pt idx="24">
                  <c:v>-284.3</c:v>
                </c:pt>
                <c:pt idx="25">
                  <c:v>-286.90000000000003</c:v>
                </c:pt>
                <c:pt idx="26">
                  <c:v>-287.00000000000006</c:v>
                </c:pt>
                <c:pt idx="27">
                  <c:v>-350.40000000000003</c:v>
                </c:pt>
                <c:pt idx="28">
                  <c:v>-357.1</c:v>
                </c:pt>
                <c:pt idx="29">
                  <c:v>-413.8</c:v>
                </c:pt>
                <c:pt idx="30">
                  <c:v>-461.8</c:v>
                </c:pt>
                <c:pt idx="31">
                  <c:v>-462.3</c:v>
                </c:pt>
                <c:pt idx="32">
                  <c:v>-462.8</c:v>
                </c:pt>
                <c:pt idx="33">
                  <c:v>-528.4</c:v>
                </c:pt>
                <c:pt idx="34">
                  <c:v>-500</c:v>
                </c:pt>
                <c:pt idx="35">
                  <c:v>-413.7</c:v>
                </c:pt>
                <c:pt idx="36">
                  <c:v>-369.5</c:v>
                </c:pt>
                <c:pt idx="37">
                  <c:v>-374.5</c:v>
                </c:pt>
                <c:pt idx="38">
                  <c:v>-379</c:v>
                </c:pt>
                <c:pt idx="39">
                  <c:v>-451.9</c:v>
                </c:pt>
                <c:pt idx="40">
                  <c:v>-390.9</c:v>
                </c:pt>
                <c:pt idx="41">
                  <c:v>-365.09999999999997</c:v>
                </c:pt>
                <c:pt idx="42">
                  <c:v>-399.99999999999994</c:v>
                </c:pt>
                <c:pt idx="43">
                  <c:v>-403.99999999999994</c:v>
                </c:pt>
                <c:pt idx="44">
                  <c:v>-430.89999999999992</c:v>
                </c:pt>
                <c:pt idx="45">
                  <c:v>-489.89999999999992</c:v>
                </c:pt>
                <c:pt idx="46">
                  <c:v>-492.7999999999999</c:v>
                </c:pt>
                <c:pt idx="47">
                  <c:v>-475.69999999999987</c:v>
                </c:pt>
                <c:pt idx="48">
                  <c:v>-442.49999999999989</c:v>
                </c:pt>
                <c:pt idx="49">
                  <c:v>-505.99999999999989</c:v>
                </c:pt>
                <c:pt idx="50">
                  <c:v>-533.59999999999991</c:v>
                </c:pt>
                <c:pt idx="51">
                  <c:v>-530.09999999999991</c:v>
                </c:pt>
                <c:pt idx="52">
                  <c:v>-529.79999999999995</c:v>
                </c:pt>
                <c:pt idx="53">
                  <c:v>-499.19999999999993</c:v>
                </c:pt>
                <c:pt idx="54">
                  <c:v>-465.29999999999995</c:v>
                </c:pt>
                <c:pt idx="55">
                  <c:v>-510.9</c:v>
                </c:pt>
                <c:pt idx="56">
                  <c:v>-553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-7.1054273576010019E-15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りくと2!$C$3:$C$59</c:f>
              <c:numCache>
                <c:formatCode>\+0.0;\-0.0;\±0</c:formatCode>
                <c:ptCount val="57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  <c:pt idx="17">
                  <c:v>-5.6882352941176482</c:v>
                </c:pt>
                <c:pt idx="18">
                  <c:v>-8.6000000000000014</c:v>
                </c:pt>
                <c:pt idx="19">
                  <c:v>-8.094736842105263</c:v>
                </c:pt>
                <c:pt idx="20">
                  <c:v>-10.09</c:v>
                </c:pt>
                <c:pt idx="21">
                  <c:v>-9.6285714285714299</c:v>
                </c:pt>
                <c:pt idx="22">
                  <c:v>-9.454545454545455</c:v>
                </c:pt>
                <c:pt idx="23">
                  <c:v>-9.1521739130434803</c:v>
                </c:pt>
                <c:pt idx="24">
                  <c:v>-11.845833333333333</c:v>
                </c:pt>
                <c:pt idx="25">
                  <c:v>-11.476000000000001</c:v>
                </c:pt>
                <c:pt idx="26">
                  <c:v>-11.03846153846154</c:v>
                </c:pt>
                <c:pt idx="27">
                  <c:v>-12.97777777777778</c:v>
                </c:pt>
                <c:pt idx="28">
                  <c:v>-12.75357142857143</c:v>
                </c:pt>
                <c:pt idx="29">
                  <c:v>-14.26896551724138</c:v>
                </c:pt>
                <c:pt idx="30">
                  <c:v>-15.393333333333334</c:v>
                </c:pt>
                <c:pt idx="31">
                  <c:v>-14.912903225806453</c:v>
                </c:pt>
                <c:pt idx="32">
                  <c:v>-14.4625</c:v>
                </c:pt>
                <c:pt idx="33">
                  <c:v>-16.012121212121212</c:v>
                </c:pt>
                <c:pt idx="34">
                  <c:v>-14.705882352941176</c:v>
                </c:pt>
                <c:pt idx="35">
                  <c:v>-11.82</c:v>
                </c:pt>
                <c:pt idx="36">
                  <c:v>-10.263888888888889</c:v>
                </c:pt>
                <c:pt idx="37">
                  <c:v>-10.121621621621621</c:v>
                </c:pt>
                <c:pt idx="38">
                  <c:v>-9.973684210526315</c:v>
                </c:pt>
                <c:pt idx="39">
                  <c:v>-11.587179487179487</c:v>
                </c:pt>
                <c:pt idx="40">
                  <c:v>-9.7724999999999991</c:v>
                </c:pt>
                <c:pt idx="41">
                  <c:v>-8.9048780487804873</c:v>
                </c:pt>
                <c:pt idx="42">
                  <c:v>-9.5238095238095219</c:v>
                </c:pt>
                <c:pt idx="43">
                  <c:v>-9.3953488372093013</c:v>
                </c:pt>
                <c:pt idx="44">
                  <c:v>-9.7931818181818162</c:v>
                </c:pt>
                <c:pt idx="45">
                  <c:v>-10.886666666666665</c:v>
                </c:pt>
                <c:pt idx="46">
                  <c:v>-10.713043478260868</c:v>
                </c:pt>
                <c:pt idx="47">
                  <c:v>-10.121276595744678</c:v>
                </c:pt>
                <c:pt idx="48">
                  <c:v>-9.2187499999999982</c:v>
                </c:pt>
                <c:pt idx="49">
                  <c:v>-10.326530612244895</c:v>
                </c:pt>
                <c:pt idx="50">
                  <c:v>-10.671999999999999</c:v>
                </c:pt>
                <c:pt idx="51">
                  <c:v>-10.394117647058822</c:v>
                </c:pt>
                <c:pt idx="52">
                  <c:v>-10.188461538461537</c:v>
                </c:pt>
                <c:pt idx="53">
                  <c:v>-9.4188679245282998</c:v>
                </c:pt>
                <c:pt idx="54">
                  <c:v>-8.6166666666666654</c:v>
                </c:pt>
                <c:pt idx="55">
                  <c:v>-9.2890909090909091</c:v>
                </c:pt>
                <c:pt idx="56">
                  <c:v>-9.875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-2.3923997837040409E-17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りくと2!$D$3:$D$59</c:f>
              <c:numCache>
                <c:formatCode>0.00\ "位"</c:formatCode>
                <c:ptCount val="57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2.1428571428571428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2.16</c:v>
                </c:pt>
                <c:pt idx="26">
                  <c:v>2.1538461538461537</c:v>
                </c:pt>
                <c:pt idx="27">
                  <c:v>2.1851851851851851</c:v>
                </c:pt>
                <c:pt idx="28">
                  <c:v>2.1785714285714284</c:v>
                </c:pt>
                <c:pt idx="29">
                  <c:v>2.2068965517241379</c:v>
                </c:pt>
                <c:pt idx="30">
                  <c:v>2.2333333333333334</c:v>
                </c:pt>
                <c:pt idx="31">
                  <c:v>2.225806451612903</c:v>
                </c:pt>
                <c:pt idx="32">
                  <c:v>2.21875</c:v>
                </c:pt>
                <c:pt idx="33">
                  <c:v>2.2424242424242422</c:v>
                </c:pt>
                <c:pt idx="34">
                  <c:v>2.2058823529411766</c:v>
                </c:pt>
                <c:pt idx="35">
                  <c:v>2.1714285714285713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2.1538461538461537</c:v>
                </c:pt>
                <c:pt idx="40">
                  <c:v>2.125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2.1136363636363638</c:v>
                </c:pt>
                <c:pt idx="45">
                  <c:v>2.1333333333333333</c:v>
                </c:pt>
                <c:pt idx="46">
                  <c:v>2.1304347826086958</c:v>
                </c:pt>
                <c:pt idx="47">
                  <c:v>2.1276595744680851</c:v>
                </c:pt>
                <c:pt idx="48">
                  <c:v>2.1041666666666665</c:v>
                </c:pt>
                <c:pt idx="49">
                  <c:v>2.1224489795918369</c:v>
                </c:pt>
                <c:pt idx="50">
                  <c:v>2.14</c:v>
                </c:pt>
                <c:pt idx="51">
                  <c:v>2.1372549019607843</c:v>
                </c:pt>
                <c:pt idx="52">
                  <c:v>2.1346153846153846</c:v>
                </c:pt>
                <c:pt idx="53">
                  <c:v>2.1132075471698113</c:v>
                </c:pt>
                <c:pt idx="54">
                  <c:v>2.0925925925925926</c:v>
                </c:pt>
                <c:pt idx="55">
                  <c:v>2.1090909090909089</c:v>
                </c:pt>
                <c:pt idx="56">
                  <c:v>2.125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りくと2!$E$3:$E$59</c:f>
              <c:numCache>
                <c:formatCode>0.0%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0.14705882352941177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0.20754716981132076</c:v>
                </c:pt>
                <c:pt idx="54">
                  <c:v>0.22222222222222221</c:v>
                </c:pt>
                <c:pt idx="55">
                  <c:v>0.21818181818181817</c:v>
                </c:pt>
                <c:pt idx="56">
                  <c:v>0.21428571428571427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りくと2!$F$3:$F$59</c:f>
              <c:numCache>
                <c:formatCode>0.0%</c:formatCode>
                <c:ptCount val="5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0.32432432432432434</c:v>
                </c:pt>
                <c:pt idx="38">
                  <c:v>0.31578947368421051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0.32653061224489793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0.3392857142857143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りくと2!$G$3:$G$59</c:f>
              <c:numCache>
                <c:formatCode>0.0%</c:formatCode>
                <c:ptCount val="57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  <c:pt idx="17">
                  <c:v>0.28260869565217389</c:v>
                </c:pt>
                <c:pt idx="18">
                  <c:v>0.26845637583892618</c:v>
                </c:pt>
                <c:pt idx="19">
                  <c:v>0.26874999999999999</c:v>
                </c:pt>
                <c:pt idx="20">
                  <c:v>0.25882352941176473</c:v>
                </c:pt>
                <c:pt idx="21">
                  <c:v>0.26815642458100558</c:v>
                </c:pt>
                <c:pt idx="22">
                  <c:v>0.27127659574468083</c:v>
                </c:pt>
                <c:pt idx="23">
                  <c:v>0.27179487179487177</c:v>
                </c:pt>
                <c:pt idx="24">
                  <c:v>0.26470588235294118</c:v>
                </c:pt>
                <c:pt idx="25">
                  <c:v>0.26066350710900477</c:v>
                </c:pt>
                <c:pt idx="26">
                  <c:v>0.26146788990825687</c:v>
                </c:pt>
                <c:pt idx="27">
                  <c:v>0.25221238938053098</c:v>
                </c:pt>
                <c:pt idx="28">
                  <c:v>0.25862068965517243</c:v>
                </c:pt>
                <c:pt idx="29">
                  <c:v>0.25738396624472576</c:v>
                </c:pt>
                <c:pt idx="30">
                  <c:v>0.25819672131147542</c:v>
                </c:pt>
                <c:pt idx="31">
                  <c:v>0.26587301587301587</c:v>
                </c:pt>
                <c:pt idx="32">
                  <c:v>0.26356589147286824</c:v>
                </c:pt>
                <c:pt idx="33">
                  <c:v>0.26515151515151514</c:v>
                </c:pt>
                <c:pt idx="34">
                  <c:v>0.26838235294117646</c:v>
                </c:pt>
                <c:pt idx="35">
                  <c:v>0.28169014084507044</c:v>
                </c:pt>
                <c:pt idx="36">
                  <c:v>0.2857142857142857</c:v>
                </c:pt>
                <c:pt idx="37">
                  <c:v>0.2814569536423841</c:v>
                </c:pt>
                <c:pt idx="38">
                  <c:v>0.27476038338658149</c:v>
                </c:pt>
                <c:pt idx="39">
                  <c:v>0.26959247648902823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0.27906976744186046</c:v>
                </c:pt>
                <c:pt idx="43">
                  <c:v>0.27887323943661974</c:v>
                </c:pt>
                <c:pt idx="44">
                  <c:v>0.27397260273972601</c:v>
                </c:pt>
                <c:pt idx="45">
                  <c:v>0.27247956403269757</c:v>
                </c:pt>
                <c:pt idx="46">
                  <c:v>0.27345844504021449</c:v>
                </c:pt>
                <c:pt idx="47">
                  <c:v>0.27368421052631581</c:v>
                </c:pt>
                <c:pt idx="48">
                  <c:v>0.27763496143958871</c:v>
                </c:pt>
                <c:pt idx="49">
                  <c:v>0.27431421446384041</c:v>
                </c:pt>
                <c:pt idx="50">
                  <c:v>0.27294685990338163</c:v>
                </c:pt>
                <c:pt idx="51">
                  <c:v>0.27186761229314421</c:v>
                </c:pt>
                <c:pt idx="52">
                  <c:v>0.27546296296296297</c:v>
                </c:pt>
                <c:pt idx="53">
                  <c:v>0.27664399092970521</c:v>
                </c:pt>
                <c:pt idx="54">
                  <c:v>0.2828507795100223</c:v>
                </c:pt>
                <c:pt idx="55">
                  <c:v>0.28104575163398693</c:v>
                </c:pt>
                <c:pt idx="56">
                  <c:v>0.27505330490405117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115977291159773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りくと2!$H$3:$H$59</c:f>
              <c:numCache>
                <c:formatCode>0.0%</c:formatCode>
                <c:ptCount val="57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  <c:pt idx="17">
                  <c:v>0.16666666666666666</c:v>
                </c:pt>
                <c:pt idx="18">
                  <c:v>0.18791946308724833</c:v>
                </c:pt>
                <c:pt idx="19">
                  <c:v>0.19375000000000001</c:v>
                </c:pt>
                <c:pt idx="20">
                  <c:v>0.2</c:v>
                </c:pt>
                <c:pt idx="21">
                  <c:v>0.2011173184357542</c:v>
                </c:pt>
                <c:pt idx="22">
                  <c:v>0.20212765957446807</c:v>
                </c:pt>
                <c:pt idx="23">
                  <c:v>0.2</c:v>
                </c:pt>
                <c:pt idx="24">
                  <c:v>0.20588235294117646</c:v>
                </c:pt>
                <c:pt idx="25">
                  <c:v>0.20853080568720378</c:v>
                </c:pt>
                <c:pt idx="26">
                  <c:v>0.20642201834862386</c:v>
                </c:pt>
                <c:pt idx="27">
                  <c:v>0.20353982300884957</c:v>
                </c:pt>
                <c:pt idx="28">
                  <c:v>0.20258620689655171</c:v>
                </c:pt>
                <c:pt idx="29">
                  <c:v>0.20253164556962025</c:v>
                </c:pt>
                <c:pt idx="30">
                  <c:v>0.20901639344262296</c:v>
                </c:pt>
                <c:pt idx="31">
                  <c:v>0.20238095238095238</c:v>
                </c:pt>
                <c:pt idx="32">
                  <c:v>0.19767441860465115</c:v>
                </c:pt>
                <c:pt idx="33">
                  <c:v>0.19696969696969696</c:v>
                </c:pt>
                <c:pt idx="34">
                  <c:v>0.19485294117647059</c:v>
                </c:pt>
                <c:pt idx="35">
                  <c:v>0.19366197183098591</c:v>
                </c:pt>
                <c:pt idx="36">
                  <c:v>0.19047619047619047</c:v>
                </c:pt>
                <c:pt idx="37">
                  <c:v>0.18543046357615894</c:v>
                </c:pt>
                <c:pt idx="38">
                  <c:v>0.18210862619808307</c:v>
                </c:pt>
                <c:pt idx="39">
                  <c:v>0.18808777429467086</c:v>
                </c:pt>
                <c:pt idx="40">
                  <c:v>0.1834862385321101</c:v>
                </c:pt>
                <c:pt idx="41">
                  <c:v>0.17857142857142858</c:v>
                </c:pt>
                <c:pt idx="42">
                  <c:v>0.18023255813953487</c:v>
                </c:pt>
                <c:pt idx="43">
                  <c:v>0.17464788732394365</c:v>
                </c:pt>
                <c:pt idx="44">
                  <c:v>0.17260273972602741</c:v>
                </c:pt>
                <c:pt idx="45">
                  <c:v>0.17438692098092642</c:v>
                </c:pt>
                <c:pt idx="46">
                  <c:v>0.17158176943699732</c:v>
                </c:pt>
                <c:pt idx="47">
                  <c:v>0.17105263157894737</c:v>
                </c:pt>
                <c:pt idx="48">
                  <c:v>0.16966580976863754</c:v>
                </c:pt>
                <c:pt idx="49">
                  <c:v>0.16708229426433915</c:v>
                </c:pt>
                <c:pt idx="50">
                  <c:v>0.17149758454106281</c:v>
                </c:pt>
                <c:pt idx="51">
                  <c:v>0.17257683215130024</c:v>
                </c:pt>
                <c:pt idx="52">
                  <c:v>0.16898148148148148</c:v>
                </c:pt>
                <c:pt idx="53">
                  <c:v>0.16780045351473924</c:v>
                </c:pt>
                <c:pt idx="54">
                  <c:v>0.16703786191536749</c:v>
                </c:pt>
                <c:pt idx="55">
                  <c:v>0.16775599128540306</c:v>
                </c:pt>
                <c:pt idx="56">
                  <c:v>0.16631130063965885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5652879156528793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りくと2!$I$3:$I$59</c:f>
              <c:numCache>
                <c:formatCode>0</c:formatCode>
                <c:ptCount val="57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  <c:pt idx="17">
                  <c:v>8946.1538461538457</c:v>
                </c:pt>
                <c:pt idx="18">
                  <c:v>9012.5</c:v>
                </c:pt>
                <c:pt idx="19">
                  <c:v>8969.7674418604656</c:v>
                </c:pt>
                <c:pt idx="20">
                  <c:v>8825</c:v>
                </c:pt>
                <c:pt idx="21">
                  <c:v>8591.6666666666661</c:v>
                </c:pt>
                <c:pt idx="22">
                  <c:v>8503.9215686274511</c:v>
                </c:pt>
                <c:pt idx="23">
                  <c:v>8388.6792452830196</c:v>
                </c:pt>
                <c:pt idx="24">
                  <c:v>8455.5555555555547</c:v>
                </c:pt>
                <c:pt idx="25">
                  <c:v>8520</c:v>
                </c:pt>
                <c:pt idx="26">
                  <c:v>8431.5789473684217</c:v>
                </c:pt>
                <c:pt idx="27">
                  <c:v>8431.5789473684217</c:v>
                </c:pt>
                <c:pt idx="28">
                  <c:v>8220</c:v>
                </c:pt>
                <c:pt idx="29">
                  <c:v>8172.1311475409839</c:v>
                </c:pt>
                <c:pt idx="30">
                  <c:v>7979.3650793650795</c:v>
                </c:pt>
                <c:pt idx="31">
                  <c:v>8129.8507462686566</c:v>
                </c:pt>
                <c:pt idx="32">
                  <c:v>8245.5882352941171</c:v>
                </c:pt>
                <c:pt idx="33">
                  <c:v>8218.5714285714294</c:v>
                </c:pt>
                <c:pt idx="34">
                  <c:v>8205.4794520547948</c:v>
                </c:pt>
                <c:pt idx="35">
                  <c:v>8502.5</c:v>
                </c:pt>
                <c:pt idx="36">
                  <c:v>8547.6190476190477</c:v>
                </c:pt>
                <c:pt idx="37">
                  <c:v>8471.7647058823532</c:v>
                </c:pt>
                <c:pt idx="38">
                  <c:v>8384.8837209302328</c:v>
                </c:pt>
                <c:pt idx="39">
                  <c:v>8384.8837209302328</c:v>
                </c:pt>
                <c:pt idx="40">
                  <c:v>8440.6593406593402</c:v>
                </c:pt>
                <c:pt idx="41">
                  <c:v>8456.3829787234044</c:v>
                </c:pt>
                <c:pt idx="42">
                  <c:v>8422.9166666666661</c:v>
                </c:pt>
                <c:pt idx="43">
                  <c:v>8339.3939393939399</c:v>
                </c:pt>
                <c:pt idx="44">
                  <c:v>8376</c:v>
                </c:pt>
                <c:pt idx="45">
                  <c:v>8376</c:v>
                </c:pt>
                <c:pt idx="46">
                  <c:v>8342.1568627450979</c:v>
                </c:pt>
                <c:pt idx="47">
                  <c:v>8335.5769230769238</c:v>
                </c:pt>
                <c:pt idx="48">
                  <c:v>8279.6296296296296</c:v>
                </c:pt>
                <c:pt idx="49">
                  <c:v>8228.181818181818</c:v>
                </c:pt>
                <c:pt idx="50">
                  <c:v>8310.6194690265493</c:v>
                </c:pt>
                <c:pt idx="51">
                  <c:v>8461.7391304347821</c:v>
                </c:pt>
                <c:pt idx="52">
                  <c:v>8242.0168067226896</c:v>
                </c:pt>
                <c:pt idx="53">
                  <c:v>8187.7049180327867</c:v>
                </c:pt>
                <c:pt idx="54">
                  <c:v>8088.9763779527557</c:v>
                </c:pt>
                <c:pt idx="55">
                  <c:v>8016.2790697674418</c:v>
                </c:pt>
                <c:pt idx="56">
                  <c:v>8016.2790697674418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9082.3119777158772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りくと2!$J$3:$J$59</c:f>
              <c:numCache>
                <c:formatCode>0</c:formatCode>
                <c:ptCount val="57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  <c:pt idx="17">
                  <c:v>-9060.8695652173919</c:v>
                </c:pt>
                <c:pt idx="18">
                  <c:v>-8664.2857142857138</c:v>
                </c:pt>
                <c:pt idx="19">
                  <c:v>-8283.8709677419356</c:v>
                </c:pt>
                <c:pt idx="20">
                  <c:v>-8097.0588235294117</c:v>
                </c:pt>
                <c:pt idx="21">
                  <c:v>-8036.1111111111113</c:v>
                </c:pt>
                <c:pt idx="22">
                  <c:v>-7918.4210526315792</c:v>
                </c:pt>
                <c:pt idx="23">
                  <c:v>-7782.0512820512822</c:v>
                </c:pt>
                <c:pt idx="24">
                  <c:v>-8411.9047619047615</c:v>
                </c:pt>
                <c:pt idx="25">
                  <c:v>-8347.7272727272721</c:v>
                </c:pt>
                <c:pt idx="26">
                  <c:v>-8220</c:v>
                </c:pt>
                <c:pt idx="27">
                  <c:v>-8302.173913043478</c:v>
                </c:pt>
                <c:pt idx="28">
                  <c:v>-8508.510638297872</c:v>
                </c:pt>
                <c:pt idx="29">
                  <c:v>-8581.25</c:v>
                </c:pt>
                <c:pt idx="30">
                  <c:v>-8698.0392156862745</c:v>
                </c:pt>
                <c:pt idx="31">
                  <c:v>-8698.0392156862745</c:v>
                </c:pt>
                <c:pt idx="32">
                  <c:v>-8698.0392156862745</c:v>
                </c:pt>
                <c:pt idx="33">
                  <c:v>-9453.8461538461543</c:v>
                </c:pt>
                <c:pt idx="34">
                  <c:v>-9313.2075471698117</c:v>
                </c:pt>
                <c:pt idx="35">
                  <c:v>-9372.7272727272721</c:v>
                </c:pt>
                <c:pt idx="36">
                  <c:v>-9228.5714285714294</c:v>
                </c:pt>
                <c:pt idx="37">
                  <c:v>-9228.5714285714294</c:v>
                </c:pt>
                <c:pt idx="38">
                  <c:v>-9101.7543859649122</c:v>
                </c:pt>
                <c:pt idx="39">
                  <c:v>-9186.6666666666661</c:v>
                </c:pt>
                <c:pt idx="40">
                  <c:v>-9186.6666666666661</c:v>
                </c:pt>
                <c:pt idx="41">
                  <c:v>-9186.6666666666661</c:v>
                </c:pt>
                <c:pt idx="42">
                  <c:v>-9243.5483870967746</c:v>
                </c:pt>
                <c:pt idx="43">
                  <c:v>-9243.5483870967746</c:v>
                </c:pt>
                <c:pt idx="44">
                  <c:v>-9287.3015873015866</c:v>
                </c:pt>
                <c:pt idx="45">
                  <c:v>-9642.1875</c:v>
                </c:pt>
                <c:pt idx="46">
                  <c:v>-9642.1875</c:v>
                </c:pt>
                <c:pt idx="47">
                  <c:v>-9538.461538461539</c:v>
                </c:pt>
                <c:pt idx="48">
                  <c:v>-9433.3333333333339</c:v>
                </c:pt>
                <c:pt idx="49">
                  <c:v>-9650.746268656716</c:v>
                </c:pt>
                <c:pt idx="50">
                  <c:v>-9692.9577464788727</c:v>
                </c:pt>
                <c:pt idx="51">
                  <c:v>-9695.8904109589039</c:v>
                </c:pt>
                <c:pt idx="52">
                  <c:v>-9695.8904109589039</c:v>
                </c:pt>
                <c:pt idx="53">
                  <c:v>-9591.8918918918916</c:v>
                </c:pt>
                <c:pt idx="54">
                  <c:v>-9624</c:v>
                </c:pt>
                <c:pt idx="55">
                  <c:v>-9550.6493506493498</c:v>
                </c:pt>
                <c:pt idx="56">
                  <c:v>-9461.538461538461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8761.3989637305694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りくと2!$K$3:$K$59</c:f>
              <c:numCache>
                <c:formatCode>0.0%</c:formatCode>
                <c:ptCount val="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0.10437710437710437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りくと2!$L$3:$L$59</c:f>
              <c:numCache>
                <c:formatCode>0.0%</c:formatCode>
                <c:ptCount val="57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  <c:pt idx="17">
                  <c:v>0.35507246376811596</c:v>
                </c:pt>
                <c:pt idx="18">
                  <c:v>0.33557046979865773</c:v>
                </c:pt>
                <c:pt idx="19">
                  <c:v>0.31874999999999998</c:v>
                </c:pt>
                <c:pt idx="20">
                  <c:v>0.31176470588235294</c:v>
                </c:pt>
                <c:pt idx="21">
                  <c:v>0.32402234636871508</c:v>
                </c:pt>
                <c:pt idx="22">
                  <c:v>0.32446808510638298</c:v>
                </c:pt>
                <c:pt idx="23">
                  <c:v>0.32307692307692309</c:v>
                </c:pt>
                <c:pt idx="24">
                  <c:v>0.32843137254901961</c:v>
                </c:pt>
                <c:pt idx="25">
                  <c:v>0.32227488151658767</c:v>
                </c:pt>
                <c:pt idx="26">
                  <c:v>0.32110091743119268</c:v>
                </c:pt>
                <c:pt idx="27">
                  <c:v>0.31415929203539822</c:v>
                </c:pt>
                <c:pt idx="28">
                  <c:v>0.31896551724137934</c:v>
                </c:pt>
                <c:pt idx="29">
                  <c:v>0.31645569620253167</c:v>
                </c:pt>
                <c:pt idx="30">
                  <c:v>0.31147540983606559</c:v>
                </c:pt>
                <c:pt idx="31">
                  <c:v>0.31349206349206349</c:v>
                </c:pt>
                <c:pt idx="32">
                  <c:v>0.30620155038759689</c:v>
                </c:pt>
                <c:pt idx="33">
                  <c:v>0.30303030303030304</c:v>
                </c:pt>
                <c:pt idx="34">
                  <c:v>0.3014705882352941</c:v>
                </c:pt>
                <c:pt idx="35">
                  <c:v>0.29929577464788731</c:v>
                </c:pt>
                <c:pt idx="36">
                  <c:v>0.29591836734693877</c:v>
                </c:pt>
                <c:pt idx="37">
                  <c:v>0.28807947019867547</c:v>
                </c:pt>
                <c:pt idx="38">
                  <c:v>0.28115015974440893</c:v>
                </c:pt>
                <c:pt idx="39">
                  <c:v>0.27899686520376177</c:v>
                </c:pt>
                <c:pt idx="40">
                  <c:v>0.27828746177370028</c:v>
                </c:pt>
                <c:pt idx="41">
                  <c:v>0.27976190476190477</c:v>
                </c:pt>
                <c:pt idx="42">
                  <c:v>0.27616279069767441</c:v>
                </c:pt>
                <c:pt idx="43">
                  <c:v>0.27042253521126758</c:v>
                </c:pt>
                <c:pt idx="44">
                  <c:v>0.26575342465753427</c:v>
                </c:pt>
                <c:pt idx="45">
                  <c:v>0.2670299727520436</c:v>
                </c:pt>
                <c:pt idx="46">
                  <c:v>0.26809651474530832</c:v>
                </c:pt>
                <c:pt idx="47">
                  <c:v>0.26315789473684209</c:v>
                </c:pt>
                <c:pt idx="48">
                  <c:v>0.26221079691516708</c:v>
                </c:pt>
                <c:pt idx="49">
                  <c:v>0.256857855361596</c:v>
                </c:pt>
                <c:pt idx="50">
                  <c:v>0.25362318840579712</c:v>
                </c:pt>
                <c:pt idx="51">
                  <c:v>0.25059101654846333</c:v>
                </c:pt>
                <c:pt idx="52">
                  <c:v>0.24768518518518517</c:v>
                </c:pt>
                <c:pt idx="53">
                  <c:v>0.2471655328798186</c:v>
                </c:pt>
                <c:pt idx="54">
                  <c:v>0.24721603563474387</c:v>
                </c:pt>
                <c:pt idx="55">
                  <c:v>0.24618736383442266</c:v>
                </c:pt>
                <c:pt idx="56">
                  <c:v>0.24520255863539445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29724249797242497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りくと2!$M$3:$M$59</c:f>
              <c:numCache>
                <c:formatCode>0.0%</c:formatCode>
                <c:ptCount val="57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  <c:pt idx="17">
                  <c:v>0.16666666666666666</c:v>
                </c:pt>
                <c:pt idx="18">
                  <c:v>0.17449664429530201</c:v>
                </c:pt>
                <c:pt idx="19">
                  <c:v>0.16250000000000001</c:v>
                </c:pt>
                <c:pt idx="20">
                  <c:v>0.15294117647058825</c:v>
                </c:pt>
                <c:pt idx="21">
                  <c:v>0.16201117318435754</c:v>
                </c:pt>
                <c:pt idx="22">
                  <c:v>0.15957446808510639</c:v>
                </c:pt>
                <c:pt idx="23">
                  <c:v>0.1641025641025641</c:v>
                </c:pt>
                <c:pt idx="24">
                  <c:v>0.16176470588235295</c:v>
                </c:pt>
                <c:pt idx="25">
                  <c:v>0.15639810426540285</c:v>
                </c:pt>
                <c:pt idx="26">
                  <c:v>0.15596330275229359</c:v>
                </c:pt>
                <c:pt idx="27">
                  <c:v>0.16814159292035399</c:v>
                </c:pt>
                <c:pt idx="28">
                  <c:v>0.16379310344827586</c:v>
                </c:pt>
                <c:pt idx="29">
                  <c:v>0.16455696202531644</c:v>
                </c:pt>
                <c:pt idx="30">
                  <c:v>0.16393442622950818</c:v>
                </c:pt>
                <c:pt idx="31">
                  <c:v>0.17063492063492064</c:v>
                </c:pt>
                <c:pt idx="32">
                  <c:v>0.17829457364341086</c:v>
                </c:pt>
                <c:pt idx="33">
                  <c:v>0.18560606060606061</c:v>
                </c:pt>
                <c:pt idx="34">
                  <c:v>0.18382352941176472</c:v>
                </c:pt>
                <c:pt idx="35">
                  <c:v>0.18309859154929578</c:v>
                </c:pt>
                <c:pt idx="36">
                  <c:v>0.1870748299319728</c:v>
                </c:pt>
                <c:pt idx="37">
                  <c:v>0.18543046357615894</c:v>
                </c:pt>
                <c:pt idx="38">
                  <c:v>0.1853035143769968</c:v>
                </c:pt>
                <c:pt idx="39">
                  <c:v>0.18495297805642633</c:v>
                </c:pt>
                <c:pt idx="40">
                  <c:v>0.18654434250764526</c:v>
                </c:pt>
                <c:pt idx="41">
                  <c:v>0.18452380952380953</c:v>
                </c:pt>
                <c:pt idx="42">
                  <c:v>0.19186046511627908</c:v>
                </c:pt>
                <c:pt idx="43">
                  <c:v>0.18873239436619718</c:v>
                </c:pt>
                <c:pt idx="44">
                  <c:v>0.18904109589041096</c:v>
                </c:pt>
                <c:pt idx="45">
                  <c:v>0.18801089918256131</c:v>
                </c:pt>
                <c:pt idx="46">
                  <c:v>0.18498659517426275</c:v>
                </c:pt>
                <c:pt idx="47">
                  <c:v>0.18684210526315789</c:v>
                </c:pt>
                <c:pt idx="48">
                  <c:v>0.18251928020565553</c:v>
                </c:pt>
                <c:pt idx="49">
                  <c:v>0.18204488778054864</c:v>
                </c:pt>
                <c:pt idx="50">
                  <c:v>0.17632850241545894</c:v>
                </c:pt>
                <c:pt idx="51">
                  <c:v>0.18203309692671396</c:v>
                </c:pt>
                <c:pt idx="52">
                  <c:v>0.18518518518518517</c:v>
                </c:pt>
                <c:pt idx="53">
                  <c:v>0.18367346938775511</c:v>
                </c:pt>
                <c:pt idx="54">
                  <c:v>0.18708240534521159</c:v>
                </c:pt>
                <c:pt idx="55">
                  <c:v>0.18518518518518517</c:v>
                </c:pt>
                <c:pt idx="56">
                  <c:v>0.18550106609808104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288726682887266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りくと2!$N$3:$N$59</c:f>
              <c:numCache>
                <c:formatCode>0.0%</c:formatCode>
                <c:ptCount val="57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  <c:pt idx="17">
                  <c:v>0.51020408163265307</c:v>
                </c:pt>
                <c:pt idx="18">
                  <c:v>0.52</c:v>
                </c:pt>
                <c:pt idx="19">
                  <c:v>0.52941176470588236</c:v>
                </c:pt>
                <c:pt idx="20">
                  <c:v>0.50943396226415094</c:v>
                </c:pt>
                <c:pt idx="21">
                  <c:v>0.5</c:v>
                </c:pt>
                <c:pt idx="22">
                  <c:v>0.49180327868852458</c:v>
                </c:pt>
                <c:pt idx="23">
                  <c:v>0.49206349206349204</c:v>
                </c:pt>
                <c:pt idx="24">
                  <c:v>0.47761194029850745</c:v>
                </c:pt>
                <c:pt idx="25">
                  <c:v>0.48529411764705882</c:v>
                </c:pt>
                <c:pt idx="26">
                  <c:v>0.48571428571428571</c:v>
                </c:pt>
                <c:pt idx="27">
                  <c:v>0.47887323943661969</c:v>
                </c:pt>
                <c:pt idx="28">
                  <c:v>0.48648648648648651</c:v>
                </c:pt>
                <c:pt idx="29">
                  <c:v>0.49333333333333335</c:v>
                </c:pt>
                <c:pt idx="30">
                  <c:v>0.48684210526315791</c:v>
                </c:pt>
                <c:pt idx="31">
                  <c:v>0.48101265822784811</c:v>
                </c:pt>
                <c:pt idx="32">
                  <c:v>0.48101265822784811</c:v>
                </c:pt>
                <c:pt idx="33">
                  <c:v>0.47499999999999998</c:v>
                </c:pt>
                <c:pt idx="34">
                  <c:v>0.47560975609756095</c:v>
                </c:pt>
                <c:pt idx="35">
                  <c:v>0.49411764705882355</c:v>
                </c:pt>
                <c:pt idx="36">
                  <c:v>0.50574712643678166</c:v>
                </c:pt>
                <c:pt idx="37">
                  <c:v>0.50574712643678166</c:v>
                </c:pt>
                <c:pt idx="38">
                  <c:v>0.5</c:v>
                </c:pt>
                <c:pt idx="39">
                  <c:v>0.4943820224719101</c:v>
                </c:pt>
                <c:pt idx="40">
                  <c:v>0.50549450549450547</c:v>
                </c:pt>
                <c:pt idx="41">
                  <c:v>0.51063829787234039</c:v>
                </c:pt>
                <c:pt idx="42">
                  <c:v>0.51578947368421058</c:v>
                </c:pt>
                <c:pt idx="43">
                  <c:v>0.51041666666666663</c:v>
                </c:pt>
                <c:pt idx="44">
                  <c:v>0.50515463917525771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0.50980392156862742</c:v>
                </c:pt>
                <c:pt idx="49">
                  <c:v>0.50485436893203883</c:v>
                </c:pt>
                <c:pt idx="50">
                  <c:v>0.50476190476190474</c:v>
                </c:pt>
                <c:pt idx="51">
                  <c:v>0.50943396226415094</c:v>
                </c:pt>
                <c:pt idx="52">
                  <c:v>0.50467289719626163</c:v>
                </c:pt>
                <c:pt idx="53">
                  <c:v>0.50458715596330272</c:v>
                </c:pt>
                <c:pt idx="54">
                  <c:v>0.51351351351351349</c:v>
                </c:pt>
                <c:pt idx="55">
                  <c:v>0.50442477876106195</c:v>
                </c:pt>
                <c:pt idx="56">
                  <c:v>0.4956521739130435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5388813096862211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りくと2!$O$3:$O$59</c:f>
              <c:numCache>
                <c:formatCode>0.0%</c:formatCode>
                <c:ptCount val="57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  <c:pt idx="17">
                  <c:v>0.52173913043478259</c:v>
                </c:pt>
                <c:pt idx="18">
                  <c:v>0.46153846153846156</c:v>
                </c:pt>
                <c:pt idx="19">
                  <c:v>0.46153846153846156</c:v>
                </c:pt>
                <c:pt idx="20">
                  <c:v>0.46153846153846156</c:v>
                </c:pt>
                <c:pt idx="21">
                  <c:v>0.48275862068965519</c:v>
                </c:pt>
                <c:pt idx="22">
                  <c:v>0.5</c:v>
                </c:pt>
                <c:pt idx="23">
                  <c:v>0.5</c:v>
                </c:pt>
                <c:pt idx="24">
                  <c:v>0.48484848484848486</c:v>
                </c:pt>
                <c:pt idx="25">
                  <c:v>0.48484848484848486</c:v>
                </c:pt>
                <c:pt idx="26">
                  <c:v>0.5</c:v>
                </c:pt>
                <c:pt idx="27">
                  <c:v>0.44736842105263158</c:v>
                </c:pt>
                <c:pt idx="28">
                  <c:v>0.44736842105263158</c:v>
                </c:pt>
                <c:pt idx="29">
                  <c:v>0.4358974358974359</c:v>
                </c:pt>
                <c:pt idx="30">
                  <c:v>0.42499999999999999</c:v>
                </c:pt>
                <c:pt idx="31">
                  <c:v>0.44186046511627908</c:v>
                </c:pt>
                <c:pt idx="32">
                  <c:v>0.43478260869565216</c:v>
                </c:pt>
                <c:pt idx="33">
                  <c:v>0.42857142857142855</c:v>
                </c:pt>
                <c:pt idx="34">
                  <c:v>0.44</c:v>
                </c:pt>
                <c:pt idx="35">
                  <c:v>0.44230769230769229</c:v>
                </c:pt>
                <c:pt idx="36">
                  <c:v>0.45454545454545453</c:v>
                </c:pt>
                <c:pt idx="37">
                  <c:v>0.4642857142857143</c:v>
                </c:pt>
                <c:pt idx="38">
                  <c:v>0.46551724137931033</c:v>
                </c:pt>
                <c:pt idx="39">
                  <c:v>0.4576271186440678</c:v>
                </c:pt>
                <c:pt idx="40">
                  <c:v>0.47540983606557374</c:v>
                </c:pt>
                <c:pt idx="41">
                  <c:v>0.4838709677419355</c:v>
                </c:pt>
                <c:pt idx="42">
                  <c:v>0.46969696969696972</c:v>
                </c:pt>
                <c:pt idx="43">
                  <c:v>0.47761194029850745</c:v>
                </c:pt>
                <c:pt idx="44">
                  <c:v>0.47826086956521741</c:v>
                </c:pt>
                <c:pt idx="45">
                  <c:v>0.47826086956521741</c:v>
                </c:pt>
                <c:pt idx="46">
                  <c:v>0.47826086956521741</c:v>
                </c:pt>
                <c:pt idx="47">
                  <c:v>0.47887323943661969</c:v>
                </c:pt>
                <c:pt idx="48">
                  <c:v>0.47887323943661969</c:v>
                </c:pt>
                <c:pt idx="49">
                  <c:v>0.49315068493150682</c:v>
                </c:pt>
                <c:pt idx="50">
                  <c:v>0.49315068493150682</c:v>
                </c:pt>
                <c:pt idx="51">
                  <c:v>0.48051948051948051</c:v>
                </c:pt>
                <c:pt idx="52">
                  <c:v>0.5</c:v>
                </c:pt>
                <c:pt idx="53">
                  <c:v>0.50617283950617287</c:v>
                </c:pt>
                <c:pt idx="54">
                  <c:v>0.5</c:v>
                </c:pt>
                <c:pt idx="55">
                  <c:v>0.49411764705882355</c:v>
                </c:pt>
                <c:pt idx="56">
                  <c:v>0.48275862068965519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9246119733924612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りくと2!$A$3:$A$59</c:f>
              <c:numCache>
                <c:formatCode>0\ "回"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りくと2!$P$3:$P$59</c:f>
              <c:numCache>
                <c:formatCode>0.0%</c:formatCode>
                <c:ptCount val="57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  <c:pt idx="17">
                  <c:v>0.41025641025641024</c:v>
                </c:pt>
                <c:pt idx="18">
                  <c:v>0.4</c:v>
                </c:pt>
                <c:pt idx="19">
                  <c:v>0.41860465116279072</c:v>
                </c:pt>
                <c:pt idx="20">
                  <c:v>0.40909090909090912</c:v>
                </c:pt>
                <c:pt idx="21">
                  <c:v>0.41666666666666669</c:v>
                </c:pt>
                <c:pt idx="22">
                  <c:v>0.41176470588235292</c:v>
                </c:pt>
                <c:pt idx="23">
                  <c:v>0.41509433962264153</c:v>
                </c:pt>
                <c:pt idx="24">
                  <c:v>0.40740740740740738</c:v>
                </c:pt>
                <c:pt idx="25">
                  <c:v>0.41818181818181815</c:v>
                </c:pt>
                <c:pt idx="26">
                  <c:v>0.43859649122807015</c:v>
                </c:pt>
                <c:pt idx="27">
                  <c:v>0.43859649122807015</c:v>
                </c:pt>
                <c:pt idx="28">
                  <c:v>0.46666666666666667</c:v>
                </c:pt>
                <c:pt idx="29">
                  <c:v>0.47540983606557374</c:v>
                </c:pt>
                <c:pt idx="30">
                  <c:v>0.49206349206349204</c:v>
                </c:pt>
                <c:pt idx="31">
                  <c:v>0.5074626865671642</c:v>
                </c:pt>
                <c:pt idx="32">
                  <c:v>0.51470588235294112</c:v>
                </c:pt>
                <c:pt idx="33">
                  <c:v>0.51428571428571423</c:v>
                </c:pt>
                <c:pt idx="34">
                  <c:v>0.52054794520547942</c:v>
                </c:pt>
                <c:pt idx="35">
                  <c:v>0.52500000000000002</c:v>
                </c:pt>
                <c:pt idx="36">
                  <c:v>0.51190476190476186</c:v>
                </c:pt>
                <c:pt idx="37">
                  <c:v>0.51764705882352946</c:v>
                </c:pt>
                <c:pt idx="38">
                  <c:v>0.51162790697674421</c:v>
                </c:pt>
                <c:pt idx="39">
                  <c:v>0.51162790697674421</c:v>
                </c:pt>
                <c:pt idx="40">
                  <c:v>0.49450549450549453</c:v>
                </c:pt>
                <c:pt idx="41">
                  <c:v>0.5</c:v>
                </c:pt>
                <c:pt idx="42">
                  <c:v>0.5</c:v>
                </c:pt>
                <c:pt idx="43">
                  <c:v>0.49494949494949497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0.49038461538461536</c:v>
                </c:pt>
                <c:pt idx="48">
                  <c:v>0.5</c:v>
                </c:pt>
                <c:pt idx="49">
                  <c:v>0.5</c:v>
                </c:pt>
                <c:pt idx="50">
                  <c:v>0.49557522123893805</c:v>
                </c:pt>
                <c:pt idx="51">
                  <c:v>0.4956521739130435</c:v>
                </c:pt>
                <c:pt idx="52">
                  <c:v>0.49579831932773111</c:v>
                </c:pt>
                <c:pt idx="53">
                  <c:v>0.49180327868852458</c:v>
                </c:pt>
                <c:pt idx="54">
                  <c:v>0.48818897637795278</c:v>
                </c:pt>
                <c:pt idx="55">
                  <c:v>0.48837209302325579</c:v>
                </c:pt>
                <c:pt idx="56">
                  <c:v>0.48837209302325579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596100278551532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2BF72-4594-42C5-B60C-3CBEE4545F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448EA3-FAF5-4018-8CD2-6A4A17C39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4FDA55-DC9E-41B3-90A0-0113F73B02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E2CC79-6E35-49FE-A8F1-3FD4FBC41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1E74F5-73AA-48BB-B186-78C9A327F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80D9B0-F9C4-4756-9E45-D30D68AB1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29CF90F-32C1-4F93-9674-DDAF40FFC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65A0650-D3CB-4C6D-91F0-A45331B9F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CB07FF5-683D-4A8E-BA04-6689DB04C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7F2A49-7AB7-4BFF-A260-3264452C9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165306-DD92-4863-8523-9AB0D495E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FBFFA2A-25C9-479B-B271-F7161889E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E04D29-8FC6-4B4E-AF26-FBE95C677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6BC1D8-CDB5-4F66-AB7E-949C87C9E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B35CF7A-0010-4BA7-A633-370C968B4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B3C5A15-1C55-4345-982C-D41F95905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D8F77AC-375A-4DD6-9C74-2FCB01E0E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68963C-D0DE-445E-A22C-23A5CB9A1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14DE3E-DB9E-49A9-BA68-38349FD1D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6E9547D-4472-4873-A204-87F68BB1C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C1125DA-0366-4805-8E06-F603512E06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F5483F-6F0F-4010-8343-F603FF2998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5079745-A1CF-4616-99E8-A61F87D84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E8834C3-31F1-44AA-B100-1965934B13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EBFFA5-0CF6-4034-9EFB-632A1232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1D9FEF-BE8F-4B05-957E-A83B2DC095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2BDCD1-5144-4F5E-AA33-FC6283A62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0BE2134-FAE0-4115-8621-2364BC851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BD68A1D-A3AC-4F32-9768-F537538D67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830EF5-611E-493C-A676-FCB22739C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B73750-05F2-4DCB-A8EF-9D92E2997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80C6DEE-1D79-4645-8E2E-FF97693B4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2DC291-6264-4A73-9474-C959D52F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B99A64-48B1-48F5-A33D-5979B6E3B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7CACE7-BBCC-43F9-ADE2-BDA4BC919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5EA05BC-4FD8-4D21-820F-4F519C76D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99529F-0CC4-4E19-8C4C-F42890C45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2FE97F-3DC1-44D0-B941-E97A19F38D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BD74A2-133B-4AFF-BA5D-0C1C892BE7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AA977E7-EE47-4482-B42A-76F67CC5B2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1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224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220</v>
      </c>
      <c r="L2" s="2" t="s">
        <v>221</v>
      </c>
      <c r="M2" s="2" t="s">
        <v>222</v>
      </c>
      <c r="N2" s="2" t="s">
        <v>223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230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220</v>
      </c>
    </row>
    <row r="4" spans="1:19" x14ac:dyDescent="0.4">
      <c r="A4" s="2" t="s">
        <v>231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  <row r="5" spans="1:19" x14ac:dyDescent="0.4">
      <c r="A5" s="2" t="s">
        <v>232</v>
      </c>
      <c r="B5" s="3">
        <v>45221.872974537036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216</v>
      </c>
      <c r="I5" s="2" t="s">
        <v>217</v>
      </c>
      <c r="J5" s="2" t="s">
        <v>218</v>
      </c>
      <c r="K5" s="2" t="s">
        <v>220</v>
      </c>
      <c r="L5" s="2" t="s">
        <v>221</v>
      </c>
      <c r="M5" s="2" t="s">
        <v>222</v>
      </c>
    </row>
    <row r="6" spans="1:19" x14ac:dyDescent="0.4">
      <c r="A6" s="2" t="s">
        <v>233</v>
      </c>
      <c r="B6" s="3">
        <v>45295.739537037036</v>
      </c>
      <c r="C6" s="2" t="s">
        <v>211</v>
      </c>
      <c r="D6" s="2" t="s">
        <v>212</v>
      </c>
      <c r="E6" s="2" t="s">
        <v>213</v>
      </c>
      <c r="F6" s="2" t="s">
        <v>214</v>
      </c>
      <c r="G6" s="2" t="s">
        <v>215</v>
      </c>
      <c r="H6" s="2" t="s">
        <v>216</v>
      </c>
      <c r="I6" s="2" t="s">
        <v>217</v>
      </c>
    </row>
    <row r="7" spans="1:19" x14ac:dyDescent="0.4">
      <c r="A7" s="2" t="s">
        <v>234</v>
      </c>
      <c r="B7" s="3">
        <v>45410.748402777775</v>
      </c>
      <c r="C7" s="2" t="s">
        <v>211</v>
      </c>
      <c r="D7" s="2" t="s">
        <v>212</v>
      </c>
      <c r="E7" s="2" t="s">
        <v>213</v>
      </c>
      <c r="F7" s="2" t="s">
        <v>214</v>
      </c>
      <c r="G7" s="2" t="s">
        <v>215</v>
      </c>
      <c r="H7" s="2" t="s">
        <v>216</v>
      </c>
      <c r="I7" s="2" t="s">
        <v>217</v>
      </c>
      <c r="J7" s="2" t="s">
        <v>218</v>
      </c>
      <c r="K7" s="2" t="s">
        <v>220</v>
      </c>
      <c r="L7" s="2" t="s">
        <v>221</v>
      </c>
      <c r="M7" s="2" t="s">
        <v>222</v>
      </c>
      <c r="N7" s="2" t="s">
        <v>223</v>
      </c>
    </row>
    <row r="8" spans="1:19" x14ac:dyDescent="0.4">
      <c r="A8" s="2" t="s">
        <v>219</v>
      </c>
      <c r="B8" s="3">
        <v>45517.879363425927</v>
      </c>
      <c r="C8" s="2" t="s">
        <v>211</v>
      </c>
      <c r="D8" s="2" t="s">
        <v>212</v>
      </c>
      <c r="E8" s="2" t="s">
        <v>213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220</v>
      </c>
      <c r="L8" s="2" t="s">
        <v>221</v>
      </c>
      <c r="M8" s="2" t="s">
        <v>222</v>
      </c>
      <c r="N8" s="2" t="s">
        <v>223</v>
      </c>
    </row>
    <row r="9" spans="1:19" x14ac:dyDescent="0.4">
      <c r="A9" s="2" t="s">
        <v>235</v>
      </c>
      <c r="B9" s="3">
        <v>45522.846817129626</v>
      </c>
      <c r="C9" s="2" t="s">
        <v>211</v>
      </c>
      <c r="D9" s="2" t="s">
        <v>212</v>
      </c>
      <c r="E9" s="2" t="s">
        <v>213</v>
      </c>
      <c r="F9" s="2" t="s">
        <v>214</v>
      </c>
      <c r="G9" s="2" t="s">
        <v>215</v>
      </c>
      <c r="H9" s="2" t="s">
        <v>216</v>
      </c>
      <c r="I9" s="2" t="s">
        <v>217</v>
      </c>
      <c r="J9" s="2" t="s">
        <v>218</v>
      </c>
      <c r="K9" s="2" t="s">
        <v>220</v>
      </c>
      <c r="L9" s="2" t="s">
        <v>221</v>
      </c>
      <c r="M9" s="2" t="s">
        <v>222</v>
      </c>
      <c r="N9" s="2" t="s">
        <v>223</v>
      </c>
      <c r="O9" s="2" t="s">
        <v>225</v>
      </c>
      <c r="P9" s="2" t="s">
        <v>226</v>
      </c>
      <c r="Q9" s="2" t="s">
        <v>227</v>
      </c>
    </row>
    <row r="10" spans="1:19" x14ac:dyDescent="0.4">
      <c r="A10" s="2" t="s">
        <v>236</v>
      </c>
      <c r="B10" s="3">
        <v>45660.874490740738</v>
      </c>
      <c r="C10" s="2" t="s">
        <v>211</v>
      </c>
      <c r="D10" s="2" t="s">
        <v>212</v>
      </c>
      <c r="E10" s="2" t="s">
        <v>213</v>
      </c>
      <c r="F10" s="2" t="s">
        <v>214</v>
      </c>
      <c r="G10" s="2" t="s">
        <v>215</v>
      </c>
      <c r="H10" s="2" t="s">
        <v>216</v>
      </c>
      <c r="I10" s="2" t="s">
        <v>217</v>
      </c>
      <c r="J10" s="2" t="s">
        <v>218</v>
      </c>
      <c r="K10" s="2" t="s">
        <v>220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237</v>
      </c>
    </row>
    <row r="2" spans="1:3" x14ac:dyDescent="0.4">
      <c r="A2" t="s">
        <v>126</v>
      </c>
      <c r="B2" s="120">
        <v>92</v>
      </c>
      <c r="C2" s="120">
        <v>1846.5755924228188</v>
      </c>
    </row>
    <row r="3" spans="1:3" x14ac:dyDescent="0.4">
      <c r="A3" t="s">
        <v>138</v>
      </c>
      <c r="B3" s="120">
        <v>297</v>
      </c>
      <c r="C3" s="120">
        <v>1614.2957512011271</v>
      </c>
    </row>
    <row r="4" spans="1:3" x14ac:dyDescent="0.4">
      <c r="A4" t="s">
        <v>162</v>
      </c>
      <c r="B4" s="120">
        <v>51</v>
      </c>
      <c r="C4" s="120">
        <v>1595.6213709809917</v>
      </c>
    </row>
    <row r="5" spans="1:3" x14ac:dyDescent="0.4">
      <c r="A5" t="s">
        <v>188</v>
      </c>
      <c r="B5" s="120">
        <v>12</v>
      </c>
      <c r="C5" s="120">
        <v>1551.4699038276274</v>
      </c>
    </row>
    <row r="6" spans="1:3" x14ac:dyDescent="0.4">
      <c r="A6" t="s">
        <v>189</v>
      </c>
      <c r="B6" s="120">
        <v>45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B8" s="120">
        <v>2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B23" s="120">
        <v>15</v>
      </c>
      <c r="C23" s="120">
        <v>1384.1908394993188</v>
      </c>
    </row>
    <row r="24" spans="1:8" x14ac:dyDescent="0.4">
      <c r="A24" t="s">
        <v>191</v>
      </c>
      <c r="B24" s="120">
        <v>56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192</v>
      </c>
      <c r="I1" s="148"/>
      <c r="J1" s="141" t="s">
        <v>15</v>
      </c>
      <c r="K1" s="142"/>
      <c r="L1" s="141" t="s">
        <v>14</v>
      </c>
      <c r="M1" s="142"/>
      <c r="N1" s="141" t="s">
        <v>148</v>
      </c>
      <c r="O1" s="142"/>
      <c r="P1" s="141" t="s">
        <v>142</v>
      </c>
      <c r="Q1" s="142"/>
      <c r="R1" s="141" t="s">
        <v>143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144</v>
      </c>
      <c r="AG1" s="142"/>
      <c r="AH1" s="141" t="s">
        <v>137</v>
      </c>
      <c r="AI1" s="142"/>
      <c r="AJ1" s="141" t="s">
        <v>179</v>
      </c>
      <c r="AK1" s="142"/>
    </row>
    <row r="2" spans="1:37" x14ac:dyDescent="0.4">
      <c r="A2" s="36" t="s">
        <v>204</v>
      </c>
      <c r="B2" s="143">
        <v>0.58627093462161306</v>
      </c>
      <c r="C2" s="144"/>
      <c r="D2" s="143">
        <v>0.8010539021639812</v>
      </c>
      <c r="E2" s="144"/>
      <c r="F2" s="143">
        <v>0.34714365497156208</v>
      </c>
      <c r="G2" s="144"/>
      <c r="H2" s="145"/>
      <c r="I2" s="146"/>
      <c r="J2" s="143">
        <v>0.26929867553126746</v>
      </c>
      <c r="K2" s="144"/>
      <c r="L2" s="143">
        <v>0.34284499111118488</v>
      </c>
      <c r="M2" s="144"/>
      <c r="N2" s="143">
        <v>0.11113720385852451</v>
      </c>
      <c r="O2" s="144"/>
      <c r="P2" s="143">
        <v>2.3397883484748194E-2</v>
      </c>
      <c r="Q2" s="144"/>
      <c r="R2" s="143">
        <v>7.3495075440677043E-2</v>
      </c>
      <c r="S2" s="144"/>
      <c r="T2" s="143">
        <v>0.37225866350534687</v>
      </c>
      <c r="U2" s="144"/>
      <c r="V2" s="143">
        <v>0.31842974181454692</v>
      </c>
      <c r="W2" s="144"/>
      <c r="X2" s="143">
        <v>0.35273325708474118</v>
      </c>
      <c r="Y2" s="144"/>
      <c r="Z2" s="143">
        <v>0.56017741158928369</v>
      </c>
      <c r="AA2" s="144"/>
      <c r="AB2" s="143">
        <v>2.3703876511420571E-2</v>
      </c>
      <c r="AC2" s="144"/>
      <c r="AD2" s="143">
        <v>-0.16768064194816346</v>
      </c>
      <c r="AE2" s="144"/>
      <c r="AF2" s="143">
        <v>-0.53495578985322856</v>
      </c>
      <c r="AG2" s="144"/>
      <c r="AH2" s="143">
        <v>-0.49507627615648281</v>
      </c>
      <c r="AI2" s="144"/>
      <c r="AJ2" s="143">
        <v>0.73195259439490135</v>
      </c>
      <c r="AK2" s="144"/>
    </row>
    <row r="3" spans="1:37" x14ac:dyDescent="0.4">
      <c r="A3" s="38">
        <v>1</v>
      </c>
      <c r="B3" s="41" t="s">
        <v>138</v>
      </c>
      <c r="C3" s="113">
        <v>99</v>
      </c>
      <c r="D3" s="39" t="s">
        <v>126</v>
      </c>
      <c r="E3" s="40">
        <v>460.49999999999966</v>
      </c>
      <c r="F3" s="41" t="s">
        <v>200</v>
      </c>
      <c r="G3" s="60">
        <v>25.650000000000002</v>
      </c>
      <c r="H3" s="41" t="s">
        <v>126</v>
      </c>
      <c r="I3" s="45">
        <v>1800.5374998935131</v>
      </c>
      <c r="J3" s="41" t="s">
        <v>200</v>
      </c>
      <c r="K3" s="42">
        <v>1.5</v>
      </c>
      <c r="L3" s="41" t="s">
        <v>200</v>
      </c>
      <c r="M3" s="43">
        <v>0.5</v>
      </c>
      <c r="N3" s="41" t="s">
        <v>200</v>
      </c>
      <c r="O3" s="43">
        <v>0</v>
      </c>
      <c r="P3" s="41" t="s">
        <v>200</v>
      </c>
      <c r="Q3" s="44">
        <v>0.36363636363636365</v>
      </c>
      <c r="R3" s="41" t="s">
        <v>195</v>
      </c>
      <c r="S3" s="44">
        <v>0.13084112149532709</v>
      </c>
      <c r="T3" s="41" t="s">
        <v>195</v>
      </c>
      <c r="U3" s="45">
        <v>10529.032258064517</v>
      </c>
      <c r="V3" s="41" t="s">
        <v>187</v>
      </c>
      <c r="W3" s="45">
        <v>-7010.5263157894733</v>
      </c>
      <c r="X3" s="41" t="s">
        <v>200</v>
      </c>
      <c r="Y3" s="43">
        <v>0</v>
      </c>
      <c r="Z3" s="41" t="s">
        <v>162</v>
      </c>
      <c r="AA3" s="44">
        <v>0.37226277372262773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191</v>
      </c>
      <c r="AG3" s="44">
        <v>0.48275862068965519</v>
      </c>
      <c r="AH3" s="41" t="s">
        <v>209</v>
      </c>
      <c r="AI3" s="44">
        <v>0.66666666666666663</v>
      </c>
      <c r="AJ3" s="41" t="s">
        <v>126</v>
      </c>
      <c r="AK3" s="55">
        <v>144300</v>
      </c>
    </row>
    <row r="4" spans="1:37" x14ac:dyDescent="0.4">
      <c r="A4" s="46">
        <v>2</v>
      </c>
      <c r="B4" s="49" t="s">
        <v>126</v>
      </c>
      <c r="C4" s="114">
        <v>92</v>
      </c>
      <c r="D4" s="47" t="s">
        <v>187</v>
      </c>
      <c r="E4" s="48">
        <v>161.9</v>
      </c>
      <c r="F4" s="49" t="s">
        <v>187</v>
      </c>
      <c r="G4" s="61">
        <v>10.793333333333333</v>
      </c>
      <c r="H4" s="49" t="s">
        <v>162</v>
      </c>
      <c r="I4" s="53">
        <v>1619.394333828654</v>
      </c>
      <c r="J4" s="49" t="s">
        <v>187</v>
      </c>
      <c r="K4" s="50">
        <v>1.8</v>
      </c>
      <c r="L4" s="49" t="s">
        <v>187</v>
      </c>
      <c r="M4" s="51">
        <v>0.46666666666666667</v>
      </c>
      <c r="N4" s="49" t="s">
        <v>126</v>
      </c>
      <c r="O4" s="51">
        <v>0.2608695652173913</v>
      </c>
      <c r="P4" s="49" t="s">
        <v>187</v>
      </c>
      <c r="Q4" s="52">
        <v>0.34090909090909088</v>
      </c>
      <c r="R4" s="49" t="s">
        <v>187</v>
      </c>
      <c r="S4" s="52">
        <v>0.14393939393939395</v>
      </c>
      <c r="T4" s="49" t="s">
        <v>188</v>
      </c>
      <c r="U4" s="53">
        <v>10159.259259259259</v>
      </c>
      <c r="V4" s="49" t="s">
        <v>189</v>
      </c>
      <c r="W4" s="53">
        <v>-8048.333333333333</v>
      </c>
      <c r="X4" s="49" t="s">
        <v>189</v>
      </c>
      <c r="Y4" s="51">
        <v>6.6666666666666666E-2</v>
      </c>
      <c r="Z4" s="49" t="s">
        <v>188</v>
      </c>
      <c r="AA4" s="52">
        <v>0.3707865168539326</v>
      </c>
      <c r="AB4" s="49" t="s">
        <v>189</v>
      </c>
      <c r="AC4" s="52">
        <v>0.22750000000000001</v>
      </c>
      <c r="AD4" s="49" t="s">
        <v>189</v>
      </c>
      <c r="AE4" s="52">
        <v>0.64473684210526316</v>
      </c>
      <c r="AF4" s="49" t="s">
        <v>195</v>
      </c>
      <c r="AG4" s="52">
        <v>0.45454545454545453</v>
      </c>
      <c r="AH4" s="49" t="s">
        <v>188</v>
      </c>
      <c r="AI4" s="52">
        <v>0.55555555555555558</v>
      </c>
      <c r="AJ4" s="49" t="s">
        <v>138</v>
      </c>
      <c r="AK4" s="56">
        <v>144300</v>
      </c>
    </row>
    <row r="5" spans="1:37" x14ac:dyDescent="0.4">
      <c r="A5" s="46">
        <v>3</v>
      </c>
      <c r="B5" s="49" t="s">
        <v>191</v>
      </c>
      <c r="C5" s="114">
        <v>56</v>
      </c>
      <c r="D5" s="47" t="s">
        <v>162</v>
      </c>
      <c r="E5" s="48">
        <v>117.09999999999998</v>
      </c>
      <c r="F5" s="49" t="s">
        <v>195</v>
      </c>
      <c r="G5" s="61">
        <v>7.4000000000000021</v>
      </c>
      <c r="H5" s="49" t="s">
        <v>138</v>
      </c>
      <c r="I5" s="53">
        <v>1596.4001017635881</v>
      </c>
      <c r="J5" s="49" t="s">
        <v>195</v>
      </c>
      <c r="K5" s="50">
        <v>1.8666666666666667</v>
      </c>
      <c r="L5" s="49" t="s">
        <v>195</v>
      </c>
      <c r="M5" s="51">
        <v>0.4</v>
      </c>
      <c r="N5" s="49" t="s">
        <v>187</v>
      </c>
      <c r="O5" s="51">
        <v>0.26666666666666666</v>
      </c>
      <c r="P5" s="49" t="s">
        <v>189</v>
      </c>
      <c r="Q5" s="52">
        <v>0.31</v>
      </c>
      <c r="R5" s="49" t="s">
        <v>126</v>
      </c>
      <c r="S5" s="52">
        <v>0.14528795811518325</v>
      </c>
      <c r="T5" s="49" t="s">
        <v>162</v>
      </c>
      <c r="U5" s="53">
        <v>10032.5</v>
      </c>
      <c r="V5" s="49" t="s">
        <v>126</v>
      </c>
      <c r="W5" s="53">
        <v>-8486.4864864864867</v>
      </c>
      <c r="X5" s="49" t="s">
        <v>187</v>
      </c>
      <c r="Y5" s="51">
        <v>6.6666666666666666E-2</v>
      </c>
      <c r="Z5" s="49" t="s">
        <v>126</v>
      </c>
      <c r="AA5" s="52">
        <v>0.34685863874345552</v>
      </c>
      <c r="AB5" s="49" t="s">
        <v>200</v>
      </c>
      <c r="AC5" s="52">
        <v>0.22727272727272727</v>
      </c>
      <c r="AD5" s="49" t="s">
        <v>195</v>
      </c>
      <c r="AE5" s="52">
        <v>0.6428571428571429</v>
      </c>
      <c r="AF5" s="49" t="s">
        <v>189</v>
      </c>
      <c r="AG5" s="52">
        <v>0.43956043956043955</v>
      </c>
      <c r="AH5" s="49" t="s">
        <v>195</v>
      </c>
      <c r="AI5" s="52">
        <v>0.54838709677419351</v>
      </c>
      <c r="AJ5" s="49" t="s">
        <v>162</v>
      </c>
      <c r="AK5" s="56">
        <v>110000</v>
      </c>
    </row>
    <row r="6" spans="1:37" x14ac:dyDescent="0.4">
      <c r="A6" s="46">
        <v>4</v>
      </c>
      <c r="B6" s="49" t="s">
        <v>162</v>
      </c>
      <c r="C6" s="114">
        <v>51</v>
      </c>
      <c r="D6" s="47" t="s">
        <v>195</v>
      </c>
      <c r="E6" s="48">
        <v>111.00000000000003</v>
      </c>
      <c r="F6" s="49" t="s">
        <v>126</v>
      </c>
      <c r="G6" s="61">
        <v>5.0054347826086918</v>
      </c>
      <c r="H6" s="49" t="s">
        <v>188</v>
      </c>
      <c r="I6" s="53">
        <v>1550.6754603476463</v>
      </c>
      <c r="J6" s="49" t="s">
        <v>126</v>
      </c>
      <c r="K6" s="50">
        <v>1.8913043478260869</v>
      </c>
      <c r="L6" s="49" t="s">
        <v>162</v>
      </c>
      <c r="M6" s="51">
        <v>0.39215686274509803</v>
      </c>
      <c r="N6" s="49" t="s">
        <v>195</v>
      </c>
      <c r="O6" s="51">
        <v>0.26666666666666666</v>
      </c>
      <c r="P6" s="49" t="s">
        <v>188</v>
      </c>
      <c r="Q6" s="52">
        <v>0.30337078651685395</v>
      </c>
      <c r="R6" s="49" t="s">
        <v>189</v>
      </c>
      <c r="S6" s="52">
        <v>0.15</v>
      </c>
      <c r="T6" s="49" t="s">
        <v>126</v>
      </c>
      <c r="U6" s="53">
        <v>9998.6301369863013</v>
      </c>
      <c r="V6" s="49" t="s">
        <v>138</v>
      </c>
      <c r="W6" s="53">
        <v>-8761.3989637305694</v>
      </c>
      <c r="X6" s="49" t="s">
        <v>195</v>
      </c>
      <c r="Y6" s="51">
        <v>6.6666666666666666E-2</v>
      </c>
      <c r="Z6" s="49" t="s">
        <v>200</v>
      </c>
      <c r="AA6" s="52">
        <v>0.31818181818181818</v>
      </c>
      <c r="AB6" s="49" t="s">
        <v>209</v>
      </c>
      <c r="AC6" s="52">
        <v>0.22222222222222221</v>
      </c>
      <c r="AD6" s="49" t="s">
        <v>200</v>
      </c>
      <c r="AE6" s="52">
        <v>0.5714285714285714</v>
      </c>
      <c r="AF6" s="49" t="s">
        <v>188</v>
      </c>
      <c r="AG6" s="52">
        <v>0.41666666666666669</v>
      </c>
      <c r="AH6" s="49" t="s">
        <v>162</v>
      </c>
      <c r="AI6" s="52">
        <v>0.51666666666666672</v>
      </c>
      <c r="AJ6" s="49" t="s">
        <v>191</v>
      </c>
      <c r="AK6" s="56">
        <v>101300</v>
      </c>
    </row>
    <row r="7" spans="1:37" x14ac:dyDescent="0.4">
      <c r="A7" s="46">
        <v>5</v>
      </c>
      <c r="B7" s="49" t="s">
        <v>189</v>
      </c>
      <c r="C7" s="114">
        <v>45</v>
      </c>
      <c r="D7" s="47" t="s">
        <v>200</v>
      </c>
      <c r="E7" s="48">
        <v>51.300000000000004</v>
      </c>
      <c r="F7" s="49" t="s">
        <v>162</v>
      </c>
      <c r="G7" s="61">
        <v>2.2960784313725484</v>
      </c>
      <c r="H7" s="49" t="s">
        <v>189</v>
      </c>
      <c r="I7" s="53">
        <v>1545.3560984528388</v>
      </c>
      <c r="J7" s="49" t="s">
        <v>162</v>
      </c>
      <c r="K7" s="50">
        <v>1.9607843137254901</v>
      </c>
      <c r="L7" s="49" t="s">
        <v>126</v>
      </c>
      <c r="M7" s="51">
        <v>0.36956521739130432</v>
      </c>
      <c r="N7" s="49" t="s">
        <v>138</v>
      </c>
      <c r="O7" s="51">
        <v>0.33333333333333331</v>
      </c>
      <c r="P7" s="49" t="s">
        <v>162</v>
      </c>
      <c r="Q7" s="52">
        <v>0.29197080291970801</v>
      </c>
      <c r="R7" s="49" t="s">
        <v>138</v>
      </c>
      <c r="S7" s="52">
        <v>0.15652879156528793</v>
      </c>
      <c r="T7" s="49" t="s">
        <v>138</v>
      </c>
      <c r="U7" s="53">
        <v>9082.3119777158772</v>
      </c>
      <c r="V7" s="49" t="s">
        <v>209</v>
      </c>
      <c r="W7" s="53">
        <v>-8863.1578947368416</v>
      </c>
      <c r="X7" s="49" t="s">
        <v>126</v>
      </c>
      <c r="Y7" s="51">
        <v>7.6086956521739135E-2</v>
      </c>
      <c r="Z7" s="49" t="s">
        <v>138</v>
      </c>
      <c r="AA7" s="52">
        <v>0.29724249797242497</v>
      </c>
      <c r="AB7" s="49" t="s">
        <v>191</v>
      </c>
      <c r="AC7" s="52">
        <v>0.18550106609808104</v>
      </c>
      <c r="AD7" s="49" t="s">
        <v>162</v>
      </c>
      <c r="AE7" s="52">
        <v>0.55555555555555558</v>
      </c>
      <c r="AF7" s="49" t="s">
        <v>200</v>
      </c>
      <c r="AG7" s="52">
        <v>0.4</v>
      </c>
      <c r="AH7" s="49" t="s">
        <v>187</v>
      </c>
      <c r="AI7" s="52">
        <v>0.48888888888888887</v>
      </c>
      <c r="AJ7" s="49" t="s">
        <v>187</v>
      </c>
      <c r="AK7" s="56">
        <v>84600</v>
      </c>
    </row>
    <row r="8" spans="1:37" x14ac:dyDescent="0.4">
      <c r="A8" s="46">
        <v>6</v>
      </c>
      <c r="B8" s="49" t="s">
        <v>187</v>
      </c>
      <c r="C8" s="114">
        <v>15</v>
      </c>
      <c r="D8" s="47" t="s">
        <v>138</v>
      </c>
      <c r="E8" s="48">
        <v>-7.1054273576010019E-15</v>
      </c>
      <c r="F8" s="49" t="s">
        <v>138</v>
      </c>
      <c r="G8" s="61">
        <v>-2.3923997837040409E-17</v>
      </c>
      <c r="H8" s="49" t="s">
        <v>200</v>
      </c>
      <c r="I8" s="53">
        <v>1528.4449016453955</v>
      </c>
      <c r="J8" s="49" t="s">
        <v>138</v>
      </c>
      <c r="K8" s="50">
        <v>2</v>
      </c>
      <c r="L8" s="49" t="s">
        <v>188</v>
      </c>
      <c r="M8" s="51">
        <v>0.33333333333333331</v>
      </c>
      <c r="N8" s="49" t="s">
        <v>191</v>
      </c>
      <c r="O8" s="51">
        <v>0.3392857142857143</v>
      </c>
      <c r="P8" s="49" t="s">
        <v>138</v>
      </c>
      <c r="Q8" s="52">
        <v>0.29115977291159773</v>
      </c>
      <c r="R8" s="49" t="s">
        <v>188</v>
      </c>
      <c r="S8" s="52">
        <v>0.15730337078651685</v>
      </c>
      <c r="T8" s="49" t="s">
        <v>200</v>
      </c>
      <c r="U8" s="53">
        <v>8837.5</v>
      </c>
      <c r="V8" s="49" t="s">
        <v>188</v>
      </c>
      <c r="W8" s="53">
        <v>-8985.7142857142862</v>
      </c>
      <c r="X8" s="49" t="s">
        <v>188</v>
      </c>
      <c r="Y8" s="51">
        <v>8.3333333333333329E-2</v>
      </c>
      <c r="Z8" s="49" t="s">
        <v>209</v>
      </c>
      <c r="AA8" s="52">
        <v>0.27777777777777779</v>
      </c>
      <c r="AB8" s="49" t="s">
        <v>138</v>
      </c>
      <c r="AC8" s="52">
        <v>0.18288726682887266</v>
      </c>
      <c r="AD8" s="49" t="s">
        <v>138</v>
      </c>
      <c r="AE8" s="52">
        <v>0.55388813096862211</v>
      </c>
      <c r="AF8" s="49" t="s">
        <v>138</v>
      </c>
      <c r="AG8" s="52">
        <v>0.39246119733924612</v>
      </c>
      <c r="AH8" s="49" t="s">
        <v>191</v>
      </c>
      <c r="AI8" s="52">
        <v>0.48837209302325579</v>
      </c>
      <c r="AJ8" s="49" t="s">
        <v>188</v>
      </c>
      <c r="AK8" s="56">
        <v>83700</v>
      </c>
    </row>
    <row r="9" spans="1:37" x14ac:dyDescent="0.4">
      <c r="A9" s="46">
        <v>7</v>
      </c>
      <c r="B9" s="49" t="s">
        <v>195</v>
      </c>
      <c r="C9" s="114">
        <v>15</v>
      </c>
      <c r="D9" s="47" t="s">
        <v>188</v>
      </c>
      <c r="E9" s="48">
        <v>-13.399999999999999</v>
      </c>
      <c r="F9" s="49" t="s">
        <v>188</v>
      </c>
      <c r="G9" s="61">
        <v>-1.1166666666666665</v>
      </c>
      <c r="H9" s="49" t="s">
        <v>187</v>
      </c>
      <c r="I9" s="53">
        <v>1502.387739697532</v>
      </c>
      <c r="J9" s="49" t="s">
        <v>188</v>
      </c>
      <c r="K9" s="50">
        <v>2.0833333333333335</v>
      </c>
      <c r="L9" s="49" t="s">
        <v>138</v>
      </c>
      <c r="M9" s="51">
        <v>0.33333333333333331</v>
      </c>
      <c r="N9" s="49" t="s">
        <v>162</v>
      </c>
      <c r="O9" s="51">
        <v>0.35294117647058826</v>
      </c>
      <c r="P9" s="49" t="s">
        <v>195</v>
      </c>
      <c r="Q9" s="52">
        <v>0.28971962616822428</v>
      </c>
      <c r="R9" s="49" t="s">
        <v>162</v>
      </c>
      <c r="S9" s="52">
        <v>0.16301703163017031</v>
      </c>
      <c r="T9" s="49" t="s">
        <v>191</v>
      </c>
      <c r="U9" s="53">
        <v>8016.2790697674418</v>
      </c>
      <c r="V9" s="49" t="s">
        <v>162</v>
      </c>
      <c r="W9" s="53">
        <v>-9105.9701492537315</v>
      </c>
      <c r="X9" s="49" t="s">
        <v>138</v>
      </c>
      <c r="Y9" s="51">
        <v>0.10437710437710437</v>
      </c>
      <c r="Z9" s="49" t="s">
        <v>187</v>
      </c>
      <c r="AA9" s="52">
        <v>0.27272727272727271</v>
      </c>
      <c r="AB9" s="49" t="s">
        <v>162</v>
      </c>
      <c r="AC9" s="52">
        <v>0.18248175182481752</v>
      </c>
      <c r="AD9" s="49" t="s">
        <v>126</v>
      </c>
      <c r="AE9" s="52">
        <v>0.52830188679245282</v>
      </c>
      <c r="AF9" s="49" t="s">
        <v>126</v>
      </c>
      <c r="AG9" s="52">
        <v>0.38211382113821141</v>
      </c>
      <c r="AH9" s="49" t="s">
        <v>138</v>
      </c>
      <c r="AI9" s="52">
        <v>0.4596100278551532</v>
      </c>
      <c r="AJ9" s="49" t="s">
        <v>189</v>
      </c>
      <c r="AK9" s="56">
        <v>83400</v>
      </c>
    </row>
    <row r="10" spans="1:37" x14ac:dyDescent="0.4">
      <c r="A10" s="46">
        <v>8</v>
      </c>
      <c r="B10" s="49" t="s">
        <v>188</v>
      </c>
      <c r="C10" s="114">
        <v>12</v>
      </c>
      <c r="D10" s="47" t="s">
        <v>189</v>
      </c>
      <c r="E10" s="48">
        <v>-90.3</v>
      </c>
      <c r="F10" s="49" t="s">
        <v>189</v>
      </c>
      <c r="G10" s="61">
        <v>-2.0066666666666668</v>
      </c>
      <c r="H10" s="49" t="s">
        <v>209</v>
      </c>
      <c r="I10" s="53">
        <v>1458.4719141494811</v>
      </c>
      <c r="J10" s="49" t="s">
        <v>189</v>
      </c>
      <c r="K10" s="50">
        <v>2.1111111111111112</v>
      </c>
      <c r="L10" s="49" t="s">
        <v>189</v>
      </c>
      <c r="M10" s="51">
        <v>0.31111111111111112</v>
      </c>
      <c r="N10" s="49" t="s">
        <v>188</v>
      </c>
      <c r="O10" s="51">
        <v>0.41666666666666669</v>
      </c>
      <c r="P10" s="49" t="s">
        <v>126</v>
      </c>
      <c r="Q10" s="52">
        <v>0.28664921465968585</v>
      </c>
      <c r="R10" s="49" t="s">
        <v>191</v>
      </c>
      <c r="S10" s="52">
        <v>0.16631130063965885</v>
      </c>
      <c r="T10" s="49" t="s">
        <v>189</v>
      </c>
      <c r="U10" s="53">
        <v>7870.1612903225805</v>
      </c>
      <c r="V10" s="49" t="s">
        <v>191</v>
      </c>
      <c r="W10" s="53">
        <v>-9461.538461538461</v>
      </c>
      <c r="X10" s="49" t="s">
        <v>209</v>
      </c>
      <c r="Y10" s="51">
        <v>0.1111111111111111</v>
      </c>
      <c r="Z10" s="49" t="s">
        <v>195</v>
      </c>
      <c r="AA10" s="52">
        <v>0.26168224299065418</v>
      </c>
      <c r="AB10" s="49" t="s">
        <v>126</v>
      </c>
      <c r="AC10" s="52">
        <v>0.16099476439790575</v>
      </c>
      <c r="AD10" s="49" t="s">
        <v>188</v>
      </c>
      <c r="AE10" s="52">
        <v>0.51515151515151514</v>
      </c>
      <c r="AF10" s="49" t="s">
        <v>187</v>
      </c>
      <c r="AG10" s="52">
        <v>0.32258064516129031</v>
      </c>
      <c r="AH10" s="49" t="s">
        <v>189</v>
      </c>
      <c r="AI10" s="52">
        <v>0.41129032258064518</v>
      </c>
      <c r="AJ10" s="49" t="s">
        <v>195</v>
      </c>
      <c r="AK10" s="56">
        <v>79900</v>
      </c>
    </row>
    <row r="11" spans="1:37" x14ac:dyDescent="0.4">
      <c r="A11" s="46">
        <v>9</v>
      </c>
      <c r="B11" s="49" t="s">
        <v>209</v>
      </c>
      <c r="C11" s="114">
        <v>9</v>
      </c>
      <c r="D11" s="47" t="s">
        <v>209</v>
      </c>
      <c r="E11" s="48">
        <v>-245.1</v>
      </c>
      <c r="F11" s="49" t="s">
        <v>191</v>
      </c>
      <c r="G11" s="61">
        <v>-9.875</v>
      </c>
      <c r="H11" s="49" t="s">
        <v>195</v>
      </c>
      <c r="I11" s="53">
        <v>1422.8639762363671</v>
      </c>
      <c r="J11" s="49" t="s">
        <v>191</v>
      </c>
      <c r="K11" s="50">
        <v>2.125</v>
      </c>
      <c r="L11" s="49" t="s">
        <v>191</v>
      </c>
      <c r="M11" s="51">
        <v>0.21428571428571427</v>
      </c>
      <c r="N11" s="49" t="s">
        <v>189</v>
      </c>
      <c r="O11" s="51">
        <v>0.42222222222222222</v>
      </c>
      <c r="P11" s="49" t="s">
        <v>191</v>
      </c>
      <c r="Q11" s="52">
        <v>0.27505330490405117</v>
      </c>
      <c r="R11" s="49" t="s">
        <v>200</v>
      </c>
      <c r="S11" s="52">
        <v>0.18181818181818182</v>
      </c>
      <c r="T11" s="49" t="s">
        <v>187</v>
      </c>
      <c r="U11" s="53">
        <v>7735.5555555555557</v>
      </c>
      <c r="V11" s="49" t="s">
        <v>200</v>
      </c>
      <c r="W11" s="53">
        <v>-9475</v>
      </c>
      <c r="X11" s="49" t="s">
        <v>162</v>
      </c>
      <c r="Y11" s="51">
        <v>0.13725490196078433</v>
      </c>
      <c r="Z11" s="49" t="s">
        <v>191</v>
      </c>
      <c r="AA11" s="52">
        <v>0.24520255863539445</v>
      </c>
      <c r="AB11" s="49" t="s">
        <v>188</v>
      </c>
      <c r="AC11" s="52">
        <v>0.1348314606741573</v>
      </c>
      <c r="AD11" s="49" t="s">
        <v>209</v>
      </c>
      <c r="AE11" s="52">
        <v>0.5</v>
      </c>
      <c r="AF11" s="49" t="s">
        <v>162</v>
      </c>
      <c r="AG11" s="52">
        <v>0.30666666666666664</v>
      </c>
      <c r="AH11" s="49" t="s">
        <v>126</v>
      </c>
      <c r="AI11" s="52">
        <v>0.40639269406392692</v>
      </c>
      <c r="AJ11" s="49" t="s">
        <v>200</v>
      </c>
      <c r="AK11" s="56">
        <v>69600</v>
      </c>
    </row>
    <row r="12" spans="1:37" x14ac:dyDescent="0.4">
      <c r="A12" s="46">
        <v>10</v>
      </c>
      <c r="B12" s="49" t="s">
        <v>200</v>
      </c>
      <c r="C12" s="114">
        <v>2</v>
      </c>
      <c r="D12" s="47" t="s">
        <v>191</v>
      </c>
      <c r="E12" s="48">
        <v>-553</v>
      </c>
      <c r="F12" s="49" t="s">
        <v>209</v>
      </c>
      <c r="G12" s="61">
        <v>-27.233333333333334</v>
      </c>
      <c r="H12" s="49" t="s">
        <v>191</v>
      </c>
      <c r="I12" s="53">
        <v>1347.8151111609229</v>
      </c>
      <c r="J12" s="49" t="s">
        <v>209</v>
      </c>
      <c r="K12" s="50">
        <v>2.5555555555555554</v>
      </c>
      <c r="L12" s="49" t="s">
        <v>209</v>
      </c>
      <c r="M12" s="51">
        <v>0.1111111111111111</v>
      </c>
      <c r="N12" s="49" t="s">
        <v>209</v>
      </c>
      <c r="O12" s="51">
        <v>0.66666666666666663</v>
      </c>
      <c r="P12" s="49" t="s">
        <v>209</v>
      </c>
      <c r="Q12" s="52">
        <v>0.20833333333333334</v>
      </c>
      <c r="R12" s="49" t="s">
        <v>209</v>
      </c>
      <c r="S12" s="52">
        <v>0.2638888888888889</v>
      </c>
      <c r="T12" s="49" t="s">
        <v>209</v>
      </c>
      <c r="U12" s="53">
        <v>6533.333333333333</v>
      </c>
      <c r="V12" s="49" t="s">
        <v>195</v>
      </c>
      <c r="W12" s="53">
        <v>-10257.142857142857</v>
      </c>
      <c r="X12" s="49" t="s">
        <v>191</v>
      </c>
      <c r="Y12" s="51">
        <v>0.17857142857142858</v>
      </c>
      <c r="Z12" s="49" t="s">
        <v>189</v>
      </c>
      <c r="AA12" s="52">
        <v>0.19</v>
      </c>
      <c r="AB12" s="49" t="s">
        <v>195</v>
      </c>
      <c r="AC12" s="52">
        <v>0.10280373831775701</v>
      </c>
      <c r="AD12" s="49" t="s">
        <v>191</v>
      </c>
      <c r="AE12" s="52">
        <v>0.4956521739130435</v>
      </c>
      <c r="AF12" s="49" t="s">
        <v>209</v>
      </c>
      <c r="AG12" s="52">
        <v>0.1875</v>
      </c>
      <c r="AH12" s="49" t="s">
        <v>200</v>
      </c>
      <c r="AI12" s="52">
        <v>0.125</v>
      </c>
      <c r="AJ12" s="49" t="s">
        <v>209</v>
      </c>
      <c r="AK12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73F3F-36A8-4905-B93F-7E2720A4D736}">
  <sheetPr codeName="Sheet4"/>
  <dimension ref="A1:R2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297</v>
      </c>
      <c r="C2" s="134"/>
      <c r="E2" s="26" t="s">
        <v>66</v>
      </c>
      <c r="F2" s="23" t="s">
        <v>22</v>
      </c>
      <c r="G2" s="11">
        <v>515</v>
      </c>
      <c r="H2" s="87">
        <f>IF(B$20=0,0,G2/B$20)</f>
        <v>0.71727019498607247</v>
      </c>
      <c r="I2" s="57">
        <v>6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-37.037037037037038</v>
      </c>
      <c r="Q2" s="76">
        <v>297</v>
      </c>
      <c r="R2" s="63">
        <v>-11000</v>
      </c>
    </row>
    <row r="3" spans="1:18" x14ac:dyDescent="0.4">
      <c r="A3" s="19" t="s">
        <v>8</v>
      </c>
      <c r="B3" s="135">
        <v>2466</v>
      </c>
      <c r="C3" s="136"/>
      <c r="E3" s="27" t="s">
        <v>64</v>
      </c>
      <c r="F3" s="24" t="s">
        <v>20</v>
      </c>
      <c r="G3" s="12">
        <v>401</v>
      </c>
      <c r="H3" s="88">
        <f>IF(B$20=0,0,G3/B$20)</f>
        <v>0.5584958217270195</v>
      </c>
      <c r="I3" s="58">
        <v>6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20.833333333333332</v>
      </c>
      <c r="Q3" s="77">
        <v>288</v>
      </c>
      <c r="R3" s="64">
        <v>6000</v>
      </c>
    </row>
    <row r="4" spans="1:18" x14ac:dyDescent="0.4">
      <c r="A4" s="19" t="s">
        <v>6</v>
      </c>
      <c r="B4" s="137">
        <v>-7.1054273576010019E-15</v>
      </c>
      <c r="C4" s="138"/>
      <c r="E4" s="27" t="s">
        <v>72</v>
      </c>
      <c r="F4" s="24" t="s">
        <v>27</v>
      </c>
      <c r="G4" s="12">
        <v>341</v>
      </c>
      <c r="H4" s="88">
        <f>IF(B$20=0,0,G4/B$20)</f>
        <v>0.47493036211699163</v>
      </c>
      <c r="I4" s="58">
        <v>4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3.5460992907801416</v>
      </c>
      <c r="Q4" s="77">
        <v>282</v>
      </c>
      <c r="R4" s="64">
        <v>1000</v>
      </c>
    </row>
    <row r="5" spans="1:18" x14ac:dyDescent="0.4">
      <c r="A5" s="19" t="s">
        <v>7</v>
      </c>
      <c r="B5" s="125">
        <f>IF(B$2=0,0,B$4/B$2)</f>
        <v>-2.3923997837040409E-17</v>
      </c>
      <c r="C5" s="126"/>
      <c r="E5" s="27" t="s">
        <v>158</v>
      </c>
      <c r="F5" s="24" t="s">
        <v>159</v>
      </c>
      <c r="G5" s="12">
        <v>308</v>
      </c>
      <c r="H5" s="88">
        <f>IF(B$20=0,0,G5/B$20)</f>
        <v>0.42896935933147634</v>
      </c>
      <c r="I5" s="58">
        <v>5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0</v>
      </c>
      <c r="Q5" s="77">
        <v>270</v>
      </c>
      <c r="R5" s="64">
        <v>0</v>
      </c>
    </row>
    <row r="6" spans="1:18" x14ac:dyDescent="0.4">
      <c r="A6" s="19" t="s">
        <v>192</v>
      </c>
      <c r="B6" s="129">
        <v>1596.4001017635881</v>
      </c>
      <c r="C6" s="130"/>
      <c r="E6" s="27" t="s">
        <v>68</v>
      </c>
      <c r="F6" s="24" t="s">
        <v>12</v>
      </c>
      <c r="G6" s="12">
        <v>255</v>
      </c>
      <c r="H6" s="88">
        <f>IF(B$20=0,0,G6/B$20)</f>
        <v>0.35515320334261841</v>
      </c>
      <c r="I6" s="58">
        <v>5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-16.064257028112451</v>
      </c>
      <c r="Q6" s="77">
        <v>249</v>
      </c>
      <c r="R6" s="64">
        <v>-4000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215</v>
      </c>
      <c r="H7" s="88">
        <f>IF(B$20=0,0,G7/B$20)</f>
        <v>0.29944289693593312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36.529680365296805</v>
      </c>
      <c r="Q7" s="78">
        <v>219</v>
      </c>
      <c r="R7" s="65">
        <v>8000</v>
      </c>
    </row>
    <row r="8" spans="1:18" x14ac:dyDescent="0.4">
      <c r="A8" s="19" t="s">
        <v>2</v>
      </c>
      <c r="B8" s="12">
        <v>99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116</v>
      </c>
      <c r="H8" s="88">
        <f>IF(B$20=0,0,G8/B$20)</f>
        <v>0.16155988857938719</v>
      </c>
      <c r="I8" s="58">
        <v>5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99</v>
      </c>
      <c r="C9" s="6">
        <f t="shared" si="1"/>
        <v>0.33333333333333331</v>
      </c>
      <c r="E9" s="27" t="s">
        <v>89</v>
      </c>
      <c r="F9" s="24" t="s">
        <v>44</v>
      </c>
      <c r="G9" s="12">
        <v>102</v>
      </c>
      <c r="H9" s="88">
        <f>IF(B$20=0,0,G9/B$20)</f>
        <v>0.14206128133704735</v>
      </c>
      <c r="I9" s="58">
        <v>4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99</v>
      </c>
      <c r="C10" s="7">
        <f t="shared" si="1"/>
        <v>0.33333333333333331</v>
      </c>
      <c r="E10" s="27" t="s">
        <v>65</v>
      </c>
      <c r="F10" s="24" t="s">
        <v>21</v>
      </c>
      <c r="G10" s="12">
        <v>93</v>
      </c>
      <c r="H10" s="88">
        <f>IF(B$20=0,0,G10/B$20)</f>
        <v>0.12952646239554316</v>
      </c>
      <c r="I10" s="58">
        <v>5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-1.3060606060606059</v>
      </c>
      <c r="Q10" s="76">
        <v>99</v>
      </c>
      <c r="R10" s="67">
        <v>-129.29999999999998</v>
      </c>
    </row>
    <row r="11" spans="1:18" x14ac:dyDescent="0.4">
      <c r="A11" s="20" t="s">
        <v>183</v>
      </c>
      <c r="B11" s="109">
        <f>IF(B8=0,0,C11/B8)</f>
        <v>47.590909090909093</v>
      </c>
      <c r="C11" s="110">
        <v>4711.5</v>
      </c>
      <c r="E11" s="27" t="s">
        <v>70</v>
      </c>
      <c r="F11" s="24" t="s">
        <v>25</v>
      </c>
      <c r="G11" s="12">
        <v>74</v>
      </c>
      <c r="H11" s="88">
        <f>IF(B$20=0,0,G11/B$20)</f>
        <v>0.10306406685236769</v>
      </c>
      <c r="I11" s="58">
        <v>5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-3.1979797979797975</v>
      </c>
      <c r="Q11" s="77">
        <v>99</v>
      </c>
      <c r="R11" s="68">
        <v>-316.59999999999997</v>
      </c>
    </row>
    <row r="12" spans="1:18" x14ac:dyDescent="0.4">
      <c r="A12" s="20" t="s">
        <v>184</v>
      </c>
      <c r="B12" s="109">
        <f>IF(B9=0,0,C12/B9)</f>
        <v>-2.0464646464646457</v>
      </c>
      <c r="C12" s="110">
        <v>-202.59999999999994</v>
      </c>
      <c r="E12" s="27" t="s">
        <v>86</v>
      </c>
      <c r="F12" s="24" t="s">
        <v>41</v>
      </c>
      <c r="G12" s="12">
        <v>51</v>
      </c>
      <c r="H12" s="88">
        <f>IF(B$20=0,0,G12/B$20)</f>
        <v>7.1030640668523673E-2</v>
      </c>
      <c r="I12" s="58">
        <v>4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4.5040404040404018</v>
      </c>
      <c r="Q12" s="78">
        <v>99</v>
      </c>
      <c r="R12" s="69">
        <v>445.89999999999975</v>
      </c>
    </row>
    <row r="13" spans="1:18" x14ac:dyDescent="0.4">
      <c r="A13" s="20" t="s">
        <v>185</v>
      </c>
      <c r="B13" s="109">
        <f>IF(B10=0,0,C13/B10)</f>
        <v>-45.544444444444451</v>
      </c>
      <c r="C13" s="110">
        <v>-4508.9000000000005</v>
      </c>
      <c r="E13" s="27" t="s">
        <v>71</v>
      </c>
      <c r="F13" s="24" t="s">
        <v>26</v>
      </c>
      <c r="G13" s="12">
        <v>50</v>
      </c>
      <c r="H13" s="88">
        <f>IF(B$20=0,0,G13/B$20)</f>
        <v>6.9637883008356549E-2</v>
      </c>
      <c r="I13" s="58">
        <v>6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81</v>
      </c>
      <c r="F14" s="24" t="s">
        <v>36</v>
      </c>
      <c r="G14" s="12">
        <v>23</v>
      </c>
      <c r="H14" s="88">
        <f>IF(B$20=0,0,G14/B$20)</f>
        <v>3.2033426183844013E-2</v>
      </c>
      <c r="I14" s="58">
        <v>6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31</v>
      </c>
      <c r="C15" s="9">
        <f t="shared" si="1"/>
        <v>0.10437710437710437</v>
      </c>
      <c r="E15" s="27" t="s">
        <v>83</v>
      </c>
      <c r="F15" s="24" t="s">
        <v>38</v>
      </c>
      <c r="G15" s="12">
        <v>23</v>
      </c>
      <c r="H15" s="88">
        <f>IF(B$20=0,0,G15/B$20)</f>
        <v>3.2033426183844013E-2</v>
      </c>
      <c r="I15" s="58">
        <v>6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733</v>
      </c>
      <c r="C16" s="10">
        <f>IF(B$3=0,0,B16/B$3)</f>
        <v>0.29724249797242497</v>
      </c>
      <c r="E16" s="27" t="s">
        <v>78</v>
      </c>
      <c r="F16" s="24" t="s">
        <v>33</v>
      </c>
      <c r="G16" s="12">
        <v>19</v>
      </c>
      <c r="H16" s="88">
        <f>IF(B$20=0,0,G16/B$20)</f>
        <v>2.6462395543175487E-2</v>
      </c>
      <c r="I16" s="58">
        <v>6</v>
      </c>
      <c r="K16" s="74">
        <v>14</v>
      </c>
      <c r="L16" s="119">
        <v>33.6</v>
      </c>
      <c r="M16" s="117">
        <v>1614.4779292016872</v>
      </c>
      <c r="O16" s="74" t="s">
        <v>191</v>
      </c>
      <c r="P16" s="83">
        <f>IF(Q16=0,0,R16/Q16)</f>
        <v>14.812500000000005</v>
      </c>
      <c r="Q16" s="77">
        <v>112</v>
      </c>
      <c r="R16" s="68">
        <v>1659.0000000000007</v>
      </c>
    </row>
    <row r="17" spans="1:18" x14ac:dyDescent="0.4">
      <c r="A17" s="19" t="s">
        <v>118</v>
      </c>
      <c r="B17" s="12">
        <v>451</v>
      </c>
      <c r="C17" s="6">
        <f>IF(B$3=0,0,B17/B$3)</f>
        <v>0.18288726682887266</v>
      </c>
      <c r="E17" s="27" t="s">
        <v>79</v>
      </c>
      <c r="F17" s="24" t="s">
        <v>34</v>
      </c>
      <c r="G17" s="12">
        <v>11</v>
      </c>
      <c r="H17" s="88">
        <f>IF(B$20=0,0,G17/B$20)</f>
        <v>1.532033426183844E-2</v>
      </c>
      <c r="I17" s="58">
        <v>4</v>
      </c>
      <c r="K17" s="74">
        <v>15</v>
      </c>
      <c r="L17" s="119">
        <v>0</v>
      </c>
      <c r="M17" s="117">
        <v>1607.9530616264772</v>
      </c>
      <c r="O17" s="74" t="s">
        <v>189</v>
      </c>
      <c r="P17" s="83">
        <f>IF(Q17=0,0,R17/Q17)</f>
        <v>3.0099999999999989</v>
      </c>
      <c r="Q17" s="77">
        <v>90</v>
      </c>
      <c r="R17" s="68">
        <v>270.89999999999992</v>
      </c>
    </row>
    <row r="18" spans="1:18" x14ac:dyDescent="0.4">
      <c r="A18" s="18" t="s">
        <v>123</v>
      </c>
      <c r="B18" s="11">
        <f>B24</f>
        <v>406</v>
      </c>
      <c r="C18" s="5">
        <f>IF(B$16=0,0,B18/B$16)</f>
        <v>0.55388813096862211</v>
      </c>
      <c r="E18" s="27" t="s">
        <v>91</v>
      </c>
      <c r="F18" s="24" t="s">
        <v>46</v>
      </c>
      <c r="G18" s="12">
        <v>11</v>
      </c>
      <c r="H18" s="88">
        <f>IF(B$20=0,0,G18/B$20)</f>
        <v>1.532033426183844E-2</v>
      </c>
      <c r="I18" s="58">
        <v>5</v>
      </c>
      <c r="K18" s="74">
        <v>16</v>
      </c>
      <c r="L18" s="119">
        <v>1.4</v>
      </c>
      <c r="M18" s="117">
        <v>1608.3733432567183</v>
      </c>
      <c r="O18" s="74" t="s">
        <v>188</v>
      </c>
      <c r="P18" s="83">
        <f>IF(Q18=0,0,R18/Q18)</f>
        <v>1.6750000000000025</v>
      </c>
      <c r="Q18" s="77">
        <v>24</v>
      </c>
      <c r="R18" s="68">
        <v>40.20000000000006</v>
      </c>
    </row>
    <row r="19" spans="1:18" x14ac:dyDescent="0.4">
      <c r="A19" s="18" t="s">
        <v>124</v>
      </c>
      <c r="B19" s="11">
        <f>B25</f>
        <v>177</v>
      </c>
      <c r="C19" s="5">
        <f>IF(B$17=0,0,B19/B$17)</f>
        <v>0.39246119733924612</v>
      </c>
      <c r="E19" s="27" t="s">
        <v>154</v>
      </c>
      <c r="F19" s="24" t="s">
        <v>155</v>
      </c>
      <c r="G19" s="12">
        <v>10</v>
      </c>
      <c r="H19" s="88">
        <f>IF(B$20=0,0,G19/B$20)</f>
        <v>1.3927576601671309E-2</v>
      </c>
      <c r="I19" s="58">
        <v>4</v>
      </c>
      <c r="K19" s="74">
        <v>17</v>
      </c>
      <c r="L19" s="119">
        <v>32.700000000000003</v>
      </c>
      <c r="M19" s="117">
        <v>1614.1731031971779</v>
      </c>
      <c r="O19" s="74" t="s">
        <v>162</v>
      </c>
      <c r="P19" s="83">
        <f>IF(Q19=0,0,R19/Q19)</f>
        <v>-3.4441176470588268</v>
      </c>
      <c r="Q19" s="77">
        <v>102</v>
      </c>
      <c r="R19" s="68">
        <v>-351.30000000000035</v>
      </c>
    </row>
    <row r="20" spans="1:18" x14ac:dyDescent="0.4">
      <c r="A20" s="18" t="s">
        <v>10</v>
      </c>
      <c r="B20" s="11">
        <f>B23+B22</f>
        <v>718</v>
      </c>
      <c r="C20" s="5">
        <f>IF(B$3=0,0,B20/B$3)</f>
        <v>0.29115977291159773</v>
      </c>
      <c r="E20" s="27" t="s">
        <v>73</v>
      </c>
      <c r="F20" s="24" t="s">
        <v>28</v>
      </c>
      <c r="G20" s="12">
        <v>6</v>
      </c>
      <c r="H20" s="88">
        <f>IF(B$20=0,0,G20/B$20)</f>
        <v>8.356545961002786E-3</v>
      </c>
      <c r="I20" s="58">
        <v>4</v>
      </c>
      <c r="K20" s="74">
        <v>18</v>
      </c>
      <c r="L20" s="119">
        <v>0</v>
      </c>
      <c r="M20" s="117">
        <v>1608.4180645779948</v>
      </c>
      <c r="O20" s="74" t="s">
        <v>126</v>
      </c>
      <c r="P20" s="83">
        <f>IF(Q20=0,0,R20/Q20)</f>
        <v>-7.5081521739130537</v>
      </c>
      <c r="Q20" s="77">
        <v>184</v>
      </c>
      <c r="R20" s="68">
        <v>-1381.5000000000018</v>
      </c>
    </row>
    <row r="21" spans="1:18" x14ac:dyDescent="0.4">
      <c r="A21" s="19" t="s">
        <v>13</v>
      </c>
      <c r="B21" s="12">
        <v>386</v>
      </c>
      <c r="C21" s="6">
        <f>IF(B$3=0,0,B21/B$3)</f>
        <v>0.15652879156528793</v>
      </c>
      <c r="E21" s="27" t="s">
        <v>74</v>
      </c>
      <c r="F21" s="24" t="s">
        <v>29</v>
      </c>
      <c r="G21" s="12">
        <v>5</v>
      </c>
      <c r="H21" s="88">
        <f>IF(B$20=0,0,G21/B$20)</f>
        <v>6.9637883008356544E-3</v>
      </c>
      <c r="I21" s="58">
        <v>5</v>
      </c>
      <c r="K21" s="74">
        <v>19</v>
      </c>
      <c r="L21" s="119">
        <v>7.6</v>
      </c>
      <c r="M21" s="117">
        <v>1609.3575561905268</v>
      </c>
      <c r="O21" s="74" t="s">
        <v>195</v>
      </c>
      <c r="P21" s="83">
        <f>IF(Q21=0,0,R21/Q21)</f>
        <v>-11.099999999999996</v>
      </c>
      <c r="Q21" s="77">
        <v>30</v>
      </c>
      <c r="R21" s="68">
        <v>-332.99999999999989</v>
      </c>
    </row>
    <row r="22" spans="1:18" x14ac:dyDescent="0.4">
      <c r="A22" s="19" t="s">
        <v>12</v>
      </c>
      <c r="B22" s="12">
        <v>330</v>
      </c>
      <c r="C22" s="6">
        <f>IF(B$20=0,0,B22/B$20)</f>
        <v>0.4596100278551532</v>
      </c>
      <c r="E22" s="27" t="s">
        <v>75</v>
      </c>
      <c r="F22" s="24" t="s">
        <v>30</v>
      </c>
      <c r="G22" s="12">
        <v>5</v>
      </c>
      <c r="H22" s="88">
        <f>IF(B$20=0,0,G22/B$20)</f>
        <v>6.9637883008356544E-3</v>
      </c>
      <c r="I22" s="58">
        <v>3</v>
      </c>
      <c r="K22" s="74">
        <v>20</v>
      </c>
      <c r="L22" s="119">
        <v>41.2</v>
      </c>
      <c r="M22" s="117">
        <v>1614.9714108533835</v>
      </c>
      <c r="O22" s="74" t="s">
        <v>187</v>
      </c>
      <c r="P22" s="83">
        <f>IF(Q22=0,0,R22/Q22)</f>
        <v>-16.190000000000001</v>
      </c>
      <c r="Q22" s="77">
        <v>30</v>
      </c>
      <c r="R22" s="68">
        <v>-485.7</v>
      </c>
    </row>
    <row r="23" spans="1:18" x14ac:dyDescent="0.4">
      <c r="A23" s="19" t="s">
        <v>11</v>
      </c>
      <c r="B23" s="12">
        <v>388</v>
      </c>
      <c r="C23" s="6">
        <f>IF(B$20=0,0,B23/B$20)</f>
        <v>0.54038997214484674</v>
      </c>
      <c r="E23" s="27" t="s">
        <v>92</v>
      </c>
      <c r="F23" s="24" t="s">
        <v>47</v>
      </c>
      <c r="G23" s="12">
        <v>5</v>
      </c>
      <c r="H23" s="88">
        <f>IF(B$20=0,0,G23/B$20)</f>
        <v>6.9637883008356544E-3</v>
      </c>
      <c r="I23" s="58">
        <v>3</v>
      </c>
      <c r="K23" s="74">
        <v>21</v>
      </c>
      <c r="L23" s="119">
        <v>0</v>
      </c>
      <c r="M23" s="117">
        <v>1607.0875823882632</v>
      </c>
      <c r="O23" s="74" t="s">
        <v>200</v>
      </c>
      <c r="P23" s="83">
        <f>IF(Q23=0,0,R23/Q23)</f>
        <v>-38.475000000000001</v>
      </c>
      <c r="Q23" s="77">
        <v>4</v>
      </c>
      <c r="R23" s="68">
        <v>-153.9</v>
      </c>
    </row>
    <row r="24" spans="1:18" x14ac:dyDescent="0.4">
      <c r="A24" s="19" t="s">
        <v>182</v>
      </c>
      <c r="B24" s="12">
        <v>406</v>
      </c>
      <c r="C24" s="6">
        <f>IF(B$20=0,0,B24/B$20)</f>
        <v>0.56545961002785516</v>
      </c>
      <c r="E24" s="27" t="s">
        <v>93</v>
      </c>
      <c r="F24" s="24" t="s">
        <v>48</v>
      </c>
      <c r="G24" s="12">
        <v>3</v>
      </c>
      <c r="H24" s="88">
        <f>IF(B$20=0,0,G24/B$20)</f>
        <v>4.178272980501393E-3</v>
      </c>
      <c r="I24" s="58">
        <v>3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177</v>
      </c>
      <c r="C25" s="6">
        <f>IF(B$20=0,0,B25/B$20)</f>
        <v>0.24651810584958217</v>
      </c>
      <c r="E25" s="27" t="s">
        <v>84</v>
      </c>
      <c r="F25" s="24" t="s">
        <v>39</v>
      </c>
      <c r="G25" s="12">
        <v>2</v>
      </c>
      <c r="H25" s="88">
        <f>IF(B$20=0,0,G25/B$20)</f>
        <v>2.7855153203342618E-3</v>
      </c>
      <c r="I25" s="58">
        <v>2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135</v>
      </c>
      <c r="C26" s="6">
        <f>IF(B$20=0,0,B26/B$20)</f>
        <v>0.18802228412256267</v>
      </c>
      <c r="E26" s="27" t="s">
        <v>99</v>
      </c>
      <c r="F26" s="24" t="s">
        <v>54</v>
      </c>
      <c r="G26" s="12">
        <v>2</v>
      </c>
      <c r="H26" s="88">
        <f>IF(B$20=0,0,G26/B$20)</f>
        <v>2.7855153203342618E-3</v>
      </c>
      <c r="I26" s="58">
        <v>3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9082.3119777158772</v>
      </c>
      <c r="C27" s="8">
        <v>6521100</v>
      </c>
      <c r="E27" s="27" t="s">
        <v>76</v>
      </c>
      <c r="F27" s="24" t="s">
        <v>31</v>
      </c>
      <c r="G27" s="12">
        <v>1</v>
      </c>
      <c r="H27" s="88">
        <f>IF(B$20=0,0,G27/B$20)</f>
        <v>1.3927576601671309E-3</v>
      </c>
      <c r="I27" s="58">
        <v>2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9398.1515711645097</v>
      </c>
      <c r="C28" s="96">
        <v>5084400</v>
      </c>
      <c r="E28" s="27" t="s">
        <v>85</v>
      </c>
      <c r="F28" s="24" t="s">
        <v>40</v>
      </c>
      <c r="G28" s="12">
        <v>1</v>
      </c>
      <c r="H28" s="88">
        <f>IF(B$20=0,0,G28/B$20)</f>
        <v>1.3927576601671309E-3</v>
      </c>
      <c r="I28" s="58">
        <v>2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8116.9491525423728</v>
      </c>
      <c r="C29" s="96">
        <v>1436700</v>
      </c>
      <c r="E29" s="27" t="s">
        <v>87</v>
      </c>
      <c r="F29" s="24" t="s">
        <v>42</v>
      </c>
      <c r="G29" s="12">
        <v>1</v>
      </c>
      <c r="H29" s="88">
        <f>IF(B$20=0,0,G29/B$20)</f>
        <v>1.3927576601671309E-3</v>
      </c>
      <c r="I29" s="58">
        <v>2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-8761.3989637305694</v>
      </c>
      <c r="C30" s="96">
        <v>-3381900</v>
      </c>
      <c r="E30" s="27" t="s">
        <v>90</v>
      </c>
      <c r="F30" s="24" t="s">
        <v>45</v>
      </c>
      <c r="G30" s="12">
        <v>1</v>
      </c>
      <c r="H30" s="88">
        <f>IF(B$20=0,0,G30/B$20)</f>
        <v>1.3927576601671309E-3</v>
      </c>
      <c r="I30" s="58">
        <v>2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94</v>
      </c>
      <c r="F31" s="24" t="s">
        <v>49</v>
      </c>
      <c r="G31" s="12">
        <v>1</v>
      </c>
      <c r="H31" s="88">
        <f>IF(B$20=0,0,G31/B$20)</f>
        <v>1.3927576601671309E-3</v>
      </c>
      <c r="I31" s="58">
        <v>2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43</v>
      </c>
      <c r="C32" s="90">
        <v>6</v>
      </c>
      <c r="E32" s="27" t="s">
        <v>95</v>
      </c>
      <c r="F32" s="24" t="s">
        <v>50</v>
      </c>
      <c r="G32" s="12">
        <v>1</v>
      </c>
      <c r="H32" s="88">
        <f>IF(B$20=0,0,G32/B$20)</f>
        <v>1.3927576601671309E-3</v>
      </c>
      <c r="I32" s="58">
        <v>2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7</v>
      </c>
      <c r="C33" s="128"/>
      <c r="E33" s="27" t="s">
        <v>97</v>
      </c>
      <c r="F33" s="24" t="s">
        <v>52</v>
      </c>
      <c r="G33" s="12">
        <v>1</v>
      </c>
      <c r="H33" s="88">
        <f>IF(B$20=0,0,G33/B$20)</f>
        <v>1.3927576601671309E-3</v>
      </c>
      <c r="I33" s="58">
        <v>2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144300</v>
      </c>
      <c r="C34" s="130"/>
      <c r="E34" s="27" t="s">
        <v>77</v>
      </c>
      <c r="F34" s="24" t="s">
        <v>32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3</v>
      </c>
      <c r="C35" s="9">
        <f>IF(B$3=0,0,B35/B$3)</f>
        <v>1.2165450121654502E-3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38</v>
      </c>
      <c r="C37" s="98">
        <f t="shared" ref="C37:C49" si="2">IF(B$20=0,0,B37/B$20)</f>
        <v>5.2924791086350974E-2</v>
      </c>
      <c r="E37" s="27" t="s">
        <v>88</v>
      </c>
      <c r="F37" s="24" t="s">
        <v>43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108</v>
      </c>
      <c r="C38" s="6">
        <f t="shared" si="2"/>
        <v>0.15041782729805014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133</v>
      </c>
      <c r="C39" s="6">
        <f t="shared" si="2"/>
        <v>0.18523676880222842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143</v>
      </c>
      <c r="C40" s="6">
        <f t="shared" si="2"/>
        <v>0.19916434540389971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118</v>
      </c>
      <c r="C41" s="6">
        <f t="shared" si="2"/>
        <v>0.16434540389972144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74</v>
      </c>
      <c r="C42" s="6">
        <f t="shared" si="2"/>
        <v>0.10306406685236769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44</v>
      </c>
      <c r="C43" s="6">
        <f t="shared" si="2"/>
        <v>6.1281337047353758E-2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27</v>
      </c>
      <c r="C44" s="6">
        <f t="shared" si="2"/>
        <v>3.7604456824512536E-2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10</v>
      </c>
      <c r="C45" s="6">
        <f t="shared" si="2"/>
        <v>1.3927576601671309E-2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5</v>
      </c>
      <c r="C46" s="6">
        <f t="shared" si="2"/>
        <v>6.9637883008356544E-3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3</v>
      </c>
      <c r="C47" s="6">
        <f t="shared" si="2"/>
        <v>4.178272980501393E-3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15</v>
      </c>
      <c r="C49" s="9">
        <f t="shared" si="2"/>
        <v>2.0891364902506964E-2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  <row r="102" spans="11:13" x14ac:dyDescent="0.4">
      <c r="K102" s="74">
        <v>100</v>
      </c>
      <c r="L102" s="119">
        <v>31.499999999999979</v>
      </c>
      <c r="M102" s="117">
        <v>1608.4757689425685</v>
      </c>
    </row>
    <row r="103" spans="11:13" x14ac:dyDescent="0.4">
      <c r="K103" s="74">
        <v>101</v>
      </c>
      <c r="L103" s="119">
        <v>-8.9000000000000199</v>
      </c>
      <c r="M103" s="117">
        <v>1601.4889143289131</v>
      </c>
    </row>
    <row r="104" spans="11:13" x14ac:dyDescent="0.4">
      <c r="K104" s="74">
        <v>102</v>
      </c>
      <c r="L104" s="119">
        <v>-1.9539925233402755E-14</v>
      </c>
      <c r="M104" s="117">
        <v>1603.4179808429396</v>
      </c>
    </row>
    <row r="105" spans="11:13" x14ac:dyDescent="0.4">
      <c r="K105" s="74">
        <v>103</v>
      </c>
      <c r="L105" s="119">
        <v>30.199999999999982</v>
      </c>
      <c r="M105" s="117">
        <v>1609.1694729578819</v>
      </c>
    </row>
    <row r="106" spans="11:13" x14ac:dyDescent="0.4">
      <c r="K106" s="74">
        <v>104</v>
      </c>
      <c r="L106" s="119">
        <v>26.499999999999982</v>
      </c>
      <c r="M106" s="117">
        <v>1608.7844561201346</v>
      </c>
    </row>
    <row r="107" spans="11:13" x14ac:dyDescent="0.4">
      <c r="K107" s="74">
        <v>105</v>
      </c>
      <c r="L107" s="119">
        <v>-1.7763568394002505E-14</v>
      </c>
      <c r="M107" s="117">
        <v>1604.2977493834137</v>
      </c>
    </row>
    <row r="108" spans="11:13" x14ac:dyDescent="0.4">
      <c r="K108" s="74">
        <v>106</v>
      </c>
      <c r="L108" s="119">
        <v>-33.800000000000011</v>
      </c>
      <c r="M108" s="117">
        <v>1598.5239628871132</v>
      </c>
    </row>
    <row r="109" spans="11:13" x14ac:dyDescent="0.4">
      <c r="K109" s="74">
        <v>107</v>
      </c>
      <c r="L109" s="119">
        <v>-6.6000000000000121</v>
      </c>
      <c r="M109" s="117">
        <v>1603.7648191097906</v>
      </c>
    </row>
    <row r="110" spans="11:13" x14ac:dyDescent="0.4">
      <c r="K110" s="74">
        <v>108</v>
      </c>
      <c r="L110" s="119">
        <v>-1.2434497875801753E-14</v>
      </c>
      <c r="M110" s="117">
        <v>1605.2662301951318</v>
      </c>
    </row>
    <row r="111" spans="11:13" x14ac:dyDescent="0.4">
      <c r="K111" s="74">
        <v>109</v>
      </c>
      <c r="L111" s="119">
        <v>68.399999999999991</v>
      </c>
      <c r="M111" s="117">
        <v>1617.882632813961</v>
      </c>
    </row>
    <row r="112" spans="11:13" x14ac:dyDescent="0.4">
      <c r="K112" s="74">
        <v>110</v>
      </c>
      <c r="L112" s="119">
        <v>55.79999999999999</v>
      </c>
      <c r="M112" s="117">
        <v>1615.8433370170771</v>
      </c>
    </row>
    <row r="113" spans="11:13" x14ac:dyDescent="0.4">
      <c r="K113" s="74">
        <v>111</v>
      </c>
      <c r="L113" s="119">
        <v>-7.1054273576010019E-15</v>
      </c>
      <c r="M113" s="117">
        <v>1606.0402769949746</v>
      </c>
    </row>
    <row r="114" spans="11:13" x14ac:dyDescent="0.4">
      <c r="K114" s="74">
        <v>112</v>
      </c>
      <c r="L114" s="119">
        <v>-45.300000000000004</v>
      </c>
      <c r="M114" s="117">
        <v>1598.1860353330048</v>
      </c>
    </row>
    <row r="115" spans="11:13" x14ac:dyDescent="0.4">
      <c r="K115" s="74">
        <v>113</v>
      </c>
      <c r="L115" s="119">
        <v>-40.6</v>
      </c>
      <c r="M115" s="117">
        <v>1599.3789191210069</v>
      </c>
    </row>
    <row r="116" spans="11:13" x14ac:dyDescent="0.4">
      <c r="K116" s="74">
        <v>114</v>
      </c>
      <c r="L116" s="119">
        <v>0</v>
      </c>
      <c r="M116" s="117">
        <v>1607.0266456062809</v>
      </c>
    </row>
    <row r="117" spans="11:13" x14ac:dyDescent="0.4">
      <c r="K117" s="74">
        <v>115</v>
      </c>
      <c r="L117" s="119">
        <v>-30.1</v>
      </c>
      <c r="M117" s="117">
        <v>1601.9024857326433</v>
      </c>
    </row>
    <row r="118" spans="11:13" x14ac:dyDescent="0.4">
      <c r="K118" s="74">
        <v>116</v>
      </c>
      <c r="L118" s="119">
        <v>-36.1</v>
      </c>
      <c r="M118" s="117">
        <v>1601.1470708182474</v>
      </c>
    </row>
    <row r="119" spans="11:13" x14ac:dyDescent="0.4">
      <c r="K119" s="74">
        <v>117</v>
      </c>
      <c r="L119" s="119">
        <v>0</v>
      </c>
      <c r="M119" s="117">
        <v>1607.974188393338</v>
      </c>
    </row>
    <row r="120" spans="11:13" x14ac:dyDescent="0.4">
      <c r="K120" s="74">
        <v>118</v>
      </c>
      <c r="L120" s="119">
        <v>34</v>
      </c>
      <c r="M120" s="117">
        <v>1614.3823432629779</v>
      </c>
    </row>
    <row r="121" spans="11:13" x14ac:dyDescent="0.4">
      <c r="K121" s="74">
        <v>119</v>
      </c>
      <c r="L121" s="119">
        <v>0.89999999999999858</v>
      </c>
      <c r="M121" s="117">
        <v>1608.6740492034</v>
      </c>
    </row>
    <row r="122" spans="11:13" x14ac:dyDescent="0.4">
      <c r="K122" s="74">
        <v>120</v>
      </c>
      <c r="L122" s="119">
        <v>-1.4432899320127035E-15</v>
      </c>
      <c r="M122" s="117">
        <v>1608.7960049081796</v>
      </c>
    </row>
    <row r="123" spans="11:13" x14ac:dyDescent="0.4">
      <c r="K123" s="74">
        <v>121</v>
      </c>
      <c r="L123" s="119">
        <v>-32</v>
      </c>
      <c r="M123" s="117">
        <v>1603.3192288787304</v>
      </c>
    </row>
    <row r="124" spans="11:13" x14ac:dyDescent="0.4">
      <c r="K124" s="74">
        <v>122</v>
      </c>
      <c r="L124" s="119">
        <v>-29.2</v>
      </c>
      <c r="M124" s="117">
        <v>1604.1393135054579</v>
      </c>
    </row>
    <row r="125" spans="11:13" x14ac:dyDescent="0.4">
      <c r="K125" s="74">
        <v>123</v>
      </c>
      <c r="L125" s="119">
        <v>0</v>
      </c>
      <c r="M125" s="117">
        <v>1609.7064776244251</v>
      </c>
    </row>
    <row r="126" spans="11:13" x14ac:dyDescent="0.4">
      <c r="K126" s="74">
        <v>124</v>
      </c>
      <c r="L126" s="119">
        <v>7.2</v>
      </c>
      <c r="M126" s="117">
        <v>1611.2802387586785</v>
      </c>
    </row>
    <row r="127" spans="11:13" x14ac:dyDescent="0.4">
      <c r="K127" s="74">
        <v>125</v>
      </c>
      <c r="L127" s="119">
        <v>-49.599999999999994</v>
      </c>
      <c r="M127" s="117">
        <v>1601.3245573261265</v>
      </c>
    </row>
    <row r="128" spans="11:13" x14ac:dyDescent="0.4">
      <c r="K128" s="74">
        <v>126</v>
      </c>
      <c r="L128" s="119">
        <v>7.1054273576010019E-15</v>
      </c>
      <c r="M128" s="117">
        <v>1610.5806099821698</v>
      </c>
    </row>
    <row r="129" spans="11:13" x14ac:dyDescent="0.4">
      <c r="K129" s="74">
        <v>127</v>
      </c>
      <c r="L129" s="119">
        <v>16.300000000000008</v>
      </c>
      <c r="M129" s="117">
        <v>1613.7871263222767</v>
      </c>
    </row>
    <row r="130" spans="11:13" x14ac:dyDescent="0.4">
      <c r="K130" s="74">
        <v>128</v>
      </c>
      <c r="L130" s="119">
        <v>59.900000000000006</v>
      </c>
      <c r="M130" s="117">
        <v>1621.888403564343</v>
      </c>
    </row>
    <row r="131" spans="11:13" x14ac:dyDescent="0.4">
      <c r="K131" s="74">
        <v>129</v>
      </c>
      <c r="L131" s="119">
        <v>7.1054273576010019E-15</v>
      </c>
      <c r="M131" s="117">
        <v>1611.311073142957</v>
      </c>
    </row>
    <row r="132" spans="11:13" x14ac:dyDescent="0.4">
      <c r="K132" s="74">
        <v>130</v>
      </c>
      <c r="L132" s="119">
        <v>-30.799999999999994</v>
      </c>
      <c r="M132" s="117">
        <v>1606.0352067040992</v>
      </c>
    </row>
    <row r="133" spans="11:13" x14ac:dyDescent="0.4">
      <c r="K133" s="74">
        <v>131</v>
      </c>
      <c r="L133" s="119">
        <v>-38.399999999999991</v>
      </c>
      <c r="M133" s="117">
        <v>1604.9669954638746</v>
      </c>
    </row>
    <row r="134" spans="11:13" x14ac:dyDescent="0.4">
      <c r="K134" s="74">
        <v>132</v>
      </c>
      <c r="L134" s="119">
        <v>7.1054273576010019E-15</v>
      </c>
      <c r="M134" s="117">
        <v>1612.1851934910912</v>
      </c>
    </row>
    <row r="135" spans="11:13" x14ac:dyDescent="0.4">
      <c r="K135" s="74">
        <v>133</v>
      </c>
      <c r="L135" s="119">
        <v>-99.4</v>
      </c>
      <c r="M135" s="117">
        <v>1594.1600823301446</v>
      </c>
    </row>
    <row r="136" spans="11:13" x14ac:dyDescent="0.4">
      <c r="K136" s="74">
        <v>134</v>
      </c>
      <c r="L136" s="119">
        <v>-129.30000000000001</v>
      </c>
      <c r="M136" s="117">
        <v>1588.7531218361637</v>
      </c>
    </row>
    <row r="137" spans="11:13" x14ac:dyDescent="0.4">
      <c r="K137" s="74">
        <v>135</v>
      </c>
      <c r="L137" s="119">
        <v>0</v>
      </c>
      <c r="M137" s="117">
        <v>1612.0346031051467</v>
      </c>
    </row>
    <row r="138" spans="11:13" x14ac:dyDescent="0.4">
      <c r="K138" s="74">
        <v>136</v>
      </c>
      <c r="L138" s="119">
        <v>-58.1</v>
      </c>
      <c r="M138" s="117">
        <v>1601.4443954865158</v>
      </c>
    </row>
    <row r="139" spans="11:13" x14ac:dyDescent="0.4">
      <c r="K139" s="74">
        <v>137</v>
      </c>
      <c r="L139" s="119">
        <v>7.6000000000000014</v>
      </c>
      <c r="M139" s="117">
        <v>1613.2017291135967</v>
      </c>
    </row>
    <row r="140" spans="11:13" x14ac:dyDescent="0.4">
      <c r="K140" s="74">
        <v>138</v>
      </c>
      <c r="L140" s="119">
        <v>1.7763568394002505E-15</v>
      </c>
      <c r="M140" s="117">
        <v>1611.6945187389151</v>
      </c>
    </row>
    <row r="141" spans="11:13" x14ac:dyDescent="0.4">
      <c r="K141" s="74">
        <v>139</v>
      </c>
      <c r="L141" s="119">
        <v>1.0000000000000018</v>
      </c>
      <c r="M141" s="117">
        <v>1611.7443516264816</v>
      </c>
    </row>
    <row r="142" spans="11:13" x14ac:dyDescent="0.4">
      <c r="K142" s="74">
        <v>140</v>
      </c>
      <c r="L142" s="119">
        <v>35.299999999999997</v>
      </c>
      <c r="M142" s="117">
        <v>1617.7878855167228</v>
      </c>
    </row>
    <row r="143" spans="11:13" x14ac:dyDescent="0.4">
      <c r="K143" s="74">
        <v>141</v>
      </c>
      <c r="L143" s="119">
        <v>0</v>
      </c>
      <c r="M143" s="117">
        <v>1611.2671582036226</v>
      </c>
    </row>
    <row r="144" spans="11:13" x14ac:dyDescent="0.4">
      <c r="K144" s="74">
        <v>142</v>
      </c>
      <c r="L144" s="119">
        <v>-48</v>
      </c>
      <c r="M144" s="117">
        <v>1602.4995552544008</v>
      </c>
    </row>
    <row r="145" spans="11:13" x14ac:dyDescent="0.4">
      <c r="K145" s="74">
        <v>143</v>
      </c>
      <c r="L145" s="119">
        <v>-1.2000000000000028</v>
      </c>
      <c r="M145" s="117">
        <v>1610.8485579228743</v>
      </c>
    </row>
    <row r="146" spans="11:13" x14ac:dyDescent="0.4">
      <c r="K146" s="74">
        <v>144</v>
      </c>
      <c r="L146" s="119">
        <v>-2.886579864025407E-15</v>
      </c>
      <c r="M146" s="117">
        <v>1610.9394665753371</v>
      </c>
    </row>
    <row r="147" spans="11:13" x14ac:dyDescent="0.4">
      <c r="K147" s="74">
        <v>145</v>
      </c>
      <c r="L147" s="119">
        <v>-0.40000000000000291</v>
      </c>
      <c r="M147" s="117">
        <v>1610.741829775885</v>
      </c>
    </row>
    <row r="148" spans="11:13" x14ac:dyDescent="0.4">
      <c r="K148" s="74">
        <v>146</v>
      </c>
      <c r="L148" s="119">
        <v>37.799999999999997</v>
      </c>
      <c r="M148" s="117">
        <v>1617.4933787972298</v>
      </c>
    </row>
    <row r="149" spans="11:13" x14ac:dyDescent="0.4">
      <c r="K149" s="74">
        <v>147</v>
      </c>
      <c r="L149" s="119">
        <v>0</v>
      </c>
      <c r="M149" s="117">
        <v>1610.5244185244464</v>
      </c>
    </row>
    <row r="150" spans="11:13" x14ac:dyDescent="0.4">
      <c r="K150" s="74">
        <v>148</v>
      </c>
      <c r="L150" s="119">
        <v>-5.8</v>
      </c>
      <c r="M150" s="117">
        <v>1609.3512720132999</v>
      </c>
    </row>
    <row r="151" spans="11:13" x14ac:dyDescent="0.4">
      <c r="K151" s="74">
        <v>149</v>
      </c>
      <c r="L151" s="119">
        <v>52.7</v>
      </c>
      <c r="M151" s="117">
        <v>1619.75916438122</v>
      </c>
    </row>
    <row r="152" spans="11:13" x14ac:dyDescent="0.4">
      <c r="K152" s="74">
        <v>150</v>
      </c>
      <c r="L152" s="119">
        <v>0</v>
      </c>
      <c r="M152" s="117">
        <v>1610.0886093949327</v>
      </c>
    </row>
    <row r="153" spans="11:13" x14ac:dyDescent="0.4">
      <c r="K153" s="74">
        <v>151</v>
      </c>
      <c r="L153" s="119">
        <v>-2.5</v>
      </c>
      <c r="M153" s="117">
        <v>1609.5180777385631</v>
      </c>
    </row>
    <row r="154" spans="11:13" x14ac:dyDescent="0.4">
      <c r="K154" s="74">
        <v>152</v>
      </c>
      <c r="L154" s="119">
        <v>-26.4</v>
      </c>
      <c r="M154" s="117">
        <v>1605.0989692721316</v>
      </c>
    </row>
    <row r="155" spans="11:13" x14ac:dyDescent="0.4">
      <c r="K155" s="74">
        <v>153</v>
      </c>
      <c r="L155" s="119">
        <v>0</v>
      </c>
      <c r="M155" s="117">
        <v>1609.7603754564989</v>
      </c>
    </row>
    <row r="156" spans="11:13" x14ac:dyDescent="0.4">
      <c r="K156" s="74">
        <v>154</v>
      </c>
      <c r="L156" s="119">
        <v>61.8</v>
      </c>
      <c r="M156" s="117">
        <v>1620.62181320376</v>
      </c>
    </row>
    <row r="157" spans="11:13" x14ac:dyDescent="0.4">
      <c r="K157" s="74">
        <v>155</v>
      </c>
      <c r="L157" s="119">
        <v>-12</v>
      </c>
      <c r="M157" s="117">
        <v>1607.0100823245375</v>
      </c>
    </row>
    <row r="158" spans="11:13" x14ac:dyDescent="0.4">
      <c r="K158" s="74">
        <v>156</v>
      </c>
      <c r="L158" s="119">
        <v>0</v>
      </c>
      <c r="M158" s="117">
        <v>1608.9240218305904</v>
      </c>
    </row>
    <row r="159" spans="11:13" x14ac:dyDescent="0.4">
      <c r="K159" s="74">
        <v>157</v>
      </c>
      <c r="L159" s="119">
        <v>-27.1</v>
      </c>
      <c r="M159" s="117">
        <v>1603.8904776996069</v>
      </c>
    </row>
    <row r="160" spans="11:13" x14ac:dyDescent="0.4">
      <c r="K160" s="74">
        <v>158</v>
      </c>
      <c r="L160" s="119">
        <v>-29.700000000000003</v>
      </c>
      <c r="M160" s="117">
        <v>1603.2971348334092</v>
      </c>
    </row>
    <row r="161" spans="11:13" x14ac:dyDescent="0.4">
      <c r="K161" s="74">
        <v>159</v>
      </c>
      <c r="L161" s="119">
        <v>-3.5527136788005009E-15</v>
      </c>
      <c r="M161" s="117">
        <v>1608.5213520244088</v>
      </c>
    </row>
    <row r="162" spans="11:13" x14ac:dyDescent="0.4">
      <c r="K162" s="74">
        <v>160</v>
      </c>
      <c r="L162" s="119">
        <v>-27.500000000000004</v>
      </c>
      <c r="M162" s="117">
        <v>1603.4182239122624</v>
      </c>
    </row>
    <row r="163" spans="11:13" x14ac:dyDescent="0.4">
      <c r="K163" s="74">
        <v>161</v>
      </c>
      <c r="L163" s="119">
        <v>-27.600000000000005</v>
      </c>
      <c r="M163" s="117">
        <v>1603.277714568789</v>
      </c>
    </row>
    <row r="164" spans="11:13" x14ac:dyDescent="0.4">
      <c r="K164" s="74">
        <v>162</v>
      </c>
      <c r="L164" s="119">
        <v>-3.5527136788005009E-15</v>
      </c>
      <c r="M164" s="117">
        <v>1608.1240482813762</v>
      </c>
    </row>
    <row r="165" spans="11:13" x14ac:dyDescent="0.4">
      <c r="K165" s="74">
        <v>163</v>
      </c>
      <c r="L165" s="119">
        <v>45.7</v>
      </c>
      <c r="M165" s="117">
        <v>1616.1993039916879</v>
      </c>
    </row>
    <row r="166" spans="11:13" x14ac:dyDescent="0.4">
      <c r="K166" s="74">
        <v>164</v>
      </c>
      <c r="L166" s="119">
        <v>-17.699999999999996</v>
      </c>
      <c r="M166" s="117">
        <v>1604.5881081677378</v>
      </c>
    </row>
    <row r="167" spans="11:13" x14ac:dyDescent="0.4">
      <c r="K167" s="74">
        <v>165</v>
      </c>
      <c r="L167" s="119">
        <v>3.5527136788005009E-15</v>
      </c>
      <c r="M167" s="117">
        <v>1607.6445795187315</v>
      </c>
    </row>
    <row r="168" spans="11:13" x14ac:dyDescent="0.4">
      <c r="K168" s="74">
        <v>166</v>
      </c>
      <c r="L168" s="119">
        <v>-40.799999999999997</v>
      </c>
      <c r="M168" s="117">
        <v>1600.152712041619</v>
      </c>
    </row>
    <row r="169" spans="11:13" x14ac:dyDescent="0.4">
      <c r="K169" s="74">
        <v>167</v>
      </c>
      <c r="L169" s="119">
        <v>-47.5</v>
      </c>
      <c r="M169" s="117">
        <v>1598.8437957693693</v>
      </c>
    </row>
    <row r="170" spans="11:13" x14ac:dyDescent="0.4">
      <c r="K170" s="74">
        <v>168</v>
      </c>
      <c r="L170" s="119">
        <v>0</v>
      </c>
      <c r="M170" s="117">
        <v>1607.298732994753</v>
      </c>
    </row>
    <row r="171" spans="11:13" x14ac:dyDescent="0.4">
      <c r="K171" s="74">
        <v>169</v>
      </c>
      <c r="L171" s="119">
        <v>-2.2999999999999998</v>
      </c>
      <c r="M171" s="117">
        <v>1606.7389405967845</v>
      </c>
    </row>
    <row r="172" spans="11:13" x14ac:dyDescent="0.4">
      <c r="K172" s="74">
        <v>170</v>
      </c>
      <c r="L172" s="119">
        <v>-59</v>
      </c>
      <c r="M172" s="117">
        <v>1596.3905069532038</v>
      </c>
    </row>
    <row r="173" spans="11:13" x14ac:dyDescent="0.4">
      <c r="K173" s="74">
        <v>171</v>
      </c>
      <c r="L173" s="119">
        <v>0</v>
      </c>
      <c r="M173" s="117">
        <v>1606.9301639114847</v>
      </c>
    </row>
    <row r="174" spans="11:13" x14ac:dyDescent="0.4">
      <c r="K174" s="74">
        <v>172</v>
      </c>
      <c r="L174" s="119">
        <v>-10.9</v>
      </c>
      <c r="M174" s="117">
        <v>1604.8245829280158</v>
      </c>
    </row>
    <row r="175" spans="11:13" x14ac:dyDescent="0.4">
      <c r="K175" s="74">
        <v>173</v>
      </c>
      <c r="L175" s="119">
        <v>-58.9</v>
      </c>
      <c r="M175" s="117">
        <v>1596.0536354304477</v>
      </c>
    </row>
    <row r="176" spans="11:13" x14ac:dyDescent="0.4">
      <c r="K176" s="74">
        <v>174</v>
      </c>
      <c r="L176" s="119">
        <v>0</v>
      </c>
      <c r="M176" s="117">
        <v>1606.577313617865</v>
      </c>
    </row>
    <row r="177" spans="11:13" x14ac:dyDescent="0.4">
      <c r="K177" s="74">
        <v>175</v>
      </c>
      <c r="L177" s="119">
        <v>68.7</v>
      </c>
      <c r="M177" s="117">
        <v>1618.8018497361579</v>
      </c>
    </row>
    <row r="178" spans="11:13" x14ac:dyDescent="0.4">
      <c r="K178" s="74">
        <v>176</v>
      </c>
      <c r="L178" s="119">
        <v>68.2</v>
      </c>
      <c r="M178" s="117">
        <v>1618.4970386377411</v>
      </c>
    </row>
    <row r="179" spans="11:13" x14ac:dyDescent="0.4">
      <c r="K179" s="74">
        <v>177</v>
      </c>
      <c r="L179" s="119">
        <v>0</v>
      </c>
      <c r="M179" s="117">
        <v>1606.0080564059147</v>
      </c>
    </row>
    <row r="180" spans="11:13" x14ac:dyDescent="0.4">
      <c r="K180" s="74">
        <v>178</v>
      </c>
      <c r="L180" s="119">
        <v>26.5</v>
      </c>
      <c r="M180" s="117">
        <v>1610.6400080674791</v>
      </c>
    </row>
    <row r="181" spans="11:13" x14ac:dyDescent="0.4">
      <c r="K181" s="74">
        <v>179</v>
      </c>
      <c r="L181" s="119">
        <v>26</v>
      </c>
      <c r="M181" s="117">
        <v>1610.3841680190742</v>
      </c>
    </row>
    <row r="182" spans="11:13" x14ac:dyDescent="0.4">
      <c r="K182" s="74">
        <v>180</v>
      </c>
      <c r="L182" s="119">
        <v>0</v>
      </c>
      <c r="M182" s="117">
        <v>1605.5398630109598</v>
      </c>
    </row>
    <row r="183" spans="11:13" x14ac:dyDescent="0.4">
      <c r="K183" s="74">
        <v>181</v>
      </c>
      <c r="L183" s="119">
        <v>-21.6</v>
      </c>
      <c r="M183" s="117">
        <v>1601.5166238328941</v>
      </c>
    </row>
    <row r="184" spans="11:13" x14ac:dyDescent="0.4">
      <c r="K184" s="74">
        <v>182</v>
      </c>
      <c r="L184" s="119">
        <v>-87.199999999999989</v>
      </c>
      <c r="M184" s="117">
        <v>1589.5975240898968</v>
      </c>
    </row>
    <row r="185" spans="11:13" x14ac:dyDescent="0.4">
      <c r="K185" s="74">
        <v>183</v>
      </c>
      <c r="L185" s="119">
        <v>1.4210854715202004E-14</v>
      </c>
      <c r="M185" s="117">
        <v>1605.2539389453573</v>
      </c>
    </row>
    <row r="186" spans="11:13" x14ac:dyDescent="0.4">
      <c r="K186" s="74">
        <v>184</v>
      </c>
      <c r="L186" s="119">
        <v>-24.799999999999986</v>
      </c>
      <c r="M186" s="117">
        <v>1600.6564153116851</v>
      </c>
    </row>
    <row r="187" spans="11:13" x14ac:dyDescent="0.4">
      <c r="K187" s="74">
        <v>185</v>
      </c>
      <c r="L187" s="119">
        <v>3.6000000000000121</v>
      </c>
      <c r="M187" s="117">
        <v>1605.6624768198151</v>
      </c>
    </row>
    <row r="188" spans="11:13" x14ac:dyDescent="0.4">
      <c r="K188" s="74">
        <v>186</v>
      </c>
      <c r="L188" s="119">
        <v>1.1990408665951691E-14</v>
      </c>
      <c r="M188" s="117">
        <v>1604.8785019588961</v>
      </c>
    </row>
    <row r="189" spans="11:13" x14ac:dyDescent="0.4">
      <c r="K189" s="74">
        <v>187</v>
      </c>
      <c r="L189" s="119">
        <v>-61.099999999999987</v>
      </c>
      <c r="M189" s="117">
        <v>1593.7492309471427</v>
      </c>
    </row>
    <row r="190" spans="11:13" x14ac:dyDescent="0.4">
      <c r="K190" s="74">
        <v>188</v>
      </c>
      <c r="L190" s="119">
        <v>25.20000000000001</v>
      </c>
      <c r="M190" s="117">
        <v>1609.2187355614599</v>
      </c>
    </row>
    <row r="191" spans="11:13" x14ac:dyDescent="0.4">
      <c r="K191" s="74">
        <v>189</v>
      </c>
      <c r="L191" s="119">
        <v>1.0658141036401503E-14</v>
      </c>
      <c r="M191" s="117">
        <v>1604.525423148091</v>
      </c>
    </row>
    <row r="192" spans="11:13" x14ac:dyDescent="0.4">
      <c r="K192" s="74">
        <v>190</v>
      </c>
      <c r="L192" s="119">
        <v>44.200000000000017</v>
      </c>
      <c r="M192" s="117">
        <v>1612.4302706092026</v>
      </c>
    </row>
    <row r="193" spans="11:13" x14ac:dyDescent="0.4">
      <c r="K193" s="74">
        <v>191</v>
      </c>
      <c r="L193" s="119">
        <v>-19.499999999999986</v>
      </c>
      <c r="M193" s="117">
        <v>1600.8656889855474</v>
      </c>
    </row>
    <row r="194" spans="11:13" x14ac:dyDescent="0.4">
      <c r="K194" s="74">
        <v>192</v>
      </c>
      <c r="L194" s="119">
        <v>1.4210854715202004E-14</v>
      </c>
      <c r="M194" s="117">
        <v>1604.3464948516341</v>
      </c>
    </row>
    <row r="195" spans="11:13" x14ac:dyDescent="0.4">
      <c r="K195" s="74">
        <v>193</v>
      </c>
      <c r="L195" s="119">
        <v>-30.599999999999987</v>
      </c>
      <c r="M195" s="117">
        <v>1598.7884158825243</v>
      </c>
    </row>
    <row r="196" spans="11:13" x14ac:dyDescent="0.4">
      <c r="K196" s="74">
        <v>194</v>
      </c>
      <c r="L196" s="119">
        <v>-35.599999999999987</v>
      </c>
      <c r="M196" s="117">
        <v>1597.8716853872293</v>
      </c>
    </row>
    <row r="197" spans="11:13" x14ac:dyDescent="0.4">
      <c r="K197" s="74">
        <v>195</v>
      </c>
      <c r="L197" s="119">
        <v>1.4210854715202004E-14</v>
      </c>
      <c r="M197" s="117">
        <v>1604.2684552749058</v>
      </c>
    </row>
    <row r="198" spans="11:13" x14ac:dyDescent="0.4">
      <c r="K198" s="74">
        <v>196</v>
      </c>
      <c r="L198" s="119">
        <v>37.700000000000017</v>
      </c>
      <c r="M198" s="117">
        <v>1611.0048445432565</v>
      </c>
    </row>
    <row r="199" spans="11:13" x14ac:dyDescent="0.4">
      <c r="K199" s="74">
        <v>197</v>
      </c>
      <c r="L199" s="119">
        <v>4.5000000000000142</v>
      </c>
      <c r="M199" s="117">
        <v>1604.938815475997</v>
      </c>
    </row>
    <row r="200" spans="11:13" x14ac:dyDescent="0.4">
      <c r="K200" s="74">
        <v>198</v>
      </c>
      <c r="L200" s="119">
        <v>1.4210854715202004E-14</v>
      </c>
      <c r="M200" s="117">
        <v>1604.075182583141</v>
      </c>
    </row>
    <row r="201" spans="11:13" x14ac:dyDescent="0.4">
      <c r="K201" s="74">
        <v>199</v>
      </c>
      <c r="L201" s="119">
        <v>95.000000000000014</v>
      </c>
      <c r="M201" s="117">
        <v>1621.1267314876422</v>
      </c>
    </row>
    <row r="202" spans="11:13" x14ac:dyDescent="0.4">
      <c r="K202" s="74">
        <v>200</v>
      </c>
      <c r="L202" s="119">
        <v>72.900000000000006</v>
      </c>
      <c r="M202" s="117">
        <v>1616.9979710987163</v>
      </c>
    </row>
    <row r="203" spans="11:13" x14ac:dyDescent="0.4">
      <c r="K203" s="74">
        <v>201</v>
      </c>
      <c r="L203" s="119">
        <v>0</v>
      </c>
      <c r="M203" s="117">
        <v>1603.7499832721239</v>
      </c>
    </row>
    <row r="204" spans="11:13" x14ac:dyDescent="0.4">
      <c r="K204" s="74">
        <v>202</v>
      </c>
      <c r="L204" s="119">
        <v>-44.4</v>
      </c>
      <c r="M204" s="117">
        <v>1595.7114833724911</v>
      </c>
    </row>
    <row r="205" spans="11:13" x14ac:dyDescent="0.4">
      <c r="K205" s="74">
        <v>203</v>
      </c>
      <c r="L205" s="119">
        <v>-61</v>
      </c>
      <c r="M205" s="117">
        <v>1592.7252144722561</v>
      </c>
    </row>
    <row r="206" spans="11:13" x14ac:dyDescent="0.4">
      <c r="K206" s="74">
        <v>204</v>
      </c>
      <c r="L206" s="119">
        <v>0</v>
      </c>
      <c r="M206" s="117">
        <v>1603.7248631854225</v>
      </c>
    </row>
    <row r="207" spans="11:13" x14ac:dyDescent="0.4">
      <c r="K207" s="74">
        <v>205</v>
      </c>
      <c r="L207" s="119">
        <v>4.3</v>
      </c>
      <c r="M207" s="117">
        <v>1604.45851400631</v>
      </c>
    </row>
    <row r="208" spans="11:13" x14ac:dyDescent="0.4">
      <c r="K208" s="74">
        <v>206</v>
      </c>
      <c r="L208" s="119">
        <v>30.1</v>
      </c>
      <c r="M208" s="117">
        <v>1609.0577629222721</v>
      </c>
    </row>
    <row r="209" spans="11:13" x14ac:dyDescent="0.4">
      <c r="K209" s="74">
        <v>207</v>
      </c>
      <c r="L209" s="119">
        <v>0</v>
      </c>
      <c r="M209" s="117">
        <v>1603.5674163447384</v>
      </c>
    </row>
    <row r="210" spans="11:13" x14ac:dyDescent="0.4">
      <c r="K210" s="74">
        <v>208</v>
      </c>
      <c r="L210" s="119">
        <v>-12.6</v>
      </c>
      <c r="M210" s="117">
        <v>1601.25401184667</v>
      </c>
    </row>
    <row r="211" spans="11:13" x14ac:dyDescent="0.4">
      <c r="K211" s="74">
        <v>209</v>
      </c>
      <c r="L211" s="119">
        <v>-47.5</v>
      </c>
      <c r="M211" s="117">
        <v>1594.9404877755899</v>
      </c>
    </row>
    <row r="212" spans="11:13" x14ac:dyDescent="0.4">
      <c r="K212" s="74">
        <v>210</v>
      </c>
      <c r="L212" s="119">
        <v>0</v>
      </c>
      <c r="M212" s="117">
        <v>1603.4968448489362</v>
      </c>
    </row>
    <row r="213" spans="11:13" x14ac:dyDescent="0.4">
      <c r="K213" s="74">
        <v>211</v>
      </c>
      <c r="L213" s="119">
        <v>39.200000000000003</v>
      </c>
      <c r="M213" s="117">
        <v>1610.5078637798426</v>
      </c>
    </row>
    <row r="214" spans="11:13" x14ac:dyDescent="0.4">
      <c r="K214" s="74">
        <v>212</v>
      </c>
      <c r="L214" s="119">
        <v>4</v>
      </c>
      <c r="M214" s="117">
        <v>1604.0848165971636</v>
      </c>
    </row>
    <row r="215" spans="11:13" x14ac:dyDescent="0.4">
      <c r="K215" s="74">
        <v>213</v>
      </c>
      <c r="L215" s="119">
        <v>0</v>
      </c>
      <c r="M215" s="117">
        <v>1603.3163076975807</v>
      </c>
    </row>
    <row r="216" spans="11:13" x14ac:dyDescent="0.4">
      <c r="K216" s="74">
        <v>214</v>
      </c>
      <c r="L216" s="119">
        <v>91</v>
      </c>
      <c r="M216" s="117">
        <v>1619.6524098513951</v>
      </c>
    </row>
    <row r="217" spans="11:13" x14ac:dyDescent="0.4">
      <c r="K217" s="74">
        <v>215</v>
      </c>
      <c r="L217" s="119">
        <v>26.900000000000006</v>
      </c>
      <c r="M217" s="117">
        <v>1607.9724953922866</v>
      </c>
    </row>
    <row r="218" spans="11:13" x14ac:dyDescent="0.4">
      <c r="K218" s="74">
        <v>216</v>
      </c>
      <c r="L218" s="119">
        <v>7.1054273576010019E-15</v>
      </c>
      <c r="M218" s="117">
        <v>1603.0586604199329</v>
      </c>
    </row>
    <row r="219" spans="11:13" x14ac:dyDescent="0.4">
      <c r="K219" s="74">
        <v>217</v>
      </c>
      <c r="L219" s="119">
        <v>-10.999999999999993</v>
      </c>
      <c r="M219" s="117">
        <v>1601.0363084574133</v>
      </c>
    </row>
    <row r="220" spans="11:13" x14ac:dyDescent="0.4">
      <c r="K220" s="74">
        <v>218</v>
      </c>
      <c r="L220" s="119">
        <v>59.000000000000007</v>
      </c>
      <c r="M220" s="117">
        <v>1613.6060906066689</v>
      </c>
    </row>
    <row r="221" spans="11:13" x14ac:dyDescent="0.4">
      <c r="K221" s="74">
        <v>219</v>
      </c>
      <c r="L221" s="119">
        <v>7.1054273576010019E-15</v>
      </c>
      <c r="M221" s="117">
        <v>1602.8804540630288</v>
      </c>
    </row>
    <row r="222" spans="11:13" x14ac:dyDescent="0.4">
      <c r="K222" s="74">
        <v>220</v>
      </c>
      <c r="L222" s="119">
        <v>28.800000000000008</v>
      </c>
      <c r="M222" s="117">
        <v>1608.0231713386506</v>
      </c>
    </row>
    <row r="223" spans="11:13" x14ac:dyDescent="0.4">
      <c r="K223" s="74">
        <v>221</v>
      </c>
      <c r="L223" s="119">
        <v>2.9000000000000092</v>
      </c>
      <c r="M223" s="117">
        <v>1603.2890323106187</v>
      </c>
    </row>
    <row r="224" spans="11:13" x14ac:dyDescent="0.4">
      <c r="K224" s="74">
        <v>222</v>
      </c>
      <c r="L224" s="119">
        <v>9.3258734068513149E-15</v>
      </c>
      <c r="M224" s="117">
        <v>1602.7232981167549</v>
      </c>
    </row>
    <row r="225" spans="11:13" x14ac:dyDescent="0.4">
      <c r="K225" s="74">
        <v>223</v>
      </c>
      <c r="L225" s="119">
        <v>-58.199999999999996</v>
      </c>
      <c r="M225" s="117">
        <v>1592.2069583280543</v>
      </c>
    </row>
    <row r="226" spans="11:13" x14ac:dyDescent="0.4">
      <c r="K226" s="74">
        <v>224</v>
      </c>
      <c r="L226" s="119">
        <v>-17.099999999999994</v>
      </c>
      <c r="M226" s="117">
        <v>1599.6277165780859</v>
      </c>
    </row>
    <row r="227" spans="11:13" x14ac:dyDescent="0.4">
      <c r="K227" s="74">
        <v>225</v>
      </c>
      <c r="L227" s="119">
        <v>7.1054273576010019E-15</v>
      </c>
      <c r="M227" s="117">
        <v>1602.6839502786174</v>
      </c>
    </row>
    <row r="228" spans="11:13" x14ac:dyDescent="0.4">
      <c r="K228" s="74">
        <v>226</v>
      </c>
      <c r="L228" s="119">
        <v>47.500000000000007</v>
      </c>
      <c r="M228" s="117">
        <v>1611.4938465769458</v>
      </c>
    </row>
    <row r="229" spans="11:13" x14ac:dyDescent="0.4">
      <c r="K229" s="74">
        <v>227</v>
      </c>
      <c r="L229" s="119">
        <v>-16.199999999999996</v>
      </c>
      <c r="M229" s="117">
        <v>1600.2348834974841</v>
      </c>
    </row>
    <row r="230" spans="11:13" x14ac:dyDescent="0.4">
      <c r="K230" s="74">
        <v>228</v>
      </c>
      <c r="L230" s="119">
        <v>3.5527136788005009E-15</v>
      </c>
      <c r="M230" s="117">
        <v>1603.4254741964992</v>
      </c>
    </row>
    <row r="231" spans="11:13" x14ac:dyDescent="0.4">
      <c r="K231" s="74">
        <v>229</v>
      </c>
      <c r="L231" s="119">
        <v>5.3000000000000034</v>
      </c>
      <c r="M231" s="117">
        <v>1604.4069213513201</v>
      </c>
    </row>
    <row r="232" spans="11:13" x14ac:dyDescent="0.4">
      <c r="K232" s="74">
        <v>230</v>
      </c>
      <c r="L232" s="119">
        <v>63.800000000000004</v>
      </c>
      <c r="M232" s="117">
        <v>1614.9584798232122</v>
      </c>
    </row>
    <row r="233" spans="11:13" x14ac:dyDescent="0.4">
      <c r="K233" s="74">
        <v>231</v>
      </c>
      <c r="L233" s="119">
        <v>7.1054273576010019E-15</v>
      </c>
      <c r="M233" s="117">
        <v>1603.4327289442729</v>
      </c>
    </row>
    <row r="234" spans="11:13" x14ac:dyDescent="0.4">
      <c r="K234" s="74">
        <v>232</v>
      </c>
      <c r="L234" s="119">
        <v>33.300000000000004</v>
      </c>
      <c r="M234" s="117">
        <v>1609.4541325706073</v>
      </c>
    </row>
    <row r="235" spans="11:13" x14ac:dyDescent="0.4">
      <c r="K235" s="74">
        <v>233</v>
      </c>
      <c r="L235" s="119">
        <v>33.500000000000007</v>
      </c>
      <c r="M235" s="117">
        <v>1609.4814077751837</v>
      </c>
    </row>
    <row r="236" spans="11:13" x14ac:dyDescent="0.4">
      <c r="K236" s="74">
        <v>234</v>
      </c>
      <c r="L236" s="119">
        <v>7.1054273576010019E-15</v>
      </c>
      <c r="M236" s="117">
        <v>1603.4425193285326</v>
      </c>
    </row>
    <row r="237" spans="11:13" x14ac:dyDescent="0.4">
      <c r="K237" s="74">
        <v>235</v>
      </c>
      <c r="L237" s="119">
        <v>40.70000000000001</v>
      </c>
      <c r="M237" s="117">
        <v>1610.7958642125614</v>
      </c>
    </row>
    <row r="238" spans="11:13" x14ac:dyDescent="0.4">
      <c r="K238" s="74">
        <v>236</v>
      </c>
      <c r="L238" s="119">
        <v>47.800000000000011</v>
      </c>
      <c r="M238" s="117">
        <v>1612.0570890272859</v>
      </c>
    </row>
    <row r="239" spans="11:13" x14ac:dyDescent="0.4">
      <c r="K239" s="74">
        <v>237</v>
      </c>
      <c r="L239" s="119">
        <v>1.4210854715202004E-14</v>
      </c>
      <c r="M239" s="117">
        <v>1603.4287464931222</v>
      </c>
    </row>
    <row r="240" spans="11:13" x14ac:dyDescent="0.4">
      <c r="K240" s="74">
        <v>238</v>
      </c>
      <c r="L240" s="119">
        <v>64.90000000000002</v>
      </c>
      <c r="M240" s="117">
        <v>1615.1381740141635</v>
      </c>
    </row>
    <row r="241" spans="11:13" x14ac:dyDescent="0.4">
      <c r="K241" s="74">
        <v>239</v>
      </c>
      <c r="L241" s="119">
        <v>0.4000000000000199</v>
      </c>
      <c r="M241" s="117">
        <v>1603.4853449700786</v>
      </c>
    </row>
    <row r="242" spans="11:13" x14ac:dyDescent="0.4">
      <c r="K242" s="74">
        <v>240</v>
      </c>
      <c r="L242" s="119">
        <v>1.9872992140790302E-14</v>
      </c>
      <c r="M242" s="117">
        <v>1603.4404329002582</v>
      </c>
    </row>
    <row r="243" spans="11:13" x14ac:dyDescent="0.4">
      <c r="K243" s="74">
        <v>241</v>
      </c>
      <c r="L243" s="119">
        <v>-28.299999999999979</v>
      </c>
      <c r="M243" s="117">
        <v>1598.3737903028566</v>
      </c>
    </row>
    <row r="244" spans="11:13" x14ac:dyDescent="0.4">
      <c r="K244" s="74">
        <v>242</v>
      </c>
      <c r="L244" s="119">
        <v>2.4000000000000199</v>
      </c>
      <c r="M244" s="117">
        <v>1603.9575475610395</v>
      </c>
    </row>
    <row r="245" spans="11:13" x14ac:dyDescent="0.4">
      <c r="K245" s="74">
        <v>243</v>
      </c>
      <c r="L245" s="119">
        <v>1.9984014443252818E-14</v>
      </c>
      <c r="M245" s="117">
        <v>1603.5498022756733</v>
      </c>
    </row>
    <row r="246" spans="11:13" x14ac:dyDescent="0.4">
      <c r="K246" s="74">
        <v>244</v>
      </c>
      <c r="L246" s="119">
        <v>35.300000000000018</v>
      </c>
      <c r="M246" s="117">
        <v>1609.9305034620193</v>
      </c>
    </row>
    <row r="247" spans="11:13" x14ac:dyDescent="0.4">
      <c r="K247" s="74">
        <v>245</v>
      </c>
      <c r="L247" s="119">
        <v>-6.3999999999999844</v>
      </c>
      <c r="M247" s="117">
        <v>1602.4129204412473</v>
      </c>
    </row>
    <row r="248" spans="11:13" x14ac:dyDescent="0.4">
      <c r="K248" s="74">
        <v>246</v>
      </c>
      <c r="L248" s="119">
        <v>1.5987211554602254E-14</v>
      </c>
      <c r="M248" s="117">
        <v>1603.5984429185999</v>
      </c>
    </row>
    <row r="249" spans="11:13" x14ac:dyDescent="0.4">
      <c r="K249" s="74">
        <v>247</v>
      </c>
      <c r="L249" s="119">
        <v>1.5987211554602254E-14</v>
      </c>
      <c r="M249" s="117">
        <v>1603.6248522610883</v>
      </c>
    </row>
    <row r="250" spans="11:13" x14ac:dyDescent="0.4">
      <c r="K250" s="74">
        <v>248</v>
      </c>
      <c r="L250" s="119">
        <v>-67.999999999999986</v>
      </c>
      <c r="M250" s="117">
        <v>1591.4111031475218</v>
      </c>
    </row>
    <row r="251" spans="11:13" x14ac:dyDescent="0.4">
      <c r="K251" s="74">
        <v>249</v>
      </c>
      <c r="L251" s="119">
        <v>1.4210854715202004E-14</v>
      </c>
      <c r="M251" s="117">
        <v>1603.7506365286367</v>
      </c>
    </row>
    <row r="252" spans="11:13" x14ac:dyDescent="0.4">
      <c r="K252" s="74">
        <v>250</v>
      </c>
      <c r="L252" s="119">
        <v>-18.999999999999986</v>
      </c>
      <c r="M252" s="117">
        <v>1600.3561327094649</v>
      </c>
    </row>
    <row r="253" spans="11:13" x14ac:dyDescent="0.4">
      <c r="K253" s="74">
        <v>251</v>
      </c>
      <c r="L253" s="119">
        <v>47.000000000000014</v>
      </c>
      <c r="M253" s="117">
        <v>1612.281995913208</v>
      </c>
    </row>
    <row r="254" spans="11:13" x14ac:dyDescent="0.4">
      <c r="K254" s="74">
        <v>252</v>
      </c>
      <c r="L254" s="119">
        <v>1.4210854715202004E-14</v>
      </c>
      <c r="M254" s="117">
        <v>1603.7963039377287</v>
      </c>
    </row>
    <row r="255" spans="11:13" x14ac:dyDescent="0.4">
      <c r="K255" s="74">
        <v>253</v>
      </c>
      <c r="L255" s="119">
        <v>51.400000000000013</v>
      </c>
      <c r="M255" s="117">
        <v>1613.0735261141024</v>
      </c>
    </row>
    <row r="256" spans="11:13" x14ac:dyDescent="0.4">
      <c r="K256" s="74">
        <v>254</v>
      </c>
      <c r="L256" s="119">
        <v>5.4000000000000128</v>
      </c>
      <c r="M256" s="117">
        <v>1604.7630849574177</v>
      </c>
    </row>
    <row r="257" spans="11:13" x14ac:dyDescent="0.4">
      <c r="K257" s="74">
        <v>255</v>
      </c>
      <c r="L257" s="119">
        <v>1.2434497875801753E-14</v>
      </c>
      <c r="M257" s="117">
        <v>1603.8105064476733</v>
      </c>
    </row>
    <row r="258" spans="11:13" x14ac:dyDescent="0.4">
      <c r="K258" s="74">
        <v>256</v>
      </c>
      <c r="L258" s="119">
        <v>48.700000000000017</v>
      </c>
      <c r="M258" s="117">
        <v>1612.6016434089872</v>
      </c>
    </row>
    <row r="259" spans="11:13" x14ac:dyDescent="0.4">
      <c r="K259" s="74">
        <v>257</v>
      </c>
      <c r="L259" s="119">
        <v>56.000000000000014</v>
      </c>
      <c r="M259" s="117">
        <v>1613.8880335485333</v>
      </c>
    </row>
    <row r="260" spans="11:13" x14ac:dyDescent="0.4">
      <c r="K260" s="74">
        <v>258</v>
      </c>
      <c r="L260" s="119">
        <v>1.4210854715202004E-14</v>
      </c>
      <c r="M260" s="117">
        <v>1603.772705347242</v>
      </c>
    </row>
    <row r="261" spans="11:13" x14ac:dyDescent="0.4">
      <c r="K261" s="74">
        <v>259</v>
      </c>
      <c r="L261" s="119">
        <v>-42.999999999999986</v>
      </c>
      <c r="M261" s="117">
        <v>1596.0580691151586</v>
      </c>
    </row>
    <row r="262" spans="11:13" x14ac:dyDescent="0.4">
      <c r="K262" s="74">
        <v>260</v>
      </c>
      <c r="L262" s="119">
        <v>14.800000000000011</v>
      </c>
      <c r="M262" s="117">
        <v>1606.5337207004677</v>
      </c>
    </row>
    <row r="263" spans="11:13" x14ac:dyDescent="0.4">
      <c r="K263" s="74">
        <v>261</v>
      </c>
      <c r="L263" s="119">
        <v>1.0658141036401503E-14</v>
      </c>
      <c r="M263" s="117">
        <v>1603.878518376265</v>
      </c>
    </row>
    <row r="264" spans="11:13" x14ac:dyDescent="0.4">
      <c r="K264" s="74">
        <v>262</v>
      </c>
      <c r="L264" s="119">
        <v>-8.9999999999999893</v>
      </c>
      <c r="M264" s="117">
        <v>1602.2832472660075</v>
      </c>
    </row>
    <row r="265" spans="11:13" x14ac:dyDescent="0.4">
      <c r="K265" s="74">
        <v>263</v>
      </c>
      <c r="L265" s="119">
        <v>-64.599999999999994</v>
      </c>
      <c r="M265" s="117">
        <v>1592.3095477824115</v>
      </c>
    </row>
    <row r="266" spans="11:13" x14ac:dyDescent="0.4">
      <c r="K266" s="74">
        <v>264</v>
      </c>
      <c r="L266" s="119">
        <v>0</v>
      </c>
      <c r="M266" s="117">
        <v>1604.0316904957172</v>
      </c>
    </row>
    <row r="267" spans="11:13" x14ac:dyDescent="0.4">
      <c r="K267" s="74">
        <v>265</v>
      </c>
      <c r="L267" s="119">
        <v>-29.1</v>
      </c>
      <c r="M267" s="117">
        <v>1598.8175003527429</v>
      </c>
    </row>
    <row r="268" spans="11:13" x14ac:dyDescent="0.4">
      <c r="K268" s="74">
        <v>266</v>
      </c>
      <c r="L268" s="119">
        <v>-37.799999999999997</v>
      </c>
      <c r="M268" s="117">
        <v>1597.3065953506264</v>
      </c>
    </row>
    <row r="269" spans="11:13" x14ac:dyDescent="0.4">
      <c r="K269" s="74">
        <v>267</v>
      </c>
      <c r="L269" s="119">
        <v>0</v>
      </c>
      <c r="M269" s="117">
        <v>1604.1747557785227</v>
      </c>
    </row>
    <row r="270" spans="11:13" x14ac:dyDescent="0.4">
      <c r="K270" s="74">
        <v>268</v>
      </c>
      <c r="L270" s="119">
        <v>37</v>
      </c>
      <c r="M270" s="117">
        <v>1610.8577072438516</v>
      </c>
    </row>
    <row r="271" spans="11:13" x14ac:dyDescent="0.4">
      <c r="K271" s="74">
        <v>269</v>
      </c>
      <c r="L271" s="119">
        <v>44.9</v>
      </c>
      <c r="M271" s="117">
        <v>1612.2625610003884</v>
      </c>
    </row>
    <row r="272" spans="11:13" x14ac:dyDescent="0.4">
      <c r="K272" s="74">
        <v>270</v>
      </c>
      <c r="L272" s="119">
        <v>0</v>
      </c>
      <c r="M272" s="117">
        <v>1604.1549856343861</v>
      </c>
    </row>
    <row r="273" spans="11:13" x14ac:dyDescent="0.4">
      <c r="K273" s="74">
        <v>271</v>
      </c>
      <c r="L273" s="119">
        <v>-31</v>
      </c>
      <c r="M273" s="117">
        <v>1598.3580557205798</v>
      </c>
    </row>
    <row r="274" spans="11:13" x14ac:dyDescent="0.4">
      <c r="K274" s="74">
        <v>272</v>
      </c>
      <c r="L274" s="119">
        <v>-33.200000000000003</v>
      </c>
      <c r="M274" s="117">
        <v>1597.7799073862564</v>
      </c>
    </row>
    <row r="275" spans="11:13" x14ac:dyDescent="0.4">
      <c r="K275" s="74">
        <v>273</v>
      </c>
      <c r="L275" s="119">
        <v>0</v>
      </c>
      <c r="M275" s="117">
        <v>1603.5772279419389</v>
      </c>
    </row>
    <row r="276" spans="11:13" x14ac:dyDescent="0.4">
      <c r="K276" s="74">
        <v>274</v>
      </c>
      <c r="L276" s="119">
        <v>18.8</v>
      </c>
      <c r="M276" s="117">
        <v>1606.7477645742872</v>
      </c>
    </row>
    <row r="277" spans="11:13" x14ac:dyDescent="0.4">
      <c r="K277" s="74">
        <v>275</v>
      </c>
      <c r="L277" s="119">
        <v>63.5</v>
      </c>
      <c r="M277" s="117">
        <v>1614.5612779868416</v>
      </c>
    </row>
    <row r="278" spans="11:13" x14ac:dyDescent="0.4">
      <c r="K278" s="74">
        <v>276</v>
      </c>
      <c r="L278" s="119">
        <v>0</v>
      </c>
      <c r="M278" s="117">
        <v>1602.8519103189205</v>
      </c>
    </row>
    <row r="279" spans="11:13" x14ac:dyDescent="0.4">
      <c r="K279" s="74">
        <v>277</v>
      </c>
      <c r="L279" s="119">
        <v>-3.3</v>
      </c>
      <c r="M279" s="117">
        <v>1601.910798857007</v>
      </c>
    </row>
    <row r="280" spans="11:13" x14ac:dyDescent="0.4">
      <c r="K280" s="74">
        <v>278</v>
      </c>
      <c r="L280" s="119">
        <v>27.599999999999998</v>
      </c>
      <c r="M280" s="117">
        <v>1607.1313340638649</v>
      </c>
    </row>
    <row r="281" spans="11:13" x14ac:dyDescent="0.4">
      <c r="K281" s="74">
        <v>279</v>
      </c>
      <c r="L281" s="119">
        <v>-3.5527136788005009E-15</v>
      </c>
      <c r="M281" s="117">
        <v>1601.7905460594816</v>
      </c>
    </row>
    <row r="282" spans="11:13" x14ac:dyDescent="0.4">
      <c r="K282" s="74">
        <v>280</v>
      </c>
      <c r="L282" s="119">
        <v>54.599999999999994</v>
      </c>
      <c r="M282" s="117">
        <v>1610.8698027831247</v>
      </c>
    </row>
    <row r="283" spans="11:13" x14ac:dyDescent="0.4">
      <c r="K283" s="74">
        <v>281</v>
      </c>
      <c r="L283" s="119">
        <v>-3.5000000000000071</v>
      </c>
      <c r="M283" s="117">
        <v>1599.6085839664258</v>
      </c>
    </row>
    <row r="284" spans="11:13" x14ac:dyDescent="0.4">
      <c r="K284" s="74">
        <v>282</v>
      </c>
      <c r="L284" s="119">
        <v>-7.1054273576010019E-15</v>
      </c>
      <c r="M284" s="117">
        <v>1599.5029324626273</v>
      </c>
    </row>
    <row r="285" spans="11:13" x14ac:dyDescent="0.4">
      <c r="K285" s="74">
        <v>283</v>
      </c>
      <c r="L285" s="119">
        <v>54.699999999999996</v>
      </c>
      <c r="M285" s="117">
        <v>1609.1419148678515</v>
      </c>
    </row>
    <row r="286" spans="11:13" x14ac:dyDescent="0.4">
      <c r="K286" s="74">
        <v>284</v>
      </c>
      <c r="L286" s="119">
        <v>-0.30000000000000426</v>
      </c>
      <c r="M286" s="117">
        <v>1598.9770633786443</v>
      </c>
    </row>
    <row r="287" spans="11:13" x14ac:dyDescent="0.4">
      <c r="K287" s="74">
        <v>285</v>
      </c>
      <c r="L287" s="119">
        <v>-4.2743586448068527E-15</v>
      </c>
      <c r="M287" s="117">
        <v>1598.8272009983725</v>
      </c>
    </row>
    <row r="288" spans="11:13" x14ac:dyDescent="0.4">
      <c r="K288" s="74">
        <v>286</v>
      </c>
      <c r="L288" s="119">
        <v>1.3999999999999957</v>
      </c>
      <c r="M288" s="117">
        <v>1598.8762377923822</v>
      </c>
    </row>
    <row r="289" spans="11:13" x14ac:dyDescent="0.4">
      <c r="K289" s="74">
        <v>287</v>
      </c>
      <c r="L289" s="119">
        <v>-30.600000000000005</v>
      </c>
      <c r="M289" s="117">
        <v>1592.9129803656278</v>
      </c>
    </row>
    <row r="290" spans="11:13" x14ac:dyDescent="0.4">
      <c r="K290" s="74">
        <v>288</v>
      </c>
      <c r="L290" s="119">
        <v>-3.5527136788005009E-15</v>
      </c>
      <c r="M290" s="117">
        <v>1598.253502483434</v>
      </c>
    </row>
    <row r="291" spans="11:13" x14ac:dyDescent="0.4">
      <c r="K291" s="74">
        <v>289</v>
      </c>
      <c r="L291" s="119">
        <v>-1.7000000000000035</v>
      </c>
      <c r="M291" s="117">
        <v>1597.7479814685335</v>
      </c>
    </row>
    <row r="292" spans="11:13" x14ac:dyDescent="0.4">
      <c r="K292" s="74">
        <v>290</v>
      </c>
      <c r="L292" s="119">
        <v>-33.900000000000006</v>
      </c>
      <c r="M292" s="117">
        <v>1591.7554935797223</v>
      </c>
    </row>
    <row r="293" spans="11:13" x14ac:dyDescent="0.4">
      <c r="K293" s="74">
        <v>291</v>
      </c>
      <c r="L293" s="119">
        <v>-7.1054273576010019E-15</v>
      </c>
      <c r="M293" s="117">
        <v>1597.696960618244</v>
      </c>
    </row>
    <row r="294" spans="11:13" x14ac:dyDescent="0.4">
      <c r="K294" s="74">
        <v>292</v>
      </c>
      <c r="L294" s="119">
        <v>-9.7000000000000064</v>
      </c>
      <c r="M294" s="117">
        <v>1595.7547788545346</v>
      </c>
    </row>
    <row r="295" spans="11:13" x14ac:dyDescent="0.4">
      <c r="K295" s="74">
        <v>293</v>
      </c>
      <c r="L295" s="119">
        <v>45.599999999999994</v>
      </c>
      <c r="M295" s="117">
        <v>1605.5242501814073</v>
      </c>
    </row>
    <row r="296" spans="11:13" x14ac:dyDescent="0.4">
      <c r="K296" s="74">
        <v>294</v>
      </c>
      <c r="L296" s="119">
        <v>-7.1054273576010019E-15</v>
      </c>
      <c r="M296" s="117">
        <v>1597.0731046803189</v>
      </c>
    </row>
    <row r="297" spans="11:13" x14ac:dyDescent="0.4">
      <c r="K297" s="74">
        <v>295</v>
      </c>
      <c r="L297" s="119">
        <v>49.999999999999993</v>
      </c>
      <c r="M297" s="117">
        <v>1605.8806660522371</v>
      </c>
    </row>
    <row r="298" spans="11:13" x14ac:dyDescent="0.4">
      <c r="K298" s="74">
        <v>296</v>
      </c>
      <c r="L298" s="119">
        <v>42.099999999999994</v>
      </c>
      <c r="M298" s="117">
        <v>1604.2133820559236</v>
      </c>
    </row>
    <row r="299" spans="11:13" x14ac:dyDescent="0.4">
      <c r="K299" s="74">
        <v>297</v>
      </c>
      <c r="L299" s="119">
        <v>-7.1054273576010019E-15</v>
      </c>
      <c r="M299" s="117">
        <v>1596.4001017635881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2C8EC-DA31-43A8-93BB-D29A7B0653C4}">
  <sheetPr codeName="Sheet7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51</v>
      </c>
      <c r="C2" s="134"/>
      <c r="E2" s="26" t="s">
        <v>66</v>
      </c>
      <c r="F2" s="23" t="s">
        <v>22</v>
      </c>
      <c r="G2" s="11">
        <v>81</v>
      </c>
      <c r="H2" s="87">
        <f>IF(B$20=0,0,G2/B$20)</f>
        <v>0.67500000000000004</v>
      </c>
      <c r="I2" s="57">
        <v>8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-2290.1960784313724</v>
      </c>
      <c r="Q2" s="76">
        <v>51</v>
      </c>
      <c r="R2" s="63">
        <v>-116800</v>
      </c>
    </row>
    <row r="3" spans="1:18" x14ac:dyDescent="0.4">
      <c r="A3" s="19" t="s">
        <v>8</v>
      </c>
      <c r="B3" s="135">
        <v>411</v>
      </c>
      <c r="C3" s="136"/>
      <c r="E3" s="27" t="s">
        <v>64</v>
      </c>
      <c r="F3" s="24" t="s">
        <v>20</v>
      </c>
      <c r="G3" s="12">
        <v>80</v>
      </c>
      <c r="H3" s="88">
        <f>IF(B$20=0,0,G3/B$20)</f>
        <v>0.66666666666666663</v>
      </c>
      <c r="I3" s="58">
        <v>1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-300</v>
      </c>
      <c r="Q3" s="77">
        <v>48</v>
      </c>
      <c r="R3" s="64">
        <v>-14400</v>
      </c>
    </row>
    <row r="4" spans="1:18" x14ac:dyDescent="0.4">
      <c r="A4" s="19" t="s">
        <v>6</v>
      </c>
      <c r="B4" s="137">
        <v>117.09999999999998</v>
      </c>
      <c r="C4" s="138"/>
      <c r="E4" s="27" t="s">
        <v>68</v>
      </c>
      <c r="F4" s="24" t="s">
        <v>12</v>
      </c>
      <c r="G4" s="12">
        <v>51</v>
      </c>
      <c r="H4" s="88">
        <f>IF(B$20=0,0,G4/B$20)</f>
        <v>0.42499999999999999</v>
      </c>
      <c r="I4" s="58">
        <v>4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-151.06382978723406</v>
      </c>
      <c r="Q4" s="77">
        <v>47</v>
      </c>
      <c r="R4" s="64">
        <v>-7100</v>
      </c>
    </row>
    <row r="5" spans="1:18" x14ac:dyDescent="0.4">
      <c r="A5" s="19" t="s">
        <v>7</v>
      </c>
      <c r="B5" s="125">
        <f>IF(B$2=0,0,B$4/B$2)</f>
        <v>2.2960784313725484</v>
      </c>
      <c r="C5" s="126"/>
      <c r="E5" s="27" t="s">
        <v>67</v>
      </c>
      <c r="F5" s="24" t="s">
        <v>23</v>
      </c>
      <c r="G5" s="12">
        <v>47</v>
      </c>
      <c r="H5" s="88">
        <f>IF(B$20=0,0,G5/B$20)</f>
        <v>0.39166666666666666</v>
      </c>
      <c r="I5" s="58">
        <v>3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259.09090909090907</v>
      </c>
      <c r="Q5" s="77">
        <v>44</v>
      </c>
      <c r="R5" s="64">
        <v>11400</v>
      </c>
    </row>
    <row r="6" spans="1:18" x14ac:dyDescent="0.4">
      <c r="A6" s="19" t="s">
        <v>192</v>
      </c>
      <c r="B6" s="129">
        <v>1619.394333828654</v>
      </c>
      <c r="C6" s="130"/>
      <c r="E6" s="27" t="s">
        <v>158</v>
      </c>
      <c r="F6" s="24" t="s">
        <v>159</v>
      </c>
      <c r="G6" s="12">
        <v>45</v>
      </c>
      <c r="H6" s="88">
        <f>IF(B$20=0,0,G6/B$20)</f>
        <v>0.375</v>
      </c>
      <c r="I6" s="58">
        <v>8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2166.6666666666665</v>
      </c>
      <c r="Q6" s="77">
        <v>42</v>
      </c>
      <c r="R6" s="64">
        <v>91000</v>
      </c>
    </row>
    <row r="7" spans="1:18" x14ac:dyDescent="0.4">
      <c r="A7" s="19" t="s">
        <v>1</v>
      </c>
      <c r="B7" s="139">
        <f>IF(B$2=0,0,(B$8*1+B$9*2+B$10*3)/B$2)</f>
        <v>1.9607843137254901</v>
      </c>
      <c r="C7" s="140"/>
      <c r="E7" s="27" t="s">
        <v>72</v>
      </c>
      <c r="F7" s="24" t="s">
        <v>27</v>
      </c>
      <c r="G7" s="12">
        <v>36</v>
      </c>
      <c r="H7" s="88">
        <f>IF(B$20=0,0,G7/B$20)</f>
        <v>0.3</v>
      </c>
      <c r="I7" s="58">
        <v>9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4022.2222222222222</v>
      </c>
      <c r="Q7" s="78">
        <v>36</v>
      </c>
      <c r="R7" s="65">
        <v>144800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0.39215686274509803</v>
      </c>
      <c r="E8" s="27" t="s">
        <v>69</v>
      </c>
      <c r="F8" s="24" t="s">
        <v>24</v>
      </c>
      <c r="G8" s="12">
        <v>30</v>
      </c>
      <c r="H8" s="88">
        <f>IF(B$20=0,0,G8/B$20)</f>
        <v>0.25</v>
      </c>
      <c r="I8" s="58">
        <v>3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0.25490196078431371</v>
      </c>
      <c r="E9" s="27" t="s">
        <v>65</v>
      </c>
      <c r="F9" s="24" t="s">
        <v>21</v>
      </c>
      <c r="G9" s="12">
        <v>17</v>
      </c>
      <c r="H9" s="88">
        <f>IF(B$20=0,0,G9/B$20)</f>
        <v>0.14166666666666666</v>
      </c>
      <c r="I9" s="58">
        <v>3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18</v>
      </c>
      <c r="C10" s="7">
        <f t="shared" si="1"/>
        <v>0.35294117647058826</v>
      </c>
      <c r="E10" s="27" t="s">
        <v>70</v>
      </c>
      <c r="F10" s="24" t="s">
        <v>25</v>
      </c>
      <c r="G10" s="12">
        <v>14</v>
      </c>
      <c r="H10" s="88">
        <f>IF(B$20=0,0,G10/B$20)</f>
        <v>0.11666666666666667</v>
      </c>
      <c r="I10" s="58">
        <v>3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-0.10526315789473638</v>
      </c>
      <c r="Q10" s="76">
        <v>19</v>
      </c>
      <c r="R10" s="67">
        <v>-1.9999999999999911</v>
      </c>
    </row>
    <row r="11" spans="1:18" x14ac:dyDescent="0.4">
      <c r="A11" s="20" t="s">
        <v>183</v>
      </c>
      <c r="B11" s="109">
        <f>IF(B8=0,0,C11/B8)</f>
        <v>47.435000000000002</v>
      </c>
      <c r="C11" s="110">
        <v>948.7</v>
      </c>
      <c r="E11" s="27" t="s">
        <v>89</v>
      </c>
      <c r="F11" s="24" t="s">
        <v>44</v>
      </c>
      <c r="G11" s="12">
        <v>13</v>
      </c>
      <c r="H11" s="88">
        <f>IF(B$20=0,0,G11/B$20)</f>
        <v>0.10833333333333334</v>
      </c>
      <c r="I11" s="58">
        <v>10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-3.4818181818181824</v>
      </c>
      <c r="Q11" s="77">
        <v>11</v>
      </c>
      <c r="R11" s="68">
        <v>-38.300000000000004</v>
      </c>
    </row>
    <row r="12" spans="1:18" x14ac:dyDescent="0.4">
      <c r="A12" s="20" t="s">
        <v>184</v>
      </c>
      <c r="B12" s="109">
        <f>IF(B9=0,0,C12/B9)</f>
        <v>0.15384615384615385</v>
      </c>
      <c r="C12" s="110">
        <v>2</v>
      </c>
      <c r="E12" s="27" t="s">
        <v>86</v>
      </c>
      <c r="F12" s="24" t="s">
        <v>41</v>
      </c>
      <c r="G12" s="12">
        <v>9</v>
      </c>
      <c r="H12" s="88">
        <f>IF(B$20=0,0,G12/B$20)</f>
        <v>7.4999999999999997E-2</v>
      </c>
      <c r="I12" s="58">
        <v>3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7.4952380952380979</v>
      </c>
      <c r="Q12" s="78">
        <v>21</v>
      </c>
      <c r="R12" s="69">
        <v>157.40000000000006</v>
      </c>
    </row>
    <row r="13" spans="1:18" x14ac:dyDescent="0.4">
      <c r="A13" s="20" t="s">
        <v>185</v>
      </c>
      <c r="B13" s="109">
        <f>IF(B10=0,0,C13/B10)</f>
        <v>-46.31111111111111</v>
      </c>
      <c r="C13" s="110">
        <v>-833.6</v>
      </c>
      <c r="E13" s="27" t="s">
        <v>71</v>
      </c>
      <c r="F13" s="24" t="s">
        <v>26</v>
      </c>
      <c r="G13" s="12">
        <v>8</v>
      </c>
      <c r="H13" s="88">
        <f>IF(B$20=0,0,G13/B$20)</f>
        <v>6.6666666666666666E-2</v>
      </c>
      <c r="I13" s="58">
        <v>7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0.42591168091168186</v>
      </c>
      <c r="C14" s="126"/>
      <c r="E14" s="27" t="s">
        <v>83</v>
      </c>
      <c r="F14" s="24" t="s">
        <v>38</v>
      </c>
      <c r="G14" s="12">
        <v>5</v>
      </c>
      <c r="H14" s="88">
        <f>IF(B$20=0,0,G14/B$20)</f>
        <v>4.1666666666666664E-2</v>
      </c>
      <c r="I14" s="58">
        <v>3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7</v>
      </c>
      <c r="C15" s="9">
        <f t="shared" si="1"/>
        <v>0.13725490196078433</v>
      </c>
      <c r="E15" s="27" t="s">
        <v>78</v>
      </c>
      <c r="F15" s="24" t="s">
        <v>33</v>
      </c>
      <c r="G15" s="12">
        <v>4</v>
      </c>
      <c r="H15" s="88">
        <f>IF(B$20=0,0,G15/B$20)</f>
        <v>3.3333333333333333E-2</v>
      </c>
      <c r="I15" s="58">
        <v>2</v>
      </c>
      <c r="K15" s="74">
        <v>13</v>
      </c>
      <c r="L15" s="119">
        <v>-120.60000000000001</v>
      </c>
      <c r="M15" s="117">
        <v>1573.7060279447555</v>
      </c>
      <c r="O15" s="73" t="s">
        <v>191</v>
      </c>
      <c r="P15" s="82">
        <f>IF(Q15=0,0,R15/Q15)</f>
        <v>18.450000000000006</v>
      </c>
      <c r="Q15" s="76">
        <v>12</v>
      </c>
      <c r="R15" s="67">
        <v>221.40000000000006</v>
      </c>
    </row>
    <row r="16" spans="1:18" x14ac:dyDescent="0.4">
      <c r="A16" s="22" t="s">
        <v>121</v>
      </c>
      <c r="B16" s="15">
        <v>153</v>
      </c>
      <c r="C16" s="10">
        <f>IF(B$3=0,0,B16/B$3)</f>
        <v>0.37226277372262773</v>
      </c>
      <c r="E16" s="27" t="s">
        <v>81</v>
      </c>
      <c r="F16" s="24" t="s">
        <v>36</v>
      </c>
      <c r="G16" s="12">
        <v>3</v>
      </c>
      <c r="H16" s="88">
        <f>IF(B$20=0,0,G16/B$20)</f>
        <v>2.5000000000000001E-2</v>
      </c>
      <c r="I16" s="58">
        <v>7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8.98</v>
      </c>
      <c r="Q16" s="77">
        <v>45</v>
      </c>
      <c r="R16" s="68">
        <v>404.1</v>
      </c>
    </row>
    <row r="17" spans="1:18" x14ac:dyDescent="0.4">
      <c r="A17" s="19" t="s">
        <v>118</v>
      </c>
      <c r="B17" s="12">
        <v>75</v>
      </c>
      <c r="C17" s="6">
        <f>IF(B$3=0,0,B17/B$3)</f>
        <v>0.18248175182481752</v>
      </c>
      <c r="E17" s="27" t="s">
        <v>154</v>
      </c>
      <c r="F17" s="24" t="s">
        <v>155</v>
      </c>
      <c r="G17" s="12">
        <v>3</v>
      </c>
      <c r="H17" s="88">
        <f>IF(B$20=0,0,G17/B$20)</f>
        <v>2.5000000000000001E-2</v>
      </c>
      <c r="I17" s="58">
        <v>3</v>
      </c>
      <c r="K17" s="74">
        <v>15</v>
      </c>
      <c r="L17" s="119">
        <v>-138.19999999999999</v>
      </c>
      <c r="M17" s="117">
        <v>1571.5129810264243</v>
      </c>
      <c r="O17" s="74" t="s">
        <v>189</v>
      </c>
      <c r="P17" s="83">
        <f>IF(Q17=0,0,R17/Q17)</f>
        <v>6.3473684210526304</v>
      </c>
      <c r="Q17" s="77">
        <v>19</v>
      </c>
      <c r="R17" s="68">
        <v>120.59999999999998</v>
      </c>
    </row>
    <row r="18" spans="1:18" x14ac:dyDescent="0.4">
      <c r="A18" s="18" t="s">
        <v>123</v>
      </c>
      <c r="B18" s="11">
        <f>B24</f>
        <v>85</v>
      </c>
      <c r="C18" s="5">
        <f>IF(B$16=0,0,B18/B$16)</f>
        <v>0.55555555555555558</v>
      </c>
      <c r="E18" s="27" t="s">
        <v>73</v>
      </c>
      <c r="F18" s="24" t="s">
        <v>28</v>
      </c>
      <c r="G18" s="12">
        <v>2</v>
      </c>
      <c r="H18" s="88">
        <f>IF(B$20=0,0,G18/B$20)</f>
        <v>1.6666666666666666E-2</v>
      </c>
      <c r="I18" s="58">
        <v>3</v>
      </c>
      <c r="K18" s="74">
        <v>16</v>
      </c>
      <c r="L18" s="119">
        <v>-131.6</v>
      </c>
      <c r="M18" s="117">
        <v>1573.2079031402657</v>
      </c>
      <c r="O18" s="74" t="s">
        <v>195</v>
      </c>
      <c r="P18" s="83">
        <f>IF(Q18=0,0,R18/Q18)</f>
        <v>-6.6</v>
      </c>
      <c r="Q18" s="77">
        <v>15</v>
      </c>
      <c r="R18" s="68">
        <v>-99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0.30666666666666664</v>
      </c>
      <c r="E19" s="27" t="s">
        <v>91</v>
      </c>
      <c r="F19" s="24" t="s">
        <v>46</v>
      </c>
      <c r="G19" s="12">
        <v>2</v>
      </c>
      <c r="H19" s="88">
        <f>IF(B$20=0,0,G19/B$20)</f>
        <v>1.6666666666666666E-2</v>
      </c>
      <c r="I19" s="58">
        <v>4</v>
      </c>
      <c r="K19" s="74">
        <v>17</v>
      </c>
      <c r="L19" s="119">
        <v>-187.39999999999998</v>
      </c>
      <c r="M19" s="117">
        <v>1563.6606557214241</v>
      </c>
      <c r="O19" s="74" t="s">
        <v>187</v>
      </c>
      <c r="P19" s="83">
        <f>IF(Q19=0,0,R19/Q19)</f>
        <v>-26.890909090909091</v>
      </c>
      <c r="Q19" s="77">
        <v>11</v>
      </c>
      <c r="R19" s="68">
        <v>-295.8</v>
      </c>
    </row>
    <row r="20" spans="1:18" x14ac:dyDescent="0.4">
      <c r="A20" s="18" t="s">
        <v>10</v>
      </c>
      <c r="B20" s="11">
        <f>B23+B22</f>
        <v>120</v>
      </c>
      <c r="C20" s="5">
        <f>IF(B$3=0,0,B20/B$3)</f>
        <v>0.29197080291970801</v>
      </c>
      <c r="E20" s="27" t="s">
        <v>92</v>
      </c>
      <c r="F20" s="24" t="s">
        <v>47</v>
      </c>
      <c r="G20" s="12">
        <v>2</v>
      </c>
      <c r="H20" s="88">
        <f>IF(B$20=0,0,G20/B$20)</f>
        <v>1.6666666666666666E-2</v>
      </c>
      <c r="I20" s="58">
        <v>1</v>
      </c>
      <c r="K20" s="74">
        <v>18</v>
      </c>
      <c r="L20" s="119">
        <v>-146.79999999999998</v>
      </c>
      <c r="M20" s="117">
        <v>1571.5226917870955</v>
      </c>
    </row>
    <row r="21" spans="1:18" x14ac:dyDescent="0.4">
      <c r="A21" s="19" t="s">
        <v>13</v>
      </c>
      <c r="B21" s="12">
        <v>67</v>
      </c>
      <c r="C21" s="6">
        <f>IF(B$3=0,0,B21/B$3)</f>
        <v>0.16301703163017031</v>
      </c>
      <c r="E21" s="27" t="s">
        <v>74</v>
      </c>
      <c r="F21" s="24" t="s">
        <v>29</v>
      </c>
      <c r="G21" s="12">
        <v>1</v>
      </c>
      <c r="H21" s="88">
        <f>IF(B$20=0,0,G21/B$20)</f>
        <v>8.3333333333333332E-3</v>
      </c>
      <c r="I21" s="58">
        <v>4</v>
      </c>
      <c r="K21" s="74">
        <v>19</v>
      </c>
      <c r="L21" s="119">
        <v>-110.69999999999999</v>
      </c>
      <c r="M21" s="117">
        <v>1578.5275556363729</v>
      </c>
    </row>
    <row r="22" spans="1:18" x14ac:dyDescent="0.4">
      <c r="A22" s="19" t="s">
        <v>12</v>
      </c>
      <c r="B22" s="12">
        <v>62</v>
      </c>
      <c r="C22" s="6">
        <f>IF(B$20=0,0,B22/B$20)</f>
        <v>0.51666666666666672</v>
      </c>
      <c r="E22" s="27" t="s">
        <v>85</v>
      </c>
      <c r="F22" s="24" t="s">
        <v>40</v>
      </c>
      <c r="G22" s="12">
        <v>1</v>
      </c>
      <c r="H22" s="88">
        <f>IF(B$20=0,0,G22/B$20)</f>
        <v>8.3333333333333332E-3</v>
      </c>
      <c r="I22" s="58">
        <v>1</v>
      </c>
      <c r="K22" s="74">
        <v>20</v>
      </c>
      <c r="L22" s="119">
        <v>-111.6</v>
      </c>
      <c r="M22" s="117">
        <v>1578.8303903025546</v>
      </c>
    </row>
    <row r="23" spans="1:18" x14ac:dyDescent="0.4">
      <c r="A23" s="19" t="s">
        <v>11</v>
      </c>
      <c r="B23" s="12">
        <v>58</v>
      </c>
      <c r="C23" s="6">
        <f>IF(B$20=0,0,B23/B$20)</f>
        <v>0.48333333333333334</v>
      </c>
      <c r="E23" s="27" t="s">
        <v>95</v>
      </c>
      <c r="F23" s="24" t="s">
        <v>50</v>
      </c>
      <c r="G23" s="12">
        <v>1</v>
      </c>
      <c r="H23" s="88">
        <f>IF(B$20=0,0,G23/B$20)</f>
        <v>8.3333333333333332E-3</v>
      </c>
      <c r="I23" s="58">
        <v>1</v>
      </c>
      <c r="K23" s="74">
        <v>21</v>
      </c>
      <c r="L23" s="119">
        <v>-82.399999999999991</v>
      </c>
      <c r="M23" s="117">
        <v>1584.5494079607392</v>
      </c>
    </row>
    <row r="24" spans="1:18" x14ac:dyDescent="0.4">
      <c r="A24" s="19" t="s">
        <v>182</v>
      </c>
      <c r="B24" s="12">
        <v>85</v>
      </c>
      <c r="C24" s="6">
        <f>IF(B$20=0,0,B24/B$20)</f>
        <v>0.70833333333333337</v>
      </c>
      <c r="E24" s="27" t="s">
        <v>97</v>
      </c>
      <c r="F24" s="24" t="s">
        <v>52</v>
      </c>
      <c r="G24" s="12">
        <v>1</v>
      </c>
      <c r="H24" s="88">
        <f>IF(B$20=0,0,G24/B$20)</f>
        <v>8.3333333333333332E-3</v>
      </c>
      <c r="I24" s="58">
        <v>1</v>
      </c>
      <c r="K24" s="74">
        <v>22</v>
      </c>
      <c r="L24" s="119">
        <v>-32.79999999999999</v>
      </c>
      <c r="M24" s="117">
        <v>1593.9061115129748</v>
      </c>
    </row>
    <row r="25" spans="1:18" x14ac:dyDescent="0.4">
      <c r="A25" s="19" t="s">
        <v>180</v>
      </c>
      <c r="B25" s="12">
        <v>23</v>
      </c>
      <c r="C25" s="6">
        <f>IF(B$20=0,0,B25/B$20)</f>
        <v>0.19166666666666668</v>
      </c>
      <c r="E25" s="27" t="s">
        <v>99</v>
      </c>
      <c r="F25" s="24" t="s">
        <v>54</v>
      </c>
      <c r="G25" s="12">
        <v>1</v>
      </c>
      <c r="H25" s="88">
        <f>IF(B$20=0,0,G25/B$20)</f>
        <v>8.3333333333333332E-3</v>
      </c>
      <c r="I25" s="58">
        <v>1</v>
      </c>
      <c r="K25" s="74">
        <v>23</v>
      </c>
      <c r="L25" s="119">
        <v>-92.699999999999989</v>
      </c>
      <c r="M25" s="117">
        <v>1583.4966748438969</v>
      </c>
    </row>
    <row r="26" spans="1:18" x14ac:dyDescent="0.4">
      <c r="A26" s="19" t="s">
        <v>181</v>
      </c>
      <c r="B26" s="12">
        <v>12</v>
      </c>
      <c r="C26" s="6">
        <f>IF(B$20=0,0,B26/B$20)</f>
        <v>0.1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-54.29999999999999</v>
      </c>
      <c r="M26" s="117">
        <v>1590.8436947948335</v>
      </c>
    </row>
    <row r="27" spans="1:18" x14ac:dyDescent="0.4">
      <c r="A27" s="19" t="s">
        <v>5</v>
      </c>
      <c r="B27" s="16">
        <f>IF(B$20=0,0,C27/B$20)</f>
        <v>10032.5</v>
      </c>
      <c r="C27" s="8">
        <v>1203900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-34.79999999999999</v>
      </c>
      <c r="M27" s="117">
        <v>1594.3846326260646</v>
      </c>
    </row>
    <row r="28" spans="1:18" x14ac:dyDescent="0.4">
      <c r="A28" s="20" t="s">
        <v>164</v>
      </c>
      <c r="B28" s="95">
        <f>IF($B$20-B$19=0,0,C28/($B$20-B$19))</f>
        <v>9761.8556701030921</v>
      </c>
      <c r="C28" s="96">
        <v>946900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0.80000000000001137</v>
      </c>
      <c r="M28" s="117">
        <v>1600.8023248303082</v>
      </c>
    </row>
    <row r="29" spans="1:18" x14ac:dyDescent="0.4">
      <c r="A29" s="20" t="s">
        <v>165</v>
      </c>
      <c r="B29" s="95">
        <f>IF(B$19=0,0,C29/B$19)</f>
        <v>11173.91304347826</v>
      </c>
      <c r="C29" s="96">
        <v>257000</v>
      </c>
      <c r="E29" s="27" t="s">
        <v>79</v>
      </c>
      <c r="F29" s="24" t="s">
        <v>34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-32.399999999999991</v>
      </c>
      <c r="M29" s="117">
        <v>1594.7975108813264</v>
      </c>
    </row>
    <row r="30" spans="1:18" x14ac:dyDescent="0.4">
      <c r="A30" s="20" t="s">
        <v>163</v>
      </c>
      <c r="B30" s="95">
        <f>IF(B$21=0,0,C30/B$21)</f>
        <v>-9105.9701492537315</v>
      </c>
      <c r="C30" s="96">
        <v>-610100</v>
      </c>
      <c r="E30" s="27" t="s">
        <v>80</v>
      </c>
      <c r="F30" s="24" t="s">
        <v>35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62.600000000000009</v>
      </c>
      <c r="M30" s="117">
        <v>1611.9047258160385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46.000000000000007</v>
      </c>
      <c r="M31" s="117">
        <v>1608.8212974611422</v>
      </c>
    </row>
    <row r="32" spans="1:18" x14ac:dyDescent="0.4">
      <c r="A32" s="19" t="s">
        <v>157</v>
      </c>
      <c r="B32" s="12">
        <v>26</v>
      </c>
      <c r="C32" s="90">
        <v>5</v>
      </c>
      <c r="E32" s="27" t="s">
        <v>84</v>
      </c>
      <c r="F32" s="24" t="s">
        <v>39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15.900000000000006</v>
      </c>
      <c r="M32" s="117">
        <v>1603.3323696763753</v>
      </c>
    </row>
    <row r="33" spans="1:13" x14ac:dyDescent="0.4">
      <c r="A33" s="54" t="s">
        <v>135</v>
      </c>
      <c r="B33" s="127">
        <v>5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63.400000000000006</v>
      </c>
      <c r="M33" s="117">
        <v>1611.8383754583169</v>
      </c>
    </row>
    <row r="34" spans="1:13" x14ac:dyDescent="0.4">
      <c r="A34" s="22" t="s">
        <v>179</v>
      </c>
      <c r="B34" s="129">
        <v>110000</v>
      </c>
      <c r="C34" s="130"/>
      <c r="E34" s="27" t="s">
        <v>88</v>
      </c>
      <c r="F34" s="24" t="s">
        <v>43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28.200000000000003</v>
      </c>
      <c r="M34" s="117">
        <v>1605.407345205567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90</v>
      </c>
      <c r="F35" s="24" t="s">
        <v>45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119.2</v>
      </c>
      <c r="M35" s="117">
        <v>1621.7309011343336</v>
      </c>
    </row>
    <row r="36" spans="1:13" x14ac:dyDescent="0.4">
      <c r="E36" s="27" t="s">
        <v>93</v>
      </c>
      <c r="F36" s="24" t="s">
        <v>48</v>
      </c>
      <c r="G36" s="12">
        <v>0</v>
      </c>
      <c r="H36" s="88">
        <f>IF(B$20=0,0,G36/B$20)</f>
        <v>0</v>
      </c>
      <c r="I36" s="58">
        <v>4</v>
      </c>
      <c r="K36" s="74">
        <v>34</v>
      </c>
      <c r="L36" s="119">
        <v>189.2</v>
      </c>
      <c r="M36" s="117">
        <v>1634.1765157275277</v>
      </c>
    </row>
    <row r="37" spans="1:13" x14ac:dyDescent="0.4">
      <c r="A37" s="54" t="s">
        <v>170</v>
      </c>
      <c r="B37" s="123">
        <v>6</v>
      </c>
      <c r="C37" s="98">
        <f t="shared" ref="C37:C49" si="2">IF(B$20=0,0,B37/B$20)</f>
        <v>0.05</v>
      </c>
      <c r="E37" s="27" t="s">
        <v>94</v>
      </c>
      <c r="F37" s="24" t="s">
        <v>49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163.29999999999998</v>
      </c>
      <c r="M37" s="117">
        <v>1629.2854566331625</v>
      </c>
    </row>
    <row r="38" spans="1:13" x14ac:dyDescent="0.4">
      <c r="A38" s="19" t="s">
        <v>166</v>
      </c>
      <c r="B38" s="12">
        <v>16</v>
      </c>
      <c r="C38" s="6">
        <f t="shared" si="2"/>
        <v>0.13333333333333333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105.09999999999998</v>
      </c>
      <c r="M38" s="117">
        <v>1618.6097438933637</v>
      </c>
    </row>
    <row r="39" spans="1:13" x14ac:dyDescent="0.4">
      <c r="A39" s="19" t="s">
        <v>167</v>
      </c>
      <c r="B39" s="124">
        <v>17</v>
      </c>
      <c r="C39" s="6">
        <f t="shared" si="2"/>
        <v>0.14166666666666666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152.59999999999997</v>
      </c>
      <c r="M39" s="117">
        <v>1627.3240854300034</v>
      </c>
    </row>
    <row r="40" spans="1:13" x14ac:dyDescent="0.4">
      <c r="A40" s="19" t="s">
        <v>168</v>
      </c>
      <c r="B40" s="124">
        <v>24</v>
      </c>
      <c r="C40" s="6">
        <f t="shared" si="2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157.89999999999998</v>
      </c>
      <c r="M40" s="117">
        <v>1628.1621409174234</v>
      </c>
    </row>
    <row r="41" spans="1:13" x14ac:dyDescent="0.4">
      <c r="A41" s="19" t="s">
        <v>169</v>
      </c>
      <c r="B41" s="124">
        <v>18</v>
      </c>
      <c r="C41" s="6">
        <f t="shared" si="2"/>
        <v>0.15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191.2</v>
      </c>
      <c r="M41" s="117">
        <v>1634.0351680719189</v>
      </c>
    </row>
    <row r="42" spans="1:13" x14ac:dyDescent="0.4">
      <c r="A42" s="19" t="s">
        <v>171</v>
      </c>
      <c r="B42" s="124">
        <v>17</v>
      </c>
      <c r="C42" s="6">
        <f t="shared" si="2"/>
        <v>0.14166666666666666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231.89999999999998</v>
      </c>
      <c r="M42" s="117">
        <v>1641.2049570634874</v>
      </c>
    </row>
    <row r="43" spans="1:13" x14ac:dyDescent="0.4">
      <c r="A43" s="19" t="s">
        <v>172</v>
      </c>
      <c r="B43" s="124">
        <v>10</v>
      </c>
      <c r="C43" s="6">
        <f t="shared" si="2"/>
        <v>8.3333333333333329E-2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167.39999999999998</v>
      </c>
      <c r="M43" s="117">
        <v>1629.3957273211065</v>
      </c>
    </row>
    <row r="44" spans="1:13" x14ac:dyDescent="0.4">
      <c r="A44" s="19" t="s">
        <v>173</v>
      </c>
      <c r="B44" s="124">
        <v>5</v>
      </c>
      <c r="C44" s="6">
        <f t="shared" si="2"/>
        <v>4.1666666666666664E-2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198.09999999999997</v>
      </c>
      <c r="M44" s="117">
        <v>1634.7933529571799</v>
      </c>
    </row>
    <row r="45" spans="1:13" x14ac:dyDescent="0.4">
      <c r="A45" s="19" t="s">
        <v>174</v>
      </c>
      <c r="B45" s="124">
        <v>2</v>
      </c>
      <c r="C45" s="6">
        <f t="shared" si="2"/>
        <v>1.6666666666666666E-2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156.39999999999998</v>
      </c>
      <c r="M45" s="117">
        <v>1627.1265928394369</v>
      </c>
    </row>
    <row r="46" spans="1:13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88.399999999999977</v>
      </c>
      <c r="M46" s="117">
        <v>1614.7718332824002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154.39999999999998</v>
      </c>
      <c r="M47" s="117">
        <v>1626.6112022827058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108.39999999999998</v>
      </c>
      <c r="M48" s="117">
        <v>1618.2195350690095</v>
      </c>
    </row>
    <row r="49" spans="1:13" x14ac:dyDescent="0.4">
      <c r="A49" s="21" t="s">
        <v>178</v>
      </c>
      <c r="B49" s="97">
        <v>5</v>
      </c>
      <c r="C49" s="9">
        <f t="shared" si="2"/>
        <v>4.1666666666666664E-2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115.69999999999997</v>
      </c>
      <c r="M49" s="117">
        <v>1619.4722178585953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173.49999999999997</v>
      </c>
      <c r="M50" s="117">
        <v>1629.8073845514436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117.89999999999998</v>
      </c>
      <c r="M51" s="117">
        <v>1619.6685402441349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109.19999999999997</v>
      </c>
      <c r="M52" s="117">
        <v>1618.0325290026701</v>
      </c>
    </row>
    <row r="53" spans="1:13" x14ac:dyDescent="0.4">
      <c r="K53" s="74">
        <v>51</v>
      </c>
      <c r="L53" s="119">
        <v>117.09999999999998</v>
      </c>
      <c r="M53" s="117">
        <v>1619.394333828654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3B84D-3377-4C21-A13F-D88757076DAB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4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4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5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7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8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2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8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8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4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9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7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2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2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8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2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2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7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5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9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58CD-CD9D-41B6-ACE8-E5BEE329AC8D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103</v>
      </c>
      <c r="H2" s="87">
        <f>IF(B$20=0,0,G2/B$20)</f>
        <v>0.83064516129032262</v>
      </c>
      <c r="I2" s="57">
        <v>3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-106.66666666666667</v>
      </c>
      <c r="Q2" s="76">
        <v>45</v>
      </c>
      <c r="R2" s="63">
        <v>-4800</v>
      </c>
    </row>
    <row r="3" spans="1:18" x14ac:dyDescent="0.4">
      <c r="A3" s="19" t="s">
        <v>8</v>
      </c>
      <c r="B3" s="135">
        <v>400</v>
      </c>
      <c r="C3" s="136"/>
      <c r="E3" s="27" t="s">
        <v>72</v>
      </c>
      <c r="F3" s="24" t="s">
        <v>27</v>
      </c>
      <c r="G3" s="12">
        <v>75</v>
      </c>
      <c r="H3" s="88">
        <f>IF(B$20=0,0,G3/B$20)</f>
        <v>0.60483870967741937</v>
      </c>
      <c r="I3" s="58">
        <v>1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1813.6363636363637</v>
      </c>
      <c r="Q3" s="77">
        <v>44</v>
      </c>
      <c r="R3" s="64">
        <v>79800</v>
      </c>
    </row>
    <row r="4" spans="1:18" x14ac:dyDescent="0.4">
      <c r="A4" s="19" t="s">
        <v>6</v>
      </c>
      <c r="B4" s="137">
        <v>-90.3</v>
      </c>
      <c r="C4" s="138"/>
      <c r="E4" s="27" t="s">
        <v>158</v>
      </c>
      <c r="F4" s="24" t="s">
        <v>159</v>
      </c>
      <c r="G4" s="12">
        <v>55</v>
      </c>
      <c r="H4" s="88">
        <f>IF(B$20=0,0,G4/B$20)</f>
        <v>0.44354838709677419</v>
      </c>
      <c r="I4" s="58">
        <v>4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-734.09090909090912</v>
      </c>
      <c r="Q4" s="77">
        <v>44</v>
      </c>
      <c r="R4" s="64">
        <v>-32300</v>
      </c>
    </row>
    <row r="5" spans="1:18" x14ac:dyDescent="0.4">
      <c r="A5" s="19" t="s">
        <v>7</v>
      </c>
      <c r="B5" s="125">
        <f>IF(B$2=0,0,B$4/B$2)</f>
        <v>-2.0066666666666668</v>
      </c>
      <c r="C5" s="126"/>
      <c r="E5" s="27" t="s">
        <v>64</v>
      </c>
      <c r="F5" s="24" t="s">
        <v>20</v>
      </c>
      <c r="G5" s="12">
        <v>51</v>
      </c>
      <c r="H5" s="88">
        <f>IF(B$20=0,0,G5/B$20)</f>
        <v>0.41129032258064518</v>
      </c>
      <c r="I5" s="58">
        <v>10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1251.1627906976744</v>
      </c>
      <c r="Q5" s="77">
        <v>43</v>
      </c>
      <c r="R5" s="64">
        <v>53800</v>
      </c>
    </row>
    <row r="6" spans="1:18" x14ac:dyDescent="0.4">
      <c r="A6" s="19" t="s">
        <v>192</v>
      </c>
      <c r="B6" s="129">
        <v>1545.3560984528388</v>
      </c>
      <c r="C6" s="130"/>
      <c r="E6" s="27" t="s">
        <v>68</v>
      </c>
      <c r="F6" s="24" t="s">
        <v>12</v>
      </c>
      <c r="G6" s="12">
        <v>35</v>
      </c>
      <c r="H6" s="88">
        <f>IF(B$20=0,0,G6/B$20)</f>
        <v>0.28225806451612906</v>
      </c>
      <c r="I6" s="58">
        <v>9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-2066.6666666666665</v>
      </c>
      <c r="Q6" s="77">
        <v>39</v>
      </c>
      <c r="R6" s="64">
        <v>-80600</v>
      </c>
    </row>
    <row r="7" spans="1:18" x14ac:dyDescent="0.4">
      <c r="A7" s="19" t="s">
        <v>1</v>
      </c>
      <c r="B7" s="139">
        <f>IF(B$2=0,0,(B$8*1+B$9*2+B$10*3)/B$2)</f>
        <v>2.1111111111111112</v>
      </c>
      <c r="C7" s="140"/>
      <c r="E7" s="27" t="s">
        <v>70</v>
      </c>
      <c r="F7" s="24" t="s">
        <v>25</v>
      </c>
      <c r="G7" s="12">
        <v>15</v>
      </c>
      <c r="H7" s="88">
        <f>IF(B$20=0,0,G7/B$20)</f>
        <v>0.12096774193548387</v>
      </c>
      <c r="I7" s="58">
        <v>2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97.142857142857139</v>
      </c>
      <c r="Q7" s="78">
        <v>35</v>
      </c>
      <c r="R7" s="65">
        <v>3400</v>
      </c>
    </row>
    <row r="8" spans="1:18" x14ac:dyDescent="0.4">
      <c r="A8" s="19" t="s">
        <v>2</v>
      </c>
      <c r="B8" s="12">
        <v>14</v>
      </c>
      <c r="C8" s="6">
        <f t="shared" ref="C8:C15" si="1">IF(B$2=0,0,B8/B$2)</f>
        <v>0.31111111111111112</v>
      </c>
      <c r="E8" s="27" t="s">
        <v>89</v>
      </c>
      <c r="F8" s="24" t="s">
        <v>44</v>
      </c>
      <c r="G8" s="12">
        <v>15</v>
      </c>
      <c r="H8" s="88">
        <f>IF(B$20=0,0,G8/B$20)</f>
        <v>0.12096774193548387</v>
      </c>
      <c r="I8" s="58">
        <v>8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0.26666666666666666</v>
      </c>
      <c r="E9" s="27" t="s">
        <v>65</v>
      </c>
      <c r="F9" s="24" t="s">
        <v>21</v>
      </c>
      <c r="G9" s="12">
        <v>12</v>
      </c>
      <c r="H9" s="88">
        <f>IF(B$20=0,0,G9/B$20)</f>
        <v>9.6774193548387094E-2</v>
      </c>
      <c r="I9" s="58">
        <v>10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19</v>
      </c>
      <c r="C10" s="7">
        <f t="shared" si="1"/>
        <v>0.42222222222222222</v>
      </c>
      <c r="E10" s="27" t="s">
        <v>67</v>
      </c>
      <c r="F10" s="24" t="s">
        <v>23</v>
      </c>
      <c r="G10" s="12">
        <v>12</v>
      </c>
      <c r="H10" s="88">
        <f>IF(B$20=0,0,G10/B$20)</f>
        <v>9.6774193548387094E-2</v>
      </c>
      <c r="I10" s="58">
        <v>10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-1.9833333333333318</v>
      </c>
      <c r="Q10" s="76">
        <v>12</v>
      </c>
      <c r="R10" s="67">
        <v>-23.799999999999983</v>
      </c>
    </row>
    <row r="11" spans="1:18" x14ac:dyDescent="0.4">
      <c r="A11" s="20" t="s">
        <v>183</v>
      </c>
      <c r="B11" s="109">
        <f>IF(B8=0,0,C11/B8)</f>
        <v>46.671428571428571</v>
      </c>
      <c r="C11" s="110">
        <v>653.4</v>
      </c>
      <c r="E11" s="27" t="s">
        <v>69</v>
      </c>
      <c r="F11" s="24" t="s">
        <v>24</v>
      </c>
      <c r="G11" s="12">
        <v>11</v>
      </c>
      <c r="H11" s="88">
        <f>IF(B$20=0,0,G11/B$20)</f>
        <v>8.8709677419354843E-2</v>
      </c>
      <c r="I11" s="58">
        <v>10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-6.4315789473684211</v>
      </c>
      <c r="Q11" s="77">
        <v>19</v>
      </c>
      <c r="R11" s="68">
        <v>-122.2</v>
      </c>
    </row>
    <row r="12" spans="1:18" x14ac:dyDescent="0.4">
      <c r="A12" s="20" t="s">
        <v>184</v>
      </c>
      <c r="B12" s="109">
        <f>IF(B9=0,0,C12/B9)</f>
        <v>1.3083333333333338</v>
      </c>
      <c r="C12" s="110">
        <v>15.700000000000005</v>
      </c>
      <c r="E12" s="27" t="s">
        <v>71</v>
      </c>
      <c r="F12" s="24" t="s">
        <v>26</v>
      </c>
      <c r="G12" s="12">
        <v>8</v>
      </c>
      <c r="H12" s="88">
        <f>IF(B$20=0,0,G12/B$20)</f>
        <v>6.4516129032258063E-2</v>
      </c>
      <c r="I12" s="58">
        <v>8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3.9785714285714282</v>
      </c>
      <c r="Q12" s="78">
        <v>14</v>
      </c>
      <c r="R12" s="69">
        <v>55.699999999999996</v>
      </c>
    </row>
    <row r="13" spans="1:18" x14ac:dyDescent="0.4">
      <c r="A13" s="20" t="s">
        <v>185</v>
      </c>
      <c r="B13" s="109">
        <f>IF(B10=0,0,C13/B10)</f>
        <v>-39.968421052631584</v>
      </c>
      <c r="C13" s="110">
        <v>-759.40000000000009</v>
      </c>
      <c r="E13" s="27" t="s">
        <v>86</v>
      </c>
      <c r="F13" s="24" t="s">
        <v>41</v>
      </c>
      <c r="G13" s="12">
        <v>8</v>
      </c>
      <c r="H13" s="88">
        <f>IF(B$20=0,0,G13/B$20)</f>
        <v>6.4516129032258063E-2</v>
      </c>
      <c r="I13" s="58">
        <v>5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2.6704469507101081</v>
      </c>
      <c r="C14" s="126"/>
      <c r="E14" s="27" t="s">
        <v>83</v>
      </c>
      <c r="F14" s="24" t="s">
        <v>38</v>
      </c>
      <c r="G14" s="12">
        <v>5</v>
      </c>
      <c r="H14" s="88">
        <f>IF(B$20=0,0,G14/B$20)</f>
        <v>4.0322580645161289E-2</v>
      </c>
      <c r="I14" s="58">
        <v>4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</v>
      </c>
      <c r="C15" s="9">
        <f t="shared" si="1"/>
        <v>6.6666666666666666E-2</v>
      </c>
      <c r="E15" s="27" t="s">
        <v>78</v>
      </c>
      <c r="F15" s="24" t="s">
        <v>33</v>
      </c>
      <c r="G15" s="12">
        <v>4</v>
      </c>
      <c r="H15" s="88">
        <f>IF(B$20=0,0,G15/B$20)</f>
        <v>3.2258064516129031E-2</v>
      </c>
      <c r="I15" s="58">
        <v>3</v>
      </c>
      <c r="K15" s="74">
        <v>13</v>
      </c>
      <c r="L15" s="119">
        <v>-132.5</v>
      </c>
      <c r="M15" s="117">
        <v>1525.3958783244625</v>
      </c>
      <c r="O15" s="73" t="s">
        <v>191</v>
      </c>
      <c r="P15" s="82">
        <f>IF(Q15=0,0,R15/Q15)</f>
        <v>11.272727272727268</v>
      </c>
      <c r="Q15" s="76">
        <v>22</v>
      </c>
      <c r="R15" s="67">
        <v>247.99999999999991</v>
      </c>
    </row>
    <row r="16" spans="1:18" x14ac:dyDescent="0.4">
      <c r="A16" s="22" t="s">
        <v>121</v>
      </c>
      <c r="B16" s="15">
        <v>76</v>
      </c>
      <c r="C16" s="10">
        <f>IF(B$3=0,0,B16/B$3)</f>
        <v>0.19</v>
      </c>
      <c r="E16" s="27" t="s">
        <v>81</v>
      </c>
      <c r="F16" s="24" t="s">
        <v>36</v>
      </c>
      <c r="G16" s="12">
        <v>4</v>
      </c>
      <c r="H16" s="88">
        <f>IF(B$20=0,0,G16/B$20)</f>
        <v>3.2258064516129031E-2</v>
      </c>
      <c r="I16" s="58">
        <v>4</v>
      </c>
      <c r="K16" s="74">
        <v>14</v>
      </c>
      <c r="L16" s="119">
        <v>-165.5</v>
      </c>
      <c r="M16" s="117">
        <v>1519.8735030545158</v>
      </c>
      <c r="O16" s="74" t="s">
        <v>126</v>
      </c>
      <c r="P16" s="83">
        <f>IF(Q16=0,0,R16/Q16)</f>
        <v>-3.7921052631578975</v>
      </c>
      <c r="Q16" s="77">
        <v>38</v>
      </c>
      <c r="R16" s="68">
        <v>-144.10000000000011</v>
      </c>
    </row>
    <row r="17" spans="1:18" x14ac:dyDescent="0.4">
      <c r="A17" s="19" t="s">
        <v>118</v>
      </c>
      <c r="B17" s="12">
        <v>91</v>
      </c>
      <c r="C17" s="6">
        <f>IF(B$3=0,0,B17/B$3)</f>
        <v>0.22750000000000001</v>
      </c>
      <c r="E17" s="27" t="s">
        <v>74</v>
      </c>
      <c r="F17" s="24" t="s">
        <v>29</v>
      </c>
      <c r="G17" s="12">
        <v>2</v>
      </c>
      <c r="H17" s="88">
        <f>IF(B$20=0,0,G17/B$20)</f>
        <v>1.6129032258064516E-2</v>
      </c>
      <c r="I17" s="58">
        <v>3</v>
      </c>
      <c r="K17" s="74">
        <v>15</v>
      </c>
      <c r="L17" s="119">
        <v>-119.8</v>
      </c>
      <c r="M17" s="117">
        <v>1528.5502620361888</v>
      </c>
      <c r="O17" s="74" t="s">
        <v>162</v>
      </c>
      <c r="P17" s="83">
        <f>IF(Q17=0,0,R17/Q17)</f>
        <v>-6.3473684210526296</v>
      </c>
      <c r="Q17" s="77">
        <v>19</v>
      </c>
      <c r="R17" s="68">
        <v>-120.59999999999997</v>
      </c>
    </row>
    <row r="18" spans="1:18" x14ac:dyDescent="0.4">
      <c r="A18" s="18" t="s">
        <v>123</v>
      </c>
      <c r="B18" s="11">
        <f>B24</f>
        <v>49</v>
      </c>
      <c r="C18" s="5">
        <f>IF(B$16=0,0,B18/B$16)</f>
        <v>0.64473684210526316</v>
      </c>
      <c r="E18" s="27" t="s">
        <v>73</v>
      </c>
      <c r="F18" s="24" t="s">
        <v>28</v>
      </c>
      <c r="G18" s="12">
        <v>1</v>
      </c>
      <c r="H18" s="88">
        <f>IF(B$20=0,0,G18/B$20)</f>
        <v>8.0645161290322578E-3</v>
      </c>
      <c r="I18" s="58">
        <v>5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 x14ac:dyDescent="0.4">
      <c r="A19" s="18" t="s">
        <v>124</v>
      </c>
      <c r="B19" s="11">
        <f>B25</f>
        <v>40</v>
      </c>
      <c r="C19" s="5">
        <f>IF(B$17=0,0,B19/B$17)</f>
        <v>0.43956043956043955</v>
      </c>
      <c r="E19" s="27" t="s">
        <v>87</v>
      </c>
      <c r="F19" s="24" t="s">
        <v>42</v>
      </c>
      <c r="G19" s="12">
        <v>1</v>
      </c>
      <c r="H19" s="88">
        <f>IF(B$20=0,0,G19/B$20)</f>
        <v>8.0645161290322578E-3</v>
      </c>
      <c r="I19" s="58">
        <v>1</v>
      </c>
      <c r="K19" s="74">
        <v>17</v>
      </c>
      <c r="L19" s="119">
        <v>-211.5</v>
      </c>
      <c r="M19" s="117">
        <v>1512.9009587011878</v>
      </c>
      <c r="O19" s="74" t="s">
        <v>200</v>
      </c>
      <c r="P19" s="83">
        <f>IF(Q19=0,0,R19/Q19)</f>
        <v>-112.7</v>
      </c>
      <c r="Q19" s="77">
        <v>1</v>
      </c>
      <c r="R19" s="68">
        <v>-112.7</v>
      </c>
    </row>
    <row r="20" spans="1:18" x14ac:dyDescent="0.4">
      <c r="A20" s="18" t="s">
        <v>10</v>
      </c>
      <c r="B20" s="11">
        <f>B23+B22</f>
        <v>124</v>
      </c>
      <c r="C20" s="5">
        <f>IF(B$3=0,0,B20/B$3)</f>
        <v>0.31</v>
      </c>
      <c r="E20" s="27" t="s">
        <v>91</v>
      </c>
      <c r="F20" s="24" t="s">
        <v>46</v>
      </c>
      <c r="G20" s="12">
        <v>1</v>
      </c>
      <c r="H20" s="88">
        <f>IF(B$20=0,0,G20/B$20)</f>
        <v>8.0645161290322578E-3</v>
      </c>
      <c r="I20" s="58">
        <v>7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60</v>
      </c>
      <c r="C21" s="6">
        <f>IF(B$3=0,0,B21/B$3)</f>
        <v>0.15</v>
      </c>
      <c r="E21" s="27" t="s">
        <v>94</v>
      </c>
      <c r="F21" s="24" t="s">
        <v>49</v>
      </c>
      <c r="G21" s="12">
        <v>1</v>
      </c>
      <c r="H21" s="88">
        <f>IF(B$20=0,0,G21/B$20)</f>
        <v>8.0645161290322578E-3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51</v>
      </c>
      <c r="C22" s="6">
        <f>IF(B$20=0,0,B22/B$20)</f>
        <v>0.41129032258064518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-122</v>
      </c>
      <c r="M22" s="117">
        <v>1530.804913729499</v>
      </c>
    </row>
    <row r="23" spans="1:18" x14ac:dyDescent="0.4">
      <c r="A23" s="19" t="s">
        <v>11</v>
      </c>
      <c r="B23" s="12">
        <v>73</v>
      </c>
      <c r="C23" s="6">
        <f>IF(B$20=0,0,B23/B$20)</f>
        <v>0.58870967741935487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 x14ac:dyDescent="0.4">
      <c r="A24" s="19" t="s">
        <v>182</v>
      </c>
      <c r="B24" s="12">
        <v>49</v>
      </c>
      <c r="C24" s="6">
        <f>IF(B$20=0,0,B24/B$20)</f>
        <v>0.39516129032258063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-125.6</v>
      </c>
      <c r="M24" s="117">
        <v>1531.6221317416391</v>
      </c>
    </row>
    <row r="25" spans="1:18" x14ac:dyDescent="0.4">
      <c r="A25" s="19" t="s">
        <v>180</v>
      </c>
      <c r="B25" s="12">
        <v>40</v>
      </c>
      <c r="C25" s="6">
        <f>IF(B$20=0,0,B25/B$20)</f>
        <v>0.32258064516129031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-57.199999999999989</v>
      </c>
      <c r="M25" s="117">
        <v>1544.6803989511893</v>
      </c>
    </row>
    <row r="26" spans="1:18" x14ac:dyDescent="0.4">
      <c r="A26" s="19" t="s">
        <v>181</v>
      </c>
      <c r="B26" s="12">
        <v>35</v>
      </c>
      <c r="C26" s="6">
        <f>IF(B$20=0,0,B26/B$20)</f>
        <v>0.28225806451612906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 x14ac:dyDescent="0.4">
      <c r="A27" s="19" t="s">
        <v>5</v>
      </c>
      <c r="B27" s="16">
        <f>IF(B$20=0,0,C27/B$20)</f>
        <v>7870.1612903225805</v>
      </c>
      <c r="C27" s="8">
        <v>975900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 x14ac:dyDescent="0.4">
      <c r="A28" s="20" t="s">
        <v>164</v>
      </c>
      <c r="B28" s="95">
        <f>IF($B$20-B$19=0,0,C28/($B$20-B$19))</f>
        <v>7761.9047619047615</v>
      </c>
      <c r="C28" s="96">
        <v>652000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-98.6</v>
      </c>
      <c r="M28" s="117">
        <v>1539.3502157541884</v>
      </c>
    </row>
    <row r="29" spans="1:18" x14ac:dyDescent="0.4">
      <c r="A29" s="20" t="s">
        <v>165</v>
      </c>
      <c r="B29" s="95">
        <f>IF(B$19=0,0,C29/B$19)</f>
        <v>8097.5</v>
      </c>
      <c r="C29" s="96">
        <v>323900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-130.6</v>
      </c>
      <c r="M29" s="117">
        <v>1534.2901144596633</v>
      </c>
    </row>
    <row r="30" spans="1:18" x14ac:dyDescent="0.4">
      <c r="A30" s="20" t="s">
        <v>163</v>
      </c>
      <c r="B30" s="95">
        <f>IF(B$21=0,0,C30/B$21)</f>
        <v>-8048.333333333333</v>
      </c>
      <c r="C30" s="96">
        <v>-482900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-107.1</v>
      </c>
      <c r="M31" s="117">
        <v>1539.9684755302678</v>
      </c>
    </row>
    <row r="32" spans="1:18" x14ac:dyDescent="0.4">
      <c r="A32" s="19" t="s">
        <v>157</v>
      </c>
      <c r="B32" s="12">
        <v>22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-137.9</v>
      </c>
      <c r="M32" s="117">
        <v>1535.1206646770863</v>
      </c>
    </row>
    <row r="33" spans="1:13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-167.8</v>
      </c>
      <c r="M33" s="117">
        <v>1530.0679406890238</v>
      </c>
    </row>
    <row r="34" spans="1:13" x14ac:dyDescent="0.4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-102.10000000000001</v>
      </c>
      <c r="M34" s="117">
        <v>1542.2535330448895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-67.800000000000011</v>
      </c>
      <c r="M35" s="117">
        <v>1548.7140118466202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-21.000000000000014</v>
      </c>
      <c r="M36" s="117">
        <v>1557.3857277755405</v>
      </c>
    </row>
    <row r="37" spans="1:13" x14ac:dyDescent="0.4">
      <c r="A37" s="54" t="s">
        <v>170</v>
      </c>
      <c r="B37" s="123">
        <v>6</v>
      </c>
      <c r="C37" s="98">
        <f t="shared" ref="C37:C49" si="2">IF(B$20=0,0,B37/B$20)</f>
        <v>4.8387096774193547E-2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17.199999999999989</v>
      </c>
      <c r="M37" s="117">
        <v>1564.4574134088873</v>
      </c>
    </row>
    <row r="38" spans="1:13" x14ac:dyDescent="0.4">
      <c r="A38" s="19" t="s">
        <v>166</v>
      </c>
      <c r="B38" s="12">
        <v>23</v>
      </c>
      <c r="C38" s="6">
        <f t="shared" si="2"/>
        <v>0.18548387096774194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  <c r="K38" s="74">
        <v>36</v>
      </c>
      <c r="L38" s="119">
        <v>75.699999999999989</v>
      </c>
      <c r="M38" s="117">
        <v>1575.1346689284339</v>
      </c>
    </row>
    <row r="39" spans="1:13" x14ac:dyDescent="0.4">
      <c r="A39" s="19" t="s">
        <v>167</v>
      </c>
      <c r="B39" s="124">
        <v>34</v>
      </c>
      <c r="C39" s="6">
        <f t="shared" si="2"/>
        <v>0.27419354838709675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51.79999999999999</v>
      </c>
      <c r="M39" s="117">
        <v>1570.9218609148634</v>
      </c>
    </row>
    <row r="40" spans="1:13" x14ac:dyDescent="0.4">
      <c r="A40" s="19" t="s">
        <v>168</v>
      </c>
      <c r="B40" s="124">
        <v>23</v>
      </c>
      <c r="C40" s="6">
        <f t="shared" si="2"/>
        <v>0.18548387096774194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20.79999999999999</v>
      </c>
      <c r="M40" s="117">
        <v>1565.3243297493741</v>
      </c>
    </row>
    <row r="41" spans="1:13" x14ac:dyDescent="0.4">
      <c r="A41" s="19" t="s">
        <v>169</v>
      </c>
      <c r="B41" s="124">
        <v>19</v>
      </c>
      <c r="C41" s="6">
        <f t="shared" si="2"/>
        <v>0.15322580645161291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39.599999999999994</v>
      </c>
      <c r="M41" s="117">
        <v>1568.7243837708779</v>
      </c>
    </row>
    <row r="42" spans="1:13" x14ac:dyDescent="0.4">
      <c r="A42" s="19" t="s">
        <v>171</v>
      </c>
      <c r="B42" s="124">
        <v>11</v>
      </c>
      <c r="C42" s="6">
        <f t="shared" si="2"/>
        <v>8.8709677419354843E-2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-18.500000000000007</v>
      </c>
      <c r="M42" s="117">
        <v>1557.7160374682526</v>
      </c>
    </row>
    <row r="43" spans="1:13" x14ac:dyDescent="0.4">
      <c r="A43" s="19" t="s">
        <v>172</v>
      </c>
      <c r="B43" s="124">
        <v>3</v>
      </c>
      <c r="C43" s="6">
        <f t="shared" si="2"/>
        <v>2.4193548387096774E-2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-73.5</v>
      </c>
      <c r="M43" s="117">
        <v>1547.8597412434431</v>
      </c>
    </row>
    <row r="44" spans="1:13" x14ac:dyDescent="0.4">
      <c r="A44" s="19" t="s">
        <v>173</v>
      </c>
      <c r="B44" s="124">
        <v>2</v>
      </c>
      <c r="C44" s="6">
        <f t="shared" si="2"/>
        <v>1.6129032258064516E-2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-105.5</v>
      </c>
      <c r="M44" s="117">
        <v>1542.2025827959824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-137.69999999999999</v>
      </c>
      <c r="M45" s="117">
        <v>1536.5433672992065</v>
      </c>
    </row>
    <row r="46" spans="1:13" x14ac:dyDescent="0.4">
      <c r="A46" s="19" t="s">
        <v>175</v>
      </c>
      <c r="B46" s="124">
        <v>1</v>
      </c>
      <c r="C46" s="6">
        <f t="shared" si="2"/>
        <v>8.0645161290322578E-3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-82.399999999999991</v>
      </c>
      <c r="M46" s="117">
        <v>1546.6681070954112</v>
      </c>
    </row>
    <row r="47" spans="1:13" x14ac:dyDescent="0.4">
      <c r="A47" s="19" t="s">
        <v>176</v>
      </c>
      <c r="B47" s="124">
        <v>1</v>
      </c>
      <c r="C47" s="6">
        <f t="shared" si="2"/>
        <v>8.0645161290322578E-3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-90.3</v>
      </c>
      <c r="M47" s="117">
        <v>1545.3560984528388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8.0645161290322578E-3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8DB3F-6F89-4CBB-957E-67EE369FDE1F}">
  <sheetPr codeName="Sheet13"/>
  <dimension ref="A1:R9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92</v>
      </c>
      <c r="C2" s="134"/>
      <c r="E2" s="26" t="s">
        <v>66</v>
      </c>
      <c r="F2" s="23" t="s">
        <v>22</v>
      </c>
      <c r="G2" s="11">
        <v>149</v>
      </c>
      <c r="H2" s="87">
        <f>IF(B$20=0,0,G2/B$20)</f>
        <v>0.68036529680365299</v>
      </c>
      <c r="I2" s="57">
        <v>7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1741.304347826087</v>
      </c>
      <c r="Q2" s="76">
        <v>92</v>
      </c>
      <c r="R2" s="63">
        <v>160200</v>
      </c>
    </row>
    <row r="3" spans="1:18" x14ac:dyDescent="0.4">
      <c r="A3" s="19" t="s">
        <v>8</v>
      </c>
      <c r="B3" s="135">
        <v>764</v>
      </c>
      <c r="C3" s="136"/>
      <c r="E3" s="27" t="s">
        <v>64</v>
      </c>
      <c r="F3" s="24" t="s">
        <v>20</v>
      </c>
      <c r="G3" s="12">
        <v>139</v>
      </c>
      <c r="H3" s="88">
        <f>IF(B$20=0,0,G3/B$20)</f>
        <v>0.63470319634703198</v>
      </c>
      <c r="I3" s="58">
        <v>3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340.44943820224717</v>
      </c>
      <c r="Q3" s="77">
        <v>89</v>
      </c>
      <c r="R3" s="64">
        <v>30300</v>
      </c>
    </row>
    <row r="4" spans="1:18" x14ac:dyDescent="0.4">
      <c r="A4" s="19" t="s">
        <v>6</v>
      </c>
      <c r="B4" s="137">
        <v>460.49999999999966</v>
      </c>
      <c r="C4" s="138"/>
      <c r="E4" s="27" t="s">
        <v>72</v>
      </c>
      <c r="F4" s="24" t="s">
        <v>27</v>
      </c>
      <c r="G4" s="12">
        <v>99</v>
      </c>
      <c r="H4" s="88">
        <f>IF(B$20=0,0,G4/B$20)</f>
        <v>0.45205479452054792</v>
      </c>
      <c r="I4" s="58">
        <v>6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1277.0114942528735</v>
      </c>
      <c r="Q4" s="77">
        <v>87</v>
      </c>
      <c r="R4" s="64">
        <v>111100</v>
      </c>
    </row>
    <row r="5" spans="1:18" x14ac:dyDescent="0.4">
      <c r="A5" s="19" t="s">
        <v>7</v>
      </c>
      <c r="B5" s="125">
        <f>IF(B$2=0,0,B$4/B$2)</f>
        <v>5.0054347826086918</v>
      </c>
      <c r="C5" s="126"/>
      <c r="E5" s="27" t="s">
        <v>67</v>
      </c>
      <c r="F5" s="24" t="s">
        <v>23</v>
      </c>
      <c r="G5" s="12">
        <v>94</v>
      </c>
      <c r="H5" s="88">
        <f>IF(B$20=0,0,G5/B$20)</f>
        <v>0.42922374429223742</v>
      </c>
      <c r="I5" s="58">
        <v>2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944.57831325301208</v>
      </c>
      <c r="Q5" s="77">
        <v>83</v>
      </c>
      <c r="R5" s="64">
        <v>78400</v>
      </c>
    </row>
    <row r="6" spans="1:18" x14ac:dyDescent="0.4">
      <c r="A6" s="19" t="s">
        <v>192</v>
      </c>
      <c r="B6" s="129">
        <v>1800.5374998935131</v>
      </c>
      <c r="C6" s="130"/>
      <c r="E6" s="27" t="s">
        <v>158</v>
      </c>
      <c r="F6" s="24" t="s">
        <v>159</v>
      </c>
      <c r="G6" s="12">
        <v>89</v>
      </c>
      <c r="H6" s="88">
        <f>IF(B$20=0,0,G6/B$20)</f>
        <v>0.40639269406392692</v>
      </c>
      <c r="I6" s="58">
        <v>6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114.28571428571429</v>
      </c>
      <c r="Q6" s="77">
        <v>77</v>
      </c>
      <c r="R6" s="64">
        <v>8800</v>
      </c>
    </row>
    <row r="7" spans="1:18" x14ac:dyDescent="0.4">
      <c r="A7" s="19" t="s">
        <v>1</v>
      </c>
      <c r="B7" s="139">
        <f>IF(B$2=0,0,(B$8*1+B$9*2+B$10*3)/B$2)</f>
        <v>1.8913043478260869</v>
      </c>
      <c r="C7" s="140"/>
      <c r="E7" s="27" t="s">
        <v>68</v>
      </c>
      <c r="F7" s="24" t="s">
        <v>12</v>
      </c>
      <c r="G7" s="12">
        <v>71</v>
      </c>
      <c r="H7" s="88">
        <f>IF(B$20=0,0,G7/B$20)</f>
        <v>0.32420091324200911</v>
      </c>
      <c r="I7" s="58">
        <v>7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-1421.7391304347825</v>
      </c>
      <c r="Q7" s="78">
        <v>69</v>
      </c>
      <c r="R7" s="65">
        <v>-98100</v>
      </c>
    </row>
    <row r="8" spans="1:18" x14ac:dyDescent="0.4">
      <c r="A8" s="19" t="s">
        <v>2</v>
      </c>
      <c r="B8" s="12">
        <v>34</v>
      </c>
      <c r="C8" s="6">
        <f t="shared" ref="C8:C15" si="1">IF(B$2=0,0,B8/B$2)</f>
        <v>0.36956521739130432</v>
      </c>
      <c r="E8" s="27" t="s">
        <v>89</v>
      </c>
      <c r="F8" s="24" t="s">
        <v>44</v>
      </c>
      <c r="G8" s="12">
        <v>37</v>
      </c>
      <c r="H8" s="88">
        <f>IF(B$20=0,0,G8/B$20)</f>
        <v>0.16894977168949771</v>
      </c>
      <c r="I8" s="58">
        <v>2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34</v>
      </c>
      <c r="C9" s="6">
        <f t="shared" si="1"/>
        <v>0.36956521739130432</v>
      </c>
      <c r="E9" s="27" t="s">
        <v>69</v>
      </c>
      <c r="F9" s="24" t="s">
        <v>24</v>
      </c>
      <c r="G9" s="12">
        <v>31</v>
      </c>
      <c r="H9" s="88">
        <f>IF(B$20=0,0,G9/B$20)</f>
        <v>0.14155251141552511</v>
      </c>
      <c r="I9" s="58">
        <v>7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24</v>
      </c>
      <c r="C10" s="7">
        <f t="shared" si="1"/>
        <v>0.2608695652173913</v>
      </c>
      <c r="E10" s="27" t="s">
        <v>65</v>
      </c>
      <c r="F10" s="24" t="s">
        <v>21</v>
      </c>
      <c r="G10" s="12">
        <v>27</v>
      </c>
      <c r="H10" s="88">
        <f>IF(B$20=0,0,G10/B$20)</f>
        <v>0.12328767123287671</v>
      </c>
      <c r="I10" s="58">
        <v>8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8.9363636363636374</v>
      </c>
      <c r="Q10" s="76">
        <v>33</v>
      </c>
      <c r="R10" s="67">
        <v>294.90000000000003</v>
      </c>
    </row>
    <row r="11" spans="1:18" x14ac:dyDescent="0.4">
      <c r="A11" s="20" t="s">
        <v>183</v>
      </c>
      <c r="B11" s="109">
        <f>IF(B8=0,0,C11/B8)</f>
        <v>48.150000000000013</v>
      </c>
      <c r="C11" s="110">
        <v>1637.1000000000004</v>
      </c>
      <c r="E11" s="27" t="s">
        <v>86</v>
      </c>
      <c r="F11" s="24" t="s">
        <v>41</v>
      </c>
      <c r="G11" s="12">
        <v>22</v>
      </c>
      <c r="H11" s="88">
        <f>IF(B$20=0,0,G11/B$20)</f>
        <v>0.1004566210045662</v>
      </c>
      <c r="I11" s="58">
        <v>2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1.8461538461538469</v>
      </c>
      <c r="Q11" s="77">
        <v>26</v>
      </c>
      <c r="R11" s="68">
        <v>48.000000000000021</v>
      </c>
    </row>
    <row r="12" spans="1:18" x14ac:dyDescent="0.4">
      <c r="A12" s="20" t="s">
        <v>184</v>
      </c>
      <c r="B12" s="109">
        <f>IF(B9=0,0,C12/B9)</f>
        <v>-2.994117647058824</v>
      </c>
      <c r="C12" s="110">
        <v>-101.80000000000001</v>
      </c>
      <c r="E12" s="27" t="s">
        <v>70</v>
      </c>
      <c r="F12" s="24" t="s">
        <v>25</v>
      </c>
      <c r="G12" s="12">
        <v>21</v>
      </c>
      <c r="H12" s="88">
        <f>IF(B$20=0,0,G12/B$20)</f>
        <v>9.5890410958904104E-2</v>
      </c>
      <c r="I12" s="58">
        <v>6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3.5636363636363639</v>
      </c>
      <c r="Q12" s="78">
        <v>33</v>
      </c>
      <c r="R12" s="69">
        <v>117.60000000000001</v>
      </c>
    </row>
    <row r="13" spans="1:18" x14ac:dyDescent="0.4">
      <c r="A13" s="20" t="s">
        <v>185</v>
      </c>
      <c r="B13" s="109">
        <f>IF(B10=0,0,C13/B10)</f>
        <v>-44.783333333333339</v>
      </c>
      <c r="C13" s="110">
        <v>-1074.8000000000002</v>
      </c>
      <c r="E13" s="27" t="s">
        <v>71</v>
      </c>
      <c r="F13" s="24" t="s">
        <v>26</v>
      </c>
      <c r="G13" s="12">
        <v>12</v>
      </c>
      <c r="H13" s="88">
        <f>IF(B$20=0,0,G13/B$20)</f>
        <v>5.4794520547945202E-2</v>
      </c>
      <c r="I13" s="58">
        <v>10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0.12418300653595082</v>
      </c>
      <c r="C14" s="126"/>
      <c r="E14" s="27" t="s">
        <v>78</v>
      </c>
      <c r="F14" s="24" t="s">
        <v>33</v>
      </c>
      <c r="G14" s="12">
        <v>7</v>
      </c>
      <c r="H14" s="88">
        <f>IF(B$20=0,0,G14/B$20)</f>
        <v>3.1963470319634701E-2</v>
      </c>
      <c r="I14" s="58">
        <v>5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7</v>
      </c>
      <c r="C15" s="9">
        <f t="shared" si="1"/>
        <v>7.6086956521739135E-2</v>
      </c>
      <c r="E15" s="27" t="s">
        <v>79</v>
      </c>
      <c r="F15" s="24" t="s">
        <v>34</v>
      </c>
      <c r="G15" s="12">
        <v>6</v>
      </c>
      <c r="H15" s="88">
        <f>IF(B$20=0,0,G15/B$20)</f>
        <v>2.7397260273972601E-2</v>
      </c>
      <c r="I15" s="58">
        <v>3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265</v>
      </c>
      <c r="C16" s="10">
        <f>IF(B$3=0,0,B16/B$3)</f>
        <v>0.34685863874345552</v>
      </c>
      <c r="E16" s="27" t="s">
        <v>81</v>
      </c>
      <c r="F16" s="24" t="s">
        <v>36</v>
      </c>
      <c r="G16" s="12">
        <v>5</v>
      </c>
      <c r="H16" s="88">
        <f>IF(B$20=0,0,G16/B$20)</f>
        <v>2.2831050228310501E-2</v>
      </c>
      <c r="I16" s="58">
        <v>8</v>
      </c>
      <c r="K16" s="74">
        <v>14</v>
      </c>
      <c r="L16" s="119">
        <v>244.7</v>
      </c>
      <c r="M16" s="117">
        <v>1871.5564856013168</v>
      </c>
      <c r="O16" s="74" t="s">
        <v>200</v>
      </c>
      <c r="P16" s="83">
        <f>IF(Q16=0,0,R16/Q16)</f>
        <v>34.199999999999996</v>
      </c>
      <c r="Q16" s="77">
        <v>1</v>
      </c>
      <c r="R16" s="68">
        <v>34.199999999999996</v>
      </c>
    </row>
    <row r="17" spans="1:18" x14ac:dyDescent="0.4">
      <c r="A17" s="19" t="s">
        <v>118</v>
      </c>
      <c r="B17" s="12">
        <v>123</v>
      </c>
      <c r="C17" s="6">
        <f>IF(B$3=0,0,B17/B$3)</f>
        <v>0.16099476439790575</v>
      </c>
      <c r="E17" s="27" t="s">
        <v>83</v>
      </c>
      <c r="F17" s="24" t="s">
        <v>38</v>
      </c>
      <c r="G17" s="12">
        <v>5</v>
      </c>
      <c r="H17" s="88">
        <f>IF(B$20=0,0,G17/B$20)</f>
        <v>2.2831050228310501E-2</v>
      </c>
      <c r="I17" s="58">
        <v>8</v>
      </c>
      <c r="K17" s="74">
        <v>15</v>
      </c>
      <c r="L17" s="119">
        <v>278.59999999999997</v>
      </c>
      <c r="M17" s="117">
        <v>1875.867146687709</v>
      </c>
      <c r="O17" s="74" t="s">
        <v>191</v>
      </c>
      <c r="P17" s="83">
        <f>IF(Q17=0,0,R17/Q17)</f>
        <v>20.743636363636362</v>
      </c>
      <c r="Q17" s="77">
        <v>55</v>
      </c>
      <c r="R17" s="68">
        <v>1140.8999999999999</v>
      </c>
    </row>
    <row r="18" spans="1:18" x14ac:dyDescent="0.4">
      <c r="A18" s="18" t="s">
        <v>123</v>
      </c>
      <c r="B18" s="11">
        <f>B24</f>
        <v>140</v>
      </c>
      <c r="C18" s="5">
        <f>IF(B$16=0,0,B18/B$16)</f>
        <v>0.52830188679245282</v>
      </c>
      <c r="E18" s="27" t="s">
        <v>75</v>
      </c>
      <c r="F18" s="24" t="s">
        <v>30</v>
      </c>
      <c r="G18" s="12">
        <v>3</v>
      </c>
      <c r="H18" s="88">
        <f>IF(B$20=0,0,G18/B$20)</f>
        <v>1.3698630136986301E-2</v>
      </c>
      <c r="I18" s="58">
        <v>2</v>
      </c>
      <c r="K18" s="74">
        <v>16</v>
      </c>
      <c r="L18" s="119">
        <v>247.79999999999995</v>
      </c>
      <c r="M18" s="117">
        <v>1868.5059438075828</v>
      </c>
      <c r="O18" s="74" t="s">
        <v>188</v>
      </c>
      <c r="P18" s="83">
        <f>IF(Q18=0,0,R18/Q18)</f>
        <v>19.166666666666668</v>
      </c>
      <c r="Q18" s="77">
        <v>12</v>
      </c>
      <c r="R18" s="68">
        <v>230.00000000000003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0.38211382113821141</v>
      </c>
      <c r="E19" s="27" t="s">
        <v>91</v>
      </c>
      <c r="F19" s="24" t="s">
        <v>46</v>
      </c>
      <c r="G19" s="12">
        <v>3</v>
      </c>
      <c r="H19" s="88">
        <f>IF(B$20=0,0,G19/B$20)</f>
        <v>1.3698630136986301E-2</v>
      </c>
      <c r="I19" s="58">
        <v>6</v>
      </c>
      <c r="K19" s="74">
        <v>17</v>
      </c>
      <c r="L19" s="119">
        <v>298.79999999999995</v>
      </c>
      <c r="M19" s="117">
        <v>1875.9129081447372</v>
      </c>
      <c r="O19" s="74" t="s">
        <v>189</v>
      </c>
      <c r="P19" s="83">
        <f>IF(Q19=0,0,R19/Q19)</f>
        <v>3.7921052631578975</v>
      </c>
      <c r="Q19" s="77">
        <v>38</v>
      </c>
      <c r="R19" s="68">
        <v>144.10000000000011</v>
      </c>
    </row>
    <row r="20" spans="1:18" x14ac:dyDescent="0.4">
      <c r="A20" s="18" t="s">
        <v>10</v>
      </c>
      <c r="B20" s="11">
        <f>B23+B22</f>
        <v>219</v>
      </c>
      <c r="C20" s="5">
        <f>IF(B$3=0,0,B20/B$3)</f>
        <v>0.28664921465968585</v>
      </c>
      <c r="E20" s="27" t="s">
        <v>92</v>
      </c>
      <c r="F20" s="24" t="s">
        <v>47</v>
      </c>
      <c r="G20" s="12">
        <v>3</v>
      </c>
      <c r="H20" s="88">
        <f>IF(B$20=0,0,G20/B$20)</f>
        <v>1.3698630136986301E-2</v>
      </c>
      <c r="I20" s="58">
        <v>2</v>
      </c>
      <c r="K20" s="74">
        <v>18</v>
      </c>
      <c r="L20" s="119">
        <v>327.79999999999995</v>
      </c>
      <c r="M20" s="117">
        <v>1879.3154306958688</v>
      </c>
      <c r="O20" s="74" t="s">
        <v>187</v>
      </c>
      <c r="P20" s="83">
        <f>IF(Q20=0,0,R20/Q20)</f>
        <v>-5.3777777777777764</v>
      </c>
      <c r="Q20" s="77">
        <v>9</v>
      </c>
      <c r="R20" s="68">
        <v>-48.399999999999991</v>
      </c>
    </row>
    <row r="21" spans="1:18" x14ac:dyDescent="0.4">
      <c r="A21" s="19" t="s">
        <v>13</v>
      </c>
      <c r="B21" s="12">
        <v>111</v>
      </c>
      <c r="C21" s="6">
        <f>IF(B$3=0,0,B21/B$3)</f>
        <v>0.14528795811518325</v>
      </c>
      <c r="E21" s="27" t="s">
        <v>154</v>
      </c>
      <c r="F21" s="24" t="s">
        <v>155</v>
      </c>
      <c r="G21" s="12">
        <v>3</v>
      </c>
      <c r="H21" s="88">
        <f>IF(B$20=0,0,G21/B$20)</f>
        <v>1.3698630136986301E-2</v>
      </c>
      <c r="I21" s="58">
        <v>5</v>
      </c>
      <c r="K21" s="74">
        <v>19</v>
      </c>
      <c r="L21" s="119">
        <v>347.49999999999994</v>
      </c>
      <c r="M21" s="117">
        <v>1881.0235381116936</v>
      </c>
      <c r="O21" s="74" t="s">
        <v>162</v>
      </c>
      <c r="P21" s="83">
        <f>IF(Q21=0,0,R21/Q21)</f>
        <v>-8.9799999999999986</v>
      </c>
      <c r="Q21" s="77">
        <v>45</v>
      </c>
      <c r="R21" s="68">
        <v>-404.09999999999991</v>
      </c>
    </row>
    <row r="22" spans="1:18" x14ac:dyDescent="0.4">
      <c r="A22" s="19" t="s">
        <v>12</v>
      </c>
      <c r="B22" s="12">
        <v>89</v>
      </c>
      <c r="C22" s="6">
        <f>IF(B$20=0,0,B22/B$20)</f>
        <v>0.40639269406392692</v>
      </c>
      <c r="E22" s="27" t="s">
        <v>93</v>
      </c>
      <c r="F22" s="24" t="s">
        <v>48</v>
      </c>
      <c r="G22" s="12">
        <v>2</v>
      </c>
      <c r="H22" s="88">
        <f>IF(B$20=0,0,G22/B$20)</f>
        <v>9.1324200913242004E-3</v>
      </c>
      <c r="I22" s="58">
        <v>2</v>
      </c>
      <c r="K22" s="74">
        <v>20</v>
      </c>
      <c r="L22" s="119">
        <v>354.69999999999993</v>
      </c>
      <c r="M22" s="117">
        <v>1880.4653968830235</v>
      </c>
      <c r="O22" s="74" t="s">
        <v>195</v>
      </c>
      <c r="P22" s="83">
        <f>IF(Q22=0,0,R22/Q22)</f>
        <v>-15.600000000000003</v>
      </c>
      <c r="Q22" s="77">
        <v>15</v>
      </c>
      <c r="R22" s="68">
        <v>-234.00000000000006</v>
      </c>
    </row>
    <row r="23" spans="1:18" x14ac:dyDescent="0.4">
      <c r="A23" s="19" t="s">
        <v>11</v>
      </c>
      <c r="B23" s="12">
        <v>130</v>
      </c>
      <c r="C23" s="6">
        <f>IF(B$20=0,0,B23/B$20)</f>
        <v>0.59360730593607303</v>
      </c>
      <c r="E23" s="27" t="s">
        <v>76</v>
      </c>
      <c r="F23" s="24" t="s">
        <v>31</v>
      </c>
      <c r="G23" s="12">
        <v>1</v>
      </c>
      <c r="H23" s="88">
        <f>IF(B$20=0,0,G23/B$20)</f>
        <v>4.5662100456621002E-3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140</v>
      </c>
      <c r="C24" s="6">
        <f>IF(B$20=0,0,B24/B$20)</f>
        <v>0.63926940639269403</v>
      </c>
      <c r="E24" s="27" t="s">
        <v>99</v>
      </c>
      <c r="F24" s="24" t="s">
        <v>54</v>
      </c>
      <c r="G24" s="12">
        <v>1</v>
      </c>
      <c r="H24" s="88">
        <f>IF(B$20=0,0,G24/B$20)</f>
        <v>4.5662100456621002E-3</v>
      </c>
      <c r="I24" s="58">
        <v>2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47</v>
      </c>
      <c r="C25" s="6">
        <f>IF(B$20=0,0,B25/B$20)</f>
        <v>0.21461187214611871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7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32</v>
      </c>
      <c r="C26" s="6">
        <f>IF(B$20=0,0,B26/B$20)</f>
        <v>0.14611872146118721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9998.6301369863013</v>
      </c>
      <c r="C27" s="8">
        <v>2189700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10592.441860465116</v>
      </c>
      <c r="C28" s="96">
        <v>1821900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7825.5319148936169</v>
      </c>
      <c r="C29" s="96">
        <v>367800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-8486.4864864864867</v>
      </c>
      <c r="C30" s="96">
        <v>-942000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314.19999999999993</v>
      </c>
      <c r="M30" s="117">
        <v>1860.3953533148044</v>
      </c>
    </row>
    <row r="31" spans="1:18" x14ac:dyDescent="0.4">
      <c r="A31" s="19" t="s">
        <v>156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310.49999999999994</v>
      </c>
      <c r="M31" s="117">
        <v>1858.5029811949155</v>
      </c>
    </row>
    <row r="32" spans="1:18" x14ac:dyDescent="0.4">
      <c r="A32" s="19" t="s">
        <v>157</v>
      </c>
      <c r="B32" s="12">
        <v>47</v>
      </c>
      <c r="C32" s="90">
        <v>11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337.69999999999993</v>
      </c>
      <c r="M32" s="117">
        <v>1862.1839633077459</v>
      </c>
    </row>
    <row r="33" spans="1:13" x14ac:dyDescent="0.4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 x14ac:dyDescent="0.4">
      <c r="A34" s="22" t="s">
        <v>179</v>
      </c>
      <c r="B34" s="129">
        <v>144300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329.7999999999999</v>
      </c>
      <c r="M34" s="117">
        <v>1858.3087863707322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290.69999999999987</v>
      </c>
      <c r="M36" s="117">
        <v>1848.8568440505928</v>
      </c>
    </row>
    <row r="37" spans="1:13" x14ac:dyDescent="0.4">
      <c r="A37" s="54" t="s">
        <v>170</v>
      </c>
      <c r="B37" s="123">
        <v>12</v>
      </c>
      <c r="C37" s="98">
        <f t="shared" ref="C37:C49" si="2">IF(B$20=0,0,B37/B$20)</f>
        <v>5.4794520547945202E-2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 x14ac:dyDescent="0.4">
      <c r="A38" s="19" t="s">
        <v>166</v>
      </c>
      <c r="B38" s="12">
        <v>23</v>
      </c>
      <c r="C38" s="6">
        <f t="shared" si="2"/>
        <v>0.1050228310502283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236.69999999999987</v>
      </c>
      <c r="M38" s="117">
        <v>1836.8264807683715</v>
      </c>
    </row>
    <row r="39" spans="1:13" x14ac:dyDescent="0.4">
      <c r="A39" s="19" t="s">
        <v>167</v>
      </c>
      <c r="B39" s="124">
        <v>46</v>
      </c>
      <c r="C39" s="6">
        <f t="shared" si="2"/>
        <v>0.21004566210045661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 x14ac:dyDescent="0.4">
      <c r="A40" s="19" t="s">
        <v>168</v>
      </c>
      <c r="B40" s="124">
        <v>33</v>
      </c>
      <c r="C40" s="6">
        <f t="shared" si="2"/>
        <v>0.15068493150684931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 x14ac:dyDescent="0.4">
      <c r="A41" s="19" t="s">
        <v>169</v>
      </c>
      <c r="B41" s="124">
        <v>36</v>
      </c>
      <c r="C41" s="6">
        <f t="shared" si="2"/>
        <v>0.16438356164383561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401.99999999999989</v>
      </c>
      <c r="M41" s="117">
        <v>1862.8634088439439</v>
      </c>
    </row>
    <row r="42" spans="1:13" x14ac:dyDescent="0.4">
      <c r="A42" s="19" t="s">
        <v>171</v>
      </c>
      <c r="B42" s="124">
        <v>30</v>
      </c>
      <c r="C42" s="6">
        <f t="shared" si="2"/>
        <v>0.13698630136986301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394.39999999999986</v>
      </c>
      <c r="M42" s="117">
        <v>1859.8582283908802</v>
      </c>
    </row>
    <row r="43" spans="1:13" x14ac:dyDescent="0.4">
      <c r="A43" s="19" t="s">
        <v>172</v>
      </c>
      <c r="B43" s="124">
        <v>17</v>
      </c>
      <c r="C43" s="6">
        <f t="shared" si="2"/>
        <v>7.7625570776255703E-2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359.09999999999985</v>
      </c>
      <c r="M43" s="117">
        <v>1851.8850790205349</v>
      </c>
    </row>
    <row r="44" spans="1:13" x14ac:dyDescent="0.4">
      <c r="A44" s="19" t="s">
        <v>173</v>
      </c>
      <c r="B44" s="124">
        <v>11</v>
      </c>
      <c r="C44" s="6">
        <f t="shared" si="2"/>
        <v>5.0228310502283102E-2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360.29999999999984</v>
      </c>
      <c r="M44" s="117">
        <v>1850.5297685464118</v>
      </c>
    </row>
    <row r="45" spans="1:13" x14ac:dyDescent="0.4">
      <c r="A45" s="19" t="s">
        <v>174</v>
      </c>
      <c r="B45" s="124">
        <v>3</v>
      </c>
      <c r="C45" s="6">
        <f t="shared" si="2"/>
        <v>1.3698630136986301E-2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322.49999999999983</v>
      </c>
      <c r="M45" s="117">
        <v>1842.1625899351334</v>
      </c>
    </row>
    <row r="46" spans="1:13" x14ac:dyDescent="0.4">
      <c r="A46" s="19" t="s">
        <v>175</v>
      </c>
      <c r="B46" s="124">
        <v>1</v>
      </c>
      <c r="C46" s="6">
        <f t="shared" si="2"/>
        <v>4.5662100456621002E-3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269.79999999999984</v>
      </c>
      <c r="M46" s="117">
        <v>1831.1576143955226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296.19999999999982</v>
      </c>
      <c r="M47" s="117">
        <v>1834.4626687091495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308.19999999999982</v>
      </c>
      <c r="M48" s="117">
        <v>1835.0118926968946</v>
      </c>
    </row>
    <row r="49" spans="1:13" x14ac:dyDescent="0.4">
      <c r="A49" s="21" t="s">
        <v>178</v>
      </c>
      <c r="B49" s="97">
        <v>7</v>
      </c>
      <c r="C49" s="9">
        <f t="shared" si="2"/>
        <v>3.1963470319634701E-2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337.89999999999981</v>
      </c>
      <c r="M49" s="117">
        <v>1838.8458213407132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365.49999999999983</v>
      </c>
      <c r="M50" s="117">
        <v>1842.2787464126689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383.19999999999982</v>
      </c>
      <c r="M51" s="117">
        <v>1843.9090739341927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430.69999999999982</v>
      </c>
      <c r="M52" s="117">
        <v>1850.8936194905875</v>
      </c>
    </row>
    <row r="53" spans="1:13" x14ac:dyDescent="0.4">
      <c r="K53" s="74">
        <v>51</v>
      </c>
      <c r="L53" s="119">
        <v>489.69999999999982</v>
      </c>
      <c r="M53" s="117">
        <v>1859.906257773644</v>
      </c>
    </row>
    <row r="54" spans="1:13" x14ac:dyDescent="0.4">
      <c r="K54" s="74">
        <v>52</v>
      </c>
      <c r="L54" s="119">
        <v>548.5999999999998</v>
      </c>
      <c r="M54" s="117">
        <v>1868.8468202270021</v>
      </c>
    </row>
    <row r="55" spans="1:13" x14ac:dyDescent="0.4">
      <c r="K55" s="74">
        <v>53</v>
      </c>
      <c r="L55" s="119">
        <v>480.39999999999981</v>
      </c>
      <c r="M55" s="117">
        <v>1854.8557393056401</v>
      </c>
    </row>
    <row r="56" spans="1:13" x14ac:dyDescent="0.4">
      <c r="K56" s="74">
        <v>54</v>
      </c>
      <c r="L56" s="119">
        <v>454.39999999999981</v>
      </c>
      <c r="M56" s="117">
        <v>1848.5446048698063</v>
      </c>
    </row>
    <row r="57" spans="1:13" x14ac:dyDescent="0.4">
      <c r="K57" s="74">
        <v>55</v>
      </c>
      <c r="L57" s="119">
        <v>541.5999999999998</v>
      </c>
      <c r="M57" s="117">
        <v>1862.6473372405876</v>
      </c>
    </row>
    <row r="58" spans="1:13" x14ac:dyDescent="0.4">
      <c r="K58" s="74">
        <v>56</v>
      </c>
      <c r="L58" s="119">
        <v>537.99999999999977</v>
      </c>
      <c r="M58" s="117">
        <v>1860.3214532171442</v>
      </c>
    </row>
    <row r="59" spans="1:13" x14ac:dyDescent="0.4">
      <c r="K59" s="74">
        <v>57</v>
      </c>
      <c r="L59" s="119">
        <v>512.79999999999973</v>
      </c>
      <c r="M59" s="117">
        <v>1854.1215244978414</v>
      </c>
    </row>
    <row r="60" spans="1:13" x14ac:dyDescent="0.4">
      <c r="K60" s="74">
        <v>58</v>
      </c>
      <c r="L60" s="119">
        <v>449.09999999999974</v>
      </c>
      <c r="M60" s="117">
        <v>1841.1067953508543</v>
      </c>
    </row>
    <row r="61" spans="1:13" x14ac:dyDescent="0.4">
      <c r="K61" s="74">
        <v>59</v>
      </c>
      <c r="L61" s="119">
        <v>418.49999999999972</v>
      </c>
      <c r="M61" s="117">
        <v>1834.1281545787492</v>
      </c>
    </row>
    <row r="62" spans="1:13" x14ac:dyDescent="0.4">
      <c r="K62" s="74">
        <v>60</v>
      </c>
      <c r="L62" s="119">
        <v>456.1999999999997</v>
      </c>
      <c r="M62" s="117">
        <v>1839.4853856512768</v>
      </c>
    </row>
    <row r="63" spans="1:13" x14ac:dyDescent="0.4">
      <c r="K63" s="74">
        <v>61</v>
      </c>
      <c r="L63" s="119">
        <v>434.09999999999968</v>
      </c>
      <c r="M63" s="117">
        <v>1834.0464733373692</v>
      </c>
    </row>
    <row r="64" spans="1:13" x14ac:dyDescent="0.4">
      <c r="K64" s="74">
        <v>62</v>
      </c>
      <c r="L64" s="119">
        <v>389.6999999999997</v>
      </c>
      <c r="M64" s="117">
        <v>1824.6261944973451</v>
      </c>
    </row>
    <row r="65" spans="11:13" x14ac:dyDescent="0.4">
      <c r="K65" s="74">
        <v>63</v>
      </c>
      <c r="L65" s="119">
        <v>393.99999999999972</v>
      </c>
      <c r="M65" s="117">
        <v>1824.034437330361</v>
      </c>
    </row>
    <row r="66" spans="11:13" x14ac:dyDescent="0.4">
      <c r="K66" s="74">
        <v>64</v>
      </c>
      <c r="L66" s="119">
        <v>381.39999999999969</v>
      </c>
      <c r="M66" s="117">
        <v>1820.3982307063789</v>
      </c>
    </row>
    <row r="67" spans="11:13" x14ac:dyDescent="0.4">
      <c r="K67" s="74">
        <v>65</v>
      </c>
      <c r="L67" s="119">
        <v>420.59999999999968</v>
      </c>
      <c r="M67" s="117">
        <v>1826.1078413221405</v>
      </c>
    </row>
    <row r="68" spans="11:13" x14ac:dyDescent="0.4">
      <c r="K68" s="74">
        <v>66</v>
      </c>
      <c r="L68" s="119">
        <v>356.49999999999966</v>
      </c>
      <c r="M68" s="117">
        <v>1813.1891942742077</v>
      </c>
    </row>
    <row r="69" spans="11:13" x14ac:dyDescent="0.4">
      <c r="K69" s="74">
        <v>67</v>
      </c>
      <c r="L69" s="119">
        <v>345.49999999999966</v>
      </c>
      <c r="M69" s="117">
        <v>1809.9060591085624</v>
      </c>
    </row>
    <row r="70" spans="11:13" x14ac:dyDescent="0.4">
      <c r="K70" s="74">
        <v>68</v>
      </c>
      <c r="L70" s="119">
        <v>374.29999999999967</v>
      </c>
      <c r="M70" s="117">
        <v>1813.8066227539111</v>
      </c>
    </row>
    <row r="71" spans="11:13" x14ac:dyDescent="0.4">
      <c r="K71" s="74">
        <v>69</v>
      </c>
      <c r="L71" s="119">
        <v>415.39999999999969</v>
      </c>
      <c r="M71" s="117">
        <v>1819.8977830173876</v>
      </c>
    </row>
    <row r="72" spans="11:13" x14ac:dyDescent="0.4">
      <c r="K72" s="74">
        <v>70</v>
      </c>
      <c r="L72" s="119">
        <v>431.59999999999968</v>
      </c>
      <c r="M72" s="117">
        <v>1821.7703963192832</v>
      </c>
    </row>
    <row r="73" spans="11:13" x14ac:dyDescent="0.4">
      <c r="K73" s="74">
        <v>71</v>
      </c>
      <c r="L73" s="119">
        <v>367.79999999999967</v>
      </c>
      <c r="M73" s="117">
        <v>1809.0037739413676</v>
      </c>
    </row>
    <row r="74" spans="11:13" x14ac:dyDescent="0.4">
      <c r="K74" s="74">
        <v>72</v>
      </c>
      <c r="L74" s="119">
        <v>334.29999999999967</v>
      </c>
      <c r="M74" s="117">
        <v>1801.7677512977193</v>
      </c>
    </row>
    <row r="75" spans="11:13" x14ac:dyDescent="0.4">
      <c r="K75" s="74">
        <v>73</v>
      </c>
      <c r="L75" s="119">
        <v>286.49999999999966</v>
      </c>
      <c r="M75" s="117">
        <v>1792.0011447899331</v>
      </c>
    </row>
    <row r="76" spans="11:13" x14ac:dyDescent="0.4">
      <c r="K76" s="74">
        <v>74</v>
      </c>
      <c r="L76" s="119">
        <v>286.09999999999968</v>
      </c>
      <c r="M76" s="117">
        <v>1790.8251379211933</v>
      </c>
    </row>
    <row r="77" spans="11:13" x14ac:dyDescent="0.4">
      <c r="K77" s="74">
        <v>75</v>
      </c>
      <c r="L77" s="119">
        <v>283.6999999999997</v>
      </c>
      <c r="M77" s="117">
        <v>1789.2961870936663</v>
      </c>
    </row>
    <row r="78" spans="11:13" x14ac:dyDescent="0.4">
      <c r="K78" s="74">
        <v>76</v>
      </c>
      <c r="L78" s="119">
        <v>290.09999999999968</v>
      </c>
      <c r="M78" s="117">
        <v>1789.3604099711042</v>
      </c>
    </row>
    <row r="79" spans="11:13" x14ac:dyDescent="0.4">
      <c r="K79" s="74">
        <v>77</v>
      </c>
      <c r="L79" s="119">
        <v>358.09999999999968</v>
      </c>
      <c r="M79" s="117">
        <v>1800.5122475112776</v>
      </c>
    </row>
    <row r="80" spans="11:13" x14ac:dyDescent="0.4">
      <c r="K80" s="74">
        <v>78</v>
      </c>
      <c r="L80" s="119">
        <v>311.09999999999968</v>
      </c>
      <c r="M80" s="117">
        <v>1790.89717402621</v>
      </c>
    </row>
    <row r="81" spans="11:13" x14ac:dyDescent="0.4">
      <c r="K81" s="74">
        <v>79</v>
      </c>
      <c r="L81" s="119">
        <v>305.6999999999997</v>
      </c>
      <c r="M81" s="117">
        <v>1788.8277909820526</v>
      </c>
    </row>
    <row r="82" spans="11:13" x14ac:dyDescent="0.4">
      <c r="K82" s="74">
        <v>80</v>
      </c>
      <c r="L82" s="119">
        <v>249.6999999999997</v>
      </c>
      <c r="M82" s="117">
        <v>1777.6628242361603</v>
      </c>
    </row>
    <row r="83" spans="11:13" x14ac:dyDescent="0.4">
      <c r="K83" s="74">
        <v>81</v>
      </c>
      <c r="L83" s="119">
        <v>234.89999999999969</v>
      </c>
      <c r="M83" s="117">
        <v>1773.9808472907434</v>
      </c>
    </row>
    <row r="84" spans="11:13" x14ac:dyDescent="0.4">
      <c r="K84" s="74">
        <v>82</v>
      </c>
      <c r="L84" s="119">
        <v>299.49999999999966</v>
      </c>
      <c r="M84" s="117">
        <v>1784.6129622069989</v>
      </c>
    </row>
    <row r="85" spans="11:13" x14ac:dyDescent="0.4">
      <c r="K85" s="74">
        <v>83</v>
      </c>
      <c r="L85" s="119">
        <v>337.29999999999967</v>
      </c>
      <c r="M85" s="117">
        <v>1790.3572844337568</v>
      </c>
    </row>
    <row r="86" spans="11:13" x14ac:dyDescent="0.4">
      <c r="K86" s="74">
        <v>84</v>
      </c>
      <c r="L86" s="119">
        <v>292.39999999999969</v>
      </c>
      <c r="M86" s="117">
        <v>1781.1811407271543</v>
      </c>
    </row>
    <row r="87" spans="11:13" x14ac:dyDescent="0.4">
      <c r="K87" s="74">
        <v>85</v>
      </c>
      <c r="L87" s="119">
        <v>290.1999999999997</v>
      </c>
      <c r="M87" s="117">
        <v>1779.5060538827913</v>
      </c>
    </row>
    <row r="88" spans="11:13" x14ac:dyDescent="0.4">
      <c r="K88" s="74">
        <v>86</v>
      </c>
      <c r="L88" s="119">
        <v>334.89999999999969</v>
      </c>
      <c r="M88" s="117">
        <v>1786.2830175594945</v>
      </c>
    </row>
    <row r="89" spans="11:13" x14ac:dyDescent="0.4">
      <c r="K89" s="74">
        <v>87</v>
      </c>
      <c r="L89" s="119">
        <v>365.79999999999967</v>
      </c>
      <c r="M89" s="117">
        <v>1790.3973194541375</v>
      </c>
    </row>
    <row r="90" spans="11:13" x14ac:dyDescent="0.4">
      <c r="K90" s="74">
        <v>88</v>
      </c>
      <c r="L90" s="119">
        <v>420.49999999999966</v>
      </c>
      <c r="M90" s="117">
        <v>1798.8909355374126</v>
      </c>
    </row>
    <row r="91" spans="11:13" x14ac:dyDescent="0.4">
      <c r="K91" s="74">
        <v>89</v>
      </c>
      <c r="L91" s="119">
        <v>421.89999999999964</v>
      </c>
      <c r="M91" s="117">
        <v>1797.7395899241881</v>
      </c>
    </row>
    <row r="92" spans="11:13" x14ac:dyDescent="0.4">
      <c r="K92" s="74">
        <v>90</v>
      </c>
      <c r="L92" s="119">
        <v>420.19999999999965</v>
      </c>
      <c r="M92" s="117">
        <v>1796.0371523846429</v>
      </c>
    </row>
    <row r="93" spans="11:13" x14ac:dyDescent="0.4">
      <c r="K93" s="74">
        <v>91</v>
      </c>
      <c r="L93" s="119">
        <v>410.49999999999966</v>
      </c>
      <c r="M93" s="117">
        <v>1792.904929470335</v>
      </c>
    </row>
    <row r="94" spans="11:13" x14ac:dyDescent="0.4">
      <c r="K94" s="74">
        <v>92</v>
      </c>
      <c r="L94" s="119">
        <v>460.49999999999966</v>
      </c>
      <c r="M94" s="117">
        <v>1800.5374998935131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F1F8-53ED-4311-B4C0-7FB861E656D4}">
  <sheetPr codeName="Sheet15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56</v>
      </c>
      <c r="C2" s="134"/>
      <c r="E2" s="26" t="s">
        <v>66</v>
      </c>
      <c r="F2" s="23" t="s">
        <v>22</v>
      </c>
      <c r="G2" s="11">
        <v>97</v>
      </c>
      <c r="H2" s="87">
        <f>IF(B$20=0,0,G2/B$20)</f>
        <v>0.75193798449612403</v>
      </c>
      <c r="I2" s="57">
        <v>5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-1642.8571428571429</v>
      </c>
      <c r="Q2" s="76">
        <v>56</v>
      </c>
      <c r="R2" s="63">
        <v>-92000</v>
      </c>
    </row>
    <row r="3" spans="1:18" x14ac:dyDescent="0.4">
      <c r="A3" s="19" t="s">
        <v>8</v>
      </c>
      <c r="B3" s="135">
        <v>469</v>
      </c>
      <c r="C3" s="136"/>
      <c r="E3" s="27" t="s">
        <v>72</v>
      </c>
      <c r="F3" s="24" t="s">
        <v>27</v>
      </c>
      <c r="G3" s="12">
        <v>77</v>
      </c>
      <c r="H3" s="88">
        <f>IF(B$20=0,0,G3/B$20)</f>
        <v>0.5968992248062015</v>
      </c>
      <c r="I3" s="58">
        <v>2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-1107.1428571428571</v>
      </c>
      <c r="Q3" s="77">
        <v>56</v>
      </c>
      <c r="R3" s="64">
        <v>-62000</v>
      </c>
    </row>
    <row r="4" spans="1:18" x14ac:dyDescent="0.4">
      <c r="A4" s="19" t="s">
        <v>6</v>
      </c>
      <c r="B4" s="137">
        <v>-553</v>
      </c>
      <c r="C4" s="138"/>
      <c r="E4" s="27" t="s">
        <v>158</v>
      </c>
      <c r="F4" s="24" t="s">
        <v>159</v>
      </c>
      <c r="G4" s="12">
        <v>67</v>
      </c>
      <c r="H4" s="88">
        <f>IF(B$20=0,0,G4/B$20)</f>
        <v>0.51937984496124034</v>
      </c>
      <c r="I4" s="58">
        <v>2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592.59259259259261</v>
      </c>
      <c r="Q4" s="77">
        <v>54</v>
      </c>
      <c r="R4" s="64">
        <v>32000</v>
      </c>
    </row>
    <row r="5" spans="1:18" x14ac:dyDescent="0.4">
      <c r="A5" s="19" t="s">
        <v>7</v>
      </c>
      <c r="B5" s="125">
        <f>IF(B$2=0,0,B$4/B$2)</f>
        <v>-9.875</v>
      </c>
      <c r="C5" s="126"/>
      <c r="E5" s="27" t="s">
        <v>64</v>
      </c>
      <c r="F5" s="24" t="s">
        <v>20</v>
      </c>
      <c r="G5" s="12">
        <v>60</v>
      </c>
      <c r="H5" s="88">
        <f>IF(B$20=0,0,G5/B$20)</f>
        <v>0.46511627906976744</v>
      </c>
      <c r="I5" s="58">
        <v>8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-4155.7692307692305</v>
      </c>
      <c r="Q5" s="77">
        <v>52</v>
      </c>
      <c r="R5" s="64">
        <v>-216100</v>
      </c>
    </row>
    <row r="6" spans="1:18" x14ac:dyDescent="0.4">
      <c r="A6" s="19" t="s">
        <v>192</v>
      </c>
      <c r="B6" s="129">
        <v>1347.8151111609229</v>
      </c>
      <c r="C6" s="130"/>
      <c r="E6" s="27" t="s">
        <v>68</v>
      </c>
      <c r="F6" s="24" t="s">
        <v>12</v>
      </c>
      <c r="G6" s="12">
        <v>45</v>
      </c>
      <c r="H6" s="88">
        <f>IF(B$20=0,0,G6/B$20)</f>
        <v>0.34883720930232559</v>
      </c>
      <c r="I6" s="58">
        <v>6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-2221.2765957446809</v>
      </c>
      <c r="Q6" s="77">
        <v>47</v>
      </c>
      <c r="R6" s="64">
        <v>-104400</v>
      </c>
    </row>
    <row r="7" spans="1:18" x14ac:dyDescent="0.4">
      <c r="A7" s="19" t="s">
        <v>1</v>
      </c>
      <c r="B7" s="139">
        <f>IF(B$2=0,0,(B$8*1+B$9*2+B$10*3)/B$2)</f>
        <v>2.125</v>
      </c>
      <c r="C7" s="140"/>
      <c r="E7" s="27" t="s">
        <v>67</v>
      </c>
      <c r="F7" s="24" t="s">
        <v>23</v>
      </c>
      <c r="G7" s="12">
        <v>26</v>
      </c>
      <c r="H7" s="88">
        <f>IF(B$20=0,0,G7/B$20)</f>
        <v>0.20155038759689922</v>
      </c>
      <c r="I7" s="58">
        <v>7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-742.85714285714289</v>
      </c>
      <c r="Q7" s="78">
        <v>42</v>
      </c>
      <c r="R7" s="65">
        <v>-31200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0.21428571428571427</v>
      </c>
      <c r="E8" s="27" t="s">
        <v>69</v>
      </c>
      <c r="F8" s="24" t="s">
        <v>24</v>
      </c>
      <c r="G8" s="12">
        <v>20</v>
      </c>
      <c r="H8" s="88">
        <f>IF(B$20=0,0,G8/B$20)</f>
        <v>0.15503875968992248</v>
      </c>
      <c r="I8" s="58">
        <v>6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0.44642857142857145</v>
      </c>
      <c r="E9" s="27" t="s">
        <v>89</v>
      </c>
      <c r="F9" s="24" t="s">
        <v>44</v>
      </c>
      <c r="G9" s="12">
        <v>20</v>
      </c>
      <c r="H9" s="88">
        <f>IF(B$20=0,0,G9/B$20)</f>
        <v>0.15503875968992248</v>
      </c>
      <c r="I9" s="58">
        <v>3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19</v>
      </c>
      <c r="C10" s="7">
        <f t="shared" si="1"/>
        <v>0.3392857142857143</v>
      </c>
      <c r="E10" s="27" t="s">
        <v>65</v>
      </c>
      <c r="F10" s="24" t="s">
        <v>21</v>
      </c>
      <c r="G10" s="12">
        <v>15</v>
      </c>
      <c r="H10" s="88">
        <f>IF(B$20=0,0,G10/B$20)</f>
        <v>0.11627906976744186</v>
      </c>
      <c r="I10" s="58">
        <v>9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-19.044444444444444</v>
      </c>
      <c r="Q10" s="76">
        <v>18</v>
      </c>
      <c r="R10" s="67">
        <v>-342.8</v>
      </c>
    </row>
    <row r="11" spans="1:18" x14ac:dyDescent="0.4">
      <c r="A11" s="20" t="s">
        <v>183</v>
      </c>
      <c r="B11" s="109">
        <f>IF(B8=0,0,C11/B8)</f>
        <v>45.599999999999994</v>
      </c>
      <c r="C11" s="110">
        <v>547.19999999999993</v>
      </c>
      <c r="E11" s="27" t="s">
        <v>70</v>
      </c>
      <c r="F11" s="24" t="s">
        <v>25</v>
      </c>
      <c r="G11" s="12">
        <v>14</v>
      </c>
      <c r="H11" s="88">
        <f>IF(B$20=0,0,G11/B$20)</f>
        <v>0.10852713178294573</v>
      </c>
      <c r="I11" s="58">
        <v>4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-11.839130434782609</v>
      </c>
      <c r="Q11" s="77">
        <v>23</v>
      </c>
      <c r="R11" s="68">
        <v>-272.3</v>
      </c>
    </row>
    <row r="12" spans="1:18" x14ac:dyDescent="0.4">
      <c r="A12" s="20" t="s">
        <v>184</v>
      </c>
      <c r="B12" s="109">
        <f>IF(B9=0,0,C12/B9)</f>
        <v>-1.7079999999999997</v>
      </c>
      <c r="C12" s="110">
        <v>-42.699999999999996</v>
      </c>
      <c r="E12" s="27" t="s">
        <v>71</v>
      </c>
      <c r="F12" s="24" t="s">
        <v>26</v>
      </c>
      <c r="G12" s="12">
        <v>8</v>
      </c>
      <c r="H12" s="88">
        <f>IF(B$20=0,0,G12/B$20)</f>
        <v>6.2015503875968991E-2</v>
      </c>
      <c r="I12" s="58">
        <v>9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4.1399999999999997</v>
      </c>
      <c r="Q12" s="78">
        <v>15</v>
      </c>
      <c r="R12" s="69">
        <v>62.1</v>
      </c>
    </row>
    <row r="13" spans="1:18" x14ac:dyDescent="0.4">
      <c r="A13" s="20" t="s">
        <v>185</v>
      </c>
      <c r="B13" s="109">
        <f>IF(B10=0,0,C13/B10)</f>
        <v>-55.657894736842103</v>
      </c>
      <c r="C13" s="110">
        <v>-1057.5</v>
      </c>
      <c r="E13" s="27" t="s">
        <v>86</v>
      </c>
      <c r="F13" s="24" t="s">
        <v>41</v>
      </c>
      <c r="G13" s="12">
        <v>6</v>
      </c>
      <c r="H13" s="88">
        <f>IF(B$20=0,0,G13/B$20)</f>
        <v>4.6511627906976744E-2</v>
      </c>
      <c r="I13" s="58">
        <v>7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-3.9219649122807021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3.875968992248062E-2</v>
      </c>
      <c r="I14" s="58">
        <v>3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10</v>
      </c>
      <c r="C15" s="9">
        <f t="shared" si="1"/>
        <v>0.17857142857142858</v>
      </c>
      <c r="E15" s="27" t="s">
        <v>79</v>
      </c>
      <c r="F15" s="24" t="s">
        <v>34</v>
      </c>
      <c r="G15" s="12">
        <v>4</v>
      </c>
      <c r="H15" s="88">
        <f>IF(B$20=0,0,G15/B$20)</f>
        <v>3.1007751937984496E-2</v>
      </c>
      <c r="I15" s="58">
        <v>2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115</v>
      </c>
      <c r="C16" s="10">
        <f>IF(B$3=0,0,B16/B$3)</f>
        <v>0.24520255863539445</v>
      </c>
      <c r="E16" s="27" t="s">
        <v>83</v>
      </c>
      <c r="F16" s="24" t="s">
        <v>38</v>
      </c>
      <c r="G16" s="12">
        <v>3</v>
      </c>
      <c r="H16" s="88">
        <f>IF(B$20=0,0,G16/B$20)</f>
        <v>2.3255813953488372E-2</v>
      </c>
      <c r="I16" s="58">
        <v>7</v>
      </c>
      <c r="K16" s="74">
        <v>14</v>
      </c>
      <c r="L16" s="119">
        <v>91.899999999999991</v>
      </c>
      <c r="M16" s="117">
        <v>1406.5002296359867</v>
      </c>
      <c r="O16" s="74" t="s">
        <v>189</v>
      </c>
      <c r="P16" s="83">
        <f>IF(Q16=0,0,R16/Q16)</f>
        <v>-11.272727272727273</v>
      </c>
      <c r="Q16" s="77">
        <v>22</v>
      </c>
      <c r="R16" s="68">
        <v>-248</v>
      </c>
    </row>
    <row r="17" spans="1:18" x14ac:dyDescent="0.4">
      <c r="A17" s="19" t="s">
        <v>118</v>
      </c>
      <c r="B17" s="12">
        <v>87</v>
      </c>
      <c r="C17" s="6">
        <f>IF(B$3=0,0,B17/B$3)</f>
        <v>0.18550106609808104</v>
      </c>
      <c r="E17" s="27" t="s">
        <v>75</v>
      </c>
      <c r="F17" s="24" t="s">
        <v>30</v>
      </c>
      <c r="G17" s="12">
        <v>2</v>
      </c>
      <c r="H17" s="88">
        <f>IF(B$20=0,0,G17/B$20)</f>
        <v>1.5503875968992248E-2</v>
      </c>
      <c r="I17" s="58">
        <v>1</v>
      </c>
      <c r="K17" s="74">
        <v>15</v>
      </c>
      <c r="L17" s="119">
        <v>46.79999999999999</v>
      </c>
      <c r="M17" s="117">
        <v>1399.5192282581706</v>
      </c>
      <c r="O17" s="74" t="s">
        <v>188</v>
      </c>
      <c r="P17" s="83">
        <f>IF(Q17=0,0,R17/Q17)</f>
        <v>-15.816666666666665</v>
      </c>
      <c r="Q17" s="77">
        <v>12</v>
      </c>
      <c r="R17" s="68">
        <v>-189.79999999999998</v>
      </c>
    </row>
    <row r="18" spans="1:18" x14ac:dyDescent="0.4">
      <c r="A18" s="18" t="s">
        <v>123</v>
      </c>
      <c r="B18" s="11">
        <f>B24</f>
        <v>57</v>
      </c>
      <c r="C18" s="5">
        <f>IF(B$16=0,0,B18/B$16)</f>
        <v>0.4956521739130435</v>
      </c>
      <c r="E18" s="27" t="s">
        <v>84</v>
      </c>
      <c r="F18" s="24" t="s">
        <v>39</v>
      </c>
      <c r="G18" s="12">
        <v>2</v>
      </c>
      <c r="H18" s="88">
        <f>IF(B$20=0,0,G18/B$20)</f>
        <v>1.5503875968992248E-2</v>
      </c>
      <c r="I18" s="58">
        <v>1</v>
      </c>
      <c r="K18" s="74">
        <v>16</v>
      </c>
      <c r="L18" s="119">
        <v>2.6999999999999886</v>
      </c>
      <c r="M18" s="117">
        <v>1392.7601128886215</v>
      </c>
      <c r="O18" s="74" t="s">
        <v>162</v>
      </c>
      <c r="P18" s="83">
        <f>IF(Q18=0,0,R18/Q18)</f>
        <v>-18.45</v>
      </c>
      <c r="Q18" s="77">
        <v>12</v>
      </c>
      <c r="R18" s="68">
        <v>-221.39999999999998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0.48275862068965519</v>
      </c>
      <c r="E19" s="27" t="s">
        <v>73</v>
      </c>
      <c r="F19" s="24" t="s">
        <v>28</v>
      </c>
      <c r="G19" s="12">
        <v>1</v>
      </c>
      <c r="H19" s="88">
        <f>IF(B$20=0,0,G19/B$20)</f>
        <v>7.7519379844961239E-3</v>
      </c>
      <c r="I19" s="58">
        <v>6</v>
      </c>
      <c r="K19" s="74">
        <v>17</v>
      </c>
      <c r="L19" s="119">
        <v>-96.700000000000017</v>
      </c>
      <c r="M19" s="117">
        <v>1376.0515522112898</v>
      </c>
      <c r="O19" s="74" t="s">
        <v>126</v>
      </c>
      <c r="P19" s="83">
        <f>IF(Q19=0,0,R19/Q19)</f>
        <v>-20.743636363636366</v>
      </c>
      <c r="Q19" s="77">
        <v>55</v>
      </c>
      <c r="R19" s="68">
        <v>-1140.9000000000001</v>
      </c>
    </row>
    <row r="20" spans="1:18" x14ac:dyDescent="0.4">
      <c r="A20" s="18" t="s">
        <v>10</v>
      </c>
      <c r="B20" s="11">
        <f>B23+B22</f>
        <v>129</v>
      </c>
      <c r="C20" s="5">
        <f>IF(B$3=0,0,B20/B$3)</f>
        <v>0.27505330490405117</v>
      </c>
      <c r="E20" s="27" t="s">
        <v>90</v>
      </c>
      <c r="F20" s="24" t="s">
        <v>45</v>
      </c>
      <c r="G20" s="12">
        <v>1</v>
      </c>
      <c r="H20" s="88">
        <f>IF(B$20=0,0,G20/B$20)</f>
        <v>7.7519379844961239E-3</v>
      </c>
      <c r="I20" s="58">
        <v>1</v>
      </c>
      <c r="K20" s="74">
        <v>18</v>
      </c>
      <c r="L20" s="119">
        <v>-154.80000000000001</v>
      </c>
      <c r="M20" s="117">
        <v>1366.8772428980221</v>
      </c>
      <c r="O20" s="74" t="s">
        <v>200</v>
      </c>
      <c r="P20" s="83">
        <f>IF(Q20=0,0,R20/Q20)</f>
        <v>-37.700000000000003</v>
      </c>
      <c r="Q20" s="77">
        <v>2</v>
      </c>
      <c r="R20" s="68">
        <v>-75.400000000000006</v>
      </c>
    </row>
    <row r="21" spans="1:18" x14ac:dyDescent="0.4">
      <c r="A21" s="19" t="s">
        <v>13</v>
      </c>
      <c r="B21" s="12">
        <v>78</v>
      </c>
      <c r="C21" s="6">
        <f>IF(B$3=0,0,B21/B$3)</f>
        <v>0.16631130063965885</v>
      </c>
      <c r="E21" s="27" t="s">
        <v>91</v>
      </c>
      <c r="F21" s="24" t="s">
        <v>46</v>
      </c>
      <c r="G21" s="12">
        <v>1</v>
      </c>
      <c r="H21" s="88">
        <f>IF(B$20=0,0,G21/B$20)</f>
        <v>7.7519379844961239E-3</v>
      </c>
      <c r="I21" s="58">
        <v>8</v>
      </c>
      <c r="K21" s="74">
        <v>19</v>
      </c>
      <c r="L21" s="119">
        <v>-153.80000000000001</v>
      </c>
      <c r="M21" s="117">
        <v>1368.3959794406339</v>
      </c>
    </row>
    <row r="22" spans="1:18" x14ac:dyDescent="0.4">
      <c r="A22" s="19" t="s">
        <v>12</v>
      </c>
      <c r="B22" s="12">
        <v>63</v>
      </c>
      <c r="C22" s="6">
        <f>IF(B$20=0,0,B22/B$20)</f>
        <v>0.48837209302325579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-201.8</v>
      </c>
      <c r="M22" s="117">
        <v>1361.0856035639902</v>
      </c>
    </row>
    <row r="23" spans="1:18" x14ac:dyDescent="0.4">
      <c r="A23" s="19" t="s">
        <v>11</v>
      </c>
      <c r="B23" s="12">
        <v>66</v>
      </c>
      <c r="C23" s="6">
        <f>IF(B$20=0,0,B23/B$20)</f>
        <v>0.51162790697674421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-202.20000000000002</v>
      </c>
      <c r="M23" s="117">
        <v>1362.3870899426063</v>
      </c>
    </row>
    <row r="24" spans="1:18" x14ac:dyDescent="0.4">
      <c r="A24" s="19" t="s">
        <v>182</v>
      </c>
      <c r="B24" s="12">
        <v>57</v>
      </c>
      <c r="C24" s="6">
        <f>IF(B$20=0,0,B24/B$20)</f>
        <v>0.44186046511627908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-208.00000000000003</v>
      </c>
      <c r="M24" s="117">
        <v>1362.7027674029507</v>
      </c>
    </row>
    <row r="25" spans="1:18" x14ac:dyDescent="0.4">
      <c r="A25" s="19" t="s">
        <v>180</v>
      </c>
      <c r="B25" s="12">
        <v>42</v>
      </c>
      <c r="C25" s="6">
        <f>IF(B$20=0,0,B25/B$20)</f>
        <v>0.32558139534883723</v>
      </c>
      <c r="E25" s="27" t="s">
        <v>78</v>
      </c>
      <c r="F25" s="24" t="s">
        <v>33</v>
      </c>
      <c r="G25" s="12">
        <v>0</v>
      </c>
      <c r="H25" s="88">
        <f>IF(B$20=0,0,G25/B$20)</f>
        <v>0</v>
      </c>
      <c r="I25" s="58">
        <v>8</v>
      </c>
      <c r="K25" s="74">
        <v>23</v>
      </c>
      <c r="L25" s="119">
        <v>-210.50000000000003</v>
      </c>
      <c r="M25" s="117">
        <v>1363.6165507985329</v>
      </c>
    </row>
    <row r="26" spans="1:18" x14ac:dyDescent="0.4">
      <c r="A26" s="19" t="s">
        <v>181</v>
      </c>
      <c r="B26" s="12">
        <v>30</v>
      </c>
      <c r="C26" s="6">
        <f>IF(B$20=0,0,B26/B$20)</f>
        <v>0.23255813953488372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-284.3</v>
      </c>
      <c r="M26" s="117">
        <v>1351.5468514937418</v>
      </c>
    </row>
    <row r="27" spans="1:18" x14ac:dyDescent="0.4">
      <c r="A27" s="19" t="s">
        <v>5</v>
      </c>
      <c r="B27" s="16">
        <f>IF(B$20=0,0,C27/B$20)</f>
        <v>8016.2790697674418</v>
      </c>
      <c r="C27" s="8">
        <v>1034100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-286.90000000000003</v>
      </c>
      <c r="M27" s="117">
        <v>1352.4675703847793</v>
      </c>
    </row>
    <row r="28" spans="1:18" x14ac:dyDescent="0.4">
      <c r="A28" s="20" t="s">
        <v>164</v>
      </c>
      <c r="B28" s="95">
        <f>IF($B$20-B$19=0,0,C28/($B$20-B$19))</f>
        <v>8368.9655172413786</v>
      </c>
      <c r="C28" s="96">
        <v>728100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-287.00000000000006</v>
      </c>
      <c r="M28" s="117">
        <v>1353.8327649624705</v>
      </c>
    </row>
    <row r="29" spans="1:18" x14ac:dyDescent="0.4">
      <c r="A29" s="20" t="s">
        <v>165</v>
      </c>
      <c r="B29" s="95">
        <f>IF(B$19=0,0,C29/B$19)</f>
        <v>7285.7142857142853</v>
      </c>
      <c r="C29" s="96">
        <v>306000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-350.40000000000003</v>
      </c>
      <c r="M29" s="117">
        <v>1343.7957683726956</v>
      </c>
    </row>
    <row r="30" spans="1:18" x14ac:dyDescent="0.4">
      <c r="A30" s="20" t="s">
        <v>163</v>
      </c>
      <c r="B30" s="95">
        <f>IF(B$21=0,0,C30/B$21)</f>
        <v>-9461.538461538461</v>
      </c>
      <c r="C30" s="96">
        <v>-738000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-357.1</v>
      </c>
      <c r="M30" s="117">
        <v>1344.0249937624594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-413.8</v>
      </c>
      <c r="M31" s="117">
        <v>1335.2528437998847</v>
      </c>
    </row>
    <row r="32" spans="1:18" x14ac:dyDescent="0.4">
      <c r="A32" s="19" t="s">
        <v>157</v>
      </c>
      <c r="B32" s="12">
        <v>21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-461.8</v>
      </c>
      <c r="M32" s="117">
        <v>1328.0993267370854</v>
      </c>
    </row>
    <row r="33" spans="1:13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-462.3</v>
      </c>
      <c r="M33" s="117">
        <v>1329.538730776663</v>
      </c>
    </row>
    <row r="34" spans="1:13" x14ac:dyDescent="0.4">
      <c r="A34" s="22" t="s">
        <v>179</v>
      </c>
      <c r="B34" s="129">
        <v>101300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-462.8</v>
      </c>
      <c r="M34" s="117">
        <v>1330.9694983920031</v>
      </c>
    </row>
    <row r="35" spans="1:13" x14ac:dyDescent="0.4">
      <c r="A35" s="21" t="s">
        <v>136</v>
      </c>
      <c r="B35" s="29">
        <v>2</v>
      </c>
      <c r="C35" s="9">
        <f>IF(B$3=0,0,B35/B$3)</f>
        <v>4.2643923240938165E-3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-528.4</v>
      </c>
      <c r="M35" s="117">
        <v>1320.673681401651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-500</v>
      </c>
      <c r="M36" s="117">
        <v>1327.3596393132411</v>
      </c>
    </row>
    <row r="37" spans="1:13" x14ac:dyDescent="0.4">
      <c r="A37" s="54" t="s">
        <v>170</v>
      </c>
      <c r="B37" s="123">
        <v>7</v>
      </c>
      <c r="C37" s="98">
        <f t="shared" ref="C37:C49" si="2">IF(B$20=0,0,B37/B$20)</f>
        <v>5.4263565891472867E-2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-413.7</v>
      </c>
      <c r="M37" s="117">
        <v>1344.4274814773617</v>
      </c>
    </row>
    <row r="38" spans="1:13" x14ac:dyDescent="0.4">
      <c r="A38" s="19" t="s">
        <v>166</v>
      </c>
      <c r="B38" s="12">
        <v>27</v>
      </c>
      <c r="C38" s="6">
        <f t="shared" si="2"/>
        <v>0.20930232558139536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  <c r="K38" s="74">
        <v>36</v>
      </c>
      <c r="L38" s="119">
        <v>-369.5</v>
      </c>
      <c r="M38" s="117">
        <v>1353.8929165884974</v>
      </c>
    </row>
    <row r="39" spans="1:13" x14ac:dyDescent="0.4">
      <c r="A39" s="19" t="s">
        <v>167</v>
      </c>
      <c r="B39" s="124">
        <v>16</v>
      </c>
      <c r="C39" s="6">
        <f t="shared" si="2"/>
        <v>0.12403100775193798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-374.5</v>
      </c>
      <c r="M39" s="117">
        <v>1354.4455590889665</v>
      </c>
    </row>
    <row r="40" spans="1:13" x14ac:dyDescent="0.4">
      <c r="A40" s="19" t="s">
        <v>168</v>
      </c>
      <c r="B40" s="124">
        <v>33</v>
      </c>
      <c r="C40" s="6">
        <f t="shared" si="2"/>
        <v>0.2558139534883721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-379</v>
      </c>
      <c r="M40" s="117">
        <v>1355.0848857344326</v>
      </c>
    </row>
    <row r="41" spans="1:13" x14ac:dyDescent="0.4">
      <c r="A41" s="19" t="s">
        <v>169</v>
      </c>
      <c r="B41" s="124">
        <v>24</v>
      </c>
      <c r="C41" s="6">
        <f t="shared" si="2"/>
        <v>0.18604651162790697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-451.9</v>
      </c>
      <c r="M41" s="117">
        <v>1343.4083764200261</v>
      </c>
    </row>
    <row r="42" spans="1:13" x14ac:dyDescent="0.4">
      <c r="A42" s="19" t="s">
        <v>171</v>
      </c>
      <c r="B42" s="124">
        <v>6</v>
      </c>
      <c r="C42" s="6">
        <f t="shared" si="2"/>
        <v>4.6511627906976744E-2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-390.9</v>
      </c>
      <c r="M42" s="117">
        <v>1355.903926161506</v>
      </c>
    </row>
    <row r="43" spans="1:13" x14ac:dyDescent="0.4">
      <c r="A43" s="19" t="s">
        <v>172</v>
      </c>
      <c r="B43" s="124">
        <v>8</v>
      </c>
      <c r="C43" s="6">
        <f t="shared" si="2"/>
        <v>6.2015503875968991E-2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-365.09999999999997</v>
      </c>
      <c r="M43" s="117">
        <v>1361.994502604537</v>
      </c>
    </row>
    <row r="44" spans="1:13" x14ac:dyDescent="0.4">
      <c r="A44" s="19" t="s">
        <v>173</v>
      </c>
      <c r="B44" s="124">
        <v>2</v>
      </c>
      <c r="C44" s="6">
        <f t="shared" si="2"/>
        <v>1.5503875968992248E-2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-399.99999999999994</v>
      </c>
      <c r="M44" s="117">
        <v>1357.1165355889098</v>
      </c>
    </row>
    <row r="45" spans="1:13" x14ac:dyDescent="0.4">
      <c r="A45" s="19" t="s">
        <v>174</v>
      </c>
      <c r="B45" s="124">
        <v>3</v>
      </c>
      <c r="C45" s="6">
        <f t="shared" si="2"/>
        <v>2.3255813953488372E-2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-403.99999999999994</v>
      </c>
      <c r="M45" s="117">
        <v>1357.8298363753763</v>
      </c>
    </row>
    <row r="46" spans="1:13" x14ac:dyDescent="0.4">
      <c r="A46" s="19" t="s">
        <v>175</v>
      </c>
      <c r="B46" s="124">
        <v>3</v>
      </c>
      <c r="C46" s="6">
        <f t="shared" si="2"/>
        <v>2.3255813953488372E-2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-430.89999999999992</v>
      </c>
      <c r="M46" s="117">
        <v>1354.4168573571242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-489.89999999999992</v>
      </c>
      <c r="M47" s="117">
        <v>1345.2463562129815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-492.7999999999999</v>
      </c>
      <c r="M48" s="117">
        <v>1346.2288780757035</v>
      </c>
    </row>
    <row r="49" spans="1:13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-475.69999999999987</v>
      </c>
      <c r="M49" s="117">
        <v>1350.8055048072492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-442.49999999999989</v>
      </c>
      <c r="M50" s="117">
        <v>1358.0846717784057</v>
      </c>
    </row>
    <row r="51" spans="1:13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  <c r="K51" s="74">
        <v>49</v>
      </c>
      <c r="L51" s="119">
        <v>-505.99999999999989</v>
      </c>
      <c r="M51" s="117">
        <v>1347.9141637477353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-533.59999999999991</v>
      </c>
      <c r="M52" s="117">
        <v>1344.1286787652489</v>
      </c>
    </row>
    <row r="53" spans="1:13" x14ac:dyDescent="0.4">
      <c r="K53" s="74">
        <v>51</v>
      </c>
      <c r="L53" s="119">
        <v>-530.09999999999991</v>
      </c>
      <c r="M53" s="117">
        <v>1345.5559066926573</v>
      </c>
    </row>
    <row r="54" spans="1:13" x14ac:dyDescent="0.4">
      <c r="K54" s="74">
        <v>52</v>
      </c>
      <c r="L54" s="119">
        <v>-529.79999999999995</v>
      </c>
      <c r="M54" s="117">
        <v>1346.9265712525014</v>
      </c>
    </row>
    <row r="55" spans="1:13" x14ac:dyDescent="0.4">
      <c r="K55" s="74">
        <v>53</v>
      </c>
      <c r="L55" s="119">
        <v>-499.19999999999993</v>
      </c>
      <c r="M55" s="117">
        <v>1353.7430118249863</v>
      </c>
    </row>
    <row r="56" spans="1:13" x14ac:dyDescent="0.4">
      <c r="K56" s="74">
        <v>54</v>
      </c>
      <c r="L56" s="119">
        <v>-465.29999999999995</v>
      </c>
      <c r="M56" s="117">
        <v>1361.1125537540363</v>
      </c>
    </row>
    <row r="57" spans="1:13" x14ac:dyDescent="0.4">
      <c r="K57" s="74">
        <v>55</v>
      </c>
      <c r="L57" s="119">
        <v>-510.9</v>
      </c>
      <c r="M57" s="117">
        <v>1354.127878431512</v>
      </c>
    </row>
    <row r="58" spans="1:13" x14ac:dyDescent="0.4">
      <c r="K58" s="74">
        <v>56</v>
      </c>
      <c r="L58" s="119">
        <v>-553</v>
      </c>
      <c r="M58" s="117">
        <v>1347.8151111609229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D4007-D1A9-4C4C-A2E6-4B0E13EB40AA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1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8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4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10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4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8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1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5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6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4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8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9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10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9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2C560-4737-4D61-9A42-92EF8DD19B0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12</v>
      </c>
      <c r="C2" s="134"/>
      <c r="E2" s="26" t="s">
        <v>64</v>
      </c>
      <c r="F2" s="23" t="s">
        <v>20</v>
      </c>
      <c r="G2" s="11">
        <v>16</v>
      </c>
      <c r="H2" s="87">
        <f>IF(B$20=0,0,G2/B$20)</f>
        <v>0.59259259259259256</v>
      </c>
      <c r="I2" s="57">
        <v>5</v>
      </c>
      <c r="K2" s="73">
        <v>0</v>
      </c>
      <c r="L2" s="118">
        <v>0</v>
      </c>
      <c r="M2" s="116">
        <v>1551.4699038276274</v>
      </c>
      <c r="O2" s="73" t="s">
        <v>127</v>
      </c>
      <c r="P2" s="79">
        <f t="shared" ref="P2:P7" si="0">IF(Q2=0,0,R2/Q2)</f>
        <v>1525</v>
      </c>
      <c r="Q2" s="76">
        <v>12</v>
      </c>
      <c r="R2" s="63">
        <v>18300</v>
      </c>
    </row>
    <row r="3" spans="1:18" x14ac:dyDescent="0.4">
      <c r="A3" s="19" t="s">
        <v>8</v>
      </c>
      <c r="B3" s="135">
        <v>89</v>
      </c>
      <c r="C3" s="136"/>
      <c r="E3" s="27" t="s">
        <v>158</v>
      </c>
      <c r="F3" s="24" t="s">
        <v>159</v>
      </c>
      <c r="G3" s="12">
        <v>15</v>
      </c>
      <c r="H3" s="88">
        <f>IF(B$20=0,0,G3/B$20)</f>
        <v>0.55555555555555558</v>
      </c>
      <c r="I3" s="58">
        <v>1</v>
      </c>
      <c r="K3" s="74">
        <v>1</v>
      </c>
      <c r="L3" s="119">
        <v>61.8</v>
      </c>
      <c r="M3" s="117">
        <v>1562.6810844046615</v>
      </c>
      <c r="O3" s="74" t="s">
        <v>128</v>
      </c>
      <c r="P3" s="80">
        <f t="shared" si="0"/>
        <v>-2191.6666666666665</v>
      </c>
      <c r="Q3" s="77">
        <v>12</v>
      </c>
      <c r="R3" s="64">
        <v>-26300</v>
      </c>
    </row>
    <row r="4" spans="1:18" x14ac:dyDescent="0.4">
      <c r="A4" s="19" t="s">
        <v>6</v>
      </c>
      <c r="B4" s="137">
        <v>-13.399999999999999</v>
      </c>
      <c r="C4" s="138"/>
      <c r="E4" s="27" t="s">
        <v>68</v>
      </c>
      <c r="F4" s="24" t="s">
        <v>12</v>
      </c>
      <c r="G4" s="12">
        <v>14</v>
      </c>
      <c r="H4" s="88">
        <f>IF(B$20=0,0,G4/B$20)</f>
        <v>0.51851851851851849</v>
      </c>
      <c r="I4" s="58">
        <v>2</v>
      </c>
      <c r="K4" s="74">
        <v>2</v>
      </c>
      <c r="L4" s="119">
        <v>34.699999999999996</v>
      </c>
      <c r="M4" s="117">
        <v>1557.9249978982336</v>
      </c>
      <c r="O4" s="74" t="s">
        <v>129</v>
      </c>
      <c r="P4" s="80">
        <f t="shared" si="0"/>
        <v>-2550</v>
      </c>
      <c r="Q4" s="77">
        <v>12</v>
      </c>
      <c r="R4" s="64">
        <v>-30600</v>
      </c>
    </row>
    <row r="5" spans="1:18" x14ac:dyDescent="0.4">
      <c r="A5" s="19" t="s">
        <v>7</v>
      </c>
      <c r="B5" s="125">
        <f>IF(B$2=0,0,B$4/B$2)</f>
        <v>-1.1166666666666665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0.48148148148148145</v>
      </c>
      <c r="I5" s="58">
        <v>3</v>
      </c>
      <c r="K5" s="74">
        <v>3</v>
      </c>
      <c r="L5" s="119">
        <v>7.1999999999999957</v>
      </c>
      <c r="M5" s="117">
        <v>1553.1254479108443</v>
      </c>
      <c r="O5" s="74" t="s">
        <v>130</v>
      </c>
      <c r="P5" s="80">
        <f t="shared" si="0"/>
        <v>675</v>
      </c>
      <c r="Q5" s="77">
        <v>12</v>
      </c>
      <c r="R5" s="64">
        <v>8100</v>
      </c>
    </row>
    <row r="6" spans="1:18" x14ac:dyDescent="0.4">
      <c r="A6" s="19" t="s">
        <v>192</v>
      </c>
      <c r="B6" s="129">
        <v>1550.6754603476463</v>
      </c>
      <c r="C6" s="130"/>
      <c r="E6" s="27" t="s">
        <v>67</v>
      </c>
      <c r="F6" s="24" t="s">
        <v>23</v>
      </c>
      <c r="G6" s="12">
        <v>12</v>
      </c>
      <c r="H6" s="88">
        <f>IF(B$20=0,0,G6/B$20)</f>
        <v>0.44444444444444442</v>
      </c>
      <c r="I6" s="58">
        <v>1</v>
      </c>
      <c r="K6" s="74">
        <v>4</v>
      </c>
      <c r="L6" s="119">
        <v>52.9</v>
      </c>
      <c r="M6" s="117">
        <v>1561.5306952233793</v>
      </c>
      <c r="O6" s="74" t="s">
        <v>131</v>
      </c>
      <c r="P6" s="80">
        <f t="shared" si="0"/>
        <v>9910</v>
      </c>
      <c r="Q6" s="77">
        <v>10</v>
      </c>
      <c r="R6" s="64">
        <v>99100</v>
      </c>
    </row>
    <row r="7" spans="1:18" x14ac:dyDescent="0.4">
      <c r="A7" s="19" t="s">
        <v>1</v>
      </c>
      <c r="B7" s="139">
        <f>IF(B$2=0,0,(B$8*1+B$9*2+B$10*3)/B$2)</f>
        <v>2.0833333333333335</v>
      </c>
      <c r="C7" s="140"/>
      <c r="E7" s="27" t="s">
        <v>66</v>
      </c>
      <c r="F7" s="24" t="s">
        <v>22</v>
      </c>
      <c r="G7" s="12">
        <v>11</v>
      </c>
      <c r="H7" s="88">
        <f>IF(B$20=0,0,G7/B$20)</f>
        <v>0.40740740740740738</v>
      </c>
      <c r="I7" s="58">
        <v>9</v>
      </c>
      <c r="K7" s="74">
        <v>5</v>
      </c>
      <c r="L7" s="119">
        <v>12.100000000000001</v>
      </c>
      <c r="M7" s="117">
        <v>1554.315511052039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0.33333333333333331</v>
      </c>
      <c r="E8" s="27" t="s">
        <v>65</v>
      </c>
      <c r="F8" s="24" t="s">
        <v>21</v>
      </c>
      <c r="G8" s="12">
        <v>6</v>
      </c>
      <c r="H8" s="88">
        <f>IF(B$20=0,0,G8/B$20)</f>
        <v>0.22222222222222221</v>
      </c>
      <c r="I8" s="58">
        <v>1</v>
      </c>
      <c r="K8" s="74">
        <v>6</v>
      </c>
      <c r="L8" s="119">
        <v>9.8000000000000007</v>
      </c>
      <c r="M8" s="117">
        <v>1554.0736179857267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0.25</v>
      </c>
      <c r="E9" s="27" t="s">
        <v>69</v>
      </c>
      <c r="F9" s="24" t="s">
        <v>24</v>
      </c>
      <c r="G9" s="12">
        <v>5</v>
      </c>
      <c r="H9" s="88">
        <f>IF(B$20=0,0,G9/B$20)</f>
        <v>0.18518518518518517</v>
      </c>
      <c r="I9" s="58">
        <v>4</v>
      </c>
      <c r="K9" s="74">
        <v>7</v>
      </c>
      <c r="L9" s="119">
        <v>-1.0999999999999996</v>
      </c>
      <c r="M9" s="117">
        <v>1552.2851762778123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89</v>
      </c>
      <c r="F10" s="24" t="s">
        <v>44</v>
      </c>
      <c r="G10" s="12">
        <v>5</v>
      </c>
      <c r="H10" s="88">
        <f>IF(B$20=0,0,G10/B$20)</f>
        <v>0.18518518518518517</v>
      </c>
      <c r="I10" s="58">
        <v>1</v>
      </c>
      <c r="K10" s="74">
        <v>8</v>
      </c>
      <c r="L10" s="119">
        <v>67.600000000000009</v>
      </c>
      <c r="M10" s="117">
        <v>1564.8354652201454</v>
      </c>
      <c r="O10" s="73" t="s">
        <v>150</v>
      </c>
      <c r="P10" s="82">
        <f>IF(Q10=0,0,R10/Q10)</f>
        <v>-18.380000000000003</v>
      </c>
      <c r="Q10" s="76">
        <v>5</v>
      </c>
      <c r="R10" s="67">
        <v>-91.9</v>
      </c>
    </row>
    <row r="11" spans="1:18" x14ac:dyDescent="0.4">
      <c r="A11" s="20" t="s">
        <v>183</v>
      </c>
      <c r="B11" s="109">
        <f>IF(B8=0,0,C11/B8)</f>
        <v>50.674999999999997</v>
      </c>
      <c r="C11" s="110">
        <v>202.7</v>
      </c>
      <c r="E11" s="27" t="s">
        <v>81</v>
      </c>
      <c r="F11" s="24" t="s">
        <v>36</v>
      </c>
      <c r="G11" s="12">
        <v>3</v>
      </c>
      <c r="H11" s="88">
        <f>IF(B$20=0,0,G11/B$20)</f>
        <v>0.1111111111111111</v>
      </c>
      <c r="I11" s="58">
        <v>1</v>
      </c>
      <c r="K11" s="74">
        <v>9</v>
      </c>
      <c r="L11" s="119">
        <v>94.100000000000009</v>
      </c>
      <c r="M11" s="117">
        <v>1569.7144524288244</v>
      </c>
      <c r="O11" s="74" t="s">
        <v>151</v>
      </c>
      <c r="P11" s="83">
        <f>IF(Q11=0,0,R11/Q11)</f>
        <v>42.733333333333327</v>
      </c>
      <c r="Q11" s="77">
        <v>3</v>
      </c>
      <c r="R11" s="68">
        <v>128.19999999999999</v>
      </c>
    </row>
    <row r="12" spans="1:18" x14ac:dyDescent="0.4">
      <c r="A12" s="20" t="s">
        <v>184</v>
      </c>
      <c r="B12" s="109">
        <f>IF(B9=0,0,C12/B9)</f>
        <v>-11.6</v>
      </c>
      <c r="C12" s="110">
        <v>-34.799999999999997</v>
      </c>
      <c r="E12" s="27" t="s">
        <v>71</v>
      </c>
      <c r="F12" s="24" t="s">
        <v>26</v>
      </c>
      <c r="G12" s="12">
        <v>2</v>
      </c>
      <c r="H12" s="88">
        <f>IF(B$20=0,0,G12/B$20)</f>
        <v>7.407407407407407E-2</v>
      </c>
      <c r="I12" s="58">
        <v>5</v>
      </c>
      <c r="K12" s="74">
        <v>10</v>
      </c>
      <c r="L12" s="119">
        <v>72.5</v>
      </c>
      <c r="M12" s="117">
        <v>1565.9061657142515</v>
      </c>
      <c r="O12" s="75" t="s">
        <v>152</v>
      </c>
      <c r="P12" s="84">
        <f>IF(Q12=0,0,R12/Q12)</f>
        <v>-12.425000000000001</v>
      </c>
      <c r="Q12" s="78">
        <v>4</v>
      </c>
      <c r="R12" s="69">
        <v>-49.7</v>
      </c>
    </row>
    <row r="13" spans="1:18" x14ac:dyDescent="0.4">
      <c r="A13" s="20" t="s">
        <v>185</v>
      </c>
      <c r="B13" s="109">
        <f>IF(B10=0,0,C13/B10)</f>
        <v>-36.260000000000005</v>
      </c>
      <c r="C13" s="110">
        <v>-181.3</v>
      </c>
      <c r="E13" s="27" t="s">
        <v>78</v>
      </c>
      <c r="F13" s="24" t="s">
        <v>33</v>
      </c>
      <c r="G13" s="12">
        <v>2</v>
      </c>
      <c r="H13" s="88">
        <f>IF(B$20=0,0,G13/B$20)</f>
        <v>7.407407407407407E-2</v>
      </c>
      <c r="I13" s="58">
        <v>1</v>
      </c>
      <c r="K13" s="74">
        <v>11</v>
      </c>
      <c r="L13" s="119">
        <v>47.7</v>
      </c>
      <c r="M13" s="117">
        <v>1561.5447287199661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0.93833333333333024</v>
      </c>
      <c r="C14" s="126"/>
      <c r="E14" s="27" t="s">
        <v>91</v>
      </c>
      <c r="F14" s="24" t="s">
        <v>46</v>
      </c>
      <c r="G14" s="12">
        <v>2</v>
      </c>
      <c r="H14" s="88">
        <f>IF(B$20=0,0,G14/B$20)</f>
        <v>7.407407407407407E-2</v>
      </c>
      <c r="I14" s="58">
        <v>2</v>
      </c>
      <c r="K14" s="74">
        <v>12</v>
      </c>
      <c r="L14" s="119">
        <v>-13.399999999999999</v>
      </c>
      <c r="M14" s="117">
        <v>1550.6754603476463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8.3333333333333329E-2</v>
      </c>
      <c r="E15" s="27" t="s">
        <v>70</v>
      </c>
      <c r="F15" s="24" t="s">
        <v>25</v>
      </c>
      <c r="G15" s="12">
        <v>1</v>
      </c>
      <c r="H15" s="88">
        <f>IF(B$20=0,0,G15/B$20)</f>
        <v>3.7037037037037035E-2</v>
      </c>
      <c r="I15" s="58">
        <v>9</v>
      </c>
      <c r="O15" s="73" t="s">
        <v>191</v>
      </c>
      <c r="P15" s="82">
        <f>IF(Q15=0,0,R15/Q15)</f>
        <v>15.816666666666663</v>
      </c>
      <c r="Q15" s="76">
        <v>12</v>
      </c>
      <c r="R15" s="67">
        <v>189.79999999999995</v>
      </c>
    </row>
    <row r="16" spans="1:18" x14ac:dyDescent="0.4">
      <c r="A16" s="22" t="s">
        <v>121</v>
      </c>
      <c r="B16" s="15">
        <v>33</v>
      </c>
      <c r="C16" s="10">
        <f>IF(B$3=0,0,B16/B$3)</f>
        <v>0.3707865168539326</v>
      </c>
      <c r="E16" s="27" t="s">
        <v>86</v>
      </c>
      <c r="F16" s="24" t="s">
        <v>41</v>
      </c>
      <c r="G16" s="12">
        <v>1</v>
      </c>
      <c r="H16" s="88">
        <f>IF(B$20=0,0,G16/B$20)</f>
        <v>3.7037037037037035E-2</v>
      </c>
      <c r="I16" s="58">
        <v>9</v>
      </c>
      <c r="O16" s="74" t="s">
        <v>126</v>
      </c>
      <c r="P16" s="83">
        <f>IF(Q16=0,0,R16/Q16)</f>
        <v>-19.166666666666671</v>
      </c>
      <c r="Q16" s="77">
        <v>12</v>
      </c>
      <c r="R16" s="68">
        <v>-230.00000000000006</v>
      </c>
    </row>
    <row r="17" spans="1:9" x14ac:dyDescent="0.4">
      <c r="A17" s="19" t="s">
        <v>118</v>
      </c>
      <c r="B17" s="12">
        <v>12</v>
      </c>
      <c r="C17" s="6">
        <f>IF(B$3=0,0,B17/B$3)</f>
        <v>0.1348314606741573</v>
      </c>
      <c r="E17" s="27" t="s">
        <v>154</v>
      </c>
      <c r="F17" s="24" t="s">
        <v>155</v>
      </c>
      <c r="G17" s="12">
        <v>1</v>
      </c>
      <c r="H17" s="88">
        <f>IF(B$20=0,0,G17/B$20)</f>
        <v>3.7037037037037035E-2</v>
      </c>
      <c r="I17" s="58">
        <v>2</v>
      </c>
    </row>
    <row r="18" spans="1:9" x14ac:dyDescent="0.4">
      <c r="A18" s="18" t="s">
        <v>123</v>
      </c>
      <c r="B18" s="11">
        <f>B24</f>
        <v>17</v>
      </c>
      <c r="C18" s="5">
        <f>IF(B$16=0,0,B18/B$16)</f>
        <v>0.51515151515151514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6</v>
      </c>
    </row>
    <row r="20" spans="1:9" x14ac:dyDescent="0.4">
      <c r="A20" s="18" t="s">
        <v>10</v>
      </c>
      <c r="B20" s="11">
        <f>B23+B22</f>
        <v>27</v>
      </c>
      <c r="C20" s="5">
        <f>IF(B$3=0,0,B20/B$3)</f>
        <v>0.30337078651685395</v>
      </c>
      <c r="E20" s="27" t="s">
        <v>75</v>
      </c>
      <c r="F20" s="24" t="s">
        <v>30</v>
      </c>
      <c r="G20" s="12">
        <v>0</v>
      </c>
      <c r="H20" s="88">
        <f>IF(B$20=0,0,G20/B$20)</f>
        <v>0</v>
      </c>
      <c r="I20" s="58">
        <v>4</v>
      </c>
    </row>
    <row r="21" spans="1:9" x14ac:dyDescent="0.4">
      <c r="A21" s="19" t="s">
        <v>13</v>
      </c>
      <c r="B21" s="12">
        <v>14</v>
      </c>
      <c r="C21" s="6">
        <f>IF(B$3=0,0,B21/B$3)</f>
        <v>0.15730337078651685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15</v>
      </c>
      <c r="C22" s="6">
        <f>IF(B$20=0,0,B22/B$20)</f>
        <v>0.55555555555555558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12</v>
      </c>
      <c r="C23" s="6">
        <f>IF(B$20=0,0,B23/B$20)</f>
        <v>0.44444444444444442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5</v>
      </c>
    </row>
    <row r="24" spans="1:9" x14ac:dyDescent="0.4">
      <c r="A24" s="19" t="s">
        <v>182</v>
      </c>
      <c r="B24" s="12">
        <v>17</v>
      </c>
      <c r="C24" s="6">
        <f>IF(B$20=0,0,B24/B$20)</f>
        <v>0.62962962962962965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5</v>
      </c>
      <c r="C25" s="6">
        <f>IF(B$20=0,0,B25/B$20)</f>
        <v>0.18518518518518517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5</v>
      </c>
      <c r="C26" s="6">
        <f>IF(B$20=0,0,B26/B$20)</f>
        <v>0.18518518518518517</v>
      </c>
      <c r="E26" s="27" t="s">
        <v>83</v>
      </c>
      <c r="F26" s="24" t="s">
        <v>38</v>
      </c>
      <c r="G26" s="12">
        <v>0</v>
      </c>
      <c r="H26" s="88">
        <f>IF(B$20=0,0,G26/B$20)</f>
        <v>0</v>
      </c>
      <c r="I26" s="58">
        <v>9</v>
      </c>
    </row>
    <row r="27" spans="1:9" x14ac:dyDescent="0.4">
      <c r="A27" s="19" t="s">
        <v>5</v>
      </c>
      <c r="B27" s="16">
        <f>IF(B$20=0,0,C27/B$20)</f>
        <v>10159.259259259259</v>
      </c>
      <c r="C27" s="8">
        <v>274300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11440.90909090909</v>
      </c>
      <c r="C28" s="96">
        <v>251700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165</v>
      </c>
      <c r="B29" s="95">
        <f>IF(B$19=0,0,C29/B$19)</f>
        <v>4520</v>
      </c>
      <c r="C29" s="96">
        <v>22600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163</v>
      </c>
      <c r="B30" s="95">
        <f>IF(B$21=0,0,C30/B$21)</f>
        <v>-8985.7142857142862</v>
      </c>
      <c r="C30" s="96">
        <v>-125800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9" x14ac:dyDescent="0.4">
      <c r="A31" s="19" t="s">
        <v>156</v>
      </c>
      <c r="B31" s="12">
        <v>3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157</v>
      </c>
      <c r="B32" s="12">
        <v>15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179</v>
      </c>
      <c r="B34" s="129">
        <v>83700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166</v>
      </c>
      <c r="B38" s="12">
        <v>6</v>
      </c>
      <c r="C38" s="6">
        <f t="shared" si="2"/>
        <v>0.22222222222222221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3</v>
      </c>
      <c r="C39" s="6">
        <f t="shared" si="2"/>
        <v>0.1111111111111111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4</v>
      </c>
    </row>
    <row r="40" spans="1:9" x14ac:dyDescent="0.4">
      <c r="A40" s="19" t="s">
        <v>168</v>
      </c>
      <c r="B40" s="124">
        <v>3</v>
      </c>
      <c r="C40" s="6">
        <f t="shared" si="2"/>
        <v>0.1111111111111111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4</v>
      </c>
      <c r="C41" s="6">
        <f t="shared" si="2"/>
        <v>0.14814814814814814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0.1111111111111111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0.14814814814814814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2</v>
      </c>
      <c r="C47" s="6">
        <f t="shared" si="2"/>
        <v>7.407407407407407E-2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3.7037037037037035E-2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6C47-D944-40D3-9DA3-49F34495DC7C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29</v>
      </c>
      <c r="H2" s="87">
        <f>IF(B$20=0,0,G2/B$20)</f>
        <v>0.93548387096774188</v>
      </c>
      <c r="I2" s="57">
        <v>1</v>
      </c>
      <c r="K2" s="73">
        <v>0</v>
      </c>
      <c r="L2" s="118">
        <v>0</v>
      </c>
      <c r="M2" s="116">
        <v>1384.1908394993188</v>
      </c>
      <c r="O2" s="73" t="s">
        <v>127</v>
      </c>
      <c r="P2" s="79">
        <f t="shared" ref="P2:P7" si="0">IF(Q2=0,0,R2/Q2)</f>
        <v>1720</v>
      </c>
      <c r="Q2" s="76">
        <v>15</v>
      </c>
      <c r="R2" s="63">
        <v>25800</v>
      </c>
    </row>
    <row r="3" spans="1:18" x14ac:dyDescent="0.4">
      <c r="A3" s="19" t="s">
        <v>8</v>
      </c>
      <c r="B3" s="135">
        <v>107</v>
      </c>
      <c r="C3" s="136"/>
      <c r="E3" s="27" t="s">
        <v>68</v>
      </c>
      <c r="F3" s="24" t="s">
        <v>12</v>
      </c>
      <c r="G3" s="12">
        <v>15</v>
      </c>
      <c r="H3" s="88">
        <f>IF(B$20=0,0,G3/B$20)</f>
        <v>0.4838709677419355</v>
      </c>
      <c r="I3" s="58">
        <v>3</v>
      </c>
      <c r="K3" s="74">
        <v>1</v>
      </c>
      <c r="L3" s="119">
        <v>-63.7</v>
      </c>
      <c r="M3" s="117">
        <v>1374.2956944623229</v>
      </c>
      <c r="O3" s="74" t="s">
        <v>128</v>
      </c>
      <c r="P3" s="80">
        <f t="shared" si="0"/>
        <v>3107.6923076923076</v>
      </c>
      <c r="Q3" s="77">
        <v>13</v>
      </c>
      <c r="R3" s="64">
        <v>40400</v>
      </c>
    </row>
    <row r="4" spans="1:18" x14ac:dyDescent="0.4">
      <c r="A4" s="19" t="s">
        <v>6</v>
      </c>
      <c r="B4" s="137">
        <v>111.00000000000003</v>
      </c>
      <c r="C4" s="138"/>
      <c r="E4" s="27" t="s">
        <v>64</v>
      </c>
      <c r="F4" s="24" t="s">
        <v>20</v>
      </c>
      <c r="G4" s="12">
        <v>14</v>
      </c>
      <c r="H4" s="88">
        <f>IF(B$20=0,0,G4/B$20)</f>
        <v>0.45161290322580644</v>
      </c>
      <c r="I4" s="58">
        <v>9</v>
      </c>
      <c r="K4" s="74">
        <v>2</v>
      </c>
      <c r="L4" s="119">
        <v>-5.2000000000000028</v>
      </c>
      <c r="M4" s="117">
        <v>1386.227920295549</v>
      </c>
      <c r="O4" s="74" t="s">
        <v>129</v>
      </c>
      <c r="P4" s="80">
        <f t="shared" si="0"/>
        <v>-2215.3846153846152</v>
      </c>
      <c r="Q4" s="77">
        <v>13</v>
      </c>
      <c r="R4" s="64">
        <v>-28800</v>
      </c>
    </row>
    <row r="5" spans="1:18" x14ac:dyDescent="0.4">
      <c r="A5" s="19" t="s">
        <v>7</v>
      </c>
      <c r="B5" s="125">
        <f>IF(B$2=0,0,B$4/B$2)</f>
        <v>7.4000000000000021</v>
      </c>
      <c r="C5" s="126"/>
      <c r="E5" s="27" t="s">
        <v>72</v>
      </c>
      <c r="F5" s="24" t="s">
        <v>27</v>
      </c>
      <c r="G5" s="12">
        <v>13</v>
      </c>
      <c r="H5" s="88">
        <f>IF(B$20=0,0,G5/B$20)</f>
        <v>0.41935483870967744</v>
      </c>
      <c r="I5" s="58">
        <v>7</v>
      </c>
      <c r="K5" s="74">
        <v>3</v>
      </c>
      <c r="L5" s="119">
        <v>-5.0000000000000027</v>
      </c>
      <c r="M5" s="117">
        <v>1387.5945527737756</v>
      </c>
      <c r="O5" s="74" t="s">
        <v>130</v>
      </c>
      <c r="P5" s="80">
        <f t="shared" si="0"/>
        <v>-1308.3333333333333</v>
      </c>
      <c r="Q5" s="77">
        <v>12</v>
      </c>
      <c r="R5" s="64">
        <v>-15700</v>
      </c>
    </row>
    <row r="6" spans="1:18" x14ac:dyDescent="0.4">
      <c r="A6" s="19" t="s">
        <v>192</v>
      </c>
      <c r="B6" s="129">
        <v>1422.8639762363671</v>
      </c>
      <c r="C6" s="130"/>
      <c r="E6" s="27" t="s">
        <v>158</v>
      </c>
      <c r="F6" s="24" t="s">
        <v>159</v>
      </c>
      <c r="G6" s="12">
        <v>10</v>
      </c>
      <c r="H6" s="88">
        <f>IF(B$20=0,0,G6/B$20)</f>
        <v>0.32258064516129031</v>
      </c>
      <c r="I6" s="58">
        <v>9</v>
      </c>
      <c r="K6" s="74">
        <v>4</v>
      </c>
      <c r="L6" s="119">
        <v>2.099999999999997</v>
      </c>
      <c r="M6" s="117">
        <v>1390.194985457133</v>
      </c>
      <c r="O6" s="74" t="s">
        <v>131</v>
      </c>
      <c r="P6" s="80">
        <f t="shared" si="0"/>
        <v>4463.636363636364</v>
      </c>
      <c r="Q6" s="77">
        <v>11</v>
      </c>
      <c r="R6" s="64">
        <v>49100</v>
      </c>
    </row>
    <row r="7" spans="1:18" x14ac:dyDescent="0.4">
      <c r="A7" s="19" t="s">
        <v>1</v>
      </c>
      <c r="B7" s="139">
        <f>IF(B$2=0,0,(B$8*1+B$9*2+B$10*3)/B$2)</f>
        <v>1.8666666666666667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0.29032258064516131</v>
      </c>
      <c r="I7" s="58">
        <v>6</v>
      </c>
      <c r="K7" s="74">
        <v>5</v>
      </c>
      <c r="L7" s="119">
        <v>67</v>
      </c>
      <c r="M7" s="117">
        <v>1403.1838155443902</v>
      </c>
      <c r="O7" s="75" t="s">
        <v>132</v>
      </c>
      <c r="P7" s="81">
        <f t="shared" si="0"/>
        <v>-2666.6666666666665</v>
      </c>
      <c r="Q7" s="78">
        <v>9</v>
      </c>
      <c r="R7" s="65">
        <v>-24000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0.4</v>
      </c>
      <c r="E8" s="27" t="s">
        <v>69</v>
      </c>
      <c r="F8" s="24" t="s">
        <v>24</v>
      </c>
      <c r="G8" s="12">
        <v>8</v>
      </c>
      <c r="H8" s="88">
        <f>IF(B$20=0,0,G8/B$20)</f>
        <v>0.25806451612903225</v>
      </c>
      <c r="I8" s="58">
        <v>2</v>
      </c>
      <c r="K8" s="74">
        <v>6</v>
      </c>
      <c r="L8" s="119">
        <v>38.700000000000003</v>
      </c>
      <c r="M8" s="117">
        <v>1399.3187126511239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0.33333333333333331</v>
      </c>
      <c r="E9" s="27" t="s">
        <v>65</v>
      </c>
      <c r="F9" s="24" t="s">
        <v>21</v>
      </c>
      <c r="G9" s="12">
        <v>4</v>
      </c>
      <c r="H9" s="88">
        <f>IF(B$20=0,0,G9/B$20)</f>
        <v>0.12903225806451613</v>
      </c>
      <c r="I9" s="58">
        <v>6</v>
      </c>
      <c r="K9" s="74">
        <v>7</v>
      </c>
      <c r="L9" s="119">
        <v>74</v>
      </c>
      <c r="M9" s="117">
        <v>1406.924800375217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4</v>
      </c>
      <c r="H10" s="88">
        <f>IF(B$20=0,0,G10/B$20)</f>
        <v>0.12903225806451613</v>
      </c>
      <c r="I10" s="58">
        <v>2</v>
      </c>
      <c r="K10" s="74">
        <v>8</v>
      </c>
      <c r="L10" s="119">
        <v>74</v>
      </c>
      <c r="M10" s="117">
        <v>1408.1312515729658</v>
      </c>
      <c r="O10" s="73" t="s">
        <v>150</v>
      </c>
      <c r="P10" s="82">
        <f>IF(Q10=0,0,R10/Q10)</f>
        <v>41.52</v>
      </c>
      <c r="Q10" s="76">
        <v>5</v>
      </c>
      <c r="R10" s="67">
        <v>207.60000000000002</v>
      </c>
    </row>
    <row r="11" spans="1:18" x14ac:dyDescent="0.4">
      <c r="A11" s="20" t="s">
        <v>183</v>
      </c>
      <c r="B11" s="109">
        <f>IF(B8=0,0,C11/B8)</f>
        <v>49.300000000000004</v>
      </c>
      <c r="C11" s="110">
        <v>295.8</v>
      </c>
      <c r="E11" s="27" t="s">
        <v>89</v>
      </c>
      <c r="F11" s="24" t="s">
        <v>44</v>
      </c>
      <c r="G11" s="12">
        <v>4</v>
      </c>
      <c r="H11" s="88">
        <f>IF(B$20=0,0,G11/B$20)</f>
        <v>0.12903225806451613</v>
      </c>
      <c r="I11" s="58">
        <v>6</v>
      </c>
      <c r="K11" s="74">
        <v>9</v>
      </c>
      <c r="L11" s="119">
        <v>55</v>
      </c>
      <c r="M11" s="117">
        <v>1405.910464063528</v>
      </c>
      <c r="O11" s="74" t="s">
        <v>151</v>
      </c>
      <c r="P11" s="83">
        <f>IF(Q11=0,0,R11/Q11)</f>
        <v>-3.8428571428571439</v>
      </c>
      <c r="Q11" s="77">
        <v>7</v>
      </c>
      <c r="R11" s="68">
        <v>-26.900000000000006</v>
      </c>
    </row>
    <row r="12" spans="1:18" x14ac:dyDescent="0.4">
      <c r="A12" s="20" t="s">
        <v>184</v>
      </c>
      <c r="B12" s="109">
        <f>IF(B9=0,0,C12/B9)</f>
        <v>-4.1399999999999997</v>
      </c>
      <c r="C12" s="110">
        <v>-20.7</v>
      </c>
      <c r="E12" s="27" t="s">
        <v>154</v>
      </c>
      <c r="F12" s="24" t="s">
        <v>155</v>
      </c>
      <c r="G12" s="12">
        <v>3</v>
      </c>
      <c r="H12" s="88">
        <f>IF(B$20=0,0,G12/B$20)</f>
        <v>9.6774193548387094E-2</v>
      </c>
      <c r="I12" s="58">
        <v>1</v>
      </c>
      <c r="K12" s="74">
        <v>10</v>
      </c>
      <c r="L12" s="119">
        <v>106.4</v>
      </c>
      <c r="M12" s="117">
        <v>1416.3750012791468</v>
      </c>
      <c r="O12" s="75" t="s">
        <v>152</v>
      </c>
      <c r="P12" s="84">
        <f>IF(Q12=0,0,R12/Q12)</f>
        <v>-23.233333333333334</v>
      </c>
      <c r="Q12" s="78">
        <v>3</v>
      </c>
      <c r="R12" s="69">
        <v>-69.7</v>
      </c>
    </row>
    <row r="13" spans="1:18" x14ac:dyDescent="0.4">
      <c r="A13" s="20" t="s">
        <v>185</v>
      </c>
      <c r="B13" s="109">
        <f>IF(B10=0,0,C13/B10)</f>
        <v>-41.024999999999999</v>
      </c>
      <c r="C13" s="110">
        <v>-164.1</v>
      </c>
      <c r="E13" s="27" t="s">
        <v>70</v>
      </c>
      <c r="F13" s="24" t="s">
        <v>25</v>
      </c>
      <c r="G13" s="12">
        <v>2</v>
      </c>
      <c r="H13" s="88">
        <f>IF(B$20=0,0,G13/B$20)</f>
        <v>6.4516129032258063E-2</v>
      </c>
      <c r="I13" s="58">
        <v>8</v>
      </c>
      <c r="K13" s="74">
        <v>11</v>
      </c>
      <c r="L13" s="119">
        <v>155.10000000000002</v>
      </c>
      <c r="M13" s="117">
        <v>1426.2907512714719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1.378333333333335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6.4516129032258063E-2</v>
      </c>
      <c r="I14" s="58">
        <v>5</v>
      </c>
      <c r="K14" s="74">
        <v>12</v>
      </c>
      <c r="L14" s="119">
        <v>112.10000000000002</v>
      </c>
      <c r="M14" s="117">
        <v>1419.6410067638431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74</v>
      </c>
      <c r="F15" s="24" t="s">
        <v>29</v>
      </c>
      <c r="G15" s="12">
        <v>1</v>
      </c>
      <c r="H15" s="88">
        <f>IF(B$20=0,0,G15/B$20)</f>
        <v>3.2258064516129031E-2</v>
      </c>
      <c r="I15" s="58">
        <v>1</v>
      </c>
      <c r="K15" s="74">
        <v>13</v>
      </c>
      <c r="L15" s="119">
        <v>103.10000000000002</v>
      </c>
      <c r="M15" s="117">
        <v>1419.1511607232601</v>
      </c>
      <c r="O15" s="73" t="s">
        <v>126</v>
      </c>
      <c r="P15" s="82">
        <f>IF(Q15=0,0,R15/Q15)</f>
        <v>15.600000000000001</v>
      </c>
      <c r="Q15" s="76">
        <v>15</v>
      </c>
      <c r="R15" s="67">
        <v>234.00000000000003</v>
      </c>
    </row>
    <row r="16" spans="1:18" x14ac:dyDescent="0.4">
      <c r="A16" s="22" t="s">
        <v>121</v>
      </c>
      <c r="B16" s="15">
        <v>28</v>
      </c>
      <c r="C16" s="10">
        <f>IF(B$3=0,0,B16/B$3)</f>
        <v>0.26168224299065418</v>
      </c>
      <c r="E16" s="27" t="s">
        <v>78</v>
      </c>
      <c r="F16" s="24" t="s">
        <v>33</v>
      </c>
      <c r="G16" s="12">
        <v>1</v>
      </c>
      <c r="H16" s="88">
        <f>IF(B$20=0,0,G16/B$20)</f>
        <v>3.2258064516129031E-2</v>
      </c>
      <c r="I16" s="58">
        <v>3</v>
      </c>
      <c r="K16" s="74">
        <v>14</v>
      </c>
      <c r="L16" s="119">
        <v>74.000000000000028</v>
      </c>
      <c r="M16" s="117">
        <v>1415.0462537589206</v>
      </c>
      <c r="O16" s="74" t="s">
        <v>162</v>
      </c>
      <c r="P16" s="83">
        <f>IF(Q16=0,0,R16/Q16)</f>
        <v>6.6</v>
      </c>
      <c r="Q16" s="77">
        <v>15</v>
      </c>
      <c r="R16" s="68">
        <v>99</v>
      </c>
    </row>
    <row r="17" spans="1:13" x14ac:dyDescent="0.4">
      <c r="A17" s="19" t="s">
        <v>118</v>
      </c>
      <c r="B17" s="12">
        <v>11</v>
      </c>
      <c r="C17" s="6">
        <f>IF(B$3=0,0,B17/B$3)</f>
        <v>0.10280373831775701</v>
      </c>
      <c r="E17" s="27" t="s">
        <v>79</v>
      </c>
      <c r="F17" s="24" t="s">
        <v>34</v>
      </c>
      <c r="G17" s="12">
        <v>1</v>
      </c>
      <c r="H17" s="88">
        <f>IF(B$20=0,0,G17/B$20)</f>
        <v>3.2258064516129031E-2</v>
      </c>
      <c r="I17" s="58">
        <v>1</v>
      </c>
      <c r="K17" s="74">
        <v>15</v>
      </c>
      <c r="L17" s="119">
        <v>111.00000000000003</v>
      </c>
      <c r="M17" s="117">
        <v>1422.8639762363671</v>
      </c>
    </row>
    <row r="18" spans="1:13" x14ac:dyDescent="0.4">
      <c r="A18" s="18" t="s">
        <v>123</v>
      </c>
      <c r="B18" s="11">
        <f>B24</f>
        <v>18</v>
      </c>
      <c r="C18" s="5">
        <f>IF(B$16=0,0,B18/B$16)</f>
        <v>0.6428571428571429</v>
      </c>
      <c r="E18" s="27" t="s">
        <v>81</v>
      </c>
      <c r="F18" s="24" t="s">
        <v>36</v>
      </c>
      <c r="G18" s="12">
        <v>1</v>
      </c>
      <c r="H18" s="88">
        <f>IF(B$20=0,0,G18/B$20)</f>
        <v>3.2258064516129031E-2</v>
      </c>
      <c r="I18" s="58">
        <v>4</v>
      </c>
    </row>
    <row r="19" spans="1:13" x14ac:dyDescent="0.4">
      <c r="A19" s="18" t="s">
        <v>124</v>
      </c>
      <c r="B19" s="11">
        <f>B25</f>
        <v>5</v>
      </c>
      <c r="C19" s="5">
        <f>IF(B$17=0,0,B19/B$17)</f>
        <v>0.45454545454545453</v>
      </c>
      <c r="E19" s="27" t="s">
        <v>83</v>
      </c>
      <c r="F19" s="24" t="s">
        <v>38</v>
      </c>
      <c r="G19" s="12">
        <v>1</v>
      </c>
      <c r="H19" s="88">
        <f>IF(B$20=0,0,G19/B$20)</f>
        <v>3.2258064516129031E-2</v>
      </c>
      <c r="I19" s="58">
        <v>5</v>
      </c>
    </row>
    <row r="20" spans="1:13" x14ac:dyDescent="0.4">
      <c r="A20" s="18" t="s">
        <v>10</v>
      </c>
      <c r="B20" s="11">
        <f>B23+B22</f>
        <v>31</v>
      </c>
      <c r="C20" s="5">
        <f>IF(B$3=0,0,B20/B$3)</f>
        <v>0.28971962616822428</v>
      </c>
      <c r="E20" s="27" t="s">
        <v>91</v>
      </c>
      <c r="F20" s="24" t="s">
        <v>46</v>
      </c>
      <c r="G20" s="12">
        <v>1</v>
      </c>
      <c r="H20" s="88">
        <f>IF(B$20=0,0,G20/B$20)</f>
        <v>3.2258064516129031E-2</v>
      </c>
      <c r="I20" s="58">
        <v>3</v>
      </c>
    </row>
    <row r="21" spans="1:13" x14ac:dyDescent="0.4">
      <c r="A21" s="19" t="s">
        <v>13</v>
      </c>
      <c r="B21" s="12">
        <v>14</v>
      </c>
      <c r="C21" s="6">
        <f>IF(B$3=0,0,B21/B$3)</f>
        <v>0.13084112149532709</v>
      </c>
      <c r="E21" s="27" t="s">
        <v>93</v>
      </c>
      <c r="F21" s="24" t="s">
        <v>48</v>
      </c>
      <c r="G21" s="12">
        <v>1</v>
      </c>
      <c r="H21" s="88">
        <f>IF(B$20=0,0,G21/B$20)</f>
        <v>3.2258064516129031E-2</v>
      </c>
      <c r="I21" s="58">
        <v>1</v>
      </c>
    </row>
    <row r="22" spans="1:13" x14ac:dyDescent="0.4">
      <c r="A22" s="19" t="s">
        <v>12</v>
      </c>
      <c r="B22" s="12">
        <v>17</v>
      </c>
      <c r="C22" s="6">
        <f>IF(B$20=0,0,B22/B$20)</f>
        <v>0.54838709677419351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7</v>
      </c>
    </row>
    <row r="23" spans="1:13" x14ac:dyDescent="0.4">
      <c r="A23" s="19" t="s">
        <v>11</v>
      </c>
      <c r="B23" s="12">
        <v>14</v>
      </c>
      <c r="C23" s="6">
        <f>IF(B$20=0,0,B23/B$20)</f>
        <v>0.45161290322580644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4</v>
      </c>
    </row>
    <row r="24" spans="1:13" x14ac:dyDescent="0.4">
      <c r="A24" s="19" t="s">
        <v>182</v>
      </c>
      <c r="B24" s="12">
        <v>18</v>
      </c>
      <c r="C24" s="6">
        <f>IF(B$20=0,0,B24/B$20)</f>
        <v>0.58064516129032262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3</v>
      </c>
    </row>
    <row r="25" spans="1:13" x14ac:dyDescent="0.4">
      <c r="A25" s="19" t="s">
        <v>180</v>
      </c>
      <c r="B25" s="12">
        <v>5</v>
      </c>
      <c r="C25" s="6">
        <f>IF(B$20=0,0,B25/B$20)</f>
        <v>0.16129032258064516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1</v>
      </c>
    </row>
    <row r="26" spans="1:13" x14ac:dyDescent="0.4">
      <c r="A26" s="19" t="s">
        <v>181</v>
      </c>
      <c r="B26" s="12">
        <v>8</v>
      </c>
      <c r="C26" s="6">
        <f>IF(B$20=0,0,B26/B$20)</f>
        <v>0.25806451612903225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3" x14ac:dyDescent="0.4">
      <c r="A27" s="19" t="s">
        <v>5</v>
      </c>
      <c r="B27" s="16">
        <f>IF(B$20=0,0,C27/B$20)</f>
        <v>10529.032258064517</v>
      </c>
      <c r="C27" s="8">
        <v>326400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3" x14ac:dyDescent="0.4">
      <c r="A28" s="20" t="s">
        <v>164</v>
      </c>
      <c r="B28" s="95">
        <f>IF($B$20-B$19=0,0,C28/($B$20-B$19))</f>
        <v>10346.153846153846</v>
      </c>
      <c r="C28" s="96">
        <v>269000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</row>
    <row r="29" spans="1:13" x14ac:dyDescent="0.4">
      <c r="A29" s="20" t="s">
        <v>165</v>
      </c>
      <c r="B29" s="95">
        <f>IF(B$19=0,0,C29/B$19)</f>
        <v>11480</v>
      </c>
      <c r="C29" s="96">
        <v>57400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3" x14ac:dyDescent="0.4">
      <c r="A30" s="20" t="s">
        <v>163</v>
      </c>
      <c r="B30" s="95">
        <f>IF(B$21=0,0,C30/B$21)</f>
        <v>-10257.142857142857</v>
      </c>
      <c r="C30" s="96">
        <v>-143600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</row>
    <row r="31" spans="1:13" x14ac:dyDescent="0.4">
      <c r="A31" s="19" t="s">
        <v>156</v>
      </c>
      <c r="B31" s="12">
        <v>2</v>
      </c>
      <c r="C31" s="90">
        <v>2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</row>
    <row r="32" spans="1:13" x14ac:dyDescent="0.4">
      <c r="A32" s="19" t="s">
        <v>157</v>
      </c>
      <c r="B32" s="12">
        <v>15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179</v>
      </c>
      <c r="B34" s="129">
        <v>79900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3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166</v>
      </c>
      <c r="B38" s="12">
        <v>2</v>
      </c>
      <c r="C38" s="6">
        <f t="shared" si="2"/>
        <v>6.4516129032258063E-2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167</v>
      </c>
      <c r="B39" s="124">
        <v>6</v>
      </c>
      <c r="C39" s="6">
        <f t="shared" si="2"/>
        <v>0.19354838709677419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4</v>
      </c>
    </row>
    <row r="40" spans="1:9" x14ac:dyDescent="0.4">
      <c r="A40" s="19" t="s">
        <v>168</v>
      </c>
      <c r="B40" s="124">
        <v>8</v>
      </c>
      <c r="C40" s="6">
        <f t="shared" si="2"/>
        <v>0.25806451612903225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6</v>
      </c>
      <c r="C41" s="6">
        <f t="shared" si="2"/>
        <v>0.19354838709677419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9.6774193548387094E-2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2</v>
      </c>
      <c r="C43" s="6">
        <f t="shared" si="2"/>
        <v>6.4516129032258063E-2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1</v>
      </c>
      <c r="C44" s="6">
        <f t="shared" si="2"/>
        <v>3.2258064516129031E-2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2</v>
      </c>
      <c r="C45" s="6">
        <f t="shared" si="2"/>
        <v>6.4516129032258063E-2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3.2258064516129031E-2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31E8-58E3-4AF3-A1A4-66AF7BB9C8F7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200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1519.3079580555725</v>
      </c>
      <c r="O2" s="73" t="s">
        <v>127</v>
      </c>
      <c r="P2" s="79">
        <f t="shared" ref="P2:P7" si="0">IF(Q2=0,0,R2/Q2)</f>
        <v>-7000</v>
      </c>
      <c r="Q2" s="76">
        <v>2</v>
      </c>
      <c r="R2" s="63">
        <v>-14000</v>
      </c>
    </row>
    <row r="3" spans="1:18" x14ac:dyDescent="0.4">
      <c r="A3" s="19" t="s">
        <v>8</v>
      </c>
      <c r="B3" s="135">
        <v>22</v>
      </c>
      <c r="C3" s="136"/>
      <c r="E3" s="27" t="s">
        <v>64</v>
      </c>
      <c r="F3" s="24" t="s">
        <v>20</v>
      </c>
      <c r="G3" s="12">
        <v>4</v>
      </c>
      <c r="H3" s="88">
        <f>IF(B$20=0,0,G3/B$20)</f>
        <v>0.5</v>
      </c>
      <c r="I3" s="58">
        <v>7</v>
      </c>
      <c r="K3" s="74">
        <v>1</v>
      </c>
      <c r="L3" s="119">
        <v>-3.3</v>
      </c>
      <c r="M3" s="117">
        <v>1518.868110307239</v>
      </c>
      <c r="O3" s="74" t="s">
        <v>128</v>
      </c>
      <c r="P3" s="80">
        <f t="shared" si="0"/>
        <v>-2750</v>
      </c>
      <c r="Q3" s="77">
        <v>2</v>
      </c>
      <c r="R3" s="64">
        <v>-5500</v>
      </c>
    </row>
    <row r="4" spans="1:18" x14ac:dyDescent="0.4">
      <c r="A4" s="19" t="s">
        <v>6</v>
      </c>
      <c r="B4" s="137">
        <v>51.300000000000004</v>
      </c>
      <c r="C4" s="138"/>
      <c r="E4" s="27" t="s">
        <v>69</v>
      </c>
      <c r="F4" s="24" t="s">
        <v>24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51.300000000000004</v>
      </c>
      <c r="M4" s="117">
        <v>1528.4449016453955</v>
      </c>
      <c r="O4" s="74" t="s">
        <v>129</v>
      </c>
      <c r="P4" s="80">
        <f t="shared" si="0"/>
        <v>-1400</v>
      </c>
      <c r="Q4" s="77">
        <v>2</v>
      </c>
      <c r="R4" s="64">
        <v>-2800</v>
      </c>
    </row>
    <row r="5" spans="1:18" x14ac:dyDescent="0.4">
      <c r="A5" s="19" t="s">
        <v>7</v>
      </c>
      <c r="B5" s="125">
        <f>IF(B$2=0,0,B$4/B$2)</f>
        <v>25.650000000000002</v>
      </c>
      <c r="C5" s="126"/>
      <c r="E5" s="27" t="s">
        <v>158</v>
      </c>
      <c r="F5" s="24" t="s">
        <v>159</v>
      </c>
      <c r="G5" s="12">
        <v>2</v>
      </c>
      <c r="H5" s="88">
        <f>IF(B$20=0,0,G5/B$20)</f>
        <v>0.25</v>
      </c>
      <c r="I5" s="58">
        <v>10</v>
      </c>
      <c r="O5" s="74" t="s">
        <v>130</v>
      </c>
      <c r="P5" s="80">
        <f t="shared" si="0"/>
        <v>28250</v>
      </c>
      <c r="Q5" s="77">
        <v>2</v>
      </c>
      <c r="R5" s="64">
        <v>56500</v>
      </c>
    </row>
    <row r="6" spans="1:18" x14ac:dyDescent="0.4">
      <c r="A6" s="19" t="s">
        <v>192</v>
      </c>
      <c r="B6" s="129">
        <v>1528.4449016453955</v>
      </c>
      <c r="C6" s="130"/>
      <c r="E6" s="27" t="s">
        <v>65</v>
      </c>
      <c r="F6" s="24" t="s">
        <v>21</v>
      </c>
      <c r="G6" s="12">
        <v>1</v>
      </c>
      <c r="H6" s="88">
        <f>IF(B$20=0,0,G6/B$20)</f>
        <v>0.125</v>
      </c>
      <c r="I6" s="58">
        <v>7</v>
      </c>
      <c r="O6" s="74" t="s">
        <v>131</v>
      </c>
      <c r="P6" s="80">
        <f t="shared" si="0"/>
        <v>-4900</v>
      </c>
      <c r="Q6" s="77">
        <v>1</v>
      </c>
      <c r="R6" s="64">
        <v>-4900</v>
      </c>
    </row>
    <row r="7" spans="1:18" x14ac:dyDescent="0.4">
      <c r="A7" s="19" t="s">
        <v>1</v>
      </c>
      <c r="B7" s="139">
        <f>IF(B$2=0,0,(B$8*1+B$9*2+B$10*3)/B$2)</f>
        <v>1.5</v>
      </c>
      <c r="C7" s="140"/>
      <c r="E7" s="27" t="s">
        <v>67</v>
      </c>
      <c r="F7" s="24" t="s">
        <v>23</v>
      </c>
      <c r="G7" s="12">
        <v>1</v>
      </c>
      <c r="H7" s="88">
        <f>IF(B$20=0,0,G7/B$20)</f>
        <v>0.125</v>
      </c>
      <c r="I7" s="58">
        <v>9</v>
      </c>
      <c r="O7" s="75" t="s">
        <v>132</v>
      </c>
      <c r="P7" s="81">
        <f t="shared" si="0"/>
        <v>2000</v>
      </c>
      <c r="Q7" s="78">
        <v>1</v>
      </c>
      <c r="R7" s="65">
        <v>2000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0.5</v>
      </c>
      <c r="E8" s="27" t="s">
        <v>68</v>
      </c>
      <c r="F8" s="24" t="s">
        <v>12</v>
      </c>
      <c r="G8" s="12">
        <v>1</v>
      </c>
      <c r="H8" s="88">
        <f>IF(B$20=0,0,G8/B$20)</f>
        <v>0.125</v>
      </c>
      <c r="I8" s="58">
        <v>10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71</v>
      </c>
      <c r="F9" s="24" t="s">
        <v>26</v>
      </c>
      <c r="G9" s="12">
        <v>1</v>
      </c>
      <c r="H9" s="88">
        <f>IF(B$20=0,0,G9/B$20)</f>
        <v>0.125</v>
      </c>
      <c r="I9" s="58">
        <v>3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72</v>
      </c>
      <c r="F10" s="24" t="s">
        <v>27</v>
      </c>
      <c r="G10" s="12">
        <v>1</v>
      </c>
      <c r="H10" s="88">
        <f>IF(B$20=0,0,G10/B$20)</f>
        <v>0.125</v>
      </c>
      <c r="I10" s="58">
        <v>10</v>
      </c>
      <c r="O10" s="73" t="s">
        <v>150</v>
      </c>
      <c r="P10" s="82">
        <f>IF(Q10=0,0,R10/Q10)</f>
        <v>54.6</v>
      </c>
      <c r="Q10" s="76">
        <v>1</v>
      </c>
      <c r="R10" s="67">
        <v>54.6</v>
      </c>
    </row>
    <row r="11" spans="1:18" x14ac:dyDescent="0.4">
      <c r="A11" s="20" t="s">
        <v>183</v>
      </c>
      <c r="B11" s="109">
        <f>IF(B8=0,0,C11/B8)</f>
        <v>54.6</v>
      </c>
      <c r="C11" s="110">
        <v>54.6</v>
      </c>
      <c r="E11" s="27" t="s">
        <v>83</v>
      </c>
      <c r="F11" s="24" t="s">
        <v>38</v>
      </c>
      <c r="G11" s="12">
        <v>1</v>
      </c>
      <c r="H11" s="88">
        <f>IF(B$20=0,0,G11/B$20)</f>
        <v>0.125</v>
      </c>
      <c r="I11" s="58">
        <v>1</v>
      </c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-3.3</v>
      </c>
      <c r="C12" s="110">
        <v>-3.3</v>
      </c>
      <c r="E12" s="27" t="s">
        <v>86</v>
      </c>
      <c r="F12" s="24" t="s">
        <v>41</v>
      </c>
      <c r="G12" s="12">
        <v>1</v>
      </c>
      <c r="H12" s="88">
        <f>IF(B$20=0,0,G12/B$20)</f>
        <v>0.125</v>
      </c>
      <c r="I12" s="58">
        <v>1</v>
      </c>
      <c r="O12" s="75" t="s">
        <v>152</v>
      </c>
      <c r="P12" s="84">
        <f>IF(Q12=0,0,R12/Q12)</f>
        <v>-3.3</v>
      </c>
      <c r="Q12" s="78">
        <v>1</v>
      </c>
      <c r="R12" s="69">
        <v>-3.3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89</v>
      </c>
      <c r="F13" s="24" t="s">
        <v>44</v>
      </c>
      <c r="G13" s="12">
        <v>1</v>
      </c>
      <c r="H13" s="88">
        <f>IF(B$20=0,0,G13/B$20)</f>
        <v>0.125</v>
      </c>
      <c r="I13" s="58">
        <v>7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17.100000000000001</v>
      </c>
      <c r="C14" s="126"/>
      <c r="E14" s="27" t="s">
        <v>91</v>
      </c>
      <c r="F14" s="24" t="s">
        <v>46</v>
      </c>
      <c r="G14" s="12">
        <v>1</v>
      </c>
      <c r="H14" s="88">
        <f>IF(B$20=0,0,G14/B$20)</f>
        <v>0.125</v>
      </c>
      <c r="I14" s="58">
        <v>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10</v>
      </c>
      <c r="O15" s="73" t="s">
        <v>189</v>
      </c>
      <c r="P15" s="82">
        <f>IF(Q15=0,0,R15/Q15)</f>
        <v>112.7</v>
      </c>
      <c r="Q15" s="76">
        <v>1</v>
      </c>
      <c r="R15" s="67">
        <v>112.7</v>
      </c>
    </row>
    <row r="16" spans="1:18" x14ac:dyDescent="0.4">
      <c r="A16" s="22" t="s">
        <v>121</v>
      </c>
      <c r="B16" s="15">
        <v>7</v>
      </c>
      <c r="C16" s="10">
        <f>IF(B$3=0,0,B16/B$3)</f>
        <v>0.31818181818181818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7</v>
      </c>
      <c r="O16" s="74" t="s">
        <v>191</v>
      </c>
      <c r="P16" s="83">
        <f>IF(Q16=0,0,R16/Q16)</f>
        <v>37.700000000000003</v>
      </c>
      <c r="Q16" s="77">
        <v>2</v>
      </c>
      <c r="R16" s="68">
        <v>75.400000000000006</v>
      </c>
    </row>
    <row r="17" spans="1:18" x14ac:dyDescent="0.4">
      <c r="A17" s="19" t="s">
        <v>118</v>
      </c>
      <c r="B17" s="12">
        <v>5</v>
      </c>
      <c r="C17" s="6">
        <f>IF(B$3=0,0,B17/B$3)</f>
        <v>0.22727272727272727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6</v>
      </c>
      <c r="O17" s="74" t="s">
        <v>126</v>
      </c>
      <c r="P17" s="83">
        <f>IF(Q17=0,0,R17/Q17)</f>
        <v>-34.199999999999996</v>
      </c>
      <c r="Q17" s="77">
        <v>1</v>
      </c>
      <c r="R17" s="68">
        <v>-34.199999999999996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0.5714285714285714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0.36363636363636365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4</v>
      </c>
      <c r="C21" s="6">
        <f>IF(B$3=0,0,B21/B$3)</f>
        <v>0.18181818181818182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1</v>
      </c>
      <c r="C22" s="6">
        <f>IF(B$20=0,0,B22/B$20)</f>
        <v>0.125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5</v>
      </c>
    </row>
    <row r="23" spans="1:18" x14ac:dyDescent="0.4">
      <c r="A23" s="19" t="s">
        <v>11</v>
      </c>
      <c r="B23" s="12">
        <v>7</v>
      </c>
      <c r="C23" s="6">
        <f>IF(B$20=0,0,B23/B$20)</f>
        <v>0.875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4</v>
      </c>
      <c r="C24" s="6">
        <f>IF(B$20=0,0,B24/B$20)</f>
        <v>0.5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9</v>
      </c>
    </row>
    <row r="25" spans="1:18" x14ac:dyDescent="0.4">
      <c r="A25" s="19" t="s">
        <v>180</v>
      </c>
      <c r="B25" s="12">
        <v>2</v>
      </c>
      <c r="C25" s="6">
        <f>IF(B$20=0,0,B25/B$20)</f>
        <v>0.25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2</v>
      </c>
      <c r="C26" s="6">
        <f>IF(B$20=0,0,B26/B$20)</f>
        <v>0.25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8837.5</v>
      </c>
      <c r="C27" s="8">
        <v>70700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8450</v>
      </c>
      <c r="C28" s="96">
        <v>50700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165</v>
      </c>
      <c r="B29" s="95">
        <f>IF(B$19=0,0,C29/B$19)</f>
        <v>10000</v>
      </c>
      <c r="C29" s="96">
        <v>20000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-9475</v>
      </c>
      <c r="C30" s="96">
        <v>-37900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156</v>
      </c>
      <c r="B31" s="12">
        <v>3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157</v>
      </c>
      <c r="B32" s="12">
        <v>6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135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69600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170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4</v>
      </c>
    </row>
    <row r="39" spans="1:9" x14ac:dyDescent="0.4">
      <c r="A39" s="19" t="s">
        <v>167</v>
      </c>
      <c r="B39" s="124">
        <v>3</v>
      </c>
      <c r="C39" s="6">
        <f t="shared" si="2"/>
        <v>0.375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2</v>
      </c>
      <c r="C40" s="6">
        <f t="shared" si="2"/>
        <v>0.25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0.375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5560F-94F1-40BA-B369-764FD93B207D}">
  <sheetPr codeName="Sheet24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200</v>
      </c>
      <c r="B1" s="34" t="s">
        <v>200</v>
      </c>
      <c r="C1" s="34" t="s">
        <v>200</v>
      </c>
      <c r="D1" s="35" t="s">
        <v>200</v>
      </c>
      <c r="E1" s="34" t="s">
        <v>200</v>
      </c>
      <c r="F1" s="34" t="s">
        <v>200</v>
      </c>
      <c r="G1" s="34" t="s">
        <v>200</v>
      </c>
      <c r="H1" s="34" t="s">
        <v>200</v>
      </c>
      <c r="I1" s="34" t="s">
        <v>200</v>
      </c>
      <c r="J1" s="34" t="s">
        <v>200</v>
      </c>
      <c r="K1" s="34" t="s">
        <v>200</v>
      </c>
      <c r="L1" s="34" t="s">
        <v>200</v>
      </c>
      <c r="M1" s="34" t="s">
        <v>200</v>
      </c>
      <c r="N1" s="34" t="s">
        <v>200</v>
      </c>
      <c r="O1" s="34" t="s">
        <v>200</v>
      </c>
      <c r="P1" s="34" t="s">
        <v>200</v>
      </c>
      <c r="Q1" s="34" t="s">
        <v>200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-3.3</v>
      </c>
      <c r="C4" s="30">
        <v>-3.3</v>
      </c>
      <c r="D4" s="35">
        <v>2</v>
      </c>
      <c r="E4" s="31">
        <v>0</v>
      </c>
      <c r="F4" s="31">
        <v>0</v>
      </c>
      <c r="G4" s="31">
        <v>0.23076923076923078</v>
      </c>
      <c r="H4" s="31">
        <v>0.23076923076923078</v>
      </c>
      <c r="I4" s="32">
        <v>7866.666666666667</v>
      </c>
      <c r="J4" s="32">
        <v>-6633.333333333333</v>
      </c>
      <c r="K4" s="31">
        <v>0</v>
      </c>
      <c r="L4" s="31">
        <v>0.38461538461538464</v>
      </c>
      <c r="M4" s="31">
        <v>0.15384615384615385</v>
      </c>
      <c r="N4" s="31">
        <v>0.4</v>
      </c>
      <c r="O4" s="31">
        <v>0.5</v>
      </c>
      <c r="P4" s="31">
        <v>0</v>
      </c>
    </row>
    <row r="5" spans="1:17" x14ac:dyDescent="0.4">
      <c r="A5" s="33">
        <v>2</v>
      </c>
      <c r="B5" s="30">
        <v>51.300000000000004</v>
      </c>
      <c r="C5" s="30">
        <v>25.650000000000002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0.18181818181818182</v>
      </c>
      <c r="I5" s="32">
        <v>8837.5</v>
      </c>
      <c r="J5" s="32">
        <v>-9475</v>
      </c>
      <c r="K5" s="31">
        <v>0</v>
      </c>
      <c r="L5" s="31">
        <v>0.31818181818181818</v>
      </c>
      <c r="M5" s="31">
        <v>0.22727272727272727</v>
      </c>
      <c r="N5" s="31">
        <v>0.5714285714285714</v>
      </c>
      <c r="O5" s="31">
        <v>0.4</v>
      </c>
      <c r="P5" s="31">
        <v>0.125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75E59-DD74-45D7-BE64-8C32CF3E5C10}">
  <sheetPr codeName="Sheet22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-63.7</v>
      </c>
      <c r="C4" s="30">
        <v>-63.7</v>
      </c>
      <c r="D4" s="35">
        <v>3</v>
      </c>
      <c r="E4" s="31">
        <v>0</v>
      </c>
      <c r="F4" s="31">
        <v>1</v>
      </c>
      <c r="G4" s="31">
        <v>0.1111111111111111</v>
      </c>
      <c r="H4" s="31">
        <v>0.22222222222222221</v>
      </c>
      <c r="I4" s="32">
        <v>12000</v>
      </c>
      <c r="J4" s="32">
        <v>-22000</v>
      </c>
      <c r="K4" s="31">
        <v>1</v>
      </c>
      <c r="L4" s="31">
        <v>0.1111111111111111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-5.2000000000000028</v>
      </c>
      <c r="C5" s="30">
        <v>-2.6000000000000014</v>
      </c>
      <c r="D5" s="35">
        <v>2</v>
      </c>
      <c r="E5" s="31">
        <v>0.5</v>
      </c>
      <c r="F5" s="31">
        <v>0.5</v>
      </c>
      <c r="G5" s="31">
        <v>0.2</v>
      </c>
      <c r="H5" s="31">
        <v>0.13333333333333333</v>
      </c>
      <c r="I5" s="32">
        <v>17266.666666666668</v>
      </c>
      <c r="J5" s="32">
        <v>-22000</v>
      </c>
      <c r="K5" s="31">
        <v>0.5</v>
      </c>
      <c r="L5" s="31">
        <v>0.13333333333333333</v>
      </c>
      <c r="M5" s="31">
        <v>6.6666666666666666E-2</v>
      </c>
      <c r="N5" s="31">
        <v>0.5</v>
      </c>
      <c r="O5" s="31">
        <v>1</v>
      </c>
      <c r="P5" s="31">
        <v>0.66666666666666663</v>
      </c>
    </row>
    <row r="6" spans="1:17" x14ac:dyDescent="0.4">
      <c r="A6" s="33">
        <v>3</v>
      </c>
      <c r="B6" s="30">
        <v>-5.0000000000000027</v>
      </c>
      <c r="C6" s="30">
        <v>-1.6666666666666676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9.5238095238095233E-2</v>
      </c>
      <c r="I6" s="32">
        <v>17266.666666666668</v>
      </c>
      <c r="J6" s="32">
        <v>-22000</v>
      </c>
      <c r="K6" s="31">
        <v>0.33333333333333331</v>
      </c>
      <c r="L6" s="31">
        <v>9.5238095238095233E-2</v>
      </c>
      <c r="M6" s="31">
        <v>0.14285714285714285</v>
      </c>
      <c r="N6" s="31">
        <v>0.5</v>
      </c>
      <c r="O6" s="31">
        <v>0.33333333333333331</v>
      </c>
      <c r="P6" s="31">
        <v>0.66666666666666663</v>
      </c>
    </row>
    <row r="7" spans="1:17" x14ac:dyDescent="0.4">
      <c r="A7" s="33">
        <v>4</v>
      </c>
      <c r="B7" s="30">
        <v>2.099999999999997</v>
      </c>
      <c r="C7" s="30">
        <v>0.52499999999999925</v>
      </c>
      <c r="D7" s="35">
        <v>2</v>
      </c>
      <c r="E7" s="31">
        <v>0.25</v>
      </c>
      <c r="F7" s="31">
        <v>0.25</v>
      </c>
      <c r="G7" s="31">
        <v>0.17857142857142858</v>
      </c>
      <c r="H7" s="31">
        <v>0.10714285714285714</v>
      </c>
      <c r="I7" s="32">
        <v>15880</v>
      </c>
      <c r="J7" s="32">
        <v>-17333.333333333332</v>
      </c>
      <c r="K7" s="31">
        <v>0.25</v>
      </c>
      <c r="L7" s="31">
        <v>0.14285714285714285</v>
      </c>
      <c r="M7" s="31">
        <v>0.14285714285714285</v>
      </c>
      <c r="N7" s="31">
        <v>0.5</v>
      </c>
      <c r="O7" s="31">
        <v>0.25</v>
      </c>
      <c r="P7" s="31">
        <v>0.8</v>
      </c>
    </row>
    <row r="8" spans="1:17" x14ac:dyDescent="0.4">
      <c r="A8" s="33">
        <v>5</v>
      </c>
      <c r="B8" s="30">
        <v>67</v>
      </c>
      <c r="C8" s="30">
        <v>13.4</v>
      </c>
      <c r="D8" s="35">
        <v>1.8</v>
      </c>
      <c r="E8" s="31">
        <v>0.4</v>
      </c>
      <c r="F8" s="31">
        <v>0.2</v>
      </c>
      <c r="G8" s="31">
        <v>0.22857142857142856</v>
      </c>
      <c r="H8" s="31">
        <v>0.11428571428571428</v>
      </c>
      <c r="I8" s="32">
        <v>15175</v>
      </c>
      <c r="J8" s="32">
        <v>-13650</v>
      </c>
      <c r="K8" s="31">
        <v>0.2</v>
      </c>
      <c r="L8" s="31">
        <v>0.22857142857142856</v>
      </c>
      <c r="M8" s="31">
        <v>0.17142857142857143</v>
      </c>
      <c r="N8" s="31">
        <v>0.5</v>
      </c>
      <c r="O8" s="31">
        <v>0.33333333333333331</v>
      </c>
      <c r="P8" s="31">
        <v>0.75</v>
      </c>
    </row>
    <row r="9" spans="1:17" x14ac:dyDescent="0.4">
      <c r="A9" s="33">
        <v>6</v>
      </c>
      <c r="B9" s="30">
        <v>38.700000000000003</v>
      </c>
      <c r="C9" s="30">
        <v>6.45</v>
      </c>
      <c r="D9" s="35">
        <v>2</v>
      </c>
      <c r="E9" s="31">
        <v>0.33333333333333331</v>
      </c>
      <c r="F9" s="31">
        <v>0.33333333333333331</v>
      </c>
      <c r="G9" s="31">
        <v>0.23255813953488372</v>
      </c>
      <c r="H9" s="31">
        <v>0.11627906976744186</v>
      </c>
      <c r="I9" s="32">
        <v>14540</v>
      </c>
      <c r="J9" s="32">
        <v>-13320</v>
      </c>
      <c r="K9" s="31">
        <v>0.16666666666666666</v>
      </c>
      <c r="L9" s="31">
        <v>0.18604651162790697</v>
      </c>
      <c r="M9" s="31">
        <v>0.16279069767441862</v>
      </c>
      <c r="N9" s="31">
        <v>0.5</v>
      </c>
      <c r="O9" s="31">
        <v>0.42857142857142855</v>
      </c>
      <c r="P9" s="31">
        <v>0.6</v>
      </c>
    </row>
    <row r="10" spans="1:17" x14ac:dyDescent="0.4">
      <c r="A10" s="33">
        <v>7</v>
      </c>
      <c r="B10" s="30">
        <v>74</v>
      </c>
      <c r="C10" s="30">
        <v>10.571428571428571</v>
      </c>
      <c r="D10" s="35">
        <v>1.8571428571428572</v>
      </c>
      <c r="E10" s="31">
        <v>0.42857142857142855</v>
      </c>
      <c r="F10" s="31">
        <v>0.2857142857142857</v>
      </c>
      <c r="G10" s="31">
        <v>0.28000000000000003</v>
      </c>
      <c r="H10" s="31">
        <v>0.12</v>
      </c>
      <c r="I10" s="32">
        <v>12014.285714285714</v>
      </c>
      <c r="J10" s="32">
        <v>-13100</v>
      </c>
      <c r="K10" s="31">
        <v>0.14285714285714285</v>
      </c>
      <c r="L10" s="31">
        <v>0.22</v>
      </c>
      <c r="M10" s="31">
        <v>0.14000000000000001</v>
      </c>
      <c r="N10" s="31">
        <v>0.63636363636363635</v>
      </c>
      <c r="O10" s="31">
        <v>0.42857142857142855</v>
      </c>
      <c r="P10" s="31">
        <v>0.6428571428571429</v>
      </c>
    </row>
    <row r="11" spans="1:17" x14ac:dyDescent="0.4">
      <c r="A11" s="33">
        <v>8</v>
      </c>
      <c r="B11" s="30">
        <v>74</v>
      </c>
      <c r="C11" s="30">
        <v>9.25</v>
      </c>
      <c r="D11" s="35">
        <v>1.875</v>
      </c>
      <c r="E11" s="31">
        <v>0.375</v>
      </c>
      <c r="F11" s="31">
        <v>0.25</v>
      </c>
      <c r="G11" s="31">
        <v>0.27450980392156865</v>
      </c>
      <c r="H11" s="31">
        <v>0.11764705882352941</v>
      </c>
      <c r="I11" s="32">
        <v>12014.285714285714</v>
      </c>
      <c r="J11" s="32">
        <v>-13100</v>
      </c>
      <c r="K11" s="31">
        <v>0.125</v>
      </c>
      <c r="L11" s="31">
        <v>0.21568627450980393</v>
      </c>
      <c r="M11" s="31">
        <v>0.13725490196078433</v>
      </c>
      <c r="N11" s="31">
        <v>0.63636363636363635</v>
      </c>
      <c r="O11" s="31">
        <v>0.42857142857142855</v>
      </c>
      <c r="P11" s="31">
        <v>0.6428571428571429</v>
      </c>
    </row>
    <row r="12" spans="1:17" x14ac:dyDescent="0.4">
      <c r="A12" s="33">
        <v>9</v>
      </c>
      <c r="B12" s="30">
        <v>55</v>
      </c>
      <c r="C12" s="30">
        <v>6.1111111111111107</v>
      </c>
      <c r="D12" s="35">
        <v>1.8888888888888888</v>
      </c>
      <c r="E12" s="31">
        <v>0.33333333333333331</v>
      </c>
      <c r="F12" s="31">
        <v>0.22222222222222221</v>
      </c>
      <c r="G12" s="31">
        <v>0.25</v>
      </c>
      <c r="H12" s="31">
        <v>0.11666666666666667</v>
      </c>
      <c r="I12" s="32">
        <v>12280</v>
      </c>
      <c r="J12" s="32">
        <v>-13514.285714285714</v>
      </c>
      <c r="K12" s="31">
        <v>0.1111111111111111</v>
      </c>
      <c r="L12" s="31">
        <v>0.2</v>
      </c>
      <c r="M12" s="31">
        <v>0.13333333333333333</v>
      </c>
      <c r="N12" s="31">
        <v>0.66666666666666663</v>
      </c>
      <c r="O12" s="31">
        <v>0.375</v>
      </c>
      <c r="P12" s="31">
        <v>0.66666666666666663</v>
      </c>
    </row>
    <row r="13" spans="1:17" x14ac:dyDescent="0.4">
      <c r="A13" s="33">
        <v>10</v>
      </c>
      <c r="B13" s="30">
        <v>106.4</v>
      </c>
      <c r="C13" s="30">
        <v>10.64</v>
      </c>
      <c r="D13" s="35">
        <v>1.8</v>
      </c>
      <c r="E13" s="31">
        <v>0.4</v>
      </c>
      <c r="F13" s="31">
        <v>0.2</v>
      </c>
      <c r="G13" s="31">
        <v>0.28169014084507044</v>
      </c>
      <c r="H13" s="31">
        <v>0.11267605633802817</v>
      </c>
      <c r="I13" s="32">
        <v>11705</v>
      </c>
      <c r="J13" s="32">
        <v>-12787.5</v>
      </c>
      <c r="K13" s="31">
        <v>0.1</v>
      </c>
      <c r="L13" s="31">
        <v>0.23943661971830985</v>
      </c>
      <c r="M13" s="31">
        <v>0.11267605633802817</v>
      </c>
      <c r="N13" s="31">
        <v>0.6470588235294118</v>
      </c>
      <c r="O13" s="31">
        <v>0.375</v>
      </c>
      <c r="P13" s="31">
        <v>0.6</v>
      </c>
    </row>
    <row r="14" spans="1:17" x14ac:dyDescent="0.4">
      <c r="A14" s="33">
        <v>11</v>
      </c>
      <c r="B14" s="30">
        <v>155.10000000000002</v>
      </c>
      <c r="C14" s="30">
        <v>14.100000000000001</v>
      </c>
      <c r="D14" s="35">
        <v>1.7272727272727273</v>
      </c>
      <c r="E14" s="31">
        <v>0.45454545454545453</v>
      </c>
      <c r="F14" s="31">
        <v>0.18181818181818182</v>
      </c>
      <c r="G14" s="31">
        <v>0.29487179487179488</v>
      </c>
      <c r="H14" s="31">
        <v>0.10256410256410256</v>
      </c>
      <c r="I14" s="32">
        <v>11447.826086956522</v>
      </c>
      <c r="J14" s="32">
        <v>-12787.5</v>
      </c>
      <c r="K14" s="31">
        <v>9.0909090909090912E-2</v>
      </c>
      <c r="L14" s="31">
        <v>0.24358974358974358</v>
      </c>
      <c r="M14" s="31">
        <v>0.10256410256410256</v>
      </c>
      <c r="N14" s="31">
        <v>0.68421052631578949</v>
      </c>
      <c r="O14" s="31">
        <v>0.375</v>
      </c>
      <c r="P14" s="31">
        <v>0.60869565217391308</v>
      </c>
    </row>
    <row r="15" spans="1:17" x14ac:dyDescent="0.4">
      <c r="A15" s="33">
        <v>12</v>
      </c>
      <c r="B15" s="30">
        <v>112.10000000000002</v>
      </c>
      <c r="C15" s="30">
        <v>9.3416666666666686</v>
      </c>
      <c r="D15" s="35">
        <v>1.8333333333333333</v>
      </c>
      <c r="E15" s="31">
        <v>0.41666666666666669</v>
      </c>
      <c r="F15" s="31">
        <v>0.25</v>
      </c>
      <c r="G15" s="31">
        <v>0.29545454545454547</v>
      </c>
      <c r="H15" s="31">
        <v>0.125</v>
      </c>
      <c r="I15" s="32">
        <v>10896.153846153846</v>
      </c>
      <c r="J15" s="32">
        <v>-11990.90909090909</v>
      </c>
      <c r="K15" s="31">
        <v>8.3333333333333329E-2</v>
      </c>
      <c r="L15" s="31">
        <v>0.26136363636363635</v>
      </c>
      <c r="M15" s="31">
        <v>9.0909090909090912E-2</v>
      </c>
      <c r="N15" s="31">
        <v>0.65217391304347827</v>
      </c>
      <c r="O15" s="31">
        <v>0.375</v>
      </c>
      <c r="P15" s="31">
        <v>0.57692307692307687</v>
      </c>
    </row>
    <row r="16" spans="1:17" x14ac:dyDescent="0.4">
      <c r="A16" s="33">
        <v>13</v>
      </c>
      <c r="B16" s="30">
        <v>103.10000000000002</v>
      </c>
      <c r="C16" s="30">
        <v>7.9307692307692328</v>
      </c>
      <c r="D16" s="35">
        <v>1.8461538461538463</v>
      </c>
      <c r="E16" s="31">
        <v>0.38461538461538464</v>
      </c>
      <c r="F16" s="31">
        <v>0.23076923076923078</v>
      </c>
      <c r="G16" s="31">
        <v>0.2857142857142857</v>
      </c>
      <c r="H16" s="31">
        <v>0.12087912087912088</v>
      </c>
      <c r="I16" s="32">
        <v>10896.153846153846</v>
      </c>
      <c r="J16" s="32">
        <v>-11990.90909090909</v>
      </c>
      <c r="K16" s="31">
        <v>7.6923076923076927E-2</v>
      </c>
      <c r="L16" s="31">
        <v>0.25274725274725274</v>
      </c>
      <c r="M16" s="31">
        <v>8.7912087912087919E-2</v>
      </c>
      <c r="N16" s="31">
        <v>0.65217391304347827</v>
      </c>
      <c r="O16" s="31">
        <v>0.375</v>
      </c>
      <c r="P16" s="31">
        <v>0.57692307692307687</v>
      </c>
    </row>
    <row r="17" spans="1:16" x14ac:dyDescent="0.4">
      <c r="A17" s="33">
        <v>14</v>
      </c>
      <c r="B17" s="30">
        <v>74.000000000000028</v>
      </c>
      <c r="C17" s="30">
        <v>5.2857142857142874</v>
      </c>
      <c r="D17" s="35">
        <v>1.9285714285714286</v>
      </c>
      <c r="E17" s="31">
        <v>0.35714285714285715</v>
      </c>
      <c r="F17" s="31">
        <v>0.2857142857142857</v>
      </c>
      <c r="G17" s="31">
        <v>0.27</v>
      </c>
      <c r="H17" s="31">
        <v>0.12</v>
      </c>
      <c r="I17" s="32">
        <v>10788.888888888889</v>
      </c>
      <c r="J17" s="32">
        <v>-11208.333333333334</v>
      </c>
      <c r="K17" s="31">
        <v>7.1428571428571425E-2</v>
      </c>
      <c r="L17" s="31">
        <v>0.26</v>
      </c>
      <c r="M17" s="31">
        <v>0.09</v>
      </c>
      <c r="N17" s="31">
        <v>0.61538461538461542</v>
      </c>
      <c r="O17" s="31">
        <v>0.33333333333333331</v>
      </c>
      <c r="P17" s="31">
        <v>0.59259259259259256</v>
      </c>
    </row>
    <row r="18" spans="1:16" x14ac:dyDescent="0.4">
      <c r="A18" s="33">
        <v>15</v>
      </c>
      <c r="B18" s="30">
        <v>111.00000000000003</v>
      </c>
      <c r="C18" s="30">
        <v>7.4000000000000021</v>
      </c>
      <c r="D18" s="35">
        <v>1.8666666666666667</v>
      </c>
      <c r="E18" s="31">
        <v>0.4</v>
      </c>
      <c r="F18" s="31">
        <v>0.26666666666666666</v>
      </c>
      <c r="G18" s="31">
        <v>0.28971962616822428</v>
      </c>
      <c r="H18" s="31">
        <v>0.13084112149532709</v>
      </c>
      <c r="I18" s="32">
        <v>10529.032258064517</v>
      </c>
      <c r="J18" s="32">
        <v>-10257.142857142857</v>
      </c>
      <c r="K18" s="31">
        <v>6.6666666666666666E-2</v>
      </c>
      <c r="L18" s="31">
        <v>0.26168224299065418</v>
      </c>
      <c r="M18" s="31">
        <v>0.10280373831775701</v>
      </c>
      <c r="N18" s="31">
        <v>0.6428571428571429</v>
      </c>
      <c r="O18" s="31">
        <v>0.45454545454545453</v>
      </c>
      <c r="P18" s="31">
        <v>0.54838709677419351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0F997-A00A-43BC-94DF-924205C7AF84}">
  <sheetPr codeName="Sheet20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188</v>
      </c>
      <c r="B1" s="34" t="s">
        <v>188</v>
      </c>
      <c r="C1" s="34" t="s">
        <v>188</v>
      </c>
      <c r="D1" s="35" t="s">
        <v>188</v>
      </c>
      <c r="E1" s="34" t="s">
        <v>188</v>
      </c>
      <c r="F1" s="34" t="s">
        <v>188</v>
      </c>
      <c r="G1" s="34" t="s">
        <v>188</v>
      </c>
      <c r="H1" s="34" t="s">
        <v>188</v>
      </c>
      <c r="I1" s="34" t="s">
        <v>188</v>
      </c>
      <c r="J1" s="34" t="s">
        <v>188</v>
      </c>
      <c r="K1" s="34" t="s">
        <v>188</v>
      </c>
      <c r="L1" s="34" t="s">
        <v>188</v>
      </c>
      <c r="M1" s="34" t="s">
        <v>188</v>
      </c>
      <c r="N1" s="34" t="s">
        <v>188</v>
      </c>
      <c r="O1" s="34" t="s">
        <v>188</v>
      </c>
      <c r="P1" s="34" t="s">
        <v>188</v>
      </c>
      <c r="Q1" s="34" t="s">
        <v>188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61.8</v>
      </c>
      <c r="C4" s="30">
        <v>61.8</v>
      </c>
      <c r="D4" s="35">
        <v>1</v>
      </c>
      <c r="E4" s="31">
        <v>1</v>
      </c>
      <c r="F4" s="31">
        <v>0</v>
      </c>
      <c r="G4" s="31">
        <v>0.55555555555555558</v>
      </c>
      <c r="H4" s="31">
        <v>0.22222222222222221</v>
      </c>
      <c r="I4" s="32">
        <v>12360</v>
      </c>
      <c r="J4" s="32">
        <v>-10000</v>
      </c>
      <c r="K4" s="31">
        <v>0</v>
      </c>
      <c r="L4" s="31">
        <v>0.33333333333333331</v>
      </c>
      <c r="M4" s="31">
        <v>0.22222222222222221</v>
      </c>
      <c r="N4" s="31">
        <v>1</v>
      </c>
      <c r="O4" s="31">
        <v>0.5</v>
      </c>
      <c r="P4" s="31">
        <v>0.4</v>
      </c>
    </row>
    <row r="5" spans="1:17" x14ac:dyDescent="0.4">
      <c r="A5" s="33">
        <v>2</v>
      </c>
      <c r="B5" s="30">
        <v>34.699999999999996</v>
      </c>
      <c r="C5" s="30">
        <v>17.349999999999998</v>
      </c>
      <c r="D5" s="35">
        <v>2</v>
      </c>
      <c r="E5" s="31">
        <v>0.5</v>
      </c>
      <c r="F5" s="31">
        <v>0.5</v>
      </c>
      <c r="G5" s="31">
        <v>0.5</v>
      </c>
      <c r="H5" s="31">
        <v>0.25</v>
      </c>
      <c r="I5" s="32">
        <v>9162.5</v>
      </c>
      <c r="J5" s="32">
        <v>-7900</v>
      </c>
      <c r="K5" s="31">
        <v>0</v>
      </c>
      <c r="L5" s="31">
        <v>0.25</v>
      </c>
      <c r="M5" s="31">
        <v>0.3125</v>
      </c>
      <c r="N5" s="31">
        <v>0.75</v>
      </c>
      <c r="O5" s="31">
        <v>0.6</v>
      </c>
      <c r="P5" s="31">
        <v>0.375</v>
      </c>
    </row>
    <row r="6" spans="1:17" x14ac:dyDescent="0.4">
      <c r="A6" s="33">
        <v>3</v>
      </c>
      <c r="B6" s="30">
        <v>7.1999999999999957</v>
      </c>
      <c r="C6" s="30">
        <v>2.3999999999999986</v>
      </c>
      <c r="D6" s="35">
        <v>2.3333333333333335</v>
      </c>
      <c r="E6" s="31">
        <v>0.33333333333333331</v>
      </c>
      <c r="F6" s="31">
        <v>0.66666666666666663</v>
      </c>
      <c r="G6" s="31">
        <v>0.47826086956521741</v>
      </c>
      <c r="H6" s="31">
        <v>0.2608695652173913</v>
      </c>
      <c r="I6" s="32">
        <v>8354.545454545454</v>
      </c>
      <c r="J6" s="32">
        <v>-9200</v>
      </c>
      <c r="K6" s="31">
        <v>0</v>
      </c>
      <c r="L6" s="31">
        <v>0.34782608695652173</v>
      </c>
      <c r="M6" s="31">
        <v>0.21739130434782608</v>
      </c>
      <c r="N6" s="31">
        <v>0.75</v>
      </c>
      <c r="O6" s="31">
        <v>0.6</v>
      </c>
      <c r="P6" s="31">
        <v>0.45454545454545453</v>
      </c>
    </row>
    <row r="7" spans="1:17" x14ac:dyDescent="0.4">
      <c r="A7" s="33">
        <v>4</v>
      </c>
      <c r="B7" s="30">
        <v>52.9</v>
      </c>
      <c r="C7" s="30">
        <v>13.225</v>
      </c>
      <c r="D7" s="35">
        <v>2</v>
      </c>
      <c r="E7" s="31">
        <v>0.5</v>
      </c>
      <c r="F7" s="31">
        <v>0.5</v>
      </c>
      <c r="G7" s="31">
        <v>0.4838709677419355</v>
      </c>
      <c r="H7" s="31">
        <v>0.19354838709677419</v>
      </c>
      <c r="I7" s="32">
        <v>8706.6666666666661</v>
      </c>
      <c r="J7" s="32">
        <v>-9200</v>
      </c>
      <c r="K7" s="31">
        <v>0</v>
      </c>
      <c r="L7" s="31">
        <v>0.35483870967741937</v>
      </c>
      <c r="M7" s="31">
        <v>0.19354838709677419</v>
      </c>
      <c r="N7" s="31">
        <v>0.72727272727272729</v>
      </c>
      <c r="O7" s="31">
        <v>0.66666666666666663</v>
      </c>
      <c r="P7" s="31">
        <v>0.53333333333333333</v>
      </c>
    </row>
    <row r="8" spans="1:17" x14ac:dyDescent="0.4">
      <c r="A8" s="33">
        <v>5</v>
      </c>
      <c r="B8" s="30">
        <v>12.100000000000001</v>
      </c>
      <c r="C8" s="30">
        <v>2.4200000000000004</v>
      </c>
      <c r="D8" s="35">
        <v>2.2000000000000002</v>
      </c>
      <c r="E8" s="31">
        <v>0.4</v>
      </c>
      <c r="F8" s="31">
        <v>0.6</v>
      </c>
      <c r="G8" s="31">
        <v>0.43243243243243246</v>
      </c>
      <c r="H8" s="31">
        <v>0.1891891891891892</v>
      </c>
      <c r="I8" s="32">
        <v>8293.75</v>
      </c>
      <c r="J8" s="32">
        <v>-10171.428571428571</v>
      </c>
      <c r="K8" s="31">
        <v>0</v>
      </c>
      <c r="L8" s="31">
        <v>0.3783783783783784</v>
      </c>
      <c r="M8" s="31">
        <v>0.1891891891891892</v>
      </c>
      <c r="N8" s="31">
        <v>0.6428571428571429</v>
      </c>
      <c r="O8" s="31">
        <v>0.5714285714285714</v>
      </c>
      <c r="P8" s="31">
        <v>0.5625</v>
      </c>
    </row>
    <row r="9" spans="1:17" x14ac:dyDescent="0.4">
      <c r="A9" s="33">
        <v>6</v>
      </c>
      <c r="B9" s="30">
        <v>9.8000000000000007</v>
      </c>
      <c r="C9" s="30">
        <v>1.6333333333333335</v>
      </c>
      <c r="D9" s="35">
        <v>2.1666666666666665</v>
      </c>
      <c r="E9" s="31">
        <v>0.33333333333333331</v>
      </c>
      <c r="F9" s="31">
        <v>0.5</v>
      </c>
      <c r="G9" s="31">
        <v>0.40476190476190477</v>
      </c>
      <c r="H9" s="31">
        <v>0.19047619047619047</v>
      </c>
      <c r="I9" s="32">
        <v>8511.7647058823532</v>
      </c>
      <c r="J9" s="32">
        <v>-9062.5</v>
      </c>
      <c r="K9" s="31">
        <v>0</v>
      </c>
      <c r="L9" s="31">
        <v>0.40476190476190477</v>
      </c>
      <c r="M9" s="31">
        <v>0.16666666666666666</v>
      </c>
      <c r="N9" s="31">
        <v>0.58823529411764708</v>
      </c>
      <c r="O9" s="31">
        <v>0.5714285714285714</v>
      </c>
      <c r="P9" s="31">
        <v>0.52941176470588236</v>
      </c>
    </row>
    <row r="10" spans="1:17" x14ac:dyDescent="0.4">
      <c r="A10" s="33">
        <v>7</v>
      </c>
      <c r="B10" s="30">
        <v>-1.0999999999999996</v>
      </c>
      <c r="C10" s="30">
        <v>-0.15714285714285708</v>
      </c>
      <c r="D10" s="35">
        <v>2.1428571428571428</v>
      </c>
      <c r="E10" s="31">
        <v>0.2857142857142857</v>
      </c>
      <c r="F10" s="31">
        <v>0.42857142857142855</v>
      </c>
      <c r="G10" s="31">
        <v>0.36734693877551022</v>
      </c>
      <c r="H10" s="31">
        <v>0.18367346938775511</v>
      </c>
      <c r="I10" s="32">
        <v>8466.6666666666661</v>
      </c>
      <c r="J10" s="32">
        <v>-9833.3333333333339</v>
      </c>
      <c r="K10" s="31">
        <v>0</v>
      </c>
      <c r="L10" s="31">
        <v>0.40816326530612246</v>
      </c>
      <c r="M10" s="31">
        <v>0.14285714285714285</v>
      </c>
      <c r="N10" s="31">
        <v>0.55000000000000004</v>
      </c>
      <c r="O10" s="31">
        <v>0.5714285714285714</v>
      </c>
      <c r="P10" s="31">
        <v>0.5</v>
      </c>
    </row>
    <row r="11" spans="1:17" x14ac:dyDescent="0.4">
      <c r="A11" s="33">
        <v>8</v>
      </c>
      <c r="B11" s="30">
        <v>67.600000000000009</v>
      </c>
      <c r="C11" s="30">
        <v>8.4500000000000011</v>
      </c>
      <c r="D11" s="35">
        <v>2</v>
      </c>
      <c r="E11" s="31">
        <v>0.375</v>
      </c>
      <c r="F11" s="31">
        <v>0.375</v>
      </c>
      <c r="G11" s="31">
        <v>0.35087719298245612</v>
      </c>
      <c r="H11" s="31">
        <v>0.17543859649122806</v>
      </c>
      <c r="I11" s="32">
        <v>10620</v>
      </c>
      <c r="J11" s="32">
        <v>-9050</v>
      </c>
      <c r="K11" s="31">
        <v>0</v>
      </c>
      <c r="L11" s="31">
        <v>0.42105263157894735</v>
      </c>
      <c r="M11" s="31">
        <v>0.12280701754385964</v>
      </c>
      <c r="N11" s="31">
        <v>0.54166666666666663</v>
      </c>
      <c r="O11" s="31">
        <v>0.5714285714285714</v>
      </c>
      <c r="P11" s="31">
        <v>0.55000000000000004</v>
      </c>
    </row>
    <row r="12" spans="1:17" x14ac:dyDescent="0.4">
      <c r="A12" s="33">
        <v>9</v>
      </c>
      <c r="B12" s="30">
        <v>94.100000000000009</v>
      </c>
      <c r="C12" s="30">
        <v>10.455555555555556</v>
      </c>
      <c r="D12" s="35">
        <v>1.8888888888888888</v>
      </c>
      <c r="E12" s="31">
        <v>0.44444444444444442</v>
      </c>
      <c r="F12" s="31">
        <v>0.33333333333333331</v>
      </c>
      <c r="G12" s="31">
        <v>0.34920634920634919</v>
      </c>
      <c r="H12" s="31">
        <v>0.15873015873015872</v>
      </c>
      <c r="I12" s="32">
        <v>10563.636363636364</v>
      </c>
      <c r="J12" s="32">
        <v>-9050</v>
      </c>
      <c r="K12" s="31">
        <v>0</v>
      </c>
      <c r="L12" s="31">
        <v>0.3968253968253968</v>
      </c>
      <c r="M12" s="31">
        <v>0.1111111111111111</v>
      </c>
      <c r="N12" s="31">
        <v>0.56000000000000005</v>
      </c>
      <c r="O12" s="31">
        <v>0.5714285714285714</v>
      </c>
      <c r="P12" s="31">
        <v>0.59090909090909094</v>
      </c>
    </row>
    <row r="13" spans="1:17" x14ac:dyDescent="0.4">
      <c r="A13" s="33">
        <v>10</v>
      </c>
      <c r="B13" s="30">
        <v>72.5</v>
      </c>
      <c r="C13" s="30">
        <v>7.25</v>
      </c>
      <c r="D13" s="35">
        <v>1.9</v>
      </c>
      <c r="E13" s="31">
        <v>0.4</v>
      </c>
      <c r="F13" s="31">
        <v>0.3</v>
      </c>
      <c r="G13" s="31">
        <v>0.3188405797101449</v>
      </c>
      <c r="H13" s="31">
        <v>0.15942028985507245</v>
      </c>
      <c r="I13" s="32">
        <v>10563.636363636364</v>
      </c>
      <c r="J13" s="32">
        <v>-8463.636363636364</v>
      </c>
      <c r="K13" s="31">
        <v>0</v>
      </c>
      <c r="L13" s="31">
        <v>0.37681159420289856</v>
      </c>
      <c r="M13" s="31">
        <v>0.11594202898550725</v>
      </c>
      <c r="N13" s="31">
        <v>0.53846153846153844</v>
      </c>
      <c r="O13" s="31">
        <v>0.5</v>
      </c>
      <c r="P13" s="31">
        <v>0.59090909090909094</v>
      </c>
    </row>
    <row r="14" spans="1:17" x14ac:dyDescent="0.4">
      <c r="A14" s="33">
        <v>11</v>
      </c>
      <c r="B14" s="30">
        <v>47.7</v>
      </c>
      <c r="C14" s="30">
        <v>4.3363636363636369</v>
      </c>
      <c r="D14" s="35">
        <v>2</v>
      </c>
      <c r="E14" s="31">
        <v>0.36363636363636365</v>
      </c>
      <c r="F14" s="31">
        <v>0.36363636363636365</v>
      </c>
      <c r="G14" s="31">
        <v>0.31168831168831168</v>
      </c>
      <c r="H14" s="31">
        <v>0.14285714285714285</v>
      </c>
      <c r="I14" s="32">
        <v>10266.666666666666</v>
      </c>
      <c r="J14" s="32">
        <v>-8463.636363636364</v>
      </c>
      <c r="K14" s="31">
        <v>0</v>
      </c>
      <c r="L14" s="31">
        <v>0.36363636363636365</v>
      </c>
      <c r="M14" s="31">
        <v>0.11688311688311688</v>
      </c>
      <c r="N14" s="31">
        <v>0.5357142857142857</v>
      </c>
      <c r="O14" s="31">
        <v>0.44444444444444442</v>
      </c>
      <c r="P14" s="31">
        <v>0.58333333333333337</v>
      </c>
    </row>
    <row r="15" spans="1:17" x14ac:dyDescent="0.4">
      <c r="A15" s="33">
        <v>12</v>
      </c>
      <c r="B15" s="30">
        <v>-13.399999999999999</v>
      </c>
      <c r="C15" s="30">
        <v>-1.1166666666666665</v>
      </c>
      <c r="D15" s="35">
        <v>2.0833333333333335</v>
      </c>
      <c r="E15" s="31">
        <v>0.33333333333333331</v>
      </c>
      <c r="F15" s="31">
        <v>0.41666666666666669</v>
      </c>
      <c r="G15" s="31">
        <v>0.30337078651685395</v>
      </c>
      <c r="H15" s="31">
        <v>0.15730337078651685</v>
      </c>
      <c r="I15" s="32">
        <v>10159.259259259259</v>
      </c>
      <c r="J15" s="32">
        <v>-8985.7142857142862</v>
      </c>
      <c r="K15" s="31">
        <v>8.3333333333333329E-2</v>
      </c>
      <c r="L15" s="31">
        <v>0.3707865168539326</v>
      </c>
      <c r="M15" s="31">
        <v>0.1348314606741573</v>
      </c>
      <c r="N15" s="31">
        <v>0.51515151515151514</v>
      </c>
      <c r="O15" s="31">
        <v>0.41666666666666669</v>
      </c>
      <c r="P15" s="31">
        <v>0.55555555555555558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00E51-1986-4CB6-941F-A1EAC2AE12DE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B89EC-2C02-4AFE-96CA-F7FF5F70D387}">
  <sheetPr codeName="Sheet16"/>
  <dimension ref="A1:Q5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  <row r="20" spans="1:16" x14ac:dyDescent="0.4">
      <c r="A20" s="33">
        <v>17</v>
      </c>
      <c r="B20" s="30">
        <v>-96.700000000000017</v>
      </c>
      <c r="C20" s="30">
        <v>-5.6882352941176482</v>
      </c>
      <c r="D20" s="35">
        <v>2.0588235294117645</v>
      </c>
      <c r="E20" s="31">
        <v>0.23529411764705882</v>
      </c>
      <c r="F20" s="31">
        <v>0.29411764705882354</v>
      </c>
      <c r="G20" s="31">
        <v>0.28260869565217389</v>
      </c>
      <c r="H20" s="31">
        <v>0.16666666666666666</v>
      </c>
      <c r="I20" s="32">
        <v>8946.1538461538457</v>
      </c>
      <c r="J20" s="32">
        <v>-9060.8695652173919</v>
      </c>
      <c r="K20" s="31">
        <v>0.11764705882352941</v>
      </c>
      <c r="L20" s="31">
        <v>0.35507246376811596</v>
      </c>
      <c r="M20" s="31">
        <v>0.16666666666666666</v>
      </c>
      <c r="N20" s="31">
        <v>0.51020408163265307</v>
      </c>
      <c r="O20" s="31">
        <v>0.52173913043478259</v>
      </c>
      <c r="P20" s="31">
        <v>0.41025641025641024</v>
      </c>
    </row>
    <row r="21" spans="1:16" x14ac:dyDescent="0.4">
      <c r="A21" s="33">
        <v>18</v>
      </c>
      <c r="B21" s="30">
        <v>-154.80000000000001</v>
      </c>
      <c r="C21" s="30">
        <v>-8.6000000000000014</v>
      </c>
      <c r="D21" s="35">
        <v>2.1111111111111112</v>
      </c>
      <c r="E21" s="31">
        <v>0.22222222222222221</v>
      </c>
      <c r="F21" s="31">
        <v>0.33333333333333331</v>
      </c>
      <c r="G21" s="31">
        <v>0.26845637583892618</v>
      </c>
      <c r="H21" s="31">
        <v>0.18791946308724833</v>
      </c>
      <c r="I21" s="32">
        <v>9012.5</v>
      </c>
      <c r="J21" s="32">
        <v>-8664.2857142857138</v>
      </c>
      <c r="K21" s="31">
        <v>0.16666666666666666</v>
      </c>
      <c r="L21" s="31">
        <v>0.33557046979865773</v>
      </c>
      <c r="M21" s="31">
        <v>0.17449664429530201</v>
      </c>
      <c r="N21" s="31">
        <v>0.52</v>
      </c>
      <c r="O21" s="31">
        <v>0.46153846153846156</v>
      </c>
      <c r="P21" s="31">
        <v>0.4</v>
      </c>
    </row>
    <row r="22" spans="1:16" x14ac:dyDescent="0.4">
      <c r="A22" s="33">
        <v>19</v>
      </c>
      <c r="B22" s="30">
        <v>-153.80000000000001</v>
      </c>
      <c r="C22" s="30">
        <v>-8.094736842105263</v>
      </c>
      <c r="D22" s="35">
        <v>2.1052631578947367</v>
      </c>
      <c r="E22" s="31">
        <v>0.21052631578947367</v>
      </c>
      <c r="F22" s="31">
        <v>0.31578947368421051</v>
      </c>
      <c r="G22" s="31">
        <v>0.26874999999999999</v>
      </c>
      <c r="H22" s="31">
        <v>0.19375000000000001</v>
      </c>
      <c r="I22" s="32">
        <v>8969.7674418604656</v>
      </c>
      <c r="J22" s="32">
        <v>-8283.8709677419356</v>
      </c>
      <c r="K22" s="31">
        <v>0.15789473684210525</v>
      </c>
      <c r="L22" s="31">
        <v>0.31874999999999998</v>
      </c>
      <c r="M22" s="31">
        <v>0.16250000000000001</v>
      </c>
      <c r="N22" s="31">
        <v>0.52941176470588236</v>
      </c>
      <c r="O22" s="31">
        <v>0.46153846153846156</v>
      </c>
      <c r="P22" s="31">
        <v>0.41860465116279072</v>
      </c>
    </row>
    <row r="23" spans="1:16" x14ac:dyDescent="0.4">
      <c r="A23" s="33">
        <v>20</v>
      </c>
      <c r="B23" s="30">
        <v>-201.8</v>
      </c>
      <c r="C23" s="30">
        <v>-10.09</v>
      </c>
      <c r="D23" s="35">
        <v>2.15</v>
      </c>
      <c r="E23" s="31">
        <v>0.2</v>
      </c>
      <c r="F23" s="31">
        <v>0.35</v>
      </c>
      <c r="G23" s="31">
        <v>0.25882352941176473</v>
      </c>
      <c r="H23" s="31">
        <v>0.2</v>
      </c>
      <c r="I23" s="32">
        <v>8825</v>
      </c>
      <c r="J23" s="32">
        <v>-8097.0588235294117</v>
      </c>
      <c r="K23" s="31">
        <v>0.15</v>
      </c>
      <c r="L23" s="31">
        <v>0.31176470588235294</v>
      </c>
      <c r="M23" s="31">
        <v>0.15294117647058825</v>
      </c>
      <c r="N23" s="31">
        <v>0.50943396226415094</v>
      </c>
      <c r="O23" s="31">
        <v>0.46153846153846156</v>
      </c>
      <c r="P23" s="31">
        <v>0.40909090909090912</v>
      </c>
    </row>
    <row r="24" spans="1:16" x14ac:dyDescent="0.4">
      <c r="A24" s="33">
        <v>21</v>
      </c>
      <c r="B24" s="30">
        <v>-202.20000000000002</v>
      </c>
      <c r="C24" s="30">
        <v>-9.6285714285714299</v>
      </c>
      <c r="D24" s="35">
        <v>2.1428571428571428</v>
      </c>
      <c r="E24" s="31">
        <v>0.19047619047619047</v>
      </c>
      <c r="F24" s="31">
        <v>0.33333333333333331</v>
      </c>
      <c r="G24" s="31">
        <v>0.26815642458100558</v>
      </c>
      <c r="H24" s="31">
        <v>0.2011173184357542</v>
      </c>
      <c r="I24" s="32">
        <v>8591.6666666666661</v>
      </c>
      <c r="J24" s="32">
        <v>-8036.1111111111113</v>
      </c>
      <c r="K24" s="31">
        <v>0.14285714285714285</v>
      </c>
      <c r="L24" s="31">
        <v>0.32402234636871508</v>
      </c>
      <c r="M24" s="31">
        <v>0.16201117318435754</v>
      </c>
      <c r="N24" s="31">
        <v>0.5</v>
      </c>
      <c r="O24" s="31">
        <v>0.48275862068965519</v>
      </c>
      <c r="P24" s="31">
        <v>0.41666666666666669</v>
      </c>
    </row>
    <row r="25" spans="1:16" x14ac:dyDescent="0.4">
      <c r="A25" s="33">
        <v>22</v>
      </c>
      <c r="B25" s="30">
        <v>-208.00000000000003</v>
      </c>
      <c r="C25" s="30">
        <v>-9.454545454545455</v>
      </c>
      <c r="D25" s="35">
        <v>2.1363636363636362</v>
      </c>
      <c r="E25" s="31">
        <v>0.18181818181818182</v>
      </c>
      <c r="F25" s="31">
        <v>0.31818181818181818</v>
      </c>
      <c r="G25" s="31">
        <v>0.27127659574468083</v>
      </c>
      <c r="H25" s="31">
        <v>0.20212765957446807</v>
      </c>
      <c r="I25" s="32">
        <v>8503.9215686274511</v>
      </c>
      <c r="J25" s="32">
        <v>-7918.4210526315792</v>
      </c>
      <c r="K25" s="31">
        <v>0.13636363636363635</v>
      </c>
      <c r="L25" s="31">
        <v>0.32446808510638298</v>
      </c>
      <c r="M25" s="31">
        <v>0.15957446808510639</v>
      </c>
      <c r="N25" s="31">
        <v>0.49180327868852458</v>
      </c>
      <c r="O25" s="31">
        <v>0.5</v>
      </c>
      <c r="P25" s="31">
        <v>0.41176470588235292</v>
      </c>
    </row>
    <row r="26" spans="1:16" x14ac:dyDescent="0.4">
      <c r="A26" s="33">
        <v>23</v>
      </c>
      <c r="B26" s="30">
        <v>-210.50000000000003</v>
      </c>
      <c r="C26" s="30">
        <v>-9.1521739130434803</v>
      </c>
      <c r="D26" s="35">
        <v>2.1304347826086958</v>
      </c>
      <c r="E26" s="31">
        <v>0.17391304347826086</v>
      </c>
      <c r="F26" s="31">
        <v>0.30434782608695654</v>
      </c>
      <c r="G26" s="31">
        <v>0.27179487179487177</v>
      </c>
      <c r="H26" s="31">
        <v>0.2</v>
      </c>
      <c r="I26" s="32">
        <v>8388.6792452830196</v>
      </c>
      <c r="J26" s="32">
        <v>-7782.0512820512822</v>
      </c>
      <c r="K26" s="31">
        <v>0.13043478260869565</v>
      </c>
      <c r="L26" s="31">
        <v>0.32307692307692309</v>
      </c>
      <c r="M26" s="31">
        <v>0.1641025641025641</v>
      </c>
      <c r="N26" s="31">
        <v>0.49206349206349204</v>
      </c>
      <c r="O26" s="31">
        <v>0.5</v>
      </c>
      <c r="P26" s="31">
        <v>0.41509433962264153</v>
      </c>
    </row>
    <row r="27" spans="1:16" x14ac:dyDescent="0.4">
      <c r="A27" s="33">
        <v>24</v>
      </c>
      <c r="B27" s="30">
        <v>-284.3</v>
      </c>
      <c r="C27" s="30">
        <v>-11.845833333333333</v>
      </c>
      <c r="D27" s="35">
        <v>2.1666666666666665</v>
      </c>
      <c r="E27" s="31">
        <v>0.16666666666666666</v>
      </c>
      <c r="F27" s="31">
        <v>0.33333333333333331</v>
      </c>
      <c r="G27" s="31">
        <v>0.26470588235294118</v>
      </c>
      <c r="H27" s="31">
        <v>0.20588235294117646</v>
      </c>
      <c r="I27" s="32">
        <v>8455.5555555555547</v>
      </c>
      <c r="J27" s="32">
        <v>-8411.9047619047615</v>
      </c>
      <c r="K27" s="31">
        <v>0.16666666666666666</v>
      </c>
      <c r="L27" s="31">
        <v>0.32843137254901961</v>
      </c>
      <c r="M27" s="31">
        <v>0.16176470588235295</v>
      </c>
      <c r="N27" s="31">
        <v>0.47761194029850745</v>
      </c>
      <c r="O27" s="31">
        <v>0.48484848484848486</v>
      </c>
      <c r="P27" s="31">
        <v>0.40740740740740738</v>
      </c>
    </row>
    <row r="28" spans="1:16" x14ac:dyDescent="0.4">
      <c r="A28" s="33">
        <v>25</v>
      </c>
      <c r="B28" s="30">
        <v>-286.90000000000003</v>
      </c>
      <c r="C28" s="30">
        <v>-11.476000000000001</v>
      </c>
      <c r="D28" s="35">
        <v>2.16</v>
      </c>
      <c r="E28" s="31">
        <v>0.16</v>
      </c>
      <c r="F28" s="31">
        <v>0.32</v>
      </c>
      <c r="G28" s="31">
        <v>0.26066350710900477</v>
      </c>
      <c r="H28" s="31">
        <v>0.20853080568720378</v>
      </c>
      <c r="I28" s="32">
        <v>8520</v>
      </c>
      <c r="J28" s="32">
        <v>-8347.7272727272721</v>
      </c>
      <c r="K28" s="31">
        <v>0.16</v>
      </c>
      <c r="L28" s="31">
        <v>0.32227488151658767</v>
      </c>
      <c r="M28" s="31">
        <v>0.15639810426540285</v>
      </c>
      <c r="N28" s="31">
        <v>0.48529411764705882</v>
      </c>
      <c r="O28" s="31">
        <v>0.48484848484848486</v>
      </c>
      <c r="P28" s="31">
        <v>0.41818181818181815</v>
      </c>
    </row>
    <row r="29" spans="1:16" x14ac:dyDescent="0.4">
      <c r="A29" s="33">
        <v>26</v>
      </c>
      <c r="B29" s="30">
        <v>-287.00000000000006</v>
      </c>
      <c r="C29" s="30">
        <v>-11.03846153846154</v>
      </c>
      <c r="D29" s="35">
        <v>2.1538461538461537</v>
      </c>
      <c r="E29" s="31">
        <v>0.15384615384615385</v>
      </c>
      <c r="F29" s="31">
        <v>0.30769230769230771</v>
      </c>
      <c r="G29" s="31">
        <v>0.26146788990825687</v>
      </c>
      <c r="H29" s="31">
        <v>0.20642201834862386</v>
      </c>
      <c r="I29" s="32">
        <v>8431.5789473684217</v>
      </c>
      <c r="J29" s="32">
        <v>-8220</v>
      </c>
      <c r="K29" s="31">
        <v>0.15384615384615385</v>
      </c>
      <c r="L29" s="31">
        <v>0.32110091743119268</v>
      </c>
      <c r="M29" s="31">
        <v>0.15596330275229359</v>
      </c>
      <c r="N29" s="31">
        <v>0.48571428571428571</v>
      </c>
      <c r="O29" s="31">
        <v>0.5</v>
      </c>
      <c r="P29" s="31">
        <v>0.43859649122807015</v>
      </c>
    </row>
    <row r="30" spans="1:16" x14ac:dyDescent="0.4">
      <c r="A30" s="33">
        <v>27</v>
      </c>
      <c r="B30" s="30">
        <v>-350.40000000000003</v>
      </c>
      <c r="C30" s="30">
        <v>-12.97777777777778</v>
      </c>
      <c r="D30" s="35">
        <v>2.1851851851851851</v>
      </c>
      <c r="E30" s="31">
        <v>0.14814814814814814</v>
      </c>
      <c r="F30" s="31">
        <v>0.33333333333333331</v>
      </c>
      <c r="G30" s="31">
        <v>0.25221238938053098</v>
      </c>
      <c r="H30" s="31">
        <v>0.20353982300884957</v>
      </c>
      <c r="I30" s="32">
        <v>8431.5789473684217</v>
      </c>
      <c r="J30" s="32">
        <v>-8302.173913043478</v>
      </c>
      <c r="K30" s="31">
        <v>0.18518518518518517</v>
      </c>
      <c r="L30" s="31">
        <v>0.31415929203539822</v>
      </c>
      <c r="M30" s="31">
        <v>0.16814159292035399</v>
      </c>
      <c r="N30" s="31">
        <v>0.47887323943661969</v>
      </c>
      <c r="O30" s="31">
        <v>0.44736842105263158</v>
      </c>
      <c r="P30" s="31">
        <v>0.43859649122807015</v>
      </c>
    </row>
    <row r="31" spans="1:16" x14ac:dyDescent="0.4">
      <c r="A31" s="33">
        <v>28</v>
      </c>
      <c r="B31" s="30">
        <v>-357.1</v>
      </c>
      <c r="C31" s="30">
        <v>-12.75357142857143</v>
      </c>
      <c r="D31" s="35">
        <v>2.1785714285714284</v>
      </c>
      <c r="E31" s="31">
        <v>0.14285714285714285</v>
      </c>
      <c r="F31" s="31">
        <v>0.32142857142857145</v>
      </c>
      <c r="G31" s="31">
        <v>0.25862068965517243</v>
      </c>
      <c r="H31" s="31">
        <v>0.20258620689655171</v>
      </c>
      <c r="I31" s="32">
        <v>8220</v>
      </c>
      <c r="J31" s="32">
        <v>-8508.510638297872</v>
      </c>
      <c r="K31" s="31">
        <v>0.17857142857142858</v>
      </c>
      <c r="L31" s="31">
        <v>0.31896551724137934</v>
      </c>
      <c r="M31" s="31">
        <v>0.16379310344827586</v>
      </c>
      <c r="N31" s="31">
        <v>0.48648648648648651</v>
      </c>
      <c r="O31" s="31">
        <v>0.44736842105263158</v>
      </c>
      <c r="P31" s="31">
        <v>0.46666666666666667</v>
      </c>
    </row>
    <row r="32" spans="1:16" x14ac:dyDescent="0.4">
      <c r="A32" s="33">
        <v>29</v>
      </c>
      <c r="B32" s="30">
        <v>-413.8</v>
      </c>
      <c r="C32" s="30">
        <v>-14.26896551724138</v>
      </c>
      <c r="D32" s="35">
        <v>2.2068965517241379</v>
      </c>
      <c r="E32" s="31">
        <v>0.13793103448275862</v>
      </c>
      <c r="F32" s="31">
        <v>0.34482758620689657</v>
      </c>
      <c r="G32" s="31">
        <v>0.25738396624472576</v>
      </c>
      <c r="H32" s="31">
        <v>0.20253164556962025</v>
      </c>
      <c r="I32" s="32">
        <v>8172.1311475409839</v>
      </c>
      <c r="J32" s="32">
        <v>-8581.25</v>
      </c>
      <c r="K32" s="31">
        <v>0.20689655172413793</v>
      </c>
      <c r="L32" s="31">
        <v>0.31645569620253167</v>
      </c>
      <c r="M32" s="31">
        <v>0.16455696202531644</v>
      </c>
      <c r="N32" s="31">
        <v>0.49333333333333335</v>
      </c>
      <c r="O32" s="31">
        <v>0.4358974358974359</v>
      </c>
      <c r="P32" s="31">
        <v>0.47540983606557374</v>
      </c>
    </row>
    <row r="33" spans="1:16" x14ac:dyDescent="0.4">
      <c r="A33" s="33">
        <v>30</v>
      </c>
      <c r="B33" s="30">
        <v>-461.8</v>
      </c>
      <c r="C33" s="30">
        <v>-15.393333333333334</v>
      </c>
      <c r="D33" s="35">
        <v>2.2333333333333334</v>
      </c>
      <c r="E33" s="31">
        <v>0.13333333333333333</v>
      </c>
      <c r="F33" s="31">
        <v>0.36666666666666664</v>
      </c>
      <c r="G33" s="31">
        <v>0.25819672131147542</v>
      </c>
      <c r="H33" s="31">
        <v>0.20901639344262296</v>
      </c>
      <c r="I33" s="32">
        <v>7979.3650793650795</v>
      </c>
      <c r="J33" s="32">
        <v>-8698.0392156862745</v>
      </c>
      <c r="K33" s="31">
        <v>0.2</v>
      </c>
      <c r="L33" s="31">
        <v>0.31147540983606559</v>
      </c>
      <c r="M33" s="31">
        <v>0.16393442622950818</v>
      </c>
      <c r="N33" s="31">
        <v>0.48684210526315791</v>
      </c>
      <c r="O33" s="31">
        <v>0.42499999999999999</v>
      </c>
      <c r="P33" s="31">
        <v>0.49206349206349204</v>
      </c>
    </row>
    <row r="34" spans="1:16" x14ac:dyDescent="0.4">
      <c r="A34" s="33">
        <v>31</v>
      </c>
      <c r="B34" s="30">
        <v>-462.3</v>
      </c>
      <c r="C34" s="30">
        <v>-14.912903225806453</v>
      </c>
      <c r="D34" s="35">
        <v>2.225806451612903</v>
      </c>
      <c r="E34" s="31">
        <v>0.12903225806451613</v>
      </c>
      <c r="F34" s="31">
        <v>0.35483870967741937</v>
      </c>
      <c r="G34" s="31">
        <v>0.26587301587301587</v>
      </c>
      <c r="H34" s="31">
        <v>0.20238095238095238</v>
      </c>
      <c r="I34" s="32">
        <v>8129.8507462686566</v>
      </c>
      <c r="J34" s="32">
        <v>-8698.0392156862745</v>
      </c>
      <c r="K34" s="31">
        <v>0.19354838709677419</v>
      </c>
      <c r="L34" s="31">
        <v>0.31349206349206349</v>
      </c>
      <c r="M34" s="31">
        <v>0.17063492063492064</v>
      </c>
      <c r="N34" s="31">
        <v>0.48101265822784811</v>
      </c>
      <c r="O34" s="31">
        <v>0.44186046511627908</v>
      </c>
      <c r="P34" s="31">
        <v>0.5074626865671642</v>
      </c>
    </row>
    <row r="35" spans="1:16" x14ac:dyDescent="0.4">
      <c r="A35" s="33">
        <v>32</v>
      </c>
      <c r="B35" s="30">
        <v>-462.8</v>
      </c>
      <c r="C35" s="30">
        <v>-14.4625</v>
      </c>
      <c r="D35" s="35">
        <v>2.21875</v>
      </c>
      <c r="E35" s="31">
        <v>0.125</v>
      </c>
      <c r="F35" s="31">
        <v>0.34375</v>
      </c>
      <c r="G35" s="31">
        <v>0.26356589147286824</v>
      </c>
      <c r="H35" s="31">
        <v>0.19767441860465115</v>
      </c>
      <c r="I35" s="32">
        <v>8245.5882352941171</v>
      </c>
      <c r="J35" s="32">
        <v>-8698.0392156862745</v>
      </c>
      <c r="K35" s="31">
        <v>0.1875</v>
      </c>
      <c r="L35" s="31">
        <v>0.30620155038759689</v>
      </c>
      <c r="M35" s="31">
        <v>0.17829457364341086</v>
      </c>
      <c r="N35" s="31">
        <v>0.48101265822784811</v>
      </c>
      <c r="O35" s="31">
        <v>0.43478260869565216</v>
      </c>
      <c r="P35" s="31">
        <v>0.51470588235294112</v>
      </c>
    </row>
    <row r="36" spans="1:16" x14ac:dyDescent="0.4">
      <c r="A36" s="33">
        <v>33</v>
      </c>
      <c r="B36" s="30">
        <v>-528.4</v>
      </c>
      <c r="C36" s="30">
        <v>-16.012121212121212</v>
      </c>
      <c r="D36" s="35">
        <v>2.2424242424242422</v>
      </c>
      <c r="E36" s="31">
        <v>0.12121212121212122</v>
      </c>
      <c r="F36" s="31">
        <v>0.36363636363636365</v>
      </c>
      <c r="G36" s="31">
        <v>0.26515151515151514</v>
      </c>
      <c r="H36" s="31">
        <v>0.19696969696969696</v>
      </c>
      <c r="I36" s="32">
        <v>8218.5714285714294</v>
      </c>
      <c r="J36" s="32">
        <v>-9453.8461538461543</v>
      </c>
      <c r="K36" s="31">
        <v>0.21212121212121213</v>
      </c>
      <c r="L36" s="31">
        <v>0.30303030303030304</v>
      </c>
      <c r="M36" s="31">
        <v>0.18560606060606061</v>
      </c>
      <c r="N36" s="31">
        <v>0.47499999999999998</v>
      </c>
      <c r="O36" s="31">
        <v>0.42857142857142855</v>
      </c>
      <c r="P36" s="31">
        <v>0.51428571428571423</v>
      </c>
    </row>
    <row r="37" spans="1:16" x14ac:dyDescent="0.4">
      <c r="A37" s="33">
        <v>34</v>
      </c>
      <c r="B37" s="30">
        <v>-500</v>
      </c>
      <c r="C37" s="30">
        <v>-14.705882352941176</v>
      </c>
      <c r="D37" s="35">
        <v>2.2058823529411766</v>
      </c>
      <c r="E37" s="31">
        <v>0.14705882352941177</v>
      </c>
      <c r="F37" s="31">
        <v>0.35294117647058826</v>
      </c>
      <c r="G37" s="31">
        <v>0.26838235294117646</v>
      </c>
      <c r="H37" s="31">
        <v>0.19485294117647059</v>
      </c>
      <c r="I37" s="32">
        <v>8205.4794520547948</v>
      </c>
      <c r="J37" s="32">
        <v>-9313.2075471698117</v>
      </c>
      <c r="K37" s="31">
        <v>0.20588235294117646</v>
      </c>
      <c r="L37" s="31">
        <v>0.3014705882352941</v>
      </c>
      <c r="M37" s="31">
        <v>0.18382352941176472</v>
      </c>
      <c r="N37" s="31">
        <v>0.47560975609756095</v>
      </c>
      <c r="O37" s="31">
        <v>0.44</v>
      </c>
      <c r="P37" s="31">
        <v>0.52054794520547942</v>
      </c>
    </row>
    <row r="38" spans="1:16" x14ac:dyDescent="0.4">
      <c r="A38" s="33">
        <v>35</v>
      </c>
      <c r="B38" s="30">
        <v>-413.7</v>
      </c>
      <c r="C38" s="30">
        <v>-11.82</v>
      </c>
      <c r="D38" s="35">
        <v>2.1714285714285713</v>
      </c>
      <c r="E38" s="31">
        <v>0.17142857142857143</v>
      </c>
      <c r="F38" s="31">
        <v>0.34285714285714286</v>
      </c>
      <c r="G38" s="31">
        <v>0.28169014084507044</v>
      </c>
      <c r="H38" s="31">
        <v>0.19366197183098591</v>
      </c>
      <c r="I38" s="32">
        <v>8502.5</v>
      </c>
      <c r="J38" s="32">
        <v>-9372.7272727272721</v>
      </c>
      <c r="K38" s="31">
        <v>0.2</v>
      </c>
      <c r="L38" s="31">
        <v>0.29929577464788731</v>
      </c>
      <c r="M38" s="31">
        <v>0.18309859154929578</v>
      </c>
      <c r="N38" s="31">
        <v>0.49411764705882355</v>
      </c>
      <c r="O38" s="31">
        <v>0.44230769230769229</v>
      </c>
      <c r="P38" s="31">
        <v>0.52500000000000002</v>
      </c>
    </row>
    <row r="39" spans="1:16" x14ac:dyDescent="0.4">
      <c r="A39" s="33">
        <v>36</v>
      </c>
      <c r="B39" s="30">
        <v>-369.5</v>
      </c>
      <c r="C39" s="30">
        <v>-10.263888888888889</v>
      </c>
      <c r="D39" s="35">
        <v>2.1388888888888888</v>
      </c>
      <c r="E39" s="31">
        <v>0.19444444444444445</v>
      </c>
      <c r="F39" s="31">
        <v>0.33333333333333331</v>
      </c>
      <c r="G39" s="31">
        <v>0.2857142857142857</v>
      </c>
      <c r="H39" s="31">
        <v>0.19047619047619047</v>
      </c>
      <c r="I39" s="32">
        <v>8547.6190476190477</v>
      </c>
      <c r="J39" s="32">
        <v>-9228.5714285714294</v>
      </c>
      <c r="K39" s="31">
        <v>0.19444444444444445</v>
      </c>
      <c r="L39" s="31">
        <v>0.29591836734693877</v>
      </c>
      <c r="M39" s="31">
        <v>0.1870748299319728</v>
      </c>
      <c r="N39" s="31">
        <v>0.50574712643678166</v>
      </c>
      <c r="O39" s="31">
        <v>0.45454545454545453</v>
      </c>
      <c r="P39" s="31">
        <v>0.51190476190476186</v>
      </c>
    </row>
    <row r="40" spans="1:16" x14ac:dyDescent="0.4">
      <c r="A40" s="33">
        <v>37</v>
      </c>
      <c r="B40" s="30">
        <v>-374.5</v>
      </c>
      <c r="C40" s="30">
        <v>-10.121621621621621</v>
      </c>
      <c r="D40" s="35">
        <v>2.1351351351351351</v>
      </c>
      <c r="E40" s="31">
        <v>0.1891891891891892</v>
      </c>
      <c r="F40" s="31">
        <v>0.32432432432432434</v>
      </c>
      <c r="G40" s="31">
        <v>0.2814569536423841</v>
      </c>
      <c r="H40" s="31">
        <v>0.18543046357615894</v>
      </c>
      <c r="I40" s="32">
        <v>8471.7647058823532</v>
      </c>
      <c r="J40" s="32">
        <v>-9228.5714285714294</v>
      </c>
      <c r="K40" s="31">
        <v>0.1891891891891892</v>
      </c>
      <c r="L40" s="31">
        <v>0.28807947019867547</v>
      </c>
      <c r="M40" s="31">
        <v>0.18543046357615894</v>
      </c>
      <c r="N40" s="31">
        <v>0.50574712643678166</v>
      </c>
      <c r="O40" s="31">
        <v>0.4642857142857143</v>
      </c>
      <c r="P40" s="31">
        <v>0.51764705882352946</v>
      </c>
    </row>
    <row r="41" spans="1:16" x14ac:dyDescent="0.4">
      <c r="A41" s="33">
        <v>38</v>
      </c>
      <c r="B41" s="30">
        <v>-379</v>
      </c>
      <c r="C41" s="30">
        <v>-9.973684210526315</v>
      </c>
      <c r="D41" s="35">
        <v>2.1315789473684212</v>
      </c>
      <c r="E41" s="31">
        <v>0.18421052631578946</v>
      </c>
      <c r="F41" s="31">
        <v>0.31578947368421051</v>
      </c>
      <c r="G41" s="31">
        <v>0.27476038338658149</v>
      </c>
      <c r="H41" s="31">
        <v>0.18210862619808307</v>
      </c>
      <c r="I41" s="32">
        <v>8384.8837209302328</v>
      </c>
      <c r="J41" s="32">
        <v>-9101.7543859649122</v>
      </c>
      <c r="K41" s="31">
        <v>0.18421052631578946</v>
      </c>
      <c r="L41" s="31">
        <v>0.28115015974440893</v>
      </c>
      <c r="M41" s="31">
        <v>0.1853035143769968</v>
      </c>
      <c r="N41" s="31">
        <v>0.5</v>
      </c>
      <c r="O41" s="31">
        <v>0.46551724137931033</v>
      </c>
      <c r="P41" s="31">
        <v>0.51162790697674421</v>
      </c>
    </row>
    <row r="42" spans="1:16" x14ac:dyDescent="0.4">
      <c r="A42" s="33">
        <v>39</v>
      </c>
      <c r="B42" s="30">
        <v>-451.9</v>
      </c>
      <c r="C42" s="30">
        <v>-11.587179487179487</v>
      </c>
      <c r="D42" s="35">
        <v>2.1538461538461537</v>
      </c>
      <c r="E42" s="31">
        <v>0.17948717948717949</v>
      </c>
      <c r="F42" s="31">
        <v>0.33333333333333331</v>
      </c>
      <c r="G42" s="31">
        <v>0.26959247648902823</v>
      </c>
      <c r="H42" s="31">
        <v>0.18808777429467086</v>
      </c>
      <c r="I42" s="32">
        <v>8384.8837209302328</v>
      </c>
      <c r="J42" s="32">
        <v>-9186.6666666666661</v>
      </c>
      <c r="K42" s="31">
        <v>0.20512820512820512</v>
      </c>
      <c r="L42" s="31">
        <v>0.27899686520376177</v>
      </c>
      <c r="M42" s="31">
        <v>0.18495297805642633</v>
      </c>
      <c r="N42" s="31">
        <v>0.4943820224719101</v>
      </c>
      <c r="O42" s="31">
        <v>0.4576271186440678</v>
      </c>
      <c r="P42" s="31">
        <v>0.51162790697674421</v>
      </c>
    </row>
    <row r="43" spans="1:16" x14ac:dyDescent="0.4">
      <c r="A43" s="33">
        <v>40</v>
      </c>
      <c r="B43" s="30">
        <v>-390.9</v>
      </c>
      <c r="C43" s="30">
        <v>-9.7724999999999991</v>
      </c>
      <c r="D43" s="35">
        <v>2.125</v>
      </c>
      <c r="E43" s="31">
        <v>0.2</v>
      </c>
      <c r="F43" s="31">
        <v>0.32500000000000001</v>
      </c>
      <c r="G43" s="31">
        <v>0.27828746177370028</v>
      </c>
      <c r="H43" s="31">
        <v>0.1834862385321101</v>
      </c>
      <c r="I43" s="32">
        <v>8440.6593406593402</v>
      </c>
      <c r="J43" s="32">
        <v>-9186.6666666666661</v>
      </c>
      <c r="K43" s="31">
        <v>0.2</v>
      </c>
      <c r="L43" s="31">
        <v>0.27828746177370028</v>
      </c>
      <c r="M43" s="31">
        <v>0.18654434250764526</v>
      </c>
      <c r="N43" s="31">
        <v>0.50549450549450547</v>
      </c>
      <c r="O43" s="31">
        <v>0.47540983606557374</v>
      </c>
      <c r="P43" s="31">
        <v>0.49450549450549453</v>
      </c>
    </row>
    <row r="44" spans="1:16" x14ac:dyDescent="0.4">
      <c r="A44" s="33">
        <v>41</v>
      </c>
      <c r="B44" s="30">
        <v>-365.09999999999997</v>
      </c>
      <c r="C44" s="30">
        <v>-8.9048780487804873</v>
      </c>
      <c r="D44" s="35">
        <v>2.0975609756097562</v>
      </c>
      <c r="E44" s="31">
        <v>0.21951219512195122</v>
      </c>
      <c r="F44" s="31">
        <v>0.31707317073170732</v>
      </c>
      <c r="G44" s="31">
        <v>0.27976190476190477</v>
      </c>
      <c r="H44" s="31">
        <v>0.17857142857142858</v>
      </c>
      <c r="I44" s="32">
        <v>8456.3829787234044</v>
      </c>
      <c r="J44" s="32">
        <v>-9186.6666666666661</v>
      </c>
      <c r="K44" s="31">
        <v>0.1951219512195122</v>
      </c>
      <c r="L44" s="31">
        <v>0.27976190476190477</v>
      </c>
      <c r="M44" s="31">
        <v>0.18452380952380953</v>
      </c>
      <c r="N44" s="31">
        <v>0.51063829787234039</v>
      </c>
      <c r="O44" s="31">
        <v>0.4838709677419355</v>
      </c>
      <c r="P44" s="31">
        <v>0.5</v>
      </c>
    </row>
    <row r="45" spans="1:16" x14ac:dyDescent="0.4">
      <c r="A45" s="33">
        <v>42</v>
      </c>
      <c r="B45" s="30">
        <v>-399.99999999999994</v>
      </c>
      <c r="C45" s="30">
        <v>-9.5238095238095219</v>
      </c>
      <c r="D45" s="35">
        <v>2.1190476190476191</v>
      </c>
      <c r="E45" s="31">
        <v>0.21428571428571427</v>
      </c>
      <c r="F45" s="31">
        <v>0.33333333333333331</v>
      </c>
      <c r="G45" s="31">
        <v>0.27906976744186046</v>
      </c>
      <c r="H45" s="31">
        <v>0.18023255813953487</v>
      </c>
      <c r="I45" s="32">
        <v>8422.9166666666661</v>
      </c>
      <c r="J45" s="32">
        <v>-9243.5483870967746</v>
      </c>
      <c r="K45" s="31">
        <v>0.19047619047619047</v>
      </c>
      <c r="L45" s="31">
        <v>0.27616279069767441</v>
      </c>
      <c r="M45" s="31">
        <v>0.19186046511627908</v>
      </c>
      <c r="N45" s="31">
        <v>0.51578947368421058</v>
      </c>
      <c r="O45" s="31">
        <v>0.46969696969696972</v>
      </c>
      <c r="P45" s="31">
        <v>0.5</v>
      </c>
    </row>
    <row r="46" spans="1:16" x14ac:dyDescent="0.4">
      <c r="A46" s="33">
        <v>43</v>
      </c>
      <c r="B46" s="30">
        <v>-403.99999999999994</v>
      </c>
      <c r="C46" s="30">
        <v>-9.3953488372093013</v>
      </c>
      <c r="D46" s="35">
        <v>2.1162790697674421</v>
      </c>
      <c r="E46" s="31">
        <v>0.20930232558139536</v>
      </c>
      <c r="F46" s="31">
        <v>0.32558139534883723</v>
      </c>
      <c r="G46" s="31">
        <v>0.27887323943661974</v>
      </c>
      <c r="H46" s="31">
        <v>0.17464788732394365</v>
      </c>
      <c r="I46" s="32">
        <v>8339.3939393939399</v>
      </c>
      <c r="J46" s="32">
        <v>-9243.5483870967746</v>
      </c>
      <c r="K46" s="31">
        <v>0.18604651162790697</v>
      </c>
      <c r="L46" s="31">
        <v>0.27042253521126758</v>
      </c>
      <c r="M46" s="31">
        <v>0.18873239436619718</v>
      </c>
      <c r="N46" s="31">
        <v>0.51041666666666663</v>
      </c>
      <c r="O46" s="31">
        <v>0.47761194029850745</v>
      </c>
      <c r="P46" s="31">
        <v>0.49494949494949497</v>
      </c>
    </row>
    <row r="47" spans="1:16" x14ac:dyDescent="0.4">
      <c r="A47" s="33">
        <v>44</v>
      </c>
      <c r="B47" s="30">
        <v>-430.89999999999992</v>
      </c>
      <c r="C47" s="30">
        <v>-9.7931818181818162</v>
      </c>
      <c r="D47" s="35">
        <v>2.1136363636363638</v>
      </c>
      <c r="E47" s="31">
        <v>0.20454545454545456</v>
      </c>
      <c r="F47" s="31">
        <v>0.31818181818181818</v>
      </c>
      <c r="G47" s="31">
        <v>0.27397260273972601</v>
      </c>
      <c r="H47" s="31">
        <v>0.17260273972602741</v>
      </c>
      <c r="I47" s="32">
        <v>8376</v>
      </c>
      <c r="J47" s="32">
        <v>-9287.3015873015866</v>
      </c>
      <c r="K47" s="31">
        <v>0.18181818181818182</v>
      </c>
      <c r="L47" s="31">
        <v>0.26575342465753427</v>
      </c>
      <c r="M47" s="31">
        <v>0.18904109589041096</v>
      </c>
      <c r="N47" s="31">
        <v>0.50515463917525771</v>
      </c>
      <c r="O47" s="31">
        <v>0.47826086956521741</v>
      </c>
      <c r="P47" s="31">
        <v>0.5</v>
      </c>
    </row>
    <row r="48" spans="1:16" x14ac:dyDescent="0.4">
      <c r="A48" s="33">
        <v>45</v>
      </c>
      <c r="B48" s="30">
        <v>-489.89999999999992</v>
      </c>
      <c r="C48" s="30">
        <v>-10.886666666666665</v>
      </c>
      <c r="D48" s="35">
        <v>2.1333333333333333</v>
      </c>
      <c r="E48" s="31">
        <v>0.2</v>
      </c>
      <c r="F48" s="31">
        <v>0.33333333333333331</v>
      </c>
      <c r="G48" s="31">
        <v>0.27247956403269757</v>
      </c>
      <c r="H48" s="31">
        <v>0.17438692098092642</v>
      </c>
      <c r="I48" s="32">
        <v>8376</v>
      </c>
      <c r="J48" s="32">
        <v>-9642.1875</v>
      </c>
      <c r="K48" s="31">
        <v>0.2</v>
      </c>
      <c r="L48" s="31">
        <v>0.2670299727520436</v>
      </c>
      <c r="M48" s="31">
        <v>0.18801089918256131</v>
      </c>
      <c r="N48" s="31">
        <v>0.5</v>
      </c>
      <c r="O48" s="31">
        <v>0.47826086956521741</v>
      </c>
      <c r="P48" s="31">
        <v>0.5</v>
      </c>
    </row>
    <row r="49" spans="1:16" x14ac:dyDescent="0.4">
      <c r="A49" s="33">
        <v>46</v>
      </c>
      <c r="B49" s="30">
        <v>-492.7999999999999</v>
      </c>
      <c r="C49" s="30">
        <v>-10.713043478260868</v>
      </c>
      <c r="D49" s="35">
        <v>2.1304347826086958</v>
      </c>
      <c r="E49" s="31">
        <v>0.19565217391304349</v>
      </c>
      <c r="F49" s="31">
        <v>0.32608695652173914</v>
      </c>
      <c r="G49" s="31">
        <v>0.27345844504021449</v>
      </c>
      <c r="H49" s="31">
        <v>0.17158176943699732</v>
      </c>
      <c r="I49" s="32">
        <v>8342.1568627450979</v>
      </c>
      <c r="J49" s="32">
        <v>-9642.1875</v>
      </c>
      <c r="K49" s="31">
        <v>0.19565217391304349</v>
      </c>
      <c r="L49" s="31">
        <v>0.26809651474530832</v>
      </c>
      <c r="M49" s="31">
        <v>0.18498659517426275</v>
      </c>
      <c r="N49" s="31">
        <v>0.5</v>
      </c>
      <c r="O49" s="31">
        <v>0.47826086956521741</v>
      </c>
      <c r="P49" s="31">
        <v>0.5</v>
      </c>
    </row>
    <row r="50" spans="1:16" x14ac:dyDescent="0.4">
      <c r="A50" s="33">
        <v>47</v>
      </c>
      <c r="B50" s="30">
        <v>-475.69999999999987</v>
      </c>
      <c r="C50" s="30">
        <v>-10.121276595744678</v>
      </c>
      <c r="D50" s="35">
        <v>2.1276595744680851</v>
      </c>
      <c r="E50" s="31">
        <v>0.19148936170212766</v>
      </c>
      <c r="F50" s="31">
        <v>0.31914893617021278</v>
      </c>
      <c r="G50" s="31">
        <v>0.27368421052631581</v>
      </c>
      <c r="H50" s="31">
        <v>0.17105263157894737</v>
      </c>
      <c r="I50" s="32">
        <v>8335.5769230769238</v>
      </c>
      <c r="J50" s="32">
        <v>-9538.461538461539</v>
      </c>
      <c r="K50" s="31">
        <v>0.19148936170212766</v>
      </c>
      <c r="L50" s="31">
        <v>0.26315789473684209</v>
      </c>
      <c r="M50" s="31">
        <v>0.18684210526315789</v>
      </c>
      <c r="N50" s="31">
        <v>0.5</v>
      </c>
      <c r="O50" s="31">
        <v>0.47887323943661969</v>
      </c>
      <c r="P50" s="31">
        <v>0.49038461538461536</v>
      </c>
    </row>
    <row r="51" spans="1:16" x14ac:dyDescent="0.4">
      <c r="A51" s="33">
        <v>48</v>
      </c>
      <c r="B51" s="30">
        <v>-442.49999999999989</v>
      </c>
      <c r="C51" s="30">
        <v>-9.2187499999999982</v>
      </c>
      <c r="D51" s="35">
        <v>2.1041666666666665</v>
      </c>
      <c r="E51" s="31">
        <v>0.20833333333333334</v>
      </c>
      <c r="F51" s="31">
        <v>0.3125</v>
      </c>
      <c r="G51" s="31">
        <v>0.27763496143958871</v>
      </c>
      <c r="H51" s="31">
        <v>0.16966580976863754</v>
      </c>
      <c r="I51" s="32">
        <v>8279.6296296296296</v>
      </c>
      <c r="J51" s="32">
        <v>-9433.3333333333339</v>
      </c>
      <c r="K51" s="31">
        <v>0.1875</v>
      </c>
      <c r="L51" s="31">
        <v>0.26221079691516708</v>
      </c>
      <c r="M51" s="31">
        <v>0.18251928020565553</v>
      </c>
      <c r="N51" s="31">
        <v>0.50980392156862742</v>
      </c>
      <c r="O51" s="31">
        <v>0.47887323943661969</v>
      </c>
      <c r="P51" s="31">
        <v>0.5</v>
      </c>
    </row>
    <row r="52" spans="1:16" x14ac:dyDescent="0.4">
      <c r="A52" s="33">
        <v>49</v>
      </c>
      <c r="B52" s="30">
        <v>-505.99999999999989</v>
      </c>
      <c r="C52" s="30">
        <v>-10.326530612244895</v>
      </c>
      <c r="D52" s="35">
        <v>2.1224489795918369</v>
      </c>
      <c r="E52" s="31">
        <v>0.20408163265306123</v>
      </c>
      <c r="F52" s="31">
        <v>0.32653061224489793</v>
      </c>
      <c r="G52" s="31">
        <v>0.27431421446384041</v>
      </c>
      <c r="H52" s="31">
        <v>0.16708229426433915</v>
      </c>
      <c r="I52" s="32">
        <v>8228.181818181818</v>
      </c>
      <c r="J52" s="32">
        <v>-9650.746268656716</v>
      </c>
      <c r="K52" s="31">
        <v>0.20408163265306123</v>
      </c>
      <c r="L52" s="31">
        <v>0.256857855361596</v>
      </c>
      <c r="M52" s="31">
        <v>0.18204488778054864</v>
      </c>
      <c r="N52" s="31">
        <v>0.50485436893203883</v>
      </c>
      <c r="O52" s="31">
        <v>0.49315068493150682</v>
      </c>
      <c r="P52" s="31">
        <v>0.5</v>
      </c>
    </row>
    <row r="53" spans="1:16" x14ac:dyDescent="0.4">
      <c r="A53" s="33">
        <v>50</v>
      </c>
      <c r="B53" s="30">
        <v>-533.59999999999991</v>
      </c>
      <c r="C53" s="30">
        <v>-10.671999999999999</v>
      </c>
      <c r="D53" s="35">
        <v>2.14</v>
      </c>
      <c r="E53" s="31">
        <v>0.2</v>
      </c>
      <c r="F53" s="31">
        <v>0.34</v>
      </c>
      <c r="G53" s="31">
        <v>0.27294685990338163</v>
      </c>
      <c r="H53" s="31">
        <v>0.17149758454106281</v>
      </c>
      <c r="I53" s="32">
        <v>8310.6194690265493</v>
      </c>
      <c r="J53" s="32">
        <v>-9692.9577464788727</v>
      </c>
      <c r="K53" s="31">
        <v>0.2</v>
      </c>
      <c r="L53" s="31">
        <v>0.25362318840579712</v>
      </c>
      <c r="M53" s="31">
        <v>0.17632850241545894</v>
      </c>
      <c r="N53" s="31">
        <v>0.50476190476190474</v>
      </c>
      <c r="O53" s="31">
        <v>0.49315068493150682</v>
      </c>
      <c r="P53" s="31">
        <v>0.49557522123893805</v>
      </c>
    </row>
    <row r="54" spans="1:16" x14ac:dyDescent="0.4">
      <c r="A54" s="33">
        <v>51</v>
      </c>
      <c r="B54" s="30">
        <v>-530.09999999999991</v>
      </c>
      <c r="C54" s="30">
        <v>-10.394117647058822</v>
      </c>
      <c r="D54" s="35">
        <v>2.1372549019607843</v>
      </c>
      <c r="E54" s="31">
        <v>0.19607843137254902</v>
      </c>
      <c r="F54" s="31">
        <v>0.33333333333333331</v>
      </c>
      <c r="G54" s="31">
        <v>0.27186761229314421</v>
      </c>
      <c r="H54" s="31">
        <v>0.17257683215130024</v>
      </c>
      <c r="I54" s="32">
        <v>8461.7391304347821</v>
      </c>
      <c r="J54" s="32">
        <v>-9695.8904109589039</v>
      </c>
      <c r="K54" s="31">
        <v>0.19607843137254902</v>
      </c>
      <c r="L54" s="31">
        <v>0.25059101654846333</v>
      </c>
      <c r="M54" s="31">
        <v>0.18203309692671396</v>
      </c>
      <c r="N54" s="31">
        <v>0.50943396226415094</v>
      </c>
      <c r="O54" s="31">
        <v>0.48051948051948051</v>
      </c>
      <c r="P54" s="31">
        <v>0.4956521739130435</v>
      </c>
    </row>
    <row r="55" spans="1:16" x14ac:dyDescent="0.4">
      <c r="A55" s="33">
        <v>52</v>
      </c>
      <c r="B55" s="30">
        <v>-529.79999999999995</v>
      </c>
      <c r="C55" s="30">
        <v>-10.188461538461537</v>
      </c>
      <c r="D55" s="35">
        <v>2.1346153846153846</v>
      </c>
      <c r="E55" s="31">
        <v>0.19230769230769232</v>
      </c>
      <c r="F55" s="31">
        <v>0.32692307692307693</v>
      </c>
      <c r="G55" s="31">
        <v>0.27546296296296297</v>
      </c>
      <c r="H55" s="31">
        <v>0.16898148148148148</v>
      </c>
      <c r="I55" s="32">
        <v>8242.0168067226896</v>
      </c>
      <c r="J55" s="32">
        <v>-9695.8904109589039</v>
      </c>
      <c r="K55" s="31">
        <v>0.19230769230769232</v>
      </c>
      <c r="L55" s="31">
        <v>0.24768518518518517</v>
      </c>
      <c r="M55" s="31">
        <v>0.18518518518518517</v>
      </c>
      <c r="N55" s="31">
        <v>0.50467289719626163</v>
      </c>
      <c r="O55" s="31">
        <v>0.5</v>
      </c>
      <c r="P55" s="31">
        <v>0.49579831932773111</v>
      </c>
    </row>
    <row r="56" spans="1:16" x14ac:dyDescent="0.4">
      <c r="A56" s="33">
        <v>53</v>
      </c>
      <c r="B56" s="30">
        <v>-499.19999999999993</v>
      </c>
      <c r="C56" s="30">
        <v>-9.4188679245282998</v>
      </c>
      <c r="D56" s="35">
        <v>2.1132075471698113</v>
      </c>
      <c r="E56" s="31">
        <v>0.20754716981132076</v>
      </c>
      <c r="F56" s="31">
        <v>0.32075471698113206</v>
      </c>
      <c r="G56" s="31">
        <v>0.27664399092970521</v>
      </c>
      <c r="H56" s="31">
        <v>0.16780045351473924</v>
      </c>
      <c r="I56" s="32">
        <v>8187.7049180327867</v>
      </c>
      <c r="J56" s="32">
        <v>-9591.8918918918916</v>
      </c>
      <c r="K56" s="31">
        <v>0.18867924528301888</v>
      </c>
      <c r="L56" s="31">
        <v>0.2471655328798186</v>
      </c>
      <c r="M56" s="31">
        <v>0.18367346938775511</v>
      </c>
      <c r="N56" s="31">
        <v>0.50458715596330272</v>
      </c>
      <c r="O56" s="31">
        <v>0.50617283950617287</v>
      </c>
      <c r="P56" s="31">
        <v>0.49180327868852458</v>
      </c>
    </row>
    <row r="57" spans="1:16" x14ac:dyDescent="0.4">
      <c r="A57" s="33">
        <v>54</v>
      </c>
      <c r="B57" s="30">
        <v>-465.29999999999995</v>
      </c>
      <c r="C57" s="30">
        <v>-8.6166666666666654</v>
      </c>
      <c r="D57" s="35">
        <v>2.0925925925925926</v>
      </c>
      <c r="E57" s="31">
        <v>0.22222222222222221</v>
      </c>
      <c r="F57" s="31">
        <v>0.31481481481481483</v>
      </c>
      <c r="G57" s="31">
        <v>0.2828507795100223</v>
      </c>
      <c r="H57" s="31">
        <v>0.16703786191536749</v>
      </c>
      <c r="I57" s="32">
        <v>8088.9763779527557</v>
      </c>
      <c r="J57" s="32">
        <v>-9624</v>
      </c>
      <c r="K57" s="31">
        <v>0.18518518518518517</v>
      </c>
      <c r="L57" s="31">
        <v>0.24721603563474387</v>
      </c>
      <c r="M57" s="31">
        <v>0.18708240534521159</v>
      </c>
      <c r="N57" s="31">
        <v>0.51351351351351349</v>
      </c>
      <c r="O57" s="31">
        <v>0.5</v>
      </c>
      <c r="P57" s="31">
        <v>0.48818897637795278</v>
      </c>
    </row>
    <row r="58" spans="1:16" x14ac:dyDescent="0.4">
      <c r="A58" s="33">
        <v>55</v>
      </c>
      <c r="B58" s="30">
        <v>-510.9</v>
      </c>
      <c r="C58" s="30">
        <v>-9.2890909090909091</v>
      </c>
      <c r="D58" s="35">
        <v>2.1090909090909089</v>
      </c>
      <c r="E58" s="31">
        <v>0.21818181818181817</v>
      </c>
      <c r="F58" s="31">
        <v>0.32727272727272727</v>
      </c>
      <c r="G58" s="31">
        <v>0.28104575163398693</v>
      </c>
      <c r="H58" s="31">
        <v>0.16775599128540306</v>
      </c>
      <c r="I58" s="32">
        <v>8016.2790697674418</v>
      </c>
      <c r="J58" s="32">
        <v>-9550.6493506493498</v>
      </c>
      <c r="K58" s="31">
        <v>0.18181818181818182</v>
      </c>
      <c r="L58" s="31">
        <v>0.24618736383442266</v>
      </c>
      <c r="M58" s="31">
        <v>0.18518518518518517</v>
      </c>
      <c r="N58" s="31">
        <v>0.50442477876106195</v>
      </c>
      <c r="O58" s="31">
        <v>0.49411764705882355</v>
      </c>
      <c r="P58" s="31">
        <v>0.48837209302325579</v>
      </c>
    </row>
    <row r="59" spans="1:16" x14ac:dyDescent="0.4">
      <c r="A59" s="33">
        <v>56</v>
      </c>
      <c r="B59" s="30">
        <v>-553</v>
      </c>
      <c r="C59" s="30">
        <v>-9.875</v>
      </c>
      <c r="D59" s="35">
        <v>2.125</v>
      </c>
      <c r="E59" s="31">
        <v>0.21428571428571427</v>
      </c>
      <c r="F59" s="31">
        <v>0.3392857142857143</v>
      </c>
      <c r="G59" s="31">
        <v>0.27505330490405117</v>
      </c>
      <c r="H59" s="31">
        <v>0.16631130063965885</v>
      </c>
      <c r="I59" s="32">
        <v>8016.2790697674418</v>
      </c>
      <c r="J59" s="32">
        <v>-9461.538461538461</v>
      </c>
      <c r="K59" s="31">
        <v>0.17857142857142858</v>
      </c>
      <c r="L59" s="31">
        <v>0.24520255863539445</v>
      </c>
      <c r="M59" s="31">
        <v>0.18550106609808104</v>
      </c>
      <c r="N59" s="31">
        <v>0.4956521739130435</v>
      </c>
      <c r="O59" s="31">
        <v>0.48275862068965519</v>
      </c>
      <c r="P59" s="31">
        <v>0.48837209302325579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8B89-0B7C-40A5-8136-A8EC6DDCB71E}">
  <sheetPr codeName="Sheet14"/>
  <dimension ref="A1:Q9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 x14ac:dyDescent="0.4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 x14ac:dyDescent="0.4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 x14ac:dyDescent="0.4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 x14ac:dyDescent="0.4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 x14ac:dyDescent="0.4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 x14ac:dyDescent="0.4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 x14ac:dyDescent="0.4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 x14ac:dyDescent="0.4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 x14ac:dyDescent="0.4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 x14ac:dyDescent="0.4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 x14ac:dyDescent="0.4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  <row r="42" spans="1:16" x14ac:dyDescent="0.4">
      <c r="A42" s="33">
        <v>39</v>
      </c>
      <c r="B42" s="30">
        <v>401.99999999999989</v>
      </c>
      <c r="C42" s="30">
        <v>10.307692307692305</v>
      </c>
      <c r="D42" s="35">
        <v>1.8205128205128205</v>
      </c>
      <c r="E42" s="31">
        <v>0.41025641025641024</v>
      </c>
      <c r="F42" s="31">
        <v>0.23076923076923078</v>
      </c>
      <c r="G42" s="31">
        <v>0.29850746268656714</v>
      </c>
      <c r="H42" s="31">
        <v>0.15522388059701492</v>
      </c>
      <c r="I42" s="32">
        <v>10330</v>
      </c>
      <c r="J42" s="32">
        <v>-7886.5384615384619</v>
      </c>
      <c r="K42" s="31">
        <v>5.128205128205128E-2</v>
      </c>
      <c r="L42" s="31">
        <v>0.39402985074626867</v>
      </c>
      <c r="M42" s="31">
        <v>0.13432835820895522</v>
      </c>
      <c r="N42" s="31">
        <v>0.52272727272727271</v>
      </c>
      <c r="O42" s="31">
        <v>0.46666666666666667</v>
      </c>
      <c r="P42" s="31">
        <v>0.44</v>
      </c>
    </row>
    <row r="43" spans="1:16" x14ac:dyDescent="0.4">
      <c r="A43" s="33">
        <v>40</v>
      </c>
      <c r="B43" s="30">
        <v>394.39999999999986</v>
      </c>
      <c r="C43" s="30">
        <v>9.8599999999999959</v>
      </c>
      <c r="D43" s="35">
        <v>1.825</v>
      </c>
      <c r="E43" s="31">
        <v>0.4</v>
      </c>
      <c r="F43" s="31">
        <v>0.22500000000000001</v>
      </c>
      <c r="G43" s="31">
        <v>0.2947976878612717</v>
      </c>
      <c r="H43" s="31">
        <v>0.15895953757225434</v>
      </c>
      <c r="I43" s="32">
        <v>10296.078431372549</v>
      </c>
      <c r="J43" s="32">
        <v>-7825.454545454545</v>
      </c>
      <c r="K43" s="31">
        <v>0.05</v>
      </c>
      <c r="L43" s="31">
        <v>0.40173410404624277</v>
      </c>
      <c r="M43" s="31">
        <v>0.13294797687861271</v>
      </c>
      <c r="N43" s="31">
        <v>0.51079136690647486</v>
      </c>
      <c r="O43" s="31">
        <v>0.45652173913043476</v>
      </c>
      <c r="P43" s="31">
        <v>0.43137254901960786</v>
      </c>
    </row>
    <row r="44" spans="1:16" x14ac:dyDescent="0.4">
      <c r="A44" s="33">
        <v>41</v>
      </c>
      <c r="B44" s="30">
        <v>359.09999999999985</v>
      </c>
      <c r="C44" s="30">
        <v>8.7585365853658494</v>
      </c>
      <c r="D44" s="35">
        <v>1.8536585365853659</v>
      </c>
      <c r="E44" s="31">
        <v>0.3902439024390244</v>
      </c>
      <c r="F44" s="31">
        <v>0.24390243902439024</v>
      </c>
      <c r="G44" s="31">
        <v>0.29971988795518206</v>
      </c>
      <c r="H44" s="31">
        <v>0.15966386554621848</v>
      </c>
      <c r="I44" s="32">
        <v>9984.1121495327097</v>
      </c>
      <c r="J44" s="32">
        <v>-7838.5964912280706</v>
      </c>
      <c r="K44" s="31">
        <v>4.878048780487805E-2</v>
      </c>
      <c r="L44" s="31">
        <v>0.39775910364145656</v>
      </c>
      <c r="M44" s="31">
        <v>0.13445378151260504</v>
      </c>
      <c r="N44" s="31">
        <v>0.52112676056338025</v>
      </c>
      <c r="O44" s="31">
        <v>0.45833333333333331</v>
      </c>
      <c r="P44" s="31">
        <v>0.41121495327102803</v>
      </c>
    </row>
    <row r="45" spans="1:16" x14ac:dyDescent="0.4">
      <c r="A45" s="33">
        <v>42</v>
      </c>
      <c r="B45" s="30">
        <v>360.29999999999984</v>
      </c>
      <c r="C45" s="30">
        <v>8.5785714285714256</v>
      </c>
      <c r="D45" s="35">
        <v>1.8571428571428572</v>
      </c>
      <c r="E45" s="31">
        <v>0.38095238095238093</v>
      </c>
      <c r="F45" s="31">
        <v>0.23809523809523808</v>
      </c>
      <c r="G45" s="31">
        <v>0.29972752043596729</v>
      </c>
      <c r="H45" s="31">
        <v>0.15803814713896458</v>
      </c>
      <c r="I45" s="32">
        <v>9771.818181818182</v>
      </c>
      <c r="J45" s="32">
        <v>-7748.2758620689656</v>
      </c>
      <c r="K45" s="31">
        <v>4.7619047619047616E-2</v>
      </c>
      <c r="L45" s="31">
        <v>0.39509536784741145</v>
      </c>
      <c r="M45" s="31">
        <v>0.14168937329700274</v>
      </c>
      <c r="N45" s="31">
        <v>0.51724137931034486</v>
      </c>
      <c r="O45" s="31">
        <v>0.46153846153846156</v>
      </c>
      <c r="P45" s="31">
        <v>0.41818181818181815</v>
      </c>
    </row>
    <row r="46" spans="1:16" x14ac:dyDescent="0.4">
      <c r="A46" s="33">
        <v>43</v>
      </c>
      <c r="B46" s="30">
        <v>322.49999999999983</v>
      </c>
      <c r="C46" s="30">
        <v>7.4999999999999964</v>
      </c>
      <c r="D46" s="35">
        <v>1.8837209302325582</v>
      </c>
      <c r="E46" s="31">
        <v>0.37209302325581395</v>
      </c>
      <c r="F46" s="31">
        <v>0.2558139534883721</v>
      </c>
      <c r="G46" s="31">
        <v>0.29521276595744683</v>
      </c>
      <c r="H46" s="31">
        <v>0.15691489361702127</v>
      </c>
      <c r="I46" s="32">
        <v>9727.0270270270266</v>
      </c>
      <c r="J46" s="32">
        <v>-7752.5423728813557</v>
      </c>
      <c r="K46" s="31">
        <v>4.6511627906976744E-2</v>
      </c>
      <c r="L46" s="31">
        <v>0.39893617021276595</v>
      </c>
      <c r="M46" s="31">
        <v>0.14095744680851063</v>
      </c>
      <c r="N46" s="31">
        <v>0.50666666666666671</v>
      </c>
      <c r="O46" s="31">
        <v>0.45283018867924529</v>
      </c>
      <c r="P46" s="31">
        <v>0.4144144144144144</v>
      </c>
    </row>
    <row r="47" spans="1:16" x14ac:dyDescent="0.4">
      <c r="A47" s="33">
        <v>44</v>
      </c>
      <c r="B47" s="30">
        <v>269.79999999999984</v>
      </c>
      <c r="C47" s="30">
        <v>6.1318181818181783</v>
      </c>
      <c r="D47" s="35">
        <v>1.9090909090909092</v>
      </c>
      <c r="E47" s="31">
        <v>0.36363636363636365</v>
      </c>
      <c r="F47" s="31">
        <v>0.27272727272727271</v>
      </c>
      <c r="G47" s="31">
        <v>0.29090909090909089</v>
      </c>
      <c r="H47" s="31">
        <v>0.15844155844155844</v>
      </c>
      <c r="I47" s="32">
        <v>9691.9642857142862</v>
      </c>
      <c r="J47" s="32">
        <v>-7821.311475409836</v>
      </c>
      <c r="K47" s="31">
        <v>4.5454545454545456E-2</v>
      </c>
      <c r="L47" s="31">
        <v>0.40259740259740262</v>
      </c>
      <c r="M47" s="31">
        <v>0.14285714285714285</v>
      </c>
      <c r="N47" s="31">
        <v>0.49032258064516127</v>
      </c>
      <c r="O47" s="31">
        <v>0.45454545454545453</v>
      </c>
      <c r="P47" s="31">
        <v>0.4107142857142857</v>
      </c>
    </row>
    <row r="48" spans="1:16" x14ac:dyDescent="0.4">
      <c r="A48" s="33">
        <v>45</v>
      </c>
      <c r="B48" s="30">
        <v>296.19999999999982</v>
      </c>
      <c r="C48" s="30">
        <v>6.5822222222222182</v>
      </c>
      <c r="D48" s="35">
        <v>1.8888888888888888</v>
      </c>
      <c r="E48" s="31">
        <v>0.37777777777777777</v>
      </c>
      <c r="F48" s="31">
        <v>0.26666666666666666</v>
      </c>
      <c r="G48" s="31">
        <v>0.29336734693877553</v>
      </c>
      <c r="H48" s="31">
        <v>0.16326530612244897</v>
      </c>
      <c r="I48" s="32">
        <v>9636.5217391304341</v>
      </c>
      <c r="J48" s="32">
        <v>-7662.5</v>
      </c>
      <c r="K48" s="31">
        <v>4.4444444444444446E-2</v>
      </c>
      <c r="L48" s="31">
        <v>0.40561224489795916</v>
      </c>
      <c r="M48" s="31">
        <v>0.14030612244897958</v>
      </c>
      <c r="N48" s="31">
        <v>0.49056603773584906</v>
      </c>
      <c r="O48" s="31">
        <v>0.45454545454545453</v>
      </c>
      <c r="P48" s="31">
        <v>0.41739130434782606</v>
      </c>
    </row>
    <row r="49" spans="1:16" x14ac:dyDescent="0.4">
      <c r="A49" s="33">
        <v>46</v>
      </c>
      <c r="B49" s="30">
        <v>308.19999999999982</v>
      </c>
      <c r="C49" s="30">
        <v>6.6999999999999957</v>
      </c>
      <c r="D49" s="35">
        <v>1.8913043478260869</v>
      </c>
      <c r="E49" s="31">
        <v>0.36956521739130432</v>
      </c>
      <c r="F49" s="31">
        <v>0.2608695652173913</v>
      </c>
      <c r="G49" s="31">
        <v>0.29177057356608477</v>
      </c>
      <c r="H49" s="31">
        <v>0.16209476309226933</v>
      </c>
      <c r="I49" s="32">
        <v>9813.6752136752129</v>
      </c>
      <c r="J49" s="32">
        <v>-7667.6923076923076</v>
      </c>
      <c r="K49" s="31">
        <v>4.3478260869565216E-2</v>
      </c>
      <c r="L49" s="31">
        <v>0.40648379052369077</v>
      </c>
      <c r="M49" s="31">
        <v>0.13715710723192021</v>
      </c>
      <c r="N49" s="31">
        <v>0.48466257668711654</v>
      </c>
      <c r="O49" s="31">
        <v>0.45454545454545453</v>
      </c>
      <c r="P49" s="31">
        <v>0.41025641025641024</v>
      </c>
    </row>
    <row r="50" spans="1:16" x14ac:dyDescent="0.4">
      <c r="A50" s="33">
        <v>47</v>
      </c>
      <c r="B50" s="30">
        <v>337.89999999999981</v>
      </c>
      <c r="C50" s="30">
        <v>7.1893617021276555</v>
      </c>
      <c r="D50" s="35">
        <v>1.8723404255319149</v>
      </c>
      <c r="E50" s="31">
        <v>0.38297872340425532</v>
      </c>
      <c r="F50" s="31">
        <v>0.25531914893617019</v>
      </c>
      <c r="G50" s="31">
        <v>0.29411764705882354</v>
      </c>
      <c r="H50" s="31">
        <v>0.16176470588235295</v>
      </c>
      <c r="I50" s="32">
        <v>9765</v>
      </c>
      <c r="J50" s="32">
        <v>-7672.727272727273</v>
      </c>
      <c r="K50" s="31">
        <v>4.2553191489361701E-2</v>
      </c>
      <c r="L50" s="31">
        <v>0.40686274509803921</v>
      </c>
      <c r="M50" s="31">
        <v>0.13725490196078433</v>
      </c>
      <c r="N50" s="31">
        <v>0.48795180722891568</v>
      </c>
      <c r="O50" s="31">
        <v>0.44642857142857145</v>
      </c>
      <c r="P50" s="31">
        <v>0.4</v>
      </c>
    </row>
    <row r="51" spans="1:16" x14ac:dyDescent="0.4">
      <c r="A51" s="33">
        <v>48</v>
      </c>
      <c r="B51" s="30">
        <v>365.49999999999983</v>
      </c>
      <c r="C51" s="30">
        <v>7.6145833333333295</v>
      </c>
      <c r="D51" s="35">
        <v>1.8541666666666667</v>
      </c>
      <c r="E51" s="31">
        <v>0.39583333333333331</v>
      </c>
      <c r="F51" s="31">
        <v>0.25</v>
      </c>
      <c r="G51" s="31">
        <v>0.29397590361445786</v>
      </c>
      <c r="H51" s="31">
        <v>0.15903614457831325</v>
      </c>
      <c r="I51" s="32">
        <v>9798.3606557377043</v>
      </c>
      <c r="J51" s="32">
        <v>-7672.727272727273</v>
      </c>
      <c r="K51" s="31">
        <v>4.1666666666666664E-2</v>
      </c>
      <c r="L51" s="31">
        <v>0.40722891566265063</v>
      </c>
      <c r="M51" s="31">
        <v>0.14216867469879518</v>
      </c>
      <c r="N51" s="31">
        <v>0.48520710059171596</v>
      </c>
      <c r="O51" s="31">
        <v>0.44067796610169491</v>
      </c>
      <c r="P51" s="31">
        <v>0.39344262295081966</v>
      </c>
    </row>
    <row r="52" spans="1:16" x14ac:dyDescent="0.4">
      <c r="A52" s="33">
        <v>49</v>
      </c>
      <c r="B52" s="30">
        <v>383.19999999999982</v>
      </c>
      <c r="C52" s="30">
        <v>7.8204081632653022</v>
      </c>
      <c r="D52" s="35">
        <v>1.8571428571428572</v>
      </c>
      <c r="E52" s="31">
        <v>0.38775510204081631</v>
      </c>
      <c r="F52" s="31">
        <v>0.24489795918367346</v>
      </c>
      <c r="G52" s="31">
        <v>0.29550827423167847</v>
      </c>
      <c r="H52" s="31">
        <v>0.15839243498817968</v>
      </c>
      <c r="I52" s="32">
        <v>9835.2000000000007</v>
      </c>
      <c r="J52" s="32">
        <v>-7601.4925373134329</v>
      </c>
      <c r="K52" s="31">
        <v>4.0816326530612242E-2</v>
      </c>
      <c r="L52" s="31">
        <v>0.40661938534278957</v>
      </c>
      <c r="M52" s="31">
        <v>0.14657210401891252</v>
      </c>
      <c r="N52" s="31">
        <v>0.48837209302325579</v>
      </c>
      <c r="O52" s="31">
        <v>0.43548387096774194</v>
      </c>
      <c r="P52" s="31">
        <v>0.4</v>
      </c>
    </row>
    <row r="53" spans="1:16" x14ac:dyDescent="0.4">
      <c r="A53" s="33">
        <v>50</v>
      </c>
      <c r="B53" s="30">
        <v>430.69999999999982</v>
      </c>
      <c r="C53" s="30">
        <v>8.6139999999999972</v>
      </c>
      <c r="D53" s="35">
        <v>1.84</v>
      </c>
      <c r="E53" s="31">
        <v>0.4</v>
      </c>
      <c r="F53" s="31">
        <v>0.24</v>
      </c>
      <c r="G53" s="31">
        <v>0.29603729603729606</v>
      </c>
      <c r="H53" s="31">
        <v>0.15617715617715619</v>
      </c>
      <c r="I53" s="32">
        <v>9948.031496062993</v>
      </c>
      <c r="J53" s="32">
        <v>-7601.4925373134329</v>
      </c>
      <c r="K53" s="31">
        <v>0.04</v>
      </c>
      <c r="L53" s="31">
        <v>0.40559440559440557</v>
      </c>
      <c r="M53" s="31">
        <v>0.14685314685314685</v>
      </c>
      <c r="N53" s="31">
        <v>0.4942528735632184</v>
      </c>
      <c r="O53" s="31">
        <v>0.42857142857142855</v>
      </c>
      <c r="P53" s="31">
        <v>0.39370078740157483</v>
      </c>
    </row>
    <row r="54" spans="1:16" x14ac:dyDescent="0.4">
      <c r="A54" s="33">
        <v>51</v>
      </c>
      <c r="B54" s="30">
        <v>489.69999999999982</v>
      </c>
      <c r="C54" s="30">
        <v>9.6019607843137216</v>
      </c>
      <c r="D54" s="35">
        <v>1.8235294117647058</v>
      </c>
      <c r="E54" s="31">
        <v>0.41176470588235292</v>
      </c>
      <c r="F54" s="31">
        <v>0.23529411764705882</v>
      </c>
      <c r="G54" s="31">
        <v>0.29953917050691242</v>
      </c>
      <c r="H54" s="31">
        <v>0.15437788018433179</v>
      </c>
      <c r="I54" s="32">
        <v>9990</v>
      </c>
      <c r="J54" s="32">
        <v>-7601.4925373134329</v>
      </c>
      <c r="K54" s="31">
        <v>3.9215686274509803E-2</v>
      </c>
      <c r="L54" s="31">
        <v>0.40783410138248849</v>
      </c>
      <c r="M54" s="31">
        <v>0.14516129032258066</v>
      </c>
      <c r="N54" s="31">
        <v>0.50282485875706218</v>
      </c>
      <c r="O54" s="31">
        <v>0.42857142857142855</v>
      </c>
      <c r="P54" s="31">
        <v>0.4</v>
      </c>
    </row>
    <row r="55" spans="1:16" x14ac:dyDescent="0.4">
      <c r="A55" s="33">
        <v>52</v>
      </c>
      <c r="B55" s="30">
        <v>548.5999999999998</v>
      </c>
      <c r="C55" s="30">
        <v>10.549999999999995</v>
      </c>
      <c r="D55" s="35">
        <v>1.8076923076923077</v>
      </c>
      <c r="E55" s="31">
        <v>0.42307692307692307</v>
      </c>
      <c r="F55" s="31">
        <v>0.23076923076923078</v>
      </c>
      <c r="G55" s="31">
        <v>0.30158730158730157</v>
      </c>
      <c r="H55" s="31">
        <v>0.15192743764172337</v>
      </c>
      <c r="I55" s="32">
        <v>10065.413533834586</v>
      </c>
      <c r="J55" s="32">
        <v>-7601.4925373134329</v>
      </c>
      <c r="K55" s="31">
        <v>3.8461538461538464E-2</v>
      </c>
      <c r="L55" s="31">
        <v>0.40362811791383219</v>
      </c>
      <c r="M55" s="31">
        <v>0.14512471655328799</v>
      </c>
      <c r="N55" s="31">
        <v>0.5056179775280899</v>
      </c>
      <c r="O55" s="31">
        <v>0.4375</v>
      </c>
      <c r="P55" s="31">
        <v>0.39097744360902253</v>
      </c>
    </row>
    <row r="56" spans="1:16" x14ac:dyDescent="0.4">
      <c r="A56" s="33">
        <v>53</v>
      </c>
      <c r="B56" s="30">
        <v>480.39999999999981</v>
      </c>
      <c r="C56" s="30">
        <v>9.0641509433962231</v>
      </c>
      <c r="D56" s="35">
        <v>1.8301886792452831</v>
      </c>
      <c r="E56" s="31">
        <v>0.41509433962264153</v>
      </c>
      <c r="F56" s="31">
        <v>0.24528301886792453</v>
      </c>
      <c r="G56" s="31">
        <v>0.2984409799554566</v>
      </c>
      <c r="H56" s="31">
        <v>0.1492204899777283</v>
      </c>
      <c r="I56" s="32">
        <v>10029.850746268658</v>
      </c>
      <c r="J56" s="32">
        <v>-7601.4925373134329</v>
      </c>
      <c r="K56" s="31">
        <v>5.6603773584905662E-2</v>
      </c>
      <c r="L56" s="31">
        <v>0.40311804008908686</v>
      </c>
      <c r="M56" s="31">
        <v>0.14253897550111358</v>
      </c>
      <c r="N56" s="31">
        <v>0.50276243093922657</v>
      </c>
      <c r="O56" s="31">
        <v>0.4375</v>
      </c>
      <c r="P56" s="31">
        <v>0.39552238805970147</v>
      </c>
    </row>
    <row r="57" spans="1:16" x14ac:dyDescent="0.4">
      <c r="A57" s="33">
        <v>54</v>
      </c>
      <c r="B57" s="30">
        <v>454.39999999999981</v>
      </c>
      <c r="C57" s="30">
        <v>8.414814814814811</v>
      </c>
      <c r="D57" s="35">
        <v>1.8518518518518519</v>
      </c>
      <c r="E57" s="31">
        <v>0.40740740740740738</v>
      </c>
      <c r="F57" s="31">
        <v>0.25925925925925924</v>
      </c>
      <c r="G57" s="31">
        <v>0.29890109890109889</v>
      </c>
      <c r="H57" s="31">
        <v>0.14725274725274726</v>
      </c>
      <c r="I57" s="32">
        <v>10000</v>
      </c>
      <c r="J57" s="32">
        <v>-7601.4925373134329</v>
      </c>
      <c r="K57" s="31">
        <v>5.5555555555555552E-2</v>
      </c>
      <c r="L57" s="31">
        <v>0.4</v>
      </c>
      <c r="M57" s="31">
        <v>0.14505494505494507</v>
      </c>
      <c r="N57" s="31">
        <v>0.5</v>
      </c>
      <c r="O57" s="31">
        <v>0.43939393939393939</v>
      </c>
      <c r="P57" s="31">
        <v>0.40441176470588236</v>
      </c>
    </row>
    <row r="58" spans="1:16" x14ac:dyDescent="0.4">
      <c r="A58" s="33">
        <v>55</v>
      </c>
      <c r="B58" s="30">
        <v>541.5999999999998</v>
      </c>
      <c r="C58" s="30">
        <v>9.8472727272727241</v>
      </c>
      <c r="D58" s="35">
        <v>1.8363636363636364</v>
      </c>
      <c r="E58" s="31">
        <v>0.41818181818181815</v>
      </c>
      <c r="F58" s="31">
        <v>0.25454545454545452</v>
      </c>
      <c r="G58" s="31">
        <v>0.30151843817787416</v>
      </c>
      <c r="H58" s="31">
        <v>0.14533622559652928</v>
      </c>
      <c r="I58" s="32">
        <v>10267.625899280576</v>
      </c>
      <c r="J58" s="32">
        <v>-7601.4925373134329</v>
      </c>
      <c r="K58" s="31">
        <v>5.4545454545454543E-2</v>
      </c>
      <c r="L58" s="31">
        <v>0.39479392624728848</v>
      </c>
      <c r="M58" s="31">
        <v>0.14967462039045554</v>
      </c>
      <c r="N58" s="31">
        <v>0.5</v>
      </c>
      <c r="O58" s="31">
        <v>0.43478260869565216</v>
      </c>
      <c r="P58" s="31">
        <v>0.41007194244604317</v>
      </c>
    </row>
    <row r="59" spans="1:16" x14ac:dyDescent="0.4">
      <c r="A59" s="33">
        <v>56</v>
      </c>
      <c r="B59" s="30">
        <v>537.99999999999977</v>
      </c>
      <c r="C59" s="30">
        <v>9.6071428571428523</v>
      </c>
      <c r="D59" s="35">
        <v>1.8392857142857142</v>
      </c>
      <c r="E59" s="31">
        <v>0.4107142857142857</v>
      </c>
      <c r="F59" s="31">
        <v>0.25</v>
      </c>
      <c r="G59" s="31">
        <v>0.30277185501066101</v>
      </c>
      <c r="H59" s="31">
        <v>0.14498933901918976</v>
      </c>
      <c r="I59" s="32">
        <v>10172.535211267606</v>
      </c>
      <c r="J59" s="32">
        <v>-7525</v>
      </c>
      <c r="K59" s="31">
        <v>5.3571428571428568E-2</v>
      </c>
      <c r="L59" s="31">
        <v>0.39658848614072495</v>
      </c>
      <c r="M59" s="31">
        <v>0.14925373134328357</v>
      </c>
      <c r="N59" s="31">
        <v>0.5053763440860215</v>
      </c>
      <c r="O59" s="31">
        <v>0.42857142857142855</v>
      </c>
      <c r="P59" s="31">
        <v>0.42253521126760563</v>
      </c>
    </row>
    <row r="60" spans="1:16" x14ac:dyDescent="0.4">
      <c r="A60" s="33">
        <v>57</v>
      </c>
      <c r="B60" s="30">
        <v>512.79999999999973</v>
      </c>
      <c r="C60" s="30">
        <v>8.9964912280701714</v>
      </c>
      <c r="D60" s="35">
        <v>1.8421052631578947</v>
      </c>
      <c r="E60" s="31">
        <v>0.40350877192982454</v>
      </c>
      <c r="F60" s="31">
        <v>0.24561403508771928</v>
      </c>
      <c r="G60" s="31">
        <v>0.29937629937629939</v>
      </c>
      <c r="H60" s="31">
        <v>0.14345114345114346</v>
      </c>
      <c r="I60" s="32">
        <v>10192.361111111111</v>
      </c>
      <c r="J60" s="32">
        <v>-7589.855072463768</v>
      </c>
      <c r="K60" s="31">
        <v>5.2631578947368418E-2</v>
      </c>
      <c r="L60" s="31">
        <v>0.39293139293139295</v>
      </c>
      <c r="M60" s="31">
        <v>0.1496881496881497</v>
      </c>
      <c r="N60" s="31">
        <v>0.50793650793650791</v>
      </c>
      <c r="O60" s="31">
        <v>0.41666666666666669</v>
      </c>
      <c r="P60" s="31">
        <v>0.41666666666666669</v>
      </c>
    </row>
    <row r="61" spans="1:16" x14ac:dyDescent="0.4">
      <c r="A61" s="33">
        <v>58</v>
      </c>
      <c r="B61" s="30">
        <v>449.09999999999974</v>
      </c>
      <c r="C61" s="30">
        <v>7.7431034482758578</v>
      </c>
      <c r="D61" s="35">
        <v>1.8620689655172413</v>
      </c>
      <c r="E61" s="31">
        <v>0.39655172413793105</v>
      </c>
      <c r="F61" s="31">
        <v>0.25862068965517243</v>
      </c>
      <c r="G61" s="31">
        <v>0.29531568228105909</v>
      </c>
      <c r="H61" s="31">
        <v>0.14867617107942974</v>
      </c>
      <c r="I61" s="32">
        <v>10131.034482758621</v>
      </c>
      <c r="J61" s="32">
        <v>-7560.2739726027394</v>
      </c>
      <c r="K61" s="31">
        <v>6.8965517241379309E-2</v>
      </c>
      <c r="L61" s="31">
        <v>0.3910386965376782</v>
      </c>
      <c r="M61" s="31">
        <v>0.14867617107942974</v>
      </c>
      <c r="N61" s="31">
        <v>0.50520833333333337</v>
      </c>
      <c r="O61" s="31">
        <v>0.41095890410958902</v>
      </c>
      <c r="P61" s="31">
        <v>0.41379310344827586</v>
      </c>
    </row>
    <row r="62" spans="1:16" x14ac:dyDescent="0.4">
      <c r="A62" s="33">
        <v>59</v>
      </c>
      <c r="B62" s="30">
        <v>418.49999999999972</v>
      </c>
      <c r="C62" s="30">
        <v>7.0932203389830457</v>
      </c>
      <c r="D62" s="35">
        <v>1.8813559322033899</v>
      </c>
      <c r="E62" s="31">
        <v>0.38983050847457629</v>
      </c>
      <c r="F62" s="31">
        <v>0.2711864406779661</v>
      </c>
      <c r="G62" s="31">
        <v>0.29458917835671344</v>
      </c>
      <c r="H62" s="31">
        <v>0.15230460921843689</v>
      </c>
      <c r="I62" s="32">
        <v>10098.639455782313</v>
      </c>
      <c r="J62" s="32">
        <v>-7538.1578947368425</v>
      </c>
      <c r="K62" s="31">
        <v>6.7796610169491525E-2</v>
      </c>
      <c r="L62" s="31">
        <v>0.38677354709418837</v>
      </c>
      <c r="M62" s="31">
        <v>0.15230460921843689</v>
      </c>
      <c r="N62" s="31">
        <v>0.50777202072538863</v>
      </c>
      <c r="O62" s="31">
        <v>0.40789473684210525</v>
      </c>
      <c r="P62" s="31">
        <v>0.41496598639455784</v>
      </c>
    </row>
    <row r="63" spans="1:16" x14ac:dyDescent="0.4">
      <c r="A63" s="33">
        <v>60</v>
      </c>
      <c r="B63" s="30">
        <v>456.1999999999997</v>
      </c>
      <c r="C63" s="30">
        <v>7.6033333333333282</v>
      </c>
      <c r="D63" s="35">
        <v>1.8666666666666667</v>
      </c>
      <c r="E63" s="31">
        <v>0.4</v>
      </c>
      <c r="F63" s="31">
        <v>0.26666666666666666</v>
      </c>
      <c r="G63" s="31">
        <v>0.29607843137254902</v>
      </c>
      <c r="H63" s="31">
        <v>0.14901960784313725</v>
      </c>
      <c r="I63" s="32">
        <v>9976.1589403973503</v>
      </c>
      <c r="J63" s="32">
        <v>-7538.1578947368425</v>
      </c>
      <c r="K63" s="31">
        <v>6.6666666666666666E-2</v>
      </c>
      <c r="L63" s="31">
        <v>0.3843137254901961</v>
      </c>
      <c r="M63" s="31">
        <v>0.15098039215686274</v>
      </c>
      <c r="N63" s="31">
        <v>0.51530612244897955</v>
      </c>
      <c r="O63" s="31">
        <v>0.41558441558441561</v>
      </c>
      <c r="P63" s="31">
        <v>0.41721854304635764</v>
      </c>
    </row>
    <row r="64" spans="1:16" x14ac:dyDescent="0.4">
      <c r="A64" s="33">
        <v>61</v>
      </c>
      <c r="B64" s="30">
        <v>434.09999999999968</v>
      </c>
      <c r="C64" s="30">
        <v>7.1163934426229458</v>
      </c>
      <c r="D64" s="35">
        <v>1.8688524590163935</v>
      </c>
      <c r="E64" s="31">
        <v>0.39344262295081966</v>
      </c>
      <c r="F64" s="31">
        <v>0.26229508196721313</v>
      </c>
      <c r="G64" s="31">
        <v>0.29651162790697677</v>
      </c>
      <c r="H64" s="31">
        <v>0.14922480620155038</v>
      </c>
      <c r="I64" s="32">
        <v>9939.8692810457524</v>
      </c>
      <c r="J64" s="32">
        <v>-7596.1038961038957</v>
      </c>
      <c r="K64" s="31">
        <v>6.5573770491803282E-2</v>
      </c>
      <c r="L64" s="31">
        <v>0.38178294573643412</v>
      </c>
      <c r="M64" s="31">
        <v>0.15116279069767441</v>
      </c>
      <c r="N64" s="31">
        <v>0.51269035532994922</v>
      </c>
      <c r="O64" s="31">
        <v>0.42307692307692307</v>
      </c>
      <c r="P64" s="31">
        <v>0.41176470588235292</v>
      </c>
    </row>
    <row r="65" spans="1:16" x14ac:dyDescent="0.4">
      <c r="A65" s="33">
        <v>62</v>
      </c>
      <c r="B65" s="30">
        <v>389.6999999999997</v>
      </c>
      <c r="C65" s="30">
        <v>6.2854838709677372</v>
      </c>
      <c r="D65" s="35">
        <v>1.8870967741935485</v>
      </c>
      <c r="E65" s="31">
        <v>0.38709677419354838</v>
      </c>
      <c r="F65" s="31">
        <v>0.27419354838709675</v>
      </c>
      <c r="G65" s="31">
        <v>0.2919847328244275</v>
      </c>
      <c r="H65" s="31">
        <v>0.14885496183206107</v>
      </c>
      <c r="I65" s="32">
        <v>9939.8692810457524</v>
      </c>
      <c r="J65" s="32">
        <v>-7652.5641025641025</v>
      </c>
      <c r="K65" s="31">
        <v>6.4516129032258063E-2</v>
      </c>
      <c r="L65" s="31">
        <v>0.37786259541984735</v>
      </c>
      <c r="M65" s="31">
        <v>0.15076335877862596</v>
      </c>
      <c r="N65" s="31">
        <v>0.51010101010101006</v>
      </c>
      <c r="O65" s="31">
        <v>0.41772151898734178</v>
      </c>
      <c r="P65" s="31">
        <v>0.41176470588235292</v>
      </c>
    </row>
    <row r="66" spans="1:16" x14ac:dyDescent="0.4">
      <c r="A66" s="33">
        <v>63</v>
      </c>
      <c r="B66" s="30">
        <v>393.99999999999972</v>
      </c>
      <c r="C66" s="30">
        <v>6.2539682539682495</v>
      </c>
      <c r="D66" s="35">
        <v>1.8888888888888888</v>
      </c>
      <c r="E66" s="31">
        <v>0.38095238095238093</v>
      </c>
      <c r="F66" s="31">
        <v>0.26984126984126983</v>
      </c>
      <c r="G66" s="31">
        <v>0.29080675422138835</v>
      </c>
      <c r="H66" s="31">
        <v>0.14821763602251406</v>
      </c>
      <c r="I66" s="32">
        <v>9992.2580645161288</v>
      </c>
      <c r="J66" s="32">
        <v>-7656.9620253164558</v>
      </c>
      <c r="K66" s="31">
        <v>6.3492063492063489E-2</v>
      </c>
      <c r="L66" s="31">
        <v>0.37523452157598497</v>
      </c>
      <c r="M66" s="31">
        <v>0.15009380863039401</v>
      </c>
      <c r="N66" s="31">
        <v>0.51500000000000001</v>
      </c>
      <c r="O66" s="31">
        <v>0.41249999999999998</v>
      </c>
      <c r="P66" s="31">
        <v>0.41290322580645161</v>
      </c>
    </row>
    <row r="67" spans="1:16" x14ac:dyDescent="0.4">
      <c r="A67" s="33">
        <v>64</v>
      </c>
      <c r="B67" s="30">
        <v>381.39999999999969</v>
      </c>
      <c r="C67" s="30">
        <v>5.9593749999999952</v>
      </c>
      <c r="D67" s="35">
        <v>1.890625</v>
      </c>
      <c r="E67" s="31">
        <v>0.375</v>
      </c>
      <c r="F67" s="31">
        <v>0.265625</v>
      </c>
      <c r="G67" s="31">
        <v>0.28835489833641403</v>
      </c>
      <c r="H67" s="31">
        <v>0.15157116451016636</v>
      </c>
      <c r="I67" s="32">
        <v>10005.128205128205</v>
      </c>
      <c r="J67" s="32">
        <v>-7626.8292682926831</v>
      </c>
      <c r="K67" s="31">
        <v>6.25E-2</v>
      </c>
      <c r="L67" s="31">
        <v>0.37153419593345655</v>
      </c>
      <c r="M67" s="31">
        <v>0.14972273567467653</v>
      </c>
      <c r="N67" s="31">
        <v>0.51741293532338306</v>
      </c>
      <c r="O67" s="31">
        <v>0.40740740740740738</v>
      </c>
      <c r="P67" s="31">
        <v>0.41666666666666669</v>
      </c>
    </row>
    <row r="68" spans="1:16" x14ac:dyDescent="0.4">
      <c r="A68" s="33">
        <v>65</v>
      </c>
      <c r="B68" s="30">
        <v>420.59999999999968</v>
      </c>
      <c r="C68" s="30">
        <v>6.4707692307692257</v>
      </c>
      <c r="D68" s="35">
        <v>1.8769230769230769</v>
      </c>
      <c r="E68" s="31">
        <v>0.38461538461538464</v>
      </c>
      <c r="F68" s="31">
        <v>0.26153846153846155</v>
      </c>
      <c r="G68" s="31">
        <v>0.28623188405797101</v>
      </c>
      <c r="H68" s="31">
        <v>0.14855072463768115</v>
      </c>
      <c r="I68" s="32">
        <v>10081.012658227848</v>
      </c>
      <c r="J68" s="32">
        <v>-7626.8292682926831</v>
      </c>
      <c r="K68" s="31">
        <v>6.1538461538461542E-2</v>
      </c>
      <c r="L68" s="31">
        <v>0.375</v>
      </c>
      <c r="M68" s="31">
        <v>0.15036231884057971</v>
      </c>
      <c r="N68" s="31">
        <v>0.51207729468599039</v>
      </c>
      <c r="O68" s="31">
        <v>0.39759036144578314</v>
      </c>
      <c r="P68" s="31">
        <v>0.41772151898734178</v>
      </c>
    </row>
    <row r="69" spans="1:16" x14ac:dyDescent="0.4">
      <c r="A69" s="33">
        <v>66</v>
      </c>
      <c r="B69" s="30">
        <v>356.49999999999966</v>
      </c>
      <c r="C69" s="30">
        <v>5.4015151515151461</v>
      </c>
      <c r="D69" s="35">
        <v>1.893939393939394</v>
      </c>
      <c r="E69" s="31">
        <v>0.37878787878787878</v>
      </c>
      <c r="F69" s="31">
        <v>0.27272727272727271</v>
      </c>
      <c r="G69" s="31">
        <v>0.28469750889679718</v>
      </c>
      <c r="H69" s="31">
        <v>0.1494661921708185</v>
      </c>
      <c r="I69" s="32">
        <v>10142.5</v>
      </c>
      <c r="J69" s="32">
        <v>-8054.7619047619046</v>
      </c>
      <c r="K69" s="31">
        <v>7.575757575757576E-2</v>
      </c>
      <c r="L69" s="31">
        <v>0.37188612099644131</v>
      </c>
      <c r="M69" s="31">
        <v>0.1512455516014235</v>
      </c>
      <c r="N69" s="31">
        <v>0.51196172248803828</v>
      </c>
      <c r="O69" s="31">
        <v>0.4</v>
      </c>
      <c r="P69" s="31">
        <v>0.42499999999999999</v>
      </c>
    </row>
    <row r="70" spans="1:16" x14ac:dyDescent="0.4">
      <c r="A70" s="33">
        <v>67</v>
      </c>
      <c r="B70" s="30">
        <v>345.49999999999966</v>
      </c>
      <c r="C70" s="30">
        <v>5.1567164179104426</v>
      </c>
      <c r="D70" s="35">
        <v>1.8955223880597014</v>
      </c>
      <c r="E70" s="31">
        <v>0.37313432835820898</v>
      </c>
      <c r="F70" s="31">
        <v>0.26865671641791045</v>
      </c>
      <c r="G70" s="31">
        <v>0.28368794326241137</v>
      </c>
      <c r="H70" s="31">
        <v>0.14893617021276595</v>
      </c>
      <c r="I70" s="32">
        <v>10142.5</v>
      </c>
      <c r="J70" s="32">
        <v>-8054.7619047619046</v>
      </c>
      <c r="K70" s="31">
        <v>7.4626865671641784E-2</v>
      </c>
      <c r="L70" s="31">
        <v>0.37234042553191488</v>
      </c>
      <c r="M70" s="31">
        <v>0.15070921985815602</v>
      </c>
      <c r="N70" s="31">
        <v>0.50952380952380949</v>
      </c>
      <c r="O70" s="31">
        <v>0.4</v>
      </c>
      <c r="P70" s="31">
        <v>0.42499999999999999</v>
      </c>
    </row>
    <row r="71" spans="1:16" x14ac:dyDescent="0.4">
      <c r="A71" s="33">
        <v>68</v>
      </c>
      <c r="B71" s="30">
        <v>374.29999999999967</v>
      </c>
      <c r="C71" s="30">
        <v>5.5044117647058775</v>
      </c>
      <c r="D71" s="35">
        <v>1.8823529411764706</v>
      </c>
      <c r="E71" s="31">
        <v>0.38235294117647056</v>
      </c>
      <c r="F71" s="31">
        <v>0.26470588235294118</v>
      </c>
      <c r="G71" s="31">
        <v>0.28421052631578947</v>
      </c>
      <c r="H71" s="31">
        <v>0.14912280701754385</v>
      </c>
      <c r="I71" s="32">
        <v>10133.333333333334</v>
      </c>
      <c r="J71" s="32">
        <v>-7983.5294117647063</v>
      </c>
      <c r="K71" s="31">
        <v>7.3529411764705885E-2</v>
      </c>
      <c r="L71" s="31">
        <v>0.37017543859649121</v>
      </c>
      <c r="M71" s="31">
        <v>0.14912280701754385</v>
      </c>
      <c r="N71" s="31">
        <v>0.51184834123222744</v>
      </c>
      <c r="O71" s="31">
        <v>0.4</v>
      </c>
      <c r="P71" s="31">
        <v>0.43209876543209874</v>
      </c>
    </row>
    <row r="72" spans="1:16" x14ac:dyDescent="0.4">
      <c r="A72" s="33">
        <v>69</v>
      </c>
      <c r="B72" s="30">
        <v>415.39999999999969</v>
      </c>
      <c r="C72" s="30">
        <v>6.0202898550724591</v>
      </c>
      <c r="D72" s="35">
        <v>1.8695652173913044</v>
      </c>
      <c r="E72" s="31">
        <v>0.39130434782608697</v>
      </c>
      <c r="F72" s="31">
        <v>0.2608695652173913</v>
      </c>
      <c r="G72" s="31">
        <v>0.28596187175043325</v>
      </c>
      <c r="H72" s="31">
        <v>0.14904679376083188</v>
      </c>
      <c r="I72" s="32">
        <v>10107.272727272728</v>
      </c>
      <c r="J72" s="32">
        <v>-7983.7209302325582</v>
      </c>
      <c r="K72" s="31">
        <v>7.2463768115942032E-2</v>
      </c>
      <c r="L72" s="31">
        <v>0.36915077989601386</v>
      </c>
      <c r="M72" s="31">
        <v>0.15077989601386482</v>
      </c>
      <c r="N72" s="31">
        <v>0.51173708920187788</v>
      </c>
      <c r="O72" s="31">
        <v>0.41379310344827586</v>
      </c>
      <c r="P72" s="31">
        <v>0.42424242424242425</v>
      </c>
    </row>
    <row r="73" spans="1:16" x14ac:dyDescent="0.4">
      <c r="A73" s="33">
        <v>70</v>
      </c>
      <c r="B73" s="30">
        <v>431.59999999999968</v>
      </c>
      <c r="C73" s="30">
        <v>6.165714285714281</v>
      </c>
      <c r="D73" s="35">
        <v>1.8714285714285714</v>
      </c>
      <c r="E73" s="31">
        <v>0.38571428571428573</v>
      </c>
      <c r="F73" s="31">
        <v>0.25714285714285712</v>
      </c>
      <c r="G73" s="31">
        <v>0.28839590443686008</v>
      </c>
      <c r="H73" s="31">
        <v>0.14846416382252559</v>
      </c>
      <c r="I73" s="32">
        <v>10069.23076923077</v>
      </c>
      <c r="J73" s="32">
        <v>-8029.8850574712642</v>
      </c>
      <c r="K73" s="31">
        <v>7.1428571428571425E-2</v>
      </c>
      <c r="L73" s="31">
        <v>0.37030716723549489</v>
      </c>
      <c r="M73" s="31">
        <v>0.14846416382252559</v>
      </c>
      <c r="N73" s="31">
        <v>0.52073732718894006</v>
      </c>
      <c r="O73" s="31">
        <v>0.41379310344827586</v>
      </c>
      <c r="P73" s="31">
        <v>0.42603550295857989</v>
      </c>
    </row>
    <row r="74" spans="1:16" x14ac:dyDescent="0.4">
      <c r="A74" s="33">
        <v>71</v>
      </c>
      <c r="B74" s="30">
        <v>367.79999999999967</v>
      </c>
      <c r="C74" s="30">
        <v>5.1802816901408404</v>
      </c>
      <c r="D74" s="35">
        <v>1.8873239436619718</v>
      </c>
      <c r="E74" s="31">
        <v>0.38028169014084506</v>
      </c>
      <c r="F74" s="31">
        <v>0.26760563380281688</v>
      </c>
      <c r="G74" s="31">
        <v>0.28547297297297297</v>
      </c>
      <c r="H74" s="31">
        <v>0.14864864864864866</v>
      </c>
      <c r="I74" s="32">
        <v>10069.23076923077</v>
      </c>
      <c r="J74" s="32">
        <v>-8070.454545454545</v>
      </c>
      <c r="K74" s="31">
        <v>8.4507042253521125E-2</v>
      </c>
      <c r="L74" s="31">
        <v>0.3716216216216216</v>
      </c>
      <c r="M74" s="31">
        <v>0.14864864864864866</v>
      </c>
      <c r="N74" s="31">
        <v>0.51363636363636367</v>
      </c>
      <c r="O74" s="31">
        <v>0.40909090909090912</v>
      </c>
      <c r="P74" s="31">
        <v>0.42603550295857989</v>
      </c>
    </row>
    <row r="75" spans="1:16" x14ac:dyDescent="0.4">
      <c r="A75" s="33">
        <v>72</v>
      </c>
      <c r="B75" s="30">
        <v>334.29999999999967</v>
      </c>
      <c r="C75" s="30">
        <v>4.6430555555555513</v>
      </c>
      <c r="D75" s="35">
        <v>1.9027777777777777</v>
      </c>
      <c r="E75" s="31">
        <v>0.375</v>
      </c>
      <c r="F75" s="31">
        <v>0.27777777777777779</v>
      </c>
      <c r="G75" s="31">
        <v>0.28595317725752506</v>
      </c>
      <c r="H75" s="31">
        <v>0.15050167224080269</v>
      </c>
      <c r="I75" s="32">
        <v>9996.4912280701756</v>
      </c>
      <c r="J75" s="32">
        <v>-8067.7777777777774</v>
      </c>
      <c r="K75" s="31">
        <v>8.3333333333333329E-2</v>
      </c>
      <c r="L75" s="31">
        <v>0.37123745819397991</v>
      </c>
      <c r="M75" s="31">
        <v>0.14715719063545152</v>
      </c>
      <c r="N75" s="31">
        <v>0.51351351351351349</v>
      </c>
      <c r="O75" s="31">
        <v>0.40909090909090912</v>
      </c>
      <c r="P75" s="31">
        <v>0.42105263157894735</v>
      </c>
    </row>
    <row r="76" spans="1:16" x14ac:dyDescent="0.4">
      <c r="A76" s="33">
        <v>73</v>
      </c>
      <c r="B76" s="30">
        <v>286.49999999999966</v>
      </c>
      <c r="C76" s="30">
        <v>3.9246575342465708</v>
      </c>
      <c r="D76" s="35">
        <v>1.9178082191780821</v>
      </c>
      <c r="E76" s="31">
        <v>0.36986301369863012</v>
      </c>
      <c r="F76" s="31">
        <v>0.28767123287671231</v>
      </c>
      <c r="G76" s="31">
        <v>0.28264462809917357</v>
      </c>
      <c r="H76" s="31">
        <v>0.1487603305785124</v>
      </c>
      <c r="I76" s="32">
        <v>9996.4912280701756</v>
      </c>
      <c r="J76" s="32">
        <v>-8067.7777777777774</v>
      </c>
      <c r="K76" s="31">
        <v>8.2191780821917804E-2</v>
      </c>
      <c r="L76" s="31">
        <v>0.36859504132231408</v>
      </c>
      <c r="M76" s="31">
        <v>0.15041322314049588</v>
      </c>
      <c r="N76" s="31">
        <v>0.5112107623318386</v>
      </c>
      <c r="O76" s="31">
        <v>0.39560439560439559</v>
      </c>
      <c r="P76" s="31">
        <v>0.42105263157894735</v>
      </c>
    </row>
    <row r="77" spans="1:16" x14ac:dyDescent="0.4">
      <c r="A77" s="33">
        <v>74</v>
      </c>
      <c r="B77" s="30">
        <v>286.09999999999968</v>
      </c>
      <c r="C77" s="30">
        <v>3.8662162162162117</v>
      </c>
      <c r="D77" s="35">
        <v>1.9189189189189189</v>
      </c>
      <c r="E77" s="31">
        <v>0.36486486486486486</v>
      </c>
      <c r="F77" s="31">
        <v>0.28378378378378377</v>
      </c>
      <c r="G77" s="31">
        <v>0.2826797385620915</v>
      </c>
      <c r="H77" s="31">
        <v>0.14705882352941177</v>
      </c>
      <c r="I77" s="32">
        <v>9942.1965317919075</v>
      </c>
      <c r="J77" s="32">
        <v>-8067.7777777777774</v>
      </c>
      <c r="K77" s="31">
        <v>8.1081081081081086E-2</v>
      </c>
      <c r="L77" s="31">
        <v>0.36764705882352944</v>
      </c>
      <c r="M77" s="31">
        <v>0.15032679738562091</v>
      </c>
      <c r="N77" s="31">
        <v>0.51555555555555554</v>
      </c>
      <c r="O77" s="31">
        <v>0.39130434782608697</v>
      </c>
      <c r="P77" s="31">
        <v>0.41618497109826591</v>
      </c>
    </row>
    <row r="78" spans="1:16" x14ac:dyDescent="0.4">
      <c r="A78" s="33">
        <v>75</v>
      </c>
      <c r="B78" s="30">
        <v>283.6999999999997</v>
      </c>
      <c r="C78" s="30">
        <v>3.7826666666666626</v>
      </c>
      <c r="D78" s="35">
        <v>1.92</v>
      </c>
      <c r="E78" s="31">
        <v>0.36</v>
      </c>
      <c r="F78" s="31">
        <v>0.28000000000000003</v>
      </c>
      <c r="G78" s="31">
        <v>0.28225806451612906</v>
      </c>
      <c r="H78" s="31">
        <v>0.14677419354838708</v>
      </c>
      <c r="I78" s="32">
        <v>9952</v>
      </c>
      <c r="J78" s="32">
        <v>-8110.9890109890111</v>
      </c>
      <c r="K78" s="31">
        <v>0.08</v>
      </c>
      <c r="L78" s="31">
        <v>0.36612903225806454</v>
      </c>
      <c r="M78" s="31">
        <v>0.15161290322580645</v>
      </c>
      <c r="N78" s="31">
        <v>0.51982378854625555</v>
      </c>
      <c r="O78" s="31">
        <v>0.38297872340425532</v>
      </c>
      <c r="P78" s="31">
        <v>0.42285714285714288</v>
      </c>
    </row>
    <row r="79" spans="1:16" x14ac:dyDescent="0.4">
      <c r="A79" s="33">
        <v>76</v>
      </c>
      <c r="B79" s="30">
        <v>290.09999999999968</v>
      </c>
      <c r="C79" s="30">
        <v>3.8171052631578903</v>
      </c>
      <c r="D79" s="35">
        <v>1.9210526315789473</v>
      </c>
      <c r="E79" s="31">
        <v>0.35526315789473684</v>
      </c>
      <c r="F79" s="31">
        <v>0.27631578947368424</v>
      </c>
      <c r="G79" s="31">
        <v>0.2807017543859649</v>
      </c>
      <c r="H79" s="31">
        <v>0.14513556618819776</v>
      </c>
      <c r="I79" s="32">
        <v>9963.636363636364</v>
      </c>
      <c r="J79" s="32">
        <v>-8110.9890109890111</v>
      </c>
      <c r="K79" s="31">
        <v>7.8947368421052627E-2</v>
      </c>
      <c r="L79" s="31">
        <v>0.36842105263157893</v>
      </c>
      <c r="M79" s="31">
        <v>0.15151515151515152</v>
      </c>
      <c r="N79" s="31">
        <v>0.51515151515151514</v>
      </c>
      <c r="O79" s="31">
        <v>0.37894736842105264</v>
      </c>
      <c r="P79" s="31">
        <v>0.42045454545454547</v>
      </c>
    </row>
    <row r="80" spans="1:16" x14ac:dyDescent="0.4">
      <c r="A80" s="33">
        <v>77</v>
      </c>
      <c r="B80" s="30">
        <v>358.09999999999968</v>
      </c>
      <c r="C80" s="30">
        <v>4.6506493506493465</v>
      </c>
      <c r="D80" s="35">
        <v>1.9090909090909092</v>
      </c>
      <c r="E80" s="31">
        <v>0.36363636363636365</v>
      </c>
      <c r="F80" s="31">
        <v>0.27272727272727271</v>
      </c>
      <c r="G80" s="31">
        <v>0.28184713375796178</v>
      </c>
      <c r="H80" s="31">
        <v>0.14490445859872611</v>
      </c>
      <c r="I80" s="32">
        <v>10178.531073446327</v>
      </c>
      <c r="J80" s="32">
        <v>-8110.9890109890111</v>
      </c>
      <c r="K80" s="31">
        <v>7.792207792207792E-2</v>
      </c>
      <c r="L80" s="31">
        <v>0.36783439490445857</v>
      </c>
      <c r="M80" s="31">
        <v>0.15127388535031847</v>
      </c>
      <c r="N80" s="31">
        <v>0.51515151515151514</v>
      </c>
      <c r="O80" s="31">
        <v>0.37894736842105264</v>
      </c>
      <c r="P80" s="31">
        <v>0.41807909604519772</v>
      </c>
    </row>
    <row r="81" spans="1:16" x14ac:dyDescent="0.4">
      <c r="A81" s="33">
        <v>78</v>
      </c>
      <c r="B81" s="30">
        <v>311.09999999999968</v>
      </c>
      <c r="C81" s="30">
        <v>3.9884615384615345</v>
      </c>
      <c r="D81" s="35">
        <v>1.9230769230769231</v>
      </c>
      <c r="E81" s="31">
        <v>0.35897435897435898</v>
      </c>
      <c r="F81" s="31">
        <v>0.28205128205128205</v>
      </c>
      <c r="G81" s="31">
        <v>0.28100470957613816</v>
      </c>
      <c r="H81" s="31">
        <v>0.14599686028257458</v>
      </c>
      <c r="I81" s="32">
        <v>10221.229050279329</v>
      </c>
      <c r="J81" s="32">
        <v>-8259.1397849462373</v>
      </c>
      <c r="K81" s="31">
        <v>7.6923076923076927E-2</v>
      </c>
      <c r="L81" s="31">
        <v>0.36577708006279436</v>
      </c>
      <c r="M81" s="31">
        <v>0.15384615384615385</v>
      </c>
      <c r="N81" s="31">
        <v>0.51502145922746778</v>
      </c>
      <c r="O81" s="31">
        <v>0.37755102040816324</v>
      </c>
      <c r="P81" s="31">
        <v>0.41340782122905029</v>
      </c>
    </row>
    <row r="82" spans="1:16" x14ac:dyDescent="0.4">
      <c r="A82" s="33">
        <v>79</v>
      </c>
      <c r="B82" s="30">
        <v>305.6999999999997</v>
      </c>
      <c r="C82" s="30">
        <v>3.8696202531645532</v>
      </c>
      <c r="D82" s="35">
        <v>1.9240506329113924</v>
      </c>
      <c r="E82" s="31">
        <v>0.35443037974683544</v>
      </c>
      <c r="F82" s="31">
        <v>0.27848101265822783</v>
      </c>
      <c r="G82" s="31">
        <v>0.28086419753086422</v>
      </c>
      <c r="H82" s="31">
        <v>0.14660493827160495</v>
      </c>
      <c r="I82" s="32">
        <v>10165.934065934065</v>
      </c>
      <c r="J82" s="32">
        <v>-8232.6315789473683</v>
      </c>
      <c r="K82" s="31">
        <v>7.5949367088607597E-2</v>
      </c>
      <c r="L82" s="31">
        <v>0.36265432098765432</v>
      </c>
      <c r="M82" s="31">
        <v>0.15432098765432098</v>
      </c>
      <c r="N82" s="31">
        <v>0.51914893617021274</v>
      </c>
      <c r="O82" s="31">
        <v>0.38</v>
      </c>
      <c r="P82" s="31">
        <v>0.41208791208791207</v>
      </c>
    </row>
    <row r="83" spans="1:16" x14ac:dyDescent="0.4">
      <c r="A83" s="33">
        <v>80</v>
      </c>
      <c r="B83" s="30">
        <v>249.6999999999997</v>
      </c>
      <c r="C83" s="30">
        <v>3.1212499999999963</v>
      </c>
      <c r="D83" s="35">
        <v>1.9375</v>
      </c>
      <c r="E83" s="31">
        <v>0.35</v>
      </c>
      <c r="F83" s="31">
        <v>0.28749999999999998</v>
      </c>
      <c r="G83" s="31">
        <v>0.27938931297709924</v>
      </c>
      <c r="H83" s="31">
        <v>0.14809160305343511</v>
      </c>
      <c r="I83" s="32">
        <v>10138.79781420765</v>
      </c>
      <c r="J83" s="32">
        <v>-8269.0721649484531</v>
      </c>
      <c r="K83" s="31">
        <v>8.7499999999999994E-2</v>
      </c>
      <c r="L83" s="31">
        <v>0.36335877862595417</v>
      </c>
      <c r="M83" s="31">
        <v>0.15267175572519084</v>
      </c>
      <c r="N83" s="31">
        <v>0.51680672268907568</v>
      </c>
      <c r="O83" s="31">
        <v>0.38</v>
      </c>
      <c r="P83" s="31">
        <v>0.4098360655737705</v>
      </c>
    </row>
    <row r="84" spans="1:16" x14ac:dyDescent="0.4">
      <c r="A84" s="33">
        <v>81</v>
      </c>
      <c r="B84" s="30">
        <v>234.89999999999969</v>
      </c>
      <c r="C84" s="30">
        <v>2.8999999999999964</v>
      </c>
      <c r="D84" s="35">
        <v>1.9382716049382716</v>
      </c>
      <c r="E84" s="31">
        <v>0.34567901234567899</v>
      </c>
      <c r="F84" s="31">
        <v>0.2839506172839506</v>
      </c>
      <c r="G84" s="31">
        <v>0.27969924812030073</v>
      </c>
      <c r="H84" s="31">
        <v>0.14887218045112782</v>
      </c>
      <c r="I84" s="32">
        <v>10119.354838709678</v>
      </c>
      <c r="J84" s="32">
        <v>-8477.7777777777774</v>
      </c>
      <c r="K84" s="31">
        <v>8.6419753086419748E-2</v>
      </c>
      <c r="L84" s="31">
        <v>0.36390977443609024</v>
      </c>
      <c r="M84" s="31">
        <v>0.15187969924812031</v>
      </c>
      <c r="N84" s="31">
        <v>0.51652892561983466</v>
      </c>
      <c r="O84" s="31">
        <v>0.37623762376237624</v>
      </c>
      <c r="P84" s="31">
        <v>0.40860215053763443</v>
      </c>
    </row>
    <row r="85" spans="1:16" x14ac:dyDescent="0.4">
      <c r="A85" s="33">
        <v>82</v>
      </c>
      <c r="B85" s="30">
        <v>299.49999999999966</v>
      </c>
      <c r="C85" s="30">
        <v>3.6524390243902398</v>
      </c>
      <c r="D85" s="35">
        <v>1.9268292682926829</v>
      </c>
      <c r="E85" s="31">
        <v>0.35365853658536583</v>
      </c>
      <c r="F85" s="31">
        <v>0.28048780487804881</v>
      </c>
      <c r="G85" s="31">
        <v>0.28293413173652693</v>
      </c>
      <c r="H85" s="31">
        <v>0.14820359281437126</v>
      </c>
      <c r="I85" s="32">
        <v>10178.835978835979</v>
      </c>
      <c r="J85" s="32">
        <v>-8477.7777777777774</v>
      </c>
      <c r="K85" s="31">
        <v>8.5365853658536592E-2</v>
      </c>
      <c r="L85" s="31">
        <v>0.36377245508982037</v>
      </c>
      <c r="M85" s="31">
        <v>0.15119760479041916</v>
      </c>
      <c r="N85" s="31">
        <v>0.51851851851851849</v>
      </c>
      <c r="O85" s="31">
        <v>0.37623762376237624</v>
      </c>
      <c r="P85" s="31">
        <v>0.40740740740740738</v>
      </c>
    </row>
    <row r="86" spans="1:16" x14ac:dyDescent="0.4">
      <c r="A86" s="33">
        <v>83</v>
      </c>
      <c r="B86" s="30">
        <v>337.29999999999967</v>
      </c>
      <c r="C86" s="30">
        <v>4.0638554216867426</v>
      </c>
      <c r="D86" s="35">
        <v>1.9156626506024097</v>
      </c>
      <c r="E86" s="31">
        <v>0.36144578313253012</v>
      </c>
      <c r="F86" s="31">
        <v>0.27710843373493976</v>
      </c>
      <c r="G86" s="31">
        <v>0.28655834564254062</v>
      </c>
      <c r="H86" s="31">
        <v>0.14623338257016247</v>
      </c>
      <c r="I86" s="32">
        <v>10082.98969072165</v>
      </c>
      <c r="J86" s="32">
        <v>-8477.7777777777774</v>
      </c>
      <c r="K86" s="31">
        <v>8.4337349397590355E-2</v>
      </c>
      <c r="L86" s="31">
        <v>0.36484490398818314</v>
      </c>
      <c r="M86" s="31">
        <v>0.15214180206794684</v>
      </c>
      <c r="N86" s="31">
        <v>0.52226720647773284</v>
      </c>
      <c r="O86" s="31">
        <v>0.38834951456310679</v>
      </c>
      <c r="P86" s="31">
        <v>0.41237113402061853</v>
      </c>
    </row>
    <row r="87" spans="1:16" x14ac:dyDescent="0.4">
      <c r="A87" s="33">
        <v>84</v>
      </c>
      <c r="B87" s="30">
        <v>292.39999999999969</v>
      </c>
      <c r="C87" s="30">
        <v>3.4809523809523775</v>
      </c>
      <c r="D87" s="35">
        <v>1.9285714285714286</v>
      </c>
      <c r="E87" s="31">
        <v>0.35714285714285715</v>
      </c>
      <c r="F87" s="31">
        <v>0.2857142857142857</v>
      </c>
      <c r="G87" s="31">
        <v>0.28508771929824561</v>
      </c>
      <c r="H87" s="31">
        <v>0.1476608187134503</v>
      </c>
      <c r="I87" s="32">
        <v>10051.282051282051</v>
      </c>
      <c r="J87" s="32">
        <v>-8463.3663366336641</v>
      </c>
      <c r="K87" s="31">
        <v>8.3333333333333329E-2</v>
      </c>
      <c r="L87" s="31">
        <v>0.36257309941520466</v>
      </c>
      <c r="M87" s="31">
        <v>0.15350877192982457</v>
      </c>
      <c r="N87" s="31">
        <v>0.52016129032258063</v>
      </c>
      <c r="O87" s="31">
        <v>0.39047619047619048</v>
      </c>
      <c r="P87" s="31">
        <v>0.41025641025641024</v>
      </c>
    </row>
    <row r="88" spans="1:16" x14ac:dyDescent="0.4">
      <c r="A88" s="33">
        <v>85</v>
      </c>
      <c r="B88" s="30">
        <v>290.1999999999997</v>
      </c>
      <c r="C88" s="30">
        <v>3.4141176470588199</v>
      </c>
      <c r="D88" s="35">
        <v>1.9294117647058824</v>
      </c>
      <c r="E88" s="31">
        <v>0.35294117647058826</v>
      </c>
      <c r="F88" s="31">
        <v>0.28235294117647058</v>
      </c>
      <c r="G88" s="31">
        <v>0.2857142857142857</v>
      </c>
      <c r="H88" s="31">
        <v>0.14862914862914864</v>
      </c>
      <c r="I88" s="32">
        <v>10033.333333333334</v>
      </c>
      <c r="J88" s="32">
        <v>-8471.8446601941741</v>
      </c>
      <c r="K88" s="31">
        <v>8.2352941176470587E-2</v>
      </c>
      <c r="L88" s="31">
        <v>0.36075036075036077</v>
      </c>
      <c r="M88" s="31">
        <v>0.15584415584415584</v>
      </c>
      <c r="N88" s="31">
        <v>0.52400000000000002</v>
      </c>
      <c r="O88" s="31">
        <v>0.37962962962962965</v>
      </c>
      <c r="P88" s="31">
        <v>0.40909090909090912</v>
      </c>
    </row>
    <row r="89" spans="1:16" x14ac:dyDescent="0.4">
      <c r="A89" s="33">
        <v>86</v>
      </c>
      <c r="B89" s="30">
        <v>334.89999999999969</v>
      </c>
      <c r="C89" s="30">
        <v>3.8941860465116243</v>
      </c>
      <c r="D89" s="35">
        <v>1.9186046511627908</v>
      </c>
      <c r="E89" s="31">
        <v>0.36046511627906974</v>
      </c>
      <c r="F89" s="31">
        <v>0.27906976744186046</v>
      </c>
      <c r="G89" s="31">
        <v>0.28794326241134754</v>
      </c>
      <c r="H89" s="31">
        <v>0.14751773049645389</v>
      </c>
      <c r="I89" s="32">
        <v>10027.093596059114</v>
      </c>
      <c r="J89" s="32">
        <v>-8418.2692307692305</v>
      </c>
      <c r="K89" s="31">
        <v>8.1395348837209308E-2</v>
      </c>
      <c r="L89" s="31">
        <v>0.35886524822695037</v>
      </c>
      <c r="M89" s="31">
        <v>0.16170212765957448</v>
      </c>
      <c r="N89" s="31">
        <v>0.52964426877470361</v>
      </c>
      <c r="O89" s="31">
        <v>0.37719298245614036</v>
      </c>
      <c r="P89" s="31">
        <v>0.41379310344827586</v>
      </c>
    </row>
    <row r="90" spans="1:16" x14ac:dyDescent="0.4">
      <c r="A90" s="33">
        <v>87</v>
      </c>
      <c r="B90" s="30">
        <v>365.79999999999967</v>
      </c>
      <c r="C90" s="30">
        <v>4.2045977011494218</v>
      </c>
      <c r="D90" s="35">
        <v>1.9080459770114941</v>
      </c>
      <c r="E90" s="31">
        <v>0.36781609195402298</v>
      </c>
      <c r="F90" s="31">
        <v>0.27586206896551724</v>
      </c>
      <c r="G90" s="31">
        <v>0.28830083565459608</v>
      </c>
      <c r="H90" s="31">
        <v>0.14763231197771587</v>
      </c>
      <c r="I90" s="32">
        <v>10014.975845410629</v>
      </c>
      <c r="J90" s="32">
        <v>-8501.8867924528295</v>
      </c>
      <c r="K90" s="31">
        <v>8.0459770114942528E-2</v>
      </c>
      <c r="L90" s="31">
        <v>0.35515320334261841</v>
      </c>
      <c r="M90" s="31">
        <v>0.16295264623955433</v>
      </c>
      <c r="N90" s="31">
        <v>0.52941176470588236</v>
      </c>
      <c r="O90" s="31">
        <v>0.38461538461538464</v>
      </c>
      <c r="P90" s="31">
        <v>0.40579710144927539</v>
      </c>
    </row>
    <row r="91" spans="1:16" x14ac:dyDescent="0.4">
      <c r="A91" s="33">
        <v>88</v>
      </c>
      <c r="B91" s="30">
        <v>420.49999999999966</v>
      </c>
      <c r="C91" s="30">
        <v>4.7784090909090873</v>
      </c>
      <c r="D91" s="35">
        <v>1.8977272727272727</v>
      </c>
      <c r="E91" s="31">
        <v>0.375</v>
      </c>
      <c r="F91" s="31">
        <v>0.27272727272727271</v>
      </c>
      <c r="G91" s="31">
        <v>0.28885832187070154</v>
      </c>
      <c r="H91" s="31">
        <v>0.14580467675378267</v>
      </c>
      <c r="I91" s="32">
        <v>10023.333333333334</v>
      </c>
      <c r="J91" s="32">
        <v>-8501.8867924528295</v>
      </c>
      <c r="K91" s="31">
        <v>7.9545454545454544E-2</v>
      </c>
      <c r="L91" s="31">
        <v>0.35350756533700139</v>
      </c>
      <c r="M91" s="31">
        <v>0.16368638239339753</v>
      </c>
      <c r="N91" s="31">
        <v>0.52918287937743191</v>
      </c>
      <c r="O91" s="31">
        <v>0.38655462184873951</v>
      </c>
      <c r="P91" s="31">
        <v>0.40952380952380951</v>
      </c>
    </row>
    <row r="92" spans="1:16" x14ac:dyDescent="0.4">
      <c r="A92" s="33">
        <v>89</v>
      </c>
      <c r="B92" s="30">
        <v>421.89999999999964</v>
      </c>
      <c r="C92" s="30">
        <v>4.7404494382022433</v>
      </c>
      <c r="D92" s="35">
        <v>1.898876404494382</v>
      </c>
      <c r="E92" s="31">
        <v>0.3707865168539326</v>
      </c>
      <c r="F92" s="31">
        <v>0.2696629213483146</v>
      </c>
      <c r="G92" s="31">
        <v>0.28940217391304346</v>
      </c>
      <c r="H92" s="31">
        <v>0.14809782608695651</v>
      </c>
      <c r="I92" s="32">
        <v>10000.469483568075</v>
      </c>
      <c r="J92" s="32">
        <v>-8488.0733944954136</v>
      </c>
      <c r="K92" s="31">
        <v>7.8651685393258425E-2</v>
      </c>
      <c r="L92" s="31">
        <v>0.35190217391304346</v>
      </c>
      <c r="M92" s="31">
        <v>0.16304347826086957</v>
      </c>
      <c r="N92" s="31">
        <v>0.53281853281853286</v>
      </c>
      <c r="O92" s="31">
        <v>0.38333333333333336</v>
      </c>
      <c r="P92" s="31">
        <v>0.40845070422535212</v>
      </c>
    </row>
    <row r="93" spans="1:16" x14ac:dyDescent="0.4">
      <c r="A93" s="33">
        <v>90</v>
      </c>
      <c r="B93" s="30">
        <v>420.19999999999965</v>
      </c>
      <c r="C93" s="30">
        <v>4.6688888888888851</v>
      </c>
      <c r="D93" s="35">
        <v>1.9</v>
      </c>
      <c r="E93" s="31">
        <v>0.36666666666666664</v>
      </c>
      <c r="F93" s="31">
        <v>0.26666666666666666</v>
      </c>
      <c r="G93" s="31">
        <v>0.28763440860215056</v>
      </c>
      <c r="H93" s="31">
        <v>0.14784946236559141</v>
      </c>
      <c r="I93" s="32">
        <v>10009.813084112149</v>
      </c>
      <c r="J93" s="32">
        <v>-8516.363636363636</v>
      </c>
      <c r="K93" s="31">
        <v>7.7777777777777779E-2</v>
      </c>
      <c r="L93" s="31">
        <v>0.3481182795698925</v>
      </c>
      <c r="M93" s="31">
        <v>0.16129032258064516</v>
      </c>
      <c r="N93" s="31">
        <v>0.53281853281853286</v>
      </c>
      <c r="O93" s="31">
        <v>0.38333333333333336</v>
      </c>
      <c r="P93" s="31">
        <v>0.40654205607476634</v>
      </c>
    </row>
    <row r="94" spans="1:16" x14ac:dyDescent="0.4">
      <c r="A94" s="33">
        <v>91</v>
      </c>
      <c r="B94" s="30">
        <v>410.49999999999966</v>
      </c>
      <c r="C94" s="30">
        <v>4.5109890109890074</v>
      </c>
      <c r="D94" s="35">
        <v>1.901098901098901</v>
      </c>
      <c r="E94" s="31">
        <v>0.36263736263736263</v>
      </c>
      <c r="F94" s="31">
        <v>0.26373626373626374</v>
      </c>
      <c r="G94" s="31">
        <v>0.28647214854111408</v>
      </c>
      <c r="H94" s="31">
        <v>0.14721485411140584</v>
      </c>
      <c r="I94" s="32">
        <v>9961.5740740740748</v>
      </c>
      <c r="J94" s="32">
        <v>-8486.4864864864867</v>
      </c>
      <c r="K94" s="31">
        <v>7.6923076923076927E-2</v>
      </c>
      <c r="L94" s="31">
        <v>0.34615384615384615</v>
      </c>
      <c r="M94" s="31">
        <v>0.16047745358090185</v>
      </c>
      <c r="N94" s="31">
        <v>0.52873563218390807</v>
      </c>
      <c r="O94" s="31">
        <v>0.38842975206611569</v>
      </c>
      <c r="P94" s="31">
        <v>0.40277777777777779</v>
      </c>
    </row>
    <row r="95" spans="1:16" x14ac:dyDescent="0.4">
      <c r="A95" s="33">
        <v>92</v>
      </c>
      <c r="B95" s="30">
        <v>460.49999999999966</v>
      </c>
      <c r="C95" s="30">
        <v>5.0054347826086918</v>
      </c>
      <c r="D95" s="35">
        <v>1.8913043478260869</v>
      </c>
      <c r="E95" s="31">
        <v>0.36956521739130432</v>
      </c>
      <c r="F95" s="31">
        <v>0.2608695652173913</v>
      </c>
      <c r="G95" s="31">
        <v>0.28664921465968585</v>
      </c>
      <c r="H95" s="31">
        <v>0.14528795811518325</v>
      </c>
      <c r="I95" s="32">
        <v>9998.6301369863013</v>
      </c>
      <c r="J95" s="32">
        <v>-8486.4864864864867</v>
      </c>
      <c r="K95" s="31">
        <v>7.6086956521739135E-2</v>
      </c>
      <c r="L95" s="31">
        <v>0.34685863874345552</v>
      </c>
      <c r="M95" s="31">
        <v>0.16099476439790575</v>
      </c>
      <c r="N95" s="31">
        <v>0.52830188679245282</v>
      </c>
      <c r="O95" s="31">
        <v>0.38211382113821141</v>
      </c>
      <c r="P95" s="31">
        <v>0.40639269406392692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CDF83-A649-4362-9495-90ED4FAFDC2B}">
  <sheetPr codeName="Sheet12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 x14ac:dyDescent="0.4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 x14ac:dyDescent="0.4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 x14ac:dyDescent="0.4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 x14ac:dyDescent="0.4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 x14ac:dyDescent="0.4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 x14ac:dyDescent="0.4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 x14ac:dyDescent="0.4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 x14ac:dyDescent="0.4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 x14ac:dyDescent="0.4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 x14ac:dyDescent="0.4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 x14ac:dyDescent="0.4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  <row r="34" spans="1:16" x14ac:dyDescent="0.4">
      <c r="A34" s="33">
        <v>31</v>
      </c>
      <c r="B34" s="30">
        <v>-167.8</v>
      </c>
      <c r="C34" s="30">
        <v>-5.4129032258064518</v>
      </c>
      <c r="D34" s="35">
        <v>2.161290322580645</v>
      </c>
      <c r="E34" s="31">
        <v>0.25806451612903225</v>
      </c>
      <c r="F34" s="31">
        <v>0.41935483870967744</v>
      </c>
      <c r="G34" s="31">
        <v>0.32209737827715357</v>
      </c>
      <c r="H34" s="31">
        <v>0.14606741573033707</v>
      </c>
      <c r="I34" s="32">
        <v>7643.0232558139533</v>
      </c>
      <c r="J34" s="32">
        <v>-8900</v>
      </c>
      <c r="K34" s="31">
        <v>6.4516129032258063E-2</v>
      </c>
      <c r="L34" s="31">
        <v>0.20599250936329588</v>
      </c>
      <c r="M34" s="31">
        <v>0.2247191011235955</v>
      </c>
      <c r="N34" s="31">
        <v>0.61818181818181817</v>
      </c>
      <c r="O34" s="31">
        <v>0.48333333333333334</v>
      </c>
      <c r="P34" s="31">
        <v>0.40697674418604651</v>
      </c>
    </row>
    <row r="35" spans="1:16" x14ac:dyDescent="0.4">
      <c r="A35" s="33">
        <v>32</v>
      </c>
      <c r="B35" s="30">
        <v>-102.10000000000001</v>
      </c>
      <c r="C35" s="30">
        <v>-3.1906250000000003</v>
      </c>
      <c r="D35" s="35">
        <v>2.125</v>
      </c>
      <c r="E35" s="31">
        <v>0.28125</v>
      </c>
      <c r="F35" s="31">
        <v>0.40625</v>
      </c>
      <c r="G35" s="31">
        <v>0.3273381294964029</v>
      </c>
      <c r="H35" s="31">
        <v>0.14028776978417265</v>
      </c>
      <c r="I35" s="32">
        <v>7505.4945054945056</v>
      </c>
      <c r="J35" s="32">
        <v>-8900</v>
      </c>
      <c r="K35" s="31">
        <v>6.25E-2</v>
      </c>
      <c r="L35" s="31">
        <v>0.20143884892086331</v>
      </c>
      <c r="M35" s="31">
        <v>0.21582733812949639</v>
      </c>
      <c r="N35" s="31">
        <v>0.625</v>
      </c>
      <c r="O35" s="31">
        <v>0.48333333333333334</v>
      </c>
      <c r="P35" s="31">
        <v>0.38461538461538464</v>
      </c>
    </row>
    <row r="36" spans="1:16" x14ac:dyDescent="0.4">
      <c r="A36" s="33">
        <v>33</v>
      </c>
      <c r="B36" s="30">
        <v>-67.800000000000011</v>
      </c>
      <c r="C36" s="30">
        <v>-2.0545454545454547</v>
      </c>
      <c r="D36" s="35">
        <v>2.0909090909090908</v>
      </c>
      <c r="E36" s="31">
        <v>0.30303030303030304</v>
      </c>
      <c r="F36" s="31">
        <v>0.39393939393939392</v>
      </c>
      <c r="G36" s="31">
        <v>0.32525951557093424</v>
      </c>
      <c r="H36" s="31">
        <v>0.1453287197231834</v>
      </c>
      <c r="I36" s="32">
        <v>7631.9148936170213</v>
      </c>
      <c r="J36" s="32">
        <v>-8480.9523809523816</v>
      </c>
      <c r="K36" s="31">
        <v>6.0606060606060608E-2</v>
      </c>
      <c r="L36" s="31">
        <v>0.20069204152249134</v>
      </c>
      <c r="M36" s="31">
        <v>0.2179930795847751</v>
      </c>
      <c r="N36" s="31">
        <v>0.62068965517241381</v>
      </c>
      <c r="O36" s="31">
        <v>0.47619047619047616</v>
      </c>
      <c r="P36" s="31">
        <v>0.38297872340425532</v>
      </c>
    </row>
    <row r="37" spans="1:16" x14ac:dyDescent="0.4">
      <c r="A37" s="33">
        <v>34</v>
      </c>
      <c r="B37" s="30">
        <v>-21.000000000000014</v>
      </c>
      <c r="C37" s="30">
        <v>-0.61764705882352988</v>
      </c>
      <c r="D37" s="35">
        <v>2.0588235294117645</v>
      </c>
      <c r="E37" s="31">
        <v>0.3235294117647059</v>
      </c>
      <c r="F37" s="31">
        <v>0.38235294117647056</v>
      </c>
      <c r="G37" s="31">
        <v>0.32775919732441472</v>
      </c>
      <c r="H37" s="31">
        <v>0.14381270903010032</v>
      </c>
      <c r="I37" s="32">
        <v>7563.2653061224491</v>
      </c>
      <c r="J37" s="32">
        <v>-8351.1627906976737</v>
      </c>
      <c r="K37" s="31">
        <v>5.8823529411764705E-2</v>
      </c>
      <c r="L37" s="31">
        <v>0.20401337792642141</v>
      </c>
      <c r="M37" s="31">
        <v>0.21739130434782608</v>
      </c>
      <c r="N37" s="31">
        <v>0.62295081967213117</v>
      </c>
      <c r="O37" s="31">
        <v>0.47692307692307695</v>
      </c>
      <c r="P37" s="31">
        <v>0.37755102040816324</v>
      </c>
    </row>
    <row r="38" spans="1:16" x14ac:dyDescent="0.4">
      <c r="A38" s="33">
        <v>35</v>
      </c>
      <c r="B38" s="30">
        <v>17.199999999999989</v>
      </c>
      <c r="C38" s="30">
        <v>0.4914285714285711</v>
      </c>
      <c r="D38" s="35">
        <v>2.0285714285714285</v>
      </c>
      <c r="E38" s="31">
        <v>0.34285714285714286</v>
      </c>
      <c r="F38" s="31">
        <v>0.37142857142857144</v>
      </c>
      <c r="G38" s="31">
        <v>0.33116883116883117</v>
      </c>
      <c r="H38" s="31">
        <v>0.1461038961038961</v>
      </c>
      <c r="I38" s="32">
        <v>7600</v>
      </c>
      <c r="J38" s="32">
        <v>-8264.4444444444453</v>
      </c>
      <c r="K38" s="31">
        <v>5.7142857142857141E-2</v>
      </c>
      <c r="L38" s="31">
        <v>0.20454545454545456</v>
      </c>
      <c r="M38" s="31">
        <v>0.21753246753246752</v>
      </c>
      <c r="N38" s="31">
        <v>0.63492063492063489</v>
      </c>
      <c r="O38" s="31">
        <v>0.47761194029850745</v>
      </c>
      <c r="P38" s="31">
        <v>0.38235294117647056</v>
      </c>
    </row>
    <row r="39" spans="1:16" x14ac:dyDescent="0.4">
      <c r="A39" s="33">
        <v>36</v>
      </c>
      <c r="B39" s="30">
        <v>75.699999999999989</v>
      </c>
      <c r="C39" s="30">
        <v>2.1027777777777774</v>
      </c>
      <c r="D39" s="35">
        <v>2</v>
      </c>
      <c r="E39" s="31">
        <v>0.3611111111111111</v>
      </c>
      <c r="F39" s="31">
        <v>0.3611111111111111</v>
      </c>
      <c r="G39" s="31">
        <v>0.33438485804416401</v>
      </c>
      <c r="H39" s="31">
        <v>0.14195583596214512</v>
      </c>
      <c r="I39" s="32">
        <v>7632.0754716981128</v>
      </c>
      <c r="J39" s="32">
        <v>-8264.4444444444453</v>
      </c>
      <c r="K39" s="31">
        <v>5.5555555555555552E-2</v>
      </c>
      <c r="L39" s="31">
        <v>0.20504731861198738</v>
      </c>
      <c r="M39" s="31">
        <v>0.22082018927444794</v>
      </c>
      <c r="N39" s="31">
        <v>0.64615384615384619</v>
      </c>
      <c r="O39" s="31">
        <v>0.48571428571428571</v>
      </c>
      <c r="P39" s="31">
        <v>0.39622641509433965</v>
      </c>
    </row>
    <row r="40" spans="1:16" x14ac:dyDescent="0.4">
      <c r="A40" s="33">
        <v>37</v>
      </c>
      <c r="B40" s="30">
        <v>51.79999999999999</v>
      </c>
      <c r="C40" s="30">
        <v>1.3999999999999997</v>
      </c>
      <c r="D40" s="35">
        <v>2.0270270270270272</v>
      </c>
      <c r="E40" s="31">
        <v>0.35135135135135137</v>
      </c>
      <c r="F40" s="31">
        <v>0.3783783783783784</v>
      </c>
      <c r="G40" s="31">
        <v>0.33333333333333331</v>
      </c>
      <c r="H40" s="31">
        <v>0.1388888888888889</v>
      </c>
      <c r="I40" s="32">
        <v>7587.0370370370374</v>
      </c>
      <c r="J40" s="32">
        <v>-8264.4444444444453</v>
      </c>
      <c r="K40" s="31">
        <v>5.4054054054054057E-2</v>
      </c>
      <c r="L40" s="31">
        <v>0.20370370370370369</v>
      </c>
      <c r="M40" s="31">
        <v>0.22222222222222221</v>
      </c>
      <c r="N40" s="31">
        <v>0.65151515151515149</v>
      </c>
      <c r="O40" s="31">
        <v>0.4861111111111111</v>
      </c>
      <c r="P40" s="31">
        <v>0.3888888888888889</v>
      </c>
    </row>
    <row r="41" spans="1:16" x14ac:dyDescent="0.4">
      <c r="A41" s="33">
        <v>38</v>
      </c>
      <c r="B41" s="30">
        <v>20.79999999999999</v>
      </c>
      <c r="C41" s="30">
        <v>0.54736842105263128</v>
      </c>
      <c r="D41" s="35">
        <v>2.0526315789473686</v>
      </c>
      <c r="E41" s="31">
        <v>0.34210526315789475</v>
      </c>
      <c r="F41" s="31">
        <v>0.39473684210526316</v>
      </c>
      <c r="G41" s="31">
        <v>0.33033033033033032</v>
      </c>
      <c r="H41" s="31">
        <v>0.13813813813813813</v>
      </c>
      <c r="I41" s="32">
        <v>7594.545454545455</v>
      </c>
      <c r="J41" s="32">
        <v>-8258.6956521739139</v>
      </c>
      <c r="K41" s="31">
        <v>5.2631578947368418E-2</v>
      </c>
      <c r="L41" s="31">
        <v>0.20120120120120119</v>
      </c>
      <c r="M41" s="31">
        <v>0.22222222222222221</v>
      </c>
      <c r="N41" s="31">
        <v>0.64179104477611937</v>
      </c>
      <c r="O41" s="31">
        <v>0.5</v>
      </c>
      <c r="P41" s="31">
        <v>0.39090909090909093</v>
      </c>
    </row>
    <row r="42" spans="1:16" x14ac:dyDescent="0.4">
      <c r="A42" s="33">
        <v>39</v>
      </c>
      <c r="B42" s="30">
        <v>39.599999999999994</v>
      </c>
      <c r="C42" s="30">
        <v>1.0153846153846153</v>
      </c>
      <c r="D42" s="35">
        <v>2.0512820512820511</v>
      </c>
      <c r="E42" s="31">
        <v>0.33333333333333331</v>
      </c>
      <c r="F42" s="31">
        <v>0.38461538461538464</v>
      </c>
      <c r="G42" s="31">
        <v>0.33043478260869563</v>
      </c>
      <c r="H42" s="31">
        <v>0.1391304347826087</v>
      </c>
      <c r="I42" s="32">
        <v>7799.1228070175439</v>
      </c>
      <c r="J42" s="32">
        <v>-8183.333333333333</v>
      </c>
      <c r="K42" s="31">
        <v>5.128205128205128E-2</v>
      </c>
      <c r="L42" s="31">
        <v>0.20579710144927535</v>
      </c>
      <c r="M42" s="31">
        <v>0.22028985507246376</v>
      </c>
      <c r="N42" s="31">
        <v>0.6619718309859155</v>
      </c>
      <c r="O42" s="31">
        <v>0.48684210526315791</v>
      </c>
      <c r="P42" s="31">
        <v>0.40350877192982454</v>
      </c>
    </row>
    <row r="43" spans="1:16" x14ac:dyDescent="0.4">
      <c r="A43" s="33">
        <v>40</v>
      </c>
      <c r="B43" s="30">
        <v>-18.500000000000007</v>
      </c>
      <c r="C43" s="30">
        <v>-0.46250000000000019</v>
      </c>
      <c r="D43" s="35">
        <v>2.0750000000000002</v>
      </c>
      <c r="E43" s="31">
        <v>0.32500000000000001</v>
      </c>
      <c r="F43" s="31">
        <v>0.4</v>
      </c>
      <c r="G43" s="31">
        <v>0.32203389830508472</v>
      </c>
      <c r="H43" s="31">
        <v>0.14124293785310735</v>
      </c>
      <c r="I43" s="32">
        <v>7799.1228070175439</v>
      </c>
      <c r="J43" s="32">
        <v>-8250</v>
      </c>
      <c r="K43" s="31">
        <v>7.4999999999999997E-2</v>
      </c>
      <c r="L43" s="31">
        <v>0.20621468926553671</v>
      </c>
      <c r="M43" s="31">
        <v>0.22033898305084745</v>
      </c>
      <c r="N43" s="31">
        <v>0.64383561643835618</v>
      </c>
      <c r="O43" s="31">
        <v>0.47435897435897434</v>
      </c>
      <c r="P43" s="31">
        <v>0.40350877192982454</v>
      </c>
    </row>
    <row r="44" spans="1:16" x14ac:dyDescent="0.4">
      <c r="A44" s="33">
        <v>41</v>
      </c>
      <c r="B44" s="30">
        <v>-73.5</v>
      </c>
      <c r="C44" s="30">
        <v>-1.7926829268292683</v>
      </c>
      <c r="D44" s="35">
        <v>2.0975609756097562</v>
      </c>
      <c r="E44" s="31">
        <v>0.31707317073170732</v>
      </c>
      <c r="F44" s="31">
        <v>0.41463414634146339</v>
      </c>
      <c r="G44" s="31">
        <v>0.31404958677685951</v>
      </c>
      <c r="H44" s="31">
        <v>0.14600550964187328</v>
      </c>
      <c r="I44" s="32">
        <v>7799.1228070175439</v>
      </c>
      <c r="J44" s="32">
        <v>-8084.9056603773588</v>
      </c>
      <c r="K44" s="31">
        <v>7.3170731707317069E-2</v>
      </c>
      <c r="L44" s="31">
        <v>0.20110192837465565</v>
      </c>
      <c r="M44" s="31">
        <v>0.2231404958677686</v>
      </c>
      <c r="N44" s="31">
        <v>0.64383561643835618</v>
      </c>
      <c r="O44" s="31">
        <v>0.4567901234567901</v>
      </c>
      <c r="P44" s="31">
        <v>0.40350877192982454</v>
      </c>
    </row>
    <row r="45" spans="1:16" x14ac:dyDescent="0.4">
      <c r="A45" s="33">
        <v>42</v>
      </c>
      <c r="B45" s="30">
        <v>-105.5</v>
      </c>
      <c r="C45" s="30">
        <v>-2.5119047619047619</v>
      </c>
      <c r="D45" s="35">
        <v>2.1190476190476191</v>
      </c>
      <c r="E45" s="31">
        <v>0.30952380952380953</v>
      </c>
      <c r="F45" s="31">
        <v>0.42857142857142855</v>
      </c>
      <c r="G45" s="31">
        <v>0.31182795698924731</v>
      </c>
      <c r="H45" s="31">
        <v>0.14784946236559141</v>
      </c>
      <c r="I45" s="32">
        <v>7750.8620689655172</v>
      </c>
      <c r="J45" s="32">
        <v>-8030.909090909091</v>
      </c>
      <c r="K45" s="31">
        <v>7.1428571428571425E-2</v>
      </c>
      <c r="L45" s="31">
        <v>0.19623655913978494</v>
      </c>
      <c r="M45" s="31">
        <v>0.22580645161290322</v>
      </c>
      <c r="N45" s="31">
        <v>0.64383561643835618</v>
      </c>
      <c r="O45" s="31">
        <v>0.44047619047619047</v>
      </c>
      <c r="P45" s="31">
        <v>0.39655172413793105</v>
      </c>
    </row>
    <row r="46" spans="1:16" x14ac:dyDescent="0.4">
      <c r="A46" s="33">
        <v>43</v>
      </c>
      <c r="B46" s="30">
        <v>-137.69999999999999</v>
      </c>
      <c r="C46" s="30">
        <v>-3.2023255813953484</v>
      </c>
      <c r="D46" s="35">
        <v>2.13953488372093</v>
      </c>
      <c r="E46" s="31">
        <v>0.30232558139534882</v>
      </c>
      <c r="F46" s="31">
        <v>0.44186046511627908</v>
      </c>
      <c r="G46" s="31">
        <v>0.30789473684210528</v>
      </c>
      <c r="H46" s="31">
        <v>0.15263157894736842</v>
      </c>
      <c r="I46" s="32">
        <v>7783.7606837606836</v>
      </c>
      <c r="J46" s="32">
        <v>-7877.5862068965516</v>
      </c>
      <c r="K46" s="31">
        <v>6.9767441860465115E-2</v>
      </c>
      <c r="L46" s="31">
        <v>0.19210526315789472</v>
      </c>
      <c r="M46" s="31">
        <v>0.22631578947368422</v>
      </c>
      <c r="N46" s="31">
        <v>0.64383561643835618</v>
      </c>
      <c r="O46" s="31">
        <v>0.44186046511627908</v>
      </c>
      <c r="P46" s="31">
        <v>0.39316239316239315</v>
      </c>
    </row>
    <row r="47" spans="1:16" x14ac:dyDescent="0.4">
      <c r="A47" s="33">
        <v>44</v>
      </c>
      <c r="B47" s="30">
        <v>-82.399999999999991</v>
      </c>
      <c r="C47" s="30">
        <v>-1.8727272727272726</v>
      </c>
      <c r="D47" s="35">
        <v>2.1136363636363638</v>
      </c>
      <c r="E47" s="31">
        <v>0.31818181818181818</v>
      </c>
      <c r="F47" s="31">
        <v>0.43181818181818182</v>
      </c>
      <c r="G47" s="31">
        <v>0.31025641025641026</v>
      </c>
      <c r="H47" s="31">
        <v>0.15128205128205127</v>
      </c>
      <c r="I47" s="32">
        <v>7845.454545454545</v>
      </c>
      <c r="J47" s="32">
        <v>-7879.6610169491523</v>
      </c>
      <c r="K47" s="31">
        <v>6.8181818181818177E-2</v>
      </c>
      <c r="L47" s="31">
        <v>0.19230769230769232</v>
      </c>
      <c r="M47" s="31">
        <v>0.2282051282051282</v>
      </c>
      <c r="N47" s="31">
        <v>0.64</v>
      </c>
      <c r="O47" s="31">
        <v>0.43820224719101125</v>
      </c>
      <c r="P47" s="31">
        <v>0.4049586776859504</v>
      </c>
    </row>
    <row r="48" spans="1:16" x14ac:dyDescent="0.4">
      <c r="A48" s="33">
        <v>45</v>
      </c>
      <c r="B48" s="30">
        <v>-90.3</v>
      </c>
      <c r="C48" s="30">
        <v>-2.0066666666666668</v>
      </c>
      <c r="D48" s="35">
        <v>2.1111111111111112</v>
      </c>
      <c r="E48" s="31">
        <v>0.31111111111111112</v>
      </c>
      <c r="F48" s="31">
        <v>0.42222222222222222</v>
      </c>
      <c r="G48" s="31">
        <v>0.31</v>
      </c>
      <c r="H48" s="31">
        <v>0.15</v>
      </c>
      <c r="I48" s="32">
        <v>7870.1612903225805</v>
      </c>
      <c r="J48" s="32">
        <v>-8048.333333333333</v>
      </c>
      <c r="K48" s="31">
        <v>6.6666666666666666E-2</v>
      </c>
      <c r="L48" s="31">
        <v>0.19</v>
      </c>
      <c r="M48" s="31">
        <v>0.22750000000000001</v>
      </c>
      <c r="N48" s="31">
        <v>0.64473684210526316</v>
      </c>
      <c r="O48" s="31">
        <v>0.43956043956043955</v>
      </c>
      <c r="P48" s="31">
        <v>0.41129032258064518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B737F-0DF4-4A03-BAF4-CBB36D76F058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F9C02-23A0-44AA-9BBB-D5B913386988}">
  <sheetPr codeName="Sheet8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 x14ac:dyDescent="0.4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 x14ac:dyDescent="0.4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 x14ac:dyDescent="0.4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 x14ac:dyDescent="0.4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 x14ac:dyDescent="0.4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 x14ac:dyDescent="0.4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 x14ac:dyDescent="0.4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 x14ac:dyDescent="0.4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 x14ac:dyDescent="0.4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 x14ac:dyDescent="0.4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 x14ac:dyDescent="0.4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  <row r="28" spans="1:16" x14ac:dyDescent="0.4">
      <c r="A28" s="33">
        <v>25</v>
      </c>
      <c r="B28" s="30">
        <v>-34.79999999999999</v>
      </c>
      <c r="C28" s="30">
        <v>-1.3919999999999997</v>
      </c>
      <c r="D28" s="35">
        <v>1.96</v>
      </c>
      <c r="E28" s="31">
        <v>0.36</v>
      </c>
      <c r="F28" s="31">
        <v>0.32</v>
      </c>
      <c r="G28" s="31">
        <v>0.27981651376146788</v>
      </c>
      <c r="H28" s="31">
        <v>0.15137614678899083</v>
      </c>
      <c r="I28" s="32">
        <v>8596.7213114754104</v>
      </c>
      <c r="J28" s="32">
        <v>-8390.9090909090901</v>
      </c>
      <c r="K28" s="31">
        <v>0.12</v>
      </c>
      <c r="L28" s="31">
        <v>0.38073394495412843</v>
      </c>
      <c r="M28" s="31">
        <v>0.19724770642201836</v>
      </c>
      <c r="N28" s="31">
        <v>0.55421686746987953</v>
      </c>
      <c r="O28" s="31">
        <v>0.20930232558139536</v>
      </c>
      <c r="P28" s="31">
        <v>0.52459016393442626</v>
      </c>
    </row>
    <row r="29" spans="1:16" x14ac:dyDescent="0.4">
      <c r="A29" s="33">
        <v>26</v>
      </c>
      <c r="B29" s="30">
        <v>0.80000000000001137</v>
      </c>
      <c r="C29" s="30">
        <v>3.0769230769231208E-2</v>
      </c>
      <c r="D29" s="35">
        <v>1.9230769230769231</v>
      </c>
      <c r="E29" s="31">
        <v>0.38461538461538464</v>
      </c>
      <c r="F29" s="31">
        <v>0.30769230769230771</v>
      </c>
      <c r="G29" s="31">
        <v>0.28761061946902655</v>
      </c>
      <c r="H29" s="31">
        <v>0.15044247787610621</v>
      </c>
      <c r="I29" s="32">
        <v>8423.0769230769238</v>
      </c>
      <c r="J29" s="32">
        <v>-8258.823529411764</v>
      </c>
      <c r="K29" s="31">
        <v>0.11538461538461539</v>
      </c>
      <c r="L29" s="31">
        <v>0.38053097345132741</v>
      </c>
      <c r="M29" s="31">
        <v>0.19911504424778761</v>
      </c>
      <c r="N29" s="31">
        <v>0.55813953488372092</v>
      </c>
      <c r="O29" s="31">
        <v>0.24444444444444444</v>
      </c>
      <c r="P29" s="31">
        <v>0.50769230769230766</v>
      </c>
    </row>
    <row r="30" spans="1:16" x14ac:dyDescent="0.4">
      <c r="A30" s="33">
        <v>27</v>
      </c>
      <c r="B30" s="30">
        <v>-32.399999999999991</v>
      </c>
      <c r="C30" s="30">
        <v>-1.1999999999999997</v>
      </c>
      <c r="D30" s="35">
        <v>1.962962962962963</v>
      </c>
      <c r="E30" s="31">
        <v>0.37037037037037035</v>
      </c>
      <c r="F30" s="31">
        <v>0.33333333333333331</v>
      </c>
      <c r="G30" s="31">
        <v>0.27848101265822783</v>
      </c>
      <c r="H30" s="31">
        <v>0.15189873417721519</v>
      </c>
      <c r="I30" s="32">
        <v>8313.636363636364</v>
      </c>
      <c r="J30" s="32">
        <v>-7936.1111111111113</v>
      </c>
      <c r="K30" s="31">
        <v>0.1111111111111111</v>
      </c>
      <c r="L30" s="31">
        <v>0.3881856540084388</v>
      </c>
      <c r="M30" s="31">
        <v>0.189873417721519</v>
      </c>
      <c r="N30" s="31">
        <v>0.53260869565217395</v>
      </c>
      <c r="O30" s="31">
        <v>0.24444444444444444</v>
      </c>
      <c r="P30" s="31">
        <v>0.51515151515151514</v>
      </c>
    </row>
    <row r="31" spans="1:16" x14ac:dyDescent="0.4">
      <c r="A31" s="33">
        <v>28</v>
      </c>
      <c r="B31" s="30">
        <v>62.600000000000009</v>
      </c>
      <c r="C31" s="30">
        <v>2.2357142857142862</v>
      </c>
      <c r="D31" s="35">
        <v>1.9285714285714286</v>
      </c>
      <c r="E31" s="31">
        <v>0.39285714285714285</v>
      </c>
      <c r="F31" s="31">
        <v>0.32142857142857145</v>
      </c>
      <c r="G31" s="31">
        <v>0.2880658436213992</v>
      </c>
      <c r="H31" s="31">
        <v>0.14814814814814814</v>
      </c>
      <c r="I31" s="32">
        <v>8895.7142857142862</v>
      </c>
      <c r="J31" s="32">
        <v>-7936.1111111111113</v>
      </c>
      <c r="K31" s="31">
        <v>0.10714285714285714</v>
      </c>
      <c r="L31" s="31">
        <v>0.39094650205761317</v>
      </c>
      <c r="M31" s="31">
        <v>0.18930041152263374</v>
      </c>
      <c r="N31" s="31">
        <v>0.54736842105263162</v>
      </c>
      <c r="O31" s="31">
        <v>0.2608695652173913</v>
      </c>
      <c r="P31" s="31">
        <v>0.51428571428571423</v>
      </c>
    </row>
    <row r="32" spans="1:16" x14ac:dyDescent="0.4">
      <c r="A32" s="33">
        <v>29</v>
      </c>
      <c r="B32" s="30">
        <v>46.000000000000007</v>
      </c>
      <c r="C32" s="30">
        <v>1.5862068965517244</v>
      </c>
      <c r="D32" s="35">
        <v>1.9310344827586208</v>
      </c>
      <c r="E32" s="31">
        <v>0.37931034482758619</v>
      </c>
      <c r="F32" s="31">
        <v>0.31034482758620691</v>
      </c>
      <c r="G32" s="31">
        <v>0.28286852589641437</v>
      </c>
      <c r="H32" s="31">
        <v>0.15537848605577689</v>
      </c>
      <c r="I32" s="32">
        <v>8939.4366197183099</v>
      </c>
      <c r="J32" s="32">
        <v>-8025.6410256410254</v>
      </c>
      <c r="K32" s="31">
        <v>0.10344827586206896</v>
      </c>
      <c r="L32" s="31">
        <v>0.39043824701195218</v>
      </c>
      <c r="M32" s="31">
        <v>0.18725099601593626</v>
      </c>
      <c r="N32" s="31">
        <v>0.54081632653061229</v>
      </c>
      <c r="O32" s="31">
        <v>0.25531914893617019</v>
      </c>
      <c r="P32" s="31">
        <v>0.52112676056338025</v>
      </c>
    </row>
    <row r="33" spans="1:16" x14ac:dyDescent="0.4">
      <c r="A33" s="33">
        <v>30</v>
      </c>
      <c r="B33" s="30">
        <v>15.900000000000006</v>
      </c>
      <c r="C33" s="30">
        <v>0.53000000000000014</v>
      </c>
      <c r="D33" s="35">
        <v>1.9666666666666666</v>
      </c>
      <c r="E33" s="31">
        <v>0.36666666666666664</v>
      </c>
      <c r="F33" s="31">
        <v>0.33333333333333331</v>
      </c>
      <c r="G33" s="31">
        <v>0.27692307692307694</v>
      </c>
      <c r="H33" s="31">
        <v>0.15384615384615385</v>
      </c>
      <c r="I33" s="32">
        <v>9065.2777777777774</v>
      </c>
      <c r="J33" s="32">
        <v>-8125</v>
      </c>
      <c r="K33" s="31">
        <v>0.1</v>
      </c>
      <c r="L33" s="31">
        <v>0.38846153846153847</v>
      </c>
      <c r="M33" s="31">
        <v>0.18846153846153846</v>
      </c>
      <c r="N33" s="31">
        <v>0.52475247524752477</v>
      </c>
      <c r="O33" s="31">
        <v>0.26530612244897961</v>
      </c>
      <c r="P33" s="31">
        <v>0.52777777777777779</v>
      </c>
    </row>
    <row r="34" spans="1:16" x14ac:dyDescent="0.4">
      <c r="A34" s="33">
        <v>31</v>
      </c>
      <c r="B34" s="30">
        <v>63.400000000000006</v>
      </c>
      <c r="C34" s="30">
        <v>2.0451612903225809</v>
      </c>
      <c r="D34" s="35">
        <v>1.935483870967742</v>
      </c>
      <c r="E34" s="31">
        <v>0.38709677419354838</v>
      </c>
      <c r="F34" s="31">
        <v>0.32258064516129031</v>
      </c>
      <c r="G34" s="31">
        <v>0.28731343283582089</v>
      </c>
      <c r="H34" s="31">
        <v>0.14925373134328357</v>
      </c>
      <c r="I34" s="32">
        <v>8963.636363636364</v>
      </c>
      <c r="J34" s="32">
        <v>-8125</v>
      </c>
      <c r="K34" s="31">
        <v>9.6774193548387094E-2</v>
      </c>
      <c r="L34" s="31">
        <v>0.38059701492537312</v>
      </c>
      <c r="M34" s="31">
        <v>0.19029850746268656</v>
      </c>
      <c r="N34" s="31">
        <v>0.52941176470588236</v>
      </c>
      <c r="O34" s="31">
        <v>0.27450980392156865</v>
      </c>
      <c r="P34" s="31">
        <v>0.50649350649350644</v>
      </c>
    </row>
    <row r="35" spans="1:16" x14ac:dyDescent="0.4">
      <c r="A35" s="33">
        <v>32</v>
      </c>
      <c r="B35" s="30">
        <v>28.200000000000003</v>
      </c>
      <c r="C35" s="30">
        <v>0.88125000000000009</v>
      </c>
      <c r="D35" s="35">
        <v>1.96875</v>
      </c>
      <c r="E35" s="31">
        <v>0.375</v>
      </c>
      <c r="F35" s="31">
        <v>0.34375</v>
      </c>
      <c r="G35" s="31">
        <v>0.28673835125448027</v>
      </c>
      <c r="H35" s="31">
        <v>0.15412186379928317</v>
      </c>
      <c r="I35" s="32">
        <v>8977.5</v>
      </c>
      <c r="J35" s="32">
        <v>-8276.7441860465115</v>
      </c>
      <c r="K35" s="31">
        <v>9.375E-2</v>
      </c>
      <c r="L35" s="31">
        <v>0.38351254480286739</v>
      </c>
      <c r="M35" s="31">
        <v>0.18996415770609318</v>
      </c>
      <c r="N35" s="31">
        <v>0.52336448598130836</v>
      </c>
      <c r="O35" s="31">
        <v>0.28301886792452829</v>
      </c>
      <c r="P35" s="31">
        <v>0.52500000000000002</v>
      </c>
    </row>
    <row r="36" spans="1:16" x14ac:dyDescent="0.4">
      <c r="A36" s="33">
        <v>33</v>
      </c>
      <c r="B36" s="30">
        <v>119.2</v>
      </c>
      <c r="C36" s="30">
        <v>3.6121212121212123</v>
      </c>
      <c r="D36" s="35">
        <v>1.9393939393939394</v>
      </c>
      <c r="E36" s="31">
        <v>0.39393939393939392</v>
      </c>
      <c r="F36" s="31">
        <v>0.33333333333333331</v>
      </c>
      <c r="G36" s="31">
        <v>0.29411764705882354</v>
      </c>
      <c r="H36" s="31">
        <v>0.14878892733564014</v>
      </c>
      <c r="I36" s="32">
        <v>9378.823529411764</v>
      </c>
      <c r="J36" s="32">
        <v>-8276.7441860465115</v>
      </c>
      <c r="K36" s="31">
        <v>9.0909090909090912E-2</v>
      </c>
      <c r="L36" s="31">
        <v>0.3944636678200692</v>
      </c>
      <c r="M36" s="31">
        <v>0.18339100346020762</v>
      </c>
      <c r="N36" s="31">
        <v>0.52631578947368418</v>
      </c>
      <c r="O36" s="31">
        <v>0.28301886792452829</v>
      </c>
      <c r="P36" s="31">
        <v>0.51764705882352946</v>
      </c>
    </row>
    <row r="37" spans="1:16" x14ac:dyDescent="0.4">
      <c r="A37" s="33">
        <v>34</v>
      </c>
      <c r="B37" s="30">
        <v>189.2</v>
      </c>
      <c r="C37" s="30">
        <v>5.5647058823529409</v>
      </c>
      <c r="D37" s="35">
        <v>1.911764705882353</v>
      </c>
      <c r="E37" s="31">
        <v>0.41176470588235292</v>
      </c>
      <c r="F37" s="31">
        <v>0.3235294117647059</v>
      </c>
      <c r="G37" s="31">
        <v>0.29896907216494845</v>
      </c>
      <c r="H37" s="31">
        <v>0.14776632302405499</v>
      </c>
      <c r="I37" s="32">
        <v>9714.9425287356316</v>
      </c>
      <c r="J37" s="32">
        <v>-8276.7441860465115</v>
      </c>
      <c r="K37" s="31">
        <v>8.8235294117647065E-2</v>
      </c>
      <c r="L37" s="31">
        <v>0.3951890034364261</v>
      </c>
      <c r="M37" s="31">
        <v>0.18556701030927836</v>
      </c>
      <c r="N37" s="31">
        <v>0.5304347826086957</v>
      </c>
      <c r="O37" s="31">
        <v>0.29629629629629628</v>
      </c>
      <c r="P37" s="31">
        <v>0.51724137931034486</v>
      </c>
    </row>
    <row r="38" spans="1:16" x14ac:dyDescent="0.4">
      <c r="A38" s="33">
        <v>35</v>
      </c>
      <c r="B38" s="30">
        <v>163.29999999999998</v>
      </c>
      <c r="C38" s="30">
        <v>4.6657142857142855</v>
      </c>
      <c r="D38" s="35">
        <v>1.9428571428571428</v>
      </c>
      <c r="E38" s="31">
        <v>0.4</v>
      </c>
      <c r="F38" s="31">
        <v>0.34285714285714286</v>
      </c>
      <c r="G38" s="31">
        <v>0.29966329966329969</v>
      </c>
      <c r="H38" s="31">
        <v>0.14814814814814814</v>
      </c>
      <c r="I38" s="32">
        <v>9653.9325842696635</v>
      </c>
      <c r="J38" s="32">
        <v>-8118.181818181818</v>
      </c>
      <c r="K38" s="31">
        <v>8.5714285714285715E-2</v>
      </c>
      <c r="L38" s="31">
        <v>0.39057239057239057</v>
      </c>
      <c r="M38" s="31">
        <v>0.18181818181818182</v>
      </c>
      <c r="N38" s="31">
        <v>0.53448275862068961</v>
      </c>
      <c r="O38" s="31">
        <v>0.29629629629629628</v>
      </c>
      <c r="P38" s="31">
        <v>0.5168539325842697</v>
      </c>
    </row>
    <row r="39" spans="1:16" x14ac:dyDescent="0.4">
      <c r="A39" s="33">
        <v>36</v>
      </c>
      <c r="B39" s="30">
        <v>105.09999999999998</v>
      </c>
      <c r="C39" s="30">
        <v>2.9194444444444438</v>
      </c>
      <c r="D39" s="35">
        <v>1.9722222222222223</v>
      </c>
      <c r="E39" s="31">
        <v>0.3888888888888889</v>
      </c>
      <c r="F39" s="31">
        <v>0.3611111111111111</v>
      </c>
      <c r="G39" s="31">
        <v>0.29276315789473684</v>
      </c>
      <c r="H39" s="31">
        <v>0.15460526315789475</v>
      </c>
      <c r="I39" s="32">
        <v>9653.9325842696635</v>
      </c>
      <c r="J39" s="32">
        <v>-8263.8297872340427</v>
      </c>
      <c r="K39" s="31">
        <v>0.1111111111111111</v>
      </c>
      <c r="L39" s="31">
        <v>0.39144736842105265</v>
      </c>
      <c r="M39" s="31">
        <v>0.18092105263157895</v>
      </c>
      <c r="N39" s="31">
        <v>0.52100840336134457</v>
      </c>
      <c r="O39" s="31">
        <v>0.29090909090909089</v>
      </c>
      <c r="P39" s="31">
        <v>0.5168539325842697</v>
      </c>
    </row>
    <row r="40" spans="1:16" x14ac:dyDescent="0.4">
      <c r="A40" s="33">
        <v>37</v>
      </c>
      <c r="B40" s="30">
        <v>152.59999999999997</v>
      </c>
      <c r="C40" s="30">
        <v>4.1243243243243235</v>
      </c>
      <c r="D40" s="35">
        <v>1.9459459459459461</v>
      </c>
      <c r="E40" s="31">
        <v>0.40540540540540543</v>
      </c>
      <c r="F40" s="31">
        <v>0.35135135135135137</v>
      </c>
      <c r="G40" s="31">
        <v>0.29392971246006389</v>
      </c>
      <c r="H40" s="31">
        <v>0.15335463258785942</v>
      </c>
      <c r="I40" s="32">
        <v>9828.2608695652179</v>
      </c>
      <c r="J40" s="32">
        <v>-8258.3333333333339</v>
      </c>
      <c r="K40" s="31">
        <v>0.10810810810810811</v>
      </c>
      <c r="L40" s="31">
        <v>0.38658146964856233</v>
      </c>
      <c r="M40" s="31">
        <v>0.18210862619808307</v>
      </c>
      <c r="N40" s="31">
        <v>0.52892561983471076</v>
      </c>
      <c r="O40" s="31">
        <v>0.2807017543859649</v>
      </c>
      <c r="P40" s="31">
        <v>0.52173913043478259</v>
      </c>
    </row>
    <row r="41" spans="1:16" x14ac:dyDescent="0.4">
      <c r="A41" s="33">
        <v>38</v>
      </c>
      <c r="B41" s="30">
        <v>157.89999999999998</v>
      </c>
      <c r="C41" s="30">
        <v>4.1552631578947361</v>
      </c>
      <c r="D41" s="35">
        <v>1.9473684210526316</v>
      </c>
      <c r="E41" s="31">
        <v>0.39473684210526316</v>
      </c>
      <c r="F41" s="31">
        <v>0.34210526315789475</v>
      </c>
      <c r="G41" s="31">
        <v>0.29467084639498431</v>
      </c>
      <c r="H41" s="31">
        <v>0.15047021943573669</v>
      </c>
      <c r="I41" s="32">
        <v>9865.9574468085102</v>
      </c>
      <c r="J41" s="32">
        <v>-8258.3333333333339</v>
      </c>
      <c r="K41" s="31">
        <v>0.10526315789473684</v>
      </c>
      <c r="L41" s="31">
        <v>0.38557993730407525</v>
      </c>
      <c r="M41" s="31">
        <v>0.18181818181818182</v>
      </c>
      <c r="N41" s="31">
        <v>0.52845528455284552</v>
      </c>
      <c r="O41" s="31">
        <v>0.29310344827586204</v>
      </c>
      <c r="P41" s="31">
        <v>0.52127659574468088</v>
      </c>
    </row>
    <row r="42" spans="1:16" x14ac:dyDescent="0.4">
      <c r="A42" s="33">
        <v>39</v>
      </c>
      <c r="B42" s="30">
        <v>191.2</v>
      </c>
      <c r="C42" s="30">
        <v>4.902564102564102</v>
      </c>
      <c r="D42" s="35">
        <v>1.9230769230769231</v>
      </c>
      <c r="E42" s="31">
        <v>0.41025641025641024</v>
      </c>
      <c r="F42" s="31">
        <v>0.33333333333333331</v>
      </c>
      <c r="G42" s="31">
        <v>0.29846153846153844</v>
      </c>
      <c r="H42" s="31">
        <v>0.15384615384615385</v>
      </c>
      <c r="I42" s="32">
        <v>9741.2371134020614</v>
      </c>
      <c r="J42" s="32">
        <v>-8082</v>
      </c>
      <c r="K42" s="31">
        <v>0.10256410256410256</v>
      </c>
      <c r="L42" s="31">
        <v>0.38461538461538464</v>
      </c>
      <c r="M42" s="31">
        <v>0.18769230769230769</v>
      </c>
      <c r="N42" s="31">
        <v>0.52800000000000002</v>
      </c>
      <c r="O42" s="31">
        <v>0.31147540983606559</v>
      </c>
      <c r="P42" s="31">
        <v>0.51546391752577314</v>
      </c>
    </row>
    <row r="43" spans="1:16" x14ac:dyDescent="0.4">
      <c r="A43" s="33">
        <v>40</v>
      </c>
      <c r="B43" s="30">
        <v>231.89999999999998</v>
      </c>
      <c r="C43" s="30">
        <v>5.7974999999999994</v>
      </c>
      <c r="D43" s="35">
        <v>1.9</v>
      </c>
      <c r="E43" s="31">
        <v>0.42499999999999999</v>
      </c>
      <c r="F43" s="31">
        <v>0.32500000000000001</v>
      </c>
      <c r="G43" s="31">
        <v>0.30120481927710846</v>
      </c>
      <c r="H43" s="31">
        <v>0.15060240963855423</v>
      </c>
      <c r="I43" s="32">
        <v>9809</v>
      </c>
      <c r="J43" s="32">
        <v>-8082</v>
      </c>
      <c r="K43" s="31">
        <v>0.1</v>
      </c>
      <c r="L43" s="31">
        <v>0.38554216867469882</v>
      </c>
      <c r="M43" s="31">
        <v>0.18975903614457831</v>
      </c>
      <c r="N43" s="31">
        <v>0.5390625</v>
      </c>
      <c r="O43" s="31">
        <v>0.30158730158730157</v>
      </c>
      <c r="P43" s="31">
        <v>0.52</v>
      </c>
    </row>
    <row r="44" spans="1:16" x14ac:dyDescent="0.4">
      <c r="A44" s="33">
        <v>41</v>
      </c>
      <c r="B44" s="30">
        <v>167.39999999999998</v>
      </c>
      <c r="C44" s="30">
        <v>4.0829268292682919</v>
      </c>
      <c r="D44" s="35">
        <v>1.9268292682926829</v>
      </c>
      <c r="E44" s="31">
        <v>0.41463414634146339</v>
      </c>
      <c r="F44" s="31">
        <v>0.34146341463414637</v>
      </c>
      <c r="G44" s="31">
        <v>0.29498525073746312</v>
      </c>
      <c r="H44" s="31">
        <v>0.15339233038348082</v>
      </c>
      <c r="I44" s="32">
        <v>9809</v>
      </c>
      <c r="J44" s="32">
        <v>-8271.1538461538457</v>
      </c>
      <c r="K44" s="31">
        <v>0.12195121951219512</v>
      </c>
      <c r="L44" s="31">
        <v>0.3775811209439528</v>
      </c>
      <c r="M44" s="31">
        <v>0.19174041297935104</v>
      </c>
      <c r="N44" s="31">
        <v>0.5390625</v>
      </c>
      <c r="O44" s="31">
        <v>0.29230769230769232</v>
      </c>
      <c r="P44" s="31">
        <v>0.52</v>
      </c>
    </row>
    <row r="45" spans="1:16" x14ac:dyDescent="0.4">
      <c r="A45" s="33">
        <v>42</v>
      </c>
      <c r="B45" s="30">
        <v>198.09999999999997</v>
      </c>
      <c r="C45" s="30">
        <v>4.7166666666666659</v>
      </c>
      <c r="D45" s="35">
        <v>1.9047619047619047</v>
      </c>
      <c r="E45" s="31">
        <v>0.42857142857142855</v>
      </c>
      <c r="F45" s="31">
        <v>0.33333333333333331</v>
      </c>
      <c r="G45" s="31">
        <v>0.29682997118155618</v>
      </c>
      <c r="H45" s="31">
        <v>0.15273775216138327</v>
      </c>
      <c r="I45" s="32">
        <v>9833.9805825242711</v>
      </c>
      <c r="J45" s="32">
        <v>-8341.5094339622647</v>
      </c>
      <c r="K45" s="31">
        <v>0.11904761904761904</v>
      </c>
      <c r="L45" s="31">
        <v>0.38328530259365995</v>
      </c>
      <c r="M45" s="31">
        <v>0.18731988472622479</v>
      </c>
      <c r="N45" s="31">
        <v>0.54135338345864659</v>
      </c>
      <c r="O45" s="31">
        <v>0.29230769230769232</v>
      </c>
      <c r="P45" s="31">
        <v>0.52427184466019416</v>
      </c>
    </row>
    <row r="46" spans="1:16" x14ac:dyDescent="0.4">
      <c r="A46" s="33">
        <v>43</v>
      </c>
      <c r="B46" s="30">
        <v>156.39999999999998</v>
      </c>
      <c r="C46" s="30">
        <v>3.6372093023255809</v>
      </c>
      <c r="D46" s="35">
        <v>1.930232558139535</v>
      </c>
      <c r="E46" s="31">
        <v>0.41860465116279072</v>
      </c>
      <c r="F46" s="31">
        <v>0.34883720930232559</v>
      </c>
      <c r="G46" s="31">
        <v>0.29096045197740111</v>
      </c>
      <c r="H46" s="31">
        <v>0.15254237288135594</v>
      </c>
      <c r="I46" s="32">
        <v>9833.9805825242711</v>
      </c>
      <c r="J46" s="32">
        <v>-8409.2592592592591</v>
      </c>
      <c r="K46" s="31">
        <v>0.11627906976744186</v>
      </c>
      <c r="L46" s="31">
        <v>0.38135593220338981</v>
      </c>
      <c r="M46" s="31">
        <v>0.18926553672316385</v>
      </c>
      <c r="N46" s="31">
        <v>0.53333333333333333</v>
      </c>
      <c r="O46" s="31">
        <v>0.28358208955223879</v>
      </c>
      <c r="P46" s="31">
        <v>0.52427184466019416</v>
      </c>
    </row>
    <row r="47" spans="1:16" x14ac:dyDescent="0.4">
      <c r="A47" s="33">
        <v>44</v>
      </c>
      <c r="B47" s="30">
        <v>88.399999999999977</v>
      </c>
      <c r="C47" s="30">
        <v>2.0090909090909084</v>
      </c>
      <c r="D47" s="35">
        <v>1.9545454545454546</v>
      </c>
      <c r="E47" s="31">
        <v>0.40909090909090912</v>
      </c>
      <c r="F47" s="31">
        <v>0.36363636363636365</v>
      </c>
      <c r="G47" s="31">
        <v>0.29014084507042254</v>
      </c>
      <c r="H47" s="31">
        <v>0.15492957746478872</v>
      </c>
      <c r="I47" s="32">
        <v>9833.9805825242711</v>
      </c>
      <c r="J47" s="32">
        <v>-9129.0909090909099</v>
      </c>
      <c r="K47" s="31">
        <v>0.13636363636363635</v>
      </c>
      <c r="L47" s="31">
        <v>0.38028169014084506</v>
      </c>
      <c r="M47" s="31">
        <v>0.18873239436619718</v>
      </c>
      <c r="N47" s="31">
        <v>0.53333333333333333</v>
      </c>
      <c r="O47" s="31">
        <v>0.28358208955223879</v>
      </c>
      <c r="P47" s="31">
        <v>0.52427184466019416</v>
      </c>
    </row>
    <row r="48" spans="1:16" x14ac:dyDescent="0.4">
      <c r="A48" s="33">
        <v>45</v>
      </c>
      <c r="B48" s="30">
        <v>154.39999999999998</v>
      </c>
      <c r="C48" s="30">
        <v>3.4311111111111106</v>
      </c>
      <c r="D48" s="35">
        <v>1.9333333333333333</v>
      </c>
      <c r="E48" s="31">
        <v>0.42222222222222222</v>
      </c>
      <c r="F48" s="31">
        <v>0.35555555555555557</v>
      </c>
      <c r="G48" s="31">
        <v>0.2967032967032967</v>
      </c>
      <c r="H48" s="31">
        <v>0.15384615384615385</v>
      </c>
      <c r="I48" s="32">
        <v>9934.2592592592591</v>
      </c>
      <c r="J48" s="32">
        <v>-9180.3571428571431</v>
      </c>
      <c r="K48" s="31">
        <v>0.13333333333333333</v>
      </c>
      <c r="L48" s="31">
        <v>0.38186813186813184</v>
      </c>
      <c r="M48" s="31">
        <v>0.18956043956043955</v>
      </c>
      <c r="N48" s="31">
        <v>0.53956834532374098</v>
      </c>
      <c r="O48" s="31">
        <v>0.30434782608695654</v>
      </c>
      <c r="P48" s="31">
        <v>0.52777777777777779</v>
      </c>
    </row>
    <row r="49" spans="1:16" x14ac:dyDescent="0.4">
      <c r="A49" s="33">
        <v>46</v>
      </c>
      <c r="B49" s="30">
        <v>108.39999999999998</v>
      </c>
      <c r="C49" s="30">
        <v>2.3565217391304345</v>
      </c>
      <c r="D49" s="35">
        <v>1.9565217391304348</v>
      </c>
      <c r="E49" s="31">
        <v>0.41304347826086957</v>
      </c>
      <c r="F49" s="31">
        <v>0.36956521739130432</v>
      </c>
      <c r="G49" s="31">
        <v>0.29333333333333333</v>
      </c>
      <c r="H49" s="31">
        <v>0.15733333333333333</v>
      </c>
      <c r="I49" s="32">
        <v>9844.545454545454</v>
      </c>
      <c r="J49" s="32">
        <v>-9049.1525423728817</v>
      </c>
      <c r="K49" s="31">
        <v>0.13043478260869565</v>
      </c>
      <c r="L49" s="31">
        <v>0.37866666666666665</v>
      </c>
      <c r="M49" s="31">
        <v>0.18666666666666668</v>
      </c>
      <c r="N49" s="31">
        <v>0.54225352112676062</v>
      </c>
      <c r="O49" s="31">
        <v>0.3</v>
      </c>
      <c r="P49" s="31">
        <v>0.52727272727272723</v>
      </c>
    </row>
    <row r="50" spans="1:16" x14ac:dyDescent="0.4">
      <c r="A50" s="33">
        <v>47</v>
      </c>
      <c r="B50" s="30">
        <v>115.69999999999997</v>
      </c>
      <c r="C50" s="30">
        <v>2.4617021276595739</v>
      </c>
      <c r="D50" s="35">
        <v>1.9574468085106382</v>
      </c>
      <c r="E50" s="31">
        <v>0.40425531914893614</v>
      </c>
      <c r="F50" s="31">
        <v>0.36170212765957449</v>
      </c>
      <c r="G50" s="31">
        <v>0.29319371727748689</v>
      </c>
      <c r="H50" s="31">
        <v>0.15706806282722513</v>
      </c>
      <c r="I50" s="32">
        <v>9883.0357142857138</v>
      </c>
      <c r="J50" s="32">
        <v>-8985</v>
      </c>
      <c r="K50" s="31">
        <v>0.1276595744680851</v>
      </c>
      <c r="L50" s="31">
        <v>0.37696335078534032</v>
      </c>
      <c r="M50" s="31">
        <v>0.18586387434554974</v>
      </c>
      <c r="N50" s="31">
        <v>0.54861111111111116</v>
      </c>
      <c r="O50" s="31">
        <v>0.29577464788732394</v>
      </c>
      <c r="P50" s="31">
        <v>0.5267857142857143</v>
      </c>
    </row>
    <row r="51" spans="1:16" x14ac:dyDescent="0.4">
      <c r="A51" s="33">
        <v>48</v>
      </c>
      <c r="B51" s="30">
        <v>173.49999999999997</v>
      </c>
      <c r="C51" s="30">
        <v>3.6145833333333326</v>
      </c>
      <c r="D51" s="35">
        <v>1.9375</v>
      </c>
      <c r="E51" s="31">
        <v>0.41666666666666669</v>
      </c>
      <c r="F51" s="31">
        <v>0.35416666666666669</v>
      </c>
      <c r="G51" s="31">
        <v>0.29591836734693877</v>
      </c>
      <c r="H51" s="31">
        <v>0.15816326530612246</v>
      </c>
      <c r="I51" s="32">
        <v>10069.827586206897</v>
      </c>
      <c r="J51" s="32">
        <v>-9082.2580645161288</v>
      </c>
      <c r="K51" s="31">
        <v>0.125</v>
      </c>
      <c r="L51" s="31">
        <v>0.375</v>
      </c>
      <c r="M51" s="31">
        <v>0.18622448979591838</v>
      </c>
      <c r="N51" s="31">
        <v>0.55102040816326525</v>
      </c>
      <c r="O51" s="31">
        <v>0.31506849315068491</v>
      </c>
      <c r="P51" s="31">
        <v>0.51724137931034486</v>
      </c>
    </row>
    <row r="52" spans="1:16" x14ac:dyDescent="0.4">
      <c r="A52" s="33">
        <v>49</v>
      </c>
      <c r="B52" s="30">
        <v>117.89999999999998</v>
      </c>
      <c r="C52" s="30">
        <v>2.4061224489795912</v>
      </c>
      <c r="D52" s="35">
        <v>1.9591836734693877</v>
      </c>
      <c r="E52" s="31">
        <v>0.40816326530612246</v>
      </c>
      <c r="F52" s="31">
        <v>0.36734693877551022</v>
      </c>
      <c r="G52" s="31">
        <v>0.29367088607594938</v>
      </c>
      <c r="H52" s="31">
        <v>0.16202531645569621</v>
      </c>
      <c r="I52" s="32">
        <v>10069.827586206897</v>
      </c>
      <c r="J52" s="32">
        <v>-9167.1875</v>
      </c>
      <c r="K52" s="31">
        <v>0.14285714285714285</v>
      </c>
      <c r="L52" s="31">
        <v>0.3721518987341772</v>
      </c>
      <c r="M52" s="31">
        <v>0.18734177215189873</v>
      </c>
      <c r="N52" s="31">
        <v>0.55102040816326525</v>
      </c>
      <c r="O52" s="31">
        <v>0.3108108108108108</v>
      </c>
      <c r="P52" s="31">
        <v>0.51724137931034486</v>
      </c>
    </row>
    <row r="53" spans="1:16" x14ac:dyDescent="0.4">
      <c r="A53" s="33">
        <v>50</v>
      </c>
      <c r="B53" s="30">
        <v>109.19999999999997</v>
      </c>
      <c r="C53" s="30">
        <v>2.1839999999999993</v>
      </c>
      <c r="D53" s="35">
        <v>1.96</v>
      </c>
      <c r="E53" s="31">
        <v>0.4</v>
      </c>
      <c r="F53" s="31">
        <v>0.36</v>
      </c>
      <c r="G53" s="31">
        <v>0.29207920792079206</v>
      </c>
      <c r="H53" s="31">
        <v>0.16336633663366337</v>
      </c>
      <c r="I53" s="32">
        <v>10022.881355932202</v>
      </c>
      <c r="J53" s="32">
        <v>-9122.7272727272721</v>
      </c>
      <c r="K53" s="31">
        <v>0.14000000000000001</v>
      </c>
      <c r="L53" s="31">
        <v>0.37376237623762376</v>
      </c>
      <c r="M53" s="31">
        <v>0.18316831683168316</v>
      </c>
      <c r="N53" s="31">
        <v>0.54966887417218546</v>
      </c>
      <c r="O53" s="31">
        <v>0.3108108108108108</v>
      </c>
      <c r="P53" s="31">
        <v>0.51694915254237284</v>
      </c>
    </row>
    <row r="54" spans="1:16" x14ac:dyDescent="0.4">
      <c r="A54" s="33">
        <v>51</v>
      </c>
      <c r="B54" s="30">
        <v>117.09999999999998</v>
      </c>
      <c r="C54" s="30">
        <v>2.2960784313725484</v>
      </c>
      <c r="D54" s="35">
        <v>1.9607843137254901</v>
      </c>
      <c r="E54" s="31">
        <v>0.39215686274509803</v>
      </c>
      <c r="F54" s="31">
        <v>0.35294117647058826</v>
      </c>
      <c r="G54" s="31">
        <v>0.29197080291970801</v>
      </c>
      <c r="H54" s="31">
        <v>0.16301703163017031</v>
      </c>
      <c r="I54" s="32">
        <v>10032.5</v>
      </c>
      <c r="J54" s="32">
        <v>-9105.9701492537315</v>
      </c>
      <c r="K54" s="31">
        <v>0.13725490196078433</v>
      </c>
      <c r="L54" s="31">
        <v>0.37226277372262773</v>
      </c>
      <c r="M54" s="31">
        <v>0.18248175182481752</v>
      </c>
      <c r="N54" s="31">
        <v>0.55555555555555558</v>
      </c>
      <c r="O54" s="31">
        <v>0.30666666666666664</v>
      </c>
      <c r="P54" s="31">
        <v>0.51666666666666672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D52E7-2D90-4C9C-9B21-F67D99A6598C}">
  <sheetPr codeName="Sheet6"/>
  <dimension ref="A1:Q10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 x14ac:dyDescent="0.4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 x14ac:dyDescent="0.4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 x14ac:dyDescent="0.4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 x14ac:dyDescent="0.4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 x14ac:dyDescent="0.4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 x14ac:dyDescent="0.4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 x14ac:dyDescent="0.4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 x14ac:dyDescent="0.4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 x14ac:dyDescent="0.4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 x14ac:dyDescent="0.4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 x14ac:dyDescent="0.4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0.296875</v>
      </c>
      <c r="H48" s="31">
        <v>0.16059027777777779</v>
      </c>
      <c r="I48" s="32">
        <v>8745.3216374269014</v>
      </c>
      <c r="J48" s="32">
        <v>-8346.4864864864867</v>
      </c>
      <c r="K48" s="31">
        <v>8.1481481481481488E-2</v>
      </c>
      <c r="L48" s="31">
        <v>0.32291666666666669</v>
      </c>
      <c r="M48" s="31">
        <v>0.18663194444444445</v>
      </c>
      <c r="N48" s="31">
        <v>0.55913978494623651</v>
      </c>
      <c r="O48" s="31">
        <v>0.38139534883720932</v>
      </c>
      <c r="P48" s="31">
        <v>0.45614035087719296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0.29535864978902954</v>
      </c>
      <c r="H49" s="31">
        <v>0.16286919831223629</v>
      </c>
      <c r="I49" s="32">
        <v>8701.1428571428569</v>
      </c>
      <c r="J49" s="32">
        <v>-8282.9015544041449</v>
      </c>
      <c r="K49" s="31">
        <v>8.6956521739130432E-2</v>
      </c>
      <c r="L49" s="31">
        <v>0.32151898734177214</v>
      </c>
      <c r="M49" s="31">
        <v>0.18481012658227849</v>
      </c>
      <c r="N49" s="31">
        <v>0.55643044619422577</v>
      </c>
      <c r="O49" s="31">
        <v>0.37442922374429222</v>
      </c>
      <c r="P49" s="31">
        <v>0.44571428571428573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0.29638752052545159</v>
      </c>
      <c r="H50" s="31">
        <v>0.16502463054187191</v>
      </c>
      <c r="I50" s="32">
        <v>8651.2465373961222</v>
      </c>
      <c r="J50" s="32">
        <v>-8150.746268656716</v>
      </c>
      <c r="K50" s="31">
        <v>8.5106382978723402E-2</v>
      </c>
      <c r="L50" s="31">
        <v>0.31773399014778325</v>
      </c>
      <c r="M50" s="31">
        <v>0.18390804597701149</v>
      </c>
      <c r="N50" s="31">
        <v>0.56072351421188626</v>
      </c>
      <c r="O50" s="31">
        <v>0.375</v>
      </c>
      <c r="P50" s="31">
        <v>0.44044321329639891</v>
      </c>
    </row>
    <row r="51" spans="1:16" x14ac:dyDescent="0.4">
      <c r="A51" s="33">
        <v>48</v>
      </c>
      <c r="B51" s="30">
        <v>-2.886579864025407E-15</v>
      </c>
      <c r="C51" s="30">
        <v>-2.0045693500176437E-17</v>
      </c>
      <c r="D51" s="35">
        <v>2</v>
      </c>
      <c r="E51" s="31">
        <v>0.33333333333333331</v>
      </c>
      <c r="F51" s="31">
        <v>0.33333333333333331</v>
      </c>
      <c r="G51" s="31">
        <v>0.29567307692307693</v>
      </c>
      <c r="H51" s="31">
        <v>0.16506410256410256</v>
      </c>
      <c r="I51" s="32">
        <v>8553.1165311653112</v>
      </c>
      <c r="J51" s="32">
        <v>-8069.4174757281553</v>
      </c>
      <c r="K51" s="31">
        <v>8.3333333333333329E-2</v>
      </c>
      <c r="L51" s="31">
        <v>0.31650641025641024</v>
      </c>
      <c r="M51" s="31">
        <v>0.18429487179487181</v>
      </c>
      <c r="N51" s="31">
        <v>0.55696202531645567</v>
      </c>
      <c r="O51" s="31">
        <v>0.37826086956521737</v>
      </c>
      <c r="P51" s="31">
        <v>0.43902439024390244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0.2964705882352941</v>
      </c>
      <c r="H52" s="31">
        <v>0.16549019607843138</v>
      </c>
      <c r="I52" s="32">
        <v>8515.8730158730159</v>
      </c>
      <c r="J52" s="32">
        <v>-8043.1279620853084</v>
      </c>
      <c r="K52" s="31">
        <v>8.1632653061224483E-2</v>
      </c>
      <c r="L52" s="31">
        <v>0.3192156862745098</v>
      </c>
      <c r="M52" s="31">
        <v>0.18509803921568627</v>
      </c>
      <c r="N52" s="31">
        <v>0.55282555282555279</v>
      </c>
      <c r="O52" s="31">
        <v>0.38135593220338981</v>
      </c>
      <c r="P52" s="31">
        <v>0.43915343915343913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0.2964669738863287</v>
      </c>
      <c r="H53" s="31">
        <v>0.1651305683563748</v>
      </c>
      <c r="I53" s="32">
        <v>8497.1502590673572</v>
      </c>
      <c r="J53" s="32">
        <v>-8039.0697674418607</v>
      </c>
      <c r="K53" s="31">
        <v>0.08</v>
      </c>
      <c r="L53" s="31">
        <v>0.32027649769585254</v>
      </c>
      <c r="M53" s="31">
        <v>0.18586789554531491</v>
      </c>
      <c r="N53" s="31">
        <v>0.5467625899280576</v>
      </c>
      <c r="O53" s="31">
        <v>0.38842975206611569</v>
      </c>
      <c r="P53" s="31">
        <v>0.44041450777202074</v>
      </c>
    </row>
    <row r="54" spans="1:16" x14ac:dyDescent="0.4">
      <c r="A54" s="33">
        <v>51</v>
      </c>
      <c r="B54" s="30">
        <v>0</v>
      </c>
      <c r="C54" s="30">
        <v>0</v>
      </c>
      <c r="D54" s="35">
        <v>2</v>
      </c>
      <c r="E54" s="31">
        <v>0.33333333333333331</v>
      </c>
      <c r="F54" s="31">
        <v>0.33333333333333331</v>
      </c>
      <c r="G54" s="31">
        <v>0.29705215419501135</v>
      </c>
      <c r="H54" s="31">
        <v>0.1655328798185941</v>
      </c>
      <c r="I54" s="32">
        <v>8457.7608142493646</v>
      </c>
      <c r="J54" s="32">
        <v>-7964.8401826484014</v>
      </c>
      <c r="K54" s="31">
        <v>7.8431372549019607E-2</v>
      </c>
      <c r="L54" s="31">
        <v>0.32048374905517762</v>
      </c>
      <c r="M54" s="31">
        <v>0.18594104308390022</v>
      </c>
      <c r="N54" s="31">
        <v>0.54716981132075471</v>
      </c>
      <c r="O54" s="31">
        <v>0.3902439024390244</v>
      </c>
      <c r="P54" s="31">
        <v>0.44020356234096691</v>
      </c>
    </row>
    <row r="55" spans="1:16" x14ac:dyDescent="0.4">
      <c r="A55" s="33">
        <v>52</v>
      </c>
      <c r="B55" s="30">
        <v>0</v>
      </c>
      <c r="C55" s="30">
        <v>0</v>
      </c>
      <c r="D55" s="35">
        <v>2</v>
      </c>
      <c r="E55" s="31">
        <v>0.33333333333333331</v>
      </c>
      <c r="F55" s="31">
        <v>0.33333333333333331</v>
      </c>
      <c r="G55" s="31">
        <v>0.29703703703703704</v>
      </c>
      <c r="H55" s="31">
        <v>0.16666666666666666</v>
      </c>
      <c r="I55" s="32">
        <v>8572.8179551122194</v>
      </c>
      <c r="J55" s="32">
        <v>-8098.2222222222226</v>
      </c>
      <c r="K55" s="31">
        <v>8.3333333333333329E-2</v>
      </c>
      <c r="L55" s="31">
        <v>0.32222222222222224</v>
      </c>
      <c r="M55" s="31">
        <v>0.18444444444444444</v>
      </c>
      <c r="N55" s="31">
        <v>0.54482758620689653</v>
      </c>
      <c r="O55" s="31">
        <v>0.38955823293172692</v>
      </c>
      <c r="P55" s="31">
        <v>0.43640897755610975</v>
      </c>
    </row>
    <row r="56" spans="1:16" x14ac:dyDescent="0.4">
      <c r="A56" s="33">
        <v>53</v>
      </c>
      <c r="B56" s="30">
        <v>-3.5527136788005009E-15</v>
      </c>
      <c r="C56" s="30">
        <v>-2.2344111187424535E-17</v>
      </c>
      <c r="D56" s="35">
        <v>2</v>
      </c>
      <c r="E56" s="31">
        <v>0.33333333333333331</v>
      </c>
      <c r="F56" s="31">
        <v>0.33333333333333331</v>
      </c>
      <c r="G56" s="31">
        <v>0.2975929978118162</v>
      </c>
      <c r="H56" s="31">
        <v>0.16776075857038658</v>
      </c>
      <c r="I56" s="32">
        <v>8541.176470588236</v>
      </c>
      <c r="J56" s="32">
        <v>-8068.260869565217</v>
      </c>
      <c r="K56" s="31">
        <v>8.1761006289308172E-2</v>
      </c>
      <c r="L56" s="31">
        <v>0.32093362509117435</v>
      </c>
      <c r="M56" s="31">
        <v>0.18453683442742524</v>
      </c>
      <c r="N56" s="31">
        <v>0.54545454545454541</v>
      </c>
      <c r="O56" s="31">
        <v>0.39130434782608697</v>
      </c>
      <c r="P56" s="31">
        <v>0.43382352941176472</v>
      </c>
    </row>
    <row r="57" spans="1:16" x14ac:dyDescent="0.4">
      <c r="A57" s="33">
        <v>54</v>
      </c>
      <c r="B57" s="30">
        <v>-3.5527136788005009E-15</v>
      </c>
      <c r="C57" s="30">
        <v>-2.1930331350620375E-17</v>
      </c>
      <c r="D57" s="35">
        <v>2</v>
      </c>
      <c r="E57" s="31">
        <v>0.33333333333333331</v>
      </c>
      <c r="F57" s="31">
        <v>0.33333333333333331</v>
      </c>
      <c r="G57" s="31">
        <v>0.29813218390804597</v>
      </c>
      <c r="H57" s="31">
        <v>0.16738505747126436</v>
      </c>
      <c r="I57" s="32">
        <v>8527.7108433734938</v>
      </c>
      <c r="J57" s="32">
        <v>-8076.8240343347643</v>
      </c>
      <c r="K57" s="31">
        <v>8.0246913580246909E-2</v>
      </c>
      <c r="L57" s="31">
        <v>0.32255747126436779</v>
      </c>
      <c r="M57" s="31">
        <v>0.1846264367816092</v>
      </c>
      <c r="N57" s="31">
        <v>0.54565701559020041</v>
      </c>
      <c r="O57" s="31">
        <v>0.39299610894941633</v>
      </c>
      <c r="P57" s="31">
        <v>0.43614457831325304</v>
      </c>
    </row>
    <row r="58" spans="1:16" x14ac:dyDescent="0.4">
      <c r="A58" s="33">
        <v>55</v>
      </c>
      <c r="B58" s="30">
        <v>3.5527136788005009E-15</v>
      </c>
      <c r="C58" s="30">
        <v>2.1531598053336369E-17</v>
      </c>
      <c r="D58" s="35">
        <v>2</v>
      </c>
      <c r="E58" s="31">
        <v>0.33333333333333331</v>
      </c>
      <c r="F58" s="31">
        <v>0.33333333333333331</v>
      </c>
      <c r="G58" s="31">
        <v>0.2980225988700565</v>
      </c>
      <c r="H58" s="31">
        <v>0.16596045197740114</v>
      </c>
      <c r="I58" s="32">
        <v>8558.5308056872036</v>
      </c>
      <c r="J58" s="32">
        <v>-8071.489361702128</v>
      </c>
      <c r="K58" s="31">
        <v>8.4848484848484854E-2</v>
      </c>
      <c r="L58" s="31">
        <v>0.32203389830508472</v>
      </c>
      <c r="M58" s="31">
        <v>0.18714689265536724</v>
      </c>
      <c r="N58" s="31">
        <v>0.54605263157894735</v>
      </c>
      <c r="O58" s="31">
        <v>0.38867924528301889</v>
      </c>
      <c r="P58" s="31">
        <v>0.44075829383886256</v>
      </c>
    </row>
    <row r="59" spans="1:16" x14ac:dyDescent="0.4">
      <c r="A59" s="33">
        <v>56</v>
      </c>
      <c r="B59" s="30">
        <v>0</v>
      </c>
      <c r="C59" s="30">
        <v>0</v>
      </c>
      <c r="D59" s="35">
        <v>2</v>
      </c>
      <c r="E59" s="31">
        <v>0.33333333333333331</v>
      </c>
      <c r="F59" s="31">
        <v>0.33333333333333331</v>
      </c>
      <c r="G59" s="31">
        <v>0.29846582984658299</v>
      </c>
      <c r="H59" s="31">
        <v>0.16527196652719664</v>
      </c>
      <c r="I59" s="32">
        <v>8552.336448598131</v>
      </c>
      <c r="J59" s="32">
        <v>-8146.835443037975</v>
      </c>
      <c r="K59" s="31">
        <v>8.3333333333333329E-2</v>
      </c>
      <c r="L59" s="31">
        <v>0.32357043235704325</v>
      </c>
      <c r="M59" s="31">
        <v>0.18619246861924685</v>
      </c>
      <c r="N59" s="31">
        <v>0.54741379310344829</v>
      </c>
      <c r="O59" s="31">
        <v>0.38576779026217228</v>
      </c>
      <c r="P59" s="31">
        <v>0.44392523364485981</v>
      </c>
    </row>
    <row r="60" spans="1:16" x14ac:dyDescent="0.4">
      <c r="A60" s="33">
        <v>57</v>
      </c>
      <c r="B60" s="30">
        <v>0</v>
      </c>
      <c r="C60" s="30">
        <v>0</v>
      </c>
      <c r="D60" s="35">
        <v>2</v>
      </c>
      <c r="E60" s="31">
        <v>0.33333333333333331</v>
      </c>
      <c r="F60" s="31">
        <v>0.33333333333333331</v>
      </c>
      <c r="G60" s="31">
        <v>0.29882677708764666</v>
      </c>
      <c r="H60" s="31">
        <v>0.16494133885438234</v>
      </c>
      <c r="I60" s="32">
        <v>8575.0577367205551</v>
      </c>
      <c r="J60" s="32">
        <v>-8134.3096234309623</v>
      </c>
      <c r="K60" s="31">
        <v>8.771929824561403E-2</v>
      </c>
      <c r="L60" s="31">
        <v>0.32505175983436851</v>
      </c>
      <c r="M60" s="31">
        <v>0.18495514147688061</v>
      </c>
      <c r="N60" s="31">
        <v>0.54989384288747345</v>
      </c>
      <c r="O60" s="31">
        <v>0.38432835820895522</v>
      </c>
      <c r="P60" s="31">
        <v>0.44572748267898382</v>
      </c>
    </row>
    <row r="61" spans="1:16" x14ac:dyDescent="0.4">
      <c r="A61" s="33">
        <v>58</v>
      </c>
      <c r="B61" s="30">
        <v>0</v>
      </c>
      <c r="C61" s="30">
        <v>0</v>
      </c>
      <c r="D61" s="35">
        <v>2</v>
      </c>
      <c r="E61" s="31">
        <v>0.33333333333333331</v>
      </c>
      <c r="F61" s="31">
        <v>0.33333333333333331</v>
      </c>
      <c r="G61" s="31">
        <v>0.29863945578231293</v>
      </c>
      <c r="H61" s="31">
        <v>0.1653061224489796</v>
      </c>
      <c r="I61" s="32">
        <v>8576.0820045558085</v>
      </c>
      <c r="J61" s="32">
        <v>-8196.707818930041</v>
      </c>
      <c r="K61" s="31">
        <v>8.6206896551724144E-2</v>
      </c>
      <c r="L61" s="31">
        <v>0.32380952380952382</v>
      </c>
      <c r="M61" s="31">
        <v>0.18367346938775511</v>
      </c>
      <c r="N61" s="31">
        <v>0.54831932773109249</v>
      </c>
      <c r="O61" s="31">
        <v>0.38518518518518519</v>
      </c>
      <c r="P61" s="31">
        <v>0.44419134396355353</v>
      </c>
    </row>
    <row r="62" spans="1:16" x14ac:dyDescent="0.4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0.29852744310575635</v>
      </c>
      <c r="H62" s="31">
        <v>0.16331994645247658</v>
      </c>
      <c r="I62" s="32">
        <v>8682.0627802690578</v>
      </c>
      <c r="J62" s="32">
        <v>-8171.311475409836</v>
      </c>
      <c r="K62" s="31">
        <v>9.03954802259887E-2</v>
      </c>
      <c r="L62" s="31">
        <v>0.3253012048192771</v>
      </c>
      <c r="M62" s="31">
        <v>0.18273092369477911</v>
      </c>
      <c r="N62" s="31">
        <v>0.54526748971193417</v>
      </c>
      <c r="O62" s="31">
        <v>0.38827838827838829</v>
      </c>
      <c r="P62" s="31">
        <v>0.45067264573991034</v>
      </c>
    </row>
    <row r="63" spans="1:16" x14ac:dyDescent="0.4">
      <c r="A63" s="33">
        <v>60</v>
      </c>
      <c r="B63" s="30">
        <v>0</v>
      </c>
      <c r="C63" s="30">
        <v>0</v>
      </c>
      <c r="D63" s="35">
        <v>2</v>
      </c>
      <c r="E63" s="31">
        <v>0.33333333333333331</v>
      </c>
      <c r="F63" s="31">
        <v>0.33333333333333331</v>
      </c>
      <c r="G63" s="31">
        <v>0.29828042328042326</v>
      </c>
      <c r="H63" s="31">
        <v>0.16137566137566137</v>
      </c>
      <c r="I63" s="32">
        <v>8701.1086474501117</v>
      </c>
      <c r="J63" s="32">
        <v>-8171.311475409836</v>
      </c>
      <c r="K63" s="31">
        <v>8.8888888888888892E-2</v>
      </c>
      <c r="L63" s="31">
        <v>0.32275132275132273</v>
      </c>
      <c r="M63" s="31">
        <v>0.18386243386243387</v>
      </c>
      <c r="N63" s="31">
        <v>0.54508196721311475</v>
      </c>
      <c r="O63" s="31">
        <v>0.38848920863309355</v>
      </c>
      <c r="P63" s="31">
        <v>0.4567627494456763</v>
      </c>
    </row>
    <row r="64" spans="1:16" x14ac:dyDescent="0.4">
      <c r="A64" s="33">
        <v>61</v>
      </c>
      <c r="B64" s="30">
        <v>1.4210854715202004E-14</v>
      </c>
      <c r="C64" s="30">
        <v>7.7654943798918053E-17</v>
      </c>
      <c r="D64" s="35">
        <v>2</v>
      </c>
      <c r="E64" s="31">
        <v>0.33333333333333331</v>
      </c>
      <c r="F64" s="31">
        <v>0.33333333333333331</v>
      </c>
      <c r="G64" s="31">
        <v>0.29803921568627451</v>
      </c>
      <c r="H64" s="31">
        <v>0.16078431372549021</v>
      </c>
      <c r="I64" s="32">
        <v>8785.0877192982462</v>
      </c>
      <c r="J64" s="32">
        <v>-8310.5691056910564</v>
      </c>
      <c r="K64" s="31">
        <v>9.2896174863387984E-2</v>
      </c>
      <c r="L64" s="31">
        <v>0.3202614379084967</v>
      </c>
      <c r="M64" s="31">
        <v>0.18627450980392157</v>
      </c>
      <c r="N64" s="31">
        <v>0.54285714285714282</v>
      </c>
      <c r="O64" s="31">
        <v>0.38596491228070173</v>
      </c>
      <c r="P64" s="31">
        <v>0.45833333333333331</v>
      </c>
    </row>
    <row r="65" spans="1:16" x14ac:dyDescent="0.4">
      <c r="A65" s="33">
        <v>62</v>
      </c>
      <c r="B65" s="30">
        <v>1.1990408665951691E-14</v>
      </c>
      <c r="C65" s="30">
        <v>6.4464562720170384E-17</v>
      </c>
      <c r="D65" s="35">
        <v>2</v>
      </c>
      <c r="E65" s="31">
        <v>0.33333333333333331</v>
      </c>
      <c r="F65" s="31">
        <v>0.33333333333333331</v>
      </c>
      <c r="G65" s="31">
        <v>0.29858429858429858</v>
      </c>
      <c r="H65" s="31">
        <v>0.15958815958815958</v>
      </c>
      <c r="I65" s="32">
        <v>8752.1551724137935</v>
      </c>
      <c r="J65" s="32">
        <v>-8261.2903225806458</v>
      </c>
      <c r="K65" s="31">
        <v>9.1397849462365593E-2</v>
      </c>
      <c r="L65" s="31">
        <v>0.32046332046332049</v>
      </c>
      <c r="M65" s="31">
        <v>0.18532818532818532</v>
      </c>
      <c r="N65" s="31">
        <v>0.54417670682730923</v>
      </c>
      <c r="O65" s="31">
        <v>0.38541666666666669</v>
      </c>
      <c r="P65" s="31">
        <v>0.46336206896551724</v>
      </c>
    </row>
    <row r="66" spans="1:16" x14ac:dyDescent="0.4">
      <c r="A66" s="33">
        <v>63</v>
      </c>
      <c r="B66" s="30">
        <v>1.0658141036401503E-14</v>
      </c>
      <c r="C66" s="30">
        <v>5.6392280615880964E-17</v>
      </c>
      <c r="D66" s="35">
        <v>2</v>
      </c>
      <c r="E66" s="31">
        <v>0.33333333333333331</v>
      </c>
      <c r="F66" s="31">
        <v>0.33333333333333331</v>
      </c>
      <c r="G66" s="31">
        <v>0.29937106918238993</v>
      </c>
      <c r="H66" s="31">
        <v>0.15974842767295597</v>
      </c>
      <c r="I66" s="32">
        <v>8809.4537815126059</v>
      </c>
      <c r="J66" s="32">
        <v>-8328.3464566929142</v>
      </c>
      <c r="K66" s="31">
        <v>9.5238095238095233E-2</v>
      </c>
      <c r="L66" s="31">
        <v>0.320125786163522</v>
      </c>
      <c r="M66" s="31">
        <v>0.18553459119496854</v>
      </c>
      <c r="N66" s="31">
        <v>0.5461689587426326</v>
      </c>
      <c r="O66" s="31">
        <v>0.38305084745762713</v>
      </c>
      <c r="P66" s="31">
        <v>0.46218487394957986</v>
      </c>
    </row>
    <row r="67" spans="1:16" x14ac:dyDescent="0.4">
      <c r="A67" s="33">
        <v>64</v>
      </c>
      <c r="B67" s="30">
        <v>1.4210854715202004E-14</v>
      </c>
      <c r="C67" s="30">
        <v>7.4014868308343765E-17</v>
      </c>
      <c r="D67" s="35">
        <v>2</v>
      </c>
      <c r="E67" s="31">
        <v>0.33333333333333331</v>
      </c>
      <c r="F67" s="31">
        <v>0.33333333333333331</v>
      </c>
      <c r="G67" s="31">
        <v>0.29938271604938271</v>
      </c>
      <c r="H67" s="31">
        <v>0.15987654320987654</v>
      </c>
      <c r="I67" s="32">
        <v>8765.3608247422671</v>
      </c>
      <c r="J67" s="32">
        <v>-8281.4671814671819</v>
      </c>
      <c r="K67" s="31">
        <v>9.8958333333333329E-2</v>
      </c>
      <c r="L67" s="31">
        <v>0.31913580246913581</v>
      </c>
      <c r="M67" s="31">
        <v>0.18641975308641975</v>
      </c>
      <c r="N67" s="31">
        <v>0.54738878143133463</v>
      </c>
      <c r="O67" s="31">
        <v>0.38741721854304634</v>
      </c>
      <c r="P67" s="31">
        <v>0.46185567010309281</v>
      </c>
    </row>
    <row r="68" spans="1:16" x14ac:dyDescent="0.4">
      <c r="A68" s="33">
        <v>65</v>
      </c>
      <c r="B68" s="30">
        <v>1.4210854715202004E-14</v>
      </c>
      <c r="C68" s="30">
        <v>7.2876178026676942E-17</v>
      </c>
      <c r="D68" s="35">
        <v>2</v>
      </c>
      <c r="E68" s="31">
        <v>0.33333333333333331</v>
      </c>
      <c r="F68" s="31">
        <v>0.33333333333333331</v>
      </c>
      <c r="G68" s="31">
        <v>0.29927007299270075</v>
      </c>
      <c r="H68" s="31">
        <v>0.15997566909975669</v>
      </c>
      <c r="I68" s="32">
        <v>8723.3739837398371</v>
      </c>
      <c r="J68" s="32">
        <v>-8250.1901140684404</v>
      </c>
      <c r="K68" s="31">
        <v>9.7435897435897437E-2</v>
      </c>
      <c r="L68" s="31">
        <v>0.31690997566909973</v>
      </c>
      <c r="M68" s="31">
        <v>0.18734793187347931</v>
      </c>
      <c r="N68" s="31">
        <v>0.54894433781190022</v>
      </c>
      <c r="O68" s="31">
        <v>0.39285714285714285</v>
      </c>
      <c r="P68" s="31">
        <v>0.4613821138211382</v>
      </c>
    </row>
    <row r="69" spans="1:16" x14ac:dyDescent="0.4">
      <c r="A69" s="33">
        <v>66</v>
      </c>
      <c r="B69" s="30">
        <v>1.4210854715202004E-14</v>
      </c>
      <c r="C69" s="30">
        <v>7.1771993511121237E-17</v>
      </c>
      <c r="D69" s="35">
        <v>2</v>
      </c>
      <c r="E69" s="31">
        <v>0.33333333333333331</v>
      </c>
      <c r="F69" s="31">
        <v>0.33333333333333331</v>
      </c>
      <c r="G69" s="31">
        <v>0.29695885509838998</v>
      </c>
      <c r="H69" s="31">
        <v>0.15861657722122838</v>
      </c>
      <c r="I69" s="32">
        <v>8666.6666666666661</v>
      </c>
      <c r="J69" s="32">
        <v>-8183.082706766917</v>
      </c>
      <c r="K69" s="31">
        <v>9.5959595959595953E-2</v>
      </c>
      <c r="L69" s="31">
        <v>0.31663685152057247</v>
      </c>
      <c r="M69" s="31">
        <v>0.18545020870602266</v>
      </c>
      <c r="N69" s="31">
        <v>0.54613935969868177</v>
      </c>
      <c r="O69" s="31">
        <v>0.39549839228295819</v>
      </c>
      <c r="P69" s="31">
        <v>0.46184738955823296</v>
      </c>
    </row>
    <row r="70" spans="1:16" x14ac:dyDescent="0.4">
      <c r="A70" s="33">
        <v>67</v>
      </c>
      <c r="B70" s="30">
        <v>0</v>
      </c>
      <c r="C70" s="30">
        <v>0</v>
      </c>
      <c r="D70" s="35">
        <v>2</v>
      </c>
      <c r="E70" s="31">
        <v>0.33333333333333331</v>
      </c>
      <c r="F70" s="31">
        <v>0.33333333333333331</v>
      </c>
      <c r="G70" s="31">
        <v>0.29734513274336283</v>
      </c>
      <c r="H70" s="31">
        <v>0.15929203539823009</v>
      </c>
      <c r="I70" s="32">
        <v>8738.8888888888887</v>
      </c>
      <c r="J70" s="32">
        <v>-8226.2962962962956</v>
      </c>
      <c r="K70" s="31">
        <v>9.950248756218906E-2</v>
      </c>
      <c r="L70" s="31">
        <v>0.31622418879056047</v>
      </c>
      <c r="M70" s="31">
        <v>0.18525073746312684</v>
      </c>
      <c r="N70" s="31">
        <v>0.54664179104477617</v>
      </c>
      <c r="O70" s="31">
        <v>0.39808917197452232</v>
      </c>
      <c r="P70" s="31">
        <v>0.46031746031746029</v>
      </c>
    </row>
    <row r="71" spans="1:16" x14ac:dyDescent="0.4">
      <c r="A71" s="33">
        <v>68</v>
      </c>
      <c r="B71" s="30">
        <v>0</v>
      </c>
      <c r="C71" s="30">
        <v>0</v>
      </c>
      <c r="D71" s="35">
        <v>2</v>
      </c>
      <c r="E71" s="31">
        <v>0.33333333333333331</v>
      </c>
      <c r="F71" s="31">
        <v>0.33333333333333331</v>
      </c>
      <c r="G71" s="31">
        <v>0.29668411867364747</v>
      </c>
      <c r="H71" s="31">
        <v>0.15939499709133217</v>
      </c>
      <c r="I71" s="32">
        <v>8751.7647058823532</v>
      </c>
      <c r="J71" s="32">
        <v>-8249.6350364963509</v>
      </c>
      <c r="K71" s="31">
        <v>9.8039215686274508E-2</v>
      </c>
      <c r="L71" s="31">
        <v>0.31529959278650377</v>
      </c>
      <c r="M71" s="31">
        <v>0.18499127399650961</v>
      </c>
      <c r="N71" s="31">
        <v>0.54612546125461259</v>
      </c>
      <c r="O71" s="31">
        <v>0.39937106918238996</v>
      </c>
      <c r="P71" s="31">
        <v>0.45882352941176469</v>
      </c>
    </row>
    <row r="72" spans="1:16" x14ac:dyDescent="0.4">
      <c r="A72" s="33">
        <v>69</v>
      </c>
      <c r="B72" s="30">
        <v>0</v>
      </c>
      <c r="C72" s="30">
        <v>0</v>
      </c>
      <c r="D72" s="35">
        <v>2</v>
      </c>
      <c r="E72" s="31">
        <v>0.33333333333333331</v>
      </c>
      <c r="F72" s="31">
        <v>0.33333333333333331</v>
      </c>
      <c r="G72" s="31">
        <v>0.29553264604810997</v>
      </c>
      <c r="H72" s="31">
        <v>0.15807560137457044</v>
      </c>
      <c r="I72" s="32">
        <v>8791.0852713178301</v>
      </c>
      <c r="J72" s="32">
        <v>-8262.31884057971</v>
      </c>
      <c r="K72" s="31">
        <v>9.6618357487922704E-2</v>
      </c>
      <c r="L72" s="31">
        <v>0.31500572737686139</v>
      </c>
      <c r="M72" s="31">
        <v>0.18442153493699887</v>
      </c>
      <c r="N72" s="31">
        <v>0.54545454545454541</v>
      </c>
      <c r="O72" s="31">
        <v>0.40062111801242234</v>
      </c>
      <c r="P72" s="31">
        <v>0.46124031007751937</v>
      </c>
    </row>
    <row r="73" spans="1:16" x14ac:dyDescent="0.4">
      <c r="A73" s="33">
        <v>70</v>
      </c>
      <c r="B73" s="30">
        <v>0</v>
      </c>
      <c r="C73" s="30">
        <v>0</v>
      </c>
      <c r="D73" s="35">
        <v>2</v>
      </c>
      <c r="E73" s="31">
        <v>0.33333333333333331</v>
      </c>
      <c r="F73" s="31">
        <v>0.33333333333333331</v>
      </c>
      <c r="G73" s="31">
        <v>0.29604519774011301</v>
      </c>
      <c r="H73" s="31">
        <v>0.15875706214689267</v>
      </c>
      <c r="I73" s="32">
        <v>8777.480916030534</v>
      </c>
      <c r="J73" s="32">
        <v>-8266.1921708185055</v>
      </c>
      <c r="K73" s="31">
        <v>9.5238095238095233E-2</v>
      </c>
      <c r="L73" s="31">
        <v>0.31242937853107344</v>
      </c>
      <c r="M73" s="31">
        <v>0.18587570621468927</v>
      </c>
      <c r="N73" s="31">
        <v>0.54792043399638335</v>
      </c>
      <c r="O73" s="31">
        <v>0.3981762917933131</v>
      </c>
      <c r="P73" s="31">
        <v>0.45992366412213742</v>
      </c>
    </row>
    <row r="74" spans="1:16" x14ac:dyDescent="0.4">
      <c r="A74" s="33">
        <v>71</v>
      </c>
      <c r="B74" s="30">
        <v>0</v>
      </c>
      <c r="C74" s="30">
        <v>0</v>
      </c>
      <c r="D74" s="35">
        <v>2</v>
      </c>
      <c r="E74" s="31">
        <v>0.33333333333333331</v>
      </c>
      <c r="F74" s="31">
        <v>0.33333333333333331</v>
      </c>
      <c r="G74" s="31">
        <v>0.29506378258458127</v>
      </c>
      <c r="H74" s="31">
        <v>0.15751525235718247</v>
      </c>
      <c r="I74" s="32">
        <v>8790.2255639097748</v>
      </c>
      <c r="J74" s="32">
        <v>-8287.6760563380285</v>
      </c>
      <c r="K74" s="31">
        <v>9.3896713615023469E-2</v>
      </c>
      <c r="L74" s="31">
        <v>0.31336661120354964</v>
      </c>
      <c r="M74" s="31">
        <v>0.18524681087077094</v>
      </c>
      <c r="N74" s="31">
        <v>0.54336283185840706</v>
      </c>
      <c r="O74" s="31">
        <v>0.39820359281437123</v>
      </c>
      <c r="P74" s="31">
        <v>0.46240601503759399</v>
      </c>
    </row>
    <row r="75" spans="1:16" x14ac:dyDescent="0.4">
      <c r="A75" s="33">
        <v>72</v>
      </c>
      <c r="B75" s="30">
        <v>7.1054273576010019E-15</v>
      </c>
      <c r="C75" s="30">
        <v>3.2895497025930562E-17</v>
      </c>
      <c r="D75" s="35">
        <v>2</v>
      </c>
      <c r="E75" s="31">
        <v>0.33333333333333331</v>
      </c>
      <c r="F75" s="31">
        <v>0.33333333333333331</v>
      </c>
      <c r="G75" s="31">
        <v>0.29459901800327332</v>
      </c>
      <c r="H75" s="31">
        <v>0.15657392253136934</v>
      </c>
      <c r="I75" s="32">
        <v>8884.0740740740748</v>
      </c>
      <c r="J75" s="32">
        <v>-8421.254355400697</v>
      </c>
      <c r="K75" s="31">
        <v>9.7222222222222224E-2</v>
      </c>
      <c r="L75" s="31">
        <v>0.31369339879978175</v>
      </c>
      <c r="M75" s="31">
        <v>0.18439716312056736</v>
      </c>
      <c r="N75" s="31">
        <v>0.54260869565217396</v>
      </c>
      <c r="O75" s="31">
        <v>0.39940828402366862</v>
      </c>
      <c r="P75" s="31">
        <v>0.46481481481481479</v>
      </c>
    </row>
    <row r="76" spans="1:16" x14ac:dyDescent="0.4">
      <c r="A76" s="33">
        <v>73</v>
      </c>
      <c r="B76" s="30">
        <v>7.1054273576010019E-15</v>
      </c>
      <c r="C76" s="30">
        <v>3.2444873779000007E-17</v>
      </c>
      <c r="D76" s="35">
        <v>2</v>
      </c>
      <c r="E76" s="31">
        <v>0.33333333333333331</v>
      </c>
      <c r="F76" s="31">
        <v>0.33333333333333331</v>
      </c>
      <c r="G76" s="31">
        <v>0.29472539423599781</v>
      </c>
      <c r="H76" s="31">
        <v>0.15660685154975529</v>
      </c>
      <c r="I76" s="32">
        <v>8939.8523985239844</v>
      </c>
      <c r="J76" s="32">
        <v>-8503.125</v>
      </c>
      <c r="K76" s="31">
        <v>0.1004566210045662</v>
      </c>
      <c r="L76" s="31">
        <v>0.31430125067971726</v>
      </c>
      <c r="M76" s="31">
        <v>0.18433931484502447</v>
      </c>
      <c r="N76" s="31">
        <v>0.54152249134948094</v>
      </c>
      <c r="O76" s="31">
        <v>0.40117994100294985</v>
      </c>
      <c r="P76" s="31">
        <v>0.46494464944649444</v>
      </c>
    </row>
    <row r="77" spans="1:16" x14ac:dyDescent="0.4">
      <c r="A77" s="33">
        <v>74</v>
      </c>
      <c r="B77" s="30">
        <v>9.3258734068513149E-15</v>
      </c>
      <c r="C77" s="30">
        <v>4.200843876960052E-17</v>
      </c>
      <c r="D77" s="35">
        <v>2</v>
      </c>
      <c r="E77" s="31">
        <v>0.33333333333333331</v>
      </c>
      <c r="F77" s="31">
        <v>0.33333333333333331</v>
      </c>
      <c r="G77" s="31">
        <v>0.29509962304792675</v>
      </c>
      <c r="H77" s="31">
        <v>0.15616585891222401</v>
      </c>
      <c r="I77" s="32">
        <v>8926.094890510949</v>
      </c>
      <c r="J77" s="32">
        <v>-8455.8620689655181</v>
      </c>
      <c r="K77" s="31">
        <v>9.90990990990991E-2</v>
      </c>
      <c r="L77" s="31">
        <v>0.31340872374798062</v>
      </c>
      <c r="M77" s="31">
        <v>0.18255250403877221</v>
      </c>
      <c r="N77" s="31">
        <v>0.54295532646048106</v>
      </c>
      <c r="O77" s="31">
        <v>0.40117994100294985</v>
      </c>
      <c r="P77" s="31">
        <v>0.46715328467153283</v>
      </c>
    </row>
    <row r="78" spans="1:16" x14ac:dyDescent="0.4">
      <c r="A78" s="33">
        <v>75</v>
      </c>
      <c r="B78" s="30">
        <v>7.1054273576010019E-15</v>
      </c>
      <c r="C78" s="30">
        <v>3.1579677144893342E-17</v>
      </c>
      <c r="D78" s="35">
        <v>2</v>
      </c>
      <c r="E78" s="31">
        <v>0.33333333333333331</v>
      </c>
      <c r="F78" s="31">
        <v>0.33333333333333331</v>
      </c>
      <c r="G78" s="31">
        <v>0.2944621938232162</v>
      </c>
      <c r="H78" s="31">
        <v>0.15708200212992546</v>
      </c>
      <c r="I78" s="32">
        <v>8921.518987341773</v>
      </c>
      <c r="J78" s="32">
        <v>-8455.2542372881362</v>
      </c>
      <c r="K78" s="31">
        <v>0.10222222222222223</v>
      </c>
      <c r="L78" s="31">
        <v>0.31256656017039403</v>
      </c>
      <c r="M78" s="31">
        <v>0.18317358892438765</v>
      </c>
      <c r="N78" s="31">
        <v>0.54003407155025551</v>
      </c>
      <c r="O78" s="31">
        <v>0.40406976744186046</v>
      </c>
      <c r="P78" s="31">
        <v>0.46292947558770342</v>
      </c>
    </row>
    <row r="79" spans="1:16" x14ac:dyDescent="0.4">
      <c r="A79" s="33">
        <v>76</v>
      </c>
      <c r="B79" s="30">
        <v>3.5527136788005009E-15</v>
      </c>
      <c r="C79" s="30">
        <v>1.5582077538598687E-17</v>
      </c>
      <c r="D79" s="35">
        <v>2</v>
      </c>
      <c r="E79" s="31">
        <v>0.33333333333333331</v>
      </c>
      <c r="F79" s="31">
        <v>0.33333333333333331</v>
      </c>
      <c r="G79" s="31">
        <v>0.29448818897637796</v>
      </c>
      <c r="H79" s="31">
        <v>0.15695538057742783</v>
      </c>
      <c r="I79" s="32">
        <v>8956.5062388591796</v>
      </c>
      <c r="J79" s="32">
        <v>-8556.1872909698995</v>
      </c>
      <c r="K79" s="31">
        <v>0.10526315789473684</v>
      </c>
      <c r="L79" s="31">
        <v>0.31181102362204727</v>
      </c>
      <c r="M79" s="31">
        <v>0.18162729658792651</v>
      </c>
      <c r="N79" s="31">
        <v>0.54377104377104379</v>
      </c>
      <c r="O79" s="31">
        <v>0.40173410404624277</v>
      </c>
      <c r="P79" s="31">
        <v>0.46345811051693403</v>
      </c>
    </row>
    <row r="80" spans="1:16" x14ac:dyDescent="0.4">
      <c r="A80" s="33">
        <v>77</v>
      </c>
      <c r="B80" s="30">
        <v>7.1054273576010019E-15</v>
      </c>
      <c r="C80" s="30">
        <v>3.0759425790480528E-17</v>
      </c>
      <c r="D80" s="35">
        <v>2</v>
      </c>
      <c r="E80" s="31">
        <v>0.33333333333333331</v>
      </c>
      <c r="F80" s="31">
        <v>0.33333333333333331</v>
      </c>
      <c r="G80" s="31">
        <v>0.29381175247009883</v>
      </c>
      <c r="H80" s="31">
        <v>0.15600624024960999</v>
      </c>
      <c r="I80" s="32">
        <v>9004.6017699115037</v>
      </c>
      <c r="J80" s="32">
        <v>-8566.3333333333339</v>
      </c>
      <c r="K80" s="31">
        <v>0.10822510822510822</v>
      </c>
      <c r="L80" s="31">
        <v>0.31201248049921998</v>
      </c>
      <c r="M80" s="31">
        <v>0.18148725949037961</v>
      </c>
      <c r="N80" s="31">
        <v>0.54166666666666663</v>
      </c>
      <c r="O80" s="31">
        <v>0.4040114613180516</v>
      </c>
      <c r="P80" s="31">
        <v>0.46548672566371679</v>
      </c>
    </row>
    <row r="81" spans="1:16" x14ac:dyDescent="0.4">
      <c r="A81" s="33">
        <v>78</v>
      </c>
      <c r="B81" s="30">
        <v>7.1054273576010019E-15</v>
      </c>
      <c r="C81" s="30">
        <v>3.0365074177782062E-17</v>
      </c>
      <c r="D81" s="35">
        <v>2</v>
      </c>
      <c r="E81" s="31">
        <v>0.33333333333333331</v>
      </c>
      <c r="F81" s="31">
        <v>0.33333333333333331</v>
      </c>
      <c r="G81" s="31">
        <v>0.2936630602782071</v>
      </c>
      <c r="H81" s="31">
        <v>0.1566202988150438</v>
      </c>
      <c r="I81" s="32">
        <v>8969.8245614035095</v>
      </c>
      <c r="J81" s="32">
        <v>-8531.25</v>
      </c>
      <c r="K81" s="31">
        <v>0.10683760683760683</v>
      </c>
      <c r="L81" s="31">
        <v>0.31117980422462649</v>
      </c>
      <c r="M81" s="31">
        <v>0.18238021638330756</v>
      </c>
      <c r="N81" s="31">
        <v>0.54139072847682124</v>
      </c>
      <c r="O81" s="31">
        <v>0.403954802259887</v>
      </c>
      <c r="P81" s="31">
        <v>0.4631578947368421</v>
      </c>
    </row>
    <row r="82" spans="1:16" x14ac:dyDescent="0.4">
      <c r="A82" s="33">
        <v>79</v>
      </c>
      <c r="B82" s="30">
        <v>1.4210854715202004E-14</v>
      </c>
      <c r="C82" s="30">
        <v>5.996141230043039E-17</v>
      </c>
      <c r="D82" s="35">
        <v>2</v>
      </c>
      <c r="E82" s="31">
        <v>0.33333333333333331</v>
      </c>
      <c r="F82" s="31">
        <v>0.33333333333333331</v>
      </c>
      <c r="G82" s="31">
        <v>0.29306829765545361</v>
      </c>
      <c r="H82" s="31">
        <v>0.15545361875637104</v>
      </c>
      <c r="I82" s="32">
        <v>9002.434782608696</v>
      </c>
      <c r="J82" s="32">
        <v>-8529.5081967213118</v>
      </c>
      <c r="K82" s="31">
        <v>0.10548523206751055</v>
      </c>
      <c r="L82" s="31">
        <v>0.31090723751274207</v>
      </c>
      <c r="M82" s="31">
        <v>0.1834862385321101</v>
      </c>
      <c r="N82" s="31">
        <v>0.54262295081967216</v>
      </c>
      <c r="O82" s="31">
        <v>0.3972222222222222</v>
      </c>
      <c r="P82" s="31">
        <v>0.46608695652173915</v>
      </c>
    </row>
    <row r="83" spans="1:16" x14ac:dyDescent="0.4">
      <c r="A83" s="33">
        <v>80</v>
      </c>
      <c r="B83" s="30">
        <v>1.9872992140790302E-14</v>
      </c>
      <c r="C83" s="30">
        <v>8.2804133919959594E-17</v>
      </c>
      <c r="D83" s="35">
        <v>2</v>
      </c>
      <c r="E83" s="31">
        <v>0.33333333333333331</v>
      </c>
      <c r="F83" s="31">
        <v>0.33333333333333331</v>
      </c>
      <c r="G83" s="31">
        <v>0.29248613212304592</v>
      </c>
      <c r="H83" s="31">
        <v>0.15532022188603126</v>
      </c>
      <c r="I83" s="32">
        <v>9015.5172413793098</v>
      </c>
      <c r="J83" s="32">
        <v>-8539.2857142857138</v>
      </c>
      <c r="K83" s="31">
        <v>0.10833333333333334</v>
      </c>
      <c r="L83" s="31">
        <v>0.31064044377206251</v>
      </c>
      <c r="M83" s="31">
        <v>0.18406454866364094</v>
      </c>
      <c r="N83" s="31">
        <v>0.54383116883116878</v>
      </c>
      <c r="O83" s="31">
        <v>0.39452054794520547</v>
      </c>
      <c r="P83" s="31">
        <v>0.46551724137931033</v>
      </c>
    </row>
    <row r="84" spans="1:16" x14ac:dyDescent="0.4">
      <c r="A84" s="33">
        <v>81</v>
      </c>
      <c r="B84" s="30">
        <v>1.9984014443252818E-14</v>
      </c>
      <c r="C84" s="30">
        <v>8.2238742564826406E-17</v>
      </c>
      <c r="D84" s="35">
        <v>2</v>
      </c>
      <c r="E84" s="31">
        <v>0.33333333333333331</v>
      </c>
      <c r="F84" s="31">
        <v>0.33333333333333331</v>
      </c>
      <c r="G84" s="31">
        <v>0.29247633283507724</v>
      </c>
      <c r="H84" s="31">
        <v>0.15495764823119082</v>
      </c>
      <c r="I84" s="32">
        <v>9040.2044293015333</v>
      </c>
      <c r="J84" s="32">
        <v>-8572.6688102893895</v>
      </c>
      <c r="K84" s="31">
        <v>0.10699588477366255</v>
      </c>
      <c r="L84" s="31">
        <v>0.31041355256601894</v>
      </c>
      <c r="M84" s="31">
        <v>0.1833582461385152</v>
      </c>
      <c r="N84" s="31">
        <v>0.5457463884430177</v>
      </c>
      <c r="O84" s="31">
        <v>0.39402173913043476</v>
      </c>
      <c r="P84" s="31">
        <v>0.46678023850085176</v>
      </c>
    </row>
    <row r="85" spans="1:16" x14ac:dyDescent="0.4">
      <c r="A85" s="33">
        <v>82</v>
      </c>
      <c r="B85" s="30">
        <v>1.5987211554602254E-14</v>
      </c>
      <c r="C85" s="30">
        <v>6.498866485610672E-17</v>
      </c>
      <c r="D85" s="35">
        <v>2</v>
      </c>
      <c r="E85" s="31">
        <v>0.33333333333333331</v>
      </c>
      <c r="F85" s="31">
        <v>0.33333333333333331</v>
      </c>
      <c r="G85" s="31">
        <v>0.29191321499013806</v>
      </c>
      <c r="H85" s="31">
        <v>0.15433925049309666</v>
      </c>
      <c r="I85" s="32">
        <v>9022.635135135135</v>
      </c>
      <c r="J85" s="32">
        <v>-8594.5686900958463</v>
      </c>
      <c r="K85" s="31">
        <v>0.10569105691056911</v>
      </c>
      <c r="L85" s="31">
        <v>0.31163708086785008</v>
      </c>
      <c r="M85" s="31">
        <v>0.18293885601577908</v>
      </c>
      <c r="N85" s="31">
        <v>0.54430379746835444</v>
      </c>
      <c r="O85" s="31">
        <v>0.39083557951482478</v>
      </c>
      <c r="P85" s="31">
        <v>0.46790540540540543</v>
      </c>
    </row>
    <row r="86" spans="1:16" x14ac:dyDescent="0.4">
      <c r="A86" s="33">
        <v>83</v>
      </c>
      <c r="B86" s="30">
        <v>1.4210854715202004E-14</v>
      </c>
      <c r="C86" s="30">
        <v>5.7071705683542178E-17</v>
      </c>
      <c r="D86" s="35">
        <v>2</v>
      </c>
      <c r="E86" s="31">
        <v>0.33333333333333331</v>
      </c>
      <c r="F86" s="31">
        <v>0.33333333333333331</v>
      </c>
      <c r="G86" s="31">
        <v>0.29197439684884291</v>
      </c>
      <c r="H86" s="31">
        <v>0.15460364352535697</v>
      </c>
      <c r="I86" s="32">
        <v>9088.3642495784152</v>
      </c>
      <c r="J86" s="32">
        <v>-8720.0636942675155</v>
      </c>
      <c r="K86" s="31">
        <v>0.10843373493975904</v>
      </c>
      <c r="L86" s="31">
        <v>0.31117676021664203</v>
      </c>
      <c r="M86" s="31">
        <v>0.18266863613983259</v>
      </c>
      <c r="N86" s="31">
        <v>0.54430379746835444</v>
      </c>
      <c r="O86" s="31">
        <v>0.39083557951482478</v>
      </c>
      <c r="P86" s="31">
        <v>0.46711635750421587</v>
      </c>
    </row>
    <row r="87" spans="1:16" x14ac:dyDescent="0.4">
      <c r="A87" s="33">
        <v>84</v>
      </c>
      <c r="B87" s="30">
        <v>1.4210854715202004E-14</v>
      </c>
      <c r="C87" s="30">
        <v>5.6392280615880964E-17</v>
      </c>
      <c r="D87" s="35">
        <v>2</v>
      </c>
      <c r="E87" s="31">
        <v>0.33333333333333331</v>
      </c>
      <c r="F87" s="31">
        <v>0.33333333333333331</v>
      </c>
      <c r="G87" s="31">
        <v>0.29203109815354711</v>
      </c>
      <c r="H87" s="31">
        <v>0.15451895043731778</v>
      </c>
      <c r="I87" s="32">
        <v>9140.4326123128121</v>
      </c>
      <c r="J87" s="32">
        <v>-8792.7672955974849</v>
      </c>
      <c r="K87" s="31">
        <v>0.10714285714285714</v>
      </c>
      <c r="L87" s="31">
        <v>0.31049562682215742</v>
      </c>
      <c r="M87" s="31">
        <v>0.18318756073858114</v>
      </c>
      <c r="N87" s="31">
        <v>0.54616588419405321</v>
      </c>
      <c r="O87" s="31">
        <v>0.39257294429708223</v>
      </c>
      <c r="P87" s="31">
        <v>0.46755407653910147</v>
      </c>
    </row>
    <row r="88" spans="1:16" x14ac:dyDescent="0.4">
      <c r="A88" s="33">
        <v>85</v>
      </c>
      <c r="B88" s="30">
        <v>1.2434497875801753E-14</v>
      </c>
      <c r="C88" s="30">
        <v>4.8762736767850012E-17</v>
      </c>
      <c r="D88" s="35">
        <v>2</v>
      </c>
      <c r="E88" s="31">
        <v>0.33333333333333331</v>
      </c>
      <c r="F88" s="31">
        <v>0.33333333333333331</v>
      </c>
      <c r="G88" s="31">
        <v>0.29220468675274985</v>
      </c>
      <c r="H88" s="31">
        <v>0.15494978479196556</v>
      </c>
      <c r="I88" s="32">
        <v>9122.585924713585</v>
      </c>
      <c r="J88" s="32">
        <v>-8758.0246913580249</v>
      </c>
      <c r="K88" s="31">
        <v>0.10588235294117647</v>
      </c>
      <c r="L88" s="31">
        <v>0.31037780966044953</v>
      </c>
      <c r="M88" s="31">
        <v>0.18173122907699665</v>
      </c>
      <c r="N88" s="31">
        <v>0.54853620955315874</v>
      </c>
      <c r="O88" s="31">
        <v>0.39210526315789473</v>
      </c>
      <c r="P88" s="31">
        <v>0.46644844517184941</v>
      </c>
    </row>
    <row r="89" spans="1:16" x14ac:dyDescent="0.4">
      <c r="A89" s="33">
        <v>86</v>
      </c>
      <c r="B89" s="30">
        <v>1.4210854715202004E-14</v>
      </c>
      <c r="C89" s="30">
        <v>5.508083222946513E-17</v>
      </c>
      <c r="D89" s="35">
        <v>2</v>
      </c>
      <c r="E89" s="31">
        <v>0.33333333333333331</v>
      </c>
      <c r="F89" s="31">
        <v>0.33333333333333331</v>
      </c>
      <c r="G89" s="31">
        <v>0.29214015151515149</v>
      </c>
      <c r="H89" s="31">
        <v>0.15482954545454544</v>
      </c>
      <c r="I89" s="32">
        <v>9128.5251215559165</v>
      </c>
      <c r="J89" s="32">
        <v>-8754.7400611620797</v>
      </c>
      <c r="K89" s="31">
        <v>0.10852713178294573</v>
      </c>
      <c r="L89" s="31">
        <v>0.31060606060606061</v>
      </c>
      <c r="M89" s="31">
        <v>0.18039772727272727</v>
      </c>
      <c r="N89" s="31">
        <v>0.55030487804878048</v>
      </c>
      <c r="O89" s="31">
        <v>0.39107611548556431</v>
      </c>
      <c r="P89" s="31">
        <v>0.46677471636953</v>
      </c>
    </row>
    <row r="90" spans="1:16" x14ac:dyDescent="0.4">
      <c r="A90" s="33">
        <v>87</v>
      </c>
      <c r="B90" s="30">
        <v>1.0658141036401503E-14</v>
      </c>
      <c r="C90" s="30">
        <v>4.083578941150001E-17</v>
      </c>
      <c r="D90" s="35">
        <v>2</v>
      </c>
      <c r="E90" s="31">
        <v>0.33333333333333331</v>
      </c>
      <c r="F90" s="31">
        <v>0.33333333333333331</v>
      </c>
      <c r="G90" s="31">
        <v>0.29271708683473391</v>
      </c>
      <c r="H90" s="31">
        <v>0.15592903828197946</v>
      </c>
      <c r="I90" s="32">
        <v>9155.1834130781499</v>
      </c>
      <c r="J90" s="32">
        <v>-8843.1137724550899</v>
      </c>
      <c r="K90" s="31">
        <v>0.10727969348659004</v>
      </c>
      <c r="L90" s="31">
        <v>0.31139122315592904</v>
      </c>
      <c r="M90" s="31">
        <v>0.17927170868347339</v>
      </c>
      <c r="N90" s="31">
        <v>0.5502248875562219</v>
      </c>
      <c r="O90" s="31">
        <v>0.39322916666666669</v>
      </c>
      <c r="P90" s="31">
        <v>0.46411483253588515</v>
      </c>
    </row>
    <row r="91" spans="1:16" x14ac:dyDescent="0.4">
      <c r="A91" s="33">
        <v>88</v>
      </c>
      <c r="B91" s="30">
        <v>0</v>
      </c>
      <c r="C91" s="30">
        <v>0</v>
      </c>
      <c r="D91" s="35">
        <v>2</v>
      </c>
      <c r="E91" s="31">
        <v>0.33333333333333331</v>
      </c>
      <c r="F91" s="31">
        <v>0.33333333333333331</v>
      </c>
      <c r="G91" s="31">
        <v>0.29288702928870292</v>
      </c>
      <c r="H91" s="31">
        <v>0.15620641562064155</v>
      </c>
      <c r="I91" s="32">
        <v>9177.6190476190477</v>
      </c>
      <c r="J91" s="32">
        <v>-8860.7142857142862</v>
      </c>
      <c r="K91" s="31">
        <v>0.10984848484848485</v>
      </c>
      <c r="L91" s="31">
        <v>0.31055323105532312</v>
      </c>
      <c r="M91" s="31">
        <v>0.1789865178986518</v>
      </c>
      <c r="N91" s="31">
        <v>0.55089820359281438</v>
      </c>
      <c r="O91" s="31">
        <v>0.39220779220779223</v>
      </c>
      <c r="P91" s="31">
        <v>0.46349206349206351</v>
      </c>
    </row>
    <row r="92" spans="1:16" x14ac:dyDescent="0.4">
      <c r="A92" s="33">
        <v>89</v>
      </c>
      <c r="B92" s="30">
        <v>0</v>
      </c>
      <c r="C92" s="30">
        <v>0</v>
      </c>
      <c r="D92" s="35">
        <v>2</v>
      </c>
      <c r="E92" s="31">
        <v>0.33333333333333331</v>
      </c>
      <c r="F92" s="31">
        <v>0.33333333333333331</v>
      </c>
      <c r="G92" s="31">
        <v>0.29292929292929293</v>
      </c>
      <c r="H92" s="31">
        <v>0.15564738292011018</v>
      </c>
      <c r="I92" s="32">
        <v>9148.5893416927902</v>
      </c>
      <c r="J92" s="32">
        <v>-8835.3982300884963</v>
      </c>
      <c r="K92" s="31">
        <v>0.10861423220973783</v>
      </c>
      <c r="L92" s="31">
        <v>0.31175390266299358</v>
      </c>
      <c r="M92" s="31">
        <v>0.17814508723599631</v>
      </c>
      <c r="N92" s="31">
        <v>0.55081001472754054</v>
      </c>
      <c r="O92" s="31">
        <v>0.39432989690721648</v>
      </c>
      <c r="P92" s="31">
        <v>0.46551724137931033</v>
      </c>
    </row>
    <row r="93" spans="1:16" x14ac:dyDescent="0.4">
      <c r="A93" s="33">
        <v>90</v>
      </c>
      <c r="B93" s="30">
        <v>0</v>
      </c>
      <c r="C93" s="30">
        <v>0</v>
      </c>
      <c r="D93" s="35">
        <v>2</v>
      </c>
      <c r="E93" s="31">
        <v>0.33333333333333331</v>
      </c>
      <c r="F93" s="31">
        <v>0.33333333333333331</v>
      </c>
      <c r="G93" s="31">
        <v>0.29331514324693042</v>
      </c>
      <c r="H93" s="31">
        <v>0.15643474306502955</v>
      </c>
      <c r="I93" s="32">
        <v>9142.635658914729</v>
      </c>
      <c r="J93" s="32">
        <v>-8801.7441860465115</v>
      </c>
      <c r="K93" s="31">
        <v>0.10740740740740741</v>
      </c>
      <c r="L93" s="31">
        <v>0.31105047748976805</v>
      </c>
      <c r="M93" s="31">
        <v>0.17871759890859482</v>
      </c>
      <c r="N93" s="31">
        <v>0.55263157894736847</v>
      </c>
      <c r="O93" s="31">
        <v>0.39694656488549618</v>
      </c>
      <c r="P93" s="31">
        <v>0.4635658914728682</v>
      </c>
    </row>
    <row r="94" spans="1:16" x14ac:dyDescent="0.4">
      <c r="A94" s="33">
        <v>91</v>
      </c>
      <c r="B94" s="30">
        <v>0</v>
      </c>
      <c r="C94" s="30">
        <v>0</v>
      </c>
      <c r="D94" s="35">
        <v>2</v>
      </c>
      <c r="E94" s="31">
        <v>0.33333333333333331</v>
      </c>
      <c r="F94" s="31">
        <v>0.33333333333333331</v>
      </c>
      <c r="G94" s="31">
        <v>0.29380053908355797</v>
      </c>
      <c r="H94" s="31">
        <v>0.15633423180592992</v>
      </c>
      <c r="I94" s="32">
        <v>9123.7003058103983</v>
      </c>
      <c r="J94" s="32">
        <v>-8782.1839080459777</v>
      </c>
      <c r="K94" s="31">
        <v>0.10622710622710622</v>
      </c>
      <c r="L94" s="31">
        <v>0.30952380952380953</v>
      </c>
      <c r="M94" s="31">
        <v>0.17879604672057503</v>
      </c>
      <c r="N94" s="31">
        <v>0.55442670537010164</v>
      </c>
      <c r="O94" s="31">
        <v>0.39698492462311558</v>
      </c>
      <c r="P94" s="31">
        <v>0.46483180428134557</v>
      </c>
    </row>
    <row r="95" spans="1:16" x14ac:dyDescent="0.4">
      <c r="A95" s="33">
        <v>92</v>
      </c>
      <c r="B95" s="30">
        <v>0</v>
      </c>
      <c r="C95" s="30">
        <v>0</v>
      </c>
      <c r="D95" s="35">
        <v>2</v>
      </c>
      <c r="E95" s="31">
        <v>0.33333333333333331</v>
      </c>
      <c r="F95" s="31">
        <v>0.33333333333333331</v>
      </c>
      <c r="G95" s="31">
        <v>0.29398762157382846</v>
      </c>
      <c r="H95" s="31">
        <v>0.15561450044208666</v>
      </c>
      <c r="I95" s="32">
        <v>9143.458646616542</v>
      </c>
      <c r="J95" s="32">
        <v>-8795.454545454546</v>
      </c>
      <c r="K95" s="31">
        <v>0.10869565217391304</v>
      </c>
      <c r="L95" s="31">
        <v>0.30813439434129092</v>
      </c>
      <c r="M95" s="31">
        <v>0.18037135278514588</v>
      </c>
      <c r="N95" s="31">
        <v>0.55810616929698709</v>
      </c>
      <c r="O95" s="31">
        <v>0.39705882352941174</v>
      </c>
      <c r="P95" s="31">
        <v>0.46766917293233085</v>
      </c>
    </row>
    <row r="96" spans="1:16" x14ac:dyDescent="0.4">
      <c r="A96" s="33">
        <v>93</v>
      </c>
      <c r="B96" s="30">
        <v>-3.5527136788005009E-15</v>
      </c>
      <c r="C96" s="30">
        <v>-1.2733740784231186E-17</v>
      </c>
      <c r="D96" s="35">
        <v>2</v>
      </c>
      <c r="E96" s="31">
        <v>0.33333333333333331</v>
      </c>
      <c r="F96" s="31">
        <v>0.33333333333333331</v>
      </c>
      <c r="G96" s="31">
        <v>0.29335071707953064</v>
      </c>
      <c r="H96" s="31">
        <v>0.1568883094306823</v>
      </c>
      <c r="I96" s="32">
        <v>9149.0370370370365</v>
      </c>
      <c r="J96" s="32">
        <v>-8817.7285318559552</v>
      </c>
      <c r="K96" s="31">
        <v>0.10752688172043011</v>
      </c>
      <c r="L96" s="31">
        <v>0.30682312038244242</v>
      </c>
      <c r="M96" s="31">
        <v>0.17948717948717949</v>
      </c>
      <c r="N96" s="31">
        <v>0.556657223796034</v>
      </c>
      <c r="O96" s="31">
        <v>0.39951573849878935</v>
      </c>
      <c r="P96" s="31">
        <v>0.4622222222222222</v>
      </c>
    </row>
    <row r="97" spans="1:16" x14ac:dyDescent="0.4">
      <c r="A97" s="33">
        <v>94</v>
      </c>
      <c r="B97" s="30">
        <v>-7.1054273576010019E-15</v>
      </c>
      <c r="C97" s="30">
        <v>-2.5196550913478729E-17</v>
      </c>
      <c r="D97" s="35">
        <v>2</v>
      </c>
      <c r="E97" s="31">
        <v>0.33333333333333331</v>
      </c>
      <c r="F97" s="31">
        <v>0.33333333333333331</v>
      </c>
      <c r="G97" s="31">
        <v>0.29295532646048111</v>
      </c>
      <c r="H97" s="31">
        <v>0.15721649484536082</v>
      </c>
      <c r="I97" s="32">
        <v>9174.0469208211143</v>
      </c>
      <c r="J97" s="32">
        <v>-8853.8251366120221</v>
      </c>
      <c r="K97" s="31">
        <v>0.1099290780141844</v>
      </c>
      <c r="L97" s="31">
        <v>0.30541237113402064</v>
      </c>
      <c r="M97" s="31">
        <v>0.18127147766323023</v>
      </c>
      <c r="N97" s="31">
        <v>0.55696202531645567</v>
      </c>
      <c r="O97" s="31">
        <v>0.39573459715639808</v>
      </c>
      <c r="P97" s="31">
        <v>0.46041055718475071</v>
      </c>
    </row>
    <row r="98" spans="1:16" x14ac:dyDescent="0.4">
      <c r="A98" s="33">
        <v>95</v>
      </c>
      <c r="B98" s="30">
        <v>-4.2743586448068527E-15</v>
      </c>
      <c r="C98" s="30">
        <v>-1.4997749630901238E-17</v>
      </c>
      <c r="D98" s="35">
        <v>2</v>
      </c>
      <c r="E98" s="31">
        <v>0.33333333333333331</v>
      </c>
      <c r="F98" s="31">
        <v>0.33333333333333331</v>
      </c>
      <c r="G98" s="31">
        <v>0.29256900212314224</v>
      </c>
      <c r="H98" s="31">
        <v>0.15668789808917197</v>
      </c>
      <c r="I98" s="32">
        <v>9138.171262699565</v>
      </c>
      <c r="J98" s="32">
        <v>-8825.203252032521</v>
      </c>
      <c r="K98" s="31">
        <v>0.10877192982456141</v>
      </c>
      <c r="L98" s="31">
        <v>0.30318471337579617</v>
      </c>
      <c r="M98" s="31">
        <v>0.18259023354564755</v>
      </c>
      <c r="N98" s="31">
        <v>0.55602240896358546</v>
      </c>
      <c r="O98" s="31">
        <v>0.39767441860465114</v>
      </c>
      <c r="P98" s="31">
        <v>0.46153846153846156</v>
      </c>
    </row>
    <row r="99" spans="1:16" x14ac:dyDescent="0.4">
      <c r="A99" s="33">
        <v>96</v>
      </c>
      <c r="B99" s="30">
        <v>-3.5527136788005009E-15</v>
      </c>
      <c r="C99" s="30">
        <v>-1.2335811384723961E-17</v>
      </c>
      <c r="D99" s="35">
        <v>2</v>
      </c>
      <c r="E99" s="31">
        <v>0.33333333333333331</v>
      </c>
      <c r="F99" s="31">
        <v>0.33333333333333331</v>
      </c>
      <c r="G99" s="31">
        <v>0.29261125104953822</v>
      </c>
      <c r="H99" s="31">
        <v>0.15743073047858941</v>
      </c>
      <c r="I99" s="32">
        <v>9109.7560975609758</v>
      </c>
      <c r="J99" s="32">
        <v>-8788.5333333333328</v>
      </c>
      <c r="K99" s="31">
        <v>0.1076388888888889</v>
      </c>
      <c r="L99" s="31">
        <v>0.30142737195633923</v>
      </c>
      <c r="M99" s="31">
        <v>0.18261964735516373</v>
      </c>
      <c r="N99" s="31">
        <v>0.55710306406685239</v>
      </c>
      <c r="O99" s="31">
        <v>0.39540229885057471</v>
      </c>
      <c r="P99" s="31">
        <v>0.45911047345767575</v>
      </c>
    </row>
    <row r="100" spans="1:16" x14ac:dyDescent="0.4">
      <c r="A100" s="33">
        <v>97</v>
      </c>
      <c r="B100" s="30">
        <v>-7.1054273576010019E-15</v>
      </c>
      <c r="C100" s="30">
        <v>-2.4417276142958769E-17</v>
      </c>
      <c r="D100" s="35">
        <v>2</v>
      </c>
      <c r="E100" s="31">
        <v>0.33333333333333331</v>
      </c>
      <c r="F100" s="31">
        <v>0.33333333333333331</v>
      </c>
      <c r="G100" s="31">
        <v>0.29260182876142976</v>
      </c>
      <c r="H100" s="31">
        <v>0.15793848711554448</v>
      </c>
      <c r="I100" s="32">
        <v>9093.0397727272721</v>
      </c>
      <c r="J100" s="32">
        <v>-8775</v>
      </c>
      <c r="K100" s="31">
        <v>0.10652920962199312</v>
      </c>
      <c r="L100" s="31">
        <v>0.29925187032418954</v>
      </c>
      <c r="M100" s="31">
        <v>0.18287614297589361</v>
      </c>
      <c r="N100" s="31">
        <v>0.55833333333333335</v>
      </c>
      <c r="O100" s="31">
        <v>0.39545454545454545</v>
      </c>
      <c r="P100" s="31">
        <v>0.45738636363636365</v>
      </c>
    </row>
    <row r="101" spans="1:16" x14ac:dyDescent="0.4">
      <c r="A101" s="33">
        <v>98</v>
      </c>
      <c r="B101" s="30">
        <v>-7.1054273576010019E-15</v>
      </c>
      <c r="C101" s="30">
        <v>-2.4168120263948985E-17</v>
      </c>
      <c r="D101" s="35">
        <v>2</v>
      </c>
      <c r="E101" s="31">
        <v>0.33333333333333331</v>
      </c>
      <c r="F101" s="31">
        <v>0.33333333333333331</v>
      </c>
      <c r="G101" s="31">
        <v>0.29228243021346467</v>
      </c>
      <c r="H101" s="31">
        <v>0.15763546798029557</v>
      </c>
      <c r="I101" s="32">
        <v>9068.1179775280907</v>
      </c>
      <c r="J101" s="32">
        <v>-8753.3854166666661</v>
      </c>
      <c r="K101" s="31">
        <v>0.10544217687074831</v>
      </c>
      <c r="L101" s="31">
        <v>0.29802955665024633</v>
      </c>
      <c r="M101" s="31">
        <v>0.18267651888341543</v>
      </c>
      <c r="N101" s="31">
        <v>0.55509641873278237</v>
      </c>
      <c r="O101" s="31">
        <v>0.39550561797752809</v>
      </c>
      <c r="P101" s="31">
        <v>0.45786516853932585</v>
      </c>
    </row>
    <row r="102" spans="1:16" x14ac:dyDescent="0.4">
      <c r="A102" s="33">
        <v>99</v>
      </c>
      <c r="B102" s="30">
        <v>-7.1054273576010019E-15</v>
      </c>
      <c r="C102" s="30">
        <v>-2.3923997837040409E-17</v>
      </c>
      <c r="D102" s="35">
        <v>2</v>
      </c>
      <c r="E102" s="31">
        <v>0.33333333333333331</v>
      </c>
      <c r="F102" s="31">
        <v>0.33333333333333331</v>
      </c>
      <c r="G102" s="31">
        <v>0.29115977291159773</v>
      </c>
      <c r="H102" s="31">
        <v>0.15652879156528793</v>
      </c>
      <c r="I102" s="32">
        <v>9082.3119777158772</v>
      </c>
      <c r="J102" s="32">
        <v>-8761.3989637305694</v>
      </c>
      <c r="K102" s="31">
        <v>0.10437710437710437</v>
      </c>
      <c r="L102" s="31">
        <v>0.29724249797242497</v>
      </c>
      <c r="M102" s="31">
        <v>0.18288726682887266</v>
      </c>
      <c r="N102" s="31">
        <v>0.55388813096862211</v>
      </c>
      <c r="O102" s="31">
        <v>0.39246119733924612</v>
      </c>
      <c r="P102" s="31">
        <v>0.4596100278551532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693</vt:i4>
      </vt:variant>
    </vt:vector>
  </HeadingPairs>
  <TitlesOfParts>
    <vt:vector size="73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まっつん</vt:lpstr>
      <vt:lpstr>ぱぱ</vt:lpstr>
      <vt:lpstr>やがさき</vt:lpstr>
      <vt:lpstr>やがさき2</vt:lpstr>
      <vt:lpstr>ぱぱ2</vt:lpstr>
      <vt:lpstr>まっつん2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ぱぱ!アガリ数</vt:lpstr>
      <vt:lpstr>まっつん!アガリ数</vt:lpstr>
      <vt:lpstr>やがさき!アガリ数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ぱぱ!アガリ率</vt:lpstr>
      <vt:lpstr>まっつん!アガリ率</vt:lpstr>
      <vt:lpstr>やがさき!アガリ率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ぱぱ!ダマアガリ数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ぱぱ!ダマアガリ率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ぱぱ!チョンボ数</vt:lpstr>
      <vt:lpstr>まっつん!チョンボ数</vt:lpstr>
      <vt:lpstr>やがさき!チョンボ数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ぱぱ!チョンボ率</vt:lpstr>
      <vt:lpstr>まっつん!チョンボ率</vt:lpstr>
      <vt:lpstr>やがさき!チョンボ率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ぱぱ!ツモ数</vt:lpstr>
      <vt:lpstr>まっつん!ツモ数</vt:lpstr>
      <vt:lpstr>やがさき!ツモ数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ぱぱ!ツモ率</vt:lpstr>
      <vt:lpstr>まっつん!ツモ率</vt:lpstr>
      <vt:lpstr>やがさき!ツモ率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ぱぱ!トップ数</vt:lpstr>
      <vt:lpstr>まっつん!トップ数</vt:lpstr>
      <vt:lpstr>やがさき!トップ数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ぱぱ!トップ率</vt:lpstr>
      <vt:lpstr>まっつん!トップ率</vt:lpstr>
      <vt:lpstr>やがさき!トップ率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ぱぱ!バランス</vt:lpstr>
      <vt:lpstr>まっつん!バランス</vt:lpstr>
      <vt:lpstr>やがさき!バランス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ぱぱ!ふっとび数</vt:lpstr>
      <vt:lpstr>まっつん!ふっとび数</vt:lpstr>
      <vt:lpstr>やがさき!ふっとび数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ぱぱ!ふっとび率</vt:lpstr>
      <vt:lpstr>まっつん!ふっとび率</vt:lpstr>
      <vt:lpstr>やがさき!ふっとび率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ぱぱ!ラス数</vt:lpstr>
      <vt:lpstr>まっつん!ラス数</vt:lpstr>
      <vt:lpstr>やがさき!ラス数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ぱぱ!ラス率</vt:lpstr>
      <vt:lpstr>まっつん!ラス率</vt:lpstr>
      <vt:lpstr>やがさき!ラス率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ぱぱ!リーチアガリ数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ぱぱ!リーチアガリ率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ぱぱ!リーチ数</vt:lpstr>
      <vt:lpstr>まっつん!リーチ数</vt:lpstr>
      <vt:lpstr>やがさき!リーチ数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ぱぱ!リーチ成功数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ぱぱ!リーチ成功率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ぱぱ!リーチ率</vt:lpstr>
      <vt:lpstr>まっつん!リーチ率</vt:lpstr>
      <vt:lpstr>やがさき!リーチ率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ぱぱ!レーティング</vt:lpstr>
      <vt:lpstr>まっつん!レーティング</vt:lpstr>
      <vt:lpstr>やがさき!レーティング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ぱぱ!ロン数</vt:lpstr>
      <vt:lpstr>まっつん!ロン数</vt:lpstr>
      <vt:lpstr>やがさき!ロン数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ぱぱ!ロン率</vt:lpstr>
      <vt:lpstr>まっつん!ロン率</vt:lpstr>
      <vt:lpstr>やがさき!ロン率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ぱぱ!一位スコア</vt:lpstr>
      <vt:lpstr>まっつん!一位スコア</vt:lpstr>
      <vt:lpstr>やがさき!一位スコア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ぱぱ!一位通算スコア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ぱぱ!一翻数</vt:lpstr>
      <vt:lpstr>まっつん!一翻数</vt:lpstr>
      <vt:lpstr>やがさき!一翻数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ぱぱ!一翻率</vt:lpstr>
      <vt:lpstr>まっつん!一翻率</vt:lpstr>
      <vt:lpstr>やがさき!一翻率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ぱぱ!現行連続アガリ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ぱぱ!現行連続無放銃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ぱぱ!最高点</vt:lpstr>
      <vt:lpstr>まっつん!最高点</vt:lpstr>
      <vt:lpstr>やがさき!最高点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ぱぱ!最大ドラ数</vt:lpstr>
      <vt:lpstr>まっつん!最大ドラ数</vt:lpstr>
      <vt:lpstr>やがさき!最大ドラ数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ぱぱ!最大点数</vt:lpstr>
      <vt:lpstr>まっつん!最大点数</vt:lpstr>
      <vt:lpstr>やがさき!最大点数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ぱぱ!三位スコア</vt:lpstr>
      <vt:lpstr>まっつん!三位スコア</vt:lpstr>
      <vt:lpstr>やがさき!三位スコア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ぱぱ!三位通算スコア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ぱぱ!総局数</vt:lpstr>
      <vt:lpstr>まっつん!総局数</vt:lpstr>
      <vt:lpstr>やがさき!総局数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ぱぱ!対戦数</vt:lpstr>
      <vt:lpstr>まっつん!対戦数</vt:lpstr>
      <vt:lpstr>やがさき!対戦数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ぱぱ!通算アガリ点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ぱぱ!通算スコア</vt:lpstr>
      <vt:lpstr>まっつん!通算スコア</vt:lpstr>
      <vt:lpstr>やがさき!通算スコア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ぱぱ!通算副露アガリ点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ぱぱ!通算放銃点</vt:lpstr>
      <vt:lpstr>まっつん!通算放銃点</vt:lpstr>
      <vt:lpstr>やがさき!通算放銃点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ぱぱ!通算門前アガリ点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ぱぱ!二位スコア</vt:lpstr>
      <vt:lpstr>まっつん!二位スコア</vt:lpstr>
      <vt:lpstr>やがさき!二位スコア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ぱぱ!二位数</vt:lpstr>
      <vt:lpstr>まっつん!二位数</vt:lpstr>
      <vt:lpstr>やがさき!二位数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ぱぱ!二位通算スコア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ぱぱ!二位率</vt:lpstr>
      <vt:lpstr>まっつん!二位率</vt:lpstr>
      <vt:lpstr>やがさき!二位率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ぱぱ!副露アガリ数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ぱぱ!副露アガリ点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ぱぱ!副露アガリ率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ぱぱ!副露数</vt:lpstr>
      <vt:lpstr>まっつん!副露数</vt:lpstr>
      <vt:lpstr>やがさき!副露数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ぱぱ!副露成功数</vt:lpstr>
      <vt:lpstr>まっつん!副露成功数</vt:lpstr>
      <vt:lpstr>やがさき!副露成功数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ぱぱ!副露成功率</vt:lpstr>
      <vt:lpstr>まっつん!副露成功率</vt:lpstr>
      <vt:lpstr>やがさき!副露成功率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ぱぱ!副露率</vt:lpstr>
      <vt:lpstr>まっつん!副露率</vt:lpstr>
      <vt:lpstr>やがさき!副露率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ぱぱ!平均アガリ点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ぱぱ!平均スコア</vt:lpstr>
      <vt:lpstr>まっつん!平均スコア</vt:lpstr>
      <vt:lpstr>やがさき!平均スコア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ぱぱ!平均順位</vt:lpstr>
      <vt:lpstr>まっつん!平均順位</vt:lpstr>
      <vt:lpstr>やがさき!平均順位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ぱぱ!平均放銃点</vt:lpstr>
      <vt:lpstr>まっつん!平均放銃点</vt:lpstr>
      <vt:lpstr>やがさき!平均放銃点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ぱぱ!放銃数</vt:lpstr>
      <vt:lpstr>まっつん!放銃数</vt:lpstr>
      <vt:lpstr>やがさき!放銃数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ぱぱ!放銃率</vt:lpstr>
      <vt:lpstr>まっつん!放銃率</vt:lpstr>
      <vt:lpstr>やがさき!放銃率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ぱぱ!名前</vt:lpstr>
      <vt:lpstr>まっつん!名前</vt:lpstr>
      <vt:lpstr>やがさき!名前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ぱぱ!門前アガリ点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ぱぱ!連続アガリ</vt:lpstr>
      <vt:lpstr>まっつん!連続アガリ</vt:lpstr>
      <vt:lpstr>やがさき!連続アガリ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ぱぱ!連続無放銃</vt:lpstr>
      <vt:lpstr>まっつん!連続無放銃</vt:lpstr>
      <vt:lpstr>やがさき!連続無放銃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 大地(daichi fukuzawa)</cp:lastModifiedBy>
  <dcterms:created xsi:type="dcterms:W3CDTF">2018-11-18T09:24:12Z</dcterms:created>
  <dcterms:modified xsi:type="dcterms:W3CDTF">2025-01-03T12:02:09Z</dcterms:modified>
</cp:coreProperties>
</file>