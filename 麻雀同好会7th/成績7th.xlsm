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8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1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12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13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15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16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8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1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0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2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22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23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24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01009236\Git\mahjong\麻雀同好会7th\"/>
    </mc:Choice>
  </mc:AlternateContent>
  <xr:revisionPtr revIDLastSave="0" documentId="13_ncr:1_{E8191F6A-924A-4527-900A-D7CB90C57DEF}" xr6:coauthVersionLast="47" xr6:coauthVersionMax="47" xr10:uidLastSave="{00000000-0000-0000-0000-000000000000}"/>
  <bookViews>
    <workbookView xWindow="-120" yWindow="-120" windowWidth="29040" windowHeight="15990" tabRatio="663" firstSheet="4" activeTab="4" xr2:uid="{00000000-000D-0000-FFFF-FFFF00000000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6066" r:id="rId6"/>
    <sheet name="れんたろう" sheetId="6068" r:id="rId7"/>
    <sheet name="たかの" sheetId="6070" r:id="rId8"/>
    <sheet name="ただ" sheetId="6072" r:id="rId9"/>
    <sheet name="だいち" sheetId="6074" r:id="rId10"/>
    <sheet name="りくと" sheetId="6076" r:id="rId11"/>
    <sheet name="わさび" sheetId="6078" r:id="rId12"/>
    <sheet name="わさび2" sheetId="6079" state="hidden" r:id="rId13"/>
    <sheet name="りくと2" sheetId="6077" state="hidden" r:id="rId14"/>
    <sheet name="だいち2" sheetId="6075" state="hidden" r:id="rId15"/>
    <sheet name="ただ2" sheetId="6073" state="hidden" r:id="rId16"/>
    <sheet name="たかの2" sheetId="6071" state="hidden" r:id="rId17"/>
    <sheet name="れんたろう2" sheetId="6069" state="hidden" r:id="rId18"/>
    <sheet name="全体2" sheetId="6067" state="hidden" r:id="rId19"/>
    <sheet name="通算スコア" sheetId="3331" state="hidden" r:id="rId20"/>
    <sheet name="平均スコア" sheetId="3493" state="hidden" r:id="rId21"/>
    <sheet name="平均順位" sheetId="3183" state="hidden" r:id="rId22"/>
    <sheet name="トップ率" sheetId="3185" state="hidden" r:id="rId23"/>
    <sheet name="ラス率" sheetId="4886" state="hidden" r:id="rId24"/>
    <sheet name="アガリ率" sheetId="3189" state="hidden" r:id="rId25"/>
    <sheet name="放銃率" sheetId="3190" state="hidden" r:id="rId26"/>
    <sheet name="平均アガリ点" sheetId="3520" state="hidden" r:id="rId27"/>
    <sheet name="平均放銃点" sheetId="3521" state="hidden" r:id="rId28"/>
    <sheet name="ふっとび率" sheetId="3522" state="hidden" r:id="rId29"/>
    <sheet name="リーチ率" sheetId="3524" state="hidden" r:id="rId30"/>
    <sheet name="副露率" sheetId="3525" state="hidden" r:id="rId31"/>
    <sheet name="リーチ成功率" sheetId="4841" state="hidden" r:id="rId32"/>
    <sheet name="副露成功率" sheetId="3527" state="hidden" r:id="rId33"/>
    <sheet name="ツモ率" sheetId="3528" state="hidden" r:id="rId34"/>
  </sheets>
  <definedNames>
    <definedName name="アガリ数" localSheetId="3">Template1!$B$20</definedName>
    <definedName name="アガリ数" localSheetId="9">だいち!$B$20</definedName>
    <definedName name="アガリ数" localSheetId="7">たかの!$B$20</definedName>
    <definedName name="アガリ数" localSheetId="8">ただ!$B$20</definedName>
    <definedName name="アガリ数" localSheetId="10">りくと!$B$20</definedName>
    <definedName name="アガリ数" localSheetId="6">れんたろう!$B$20</definedName>
    <definedName name="アガリ数" localSheetId="11">わさび!$B$20</definedName>
    <definedName name="アガリ数" localSheetId="5">全体!$B$20</definedName>
    <definedName name="アガリ率" localSheetId="3">Template1!$C$20</definedName>
    <definedName name="アガリ率" localSheetId="9">だいち!$C$20</definedName>
    <definedName name="アガリ率" localSheetId="7">たかの!$C$20</definedName>
    <definedName name="アガリ率" localSheetId="8">ただ!$C$20</definedName>
    <definedName name="アガリ率" localSheetId="10">りくと!$C$20</definedName>
    <definedName name="アガリ率" localSheetId="6">れんたろう!$C$20</definedName>
    <definedName name="アガリ率" localSheetId="11">わさび!$C$20</definedName>
    <definedName name="アガリ率" localSheetId="5">全体!$C$20</definedName>
    <definedName name="ダマアガリ数" localSheetId="3">Template1!$B$26</definedName>
    <definedName name="ダマアガリ数" localSheetId="9">だいち!$B$26</definedName>
    <definedName name="ダマアガリ数" localSheetId="7">たかの!$B$26</definedName>
    <definedName name="ダマアガリ数" localSheetId="8">ただ!$B$26</definedName>
    <definedName name="ダマアガリ数" localSheetId="10">りくと!$B$26</definedName>
    <definedName name="ダマアガリ数" localSheetId="6">れんたろう!$B$26</definedName>
    <definedName name="ダマアガリ数" localSheetId="11">わさび!$B$26</definedName>
    <definedName name="ダマアガリ数" localSheetId="5">全体!$B$26</definedName>
    <definedName name="ダマアガリ率" localSheetId="3">Template1!$C$26</definedName>
    <definedName name="ダマアガリ率" localSheetId="9">だいち!$C$26</definedName>
    <definedName name="ダマアガリ率" localSheetId="7">たかの!$C$26</definedName>
    <definedName name="ダマアガリ率" localSheetId="8">ただ!$C$26</definedName>
    <definedName name="ダマアガリ率" localSheetId="10">りくと!$C$26</definedName>
    <definedName name="ダマアガリ率" localSheetId="6">れんたろう!$C$26</definedName>
    <definedName name="ダマアガリ率" localSheetId="11">わさび!$C$26</definedName>
    <definedName name="ダマアガリ率" localSheetId="5">全体!$C$26</definedName>
    <definedName name="チョンボ数" localSheetId="3">Template1!$B$35</definedName>
    <definedName name="チョンボ数" localSheetId="9">だいち!$B$35</definedName>
    <definedName name="チョンボ数" localSheetId="7">たかの!$B$35</definedName>
    <definedName name="チョンボ数" localSheetId="8">ただ!$B$35</definedName>
    <definedName name="チョンボ数" localSheetId="10">りくと!$B$35</definedName>
    <definedName name="チョンボ数" localSheetId="6">れんたろう!$B$35</definedName>
    <definedName name="チョンボ数" localSheetId="11">わさび!$B$35</definedName>
    <definedName name="チョンボ数" localSheetId="5">全体!$B$35</definedName>
    <definedName name="チョンボ率" localSheetId="3">Template1!$C$35</definedName>
    <definedName name="チョンボ率" localSheetId="9">だいち!$C$35</definedName>
    <definedName name="チョンボ率" localSheetId="7">たかの!$C$35</definedName>
    <definedName name="チョンボ率" localSheetId="8">ただ!$C$35</definedName>
    <definedName name="チョンボ率" localSheetId="10">りくと!$C$35</definedName>
    <definedName name="チョンボ率" localSheetId="6">れんたろう!$C$35</definedName>
    <definedName name="チョンボ率" localSheetId="11">わさび!$C$35</definedName>
    <definedName name="チョンボ率" localSheetId="5">全体!$C$35</definedName>
    <definedName name="ツモ数" localSheetId="3">Template1!$B$22</definedName>
    <definedName name="ツモ数" localSheetId="9">だいち!$B$22</definedName>
    <definedName name="ツモ数" localSheetId="7">たかの!$B$22</definedName>
    <definedName name="ツモ数" localSheetId="8">ただ!$B$22</definedName>
    <definedName name="ツモ数" localSheetId="10">りくと!$B$22</definedName>
    <definedName name="ツモ数" localSheetId="6">れんたろう!$B$22</definedName>
    <definedName name="ツモ数" localSheetId="11">わさび!$B$22</definedName>
    <definedName name="ツモ数" localSheetId="5">全体!$B$22</definedName>
    <definedName name="ツモ率" localSheetId="3">Template1!$C$22</definedName>
    <definedName name="ツモ率" localSheetId="9">だいち!$C$22</definedName>
    <definedName name="ツモ率" localSheetId="7">たかの!$C$22</definedName>
    <definedName name="ツモ率" localSheetId="8">ただ!$C$22</definedName>
    <definedName name="ツモ率" localSheetId="10">りくと!$C$22</definedName>
    <definedName name="ツモ率" localSheetId="6">れんたろう!$C$22</definedName>
    <definedName name="ツモ率" localSheetId="11">わさび!$C$22</definedName>
    <definedName name="ツモ率" localSheetId="5">全体!$C$22</definedName>
    <definedName name="トップ数" localSheetId="3">Template1!$B$8</definedName>
    <definedName name="トップ数" localSheetId="9">だいち!$B$8</definedName>
    <definedName name="トップ数" localSheetId="7">たかの!$B$8</definedName>
    <definedName name="トップ数" localSheetId="8">ただ!$B$8</definedName>
    <definedName name="トップ数" localSheetId="10">りくと!$B$8</definedName>
    <definedName name="トップ数" localSheetId="6">れんたろう!$B$8</definedName>
    <definedName name="トップ数" localSheetId="11">わさび!$B$8</definedName>
    <definedName name="トップ数" localSheetId="5">全体!$B$8</definedName>
    <definedName name="トップ率" localSheetId="3">Template1!$C$8</definedName>
    <definedName name="トップ率" localSheetId="9">だいち!$C$8</definedName>
    <definedName name="トップ率" localSheetId="7">たかの!$C$8</definedName>
    <definedName name="トップ率" localSheetId="8">ただ!$C$8</definedName>
    <definedName name="トップ率" localSheetId="10">りくと!$C$8</definedName>
    <definedName name="トップ率" localSheetId="6">れんたろう!$C$8</definedName>
    <definedName name="トップ率" localSheetId="11">わさび!$C$8</definedName>
    <definedName name="トップ率" localSheetId="5">全体!$C$8</definedName>
    <definedName name="バランス" localSheetId="9">だいち!$B$14</definedName>
    <definedName name="バランス" localSheetId="7">たかの!$B$14</definedName>
    <definedName name="バランス" localSheetId="8">ただ!$B$14</definedName>
    <definedName name="バランス" localSheetId="10">りくと!$B$14</definedName>
    <definedName name="バランス" localSheetId="6">れんたろう!$B$14</definedName>
    <definedName name="バランス" localSheetId="11">わさび!$B$14</definedName>
    <definedName name="バランス" localSheetId="5">全体!$B$14</definedName>
    <definedName name="バランス">Template1!$B$14</definedName>
    <definedName name="ふっとび数" localSheetId="3">Template1!$B$15</definedName>
    <definedName name="ふっとび数" localSheetId="9">だいち!$B$15</definedName>
    <definedName name="ふっとび数" localSheetId="7">たかの!$B$15</definedName>
    <definedName name="ふっとび数" localSheetId="8">ただ!$B$15</definedName>
    <definedName name="ふっとび数" localSheetId="10">りくと!$B$15</definedName>
    <definedName name="ふっとび数" localSheetId="6">れんたろう!$B$15</definedName>
    <definedName name="ふっとび数" localSheetId="11">わさび!$B$15</definedName>
    <definedName name="ふっとび数" localSheetId="5">全体!$B$15</definedName>
    <definedName name="ふっとび率" localSheetId="3">Template1!$C$15</definedName>
    <definedName name="ふっとび率" localSheetId="9">だいち!$C$15</definedName>
    <definedName name="ふっとび率" localSheetId="7">たかの!$C$15</definedName>
    <definedName name="ふっとび率" localSheetId="8">ただ!$C$15</definedName>
    <definedName name="ふっとび率" localSheetId="10">りくと!$C$15</definedName>
    <definedName name="ふっとび率" localSheetId="6">れんたろう!$C$15</definedName>
    <definedName name="ふっとび率" localSheetId="11">わさび!$C$15</definedName>
    <definedName name="ふっとび率" localSheetId="5">全体!$C$15</definedName>
    <definedName name="ラス数" localSheetId="3">Template1!$B$10</definedName>
    <definedName name="ラス数" localSheetId="9">だいち!$B$10</definedName>
    <definedName name="ラス数" localSheetId="7">たかの!$B$10</definedName>
    <definedName name="ラス数" localSheetId="8">ただ!$B$10</definedName>
    <definedName name="ラス数" localSheetId="10">りくと!$B$10</definedName>
    <definedName name="ラス数" localSheetId="6">れんたろう!$B$10</definedName>
    <definedName name="ラス数" localSheetId="11">わさび!$B$10</definedName>
    <definedName name="ラス数" localSheetId="5">全体!$B$10</definedName>
    <definedName name="ラス率" localSheetId="3">Template1!$C$10</definedName>
    <definedName name="ラス率" localSheetId="9">だいち!$C$10</definedName>
    <definedName name="ラス率" localSheetId="7">たかの!$C$10</definedName>
    <definedName name="ラス率" localSheetId="8">ただ!$C$10</definedName>
    <definedName name="ラス率" localSheetId="10">りくと!$C$10</definedName>
    <definedName name="ラス率" localSheetId="6">れんたろう!$C$10</definedName>
    <definedName name="ラス率" localSheetId="11">わさび!$C$10</definedName>
    <definedName name="ラス率" localSheetId="5">全体!$C$10</definedName>
    <definedName name="リーチアガリ数" localSheetId="3">Template1!$B$24</definedName>
    <definedName name="リーチアガリ数" localSheetId="9">だいち!$B$24</definedName>
    <definedName name="リーチアガリ数" localSheetId="7">たかの!$B$24</definedName>
    <definedName name="リーチアガリ数" localSheetId="8">ただ!$B$24</definedName>
    <definedName name="リーチアガリ数" localSheetId="10">りくと!$B$24</definedName>
    <definedName name="リーチアガリ数" localSheetId="6">れんたろう!$B$24</definedName>
    <definedName name="リーチアガリ数" localSheetId="11">わさび!$B$24</definedName>
    <definedName name="リーチアガリ数" localSheetId="5">全体!$B$24</definedName>
    <definedName name="リーチアガリ率" localSheetId="3">Template1!$C$24</definedName>
    <definedName name="リーチアガリ率" localSheetId="9">だいち!$C$24</definedName>
    <definedName name="リーチアガリ率" localSheetId="7">たかの!$C$24</definedName>
    <definedName name="リーチアガリ率" localSheetId="8">ただ!$C$24</definedName>
    <definedName name="リーチアガリ率" localSheetId="10">りくと!$C$24</definedName>
    <definedName name="リーチアガリ率" localSheetId="6">れんたろう!$C$24</definedName>
    <definedName name="リーチアガリ率" localSheetId="11">わさび!$C$24</definedName>
    <definedName name="リーチアガリ率" localSheetId="5">全体!$C$24</definedName>
    <definedName name="リーチ数" localSheetId="3">Template1!$B$16</definedName>
    <definedName name="リーチ数" localSheetId="9">だいち!$B$16</definedName>
    <definedName name="リーチ数" localSheetId="7">たかの!$B$16</definedName>
    <definedName name="リーチ数" localSheetId="8">ただ!$B$16</definedName>
    <definedName name="リーチ数" localSheetId="10">りくと!$B$16</definedName>
    <definedName name="リーチ数" localSheetId="6">れんたろう!$B$16</definedName>
    <definedName name="リーチ数" localSheetId="11">わさび!$B$16</definedName>
    <definedName name="リーチ数" localSheetId="5">全体!$B$16</definedName>
    <definedName name="リーチ成功数" localSheetId="3">Template1!$B$18</definedName>
    <definedName name="リーチ成功数" localSheetId="9">だいち!$B$18</definedName>
    <definedName name="リーチ成功数" localSheetId="7">たかの!$B$18</definedName>
    <definedName name="リーチ成功数" localSheetId="8">ただ!$B$18</definedName>
    <definedName name="リーチ成功数" localSheetId="10">りくと!$B$18</definedName>
    <definedName name="リーチ成功数" localSheetId="6">れんたろう!$B$18</definedName>
    <definedName name="リーチ成功数" localSheetId="11">わさび!$B$18</definedName>
    <definedName name="リーチ成功数" localSheetId="5">全体!$B$18</definedName>
    <definedName name="リーチ成功率" localSheetId="3">Template1!$C$18</definedName>
    <definedName name="リーチ成功率" localSheetId="9">だいち!$C$18</definedName>
    <definedName name="リーチ成功率" localSheetId="7">たかの!$C$18</definedName>
    <definedName name="リーチ成功率" localSheetId="8">ただ!$C$18</definedName>
    <definedName name="リーチ成功率" localSheetId="10">りくと!$C$18</definedName>
    <definedName name="リーチ成功率" localSheetId="6">れんたろう!$C$18</definedName>
    <definedName name="リーチ成功率" localSheetId="11">わさび!$C$18</definedName>
    <definedName name="リーチ成功率" localSheetId="5">全体!$C$18</definedName>
    <definedName name="リーチ率" localSheetId="3">Template1!$C$16</definedName>
    <definedName name="リーチ率" localSheetId="9">だいち!$C$16</definedName>
    <definedName name="リーチ率" localSheetId="7">たかの!$C$16</definedName>
    <definedName name="リーチ率" localSheetId="8">ただ!$C$16</definedName>
    <definedName name="リーチ率" localSheetId="10">りくと!$C$16</definedName>
    <definedName name="リーチ率" localSheetId="6">れんたろう!$C$16</definedName>
    <definedName name="リーチ率" localSheetId="11">わさび!$C$16</definedName>
    <definedName name="リーチ率" localSheetId="5">全体!$C$16</definedName>
    <definedName name="レーティング" localSheetId="9">だいち!$B$6</definedName>
    <definedName name="レーティング" localSheetId="7">たかの!$B$6</definedName>
    <definedName name="レーティング" localSheetId="8">ただ!$B$6</definedName>
    <definedName name="レーティング" localSheetId="10">りくと!$B$6</definedName>
    <definedName name="レーティング" localSheetId="6">れんたろう!$B$6</definedName>
    <definedName name="レーティング" localSheetId="11">わさび!$B$6</definedName>
    <definedName name="レーティング" localSheetId="5">全体!$B$6</definedName>
    <definedName name="レーティング">Template1!$B$6</definedName>
    <definedName name="ロン数" localSheetId="3">Template1!$B$23</definedName>
    <definedName name="ロン数" localSheetId="9">だいち!$B$23</definedName>
    <definedName name="ロン数" localSheetId="7">たかの!$B$23</definedName>
    <definedName name="ロン数" localSheetId="8">ただ!$B$23</definedName>
    <definedName name="ロン数" localSheetId="10">りくと!$B$23</definedName>
    <definedName name="ロン数" localSheetId="6">れんたろう!$B$23</definedName>
    <definedName name="ロン数" localSheetId="11">わさび!$B$23</definedName>
    <definedName name="ロン数" localSheetId="5">全体!$B$23</definedName>
    <definedName name="ロン率" localSheetId="3">Template1!$C$23</definedName>
    <definedName name="ロン率" localSheetId="9">だいち!$C$23</definedName>
    <definedName name="ロン率" localSheetId="7">たかの!$C$23</definedName>
    <definedName name="ロン率" localSheetId="8">ただ!$C$23</definedName>
    <definedName name="ロン率" localSheetId="10">りくと!$C$23</definedName>
    <definedName name="ロン率" localSheetId="6">れんたろう!$C$23</definedName>
    <definedName name="ロン率" localSheetId="11">わさび!$C$23</definedName>
    <definedName name="ロン率" localSheetId="5">全体!$C$23</definedName>
    <definedName name="一位スコア" localSheetId="9">だいち!$B$11</definedName>
    <definedName name="一位スコア" localSheetId="7">たかの!$B$11</definedName>
    <definedName name="一位スコア" localSheetId="8">ただ!$B$11</definedName>
    <definedName name="一位スコア" localSheetId="10">りくと!$B$11</definedName>
    <definedName name="一位スコア" localSheetId="6">れんたろう!$B$11</definedName>
    <definedName name="一位スコア" localSheetId="11">わさび!$B$11</definedName>
    <definedName name="一位スコア" localSheetId="5">全体!$B$11</definedName>
    <definedName name="一位スコア">Template1!$B$11</definedName>
    <definedName name="一位通算スコア" localSheetId="9">だいち!$C$11</definedName>
    <definedName name="一位通算スコア" localSheetId="7">たかの!$C$11</definedName>
    <definedName name="一位通算スコア" localSheetId="8">ただ!$C$11</definedName>
    <definedName name="一位通算スコア" localSheetId="10">りくと!$C$11</definedName>
    <definedName name="一位通算スコア" localSheetId="6">れんたろう!$C$11</definedName>
    <definedName name="一位通算スコア" localSheetId="11">わさび!$C$11</definedName>
    <definedName name="一位通算スコア" localSheetId="5">全体!$C$11</definedName>
    <definedName name="一位通算スコア">Template1!$C$11</definedName>
    <definedName name="一翻数" localSheetId="9">だいち!$B$37</definedName>
    <definedName name="一翻数" localSheetId="7">たかの!$B$37</definedName>
    <definedName name="一翻数" localSheetId="8">ただ!$B$37</definedName>
    <definedName name="一翻数" localSheetId="10">りくと!$B$37</definedName>
    <definedName name="一翻数" localSheetId="6">れんたろう!$B$37</definedName>
    <definedName name="一翻数" localSheetId="11">わさび!$B$37</definedName>
    <definedName name="一翻数" localSheetId="5">全体!$B$37</definedName>
    <definedName name="一翻数">Template1!$B$37</definedName>
    <definedName name="一翻率" localSheetId="9">だいち!$C$37</definedName>
    <definedName name="一翻率" localSheetId="7">たかの!$C$37</definedName>
    <definedName name="一翻率" localSheetId="8">ただ!$C$37</definedName>
    <definedName name="一翻率" localSheetId="10">りくと!$C$37</definedName>
    <definedName name="一翻率" localSheetId="6">れんたろう!$C$37</definedName>
    <definedName name="一翻率" localSheetId="11">わさび!$C$37</definedName>
    <definedName name="一翻率" localSheetId="5">全体!$C$37</definedName>
    <definedName name="一翻率">Template1!$C$37</definedName>
    <definedName name="現行連続アガリ" localSheetId="3">Template1!$C$31</definedName>
    <definedName name="現行連続アガリ" localSheetId="9">だいち!$C$31</definedName>
    <definedName name="現行連続アガリ" localSheetId="7">たかの!$C$31</definedName>
    <definedName name="現行連続アガリ" localSheetId="8">ただ!$C$31</definedName>
    <definedName name="現行連続アガリ" localSheetId="10">りくと!$C$31</definedName>
    <definedName name="現行連続アガリ" localSheetId="6">れんたろう!$C$31</definedName>
    <definedName name="現行連続アガリ" localSheetId="11">わさび!$C$31</definedName>
    <definedName name="現行連続アガリ" localSheetId="5">全体!$C$31</definedName>
    <definedName name="現行連続無放銃" localSheetId="3">Template1!$C$32</definedName>
    <definedName name="現行連続無放銃" localSheetId="9">だいち!$C$32</definedName>
    <definedName name="現行連続無放銃" localSheetId="7">たかの!$C$32</definedName>
    <definedName name="現行連続無放銃" localSheetId="8">ただ!$C$32</definedName>
    <definedName name="現行連続無放銃" localSheetId="10">りくと!$C$32</definedName>
    <definedName name="現行連続無放銃" localSheetId="6">れんたろう!$C$32</definedName>
    <definedName name="現行連続無放銃" localSheetId="11">わさび!$C$32</definedName>
    <definedName name="現行連続無放銃" localSheetId="5">全体!$C$32</definedName>
    <definedName name="最高点" localSheetId="3">Template1!$B$34</definedName>
    <definedName name="最高点" localSheetId="9">だいち!$B$34</definedName>
    <definedName name="最高点" localSheetId="7">たかの!$B$34</definedName>
    <definedName name="最高点" localSheetId="8">ただ!$B$34</definedName>
    <definedName name="最高点" localSheetId="10">りくと!$B$34</definedName>
    <definedName name="最高点" localSheetId="6">れんたろう!$B$34</definedName>
    <definedName name="最高点" localSheetId="11">わさび!$B$34</definedName>
    <definedName name="最高点" localSheetId="5">全体!$B$34</definedName>
    <definedName name="最大ドラ数" localSheetId="3">Template1!$B$33</definedName>
    <definedName name="最大ドラ数" localSheetId="9">だいち!$B$33</definedName>
    <definedName name="最大ドラ数" localSheetId="7">たかの!$B$33</definedName>
    <definedName name="最大ドラ数" localSheetId="8">ただ!$B$33</definedName>
    <definedName name="最大ドラ数" localSheetId="10">りくと!$B$33</definedName>
    <definedName name="最大ドラ数" localSheetId="6">れんたろう!$B$33</definedName>
    <definedName name="最大ドラ数" localSheetId="11">わさび!$B$33</definedName>
    <definedName name="最大ドラ数" localSheetId="5">全体!$B$33</definedName>
    <definedName name="最大点数" localSheetId="3">Template1!$B$34</definedName>
    <definedName name="最大点数" localSheetId="9">だいち!$B$34</definedName>
    <definedName name="最大点数" localSheetId="7">たかの!$B$34</definedName>
    <definedName name="最大点数" localSheetId="8">ただ!$B$34</definedName>
    <definedName name="最大点数" localSheetId="10">りくと!$B$34</definedName>
    <definedName name="最大点数" localSheetId="6">れんたろう!$B$34</definedName>
    <definedName name="最大点数" localSheetId="11">わさび!$B$34</definedName>
    <definedName name="最大点数" localSheetId="5">全体!$B$34</definedName>
    <definedName name="三位スコア" localSheetId="9">だいち!$B$13</definedName>
    <definedName name="三位スコア" localSheetId="7">たかの!$B$13</definedName>
    <definedName name="三位スコア" localSheetId="8">ただ!$B$13</definedName>
    <definedName name="三位スコア" localSheetId="10">りくと!$B$13</definedName>
    <definedName name="三位スコア" localSheetId="6">れんたろう!$B$13</definedName>
    <definedName name="三位スコア" localSheetId="11">わさび!$B$13</definedName>
    <definedName name="三位スコア" localSheetId="5">全体!$B$13</definedName>
    <definedName name="三位スコア">Template1!$B$13</definedName>
    <definedName name="三位通算スコア" localSheetId="9">だいち!$C$13</definedName>
    <definedName name="三位通算スコア" localSheetId="7">たかの!$C$13</definedName>
    <definedName name="三位通算スコア" localSheetId="8">ただ!$C$13</definedName>
    <definedName name="三位通算スコア" localSheetId="10">りくと!$C$13</definedName>
    <definedName name="三位通算スコア" localSheetId="6">れんたろう!$C$13</definedName>
    <definedName name="三位通算スコア" localSheetId="11">わさび!$C$13</definedName>
    <definedName name="三位通算スコア" localSheetId="5">全体!$C$13</definedName>
    <definedName name="三位通算スコア">Template1!$C$13</definedName>
    <definedName name="総局数" localSheetId="3">Template1!$B$3</definedName>
    <definedName name="総局数" localSheetId="9">だいち!$B$3</definedName>
    <definedName name="総局数" localSheetId="7">たかの!$B$3</definedName>
    <definedName name="総局数" localSheetId="8">ただ!$B$3</definedName>
    <definedName name="総局数" localSheetId="10">りくと!$B$3</definedName>
    <definedName name="総局数" localSheetId="6">れんたろう!$B$3</definedName>
    <definedName name="総局数" localSheetId="11">わさび!$B$3</definedName>
    <definedName name="総局数" localSheetId="5">全体!$B$3</definedName>
    <definedName name="対戦数" localSheetId="3">Template1!$B$2</definedName>
    <definedName name="対戦数" localSheetId="9">だいち!$B$2</definedName>
    <definedName name="対戦数" localSheetId="7">たかの!$B$2</definedName>
    <definedName name="対戦数" localSheetId="8">ただ!$B$2</definedName>
    <definedName name="対戦数" localSheetId="10">りくと!$B$2</definedName>
    <definedName name="対戦数" localSheetId="6">れんたろう!$B$2</definedName>
    <definedName name="対戦数" localSheetId="11">わさび!$B$2</definedName>
    <definedName name="対戦数" localSheetId="5">全体!$B$2</definedName>
    <definedName name="通算アガリ点" localSheetId="3">Template1!$C$27</definedName>
    <definedName name="通算アガリ点" localSheetId="9">だいち!$C$27</definedName>
    <definedName name="通算アガリ点" localSheetId="7">たかの!$C$27</definedName>
    <definedName name="通算アガリ点" localSheetId="8">ただ!$C$27</definedName>
    <definedName name="通算アガリ点" localSheetId="10">りくと!$C$27</definedName>
    <definedName name="通算アガリ点" localSheetId="6">れんたろう!$C$27</definedName>
    <definedName name="通算アガリ点" localSheetId="11">わさび!$C$27</definedName>
    <definedName name="通算アガリ点" localSheetId="5">全体!$C$27</definedName>
    <definedName name="通算スコア" localSheetId="3">Template1!$B$4</definedName>
    <definedName name="通算スコア" localSheetId="9">だいち!$B$4</definedName>
    <definedName name="通算スコア" localSheetId="7">たかの!$B$4</definedName>
    <definedName name="通算スコア" localSheetId="8">ただ!$B$4</definedName>
    <definedName name="通算スコア" localSheetId="10">りくと!$B$4</definedName>
    <definedName name="通算スコア" localSheetId="6">れんたろう!$B$4</definedName>
    <definedName name="通算スコア" localSheetId="11">わさび!$B$4</definedName>
    <definedName name="通算スコア" localSheetId="5">全体!$B$4</definedName>
    <definedName name="通算副露アガリ点" localSheetId="3">Template1!$C$29</definedName>
    <definedName name="通算副露アガリ点" localSheetId="9">だいち!$C$29</definedName>
    <definedName name="通算副露アガリ点" localSheetId="7">たかの!$C$29</definedName>
    <definedName name="通算副露アガリ点" localSheetId="8">ただ!$C$29</definedName>
    <definedName name="通算副露アガリ点" localSheetId="10">りくと!$C$29</definedName>
    <definedName name="通算副露アガリ点" localSheetId="6">れんたろう!$C$29</definedName>
    <definedName name="通算副露アガリ点" localSheetId="11">わさび!$C$29</definedName>
    <definedName name="通算副露アガリ点" localSheetId="5">全体!$C$29</definedName>
    <definedName name="通算放銃点" localSheetId="3">Template1!$C$30</definedName>
    <definedName name="通算放銃点" localSheetId="9">だいち!$C$30</definedName>
    <definedName name="通算放銃点" localSheetId="7">たかの!$C$30</definedName>
    <definedName name="通算放銃点" localSheetId="8">ただ!$C$30</definedName>
    <definedName name="通算放銃点" localSheetId="10">りくと!$C$30</definedName>
    <definedName name="通算放銃点" localSheetId="6">れんたろう!$C$30</definedName>
    <definedName name="通算放銃点" localSheetId="11">わさび!$C$30</definedName>
    <definedName name="通算放銃点" localSheetId="5">全体!$C$30</definedName>
    <definedName name="通算門前アガリ点" localSheetId="3">Template1!$C$28</definedName>
    <definedName name="通算門前アガリ点" localSheetId="9">だいち!$C$28</definedName>
    <definedName name="通算門前アガリ点" localSheetId="7">たかの!$C$28</definedName>
    <definedName name="通算門前アガリ点" localSheetId="8">ただ!$C$28</definedName>
    <definedName name="通算門前アガリ点" localSheetId="10">りくと!$C$28</definedName>
    <definedName name="通算門前アガリ点" localSheetId="6">れんたろう!$C$28</definedName>
    <definedName name="通算門前アガリ点" localSheetId="11">わさび!$C$28</definedName>
    <definedName name="通算門前アガリ点" localSheetId="5">全体!$C$28</definedName>
    <definedName name="二位スコア" localSheetId="9">だいち!$B$12</definedName>
    <definedName name="二位スコア" localSheetId="7">たかの!$B$12</definedName>
    <definedName name="二位スコア" localSheetId="8">ただ!$B$12</definedName>
    <definedName name="二位スコア" localSheetId="10">りくと!$B$12</definedName>
    <definedName name="二位スコア" localSheetId="6">れんたろう!$B$12</definedName>
    <definedName name="二位スコア" localSheetId="11">わさび!$B$12</definedName>
    <definedName name="二位スコア" localSheetId="5">全体!$B$12</definedName>
    <definedName name="二位スコア">Template1!$B$12</definedName>
    <definedName name="二位数" localSheetId="3">Template1!$B$9</definedName>
    <definedName name="二位数" localSheetId="9">だいち!$B$9</definedName>
    <definedName name="二位数" localSheetId="7">たかの!$B$9</definedName>
    <definedName name="二位数" localSheetId="8">ただ!$B$9</definedName>
    <definedName name="二位数" localSheetId="10">りくと!$B$9</definedName>
    <definedName name="二位数" localSheetId="6">れんたろう!$B$9</definedName>
    <definedName name="二位数" localSheetId="11">わさび!$B$9</definedName>
    <definedName name="二位数" localSheetId="5">全体!$B$9</definedName>
    <definedName name="二位通算スコア" localSheetId="9">だいち!$C$12</definedName>
    <definedName name="二位通算スコア" localSheetId="7">たかの!$C$12</definedName>
    <definedName name="二位通算スコア" localSheetId="8">ただ!$C$12</definedName>
    <definedName name="二位通算スコア" localSheetId="10">りくと!$C$12</definedName>
    <definedName name="二位通算スコア" localSheetId="6">れんたろう!$C$12</definedName>
    <definedName name="二位通算スコア" localSheetId="11">わさび!$C$12</definedName>
    <definedName name="二位通算スコア" localSheetId="5">全体!$C$12</definedName>
    <definedName name="二位通算スコア">Template1!$C$12</definedName>
    <definedName name="二位率" localSheetId="3">Template1!$C$9</definedName>
    <definedName name="二位率" localSheetId="9">だいち!$C$9</definedName>
    <definedName name="二位率" localSheetId="7">たかの!$C$9</definedName>
    <definedName name="二位率" localSheetId="8">ただ!$C$9</definedName>
    <definedName name="二位率" localSheetId="10">りくと!$C$9</definedName>
    <definedName name="二位率" localSheetId="6">れんたろう!$C$9</definedName>
    <definedName name="二位率" localSheetId="11">わさび!$C$9</definedName>
    <definedName name="二位率" localSheetId="5">全体!$C$9</definedName>
    <definedName name="副露アガリ数" localSheetId="3">Template1!$B$25</definedName>
    <definedName name="副露アガリ数" localSheetId="9">だいち!$B$25</definedName>
    <definedName name="副露アガリ数" localSheetId="7">たかの!$B$25</definedName>
    <definedName name="副露アガリ数" localSheetId="8">ただ!$B$25</definedName>
    <definedName name="副露アガリ数" localSheetId="10">りくと!$B$25</definedName>
    <definedName name="副露アガリ数" localSheetId="6">れんたろう!$B$25</definedName>
    <definedName name="副露アガリ数" localSheetId="11">わさび!$B$25</definedName>
    <definedName name="副露アガリ数" localSheetId="5">全体!$B$25</definedName>
    <definedName name="副露アガリ点" localSheetId="3">Template1!$B$29</definedName>
    <definedName name="副露アガリ点" localSheetId="9">だいち!$B$29</definedName>
    <definedName name="副露アガリ点" localSheetId="7">たかの!$B$29</definedName>
    <definedName name="副露アガリ点" localSheetId="8">ただ!$B$29</definedName>
    <definedName name="副露アガリ点" localSheetId="10">りくと!$B$29</definedName>
    <definedName name="副露アガリ点" localSheetId="6">れんたろう!$B$29</definedName>
    <definedName name="副露アガリ点" localSheetId="11">わさび!$B$29</definedName>
    <definedName name="副露アガリ点" localSheetId="5">全体!$B$29</definedName>
    <definedName name="副露アガリ率" localSheetId="3">Template1!$C$25</definedName>
    <definedName name="副露アガリ率" localSheetId="9">だいち!$C$25</definedName>
    <definedName name="副露アガリ率" localSheetId="7">たかの!$C$25</definedName>
    <definedName name="副露アガリ率" localSheetId="8">ただ!$C$25</definedName>
    <definedName name="副露アガリ率" localSheetId="10">りくと!$C$25</definedName>
    <definedName name="副露アガリ率" localSheetId="6">れんたろう!$C$25</definedName>
    <definedName name="副露アガリ率" localSheetId="11">わさび!$C$25</definedName>
    <definedName name="副露アガリ率" localSheetId="5">全体!$C$25</definedName>
    <definedName name="副露数" localSheetId="3">Template1!$B$17</definedName>
    <definedName name="副露数" localSheetId="9">だいち!$B$17</definedName>
    <definedName name="副露数" localSheetId="7">たかの!$B$17</definedName>
    <definedName name="副露数" localSheetId="8">ただ!$B$17</definedName>
    <definedName name="副露数" localSheetId="10">りくと!$B$17</definedName>
    <definedName name="副露数" localSheetId="6">れんたろう!$B$17</definedName>
    <definedName name="副露数" localSheetId="11">わさび!$B$17</definedName>
    <definedName name="副露数" localSheetId="5">全体!$B$17</definedName>
    <definedName name="副露成功数" localSheetId="3">Template1!$B$19</definedName>
    <definedName name="副露成功数" localSheetId="9">だいち!$B$19</definedName>
    <definedName name="副露成功数" localSheetId="7">たかの!$B$19</definedName>
    <definedName name="副露成功数" localSheetId="8">ただ!$B$19</definedName>
    <definedName name="副露成功数" localSheetId="10">りくと!$B$19</definedName>
    <definedName name="副露成功数" localSheetId="6">れんたろう!$B$19</definedName>
    <definedName name="副露成功数" localSheetId="11">わさび!$B$19</definedName>
    <definedName name="副露成功数" localSheetId="5">全体!$B$19</definedName>
    <definedName name="副露成功率" localSheetId="3">Template1!$C$19</definedName>
    <definedName name="副露成功率" localSheetId="9">だいち!$C$19</definedName>
    <definedName name="副露成功率" localSheetId="7">たかの!$C$19</definedName>
    <definedName name="副露成功率" localSheetId="8">ただ!$C$19</definedName>
    <definedName name="副露成功率" localSheetId="10">りくと!$C$19</definedName>
    <definedName name="副露成功率" localSheetId="6">れんたろう!$C$19</definedName>
    <definedName name="副露成功率" localSheetId="11">わさび!$C$19</definedName>
    <definedName name="副露成功率" localSheetId="5">全体!$C$19</definedName>
    <definedName name="副露率" localSheetId="3">Template1!$C$17</definedName>
    <definedName name="副露率" localSheetId="9">だいち!$C$17</definedName>
    <definedName name="副露率" localSheetId="7">たかの!$C$17</definedName>
    <definedName name="副露率" localSheetId="8">ただ!$C$17</definedName>
    <definedName name="副露率" localSheetId="10">りくと!$C$17</definedName>
    <definedName name="副露率" localSheetId="6">れんたろう!$C$17</definedName>
    <definedName name="副露率" localSheetId="11">わさび!$C$17</definedName>
    <definedName name="副露率" localSheetId="5">全体!$C$17</definedName>
    <definedName name="平均アガリ点" localSheetId="3">Template1!$B$27</definedName>
    <definedName name="平均アガリ点" localSheetId="9">だいち!$B$27</definedName>
    <definedName name="平均アガリ点" localSheetId="7">たかの!$B$27</definedName>
    <definedName name="平均アガリ点" localSheetId="8">ただ!$B$27</definedName>
    <definedName name="平均アガリ点" localSheetId="10">りくと!$B$27</definedName>
    <definedName name="平均アガリ点" localSheetId="6">れんたろう!$B$27</definedName>
    <definedName name="平均アガリ点" localSheetId="11">わさび!$B$27</definedName>
    <definedName name="平均アガリ点" localSheetId="5">全体!$B$27</definedName>
    <definedName name="平均スコア" localSheetId="3">Template1!$B$5</definedName>
    <definedName name="平均スコア" localSheetId="9">だいち!$B$5</definedName>
    <definedName name="平均スコア" localSheetId="7">たかの!$B$5</definedName>
    <definedName name="平均スコア" localSheetId="8">ただ!$B$5</definedName>
    <definedName name="平均スコア" localSheetId="10">りくと!$B$5</definedName>
    <definedName name="平均スコア" localSheetId="6">れんたろう!$B$5</definedName>
    <definedName name="平均スコア" localSheetId="11">わさび!$B$5</definedName>
    <definedName name="平均スコア" localSheetId="5">全体!$B$5</definedName>
    <definedName name="平均順位" localSheetId="3">Template1!$B$7</definedName>
    <definedName name="平均順位" localSheetId="9">だいち!$B$7</definedName>
    <definedName name="平均順位" localSheetId="7">たかの!$B$7</definedName>
    <definedName name="平均順位" localSheetId="8">ただ!$B$7</definedName>
    <definedName name="平均順位" localSheetId="10">りくと!$B$7</definedName>
    <definedName name="平均順位" localSheetId="6">れんたろう!$B$7</definedName>
    <definedName name="平均順位" localSheetId="11">わさび!$B$7</definedName>
    <definedName name="平均順位" localSheetId="5">全体!$B$7</definedName>
    <definedName name="平均放銃点" localSheetId="3">Template1!$B$30</definedName>
    <definedName name="平均放銃点" localSheetId="9">だいち!$B$30</definedName>
    <definedName name="平均放銃点" localSheetId="7">たかの!$B$30</definedName>
    <definedName name="平均放銃点" localSheetId="8">ただ!$B$30</definedName>
    <definedName name="平均放銃点" localSheetId="10">りくと!$B$30</definedName>
    <definedName name="平均放銃点" localSheetId="6">れんたろう!$B$30</definedName>
    <definedName name="平均放銃点" localSheetId="11">わさび!$B$30</definedName>
    <definedName name="平均放銃点" localSheetId="5">全体!$B$30</definedName>
    <definedName name="放銃数" localSheetId="3">Template1!$B$21</definedName>
    <definedName name="放銃数" localSheetId="9">だいち!$B$21</definedName>
    <definedName name="放銃数" localSheetId="7">たかの!$B$21</definedName>
    <definedName name="放銃数" localSheetId="8">ただ!$B$21</definedName>
    <definedName name="放銃数" localSheetId="10">りくと!$B$21</definedName>
    <definedName name="放銃数" localSheetId="6">れんたろう!$B$21</definedName>
    <definedName name="放銃数" localSheetId="11">わさび!$B$21</definedName>
    <definedName name="放銃数" localSheetId="5">全体!$B$21</definedName>
    <definedName name="放銃率" localSheetId="3">Template1!$C$21</definedName>
    <definedName name="放銃率" localSheetId="9">だいち!$C$21</definedName>
    <definedName name="放銃率" localSheetId="7">たかの!$C$21</definedName>
    <definedName name="放銃率" localSheetId="8">ただ!$C$21</definedName>
    <definedName name="放銃率" localSheetId="10">りくと!$C$21</definedName>
    <definedName name="放銃率" localSheetId="6">れんたろう!$C$21</definedName>
    <definedName name="放銃率" localSheetId="11">わさび!$C$21</definedName>
    <definedName name="放銃率" localSheetId="5">全体!$C$21</definedName>
    <definedName name="名前" localSheetId="3">Template1!$B$1</definedName>
    <definedName name="名前" localSheetId="9">だいち!$B$1</definedName>
    <definedName name="名前" localSheetId="7">たかの!$B$1</definedName>
    <definedName name="名前" localSheetId="8">ただ!$B$1</definedName>
    <definedName name="名前" localSheetId="10">りくと!$B$1</definedName>
    <definedName name="名前" localSheetId="6">れんたろう!$B$1</definedName>
    <definedName name="名前" localSheetId="11">わさび!$B$1</definedName>
    <definedName name="名前" localSheetId="5">全体!$B$1</definedName>
    <definedName name="門前アガリ点" localSheetId="3">Template1!$B$28</definedName>
    <definedName name="門前アガリ点" localSheetId="9">だいち!$B$28</definedName>
    <definedName name="門前アガリ点" localSheetId="7">たかの!$B$28</definedName>
    <definedName name="門前アガリ点" localSheetId="8">ただ!$B$28</definedName>
    <definedName name="門前アガリ点" localSheetId="10">りくと!$B$28</definedName>
    <definedName name="門前アガリ点" localSheetId="6">れんたろう!$B$28</definedName>
    <definedName name="門前アガリ点" localSheetId="11">わさび!$B$28</definedName>
    <definedName name="門前アガリ点" localSheetId="5">全体!$B$28</definedName>
    <definedName name="連続アガリ" localSheetId="3">Template1!$B$31</definedName>
    <definedName name="連続アガリ" localSheetId="9">だいち!$B$31</definedName>
    <definedName name="連続アガリ" localSheetId="7">たかの!$B$31</definedName>
    <definedName name="連続アガリ" localSheetId="8">ただ!$B$31</definedName>
    <definedName name="連続アガリ" localSheetId="10">りくと!$B$31</definedName>
    <definedName name="連続アガリ" localSheetId="6">れんたろう!$B$31</definedName>
    <definedName name="連続アガリ" localSheetId="11">わさび!$B$31</definedName>
    <definedName name="連続アガリ" localSheetId="5">全体!$B$31</definedName>
    <definedName name="連続無放銃" localSheetId="3">Template1!$B$32</definedName>
    <definedName name="連続無放銃" localSheetId="9">だいち!$B$32</definedName>
    <definedName name="連続無放銃" localSheetId="7">たかの!$B$32</definedName>
    <definedName name="連続無放銃" localSheetId="8">ただ!$B$32</definedName>
    <definedName name="連続無放銃" localSheetId="10">りくと!$B$32</definedName>
    <definedName name="連続無放銃" localSheetId="6">れんたろう!$B$32</definedName>
    <definedName name="連続無放銃" localSheetId="11">わさび!$B$32</definedName>
    <definedName name="連続無放銃" localSheetId="5">全体!$B$32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16" i="6076" l="1"/>
  <c r="P16" i="6072"/>
  <c r="P16" i="6078" l="1"/>
  <c r="P15" i="6078"/>
  <c r="H37" i="6078"/>
  <c r="C35" i="6078"/>
  <c r="B30" i="6078"/>
  <c r="C26" i="6078"/>
  <c r="C25" i="6078"/>
  <c r="C21" i="6078"/>
  <c r="B20" i="6078"/>
  <c r="H52" i="6078" s="1"/>
  <c r="H21" i="6078"/>
  <c r="B19" i="6078"/>
  <c r="C19" i="6078" s="1"/>
  <c r="B18" i="6078"/>
  <c r="C18" i="6078" s="1"/>
  <c r="C17" i="6078"/>
  <c r="C16" i="6078"/>
  <c r="C15" i="6078"/>
  <c r="B13" i="6078"/>
  <c r="P12" i="6078"/>
  <c r="B12" i="6078"/>
  <c r="P11" i="6078"/>
  <c r="H13" i="6078"/>
  <c r="B11" i="6078"/>
  <c r="P10" i="6078"/>
  <c r="C10" i="6078"/>
  <c r="C9" i="6078"/>
  <c r="C8" i="6078"/>
  <c r="P7" i="6078"/>
  <c r="B7" i="6078"/>
  <c r="P6" i="6078"/>
  <c r="P5" i="6078"/>
  <c r="B5" i="6078"/>
  <c r="P4" i="6078"/>
  <c r="P3" i="6078"/>
  <c r="H9" i="6078"/>
  <c r="P2" i="6078"/>
  <c r="P17" i="6074"/>
  <c r="P15" i="6074"/>
  <c r="P18" i="6066"/>
  <c r="P15" i="6076"/>
  <c r="P17" i="6076"/>
  <c r="C35" i="6076"/>
  <c r="B30" i="6076"/>
  <c r="C21" i="6076"/>
  <c r="B20" i="6076"/>
  <c r="H51" i="6076" s="1"/>
  <c r="B19" i="6076"/>
  <c r="B29" i="6076" s="1"/>
  <c r="B18" i="6076"/>
  <c r="C18" i="6076" s="1"/>
  <c r="C17" i="6076"/>
  <c r="C16" i="6076"/>
  <c r="C15" i="6076"/>
  <c r="B13" i="6076"/>
  <c r="P12" i="6076"/>
  <c r="B12" i="6076"/>
  <c r="P11" i="6076"/>
  <c r="B11" i="6076"/>
  <c r="P10" i="6076"/>
  <c r="C10" i="6076"/>
  <c r="C9" i="6076"/>
  <c r="C8" i="6076"/>
  <c r="P7" i="6076"/>
  <c r="B7" i="6076"/>
  <c r="P6" i="6076"/>
  <c r="P5" i="6076"/>
  <c r="B5" i="6076"/>
  <c r="P4" i="6076"/>
  <c r="P3" i="6076"/>
  <c r="P2" i="6076"/>
  <c r="P15" i="6066"/>
  <c r="B29" i="6078" l="1"/>
  <c r="B14" i="6076"/>
  <c r="H18" i="6076"/>
  <c r="H9" i="6076"/>
  <c r="C24" i="6076"/>
  <c r="B27" i="6076"/>
  <c r="H30" i="6076"/>
  <c r="H23" i="6076"/>
  <c r="C41" i="6076"/>
  <c r="B14" i="6078"/>
  <c r="C19" i="6076"/>
  <c r="H17" i="6078"/>
  <c r="H44" i="6078"/>
  <c r="H45" i="6078"/>
  <c r="C45" i="6078"/>
  <c r="C20" i="6078"/>
  <c r="H48" i="6078"/>
  <c r="H28" i="6078"/>
  <c r="H18" i="6078"/>
  <c r="H46" i="6078"/>
  <c r="H11" i="6078"/>
  <c r="H40" i="6078"/>
  <c r="C22" i="6078"/>
  <c r="H41" i="6078"/>
  <c r="H49" i="6078"/>
  <c r="C37" i="6078"/>
  <c r="B27" i="6078"/>
  <c r="H3" i="6078"/>
  <c r="H5" i="6078"/>
  <c r="H24" i="6078"/>
  <c r="H31" i="6078"/>
  <c r="C41" i="6078"/>
  <c r="C49" i="6078"/>
  <c r="H38" i="6078"/>
  <c r="H14" i="6078"/>
  <c r="H2" i="6078"/>
  <c r="H16" i="6078"/>
  <c r="C23" i="6078"/>
  <c r="H32" i="6078"/>
  <c r="H42" i="6078"/>
  <c r="H50" i="6078"/>
  <c r="H6" i="6078"/>
  <c r="H8" i="6078"/>
  <c r="H20" i="6078"/>
  <c r="H23" i="6078"/>
  <c r="H27" i="6078"/>
  <c r="H30" i="6078"/>
  <c r="H36" i="6078"/>
  <c r="C40" i="6078"/>
  <c r="C44" i="6078"/>
  <c r="C48" i="6078"/>
  <c r="H25" i="6078"/>
  <c r="H12" i="6078"/>
  <c r="H33" i="6078"/>
  <c r="C38" i="6078"/>
  <c r="C42" i="6078"/>
  <c r="C46" i="6078"/>
  <c r="H51" i="6078"/>
  <c r="H7" i="6078"/>
  <c r="H10" i="6078"/>
  <c r="H15" i="6078"/>
  <c r="H19" i="6078"/>
  <c r="C24" i="6078"/>
  <c r="B28" i="6078"/>
  <c r="H34" i="6078"/>
  <c r="H39" i="6078"/>
  <c r="H43" i="6078"/>
  <c r="H47" i="6078"/>
  <c r="H4" i="6078"/>
  <c r="H22" i="6078"/>
  <c r="H26" i="6078"/>
  <c r="H29" i="6078"/>
  <c r="H35" i="6078"/>
  <c r="C39" i="6078"/>
  <c r="C43" i="6078"/>
  <c r="C47" i="6078"/>
  <c r="H42" i="6076"/>
  <c r="H14" i="6076"/>
  <c r="H19" i="6076"/>
  <c r="H43" i="6076"/>
  <c r="H47" i="6076"/>
  <c r="C43" i="6076"/>
  <c r="H6" i="6076"/>
  <c r="H20" i="6076"/>
  <c r="H12" i="6076"/>
  <c r="C22" i="6076"/>
  <c r="H37" i="6076"/>
  <c r="C47" i="6076"/>
  <c r="H7" i="6076"/>
  <c r="H26" i="6076"/>
  <c r="C37" i="6076"/>
  <c r="H48" i="6076"/>
  <c r="H10" i="6076"/>
  <c r="H16" i="6076"/>
  <c r="H3" i="6076"/>
  <c r="C23" i="6076"/>
  <c r="H38" i="6076"/>
  <c r="H49" i="6076"/>
  <c r="B28" i="6076"/>
  <c r="H13" i="6076"/>
  <c r="H31" i="6076"/>
  <c r="H39" i="6076"/>
  <c r="H44" i="6076"/>
  <c r="C49" i="6076"/>
  <c r="C20" i="6076"/>
  <c r="C25" i="6076"/>
  <c r="H32" i="6076"/>
  <c r="C39" i="6076"/>
  <c r="H45" i="6076"/>
  <c r="H50" i="6076"/>
  <c r="H2" i="6076"/>
  <c r="H8" i="6076"/>
  <c r="H17" i="6076"/>
  <c r="H21" i="6076"/>
  <c r="H24" i="6076"/>
  <c r="C26" i="6076"/>
  <c r="H34" i="6076"/>
  <c r="H40" i="6076"/>
  <c r="C45" i="6076"/>
  <c r="H4" i="6076"/>
  <c r="H5" i="6076"/>
  <c r="H29" i="6076"/>
  <c r="H35" i="6076"/>
  <c r="H41" i="6076"/>
  <c r="H46" i="6076"/>
  <c r="H52" i="6076"/>
  <c r="H22" i="6076"/>
  <c r="H25" i="6076"/>
  <c r="H28" i="6076"/>
  <c r="H15" i="6076"/>
  <c r="H36" i="6076"/>
  <c r="C40" i="6076"/>
  <c r="C44" i="6076"/>
  <c r="C48" i="6076"/>
  <c r="H27" i="6076"/>
  <c r="H11" i="6076"/>
  <c r="H33" i="6076"/>
  <c r="C38" i="6076"/>
  <c r="C42" i="6076"/>
  <c r="C46" i="6076"/>
  <c r="P16" i="6074" l="1"/>
  <c r="P16" i="6068"/>
  <c r="P18" i="6072"/>
  <c r="P17" i="6070"/>
  <c r="P20" i="6066"/>
  <c r="P18" i="6074"/>
  <c r="P19" i="6074"/>
  <c r="C35" i="6074"/>
  <c r="B30" i="6074"/>
  <c r="C21" i="6074"/>
  <c r="B20" i="6074"/>
  <c r="C47" i="6074" s="1"/>
  <c r="B19" i="6074"/>
  <c r="B29" i="6074" s="1"/>
  <c r="B18" i="6074"/>
  <c r="C18" i="6074" s="1"/>
  <c r="C17" i="6074"/>
  <c r="C16" i="6074"/>
  <c r="C15" i="6074"/>
  <c r="B13" i="6074"/>
  <c r="P12" i="6074"/>
  <c r="B12" i="6074"/>
  <c r="P11" i="6074"/>
  <c r="B11" i="6074"/>
  <c r="P10" i="6074"/>
  <c r="C10" i="6074"/>
  <c r="C9" i="6074"/>
  <c r="C8" i="6074"/>
  <c r="P7" i="6074"/>
  <c r="B7" i="6074"/>
  <c r="P6" i="6074"/>
  <c r="P5" i="6074"/>
  <c r="B5" i="6074"/>
  <c r="P4" i="6074"/>
  <c r="P3" i="6074"/>
  <c r="P2" i="6074"/>
  <c r="P17" i="6072"/>
  <c r="P15" i="6072"/>
  <c r="C35" i="6072"/>
  <c r="B30" i="6072"/>
  <c r="C21" i="6072"/>
  <c r="B20" i="6072"/>
  <c r="H50" i="6072" s="1"/>
  <c r="B19" i="6072"/>
  <c r="B29" i="6072" s="1"/>
  <c r="B18" i="6072"/>
  <c r="C18" i="6072" s="1"/>
  <c r="C17" i="6072"/>
  <c r="C16" i="6072"/>
  <c r="C15" i="6072"/>
  <c r="B13" i="6072"/>
  <c r="P12" i="6072"/>
  <c r="B12" i="6072"/>
  <c r="P11" i="6072"/>
  <c r="B11" i="6072"/>
  <c r="P10" i="6072"/>
  <c r="C10" i="6072"/>
  <c r="C9" i="6072"/>
  <c r="C8" i="6072"/>
  <c r="P7" i="6072"/>
  <c r="B7" i="6072"/>
  <c r="P6" i="6072"/>
  <c r="P5" i="6072"/>
  <c r="B5" i="6072"/>
  <c r="P4" i="6072"/>
  <c r="P3" i="6072"/>
  <c r="P2" i="6072"/>
  <c r="P15" i="6070"/>
  <c r="P16" i="6070"/>
  <c r="C35" i="6070"/>
  <c r="B30" i="6070"/>
  <c r="C21" i="6070"/>
  <c r="B20" i="6070"/>
  <c r="H51" i="6070" s="1"/>
  <c r="B19" i="6070"/>
  <c r="B29" i="6070" s="1"/>
  <c r="B18" i="6070"/>
  <c r="C18" i="6070" s="1"/>
  <c r="C17" i="6070"/>
  <c r="C16" i="6070"/>
  <c r="C15" i="6070"/>
  <c r="B13" i="6070"/>
  <c r="P12" i="6070"/>
  <c r="B12" i="6070"/>
  <c r="P11" i="6070"/>
  <c r="B11" i="6070"/>
  <c r="P10" i="6070"/>
  <c r="C10" i="6070"/>
  <c r="C9" i="6070"/>
  <c r="C8" i="6070"/>
  <c r="P7" i="6070"/>
  <c r="B7" i="6070"/>
  <c r="P6" i="6070"/>
  <c r="P5" i="6070"/>
  <c r="B5" i="6070"/>
  <c r="P4" i="6070"/>
  <c r="P3" i="6070"/>
  <c r="P2" i="6070"/>
  <c r="P16" i="6066"/>
  <c r="P15" i="6068"/>
  <c r="P17" i="6068"/>
  <c r="C38" i="6068"/>
  <c r="C35" i="6068"/>
  <c r="B30" i="6068"/>
  <c r="C21" i="6068"/>
  <c r="B20" i="6068"/>
  <c r="H50" i="6068" s="1"/>
  <c r="B19" i="6068"/>
  <c r="B29" i="6068" s="1"/>
  <c r="B18" i="6068"/>
  <c r="C18" i="6068" s="1"/>
  <c r="C17" i="6068"/>
  <c r="C16" i="6068"/>
  <c r="C15" i="6068"/>
  <c r="B13" i="6068"/>
  <c r="P12" i="6068"/>
  <c r="B12" i="6068"/>
  <c r="P11" i="6068"/>
  <c r="B11" i="6068"/>
  <c r="P10" i="6068"/>
  <c r="C10" i="6068"/>
  <c r="C9" i="6068"/>
  <c r="C8" i="6068"/>
  <c r="P7" i="6068"/>
  <c r="B7" i="6068"/>
  <c r="P6" i="6068"/>
  <c r="P5" i="6068"/>
  <c r="B5" i="6068"/>
  <c r="P4" i="6068"/>
  <c r="P3" i="6068"/>
  <c r="P2" i="6068"/>
  <c r="P17" i="6066"/>
  <c r="P19" i="6066"/>
  <c r="C35" i="6066"/>
  <c r="B30" i="6066"/>
  <c r="C21" i="6066"/>
  <c r="B20" i="6066"/>
  <c r="H52" i="6066" s="1"/>
  <c r="B19" i="6066"/>
  <c r="C19" i="6066" s="1"/>
  <c r="B18" i="6066"/>
  <c r="C18" i="6066" s="1"/>
  <c r="C17" i="6066"/>
  <c r="C16" i="6066"/>
  <c r="C15" i="6066"/>
  <c r="B13" i="6066"/>
  <c r="P12" i="6066"/>
  <c r="B12" i="6066"/>
  <c r="P11" i="6066"/>
  <c r="B11" i="6066"/>
  <c r="P10" i="6066"/>
  <c r="C10" i="6066"/>
  <c r="C9" i="6066"/>
  <c r="C8" i="6066"/>
  <c r="P7" i="6066"/>
  <c r="B7" i="6066"/>
  <c r="P6" i="6066"/>
  <c r="P5" i="6066"/>
  <c r="B5" i="6066"/>
  <c r="P4" i="6066"/>
  <c r="P3" i="6066"/>
  <c r="P2" i="6066"/>
  <c r="C19" i="6068" l="1"/>
  <c r="C19" i="6070"/>
  <c r="C19" i="6074"/>
  <c r="C19" i="6072"/>
  <c r="B29" i="6066"/>
  <c r="B14" i="6070"/>
  <c r="B14" i="6068"/>
  <c r="C20" i="6068"/>
  <c r="C20" i="6072"/>
  <c r="B14" i="6074"/>
  <c r="C20" i="6074"/>
  <c r="H4" i="6074"/>
  <c r="H35" i="6074"/>
  <c r="C38" i="6074"/>
  <c r="C42" i="6074"/>
  <c r="H29" i="6074"/>
  <c r="H22" i="6074"/>
  <c r="H9" i="6074"/>
  <c r="H14" i="6074"/>
  <c r="H16" i="6074"/>
  <c r="C24" i="6074"/>
  <c r="H36" i="6074"/>
  <c r="H44" i="6074"/>
  <c r="H6" i="6074"/>
  <c r="H12" i="6074"/>
  <c r="H52" i="6074"/>
  <c r="H23" i="6074"/>
  <c r="H18" i="6074"/>
  <c r="C25" i="6074"/>
  <c r="H41" i="6074"/>
  <c r="H45" i="6074"/>
  <c r="H49" i="6074"/>
  <c r="H5" i="6074"/>
  <c r="H11" i="6074"/>
  <c r="H26" i="6074"/>
  <c r="H17" i="6074"/>
  <c r="H30" i="6074"/>
  <c r="H20" i="6074"/>
  <c r="H38" i="6074"/>
  <c r="C40" i="6074"/>
  <c r="C44" i="6074"/>
  <c r="C48" i="6074"/>
  <c r="H8" i="6074"/>
  <c r="C46" i="6074"/>
  <c r="B28" i="6074"/>
  <c r="H40" i="6074"/>
  <c r="H48" i="6074"/>
  <c r="H2" i="6074"/>
  <c r="H25" i="6074"/>
  <c r="C22" i="6074"/>
  <c r="C26" i="6074"/>
  <c r="H39" i="6074"/>
  <c r="H42" i="6074"/>
  <c r="H46" i="6074"/>
  <c r="H50" i="6074"/>
  <c r="H7" i="6074"/>
  <c r="H13" i="6074"/>
  <c r="H24" i="6074"/>
  <c r="H28" i="6074"/>
  <c r="H31" i="6074"/>
  <c r="H33" i="6074"/>
  <c r="C37" i="6074"/>
  <c r="C41" i="6074"/>
  <c r="C45" i="6074"/>
  <c r="C49" i="6074"/>
  <c r="H10" i="6074"/>
  <c r="H15" i="6074"/>
  <c r="H19" i="6074"/>
  <c r="C23" i="6074"/>
  <c r="B27" i="6074"/>
  <c r="H34" i="6074"/>
  <c r="H21" i="6074"/>
  <c r="H43" i="6074"/>
  <c r="H47" i="6074"/>
  <c r="H51" i="6074"/>
  <c r="H3" i="6074"/>
  <c r="H27" i="6074"/>
  <c r="H32" i="6074"/>
  <c r="H37" i="6074"/>
  <c r="C39" i="6074"/>
  <c r="C43" i="6074"/>
  <c r="B14" i="6072"/>
  <c r="H3" i="6072"/>
  <c r="H28" i="6072"/>
  <c r="H20" i="6072"/>
  <c r="C42" i="6072"/>
  <c r="C46" i="6072"/>
  <c r="B28" i="6072"/>
  <c r="H39" i="6072"/>
  <c r="H47" i="6072"/>
  <c r="H26" i="6072"/>
  <c r="H15" i="6072"/>
  <c r="H31" i="6072"/>
  <c r="H35" i="6072"/>
  <c r="C39" i="6072"/>
  <c r="C43" i="6072"/>
  <c r="C47" i="6072"/>
  <c r="H52" i="6072"/>
  <c r="H16" i="6072"/>
  <c r="H22" i="6072"/>
  <c r="C25" i="6072"/>
  <c r="H40" i="6072"/>
  <c r="H44" i="6072"/>
  <c r="H48" i="6072"/>
  <c r="H9" i="6072"/>
  <c r="H10" i="6072"/>
  <c r="H25" i="6072"/>
  <c r="H14" i="6072"/>
  <c r="H29" i="6072"/>
  <c r="H19" i="6072"/>
  <c r="H36" i="6072"/>
  <c r="C40" i="6072"/>
  <c r="C44" i="6072"/>
  <c r="C48" i="6072"/>
  <c r="H11" i="6072"/>
  <c r="C38" i="6072"/>
  <c r="H51" i="6072"/>
  <c r="H2" i="6072"/>
  <c r="H7" i="6072"/>
  <c r="H21" i="6072"/>
  <c r="H24" i="6072"/>
  <c r="C24" i="6072"/>
  <c r="H34" i="6072"/>
  <c r="H43" i="6072"/>
  <c r="H4" i="6072"/>
  <c r="H5" i="6072"/>
  <c r="H23" i="6072"/>
  <c r="C22" i="6072"/>
  <c r="C26" i="6072"/>
  <c r="H37" i="6072"/>
  <c r="H41" i="6072"/>
  <c r="H45" i="6072"/>
  <c r="H49" i="6072"/>
  <c r="H6" i="6072"/>
  <c r="H12" i="6072"/>
  <c r="H17" i="6072"/>
  <c r="H27" i="6072"/>
  <c r="H30" i="6072"/>
  <c r="H32" i="6072"/>
  <c r="C37" i="6072"/>
  <c r="C41" i="6072"/>
  <c r="C45" i="6072"/>
  <c r="C49" i="6072"/>
  <c r="H8" i="6072"/>
  <c r="H13" i="6072"/>
  <c r="H18" i="6072"/>
  <c r="C23" i="6072"/>
  <c r="B27" i="6072"/>
  <c r="H33" i="6072"/>
  <c r="H38" i="6072"/>
  <c r="H42" i="6072"/>
  <c r="H46" i="6072"/>
  <c r="C20" i="6066"/>
  <c r="H5" i="6066"/>
  <c r="H18" i="6070"/>
  <c r="H16" i="6070"/>
  <c r="H14" i="6070"/>
  <c r="B28" i="6070"/>
  <c r="H41" i="6070"/>
  <c r="H29" i="6070"/>
  <c r="H42" i="6070"/>
  <c r="H12" i="6070"/>
  <c r="H30" i="6070"/>
  <c r="H43" i="6070"/>
  <c r="H8" i="6070"/>
  <c r="H17" i="6070"/>
  <c r="H13" i="6070"/>
  <c r="C43" i="6070"/>
  <c r="H10" i="6070"/>
  <c r="C22" i="6070"/>
  <c r="H47" i="6070"/>
  <c r="H3" i="6070"/>
  <c r="H6" i="6070"/>
  <c r="H23" i="6070"/>
  <c r="C23" i="6070"/>
  <c r="H36" i="6070"/>
  <c r="C47" i="6070"/>
  <c r="C24" i="6070"/>
  <c r="H37" i="6070"/>
  <c r="H48" i="6070"/>
  <c r="H7" i="6070"/>
  <c r="H21" i="6070"/>
  <c r="B27" i="6070"/>
  <c r="H38" i="6070"/>
  <c r="C48" i="6070"/>
  <c r="H15" i="6070"/>
  <c r="H39" i="6070"/>
  <c r="H44" i="6070"/>
  <c r="H49" i="6070"/>
  <c r="H4" i="6070"/>
  <c r="H22" i="6070"/>
  <c r="C20" i="6070"/>
  <c r="C25" i="6070"/>
  <c r="H32" i="6070"/>
  <c r="C39" i="6070"/>
  <c r="C44" i="6070"/>
  <c r="H50" i="6070"/>
  <c r="H2" i="6070"/>
  <c r="H9" i="6070"/>
  <c r="H19" i="6070"/>
  <c r="H24" i="6070"/>
  <c r="H27" i="6070"/>
  <c r="H34" i="6070"/>
  <c r="H40" i="6070"/>
  <c r="H45" i="6070"/>
  <c r="H5" i="6070"/>
  <c r="H20" i="6070"/>
  <c r="C26" i="6070"/>
  <c r="H35" i="6070"/>
  <c r="C40" i="6070"/>
  <c r="H46" i="6070"/>
  <c r="H52" i="6070"/>
  <c r="H25" i="6070"/>
  <c r="H28" i="6070"/>
  <c r="H31" i="6070"/>
  <c r="C37" i="6070"/>
  <c r="C41" i="6070"/>
  <c r="C45" i="6070"/>
  <c r="C49" i="6070"/>
  <c r="H26" i="6070"/>
  <c r="H11" i="6070"/>
  <c r="H33" i="6070"/>
  <c r="C38" i="6070"/>
  <c r="C42" i="6070"/>
  <c r="C46" i="6070"/>
  <c r="H11" i="6068"/>
  <c r="H26" i="6068"/>
  <c r="H13" i="6068"/>
  <c r="C46" i="6068"/>
  <c r="H7" i="6068"/>
  <c r="H34" i="6068"/>
  <c r="H5" i="6068"/>
  <c r="H12" i="6068"/>
  <c r="H52" i="6068"/>
  <c r="H48" i="6068"/>
  <c r="H6" i="6068"/>
  <c r="H9" i="6068"/>
  <c r="H23" i="6068"/>
  <c r="H17" i="6068"/>
  <c r="H27" i="6068"/>
  <c r="H30" i="6068"/>
  <c r="H36" i="6068"/>
  <c r="C40" i="6068"/>
  <c r="C44" i="6068"/>
  <c r="C48" i="6068"/>
  <c r="H22" i="6068"/>
  <c r="H35" i="6068"/>
  <c r="C43" i="6068"/>
  <c r="H40" i="6068"/>
  <c r="H2" i="6068"/>
  <c r="H21" i="6068"/>
  <c r="C22" i="6068"/>
  <c r="C26" i="6068"/>
  <c r="H37" i="6068"/>
  <c r="H41" i="6068"/>
  <c r="H45" i="6068"/>
  <c r="H49" i="6068"/>
  <c r="C42" i="6068"/>
  <c r="C24" i="6068"/>
  <c r="H43" i="6068"/>
  <c r="H29" i="6068"/>
  <c r="C39" i="6068"/>
  <c r="H20" i="6068"/>
  <c r="H44" i="6068"/>
  <c r="H4" i="6068"/>
  <c r="H10" i="6068"/>
  <c r="H18" i="6068"/>
  <c r="H25" i="6068"/>
  <c r="H28" i="6068"/>
  <c r="H31" i="6068"/>
  <c r="C37" i="6068"/>
  <c r="C41" i="6068"/>
  <c r="C45" i="6068"/>
  <c r="C49" i="6068"/>
  <c r="H33" i="6068"/>
  <c r="H51" i="6068"/>
  <c r="H3" i="6068"/>
  <c r="H19" i="6068"/>
  <c r="B28" i="6068"/>
  <c r="H39" i="6068"/>
  <c r="H47" i="6068"/>
  <c r="H24" i="6068"/>
  <c r="C47" i="6068"/>
  <c r="H15" i="6068"/>
  <c r="C25" i="6068"/>
  <c r="H8" i="6068"/>
  <c r="H14" i="6068"/>
  <c r="H16" i="6068"/>
  <c r="C23" i="6068"/>
  <c r="B27" i="6068"/>
  <c r="H32" i="6068"/>
  <c r="H38" i="6068"/>
  <c r="H42" i="6068"/>
  <c r="H46" i="6068"/>
  <c r="B14" i="6066"/>
  <c r="H16" i="6066"/>
  <c r="C25" i="6066"/>
  <c r="H41" i="6066"/>
  <c r="H49" i="6066"/>
  <c r="H7" i="6066"/>
  <c r="H11" i="6066"/>
  <c r="H27" i="6066"/>
  <c r="H15" i="6066"/>
  <c r="H31" i="6066"/>
  <c r="H18" i="6066"/>
  <c r="H38" i="6066"/>
  <c r="C40" i="6066"/>
  <c r="C44" i="6066"/>
  <c r="C48" i="6066"/>
  <c r="H22" i="6066"/>
  <c r="H45" i="6066"/>
  <c r="H3" i="6066"/>
  <c r="H26" i="6066"/>
  <c r="C22" i="6066"/>
  <c r="C26" i="6066"/>
  <c r="H39" i="6066"/>
  <c r="H42" i="6066"/>
  <c r="H46" i="6066"/>
  <c r="H50" i="6066"/>
  <c r="H6" i="6066"/>
  <c r="H12" i="6066"/>
  <c r="H19" i="6066"/>
  <c r="H29" i="6066"/>
  <c r="H32" i="6066"/>
  <c r="H34" i="6066"/>
  <c r="C37" i="6066"/>
  <c r="C41" i="6066"/>
  <c r="C45" i="6066"/>
  <c r="C49" i="6066"/>
  <c r="H9" i="6066"/>
  <c r="H14" i="6066"/>
  <c r="H17" i="6066"/>
  <c r="C23" i="6066"/>
  <c r="B27" i="6066"/>
  <c r="H35" i="6066"/>
  <c r="H24" i="6066"/>
  <c r="H43" i="6066"/>
  <c r="H47" i="6066"/>
  <c r="H51" i="6066"/>
  <c r="H30" i="6066"/>
  <c r="H10" i="6066"/>
  <c r="H23" i="6066"/>
  <c r="C38" i="6066"/>
  <c r="C42" i="6066"/>
  <c r="C46" i="6066"/>
  <c r="H25" i="6066"/>
  <c r="H2" i="6066"/>
  <c r="H40" i="6066"/>
  <c r="H8" i="6066"/>
  <c r="H20" i="6066"/>
  <c r="H21" i="6066"/>
  <c r="C24" i="6066"/>
  <c r="B28" i="6066"/>
  <c r="H36" i="6066"/>
  <c r="H44" i="6066"/>
  <c r="H48" i="6066"/>
  <c r="H4" i="6066"/>
  <c r="H28" i="6066"/>
  <c r="H13" i="6066"/>
  <c r="H33" i="6066"/>
  <c r="H37" i="6066"/>
  <c r="C39" i="6066"/>
  <c r="C43" i="6066"/>
  <c r="C47" i="6066"/>
  <c r="C35" i="6023" l="1"/>
  <c r="B30" i="6023"/>
  <c r="C21" i="6023"/>
  <c r="C20" i="6023"/>
  <c r="B20" i="6023"/>
  <c r="H52" i="6023" s="1"/>
  <c r="C19" i="6023"/>
  <c r="B19" i="6023"/>
  <c r="B29" i="6023" s="1"/>
  <c r="C18" i="6023"/>
  <c r="B18" i="6023"/>
  <c r="C17" i="6023"/>
  <c r="C16" i="6023"/>
  <c r="C15" i="6023"/>
  <c r="P12" i="6023"/>
  <c r="H12" i="6023"/>
  <c r="B13" i="6023"/>
  <c r="P11" i="6023"/>
  <c r="B12" i="6023"/>
  <c r="P10" i="6023"/>
  <c r="B11" i="6023"/>
  <c r="C10" i="6023"/>
  <c r="C9" i="6023"/>
  <c r="P7" i="6023"/>
  <c r="C8" i="6023"/>
  <c r="P6" i="6023"/>
  <c r="B7" i="6023"/>
  <c r="P5" i="6023"/>
  <c r="B5" i="6023"/>
  <c r="P4" i="6023"/>
  <c r="P3" i="6023"/>
  <c r="H3" i="6023"/>
  <c r="P2" i="6023"/>
  <c r="H9" i="6023" l="1"/>
  <c r="B14" i="6023"/>
  <c r="H6" i="6023"/>
  <c r="H17" i="6023"/>
  <c r="H20" i="6023"/>
  <c r="H24" i="6023"/>
  <c r="H28" i="6023"/>
  <c r="H31" i="6023"/>
  <c r="C38" i="6023"/>
  <c r="C40" i="6023"/>
  <c r="C44" i="6023"/>
  <c r="C48" i="6023"/>
  <c r="H11" i="6023"/>
  <c r="H14" i="6023"/>
  <c r="C22" i="6023"/>
  <c r="B28" i="6023"/>
  <c r="H32" i="6023"/>
  <c r="H45" i="6023"/>
  <c r="H19" i="6023"/>
  <c r="H21" i="6023"/>
  <c r="H23" i="6023"/>
  <c r="H25" i="6023"/>
  <c r="H27" i="6023"/>
  <c r="H29" i="6023"/>
  <c r="H33" i="6023"/>
  <c r="C37" i="6023"/>
  <c r="C39" i="6023"/>
  <c r="C41" i="6023"/>
  <c r="C43" i="6023"/>
  <c r="C45" i="6023"/>
  <c r="C47" i="6023"/>
  <c r="C49" i="6023"/>
  <c r="H51" i="6023"/>
  <c r="H22" i="6023"/>
  <c r="H26" i="6023"/>
  <c r="H34" i="6023"/>
  <c r="C42" i="6023"/>
  <c r="C46" i="6023"/>
  <c r="H49" i="6023"/>
  <c r="H5" i="6023"/>
  <c r="H16" i="6023"/>
  <c r="C24" i="6023"/>
  <c r="C26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3" i="6023"/>
  <c r="C25" i="6023"/>
  <c r="B27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<sst xmlns="http://schemas.openxmlformats.org/spreadsheetml/2006/main" count="1918" uniqueCount="232">
  <si>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</si>
  <si>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</si>
  <si>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</si>
  <si>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</si>
  <si>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</si>
  <si>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</si>
  <si>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</si>
  <si>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</si>
  <si>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</si>
  <si>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</si>
  <si>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</si>
  <si>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</si>
  <si>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</si>
  <si>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</si>
  <si>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</si>
  <si>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</si>
  <si>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</si>
  <si>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</si>
  <si>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</si>
  <si>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</si>
  <si>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</si>
  <si>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</si>
  <si>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</si>
  <si>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</si>
  <si>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</si>
  <si>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</si>
  <si>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</si>
  <si>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</si>
  <si>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</si>
  <si>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</si>
  <si>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</si>
  <si>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</si>
  <si>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</si>
  <si>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</si>
  <si>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</si>
  <si>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</si>
  <si>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</si>
  <si>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</si>
  <si>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</si>
  <si>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</si>
  <si>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</si>
  <si>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</si>
  <si>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</si>
  <si>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</si>
  <si>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</si>
  <si>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</si>
  <si>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</si>
  <si>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</si>
  <si>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</si>
  <si>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</si>
  <si>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</si>
  <si>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</si>
  <si>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</si>
  <si>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</si>
  <si>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</si>
  <si>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</si>
  <si>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</si>
  <si>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</si>
  <si>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</si>
  <si>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</si>
  <si>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</si>
  <si>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</si>
  <si>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</si>
  <si>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</si>
  <si>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</si>
  <si>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</si>
  <si>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</si>
  <si>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</si>
  <si>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</si>
  <si>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</si>
  <si>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</si>
  <si>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</si>
  <si>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</si>
  <si>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</si>
  <si>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</si>
  <si>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</si>
  <si>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</si>
  <si>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</si>
  <si>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</si>
  <si>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</si>
  <si>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</si>
  <si>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</si>
  <si>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</si>
  <si>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</si>
  <si>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</si>
  <si>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</si>
  <si>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</si>
  <si>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</si>
  <si>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</si>
  <si>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</si>
  <si>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</si>
  <si>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</si>
  <si>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</si>
  <si>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</si>
  <si>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</si>
  <si>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</si>
  <si>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</si>
  <si>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</si>
  <si>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</si>
  <si>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</si>
  <si>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</si>
  <si>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</si>
  <si>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</si>
  <si>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</si>
  <si>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</si>
  <si>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</si>
  <si>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</si>
  <si>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</si>
  <si>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</si>
  <si>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</si>
  <si>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</si>
  <si>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</si>
  <si>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</si>
  <si>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</si>
  <si>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</si>
  <si>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</si>
  <si>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</si>
  <si>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</si>
  <si>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</si>
  <si>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</si>
  <si>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</si>
  <si>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</si>
  <si>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</si>
  <si>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</si>
  <si>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</si>
  <si>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</si>
  <si>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</si>
  <si>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</si>
  <si>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</si>
  <si>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</si>
  <si>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</si>
  <si>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</si>
  <si>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</si>
  <si>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</si>
  <si>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</si>
  <si>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</si>
  <si>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</si>
  <si>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</si>
  <si>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</si>
  <si>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</si>
  <si>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</si>
  <si>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</si>
  <si>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</si>
  <si>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</si>
  <si>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</si>
  <si>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</si>
  <si>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</si>
  <si>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</si>
  <si>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</si>
  <si>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</si>
  <si>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</si>
  <si>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</si>
  <si>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</si>
  <si>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</si>
  <si>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</si>
  <si>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</si>
  <si>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</si>
  <si>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</si>
  <si>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</si>
  <si>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</si>
  <si>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</si>
  <si>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</si>
  <si>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</si>
  <si>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</si>
  <si>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</si>
  <si>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</si>
  <si>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</si>
  <si>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</si>
  <si>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</si>
  <si>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</si>
  <si>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</si>
  <si>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</si>
  <si>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</si>
  <si>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</si>
  <si>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</si>
  <si>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</si>
  <si>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</si>
  <si>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</si>
  <si>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</si>
  <si>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</si>
  <si>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</si>
  <si>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</si>
  <si>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</si>
  <si>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</si>
  <si>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</si>
  <si>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</si>
  <si>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</si>
  <si>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たかの</t>
  </si>
  <si>
    <t>まっつん</t>
  </si>
  <si>
    <t>ただ</t>
  </si>
  <si>
    <t>のり</t>
  </si>
  <si>
    <t>りくと</t>
  </si>
  <si>
    <t>レーティング</t>
    <phoneticPr fontId="1"/>
  </si>
  <si>
    <t>R</t>
    <phoneticPr fontId="1"/>
  </si>
  <si>
    <t>ともき</t>
  </si>
  <si>
    <t>ぱぱ</t>
  </si>
  <si>
    <t>あさひ</t>
  </si>
  <si>
    <t>いっしー</t>
  </si>
  <si>
    <t>ほたに</t>
  </si>
  <si>
    <t>かわたつ</t>
  </si>
  <si>
    <t>やがさき</t>
  </si>
  <si>
    <t>ちさと</t>
  </si>
  <si>
    <t>かこたろう</t>
  </si>
  <si>
    <t>がくと</t>
  </si>
  <si>
    <t>相関</t>
    <rPh sb="0" eb="2">
      <t>ソウカン</t>
    </rPh>
    <phoneticPr fontId="1"/>
  </si>
  <si>
    <t>ゆう</t>
  </si>
  <si>
    <t>てんちゃん</t>
  </si>
  <si>
    <t>いちかわ</t>
  </si>
  <si>
    <t>たか</t>
  </si>
  <si>
    <t>わさび</t>
  </si>
  <si>
    <t>やなぎ</t>
  </si>
  <si>
    <t>Sheet1</t>
  </si>
  <si>
    <t>Sheet2</t>
  </si>
  <si>
    <t>Sheet3</t>
  </si>
  <si>
    <t>Sheet4</t>
  </si>
  <si>
    <t>Sheet5</t>
  </si>
  <si>
    <t>Sheet6</t>
  </si>
  <si>
    <t>Sheet7</t>
  </si>
  <si>
    <t>Sheet8</t>
  </si>
  <si>
    <t>Sheet9</t>
  </si>
  <si>
    <t>2023-05-02@AllStar.xlsm</t>
  </si>
  <si>
    <t>2023-03-04@Ina.xlsm</t>
  </si>
  <si>
    <t>Sheet10</t>
  </si>
  <si>
    <t>Sheet11</t>
  </si>
  <si>
    <t>Sheet12</t>
  </si>
  <si>
    <t>Sheet13</t>
  </si>
  <si>
    <t>Sheet14</t>
  </si>
  <si>
    <t>Sheet15</t>
  </si>
  <si>
    <t>Sheet16</t>
  </si>
  <si>
    <t>Sheet17</t>
  </si>
  <si>
    <t>2023-08-13@Kohama.xlsm</t>
  </si>
  <si>
    <t>わさび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</si>
</sst>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49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1" fontId="0" fillId="0" borderId="11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1" fontId="0" fillId="0" borderId="3" xfId="0" applyNumberFormat="1" applyBorder="1" applyAlignment="1">
      <alignment horizontal="center" vertical="center" shrinkToFit="1"/>
    </xf>
    <xf numFmtId="177" fontId="0" fillId="0" borderId="1" xfId="0" applyNumberFormat="1" applyBorder="1" applyAlignment="1">
      <alignment horizontal="center" vertical="center" shrinkToFit="1"/>
    </xf>
    <xf numFmtId="177" fontId="0" fillId="0" borderId="2" xfId="0" applyNumberFormat="1" applyBorder="1" applyAlignment="1">
      <alignment horizontal="center" vertical="center" shrinkToFit="1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hartsheet" Target="chartsheets/sheet7.xml"/><Relationship Id="rId39" Type="http://schemas.microsoft.com/office/2006/relationships/vbaProject" Target="vbaProject.bin"/><Relationship Id="rId21" Type="http://schemas.openxmlformats.org/officeDocument/2006/relationships/chartsheet" Target="chartsheets/sheet2.xml"/><Relationship Id="rId34" Type="http://schemas.openxmlformats.org/officeDocument/2006/relationships/chartsheet" Target="chartsheets/sheet15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hartsheet" Target="chartsheets/sheet6.xml"/><Relationship Id="rId33" Type="http://schemas.openxmlformats.org/officeDocument/2006/relationships/chartsheet" Target="chartsheets/sheet14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hartsheet" Target="chartsheets/sheet1.xml"/><Relationship Id="rId29" Type="http://schemas.openxmlformats.org/officeDocument/2006/relationships/chartsheet" Target="chartsheets/sheet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hartsheet" Target="chartsheets/sheet5.xml"/><Relationship Id="rId32" Type="http://schemas.openxmlformats.org/officeDocument/2006/relationships/chartsheet" Target="chartsheets/sheet13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hartsheet" Target="chartsheets/sheet4.xml"/><Relationship Id="rId28" Type="http://schemas.openxmlformats.org/officeDocument/2006/relationships/chartsheet" Target="chartsheets/sheet9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1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hartsheet" Target="chartsheets/sheet3.xml"/><Relationship Id="rId27" Type="http://schemas.openxmlformats.org/officeDocument/2006/relationships/chartsheet" Target="chartsheets/sheet8.xml"/><Relationship Id="rId30" Type="http://schemas.openxmlformats.org/officeDocument/2006/relationships/chartsheet" Target="chartsheets/sheet11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Template1!$L$2</c:f>
              <c:numCache>
                <c:formatCode>\+0.0;\-0.0;\±0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42064"/>
        <c:axId val="-1152530640"/>
      </c:scatterChart>
      <c:valAx>
        <c:axId val="-1152542064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640"/>
        <c:crossesAt val="0"/>
        <c:crossBetween val="midCat"/>
      </c:valAx>
      <c:valAx>
        <c:axId val="-1152530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2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Template1!$P$2:$P$7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152541520"/>
        <c:axId val="-1152529552"/>
      </c:lineChart>
      <c:catAx>
        <c:axId val="-1152541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552"/>
        <c:crossesAt val="0"/>
        <c:auto val="1"/>
        <c:lblAlgn val="ctr"/>
        <c:lblOffset val="100"/>
        <c:noMultiLvlLbl val="0"/>
      </c:catAx>
      <c:valAx>
        <c:axId val="-1152529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1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1152530096"/>
        <c:axId val="-1152540432"/>
      </c:barChart>
      <c:catAx>
        <c:axId val="-115253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0432"/>
        <c:crossesAt val="0"/>
        <c:auto val="1"/>
        <c:lblAlgn val="ctr"/>
        <c:lblOffset val="100"/>
        <c:noMultiLvlLbl val="0"/>
      </c:catAx>
      <c:valAx>
        <c:axId val="-1152540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Template1!$M$2</c:f>
              <c:numCache>
                <c:formatCode>0</c:formatCode>
                <c:ptCount val="1"/>
                <c:pt idx="0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4448"/>
        <c:axId val="-1152529008"/>
      </c:scatterChart>
      <c:valAx>
        <c:axId val="-115253444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008"/>
        <c:crossesAt val="1500"/>
        <c:crossBetween val="midCat"/>
      </c:valAx>
      <c:valAx>
        <c:axId val="-115252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4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全体!$K$2:$K$101</c:f>
              <c:numCache>
                <c:formatCode>General</c:formatCode>
                <c:ptCount val="1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</c:numCache>
            </c:numRef>
          </c:xVal>
          <c:yVal>
            <c:numRef>
              <c:f>全体!$L$2:$L$101</c:f>
              <c:numCache>
                <c:formatCode>\+0.0;\-0.0;\±0</c:formatCode>
                <c:ptCount val="100"/>
                <c:pt idx="0">
                  <c:v>0</c:v>
                </c:pt>
                <c:pt idx="1">
                  <c:v>-58</c:v>
                </c:pt>
                <c:pt idx="2">
                  <c:v>-6.5</c:v>
                </c:pt>
                <c:pt idx="3">
                  <c:v>0</c:v>
                </c:pt>
                <c:pt idx="4">
                  <c:v>30.8</c:v>
                </c:pt>
                <c:pt idx="5">
                  <c:v>0.60000000000000142</c:v>
                </c:pt>
                <c:pt idx="6">
                  <c:v>1.4432899320127035E-15</c:v>
                </c:pt>
                <c:pt idx="7">
                  <c:v>44.3</c:v>
                </c:pt>
                <c:pt idx="8">
                  <c:v>-11.300000000000004</c:v>
                </c:pt>
                <c:pt idx="9">
                  <c:v>-3.5527136788005009E-15</c:v>
                </c:pt>
                <c:pt idx="10">
                  <c:v>21.599999999999998</c:v>
                </c:pt>
                <c:pt idx="11">
                  <c:v>20.999999999999996</c:v>
                </c:pt>
                <c:pt idx="12">
                  <c:v>-3.5527136788005009E-15</c:v>
                </c:pt>
                <c:pt idx="13">
                  <c:v>42.5</c:v>
                </c:pt>
                <c:pt idx="14">
                  <c:v>33.6</c:v>
                </c:pt>
                <c:pt idx="15">
                  <c:v>0</c:v>
                </c:pt>
                <c:pt idx="16">
                  <c:v>1.4</c:v>
                </c:pt>
                <c:pt idx="17">
                  <c:v>32.700000000000003</c:v>
                </c:pt>
                <c:pt idx="18">
                  <c:v>0</c:v>
                </c:pt>
                <c:pt idx="19">
                  <c:v>7.6</c:v>
                </c:pt>
                <c:pt idx="20">
                  <c:v>41.2</c:v>
                </c:pt>
                <c:pt idx="21">
                  <c:v>0</c:v>
                </c:pt>
                <c:pt idx="22">
                  <c:v>-38.700000000000003</c:v>
                </c:pt>
                <c:pt idx="23">
                  <c:v>-7.8000000000000043</c:v>
                </c:pt>
                <c:pt idx="24">
                  <c:v>-4.4408920985006262E-15</c:v>
                </c:pt>
                <c:pt idx="25">
                  <c:v>61.399999999999991</c:v>
                </c:pt>
                <c:pt idx="26">
                  <c:v>6.3999999999999915</c:v>
                </c:pt>
                <c:pt idx="27">
                  <c:v>-8.8817841970012523E-15</c:v>
                </c:pt>
                <c:pt idx="28">
                  <c:v>-0.80000000000000893</c:v>
                </c:pt>
                <c:pt idx="29">
                  <c:v>45.999999999999986</c:v>
                </c:pt>
                <c:pt idx="30">
                  <c:v>-1.4210854715202004E-14</c:v>
                </c:pt>
                <c:pt idx="31">
                  <c:v>-14.700000000000014</c:v>
                </c:pt>
                <c:pt idx="32">
                  <c:v>57.59999999999998</c:v>
                </c:pt>
                <c:pt idx="33">
                  <c:v>-2.1316282072803006E-14</c:v>
                </c:pt>
                <c:pt idx="34">
                  <c:v>31.299999999999979</c:v>
                </c:pt>
                <c:pt idx="35">
                  <c:v>5.2999999999999794</c:v>
                </c:pt>
                <c:pt idx="36">
                  <c:v>-2.042810365310288E-14</c:v>
                </c:pt>
                <c:pt idx="37">
                  <c:v>-58.90000000000002</c:v>
                </c:pt>
                <c:pt idx="38">
                  <c:v>10.699999999999974</c:v>
                </c:pt>
                <c:pt idx="39">
                  <c:v>-2.4868995751603507E-14</c:v>
                </c:pt>
                <c:pt idx="40">
                  <c:v>-45.40000000000002</c:v>
                </c:pt>
                <c:pt idx="41">
                  <c:v>-51.800000000000018</c:v>
                </c:pt>
                <c:pt idx="42">
                  <c:v>-2.1316282072803006E-14</c:v>
                </c:pt>
                <c:pt idx="43">
                  <c:v>4.4999999999999787</c:v>
                </c:pt>
                <c:pt idx="44">
                  <c:v>36.999999999999979</c:v>
                </c:pt>
                <c:pt idx="45">
                  <c:v>-2.1316282072803006E-14</c:v>
                </c:pt>
                <c:pt idx="46">
                  <c:v>-1.5000000000000213</c:v>
                </c:pt>
                <c:pt idx="47">
                  <c:v>-44.90000000000002</c:v>
                </c:pt>
                <c:pt idx="48">
                  <c:v>-2.1316282072803006E-14</c:v>
                </c:pt>
                <c:pt idx="49">
                  <c:v>5.6999999999999789</c:v>
                </c:pt>
                <c:pt idx="50">
                  <c:v>52.799999999999983</c:v>
                </c:pt>
                <c:pt idx="51">
                  <c:v>-1.4210854715202004E-14</c:v>
                </c:pt>
                <c:pt idx="52">
                  <c:v>4.9999999999999858</c:v>
                </c:pt>
                <c:pt idx="53">
                  <c:v>40.299999999999983</c:v>
                </c:pt>
                <c:pt idx="54">
                  <c:v>-1.4210854715202004E-14</c:v>
                </c:pt>
                <c:pt idx="55">
                  <c:v>-54.200000000000017</c:v>
                </c:pt>
                <c:pt idx="56">
                  <c:v>21.199999999999989</c:v>
                </c:pt>
                <c:pt idx="57">
                  <c:v>-1.0658141036401503E-14</c:v>
                </c:pt>
                <c:pt idx="58">
                  <c:v>-12.500000000000011</c:v>
                </c:pt>
                <c:pt idx="59">
                  <c:v>40.499999999999986</c:v>
                </c:pt>
                <c:pt idx="60">
                  <c:v>-1.4210854715202004E-14</c:v>
                </c:pt>
                <c:pt idx="61">
                  <c:v>12.099999999999985</c:v>
                </c:pt>
                <c:pt idx="62">
                  <c:v>45.999999999999986</c:v>
                </c:pt>
                <c:pt idx="63">
                  <c:v>-1.4210854715202004E-14</c:v>
                </c:pt>
                <c:pt idx="64">
                  <c:v>-1.8000000000000143</c:v>
                </c:pt>
                <c:pt idx="65">
                  <c:v>-32.600000000000016</c:v>
                </c:pt>
                <c:pt idx="66">
                  <c:v>-1.4210854715202004E-14</c:v>
                </c:pt>
                <c:pt idx="67">
                  <c:v>-55.500000000000014</c:v>
                </c:pt>
                <c:pt idx="68">
                  <c:v>-4.5000000000000142</c:v>
                </c:pt>
                <c:pt idx="69">
                  <c:v>-1.4210854715202004E-14</c:v>
                </c:pt>
                <c:pt idx="70">
                  <c:v>3.4999999999999858</c:v>
                </c:pt>
                <c:pt idx="71">
                  <c:v>32.499999999999986</c:v>
                </c:pt>
                <c:pt idx="72">
                  <c:v>-1.4210854715202004E-14</c:v>
                </c:pt>
                <c:pt idx="73">
                  <c:v>40.599999999999987</c:v>
                </c:pt>
                <c:pt idx="74">
                  <c:v>60.299999999999983</c:v>
                </c:pt>
                <c:pt idx="75">
                  <c:v>-1.4210854715202004E-14</c:v>
                </c:pt>
                <c:pt idx="76">
                  <c:v>34.199999999999989</c:v>
                </c:pt>
                <c:pt idx="77">
                  <c:v>41.399999999999991</c:v>
                </c:pt>
                <c:pt idx="78">
                  <c:v>-7.1054273576010019E-15</c:v>
                </c:pt>
                <c:pt idx="79">
                  <c:v>-10.200000000000006</c:v>
                </c:pt>
                <c:pt idx="80">
                  <c:v>57.399999999999991</c:v>
                </c:pt>
                <c:pt idx="81">
                  <c:v>-7.1054273576010019E-15</c:v>
                </c:pt>
                <c:pt idx="82">
                  <c:v>-33.000000000000007</c:v>
                </c:pt>
                <c:pt idx="83">
                  <c:v>-34.20000000000001</c:v>
                </c:pt>
                <c:pt idx="84">
                  <c:v>-7.1054273576010019E-15</c:v>
                </c:pt>
                <c:pt idx="85">
                  <c:v>2.3999999999999928</c:v>
                </c:pt>
                <c:pt idx="86">
                  <c:v>48.099999999999994</c:v>
                </c:pt>
                <c:pt idx="87">
                  <c:v>-7.1054273576010019E-15</c:v>
                </c:pt>
                <c:pt idx="88">
                  <c:v>61.399999999999991</c:v>
                </c:pt>
                <c:pt idx="89">
                  <c:v>9.7999999999999901</c:v>
                </c:pt>
                <c:pt idx="90">
                  <c:v>-1.0658141036401503E-14</c:v>
                </c:pt>
                <c:pt idx="91">
                  <c:v>-9.7000000000000099</c:v>
                </c:pt>
                <c:pt idx="92">
                  <c:v>-49.800000000000011</c:v>
                </c:pt>
                <c:pt idx="93">
                  <c:v>-1.4210854715202004E-14</c:v>
                </c:pt>
                <c:pt idx="94">
                  <c:v>-45.100000000000016</c:v>
                </c:pt>
                <c:pt idx="95">
                  <c:v>-54.200000000000017</c:v>
                </c:pt>
                <c:pt idx="96">
                  <c:v>-1.4210854715202004E-14</c:v>
                </c:pt>
                <c:pt idx="97">
                  <c:v>-44.100000000000016</c:v>
                </c:pt>
                <c:pt idx="98">
                  <c:v>22.999999999999979</c:v>
                </c:pt>
                <c:pt idx="99">
                  <c:v>-2.1316282072803006E-14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A39-43F2-A2E2-4DE41956A4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42064"/>
        <c:axId val="-1152530640"/>
      </c:scatterChart>
      <c:valAx>
        <c:axId val="-1152542064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640"/>
        <c:crossesAt val="0"/>
        <c:crossBetween val="midCat"/>
      </c:valAx>
      <c:valAx>
        <c:axId val="-1152530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2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全体!$P$2:$P$7</c:f>
              <c:numCache>
                <c:formatCode>\+0;\-0;\±0</c:formatCode>
                <c:ptCount val="6"/>
                <c:pt idx="0">
                  <c:v>-30.303030303030305</c:v>
                </c:pt>
                <c:pt idx="1">
                  <c:v>0</c:v>
                </c:pt>
                <c:pt idx="2">
                  <c:v>10.416666666666666</c:v>
                </c:pt>
                <c:pt idx="3">
                  <c:v>11.111111111111111</c:v>
                </c:pt>
                <c:pt idx="4">
                  <c:v>-11.111111111111111</c:v>
                </c:pt>
                <c:pt idx="5">
                  <c:v>24.691358024691358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E6-49B7-B636-B809EA164C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152541520"/>
        <c:axId val="-1152529552"/>
      </c:lineChart>
      <c:catAx>
        <c:axId val="-1152541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552"/>
        <c:crossesAt val="0"/>
        <c:auto val="1"/>
        <c:lblAlgn val="ctr"/>
        <c:lblOffset val="100"/>
        <c:noMultiLvlLbl val="0"/>
      </c:catAx>
      <c:valAx>
        <c:axId val="-1152529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1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全体!$B$37:$B$49</c:f>
              <c:numCache>
                <c:formatCode>0\ "回"</c:formatCode>
                <c:ptCount val="13"/>
                <c:pt idx="0">
                  <c:v>12</c:v>
                </c:pt>
                <c:pt idx="1">
                  <c:v>39</c:v>
                </c:pt>
                <c:pt idx="2">
                  <c:v>42</c:v>
                </c:pt>
                <c:pt idx="3">
                  <c:v>56</c:v>
                </c:pt>
                <c:pt idx="4">
                  <c:v>44</c:v>
                </c:pt>
                <c:pt idx="5">
                  <c:v>19</c:v>
                </c:pt>
                <c:pt idx="6">
                  <c:v>14</c:v>
                </c:pt>
                <c:pt idx="7">
                  <c:v>11</c:v>
                </c:pt>
                <c:pt idx="8">
                  <c:v>3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8E-4708-8985-6F14B3AE7E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1152530096"/>
        <c:axId val="-1152540432"/>
      </c:barChart>
      <c:catAx>
        <c:axId val="-115253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0432"/>
        <c:crossesAt val="0"/>
        <c:auto val="1"/>
        <c:lblAlgn val="ctr"/>
        <c:lblOffset val="100"/>
        <c:noMultiLvlLbl val="0"/>
      </c:catAx>
      <c:valAx>
        <c:axId val="-1152540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全体!$K$2:$K$101</c:f>
              <c:numCache>
                <c:formatCode>General</c:formatCode>
                <c:ptCount val="1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</c:numCache>
            </c:numRef>
          </c:xVal>
          <c:yVal>
            <c:numRef>
              <c:f>全体!$M$2:$M$101</c:f>
              <c:numCache>
                <c:formatCode>0</c:formatCode>
                <c:ptCount val="100"/>
                <c:pt idx="0">
                  <c:v>1614.2957512011271</c:v>
                </c:pt>
                <c:pt idx="1">
                  <c:v>1603.1699766939203</c:v>
                </c:pt>
                <c:pt idx="2">
                  <c:v>1611.8209568337568</c:v>
                </c:pt>
                <c:pt idx="3">
                  <c:v>1612.3200310927543</c:v>
                </c:pt>
                <c:pt idx="4">
                  <c:v>1617.2321109061977</c:v>
                </c:pt>
                <c:pt idx="5">
                  <c:v>1611.1347182407605</c:v>
                </c:pt>
                <c:pt idx="6">
                  <c:v>1610.4019099313159</c:v>
                </c:pt>
                <c:pt idx="7">
                  <c:v>1617.911498471728</c:v>
                </c:pt>
                <c:pt idx="8">
                  <c:v>1607.3940294808976</c:v>
                </c:pt>
                <c:pt idx="9">
                  <c:v>1608.9816653040123</c:v>
                </c:pt>
                <c:pt idx="10">
                  <c:v>1613.0137753121883</c:v>
                </c:pt>
                <c:pt idx="11">
                  <c:v>1613.0256926603151</c:v>
                </c:pt>
                <c:pt idx="12">
                  <c:v>1609.3655385043533</c:v>
                </c:pt>
                <c:pt idx="13">
                  <c:v>1616.5693452733271</c:v>
                </c:pt>
                <c:pt idx="14">
                  <c:v>1614.4779292016872</c:v>
                </c:pt>
                <c:pt idx="15">
                  <c:v>1607.9530616264772</c:v>
                </c:pt>
                <c:pt idx="16">
                  <c:v>1608.3733432567183</c:v>
                </c:pt>
                <c:pt idx="17">
                  <c:v>1614.1731031971779</c:v>
                </c:pt>
                <c:pt idx="18">
                  <c:v>1608.4180645779948</c:v>
                </c:pt>
                <c:pt idx="19">
                  <c:v>1609.3575561905268</c:v>
                </c:pt>
                <c:pt idx="20">
                  <c:v>1614.9714108533835</c:v>
                </c:pt>
                <c:pt idx="21">
                  <c:v>1607.0875823882632</c:v>
                </c:pt>
                <c:pt idx="22">
                  <c:v>1600.1750568939335</c:v>
                </c:pt>
                <c:pt idx="23">
                  <c:v>1605.83200655257</c:v>
                </c:pt>
                <c:pt idx="24">
                  <c:v>1607.2970145132545</c:v>
                </c:pt>
                <c:pt idx="25">
                  <c:v>1618.5032324261749</c:v>
                </c:pt>
                <c:pt idx="26">
                  <c:v>1608.6902130316178</c:v>
                </c:pt>
                <c:pt idx="27">
                  <c:v>1607.684071753428</c:v>
                </c:pt>
                <c:pt idx="28">
                  <c:v>1607.6079673229074</c:v>
                </c:pt>
                <c:pt idx="29">
                  <c:v>1616.1003195189699</c:v>
                </c:pt>
                <c:pt idx="30">
                  <c:v>1607.837717601856</c:v>
                </c:pt>
                <c:pt idx="31">
                  <c:v>1605.4986912962447</c:v>
                </c:pt>
                <c:pt idx="32">
                  <c:v>1618.8336991484673</c:v>
                </c:pt>
                <c:pt idx="33">
                  <c:v>1608.7066969535765</c:v>
                </c:pt>
                <c:pt idx="34">
                  <c:v>1614.4924567718551</c:v>
                </c:pt>
                <c:pt idx="35">
                  <c:v>1609.929502031224</c:v>
                </c:pt>
                <c:pt idx="36">
                  <c:v>1609.1199250190366</c:v>
                </c:pt>
                <c:pt idx="37">
                  <c:v>1598.0912054689225</c:v>
                </c:pt>
                <c:pt idx="38">
                  <c:v>1610.2586582361089</c:v>
                </c:pt>
                <c:pt idx="39">
                  <c:v>1607.8991062866921</c:v>
                </c:pt>
                <c:pt idx="40">
                  <c:v>1599.901711648972</c:v>
                </c:pt>
                <c:pt idx="41">
                  <c:v>1598.9723013790781</c:v>
                </c:pt>
                <c:pt idx="42">
                  <c:v>1608.5244675708036</c:v>
                </c:pt>
                <c:pt idx="43">
                  <c:v>1609.6133207653788</c:v>
                </c:pt>
                <c:pt idx="44">
                  <c:v>1615.7356408407866</c:v>
                </c:pt>
                <c:pt idx="45">
                  <c:v>1609.3112269957419</c:v>
                </c:pt>
                <c:pt idx="46">
                  <c:v>1609.1173596337674</c:v>
                </c:pt>
                <c:pt idx="47">
                  <c:v>1601.3826554759648</c:v>
                </c:pt>
                <c:pt idx="48">
                  <c:v>1609.5883595431089</c:v>
                </c:pt>
                <c:pt idx="49">
                  <c:v>1610.1668293858502</c:v>
                </c:pt>
                <c:pt idx="50">
                  <c:v>1618.1938284095352</c:v>
                </c:pt>
                <c:pt idx="51">
                  <c:v>1608.190665439078</c:v>
                </c:pt>
                <c:pt idx="52">
                  <c:v>1609.1375214464435</c:v>
                </c:pt>
                <c:pt idx="53">
                  <c:v>1615.5326963177649</c:v>
                </c:pt>
                <c:pt idx="54">
                  <c:v>1608.2815001398583</c:v>
                </c:pt>
                <c:pt idx="55">
                  <c:v>1598.3138111390192</c:v>
                </c:pt>
                <c:pt idx="56">
                  <c:v>1611.733928272185</c:v>
                </c:pt>
                <c:pt idx="57">
                  <c:v>1607.6855247025519</c:v>
                </c:pt>
                <c:pt idx="58">
                  <c:v>1605.2274115543366</c:v>
                </c:pt>
                <c:pt idx="59">
                  <c:v>1614.5740470850105</c:v>
                </c:pt>
                <c:pt idx="60">
                  <c:v>1607.0346028025006</c:v>
                </c:pt>
                <c:pt idx="61">
                  <c:v>1609.0083951856855</c:v>
                </c:pt>
                <c:pt idx="62">
                  <c:v>1614.8943448145712</c:v>
                </c:pt>
                <c:pt idx="63">
                  <c:v>1606.3629787456839</c:v>
                </c:pt>
                <c:pt idx="64">
                  <c:v>1605.8388008732097</c:v>
                </c:pt>
                <c:pt idx="65">
                  <c:v>1600.0977680679705</c:v>
                </c:pt>
                <c:pt idx="66">
                  <c:v>1605.8031814595627</c:v>
                </c:pt>
                <c:pt idx="67">
                  <c:v>1595.6163623708053</c:v>
                </c:pt>
                <c:pt idx="68">
                  <c:v>1604.6606641965805</c:v>
                </c:pt>
                <c:pt idx="69">
                  <c:v>1605.2807002114009</c:v>
                </c:pt>
                <c:pt idx="70">
                  <c:v>1605.7170160101325</c:v>
                </c:pt>
                <c:pt idx="71">
                  <c:v>1610.7407139140716</c:v>
                </c:pt>
                <c:pt idx="72">
                  <c:v>1604.6642696305871</c:v>
                </c:pt>
                <c:pt idx="73">
                  <c:v>1611.7822840128035</c:v>
                </c:pt>
                <c:pt idx="74">
                  <c:v>1615.0955903087267</c:v>
                </c:pt>
                <c:pt idx="75">
                  <c:v>1603.9890167668743</c:v>
                </c:pt>
                <c:pt idx="76">
                  <c:v>1609.9530826662731</c:v>
                </c:pt>
                <c:pt idx="77">
                  <c:v>1611.0213641702755</c:v>
                </c:pt>
                <c:pt idx="78">
                  <c:v>1603.3352359852538</c:v>
                </c:pt>
                <c:pt idx="79">
                  <c:v>1601.4492245693423</c:v>
                </c:pt>
                <c:pt idx="80">
                  <c:v>1613.5785292219261</c:v>
                </c:pt>
                <c:pt idx="81">
                  <c:v>1603.1350580465946</c:v>
                </c:pt>
                <c:pt idx="82">
                  <c:v>1597.1462476983152</c:v>
                </c:pt>
                <c:pt idx="83">
                  <c:v>1596.9173702121252</c:v>
                </c:pt>
                <c:pt idx="84">
                  <c:v>1603.0618659908525</c:v>
                </c:pt>
                <c:pt idx="85">
                  <c:v>1603.4454947949075</c:v>
                </c:pt>
                <c:pt idx="86">
                  <c:v>1611.6208218261381</c:v>
                </c:pt>
                <c:pt idx="87">
                  <c:v>1602.8630968951813</c:v>
                </c:pt>
                <c:pt idx="88">
                  <c:v>1613.8739183138102</c:v>
                </c:pt>
                <c:pt idx="89">
                  <c:v>1604.4786748039273</c:v>
                </c:pt>
                <c:pt idx="90">
                  <c:v>1602.6638027551037</c:v>
                </c:pt>
                <c:pt idx="91">
                  <c:v>1600.871819938573</c:v>
                </c:pt>
                <c:pt idx="92">
                  <c:v>1593.6185890189415</c:v>
                </c:pt>
                <c:pt idx="93">
                  <c:v>1602.5908774848278</c:v>
                </c:pt>
                <c:pt idx="94">
                  <c:v>1594.4333322199188</c:v>
                </c:pt>
                <c:pt idx="95">
                  <c:v>1592.8047322265993</c:v>
                </c:pt>
                <c:pt idx="96">
                  <c:v>1602.5799038332398</c:v>
                </c:pt>
                <c:pt idx="97">
                  <c:v>1594.6024244102402</c:v>
                </c:pt>
                <c:pt idx="98">
                  <c:v>1606.6888098637787</c:v>
                </c:pt>
                <c:pt idx="99">
                  <c:v>1602.4846770045961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41-43AC-B097-553862B0D7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4448"/>
        <c:axId val="-1152529008"/>
      </c:scatterChart>
      <c:valAx>
        <c:axId val="-115253444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008"/>
        <c:crossesAt val="1500"/>
        <c:crossBetween val="midCat"/>
      </c:valAx>
      <c:valAx>
        <c:axId val="-115252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4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れんたろう!$L$2:$L$15</c:f>
              <c:numCache>
                <c:formatCode>\+0.0;\-0.0;\±0</c:formatCode>
                <c:ptCount val="14"/>
                <c:pt idx="0">
                  <c:v>0</c:v>
                </c:pt>
                <c:pt idx="1">
                  <c:v>-58</c:v>
                </c:pt>
                <c:pt idx="2">
                  <c:v>-13.700000000000003</c:v>
                </c:pt>
                <c:pt idx="3">
                  <c:v>7.8999999999999986</c:v>
                </c:pt>
                <c:pt idx="4">
                  <c:v>50.4</c:v>
                </c:pt>
                <c:pt idx="5">
                  <c:v>81.7</c:v>
                </c:pt>
                <c:pt idx="6">
                  <c:v>40.5</c:v>
                </c:pt>
                <c:pt idx="7">
                  <c:v>-14.5</c:v>
                </c:pt>
                <c:pt idx="8">
                  <c:v>-29.2</c:v>
                </c:pt>
                <c:pt idx="9">
                  <c:v>-55.2</c:v>
                </c:pt>
                <c:pt idx="10">
                  <c:v>-65.900000000000006</c:v>
                </c:pt>
                <c:pt idx="11">
                  <c:v>-72.300000000000011</c:v>
                </c:pt>
                <c:pt idx="12">
                  <c:v>-67.800000000000011</c:v>
                </c:pt>
                <c:pt idx="13">
                  <c:v>-120.60000000000001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2D-4A61-8449-253ED0BC80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42064"/>
        <c:axId val="-1152530640"/>
      </c:scatterChart>
      <c:valAx>
        <c:axId val="-1152542064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640"/>
        <c:crossesAt val="0"/>
        <c:crossBetween val="midCat"/>
      </c:valAx>
      <c:valAx>
        <c:axId val="-1152530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2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れんたろう!$P$2:$P$7</c:f>
              <c:numCache>
                <c:formatCode>\+0;\-0;\±0</c:formatCode>
                <c:ptCount val="6"/>
                <c:pt idx="0">
                  <c:v>-1084.6153846153845</c:v>
                </c:pt>
                <c:pt idx="1">
                  <c:v>-3953.8461538461538</c:v>
                </c:pt>
                <c:pt idx="2">
                  <c:v>-907.69230769230774</c:v>
                </c:pt>
                <c:pt idx="3">
                  <c:v>-2091.6666666666665</c:v>
                </c:pt>
                <c:pt idx="4">
                  <c:v>1441.6666666666667</c:v>
                </c:pt>
                <c:pt idx="5">
                  <c:v>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9F-40BB-B271-10ABBC6F8A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152541520"/>
        <c:axId val="-1152529552"/>
      </c:lineChart>
      <c:catAx>
        <c:axId val="-1152541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552"/>
        <c:crossesAt val="0"/>
        <c:auto val="1"/>
        <c:lblAlgn val="ctr"/>
        <c:lblOffset val="100"/>
        <c:noMultiLvlLbl val="0"/>
      </c:catAx>
      <c:valAx>
        <c:axId val="-1152529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1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れんたろう!$B$37:$B$49</c:f>
              <c:numCache>
                <c:formatCode>0\ "回"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5</c:v>
                </c:pt>
                <c:pt idx="3">
                  <c:v>3</c:v>
                </c:pt>
                <c:pt idx="4">
                  <c:v>8</c:v>
                </c:pt>
                <c:pt idx="5">
                  <c:v>2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85-4CD0-98DA-DBE341B5B4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1152530096"/>
        <c:axId val="-1152540432"/>
      </c:barChart>
      <c:catAx>
        <c:axId val="-115253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0432"/>
        <c:crossesAt val="0"/>
        <c:auto val="1"/>
        <c:lblAlgn val="ctr"/>
        <c:lblOffset val="100"/>
        <c:noMultiLvlLbl val="0"/>
      </c:catAx>
      <c:valAx>
        <c:axId val="-1152540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れんたろう!$M$2:$M$15</c:f>
              <c:numCache>
                <c:formatCode>0</c:formatCode>
                <c:ptCount val="14"/>
                <c:pt idx="0">
                  <c:v>1595.6213709809917</c:v>
                </c:pt>
                <c:pt idx="1">
                  <c:v>1584.6076427551059</c:v>
                </c:pt>
                <c:pt idx="2">
                  <c:v>1592.2719968985753</c:v>
                </c:pt>
                <c:pt idx="3">
                  <c:v>1596.4043649171838</c:v>
                </c:pt>
                <c:pt idx="4">
                  <c:v>1603.6859387276807</c:v>
                </c:pt>
                <c:pt idx="5">
                  <c:v>1609.5138230953146</c:v>
                </c:pt>
                <c:pt idx="6">
                  <c:v>1601.6627401567428</c:v>
                </c:pt>
                <c:pt idx="7">
                  <c:v>1591.9507637158024</c:v>
                </c:pt>
                <c:pt idx="8">
                  <c:v>1589.7070591335075</c:v>
                </c:pt>
                <c:pt idx="9">
                  <c:v>1585.2928167787065</c:v>
                </c:pt>
                <c:pt idx="10">
                  <c:v>1583.0830598780342</c:v>
                </c:pt>
                <c:pt idx="11">
                  <c:v>1582.254561518766</c:v>
                </c:pt>
                <c:pt idx="12">
                  <c:v>1583.5010341496534</c:v>
                </c:pt>
                <c:pt idx="13">
                  <c:v>1573.7060279447555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0E-427C-951D-77E718D0FC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4448"/>
        <c:axId val="-1152529008"/>
      </c:scatterChart>
      <c:valAx>
        <c:axId val="-115253444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008"/>
        <c:crossesAt val="1500"/>
        <c:crossBetween val="midCat"/>
      </c:valAx>
      <c:valAx>
        <c:axId val="-115252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4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たかの!$L$2:$L$17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51.5</c:v>
                </c:pt>
                <c:pt idx="2">
                  <c:v>21.3</c:v>
                </c:pt>
                <c:pt idx="3">
                  <c:v>-34.299999999999997</c:v>
                </c:pt>
                <c:pt idx="4">
                  <c:v>-34.9</c:v>
                </c:pt>
                <c:pt idx="5">
                  <c:v>-43.8</c:v>
                </c:pt>
                <c:pt idx="6">
                  <c:v>-42.4</c:v>
                </c:pt>
                <c:pt idx="7">
                  <c:v>-8.7999999999999972</c:v>
                </c:pt>
                <c:pt idx="8">
                  <c:v>-0.99999999999999734</c:v>
                </c:pt>
                <c:pt idx="9">
                  <c:v>60.4</c:v>
                </c:pt>
                <c:pt idx="10">
                  <c:v>14.399999999999999</c:v>
                </c:pt>
                <c:pt idx="11">
                  <c:v>45.7</c:v>
                </c:pt>
                <c:pt idx="12">
                  <c:v>115.3</c:v>
                </c:pt>
                <c:pt idx="13">
                  <c:v>69.900000000000006</c:v>
                </c:pt>
                <c:pt idx="14">
                  <c:v>114.80000000000001</c:v>
                </c:pt>
                <c:pt idx="15">
                  <c:v>161.9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50-4180-8430-7D77A8A391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42064"/>
        <c:axId val="-1152530640"/>
      </c:scatterChart>
      <c:valAx>
        <c:axId val="-1152542064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640"/>
        <c:crossesAt val="0"/>
        <c:crossBetween val="midCat"/>
      </c:valAx>
      <c:valAx>
        <c:axId val="-1152530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2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たかの!$P$2:$P$7</c:f>
              <c:numCache>
                <c:formatCode>\+0;\-0;\±0</c:formatCode>
                <c:ptCount val="6"/>
                <c:pt idx="0">
                  <c:v>1526.6666666666667</c:v>
                </c:pt>
                <c:pt idx="1">
                  <c:v>-660</c:v>
                </c:pt>
                <c:pt idx="2">
                  <c:v>-273.33333333333331</c:v>
                </c:pt>
                <c:pt idx="3">
                  <c:v>2400</c:v>
                </c:pt>
                <c:pt idx="4">
                  <c:v>-900</c:v>
                </c:pt>
                <c:pt idx="5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00E-4A03-BAA4-97738FFD34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152541520"/>
        <c:axId val="-1152529552"/>
      </c:lineChart>
      <c:catAx>
        <c:axId val="-1152541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552"/>
        <c:crossesAt val="0"/>
        <c:auto val="1"/>
        <c:lblAlgn val="ctr"/>
        <c:lblOffset val="100"/>
        <c:noMultiLvlLbl val="0"/>
      </c:catAx>
      <c:valAx>
        <c:axId val="-1152529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1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たかの!$B$37:$B$49</c:f>
              <c:numCache>
                <c:formatCode>0\ "回"</c:formatCode>
                <c:ptCount val="13"/>
                <c:pt idx="0">
                  <c:v>5</c:v>
                </c:pt>
                <c:pt idx="1">
                  <c:v>8</c:v>
                </c:pt>
                <c:pt idx="2">
                  <c:v>7</c:v>
                </c:pt>
                <c:pt idx="3">
                  <c:v>12</c:v>
                </c:pt>
                <c:pt idx="4">
                  <c:v>3</c:v>
                </c:pt>
                <c:pt idx="5">
                  <c:v>4</c:v>
                </c:pt>
                <c:pt idx="6">
                  <c:v>0</c:v>
                </c:pt>
                <c:pt idx="7">
                  <c:v>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6E-4BDD-8A2D-90411F312B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1152530096"/>
        <c:axId val="-1152540432"/>
      </c:barChart>
      <c:catAx>
        <c:axId val="-115253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0432"/>
        <c:crossesAt val="0"/>
        <c:auto val="1"/>
        <c:lblAlgn val="ctr"/>
        <c:lblOffset val="100"/>
        <c:noMultiLvlLbl val="0"/>
      </c:catAx>
      <c:valAx>
        <c:axId val="-1152540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たかの!$M$2:$M$17</c:f>
              <c:numCache>
                <c:formatCode>0</c:formatCode>
                <c:ptCount val="16"/>
                <c:pt idx="0">
                  <c:v>1463.3989422821498</c:v>
                </c:pt>
                <c:pt idx="1">
                  <c:v>1472.8885486284569</c:v>
                </c:pt>
                <c:pt idx="2">
                  <c:v>1467.6572173366862</c:v>
                </c:pt>
                <c:pt idx="3">
                  <c:v>1458.041274032666</c:v>
                </c:pt>
                <c:pt idx="4">
                  <c:v>1458.9830263884701</c:v>
                </c:pt>
                <c:pt idx="5">
                  <c:v>1457.8371282301393</c:v>
                </c:pt>
                <c:pt idx="6">
                  <c:v>1459.1581054607584</c:v>
                </c:pt>
                <c:pt idx="7">
                  <c:v>1465.6731568279938</c:v>
                </c:pt>
                <c:pt idx="8">
                  <c:v>1467.979117887026</c:v>
                </c:pt>
                <c:pt idx="9">
                  <c:v>1480.0212431797038</c:v>
                </c:pt>
                <c:pt idx="10">
                  <c:v>1472.5751157206255</c:v>
                </c:pt>
                <c:pt idx="11">
                  <c:v>1479.1776650263018</c:v>
                </c:pt>
                <c:pt idx="12">
                  <c:v>1492.058599036144</c:v>
                </c:pt>
                <c:pt idx="13">
                  <c:v>1484.7562474419271</c:v>
                </c:pt>
                <c:pt idx="14">
                  <c:v>1493.6617099572757</c:v>
                </c:pt>
                <c:pt idx="15">
                  <c:v>1502.387739697532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7AC-4F2B-8583-5028D8D232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4448"/>
        <c:axId val="-1152529008"/>
      </c:scatterChart>
      <c:valAx>
        <c:axId val="-115253444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008"/>
        <c:crossesAt val="1500"/>
        <c:crossBetween val="midCat"/>
      </c:valAx>
      <c:valAx>
        <c:axId val="-115252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4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ただ!$L$2:$L$21</c:f>
              <c:numCache>
                <c:formatCode>\+0.0;\-0.0;\±0</c:formatCode>
                <c:ptCount val="20"/>
                <c:pt idx="0">
                  <c:v>0</c:v>
                </c:pt>
                <c:pt idx="1">
                  <c:v>6.5</c:v>
                </c:pt>
                <c:pt idx="2">
                  <c:v>5.9</c:v>
                </c:pt>
                <c:pt idx="3">
                  <c:v>17.200000000000003</c:v>
                </c:pt>
                <c:pt idx="4">
                  <c:v>-16.399999999999999</c:v>
                </c:pt>
                <c:pt idx="5">
                  <c:v>-8.7999999999999989</c:v>
                </c:pt>
                <c:pt idx="6">
                  <c:v>22.1</c:v>
                </c:pt>
                <c:pt idx="7">
                  <c:v>68.900000000000006</c:v>
                </c:pt>
                <c:pt idx="8">
                  <c:v>11.300000000000004</c:v>
                </c:pt>
                <c:pt idx="9">
                  <c:v>-47.599999999999994</c:v>
                </c:pt>
                <c:pt idx="10">
                  <c:v>-84.6</c:v>
                </c:pt>
                <c:pt idx="11">
                  <c:v>-128</c:v>
                </c:pt>
                <c:pt idx="12">
                  <c:v>-122.3</c:v>
                </c:pt>
                <c:pt idx="13">
                  <c:v>-132.5</c:v>
                </c:pt>
                <c:pt idx="14">
                  <c:v>-165.5</c:v>
                </c:pt>
                <c:pt idx="15">
                  <c:v>-119.8</c:v>
                </c:pt>
                <c:pt idx="16">
                  <c:v>-171.4</c:v>
                </c:pt>
                <c:pt idx="17">
                  <c:v>-211.5</c:v>
                </c:pt>
                <c:pt idx="18">
                  <c:v>-220.6</c:v>
                </c:pt>
                <c:pt idx="19">
                  <c:v>-153.5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4B-4664-B7F0-4C6DC698D8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42064"/>
        <c:axId val="-1152530640"/>
      </c:scatterChart>
      <c:valAx>
        <c:axId val="-1152542064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640"/>
        <c:crossesAt val="0"/>
        <c:crossBetween val="midCat"/>
      </c:valAx>
      <c:valAx>
        <c:axId val="-1152530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2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ただ!$P$2:$P$7</c:f>
              <c:numCache>
                <c:formatCode>\+0;\-0;\±0</c:formatCode>
                <c:ptCount val="6"/>
                <c:pt idx="0">
                  <c:v>-2047.3684210526317</c:v>
                </c:pt>
                <c:pt idx="1">
                  <c:v>3336.8421052631579</c:v>
                </c:pt>
                <c:pt idx="2">
                  <c:v>673.68421052631584</c:v>
                </c:pt>
                <c:pt idx="3">
                  <c:v>-911.11111111111109</c:v>
                </c:pt>
                <c:pt idx="4">
                  <c:v>-2333.3333333333335</c:v>
                </c:pt>
                <c:pt idx="5">
                  <c:v>-2853.3333333333335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72-4045-A05C-15D1592C56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152541520"/>
        <c:axId val="-1152529552"/>
      </c:lineChart>
      <c:catAx>
        <c:axId val="-1152541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552"/>
        <c:crossesAt val="0"/>
        <c:auto val="1"/>
        <c:lblAlgn val="ctr"/>
        <c:lblOffset val="100"/>
        <c:noMultiLvlLbl val="0"/>
      </c:catAx>
      <c:valAx>
        <c:axId val="-1152529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1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ただ!$B$37:$B$49</c:f>
              <c:numCache>
                <c:formatCode>0\ "回"</c:formatCode>
                <c:ptCount val="13"/>
                <c:pt idx="0">
                  <c:v>3</c:v>
                </c:pt>
                <c:pt idx="1">
                  <c:v>10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4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65-4C17-8D02-66E5604255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1152530096"/>
        <c:axId val="-1152540432"/>
      </c:barChart>
      <c:catAx>
        <c:axId val="-115253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0432"/>
        <c:crossesAt val="0"/>
        <c:auto val="1"/>
        <c:lblAlgn val="ctr"/>
        <c:lblOffset val="100"/>
        <c:noMultiLvlLbl val="0"/>
      </c:catAx>
      <c:valAx>
        <c:axId val="-1152540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ただ!$M$2:$M$21</c:f>
              <c:numCache>
                <c:formatCode>0</c:formatCode>
                <c:ptCount val="20"/>
                <c:pt idx="0">
                  <c:v>1546.9221135131666</c:v>
                </c:pt>
                <c:pt idx="1">
                  <c:v>1547.8105808320875</c:v>
                </c:pt>
                <c:pt idx="2">
                  <c:v>1547.457717347095</c:v>
                </c:pt>
                <c:pt idx="3">
                  <c:v>1549.4049710430124</c:v>
                </c:pt>
                <c:pt idx="4">
                  <c:v>1543.2705412167543</c:v>
                </c:pt>
                <c:pt idx="5">
                  <c:v>1544.6009179694538</c:v>
                </c:pt>
                <c:pt idx="6">
                  <c:v>1550.591312461637</c:v>
                </c:pt>
                <c:pt idx="7">
                  <c:v>1559.4257645868672</c:v>
                </c:pt>
                <c:pt idx="8">
                  <c:v>1549.655209999346</c:v>
                </c:pt>
                <c:pt idx="9">
                  <c:v>1538.98327873935</c:v>
                </c:pt>
                <c:pt idx="10">
                  <c:v>1533.0193790669139</c:v>
                </c:pt>
                <c:pt idx="11">
                  <c:v>1525.7412627925123</c:v>
                </c:pt>
                <c:pt idx="12">
                  <c:v>1526.8228152157571</c:v>
                </c:pt>
                <c:pt idx="13">
                  <c:v>1525.3958783244625</c:v>
                </c:pt>
                <c:pt idx="14">
                  <c:v>1519.8735030545158</c:v>
                </c:pt>
                <c:pt idx="15">
                  <c:v>1528.5502620361888</c:v>
                </c:pt>
                <c:pt idx="16">
                  <c:v>1519.6669604639717</c:v>
                </c:pt>
                <c:pt idx="17">
                  <c:v>1512.9009587011878</c:v>
                </c:pt>
                <c:pt idx="18">
                  <c:v>1511.7615529489808</c:v>
                </c:pt>
                <c:pt idx="19">
                  <c:v>1524.3449836312868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50C-A285-3D8CBBBCD0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4448"/>
        <c:axId val="-1152529008"/>
      </c:scatterChart>
      <c:valAx>
        <c:axId val="-115253444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008"/>
        <c:crossesAt val="1500"/>
        <c:crossBetween val="midCat"/>
      </c:valAx>
      <c:valAx>
        <c:axId val="-115252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4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だいち!$L$2:$L$29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30.8</c:v>
                </c:pt>
                <c:pt idx="2">
                  <c:v>9.8000000000000007</c:v>
                </c:pt>
                <c:pt idx="3">
                  <c:v>-22.900000000000002</c:v>
                </c:pt>
                <c:pt idx="4">
                  <c:v>-61.600000000000009</c:v>
                </c:pt>
                <c:pt idx="5">
                  <c:v>-68.000000000000014</c:v>
                </c:pt>
                <c:pt idx="6">
                  <c:v>-68.800000000000011</c:v>
                </c:pt>
                <c:pt idx="7">
                  <c:v>3.4999999999999858</c:v>
                </c:pt>
                <c:pt idx="8">
                  <c:v>-1.800000000000014</c:v>
                </c:pt>
                <c:pt idx="9">
                  <c:v>49.999999999999986</c:v>
                </c:pt>
                <c:pt idx="10">
                  <c:v>82.499999999999986</c:v>
                </c:pt>
                <c:pt idx="11">
                  <c:v>80.999999999999986</c:v>
                </c:pt>
                <c:pt idx="12">
                  <c:v>116.29999999999998</c:v>
                </c:pt>
                <c:pt idx="13">
                  <c:v>191.7</c:v>
                </c:pt>
                <c:pt idx="14">
                  <c:v>244.7</c:v>
                </c:pt>
                <c:pt idx="15">
                  <c:v>278.59999999999997</c:v>
                </c:pt>
                <c:pt idx="16">
                  <c:v>247.79999999999995</c:v>
                </c:pt>
                <c:pt idx="17">
                  <c:v>298.79999999999995</c:v>
                </c:pt>
                <c:pt idx="18">
                  <c:v>327.79999999999995</c:v>
                </c:pt>
                <c:pt idx="19">
                  <c:v>347.49999999999994</c:v>
                </c:pt>
                <c:pt idx="20">
                  <c:v>354.69999999999993</c:v>
                </c:pt>
                <c:pt idx="21">
                  <c:v>297.29999999999995</c:v>
                </c:pt>
                <c:pt idx="22">
                  <c:v>331.49999999999994</c:v>
                </c:pt>
                <c:pt idx="23">
                  <c:v>283.39999999999992</c:v>
                </c:pt>
                <c:pt idx="24">
                  <c:v>273.59999999999991</c:v>
                </c:pt>
                <c:pt idx="25">
                  <c:v>323.39999999999992</c:v>
                </c:pt>
                <c:pt idx="26">
                  <c:v>377.59999999999991</c:v>
                </c:pt>
                <c:pt idx="27">
                  <c:v>354.59999999999991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1A-4CB8-9073-2C5954EA27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42064"/>
        <c:axId val="-1152530640"/>
      </c:scatterChart>
      <c:valAx>
        <c:axId val="-1152542064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640"/>
        <c:crossesAt val="0"/>
        <c:crossBetween val="midCat"/>
      </c:valAx>
      <c:valAx>
        <c:axId val="-1152530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2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だいち!$P$2:$P$7</c:f>
              <c:numCache>
                <c:formatCode>\+0;\-0;\±0</c:formatCode>
                <c:ptCount val="6"/>
                <c:pt idx="0">
                  <c:v>1829.6296296296296</c:v>
                </c:pt>
                <c:pt idx="1">
                  <c:v>2003.7037037037037</c:v>
                </c:pt>
                <c:pt idx="2">
                  <c:v>550</c:v>
                </c:pt>
                <c:pt idx="3">
                  <c:v>3033.3333333333335</c:v>
                </c:pt>
                <c:pt idx="4">
                  <c:v>1916.6666666666667</c:v>
                </c:pt>
                <c:pt idx="5">
                  <c:v>-956.52173913043475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1A-4522-A280-5BD286806F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152541520"/>
        <c:axId val="-1152529552"/>
      </c:lineChart>
      <c:catAx>
        <c:axId val="-1152541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552"/>
        <c:crossesAt val="0"/>
        <c:auto val="1"/>
        <c:lblAlgn val="ctr"/>
        <c:lblOffset val="100"/>
        <c:noMultiLvlLbl val="0"/>
      </c:catAx>
      <c:valAx>
        <c:axId val="-1152529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1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だいち!$B$37:$B$49</c:f>
              <c:numCache>
                <c:formatCode>0\ "回"</c:formatCode>
                <c:ptCount val="13"/>
                <c:pt idx="0">
                  <c:v>3</c:v>
                </c:pt>
                <c:pt idx="1">
                  <c:v>7</c:v>
                </c:pt>
                <c:pt idx="2">
                  <c:v>14</c:v>
                </c:pt>
                <c:pt idx="3">
                  <c:v>15</c:v>
                </c:pt>
                <c:pt idx="4">
                  <c:v>14</c:v>
                </c:pt>
                <c:pt idx="5">
                  <c:v>6</c:v>
                </c:pt>
                <c:pt idx="6">
                  <c:v>8</c:v>
                </c:pt>
                <c:pt idx="7">
                  <c:v>3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B3-4011-A48F-7954DEBA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1152530096"/>
        <c:axId val="-1152540432"/>
      </c:barChart>
      <c:catAx>
        <c:axId val="-115253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0432"/>
        <c:crossesAt val="0"/>
        <c:auto val="1"/>
        <c:lblAlgn val="ctr"/>
        <c:lblOffset val="100"/>
        <c:noMultiLvlLbl val="0"/>
      </c:catAx>
      <c:valAx>
        <c:axId val="-1152540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だいち!$M$2:$M$29</c:f>
              <c:numCache>
                <c:formatCode>0</c:formatCode>
                <c:ptCount val="28"/>
                <c:pt idx="0">
                  <c:v>1846.5755924228188</c:v>
                </c:pt>
                <c:pt idx="1">
                  <c:v>1850.0821388682818</c:v>
                </c:pt>
                <c:pt idx="2">
                  <c:v>1844.9996460350721</c:v>
                </c:pt>
                <c:pt idx="3">
                  <c:v>1837.8596481588618</c:v>
                </c:pt>
                <c:pt idx="4">
                  <c:v>1829.5624902699085</c:v>
                </c:pt>
                <c:pt idx="5">
                  <c:v>1827.231115328289</c:v>
                </c:pt>
                <c:pt idx="6">
                  <c:v>1825.8377286363193</c:v>
                </c:pt>
                <c:pt idx="7">
                  <c:v>1837.8507022645015</c:v>
                </c:pt>
                <c:pt idx="8">
                  <c:v>1835.6735980509145</c:v>
                </c:pt>
                <c:pt idx="9">
                  <c:v>1843.805556462609</c:v>
                </c:pt>
                <c:pt idx="10">
                  <c:v>1848.5227231238334</c:v>
                </c:pt>
                <c:pt idx="11">
                  <c:v>1846.8935867850905</c:v>
                </c:pt>
                <c:pt idx="12">
                  <c:v>1851.86222526438</c:v>
                </c:pt>
                <c:pt idx="13">
                  <c:v>1863.7610519127936</c:v>
                </c:pt>
                <c:pt idx="14">
                  <c:v>1871.5564856013168</c:v>
                </c:pt>
                <c:pt idx="15">
                  <c:v>1875.867146687709</c:v>
                </c:pt>
                <c:pt idx="16">
                  <c:v>1868.5059438075828</c:v>
                </c:pt>
                <c:pt idx="17">
                  <c:v>1875.9129081447372</c:v>
                </c:pt>
                <c:pt idx="18">
                  <c:v>1879.3154306958688</c:v>
                </c:pt>
                <c:pt idx="19">
                  <c:v>1881.0235381116936</c:v>
                </c:pt>
                <c:pt idx="20">
                  <c:v>1880.4653968830235</c:v>
                </c:pt>
                <c:pt idx="21">
                  <c:v>1868.4206045017254</c:v>
                </c:pt>
                <c:pt idx="22">
                  <c:v>1872.9360808747151</c:v>
                </c:pt>
                <c:pt idx="23">
                  <c:v>1862.6104643894669</c:v>
                </c:pt>
                <c:pt idx="24">
                  <c:v>1859.2468016031301</c:v>
                </c:pt>
                <c:pt idx="25">
                  <c:v>1866.6253207935113</c:v>
                </c:pt>
                <c:pt idx="26">
                  <c:v>1874.7575688687502</c:v>
                </c:pt>
                <c:pt idx="27">
                  <c:v>1868.9450234555377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858-4498-9A1F-603ABB6EE5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4448"/>
        <c:axId val="-1152529008"/>
      </c:scatterChart>
      <c:valAx>
        <c:axId val="-115253444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008"/>
        <c:crossesAt val="1500"/>
        <c:crossBetween val="midCat"/>
      </c:valAx>
      <c:valAx>
        <c:axId val="-115252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4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りくと!$L$2:$L$18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</c:v>
                </c:pt>
                <c:pt idx="2">
                  <c:v>-49.2</c:v>
                </c:pt>
                <c:pt idx="3">
                  <c:v>-61.7</c:v>
                </c:pt>
                <c:pt idx="4">
                  <c:v>-49.6</c:v>
                </c:pt>
                <c:pt idx="5">
                  <c:v>-51.4</c:v>
                </c:pt>
                <c:pt idx="6">
                  <c:v>-106.9</c:v>
                </c:pt>
                <c:pt idx="7">
                  <c:v>-103.4</c:v>
                </c:pt>
                <c:pt idx="8">
                  <c:v>-62.800000000000004</c:v>
                </c:pt>
                <c:pt idx="9">
                  <c:v>-28.6</c:v>
                </c:pt>
                <c:pt idx="10">
                  <c:v>38.999999999999993</c:v>
                </c:pt>
                <c:pt idx="11">
                  <c:v>37.79999999999999</c:v>
                </c:pt>
                <c:pt idx="12">
                  <c:v>40.199999999999989</c:v>
                </c:pt>
                <c:pt idx="13">
                  <c:v>101.6</c:v>
                </c:pt>
                <c:pt idx="14">
                  <c:v>91.899999999999991</c:v>
                </c:pt>
                <c:pt idx="15">
                  <c:v>46.79999999999999</c:v>
                </c:pt>
                <c:pt idx="16">
                  <c:v>2.6999999999999886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81-4EA4-8295-E8818B0CB2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42064"/>
        <c:axId val="-1152530640"/>
      </c:scatterChart>
      <c:valAx>
        <c:axId val="-1152542064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640"/>
        <c:crossesAt val="0"/>
        <c:crossBetween val="midCat"/>
      </c:valAx>
      <c:valAx>
        <c:axId val="-1152530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2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りくと!$P$2:$P$7</c:f>
              <c:numCache>
                <c:formatCode>\+0;\-0;\±0</c:formatCode>
                <c:ptCount val="6"/>
                <c:pt idx="0">
                  <c:v>-731.25</c:v>
                </c:pt>
                <c:pt idx="1">
                  <c:v>-1862.5</c:v>
                </c:pt>
                <c:pt idx="2">
                  <c:v>1746.6666666666667</c:v>
                </c:pt>
                <c:pt idx="3">
                  <c:v>-3850</c:v>
                </c:pt>
                <c:pt idx="4">
                  <c:v>2842.8571428571427</c:v>
                </c:pt>
                <c:pt idx="5">
                  <c:v>2692.3076923076924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5A-410D-971D-F3F854896B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152541520"/>
        <c:axId val="-1152529552"/>
      </c:lineChart>
      <c:catAx>
        <c:axId val="-1152541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552"/>
        <c:crossesAt val="0"/>
        <c:auto val="1"/>
        <c:lblAlgn val="ctr"/>
        <c:lblOffset val="100"/>
        <c:noMultiLvlLbl val="0"/>
      </c:catAx>
      <c:valAx>
        <c:axId val="-1152529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1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りくと!$B$37:$B$49</c:f>
              <c:numCache>
                <c:formatCode>0\ "回"</c:formatCode>
                <c:ptCount val="13"/>
                <c:pt idx="0">
                  <c:v>0</c:v>
                </c:pt>
                <c:pt idx="1">
                  <c:v>7</c:v>
                </c:pt>
                <c:pt idx="2">
                  <c:v>6</c:v>
                </c:pt>
                <c:pt idx="3">
                  <c:v>12</c:v>
                </c:pt>
                <c:pt idx="4">
                  <c:v>5</c:v>
                </c:pt>
                <c:pt idx="5">
                  <c:v>3</c:v>
                </c:pt>
                <c:pt idx="6">
                  <c:v>3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D1-4BCC-9D5C-FBD1A486ED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1152530096"/>
        <c:axId val="-1152540432"/>
      </c:barChart>
      <c:catAx>
        <c:axId val="-115253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0432"/>
        <c:crossesAt val="0"/>
        <c:auto val="1"/>
        <c:lblAlgn val="ctr"/>
        <c:lblOffset val="100"/>
        <c:noMultiLvlLbl val="0"/>
      </c:catAx>
      <c:valAx>
        <c:axId val="-1152540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りくと!$M$2:$M$18</c:f>
              <c:numCache>
                <c:formatCode>0</c:formatCode>
                <c:ptCount val="17"/>
                <c:pt idx="0">
                  <c:v>1372.5824902185618</c:v>
                </c:pt>
                <c:pt idx="1">
                  <c:v>1374.9429952772505</c:v>
                </c:pt>
                <c:pt idx="2">
                  <c:v>1366.375337305587</c:v>
                </c:pt>
                <c:pt idx="3">
                  <c:v>1365.3650852817534</c:v>
                </c:pt>
                <c:pt idx="4">
                  <c:v>1368.7888947700628</c:v>
                </c:pt>
                <c:pt idx="5">
                  <c:v>1369.6901614014425</c:v>
                </c:pt>
                <c:pt idx="6">
                  <c:v>1360.9200204330339</c:v>
                </c:pt>
                <c:pt idx="7">
                  <c:v>1362.8225003104358</c:v>
                </c:pt>
                <c:pt idx="8">
                  <c:v>1371.3915653085733</c:v>
                </c:pt>
                <c:pt idx="9">
                  <c:v>1378.7512159167218</c:v>
                </c:pt>
                <c:pt idx="10">
                  <c:v>1392.2167086212214</c:v>
                </c:pt>
                <c:pt idx="11">
                  <c:v>1393.217408369494</c:v>
                </c:pt>
                <c:pt idx="12">
                  <c:v>1394.860103919277</c:v>
                </c:pt>
                <c:pt idx="13">
                  <c:v>1407.1189432957613</c:v>
                </c:pt>
                <c:pt idx="14">
                  <c:v>1406.5002296359867</c:v>
                </c:pt>
                <c:pt idx="15">
                  <c:v>1399.5192282581706</c:v>
                </c:pt>
                <c:pt idx="16">
                  <c:v>1392.7601128886215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A7-48D9-9ED1-729490B0E2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4448"/>
        <c:axId val="-1152529008"/>
      </c:scatterChart>
      <c:valAx>
        <c:axId val="-115253444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008"/>
        <c:crossesAt val="1500"/>
        <c:crossBetween val="midCat"/>
      </c:valAx>
      <c:valAx>
        <c:axId val="-115252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4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わさび!$L$2:$L$11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-40.299999999999997</c:v>
                </c:pt>
                <c:pt idx="2">
                  <c:v>-61.5</c:v>
                </c:pt>
                <c:pt idx="3">
                  <c:v>-102</c:v>
                </c:pt>
                <c:pt idx="4">
                  <c:v>-148</c:v>
                </c:pt>
                <c:pt idx="5">
                  <c:v>-115.4</c:v>
                </c:pt>
                <c:pt idx="6">
                  <c:v>-110.9</c:v>
                </c:pt>
                <c:pt idx="7">
                  <c:v>-143.4</c:v>
                </c:pt>
                <c:pt idx="8">
                  <c:v>-203.7</c:v>
                </c:pt>
                <c:pt idx="9">
                  <c:v>-245.1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AF-4887-A530-DC25EFAC75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42064"/>
        <c:axId val="-1152530640"/>
      </c:scatterChart>
      <c:valAx>
        <c:axId val="-1152542064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640"/>
        <c:crossesAt val="0"/>
        <c:crossBetween val="midCat"/>
      </c:valAx>
      <c:valAx>
        <c:axId val="-1152530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2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わさび!$P$1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わさび!$O$2:$O$7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わさび!$P$2:$P$7</c:f>
              <c:numCache>
                <c:formatCode>\+0;\-0;\±0</c:formatCode>
                <c:ptCount val="6"/>
                <c:pt idx="0">
                  <c:v>-1177.7777777777778</c:v>
                </c:pt>
                <c:pt idx="1">
                  <c:v>-2933.3333333333335</c:v>
                </c:pt>
                <c:pt idx="2">
                  <c:v>-4550</c:v>
                </c:pt>
                <c:pt idx="3">
                  <c:v>-1771.4285714285713</c:v>
                </c:pt>
                <c:pt idx="4">
                  <c:v>-6942.8571428571431</c:v>
                </c:pt>
                <c:pt idx="5">
                  <c:v>-1528.5714285714287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97-406A-9E2B-687A84012E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152541520"/>
        <c:axId val="-1152529552"/>
      </c:lineChart>
      <c:catAx>
        <c:axId val="-1152541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552"/>
        <c:crossesAt val="0"/>
        <c:auto val="1"/>
        <c:lblAlgn val="ctr"/>
        <c:lblOffset val="100"/>
        <c:noMultiLvlLbl val="0"/>
      </c:catAx>
      <c:valAx>
        <c:axId val="-1152529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1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わさび!$A$37:$A$49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わさび!$B$37:$B$49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1</c:v>
                </c:pt>
                <c:pt idx="3">
                  <c:v>5</c:v>
                </c:pt>
                <c:pt idx="4">
                  <c:v>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1E-458E-B293-EE82225484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1152530096"/>
        <c:axId val="-1152540432"/>
      </c:barChart>
      <c:catAx>
        <c:axId val="-115253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0432"/>
        <c:crossesAt val="0"/>
        <c:auto val="1"/>
        <c:lblAlgn val="ctr"/>
        <c:lblOffset val="100"/>
        <c:noMultiLvlLbl val="0"/>
      </c:catAx>
      <c:valAx>
        <c:axId val="-1152540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わさび!$M$2:$M$11</c:f>
              <c:numCache>
                <c:formatCode>0</c:formatCode>
                <c:ptCount val="10"/>
                <c:pt idx="0">
                  <c:v>1497.379788</c:v>
                </c:pt>
                <c:pt idx="1">
                  <c:v>1490.837509272</c:v>
                </c:pt>
                <c:pt idx="2">
                  <c:v>1487.5144842163681</c:v>
                </c:pt>
                <c:pt idx="3">
                  <c:v>1480.73739731107</c:v>
                </c:pt>
                <c:pt idx="4">
                  <c:v>1473.0109729272035</c:v>
                </c:pt>
                <c:pt idx="5">
                  <c:v>1479.4789070896402</c:v>
                </c:pt>
                <c:pt idx="6">
                  <c:v>1480.8500336471022</c:v>
                </c:pt>
                <c:pt idx="7">
                  <c:v>1475.5529334452197</c:v>
                </c:pt>
                <c:pt idx="8">
                  <c:v>1465.2836158445484</c:v>
                </c:pt>
                <c:pt idx="9">
                  <c:v>1458.4719141494811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31-45FE-B9D1-0DB34E8592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4448"/>
        <c:axId val="-1152529008"/>
      </c:scatterChart>
      <c:valAx>
        <c:axId val="-115253444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008"/>
        <c:crossesAt val="1500"/>
        <c:crossBetween val="midCat"/>
      </c:valAx>
      <c:valAx>
        <c:axId val="-115252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4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りくと2!$A$3:$A$19</c:f>
              <c:numCache>
                <c:formatCode>0\ "回"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りくと2!$B$3:$B$19</c:f>
              <c:numCache>
                <c:formatCode>\+0.0;\-0.0;\±0</c:formatCode>
                <c:ptCount val="17"/>
                <c:pt idx="0">
                  <c:v>0</c:v>
                </c:pt>
                <c:pt idx="1">
                  <c:v>5</c:v>
                </c:pt>
                <c:pt idx="2">
                  <c:v>-49.2</c:v>
                </c:pt>
                <c:pt idx="3">
                  <c:v>-61.7</c:v>
                </c:pt>
                <c:pt idx="4">
                  <c:v>-49.6</c:v>
                </c:pt>
                <c:pt idx="5">
                  <c:v>-51.4</c:v>
                </c:pt>
                <c:pt idx="6">
                  <c:v>-106.9</c:v>
                </c:pt>
                <c:pt idx="7">
                  <c:v>-103.4</c:v>
                </c:pt>
                <c:pt idx="8">
                  <c:v>-62.800000000000004</c:v>
                </c:pt>
                <c:pt idx="9">
                  <c:v>-28.6</c:v>
                </c:pt>
                <c:pt idx="10">
                  <c:v>38.999999999999993</c:v>
                </c:pt>
                <c:pt idx="11">
                  <c:v>37.79999999999999</c:v>
                </c:pt>
                <c:pt idx="12">
                  <c:v>40.199999999999989</c:v>
                </c:pt>
                <c:pt idx="13">
                  <c:v>101.6</c:v>
                </c:pt>
                <c:pt idx="14">
                  <c:v>91.899999999999991</c:v>
                </c:pt>
                <c:pt idx="15">
                  <c:v>46.79999999999999</c:v>
                </c:pt>
                <c:pt idx="16">
                  <c:v>2.6999999999999886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りくと2!$B$1:$B$2</c15:sqref>
                        </c15:formulaRef>
                      </c:ext>
                    </c:extLst>
                    <c:strCache>
                      <c:ptCount val="2"/>
                      <c:pt idx="0">
                        <c:v>りくと</c:v>
                      </c:pt>
                      <c:pt idx="1">
                        <c:v>通算スコア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7168"/>
        <c:axId val="-1152537712"/>
      </c:scatterChart>
      <c:valAx>
        <c:axId val="-1152537168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7712"/>
        <c:crossesAt val="-2.1316282072803006E-14"/>
        <c:crossBetween val="midCat"/>
      </c:valAx>
      <c:valAx>
        <c:axId val="-1152537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71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りくと2!$A$3:$A$19</c:f>
              <c:numCache>
                <c:formatCode>0\ "回"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りくと2!$C$3:$C$19</c:f>
              <c:numCache>
                <c:formatCode>\+0.0;\-0.0;\±0</c:formatCode>
                <c:ptCount val="17"/>
                <c:pt idx="1">
                  <c:v>5</c:v>
                </c:pt>
                <c:pt idx="2">
                  <c:v>-24.6</c:v>
                </c:pt>
                <c:pt idx="3">
                  <c:v>-20.566666666666666</c:v>
                </c:pt>
                <c:pt idx="4">
                  <c:v>-12.4</c:v>
                </c:pt>
                <c:pt idx="5">
                  <c:v>-10.28</c:v>
                </c:pt>
                <c:pt idx="6">
                  <c:v>-17.816666666666666</c:v>
                </c:pt>
                <c:pt idx="7">
                  <c:v>-14.771428571428572</c:v>
                </c:pt>
                <c:pt idx="8">
                  <c:v>-7.8500000000000005</c:v>
                </c:pt>
                <c:pt idx="9">
                  <c:v>-3.177777777777778</c:v>
                </c:pt>
                <c:pt idx="10">
                  <c:v>3.8999999999999995</c:v>
                </c:pt>
                <c:pt idx="11">
                  <c:v>3.4363636363636356</c:v>
                </c:pt>
                <c:pt idx="12">
                  <c:v>3.3499999999999992</c:v>
                </c:pt>
                <c:pt idx="13">
                  <c:v>7.8153846153846152</c:v>
                </c:pt>
                <c:pt idx="14">
                  <c:v>6.5642857142857141</c:v>
                </c:pt>
                <c:pt idx="15">
                  <c:v>3.1199999999999992</c:v>
                </c:pt>
                <c:pt idx="16">
                  <c:v>0.16874999999999929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りくと2!$C$1:$C$2</c15:sqref>
                        </c15:formulaRef>
                      </c:ext>
                    </c:extLst>
                    <c:strCache>
                      <c:ptCount val="2"/>
                      <c:pt idx="0">
                        <c:v>りくと</c:v>
                      </c:pt>
                      <c:pt idx="1">
                        <c:v>平均スコア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40976"/>
        <c:axId val="-1152543696"/>
      </c:scatterChart>
      <c:valAx>
        <c:axId val="-1152540976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3696"/>
        <c:crossesAt val="-2.153159805333637E-16"/>
        <c:crossBetween val="midCat"/>
      </c:valAx>
      <c:valAx>
        <c:axId val="-1152543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09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りくと2!$A$3:$A$19</c:f>
              <c:numCache>
                <c:formatCode>0\ "回"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りくと2!$D$3:$D$19</c:f>
              <c:numCache>
                <c:formatCode>0.00\ "位"</c:formatCode>
                <c:ptCount val="17"/>
                <c:pt idx="1">
                  <c:v>2</c:v>
                </c:pt>
                <c:pt idx="2">
                  <c:v>2.5</c:v>
                </c:pt>
                <c:pt idx="3">
                  <c:v>2.3333333333333335</c:v>
                </c:pt>
                <c:pt idx="4">
                  <c:v>2.25</c:v>
                </c:pt>
                <c:pt idx="5">
                  <c:v>2.2000000000000002</c:v>
                </c:pt>
                <c:pt idx="6">
                  <c:v>2.3333333333333335</c:v>
                </c:pt>
                <c:pt idx="7">
                  <c:v>2.2857142857142856</c:v>
                </c:pt>
                <c:pt idx="8">
                  <c:v>2.125</c:v>
                </c:pt>
                <c:pt idx="9">
                  <c:v>2</c:v>
                </c:pt>
                <c:pt idx="10">
                  <c:v>1.9</c:v>
                </c:pt>
                <c:pt idx="11">
                  <c:v>1.9090909090909092</c:v>
                </c:pt>
                <c:pt idx="12">
                  <c:v>1.9166666666666667</c:v>
                </c:pt>
                <c:pt idx="13">
                  <c:v>1.8461538461538463</c:v>
                </c:pt>
                <c:pt idx="14">
                  <c:v>1.8571428571428572</c:v>
                </c:pt>
                <c:pt idx="15">
                  <c:v>1.9333333333333333</c:v>
                </c:pt>
                <c:pt idx="16">
                  <c:v>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りくと2!$D$1:$D$2</c15:sqref>
                        </c15:formulaRef>
                      </c:ext>
                    </c:extLst>
                    <c:strCache>
                      <c:ptCount val="2"/>
                      <c:pt idx="0">
                        <c:v>りくと</c:v>
                      </c:pt>
                      <c:pt idx="1">
                        <c:v>平均順位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8256"/>
        <c:axId val="-1152538800"/>
      </c:scatterChart>
      <c:valAx>
        <c:axId val="-1152538256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8800"/>
        <c:crossesAt val="2"/>
        <c:crossBetween val="midCat"/>
      </c:valAx>
      <c:valAx>
        <c:axId val="-1152538800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8256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りくと2!$A$3:$A$19</c:f>
              <c:numCache>
                <c:formatCode>0\ "回"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りくと2!$E$3:$E$19</c:f>
              <c:numCache>
                <c:formatCode>0.0%</c:formatCode>
                <c:ptCount val="1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0.125</c:v>
                </c:pt>
                <c:pt idx="9">
                  <c:v>0.22222222222222221</c:v>
                </c:pt>
                <c:pt idx="10">
                  <c:v>0.3</c:v>
                </c:pt>
                <c:pt idx="11">
                  <c:v>0.27272727272727271</c:v>
                </c:pt>
                <c:pt idx="12">
                  <c:v>0.25</c:v>
                </c:pt>
                <c:pt idx="13">
                  <c:v>0.30769230769230771</c:v>
                </c:pt>
                <c:pt idx="14">
                  <c:v>0.2857142857142857</c:v>
                </c:pt>
                <c:pt idx="15">
                  <c:v>0.26666666666666666</c:v>
                </c:pt>
                <c:pt idx="16">
                  <c:v>0.25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りくと2!$E$1:$E$2</c15:sqref>
                        </c15:formulaRef>
                      </c:ext>
                    </c:extLst>
                    <c:strCache>
                      <c:ptCount val="2"/>
                      <c:pt idx="0">
                        <c:v>りくと</c:v>
                      </c:pt>
                      <c:pt idx="1">
                        <c:v>トップ率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9888"/>
        <c:axId val="-1152533904"/>
      </c:scatterChart>
      <c:valAx>
        <c:axId val="-1152539888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3904"/>
        <c:crossesAt val="0.33333333333333331"/>
        <c:crossBetween val="midCat"/>
      </c:valAx>
      <c:valAx>
        <c:axId val="-1152533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98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りくと2!$A$3:$A$19</c:f>
              <c:numCache>
                <c:formatCode>0\ "回"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りくと2!$F$3:$F$19</c:f>
              <c:numCache>
                <c:formatCode>0.0%</c:formatCode>
                <c:ptCount val="17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0.16666666666666666</c:v>
                </c:pt>
                <c:pt idx="13">
                  <c:v>0.15384615384615385</c:v>
                </c:pt>
                <c:pt idx="14">
                  <c:v>0.14285714285714285</c:v>
                </c:pt>
                <c:pt idx="15">
                  <c:v>0.2</c:v>
                </c:pt>
                <c:pt idx="16">
                  <c:v>0.25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りくと2!$F$1:$F$2</c15:sqref>
                        </c15:formulaRef>
                      </c:ext>
                    </c:extLst>
                    <c:strCache>
                      <c:ptCount val="2"/>
                      <c:pt idx="0">
                        <c:v>りくと</c:v>
                      </c:pt>
                      <c:pt idx="1">
                        <c:v>ラス率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43152"/>
        <c:axId val="-1152542608"/>
      </c:scatterChart>
      <c:valAx>
        <c:axId val="-1152543152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2608"/>
        <c:crossesAt val="0.33333333333333331"/>
        <c:crossBetween val="midCat"/>
      </c:valAx>
      <c:valAx>
        <c:axId val="-1152542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3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りくと2!$A$3:$A$19</c:f>
              <c:numCache>
                <c:formatCode>0\ "回"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りくと2!$G$3:$G$19</c:f>
              <c:numCache>
                <c:formatCode>0.0%</c:formatCode>
                <c:ptCount val="17"/>
                <c:pt idx="1">
                  <c:v>0.375</c:v>
                </c:pt>
                <c:pt idx="2">
                  <c:v>0.22222222222222221</c:v>
                </c:pt>
                <c:pt idx="3">
                  <c:v>0.21428571428571427</c:v>
                </c:pt>
                <c:pt idx="4">
                  <c:v>0.24324324324324326</c:v>
                </c:pt>
                <c:pt idx="5">
                  <c:v>0.25</c:v>
                </c:pt>
                <c:pt idx="6">
                  <c:v>0.23404255319148937</c:v>
                </c:pt>
                <c:pt idx="7">
                  <c:v>0.22222222222222221</c:v>
                </c:pt>
                <c:pt idx="8">
                  <c:v>0.25</c:v>
                </c:pt>
                <c:pt idx="9">
                  <c:v>0.27777777777777779</c:v>
                </c:pt>
                <c:pt idx="10">
                  <c:v>0.29113924050632911</c:v>
                </c:pt>
                <c:pt idx="11">
                  <c:v>0.2857142857142857</c:v>
                </c:pt>
                <c:pt idx="12">
                  <c:v>0.27551020408163263</c:v>
                </c:pt>
                <c:pt idx="13">
                  <c:v>0.28703703703703703</c:v>
                </c:pt>
                <c:pt idx="14">
                  <c:v>0.29565217391304349</c:v>
                </c:pt>
                <c:pt idx="15">
                  <c:v>0.28799999999999998</c:v>
                </c:pt>
                <c:pt idx="16">
                  <c:v>0.2857142857142857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りくと2!$G$1:$G$2</c15:sqref>
                        </c15:formulaRef>
                      </c:ext>
                    </c:extLst>
                    <c:strCache>
                      <c:ptCount val="2"/>
                      <c:pt idx="0">
                        <c:v>りくと</c:v>
                      </c:pt>
                      <c:pt idx="1">
                        <c:v>アガリ率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9344"/>
        <c:axId val="-1152536624"/>
      </c:scatterChart>
      <c:valAx>
        <c:axId val="-11525393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6624"/>
        <c:crossesAt val="0.29362214199759323"/>
        <c:crossBetween val="midCat"/>
      </c:valAx>
      <c:valAx>
        <c:axId val="-1152536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9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りくと2!$A$3:$A$19</c:f>
              <c:numCache>
                <c:formatCode>0\ "回"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りくと2!$H$3:$H$19</c:f>
              <c:numCache>
                <c:formatCode>0.0%</c:formatCode>
                <c:ptCount val="17"/>
                <c:pt idx="1">
                  <c:v>0.25</c:v>
                </c:pt>
                <c:pt idx="2">
                  <c:v>0.22222222222222221</c:v>
                </c:pt>
                <c:pt idx="3">
                  <c:v>0.17857142857142858</c:v>
                </c:pt>
                <c:pt idx="4">
                  <c:v>0.16216216216216217</c:v>
                </c:pt>
                <c:pt idx="5">
                  <c:v>0.13636363636363635</c:v>
                </c:pt>
                <c:pt idx="6">
                  <c:v>0.1702127659574468</c:v>
                </c:pt>
                <c:pt idx="7">
                  <c:v>0.14814814814814814</c:v>
                </c:pt>
                <c:pt idx="8">
                  <c:v>0.13333333333333333</c:v>
                </c:pt>
                <c:pt idx="9">
                  <c:v>0.1388888888888889</c:v>
                </c:pt>
                <c:pt idx="10">
                  <c:v>0.12658227848101267</c:v>
                </c:pt>
                <c:pt idx="11">
                  <c:v>0.12087912087912088</c:v>
                </c:pt>
                <c:pt idx="12">
                  <c:v>0.12244897959183673</c:v>
                </c:pt>
                <c:pt idx="13">
                  <c:v>0.1111111111111111</c:v>
                </c:pt>
                <c:pt idx="14">
                  <c:v>0.11304347826086956</c:v>
                </c:pt>
                <c:pt idx="15">
                  <c:v>0.128</c:v>
                </c:pt>
                <c:pt idx="16">
                  <c:v>0.15037593984962405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りくと2!$H$1:$H$2</c15:sqref>
                        </c15:formulaRef>
                      </c:ext>
                    </c:extLst>
                    <c:strCache>
                      <c:ptCount val="2"/>
                      <c:pt idx="0">
                        <c:v>りくと</c:v>
                      </c:pt>
                      <c:pt idx="1">
                        <c:v>放銃率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2272"/>
        <c:axId val="-1152533360"/>
      </c:scatterChart>
      <c:valAx>
        <c:axId val="-1152532272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3360"/>
        <c:crossesAt val="0.15764139590854392"/>
        <c:crossBetween val="midCat"/>
      </c:valAx>
      <c:valAx>
        <c:axId val="-1152533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22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りくと2!$A$3:$A$19</c:f>
              <c:numCache>
                <c:formatCode>0\ "回"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りくと2!$I$3:$I$19</c:f>
              <c:numCache>
                <c:formatCode>0</c:formatCode>
                <c:ptCount val="17"/>
                <c:pt idx="1">
                  <c:v>7300</c:v>
                </c:pt>
                <c:pt idx="2">
                  <c:v>6775</c:v>
                </c:pt>
                <c:pt idx="3">
                  <c:v>7166.666666666667</c:v>
                </c:pt>
                <c:pt idx="4">
                  <c:v>6677.7777777777774</c:v>
                </c:pt>
                <c:pt idx="5">
                  <c:v>7281.818181818182</c:v>
                </c:pt>
                <c:pt idx="6">
                  <c:v>7281.818181818182</c:v>
                </c:pt>
                <c:pt idx="7">
                  <c:v>7675</c:v>
                </c:pt>
                <c:pt idx="8">
                  <c:v>7846.666666666667</c:v>
                </c:pt>
                <c:pt idx="9">
                  <c:v>7515</c:v>
                </c:pt>
                <c:pt idx="10">
                  <c:v>8708.6956521739139</c:v>
                </c:pt>
                <c:pt idx="11">
                  <c:v>8603.8461538461543</c:v>
                </c:pt>
                <c:pt idx="12">
                  <c:v>8581.4814814814818</c:v>
                </c:pt>
                <c:pt idx="13">
                  <c:v>8935.4838709677424</c:v>
                </c:pt>
                <c:pt idx="14">
                  <c:v>8735.2941176470595</c:v>
                </c:pt>
                <c:pt idx="15">
                  <c:v>9250</c:v>
                </c:pt>
                <c:pt idx="16">
                  <c:v>9078.9473684210534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りくと2!$I$1:$I$2</c15:sqref>
                        </c15:formulaRef>
                      </c:ext>
                    </c:extLst>
                    <c:strCache>
                      <c:ptCount val="2"/>
                      <c:pt idx="0">
                        <c:v>りくと</c:v>
                      </c:pt>
                      <c:pt idx="1">
                        <c:v>平均アガリ点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6080"/>
        <c:axId val="-1152531728"/>
      </c:scatterChart>
      <c:valAx>
        <c:axId val="-1152536080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1728"/>
        <c:crossesAt val="8572.1311475409839"/>
        <c:crossBetween val="midCat"/>
      </c:valAx>
      <c:valAx>
        <c:axId val="-1152531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60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りくと2!$A$3:$A$19</c:f>
              <c:numCache>
                <c:formatCode>0\ "回"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りくと2!$J$3:$J$19</c:f>
              <c:numCache>
                <c:formatCode>0</c:formatCode>
                <c:ptCount val="17"/>
                <c:pt idx="1">
                  <c:v>-8400</c:v>
                </c:pt>
                <c:pt idx="2">
                  <c:v>-10200</c:v>
                </c:pt>
                <c:pt idx="3">
                  <c:v>-10560</c:v>
                </c:pt>
                <c:pt idx="4">
                  <c:v>-10133.333333333334</c:v>
                </c:pt>
                <c:pt idx="5">
                  <c:v>-10133.333333333334</c:v>
                </c:pt>
                <c:pt idx="6">
                  <c:v>-10850</c:v>
                </c:pt>
                <c:pt idx="7">
                  <c:v>-10850</c:v>
                </c:pt>
                <c:pt idx="8">
                  <c:v>-10850</c:v>
                </c:pt>
                <c:pt idx="9">
                  <c:v>-9140</c:v>
                </c:pt>
                <c:pt idx="10">
                  <c:v>-9140</c:v>
                </c:pt>
                <c:pt idx="11">
                  <c:v>-8663.636363636364</c:v>
                </c:pt>
                <c:pt idx="12">
                  <c:v>-8158.333333333333</c:v>
                </c:pt>
                <c:pt idx="13">
                  <c:v>-8158.333333333333</c:v>
                </c:pt>
                <c:pt idx="14">
                  <c:v>-8146.1538461538457</c:v>
                </c:pt>
                <c:pt idx="15">
                  <c:v>-7937.5</c:v>
                </c:pt>
                <c:pt idx="16">
                  <c:v>-7555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りくと2!$J$1:$J$2</c15:sqref>
                        </c15:formulaRef>
                      </c:ext>
                    </c:extLst>
                    <c:strCache>
                      <c:ptCount val="2"/>
                      <c:pt idx="0">
                        <c:v>りくと</c:v>
                      </c:pt>
                      <c:pt idx="1">
                        <c:v>平均放銃点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1184"/>
        <c:axId val="-1161176208"/>
      </c:scatterChart>
      <c:valAx>
        <c:axId val="-115253118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61176208"/>
        <c:crossesAt val="-8503.0534351145034"/>
        <c:crossBetween val="midCat"/>
      </c:valAx>
      <c:valAx>
        <c:axId val="-1161176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11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りくと2!$A$3:$A$19</c:f>
              <c:numCache>
                <c:formatCode>0\ "回"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りくと2!$K$3:$K$19</c:f>
              <c:numCache>
                <c:formatCode>0.0%</c:formatCode>
                <c:ptCount val="1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  <c:pt idx="13">
                  <c:v>7.6923076923076927E-2</c:v>
                </c:pt>
                <c:pt idx="14">
                  <c:v>7.1428571428571425E-2</c:v>
                </c:pt>
                <c:pt idx="15">
                  <c:v>6.6666666666666666E-2</c:v>
                </c:pt>
                <c:pt idx="16">
                  <c:v>6.25E-2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りくと2!$K$1:$K$2</c15:sqref>
                        </c15:formulaRef>
                      </c:ext>
                    </c:extLst>
                    <c:strCache>
                      <c:ptCount val="2"/>
                      <c:pt idx="0">
                        <c:v>りくと</c:v>
                      </c:pt>
                      <c:pt idx="1">
                        <c:v>ふっとび率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61184368"/>
        <c:axId val="-1149411488"/>
      </c:scatterChart>
      <c:valAx>
        <c:axId val="-1161184368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49411488"/>
        <c:crossesAt val="7.0707070707070704E-2"/>
        <c:crossBetween val="midCat"/>
      </c:valAx>
      <c:valAx>
        <c:axId val="-1149411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61184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りくと2!$A$3:$A$19</c:f>
              <c:numCache>
                <c:formatCode>0\ "回"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りくと2!$L$3:$L$19</c:f>
              <c:numCache>
                <c:formatCode>0.0%</c:formatCode>
                <c:ptCount val="17"/>
                <c:pt idx="1">
                  <c:v>0.375</c:v>
                </c:pt>
                <c:pt idx="2">
                  <c:v>0.3888888888888889</c:v>
                </c:pt>
                <c:pt idx="3">
                  <c:v>0.32142857142857145</c:v>
                </c:pt>
                <c:pt idx="4">
                  <c:v>0.27027027027027029</c:v>
                </c:pt>
                <c:pt idx="5">
                  <c:v>0.31818181818181818</c:v>
                </c:pt>
                <c:pt idx="6">
                  <c:v>0.31914893617021278</c:v>
                </c:pt>
                <c:pt idx="7">
                  <c:v>0.35185185185185186</c:v>
                </c:pt>
                <c:pt idx="8">
                  <c:v>0.35</c:v>
                </c:pt>
                <c:pt idx="9">
                  <c:v>0.3611111111111111</c:v>
                </c:pt>
                <c:pt idx="10">
                  <c:v>0.379746835443038</c:v>
                </c:pt>
                <c:pt idx="11">
                  <c:v>0.38461538461538464</c:v>
                </c:pt>
                <c:pt idx="12">
                  <c:v>0.35714285714285715</c:v>
                </c:pt>
                <c:pt idx="13">
                  <c:v>0.35185185185185186</c:v>
                </c:pt>
                <c:pt idx="14">
                  <c:v>0.35652173913043478</c:v>
                </c:pt>
                <c:pt idx="15">
                  <c:v>0.36</c:v>
                </c:pt>
                <c:pt idx="16">
                  <c:v>0.36090225563909772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りくと2!$L$1:$L$2</c15:sqref>
                        </c15:formulaRef>
                      </c:ext>
                    </c:extLst>
                    <c:strCache>
                      <c:ptCount val="2"/>
                      <c:pt idx="0">
                        <c:v>りくと</c:v>
                      </c:pt>
                      <c:pt idx="1">
                        <c:v>リーチ率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49404960"/>
        <c:axId val="-1149410400"/>
      </c:scatterChart>
      <c:valAx>
        <c:axId val="-1149404960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49410400"/>
        <c:crossesAt val="0.3128760529482551"/>
        <c:crossBetween val="midCat"/>
      </c:valAx>
      <c:valAx>
        <c:axId val="-1149410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49404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りくと2!$A$3:$A$19</c:f>
              <c:numCache>
                <c:formatCode>0\ "回"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りくと2!$M$3:$M$19</c:f>
              <c:numCache>
                <c:formatCode>0.0%</c:formatCode>
                <c:ptCount val="17"/>
                <c:pt idx="1">
                  <c:v>0.125</c:v>
                </c:pt>
                <c:pt idx="2">
                  <c:v>0.1111111111111111</c:v>
                </c:pt>
                <c:pt idx="3">
                  <c:v>0.14285714285714285</c:v>
                </c:pt>
                <c:pt idx="4">
                  <c:v>0.13513513513513514</c:v>
                </c:pt>
                <c:pt idx="5">
                  <c:v>0.13636363636363635</c:v>
                </c:pt>
                <c:pt idx="6">
                  <c:v>0.1276595744680851</c:v>
                </c:pt>
                <c:pt idx="7">
                  <c:v>0.1111111111111111</c:v>
                </c:pt>
                <c:pt idx="8">
                  <c:v>0.11666666666666667</c:v>
                </c:pt>
                <c:pt idx="9">
                  <c:v>0.15277777777777779</c:v>
                </c:pt>
                <c:pt idx="10">
                  <c:v>0.13924050632911392</c:v>
                </c:pt>
                <c:pt idx="11">
                  <c:v>0.13186813186813187</c:v>
                </c:pt>
                <c:pt idx="12">
                  <c:v>0.16326530612244897</c:v>
                </c:pt>
                <c:pt idx="13">
                  <c:v>0.17592592592592593</c:v>
                </c:pt>
                <c:pt idx="14">
                  <c:v>0.17391304347826086</c:v>
                </c:pt>
                <c:pt idx="15">
                  <c:v>0.16</c:v>
                </c:pt>
                <c:pt idx="16">
                  <c:v>0.16541353383458646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りくと2!$M$1:$M$2</c15:sqref>
                        </c15:formulaRef>
                      </c:ext>
                    </c:extLst>
                    <c:strCache>
                      <c:ptCount val="2"/>
                      <c:pt idx="0">
                        <c:v>りくと</c:v>
                      </c:pt>
                      <c:pt idx="1">
                        <c:v>副露率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49408768"/>
        <c:axId val="-1149406592"/>
      </c:scatterChart>
      <c:valAx>
        <c:axId val="-1149408768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49406592"/>
        <c:crossesAt val="0.18411552346570398"/>
        <c:crossBetween val="midCat"/>
      </c:valAx>
      <c:valAx>
        <c:axId val="-1149406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494087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りくと2!$A$3:$A$19</c:f>
              <c:numCache>
                <c:formatCode>0\ "回"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りくと2!$N$3:$N$19</c:f>
              <c:numCache>
                <c:formatCode>0.0%</c:formatCode>
                <c:ptCount val="17"/>
                <c:pt idx="1">
                  <c:v>0.66666666666666663</c:v>
                </c:pt>
                <c:pt idx="2">
                  <c:v>0.42857142857142855</c:v>
                </c:pt>
                <c:pt idx="3">
                  <c:v>0.44444444444444442</c:v>
                </c:pt>
                <c:pt idx="4">
                  <c:v>0.5</c:v>
                </c:pt>
                <c:pt idx="5">
                  <c:v>0.5</c:v>
                </c:pt>
                <c:pt idx="6">
                  <c:v>0.46666666666666667</c:v>
                </c:pt>
                <c:pt idx="7">
                  <c:v>0.42105263157894735</c:v>
                </c:pt>
                <c:pt idx="8">
                  <c:v>0.47619047619047616</c:v>
                </c:pt>
                <c:pt idx="9">
                  <c:v>0.46153846153846156</c:v>
                </c:pt>
                <c:pt idx="10">
                  <c:v>0.5</c:v>
                </c:pt>
                <c:pt idx="11">
                  <c:v>0.51428571428571423</c:v>
                </c:pt>
                <c:pt idx="12">
                  <c:v>0.51428571428571423</c:v>
                </c:pt>
                <c:pt idx="13">
                  <c:v>0.52631578947368418</c:v>
                </c:pt>
                <c:pt idx="14">
                  <c:v>0.51219512195121952</c:v>
                </c:pt>
                <c:pt idx="15">
                  <c:v>0.51111111111111107</c:v>
                </c:pt>
                <c:pt idx="16">
                  <c:v>0.52083333333333337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りくと2!$N$1:$N$2</c15:sqref>
                        </c15:formulaRef>
                      </c:ext>
                    </c:extLst>
                    <c:strCache>
                      <c:ptCount val="2"/>
                      <c:pt idx="0">
                        <c:v>りくと</c:v>
                      </c:pt>
                      <c:pt idx="1">
                        <c:v>リーチ成功率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49407680"/>
        <c:axId val="-1149409312"/>
      </c:scatterChart>
      <c:valAx>
        <c:axId val="-1149407680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49409312"/>
        <c:crossesAt val="0.56153846153846154"/>
        <c:crossBetween val="midCat"/>
      </c:valAx>
      <c:valAx>
        <c:axId val="-1149409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49407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りくと2!$A$3:$A$19</c:f>
              <c:numCache>
                <c:formatCode>0\ "回"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りくと2!$O$3:$O$19</c:f>
              <c:numCache>
                <c:formatCode>0.0%</c:formatCode>
                <c:ptCount val="17"/>
                <c:pt idx="1">
                  <c:v>1</c:v>
                </c:pt>
                <c:pt idx="2">
                  <c:v>0.5</c:v>
                </c:pt>
                <c:pt idx="3">
                  <c:v>0.5</c:v>
                </c:pt>
                <c:pt idx="4">
                  <c:v>0.6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0.5714285714285714</c:v>
                </c:pt>
                <c:pt idx="9">
                  <c:v>0.63636363636363635</c:v>
                </c:pt>
                <c:pt idx="10">
                  <c:v>0.63636363636363635</c:v>
                </c:pt>
                <c:pt idx="11">
                  <c:v>0.58333333333333337</c:v>
                </c:pt>
                <c:pt idx="12">
                  <c:v>0.5</c:v>
                </c:pt>
                <c:pt idx="13">
                  <c:v>0.52631578947368418</c:v>
                </c:pt>
                <c:pt idx="14">
                  <c:v>0.55000000000000004</c:v>
                </c:pt>
                <c:pt idx="15">
                  <c:v>0.55000000000000004</c:v>
                </c:pt>
                <c:pt idx="16">
                  <c:v>0.5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りくと2!$O$1:$O$2</c15:sqref>
                        </c15:formulaRef>
                      </c:ext>
                    </c:extLst>
                    <c:strCache>
                      <c:ptCount val="2"/>
                      <c:pt idx="0">
                        <c:v>りくと</c:v>
                      </c:pt>
                      <c:pt idx="1">
                        <c:v>副露成功率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49416928"/>
        <c:axId val="-1149410944"/>
      </c:scatterChart>
      <c:valAx>
        <c:axId val="-1149416928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49410944"/>
        <c:crossesAt val="0.36601307189542481"/>
        <c:crossBetween val="midCat"/>
      </c:valAx>
      <c:valAx>
        <c:axId val="-1149410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49416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りくと2!$A$3:$A$19</c:f>
              <c:numCache>
                <c:formatCode>0\ "回"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りくと2!$P$3:$P$19</c:f>
              <c:numCache>
                <c:formatCode>0.0%</c:formatCode>
                <c:ptCount val="17"/>
                <c:pt idx="1">
                  <c:v>0.66666666666666663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0.55555555555555558</c:v>
                </c:pt>
                <c:pt idx="5">
                  <c:v>0.45454545454545453</c:v>
                </c:pt>
                <c:pt idx="6">
                  <c:v>0.45454545454545453</c:v>
                </c:pt>
                <c:pt idx="7">
                  <c:v>0.41666666666666669</c:v>
                </c:pt>
                <c:pt idx="8">
                  <c:v>0.46666666666666667</c:v>
                </c:pt>
                <c:pt idx="9">
                  <c:v>0.45</c:v>
                </c:pt>
                <c:pt idx="10">
                  <c:v>0.43478260869565216</c:v>
                </c:pt>
                <c:pt idx="11">
                  <c:v>0.42307692307692307</c:v>
                </c:pt>
                <c:pt idx="12">
                  <c:v>0.44444444444444442</c:v>
                </c:pt>
                <c:pt idx="13">
                  <c:v>0.41935483870967744</c:v>
                </c:pt>
                <c:pt idx="14">
                  <c:v>0.41176470588235292</c:v>
                </c:pt>
                <c:pt idx="15">
                  <c:v>0.41666666666666669</c:v>
                </c:pt>
                <c:pt idx="16">
                  <c:v>0.42105263157894735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りくと2!$P$1:$P$2</c15:sqref>
                        </c15:formulaRef>
                      </c:ext>
                    </c:extLst>
                    <c:strCache>
                      <c:ptCount val="2"/>
                      <c:pt idx="0">
                        <c:v>りくと</c:v>
                      </c:pt>
                      <c:pt idx="1">
                        <c:v>ツモ率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49404416"/>
        <c:axId val="-1149406048"/>
      </c:scatterChart>
      <c:valAx>
        <c:axId val="-1149404416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49406048"/>
        <c:crossesAt val="0.46311475409836067"/>
        <c:crossBetween val="midCat"/>
      </c:valAx>
      <c:valAx>
        <c:axId val="-1149406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49404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500-000000000000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600-000000000000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700-000000000000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800-000000000000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900-00000000000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A00-000000000000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B00-000000000000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C00-000000000000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D00-000000000000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E00-000000000000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F00-000000000000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000-000000000000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100-000000000000}">
  <sheetPr codeName="グラフ27"/>
  <sheetViews>
    <sheetView zoomScale="11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200-000000000000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300-000000000000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4" Type="http://schemas.openxmlformats.org/officeDocument/2006/relationships/chart" Target="../charts/chart28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4" Type="http://schemas.openxmlformats.org/officeDocument/2006/relationships/chart" Target="../charts/chart32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28575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17F6540-1AC1-41B9-9E2E-CC7DB5AD9D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385B263-F34D-4502-BA8E-E98050C9BC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6B0A4D47-D333-46AD-B8F4-7F0FFAF7E4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771BF5D7-98FE-4A67-9102-338D3EB4A6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10E4A3C-6A42-4E3C-AFC7-FAFF036D22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E0238F-D1D7-47EF-A45C-0C56B8D905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9B095627-5CF9-41B4-A97E-977AD03740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8BF1053C-0924-4817-AF41-0E75360509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4F47940-5DA2-4D89-9E47-2905923DC4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EBECA14-8451-46A3-B7AF-AFDB98A96C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CA67D038-B9BB-4FEF-9DA1-033FE76FA9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A371FFB2-EC3E-4474-98F2-D3F216B33F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04CDED8-3F06-4DEF-B855-8806DC20CF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D44AB4D-BB8E-46A8-A5E0-B81EE7D63D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803F2C40-1509-449F-9B94-6B701B4D38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5AB1D874-1160-4E0D-BF3D-CA8977568F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7EBA20A-CABD-4BA9-8C70-9D439DABE2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BF74285-C98D-4719-9260-2D93E9A6DA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CC8C8B0-693B-45B4-ACF5-A8BF1EC8B4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AB9B14BB-0D65-4F3E-B99D-FBC392A227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64AB4C7-8A8D-48A1-A7D3-23350A8118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399D97D-59A9-45F7-A623-35ACCCEB30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CCF79C3-E2AA-4DE6-8A79-34F9D7B454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158B9F9C-0C58-466B-A199-91F7E4A2BF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7022281-983C-4C6B-AFC6-E22BC6219B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C723E3D-65C7-45DD-87D9-E62FF6F86A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4529B70-1453-4E80-B300-D5C8CF77FC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9F35D76D-472D-4290-9E43-58D6DEA63C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S4"/>
  <sheetViews>
    <sheetView workbookViewId="0"/>
  </sheetViews>
  <sheetFormatPr defaultColWidth="9" defaultRowHeight="18.75" x14ac:dyDescent="0.4"/>
  <cols>
    <col min="1" max="1" width="19.125" style="2" customWidth="1"/>
    <col min="2" max="2" width="19.125" style="3" customWidth="1"/>
    <col min="3" max="16384" width="9" style="2"/>
  </cols>
  <sheetData>
    <row r="1" spans="1:19" x14ac:dyDescent="0.4">
      <c r="A1" s="1">
        <v>32874</v>
      </c>
      <c r="B1" s="1">
        <v>2958465</v>
      </c>
    </row>
    <row r="2" spans="1:19" x14ac:dyDescent="0.4">
      <c r="A2" s="2" t="s">
        <v>221</v>
      </c>
      <c r="B2" s="3">
        <v>44990.226365740738</v>
      </c>
      <c r="C2" s="2" t="s">
        <v>211</v>
      </c>
      <c r="D2" s="2" t="s">
        <v>212</v>
      </c>
      <c r="E2" s="2" t="s">
        <v>213</v>
      </c>
      <c r="F2" s="2" t="s">
        <v>214</v>
      </c>
      <c r="G2" s="2" t="s">
        <v>215</v>
      </c>
      <c r="H2" s="2" t="s">
        <v>216</v>
      </c>
      <c r="I2" s="2" t="s">
        <v>217</v>
      </c>
      <c r="J2" s="2" t="s">
        <v>218</v>
      </c>
      <c r="K2" s="2" t="s">
        <v>219</v>
      </c>
      <c r="L2" s="2" t="s">
        <v>222</v>
      </c>
      <c r="M2" s="2" t="s">
        <v>223</v>
      </c>
      <c r="N2" s="2" t="s">
        <v>224</v>
      </c>
      <c r="O2" s="2" t="s">
        <v>225</v>
      </c>
      <c r="P2" s="2" t="s">
        <v>226</v>
      </c>
      <c r="Q2" s="2" t="s">
        <v>227</v>
      </c>
      <c r="R2" s="2" t="s">
        <v>228</v>
      </c>
      <c r="S2" s="2" t="s">
        <v>229</v>
      </c>
    </row>
    <row r="3" spans="1:19" x14ac:dyDescent="0.4">
      <c r="A3" s="2" t="s">
        <v>220</v>
      </c>
      <c r="B3" s="3">
        <v>45048.836782407408</v>
      </c>
      <c r="C3" s="2" t="s">
        <v>211</v>
      </c>
      <c r="D3" s="2" t="s">
        <v>212</v>
      </c>
      <c r="E3" s="2" t="s">
        <v>213</v>
      </c>
      <c r="F3" s="2" t="s">
        <v>214</v>
      </c>
      <c r="G3" s="2" t="s">
        <v>215</v>
      </c>
      <c r="H3" s="2" t="s">
        <v>216</v>
      </c>
      <c r="I3" s="2" t="s">
        <v>217</v>
      </c>
      <c r="J3" s="2" t="s">
        <v>218</v>
      </c>
      <c r="K3" s="2" t="s">
        <v>219</v>
      </c>
    </row>
    <row r="4" spans="1:19" x14ac:dyDescent="0.4">
      <c r="A4" s="2" t="s">
        <v>230</v>
      </c>
      <c r="B4" s="3">
        <v>45152.133379629631</v>
      </c>
      <c r="C4" s="2" t="s">
        <v>211</v>
      </c>
      <c r="D4" s="2" t="s">
        <v>212</v>
      </c>
      <c r="E4" s="2" t="s">
        <v>213</v>
      </c>
      <c r="F4" s="2" t="s">
        <v>214</v>
      </c>
      <c r="G4" s="2" t="s">
        <v>215</v>
      </c>
      <c r="H4" s="2" t="s">
        <v>216</v>
      </c>
      <c r="I4" s="2" t="s">
        <v>217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P3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6" x14ac:dyDescent="0.4">
      <c r="A1" s="34"/>
      <c r="B1" s="34"/>
      <c r="C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</row>
    <row r="2" spans="1:16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148</v>
      </c>
      <c r="G2" s="34" t="s">
        <v>140</v>
      </c>
      <c r="H2" s="34" t="s">
        <v>139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141</v>
      </c>
      <c r="P2" s="34" t="s">
        <v>137</v>
      </c>
    </row>
    <row r="3" spans="1:16" x14ac:dyDescent="0.4">
      <c r="A3" s="33">
        <v>0</v>
      </c>
      <c r="B3" s="30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H25"/>
  <sheetViews>
    <sheetView workbookViewId="0"/>
  </sheetViews>
  <sheetFormatPr defaultRowHeight="18.75" x14ac:dyDescent="0.4"/>
  <cols>
    <col min="1" max="1" width="11" customWidth="1"/>
    <col min="2" max="2" width="9" style="120" customWidth="1"/>
    <col min="3" max="3" width="9" style="120"/>
  </cols>
  <sheetData>
    <row r="1" spans="1:3" x14ac:dyDescent="0.4">
      <c r="A1" t="s">
        <v>231</v>
      </c>
    </row>
    <row r="2" spans="1:3" x14ac:dyDescent="0.4">
      <c r="A2" t="s">
        <v>126</v>
      </c>
      <c r="B2" s="120">
        <v>27</v>
      </c>
      <c r="C2" s="120">
        <v>1846.5755924228188</v>
      </c>
    </row>
    <row r="3" spans="1:3" x14ac:dyDescent="0.4">
      <c r="A3" t="s">
        <v>138</v>
      </c>
      <c r="B3" s="120">
        <v>99</v>
      </c>
      <c r="C3" s="120">
        <v>1614.2957512011271</v>
      </c>
    </row>
    <row r="4" spans="1:3" x14ac:dyDescent="0.4">
      <c r="A4" t="s">
        <v>162</v>
      </c>
      <c r="B4" s="120">
        <v>13</v>
      </c>
      <c r="C4" s="120">
        <v>1595.6213709809917</v>
      </c>
    </row>
    <row r="5" spans="1:3" x14ac:dyDescent="0.4">
      <c r="A5" t="s">
        <v>188</v>
      </c>
      <c r="C5" s="120">
        <v>1551.4699038276274</v>
      </c>
    </row>
    <row r="6" spans="1:3" x14ac:dyDescent="0.4">
      <c r="A6" t="s">
        <v>189</v>
      </c>
      <c r="B6" s="120">
        <v>19</v>
      </c>
      <c r="C6" s="120">
        <v>1546.9221135131666</v>
      </c>
    </row>
    <row r="7" spans="1:3" x14ac:dyDescent="0.4">
      <c r="A7" t="s">
        <v>207</v>
      </c>
      <c r="C7" s="120">
        <v>1541.223654027415</v>
      </c>
    </row>
    <row r="8" spans="1:3" x14ac:dyDescent="0.4">
      <c r="A8" t="s">
        <v>200</v>
      </c>
      <c r="C8" s="120">
        <v>1519.3079580555725</v>
      </c>
    </row>
    <row r="9" spans="1:3" x14ac:dyDescent="0.4">
      <c r="A9" t="s">
        <v>196</v>
      </c>
      <c r="C9" s="120">
        <v>1519.2052586122145</v>
      </c>
    </row>
    <row r="10" spans="1:3" x14ac:dyDescent="0.4">
      <c r="A10" t="s">
        <v>199</v>
      </c>
      <c r="C10" s="120">
        <v>1503.1020000000001</v>
      </c>
    </row>
    <row r="11" spans="1:3" x14ac:dyDescent="0.4">
      <c r="A11" t="s">
        <v>209</v>
      </c>
      <c r="B11" s="120">
        <v>9</v>
      </c>
      <c r="C11" s="120">
        <v>1497.379788</v>
      </c>
    </row>
    <row r="12" spans="1:3" x14ac:dyDescent="0.4">
      <c r="A12" t="s">
        <v>210</v>
      </c>
      <c r="C12" s="120">
        <v>1493.0891304000002</v>
      </c>
    </row>
    <row r="13" spans="1:3" x14ac:dyDescent="0.4">
      <c r="A13" t="s">
        <v>198</v>
      </c>
      <c r="C13" s="120">
        <v>1491.5152195648213</v>
      </c>
    </row>
    <row r="14" spans="1:3" x14ac:dyDescent="0.4">
      <c r="A14" t="s">
        <v>201</v>
      </c>
      <c r="C14" s="120">
        <v>1489.2889468180317</v>
      </c>
    </row>
    <row r="15" spans="1:3" x14ac:dyDescent="0.4">
      <c r="A15" t="s">
        <v>208</v>
      </c>
      <c r="C15" s="120">
        <v>1488.9447185272431</v>
      </c>
    </row>
    <row r="16" spans="1:3" x14ac:dyDescent="0.4">
      <c r="A16" t="s">
        <v>203</v>
      </c>
      <c r="C16" s="120">
        <v>1484.6521503082251</v>
      </c>
    </row>
    <row r="17" spans="1:8" x14ac:dyDescent="0.4">
      <c r="A17" t="s">
        <v>205</v>
      </c>
      <c r="C17" s="120">
        <v>1484.4200922656562</v>
      </c>
      <c r="G17" s="120"/>
      <c r="H17" s="120"/>
    </row>
    <row r="18" spans="1:8" x14ac:dyDescent="0.4">
      <c r="A18" t="s">
        <v>206</v>
      </c>
      <c r="C18" s="120">
        <v>1483.0119085897741</v>
      </c>
      <c r="G18" s="120"/>
      <c r="H18" s="120"/>
    </row>
    <row r="19" spans="1:8" x14ac:dyDescent="0.4">
      <c r="A19" t="s">
        <v>197</v>
      </c>
      <c r="C19" s="120">
        <v>1476.9680701642462</v>
      </c>
      <c r="G19" s="120"/>
      <c r="H19" s="120"/>
    </row>
    <row r="20" spans="1:8" x14ac:dyDescent="0.4">
      <c r="A20" t="s">
        <v>202</v>
      </c>
      <c r="C20" s="120">
        <v>1476.2954110473599</v>
      </c>
      <c r="G20" s="120"/>
      <c r="H20" s="120"/>
    </row>
    <row r="21" spans="1:8" x14ac:dyDescent="0.4">
      <c r="A21" t="s">
        <v>187</v>
      </c>
      <c r="B21" s="120">
        <v>15</v>
      </c>
      <c r="C21" s="120">
        <v>1463.3989422821498</v>
      </c>
      <c r="G21" s="120"/>
      <c r="H21" s="120"/>
    </row>
    <row r="22" spans="1:8" x14ac:dyDescent="0.4">
      <c r="A22" t="s">
        <v>194</v>
      </c>
      <c r="C22" s="120">
        <v>1445.1125193047092</v>
      </c>
      <c r="G22" s="120"/>
      <c r="H22" s="120"/>
    </row>
    <row r="23" spans="1:8" x14ac:dyDescent="0.4">
      <c r="A23" t="s">
        <v>195</v>
      </c>
      <c r="C23" s="120">
        <v>1384.1908394993188</v>
      </c>
    </row>
    <row r="24" spans="1:8" x14ac:dyDescent="0.4">
      <c r="A24" t="s">
        <v>191</v>
      </c>
      <c r="B24" s="120">
        <v>16</v>
      </c>
      <c r="C24" s="120">
        <v>1372.5824902185618</v>
      </c>
    </row>
    <row r="25" spans="1:8" x14ac:dyDescent="0.4">
      <c r="A25" t="s">
        <v>190</v>
      </c>
      <c r="C25" s="120">
        <v>1340.228259602879</v>
      </c>
    </row>
  </sheetData>
  <sortState xmlns:xlrd2="http://schemas.microsoft.com/office/spreadsheetml/2017/richdata2" ref="A2:C25">
    <sortCondition ref="B2:B25"/>
  </sortState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/>
      <c r="C1" s="132"/>
      <c r="E1" s="104" t="s">
        <v>153</v>
      </c>
      <c r="F1" s="100" t="s">
        <v>115</v>
      </c>
      <c r="G1" s="99" t="s">
        <v>116</v>
      </c>
      <c r="H1" s="86" t="s">
        <v>117</v>
      </c>
      <c r="I1" s="100" t="s">
        <v>145</v>
      </c>
      <c r="K1" s="72" t="s">
        <v>19</v>
      </c>
      <c r="L1" s="4" t="s">
        <v>120</v>
      </c>
      <c r="M1" s="115" t="s">
        <v>193</v>
      </c>
      <c r="N1" s="105"/>
      <c r="O1" s="72" t="s">
        <v>133</v>
      </c>
      <c r="P1" s="4" t="s">
        <v>134</v>
      </c>
      <c r="Q1" s="106" t="s">
        <v>116</v>
      </c>
      <c r="R1" s="62" t="s">
        <v>147</v>
      </c>
    </row>
    <row r="2" spans="1:18" x14ac:dyDescent="0.4">
      <c r="A2" s="18" t="s">
        <v>9</v>
      </c>
      <c r="B2" s="133">
        <v>0</v>
      </c>
      <c r="C2" s="134"/>
      <c r="E2" s="26" t="s">
        <v>64</v>
      </c>
      <c r="F2" s="23" t="s">
        <v>20</v>
      </c>
      <c r="G2" s="11">
        <v>0</v>
      </c>
      <c r="H2" s="87">
        <f t="shared" ref="H2:H33" si="0">IF(B$20=0,0,G2/B$20)</f>
        <v>0</v>
      </c>
      <c r="I2" s="57"/>
      <c r="K2" s="73">
        <v>0</v>
      </c>
      <c r="L2" s="118">
        <v>0</v>
      </c>
      <c r="M2" s="116">
        <v>1500</v>
      </c>
      <c r="O2" s="73" t="s">
        <v>127</v>
      </c>
      <c r="P2" s="79">
        <f t="shared" ref="P2:P7" si="1">IF(Q2=0,0,R2/Q2)</f>
        <v>0</v>
      </c>
      <c r="Q2" s="76">
        <v>0</v>
      </c>
      <c r="R2" s="63">
        <v>0</v>
      </c>
    </row>
    <row r="3" spans="1:18" x14ac:dyDescent="0.4">
      <c r="A3" s="19" t="s">
        <v>8</v>
      </c>
      <c r="B3" s="135">
        <v>0</v>
      </c>
      <c r="C3" s="136"/>
      <c r="E3" s="27" t="s">
        <v>65</v>
      </c>
      <c r="F3" s="24" t="s">
        <v>21</v>
      </c>
      <c r="G3" s="12">
        <v>0</v>
      </c>
      <c r="H3" s="88">
        <f t="shared" si="0"/>
        <v>0</v>
      </c>
      <c r="I3" s="58"/>
      <c r="O3" s="74" t="s">
        <v>128</v>
      </c>
      <c r="P3" s="80">
        <f t="shared" si="1"/>
        <v>0</v>
      </c>
      <c r="Q3" s="77">
        <v>0</v>
      </c>
      <c r="R3" s="64">
        <v>0</v>
      </c>
    </row>
    <row r="4" spans="1:18" x14ac:dyDescent="0.4">
      <c r="A4" s="19" t="s">
        <v>6</v>
      </c>
      <c r="B4" s="137">
        <v>0</v>
      </c>
      <c r="C4" s="138"/>
      <c r="E4" s="27" t="s">
        <v>66</v>
      </c>
      <c r="F4" s="24" t="s">
        <v>22</v>
      </c>
      <c r="G4" s="12">
        <v>0</v>
      </c>
      <c r="H4" s="88">
        <f t="shared" si="0"/>
        <v>0</v>
      </c>
      <c r="I4" s="58"/>
      <c r="O4" s="74" t="s">
        <v>129</v>
      </c>
      <c r="P4" s="80">
        <f t="shared" si="1"/>
        <v>0</v>
      </c>
      <c r="Q4" s="77">
        <v>0</v>
      </c>
      <c r="R4" s="64">
        <v>0</v>
      </c>
    </row>
    <row r="5" spans="1:18" x14ac:dyDescent="0.4">
      <c r="A5" s="19" t="s">
        <v>7</v>
      </c>
      <c r="B5" s="125">
        <f>IF(B$2=0,0,B$4/B$2)</f>
        <v>0</v>
      </c>
      <c r="C5" s="126"/>
      <c r="E5" s="27" t="s">
        <v>67</v>
      </c>
      <c r="F5" s="24" t="s">
        <v>23</v>
      </c>
      <c r="G5" s="12">
        <v>0</v>
      </c>
      <c r="H5" s="88">
        <f t="shared" si="0"/>
        <v>0</v>
      </c>
      <c r="I5" s="58"/>
      <c r="O5" s="74" t="s">
        <v>130</v>
      </c>
      <c r="P5" s="80">
        <f t="shared" si="1"/>
        <v>0</v>
      </c>
      <c r="Q5" s="77">
        <v>0</v>
      </c>
      <c r="R5" s="64">
        <v>0</v>
      </c>
    </row>
    <row r="6" spans="1:18" x14ac:dyDescent="0.4">
      <c r="A6" s="19" t="s">
        <v>192</v>
      </c>
      <c r="B6" s="129">
        <v>1500</v>
      </c>
      <c r="C6" s="130"/>
      <c r="E6" s="27" t="s">
        <v>68</v>
      </c>
      <c r="F6" s="24" t="s">
        <v>12</v>
      </c>
      <c r="G6" s="12">
        <v>0</v>
      </c>
      <c r="H6" s="88">
        <f t="shared" si="0"/>
        <v>0</v>
      </c>
      <c r="I6" s="58"/>
      <c r="O6" s="74" t="s">
        <v>131</v>
      </c>
      <c r="P6" s="80">
        <f t="shared" si="1"/>
        <v>0</v>
      </c>
      <c r="Q6" s="77">
        <v>0</v>
      </c>
      <c r="R6" s="64">
        <v>0</v>
      </c>
    </row>
    <row r="7" spans="1:18" x14ac:dyDescent="0.4">
      <c r="A7" s="19" t="s">
        <v>1</v>
      </c>
      <c r="B7" s="139">
        <f>IF(B$2=0,0,(B$8*1+B$9*2+B$10*3)/B$2)</f>
        <v>0</v>
      </c>
      <c r="C7" s="140"/>
      <c r="E7" s="27" t="s">
        <v>69</v>
      </c>
      <c r="F7" s="24" t="s">
        <v>24</v>
      </c>
      <c r="G7" s="12">
        <v>0</v>
      </c>
      <c r="H7" s="88">
        <f t="shared" si="0"/>
        <v>0</v>
      </c>
      <c r="I7" s="58"/>
      <c r="O7" s="75" t="s">
        <v>132</v>
      </c>
      <c r="P7" s="81">
        <f t="shared" si="1"/>
        <v>0</v>
      </c>
      <c r="Q7" s="78">
        <v>0</v>
      </c>
      <c r="R7" s="65">
        <v>0</v>
      </c>
    </row>
    <row r="8" spans="1:18" x14ac:dyDescent="0.4">
      <c r="A8" s="19" t="s">
        <v>2</v>
      </c>
      <c r="B8" s="12">
        <v>0</v>
      </c>
      <c r="C8" s="6">
        <f t="shared" ref="C8:C15" si="2">IF(B$2=0,0,B8/B$2)</f>
        <v>0</v>
      </c>
      <c r="E8" s="27" t="s">
        <v>70</v>
      </c>
      <c r="F8" s="24" t="s">
        <v>25</v>
      </c>
      <c r="G8" s="12">
        <v>0</v>
      </c>
      <c r="H8" s="88">
        <f t="shared" si="0"/>
        <v>0</v>
      </c>
      <c r="I8" s="58"/>
      <c r="O8" s="107"/>
      <c r="P8" s="85"/>
      <c r="Q8" s="108"/>
      <c r="R8" s="70"/>
    </row>
    <row r="9" spans="1:18" x14ac:dyDescent="0.4">
      <c r="A9" s="19" t="s">
        <v>3</v>
      </c>
      <c r="B9" s="12">
        <v>0</v>
      </c>
      <c r="C9" s="6">
        <f t="shared" si="2"/>
        <v>0</v>
      </c>
      <c r="E9" s="27" t="s">
        <v>71</v>
      </c>
      <c r="F9" s="24" t="s">
        <v>26</v>
      </c>
      <c r="G9" s="12">
        <v>0</v>
      </c>
      <c r="H9" s="88">
        <f t="shared" si="0"/>
        <v>0</v>
      </c>
      <c r="I9" s="58"/>
      <c r="O9" s="72" t="s">
        <v>149</v>
      </c>
      <c r="P9" s="4" t="s">
        <v>120</v>
      </c>
      <c r="Q9" s="106" t="s">
        <v>116</v>
      </c>
      <c r="R9" s="66" t="s">
        <v>147</v>
      </c>
    </row>
    <row r="10" spans="1:18" x14ac:dyDescent="0.4">
      <c r="A10" s="20" t="s">
        <v>4</v>
      </c>
      <c r="B10" s="13">
        <v>0</v>
      </c>
      <c r="C10" s="7">
        <f t="shared" si="2"/>
        <v>0</v>
      </c>
      <c r="E10" s="27" t="s">
        <v>72</v>
      </c>
      <c r="F10" s="24" t="s">
        <v>27</v>
      </c>
      <c r="G10" s="12">
        <v>0</v>
      </c>
      <c r="H10" s="88">
        <f t="shared" si="0"/>
        <v>0</v>
      </c>
      <c r="I10" s="58"/>
      <c r="O10" s="73" t="s">
        <v>150</v>
      </c>
      <c r="P10" s="82">
        <f>IF(Q10=0,0,R10/Q10)</f>
        <v>0</v>
      </c>
      <c r="Q10" s="76">
        <v>0</v>
      </c>
      <c r="R10" s="67">
        <v>0</v>
      </c>
    </row>
    <row r="11" spans="1:18" x14ac:dyDescent="0.4">
      <c r="A11" s="20" t="s">
        <v>183</v>
      </c>
      <c r="B11" s="109">
        <f>IF(B8=0,0,C11/B8)</f>
        <v>0</v>
      </c>
      <c r="C11" s="110">
        <v>0</v>
      </c>
      <c r="E11" s="27" t="s">
        <v>73</v>
      </c>
      <c r="F11" s="24" t="s">
        <v>28</v>
      </c>
      <c r="G11" s="12">
        <v>0</v>
      </c>
      <c r="H11" s="88">
        <f t="shared" si="0"/>
        <v>0</v>
      </c>
      <c r="I11" s="58"/>
      <c r="O11" s="74" t="s">
        <v>151</v>
      </c>
      <c r="P11" s="83">
        <f>IF(Q11=0,0,R11/Q11)</f>
        <v>0</v>
      </c>
      <c r="Q11" s="77">
        <v>0</v>
      </c>
      <c r="R11" s="68">
        <v>0</v>
      </c>
    </row>
    <row r="12" spans="1:18" x14ac:dyDescent="0.4">
      <c r="A12" s="20" t="s">
        <v>184</v>
      </c>
      <c r="B12" s="109">
        <f>IF(B9=0,0,C12/B9)</f>
        <v>0</v>
      </c>
      <c r="C12" s="110">
        <v>0</v>
      </c>
      <c r="E12" s="27" t="s">
        <v>74</v>
      </c>
      <c r="F12" s="24" t="s">
        <v>29</v>
      </c>
      <c r="G12" s="12">
        <v>0</v>
      </c>
      <c r="H12" s="88">
        <f t="shared" si="0"/>
        <v>0</v>
      </c>
      <c r="I12" s="58"/>
      <c r="O12" s="75" t="s">
        <v>152</v>
      </c>
      <c r="P12" s="84">
        <f>IF(Q12=0,0,R12/Q12)</f>
        <v>0</v>
      </c>
      <c r="Q12" s="78">
        <v>0</v>
      </c>
      <c r="R12" s="69">
        <v>0</v>
      </c>
    </row>
    <row r="13" spans="1:18" x14ac:dyDescent="0.4">
      <c r="A13" s="20" t="s">
        <v>185</v>
      </c>
      <c r="B13" s="109">
        <f>IF(B10=0,0,C13/B10)</f>
        <v>0</v>
      </c>
      <c r="C13" s="110">
        <v>0</v>
      </c>
      <c r="E13" s="27" t="s">
        <v>75</v>
      </c>
      <c r="F13" s="24" t="s">
        <v>30</v>
      </c>
      <c r="G13" s="12">
        <v>0</v>
      </c>
      <c r="H13" s="88">
        <f t="shared" si="0"/>
        <v>0</v>
      </c>
      <c r="I13" s="58"/>
      <c r="O13" s="103"/>
      <c r="P13" s="71"/>
      <c r="Q13" s="111"/>
      <c r="R13" s="71"/>
    </row>
    <row r="14" spans="1:18" x14ac:dyDescent="0.4">
      <c r="A14" s="20" t="s">
        <v>186</v>
      </c>
      <c r="B14" s="125">
        <f>AVERAGE(B11:B13)</f>
        <v>0</v>
      </c>
      <c r="C14" s="126"/>
      <c r="E14" s="27" t="s">
        <v>76</v>
      </c>
      <c r="F14" s="24" t="s">
        <v>31</v>
      </c>
      <c r="G14" s="12">
        <v>0</v>
      </c>
      <c r="H14" s="88">
        <f t="shared" si="0"/>
        <v>0</v>
      </c>
      <c r="I14" s="58"/>
      <c r="O14" s="72" t="s">
        <v>146</v>
      </c>
      <c r="P14" s="4" t="s">
        <v>120</v>
      </c>
      <c r="Q14" s="106" t="s">
        <v>116</v>
      </c>
      <c r="R14" s="66" t="s">
        <v>147</v>
      </c>
    </row>
    <row r="15" spans="1:18" x14ac:dyDescent="0.4">
      <c r="A15" s="21" t="s">
        <v>18</v>
      </c>
      <c r="B15" s="14">
        <v>0</v>
      </c>
      <c r="C15" s="9">
        <f t="shared" si="2"/>
        <v>0</v>
      </c>
      <c r="E15" s="27" t="s">
        <v>77</v>
      </c>
      <c r="F15" s="24" t="s">
        <v>32</v>
      </c>
      <c r="G15" s="12">
        <v>0</v>
      </c>
      <c r="H15" s="88">
        <f t="shared" si="0"/>
        <v>0</v>
      </c>
      <c r="I15" s="58"/>
      <c r="O15" s="73"/>
      <c r="P15" s="82"/>
      <c r="Q15" s="76"/>
      <c r="R15" s="67"/>
    </row>
    <row r="16" spans="1:18" x14ac:dyDescent="0.4">
      <c r="A16" s="22" t="s">
        <v>121</v>
      </c>
      <c r="B16" s="15">
        <v>0</v>
      </c>
      <c r="C16" s="10">
        <f>IF(B$3=0,0,B16/B$3)</f>
        <v>0</v>
      </c>
      <c r="E16" s="27" t="s">
        <v>78</v>
      </c>
      <c r="F16" s="24" t="s">
        <v>33</v>
      </c>
      <c r="G16" s="12">
        <v>0</v>
      </c>
      <c r="H16" s="88">
        <f t="shared" si="0"/>
        <v>0</v>
      </c>
      <c r="I16" s="58"/>
    </row>
    <row r="17" spans="1:9" x14ac:dyDescent="0.4">
      <c r="A17" s="19" t="s">
        <v>118</v>
      </c>
      <c r="B17" s="12">
        <v>0</v>
      </c>
      <c r="C17" s="6">
        <f>IF(B$3=0,0,B17/B$3)</f>
        <v>0</v>
      </c>
      <c r="E17" s="27" t="s">
        <v>79</v>
      </c>
      <c r="F17" s="24" t="s">
        <v>34</v>
      </c>
      <c r="G17" s="12">
        <v>0</v>
      </c>
      <c r="H17" s="88">
        <f t="shared" si="0"/>
        <v>0</v>
      </c>
      <c r="I17" s="58"/>
    </row>
    <row r="18" spans="1:9" x14ac:dyDescent="0.4">
      <c r="A18" s="18" t="s">
        <v>123</v>
      </c>
      <c r="B18" s="11">
        <f>B24</f>
        <v>0</v>
      </c>
      <c r="C18" s="5">
        <f>IF(B$16=0,0,B18/B$16)</f>
        <v>0</v>
      </c>
      <c r="E18" s="27" t="s">
        <v>80</v>
      </c>
      <c r="F18" s="24" t="s">
        <v>35</v>
      </c>
      <c r="G18" s="12">
        <v>0</v>
      </c>
      <c r="H18" s="88">
        <f t="shared" si="0"/>
        <v>0</v>
      </c>
      <c r="I18" s="58"/>
    </row>
    <row r="19" spans="1:9" x14ac:dyDescent="0.4">
      <c r="A19" s="18" t="s">
        <v>124</v>
      </c>
      <c r="B19" s="11">
        <f>B25</f>
        <v>0</v>
      </c>
      <c r="C19" s="5">
        <f>IF(B$17=0,0,B19/B$17)</f>
        <v>0</v>
      </c>
      <c r="E19" s="27" t="s">
        <v>81</v>
      </c>
      <c r="F19" s="24" t="s">
        <v>36</v>
      </c>
      <c r="G19" s="12">
        <v>0</v>
      </c>
      <c r="H19" s="88">
        <f t="shared" si="0"/>
        <v>0</v>
      </c>
      <c r="I19" s="58"/>
    </row>
    <row r="20" spans="1:9" x14ac:dyDescent="0.4">
      <c r="A20" s="18" t="s">
        <v>10</v>
      </c>
      <c r="B20" s="11">
        <f>B23+B22</f>
        <v>0</v>
      </c>
      <c r="C20" s="5">
        <f>IF(B$3=0,0,B20/B$3)</f>
        <v>0</v>
      </c>
      <c r="E20" s="27" t="s">
        <v>82</v>
      </c>
      <c r="F20" s="24" t="s">
        <v>37</v>
      </c>
      <c r="G20" s="12">
        <v>0</v>
      </c>
      <c r="H20" s="88">
        <f t="shared" si="0"/>
        <v>0</v>
      </c>
      <c r="I20" s="58"/>
    </row>
    <row r="21" spans="1:9" x14ac:dyDescent="0.4">
      <c r="A21" s="19" t="s">
        <v>13</v>
      </c>
      <c r="B21" s="12">
        <v>0</v>
      </c>
      <c r="C21" s="6">
        <f>IF(B$3=0,0,B21/B$3)</f>
        <v>0</v>
      </c>
      <c r="E21" s="27" t="s">
        <v>83</v>
      </c>
      <c r="F21" s="24" t="s">
        <v>38</v>
      </c>
      <c r="G21" s="12">
        <v>0</v>
      </c>
      <c r="H21" s="88">
        <f t="shared" si="0"/>
        <v>0</v>
      </c>
      <c r="I21" s="58"/>
    </row>
    <row r="22" spans="1:9" x14ac:dyDescent="0.4">
      <c r="A22" s="19" t="s">
        <v>12</v>
      </c>
      <c r="B22" s="12">
        <v>0</v>
      </c>
      <c r="C22" s="6">
        <f>IF(B$20=0,0,B22/B$20)</f>
        <v>0</v>
      </c>
      <c r="E22" s="27" t="s">
        <v>84</v>
      </c>
      <c r="F22" s="24" t="s">
        <v>39</v>
      </c>
      <c r="G22" s="12">
        <v>0</v>
      </c>
      <c r="H22" s="88">
        <f t="shared" si="0"/>
        <v>0</v>
      </c>
      <c r="I22" s="58"/>
    </row>
    <row r="23" spans="1:9" x14ac:dyDescent="0.4">
      <c r="A23" s="19" t="s">
        <v>11</v>
      </c>
      <c r="B23" s="12">
        <v>0</v>
      </c>
      <c r="C23" s="6">
        <f>IF(B$20=0,0,B23/B$20)</f>
        <v>0</v>
      </c>
      <c r="E23" s="27" t="s">
        <v>85</v>
      </c>
      <c r="F23" s="24" t="s">
        <v>40</v>
      </c>
      <c r="G23" s="12">
        <v>0</v>
      </c>
      <c r="H23" s="88">
        <f t="shared" si="0"/>
        <v>0</v>
      </c>
      <c r="I23" s="58"/>
    </row>
    <row r="24" spans="1:9" x14ac:dyDescent="0.4">
      <c r="A24" s="19" t="s">
        <v>182</v>
      </c>
      <c r="B24" s="12">
        <v>0</v>
      </c>
      <c r="C24" s="6">
        <f>IF(B$20=0,0,B24/B$20)</f>
        <v>0</v>
      </c>
      <c r="E24" s="27" t="s">
        <v>86</v>
      </c>
      <c r="F24" s="24" t="s">
        <v>41</v>
      </c>
      <c r="G24" s="12">
        <v>0</v>
      </c>
      <c r="H24" s="88">
        <f t="shared" si="0"/>
        <v>0</v>
      </c>
      <c r="I24" s="58"/>
    </row>
    <row r="25" spans="1:9" x14ac:dyDescent="0.4">
      <c r="A25" s="19" t="s">
        <v>180</v>
      </c>
      <c r="B25" s="12">
        <v>0</v>
      </c>
      <c r="C25" s="6">
        <f>IF(B$20=0,0,B25/B$20)</f>
        <v>0</v>
      </c>
      <c r="E25" s="27" t="s">
        <v>87</v>
      </c>
      <c r="F25" s="24" t="s">
        <v>42</v>
      </c>
      <c r="G25" s="12">
        <v>0</v>
      </c>
      <c r="H25" s="88">
        <f t="shared" si="0"/>
        <v>0</v>
      </c>
      <c r="I25" s="58"/>
    </row>
    <row r="26" spans="1:9" x14ac:dyDescent="0.4">
      <c r="A26" s="19" t="s">
        <v>181</v>
      </c>
      <c r="B26" s="12">
        <v>0</v>
      </c>
      <c r="C26" s="6">
        <f>IF(B$20=0,0,B26/B$20)</f>
        <v>0</v>
      </c>
      <c r="E26" s="27" t="s">
        <v>88</v>
      </c>
      <c r="F26" s="24" t="s">
        <v>43</v>
      </c>
      <c r="G26" s="12">
        <v>0</v>
      </c>
      <c r="H26" s="88">
        <f t="shared" si="0"/>
        <v>0</v>
      </c>
      <c r="I26" s="58"/>
    </row>
    <row r="27" spans="1:9" x14ac:dyDescent="0.4">
      <c r="A27" s="19" t="s">
        <v>5</v>
      </c>
      <c r="B27" s="16">
        <f>IF(B$20=0,0,C27/B$20)</f>
        <v>0</v>
      </c>
      <c r="C27" s="8">
        <v>0</v>
      </c>
      <c r="E27" s="27" t="s">
        <v>89</v>
      </c>
      <c r="F27" s="24" t="s">
        <v>44</v>
      </c>
      <c r="G27" s="12">
        <v>0</v>
      </c>
      <c r="H27" s="88">
        <f t="shared" si="0"/>
        <v>0</v>
      </c>
      <c r="I27" s="58"/>
    </row>
    <row r="28" spans="1:9" x14ac:dyDescent="0.4">
      <c r="A28" s="20" t="s">
        <v>164</v>
      </c>
      <c r="B28" s="95">
        <f>IF($B$20-B$19=0,0,C28/($B$20-B$19))</f>
        <v>0</v>
      </c>
      <c r="C28" s="96">
        <v>0</v>
      </c>
      <c r="E28" s="27" t="s">
        <v>90</v>
      </c>
      <c r="F28" s="24" t="s">
        <v>45</v>
      </c>
      <c r="G28" s="12">
        <v>0</v>
      </c>
      <c r="H28" s="88">
        <f t="shared" si="0"/>
        <v>0</v>
      </c>
      <c r="I28" s="58"/>
    </row>
    <row r="29" spans="1:9" x14ac:dyDescent="0.4">
      <c r="A29" s="20" t="s">
        <v>165</v>
      </c>
      <c r="B29" s="95">
        <f>IF(B$19=0,0,C29/B$19)</f>
        <v>0</v>
      </c>
      <c r="C29" s="96">
        <v>0</v>
      </c>
      <c r="E29" s="27" t="s">
        <v>91</v>
      </c>
      <c r="F29" s="24" t="s">
        <v>46</v>
      </c>
      <c r="G29" s="12">
        <v>0</v>
      </c>
      <c r="H29" s="88">
        <f t="shared" si="0"/>
        <v>0</v>
      </c>
      <c r="I29" s="58"/>
    </row>
    <row r="30" spans="1:9" x14ac:dyDescent="0.4">
      <c r="A30" s="20" t="s">
        <v>163</v>
      </c>
      <c r="B30" s="95">
        <f>IF(B$21=0,0,C30/B$21)</f>
        <v>0</v>
      </c>
      <c r="C30" s="96">
        <v>0</v>
      </c>
      <c r="E30" s="27" t="s">
        <v>92</v>
      </c>
      <c r="F30" s="24" t="s">
        <v>47</v>
      </c>
      <c r="G30" s="12">
        <v>0</v>
      </c>
      <c r="H30" s="88">
        <f t="shared" si="0"/>
        <v>0</v>
      </c>
      <c r="I30" s="58"/>
    </row>
    <row r="31" spans="1:9" x14ac:dyDescent="0.4">
      <c r="A31" s="19" t="s">
        <v>156</v>
      </c>
      <c r="B31" s="12">
        <v>0</v>
      </c>
      <c r="C31" s="90">
        <v>0</v>
      </c>
      <c r="E31" s="27" t="s">
        <v>93</v>
      </c>
      <c r="F31" s="24" t="s">
        <v>48</v>
      </c>
      <c r="G31" s="12">
        <v>0</v>
      </c>
      <c r="H31" s="88">
        <f t="shared" si="0"/>
        <v>0</v>
      </c>
      <c r="I31" s="58"/>
    </row>
    <row r="32" spans="1:9" x14ac:dyDescent="0.4">
      <c r="A32" s="19" t="s">
        <v>157</v>
      </c>
      <c r="B32" s="12">
        <v>0</v>
      </c>
      <c r="C32" s="90">
        <v>0</v>
      </c>
      <c r="E32" s="27" t="s">
        <v>94</v>
      </c>
      <c r="F32" s="24" t="s">
        <v>49</v>
      </c>
      <c r="G32" s="12">
        <v>0</v>
      </c>
      <c r="H32" s="88">
        <f t="shared" si="0"/>
        <v>0</v>
      </c>
      <c r="I32" s="58"/>
    </row>
    <row r="33" spans="1:9" x14ac:dyDescent="0.4">
      <c r="A33" s="54" t="s">
        <v>135</v>
      </c>
      <c r="B33" s="127">
        <v>0</v>
      </c>
      <c r="C33" s="128"/>
      <c r="E33" s="27" t="s">
        <v>95</v>
      </c>
      <c r="F33" s="24" t="s">
        <v>50</v>
      </c>
      <c r="G33" s="12">
        <v>0</v>
      </c>
      <c r="H33" s="88">
        <f t="shared" si="0"/>
        <v>0</v>
      </c>
      <c r="I33" s="58"/>
    </row>
    <row r="34" spans="1:9" x14ac:dyDescent="0.4">
      <c r="A34" s="22" t="s">
        <v>179</v>
      </c>
      <c r="B34" s="129">
        <v>-1000000</v>
      </c>
      <c r="C34" s="130"/>
      <c r="E34" s="27" t="s">
        <v>96</v>
      </c>
      <c r="F34" s="24" t="s">
        <v>51</v>
      </c>
      <c r="G34" s="12">
        <v>0</v>
      </c>
      <c r="H34" s="88">
        <f t="shared" ref="H34:H52" si="3">IF(B$20=0,0,G34/B$20)</f>
        <v>0</v>
      </c>
      <c r="I34" s="58"/>
    </row>
    <row r="35" spans="1:9" x14ac:dyDescent="0.4">
      <c r="A35" s="21" t="s">
        <v>136</v>
      </c>
      <c r="B35" s="29">
        <v>0</v>
      </c>
      <c r="C35" s="9">
        <f>IF(B$3=0,0,B35/B$3)</f>
        <v>0</v>
      </c>
      <c r="E35" s="27" t="s">
        <v>97</v>
      </c>
      <c r="F35" s="24" t="s">
        <v>52</v>
      </c>
      <c r="G35" s="12">
        <v>0</v>
      </c>
      <c r="H35" s="88">
        <f t="shared" si="3"/>
        <v>0</v>
      </c>
      <c r="I35" s="58"/>
    </row>
    <row r="36" spans="1:9" x14ac:dyDescent="0.4">
      <c r="E36" s="27" t="s">
        <v>98</v>
      </c>
      <c r="F36" s="24" t="s">
        <v>53</v>
      </c>
      <c r="G36" s="12">
        <v>0</v>
      </c>
      <c r="H36" s="88">
        <f t="shared" si="3"/>
        <v>0</v>
      </c>
      <c r="I36" s="58"/>
    </row>
    <row r="37" spans="1:9" x14ac:dyDescent="0.4">
      <c r="A37" s="54" t="s">
        <v>170</v>
      </c>
      <c r="B37" s="101">
        <v>0</v>
      </c>
      <c r="C37" s="98">
        <f t="shared" ref="C37:C49" si="4">IF(B$20=0,0,B37/B$20)</f>
        <v>0</v>
      </c>
      <c r="E37" s="27" t="s">
        <v>99</v>
      </c>
      <c r="F37" s="24" t="s">
        <v>54</v>
      </c>
      <c r="G37" s="12">
        <v>0</v>
      </c>
      <c r="H37" s="88">
        <f t="shared" si="3"/>
        <v>0</v>
      </c>
      <c r="I37" s="58"/>
    </row>
    <row r="38" spans="1:9" x14ac:dyDescent="0.4">
      <c r="A38" s="19" t="s">
        <v>166</v>
      </c>
      <c r="B38" s="12">
        <v>0</v>
      </c>
      <c r="C38" s="6">
        <f t="shared" si="4"/>
        <v>0</v>
      </c>
      <c r="E38" s="27" t="s">
        <v>100</v>
      </c>
      <c r="F38" s="24" t="s">
        <v>55</v>
      </c>
      <c r="G38" s="12">
        <v>0</v>
      </c>
      <c r="H38" s="88">
        <f t="shared" si="3"/>
        <v>0</v>
      </c>
      <c r="I38" s="58"/>
    </row>
    <row r="39" spans="1:9" x14ac:dyDescent="0.4">
      <c r="A39" s="19" t="s">
        <v>167</v>
      </c>
      <c r="B39" s="102">
        <v>0</v>
      </c>
      <c r="C39" s="6">
        <f t="shared" si="4"/>
        <v>0</v>
      </c>
      <c r="E39" s="27" t="s">
        <v>101</v>
      </c>
      <c r="F39" s="24" t="s">
        <v>56</v>
      </c>
      <c r="G39" s="12">
        <v>0</v>
      </c>
      <c r="H39" s="88">
        <f t="shared" si="3"/>
        <v>0</v>
      </c>
      <c r="I39" s="58"/>
    </row>
    <row r="40" spans="1:9" x14ac:dyDescent="0.4">
      <c r="A40" s="19" t="s">
        <v>168</v>
      </c>
      <c r="B40" s="102">
        <v>0</v>
      </c>
      <c r="C40" s="6">
        <f t="shared" si="4"/>
        <v>0</v>
      </c>
      <c r="E40" s="27" t="s">
        <v>102</v>
      </c>
      <c r="F40" s="24" t="s">
        <v>57</v>
      </c>
      <c r="G40" s="12">
        <v>0</v>
      </c>
      <c r="H40" s="88">
        <f t="shared" si="3"/>
        <v>0</v>
      </c>
      <c r="I40" s="58"/>
    </row>
    <row r="41" spans="1:9" x14ac:dyDescent="0.4">
      <c r="A41" s="19" t="s">
        <v>169</v>
      </c>
      <c r="B41" s="102">
        <v>0</v>
      </c>
      <c r="C41" s="6">
        <f t="shared" si="4"/>
        <v>0</v>
      </c>
      <c r="E41" s="27" t="s">
        <v>103</v>
      </c>
      <c r="F41" s="24" t="s">
        <v>58</v>
      </c>
      <c r="G41" s="12">
        <v>0</v>
      </c>
      <c r="H41" s="88">
        <f t="shared" si="3"/>
        <v>0</v>
      </c>
      <c r="I41" s="58"/>
    </row>
    <row r="42" spans="1:9" x14ac:dyDescent="0.4">
      <c r="A42" s="19" t="s">
        <v>171</v>
      </c>
      <c r="B42" s="102">
        <v>0</v>
      </c>
      <c r="C42" s="6">
        <f t="shared" si="4"/>
        <v>0</v>
      </c>
      <c r="E42" s="27" t="s">
        <v>104</v>
      </c>
      <c r="F42" s="24" t="s">
        <v>59</v>
      </c>
      <c r="G42" s="12">
        <v>0</v>
      </c>
      <c r="H42" s="88">
        <f t="shared" si="3"/>
        <v>0</v>
      </c>
      <c r="I42" s="58"/>
    </row>
    <row r="43" spans="1:9" x14ac:dyDescent="0.4">
      <c r="A43" s="19" t="s">
        <v>172</v>
      </c>
      <c r="B43" s="102">
        <v>0</v>
      </c>
      <c r="C43" s="6">
        <f t="shared" si="4"/>
        <v>0</v>
      </c>
      <c r="E43" s="27" t="s">
        <v>105</v>
      </c>
      <c r="F43" s="24" t="s">
        <v>112</v>
      </c>
      <c r="G43" s="12">
        <v>0</v>
      </c>
      <c r="H43" s="88">
        <f t="shared" si="3"/>
        <v>0</v>
      </c>
      <c r="I43" s="58"/>
    </row>
    <row r="44" spans="1:9" x14ac:dyDescent="0.4">
      <c r="A44" s="19" t="s">
        <v>173</v>
      </c>
      <c r="B44" s="102">
        <v>0</v>
      </c>
      <c r="C44" s="6">
        <f t="shared" si="4"/>
        <v>0</v>
      </c>
      <c r="E44" s="27" t="s">
        <v>106</v>
      </c>
      <c r="F44" s="24" t="s">
        <v>113</v>
      </c>
      <c r="G44" s="12">
        <v>0</v>
      </c>
      <c r="H44" s="88">
        <f t="shared" si="3"/>
        <v>0</v>
      </c>
      <c r="I44" s="58"/>
    </row>
    <row r="45" spans="1:9" x14ac:dyDescent="0.4">
      <c r="A45" s="19" t="s">
        <v>174</v>
      </c>
      <c r="B45" s="102">
        <v>0</v>
      </c>
      <c r="C45" s="6">
        <f t="shared" si="4"/>
        <v>0</v>
      </c>
      <c r="E45" s="27" t="s">
        <v>107</v>
      </c>
      <c r="F45" s="24" t="s">
        <v>114</v>
      </c>
      <c r="G45" s="12">
        <v>0</v>
      </c>
      <c r="H45" s="88">
        <f t="shared" si="3"/>
        <v>0</v>
      </c>
      <c r="I45" s="58"/>
    </row>
    <row r="46" spans="1:9" x14ac:dyDescent="0.4">
      <c r="A46" s="19" t="s">
        <v>175</v>
      </c>
      <c r="B46" s="102">
        <v>0</v>
      </c>
      <c r="C46" s="6">
        <f t="shared" si="4"/>
        <v>0</v>
      </c>
      <c r="E46" s="27" t="s">
        <v>108</v>
      </c>
      <c r="F46" s="24" t="s">
        <v>60</v>
      </c>
      <c r="G46" s="12">
        <v>0</v>
      </c>
      <c r="H46" s="88">
        <f t="shared" si="3"/>
        <v>0</v>
      </c>
      <c r="I46" s="58"/>
    </row>
    <row r="47" spans="1:9" x14ac:dyDescent="0.4">
      <c r="A47" s="19" t="s">
        <v>176</v>
      </c>
      <c r="B47" s="102">
        <v>0</v>
      </c>
      <c r="C47" s="6">
        <f t="shared" si="4"/>
        <v>0</v>
      </c>
      <c r="E47" s="27" t="s">
        <v>109</v>
      </c>
      <c r="F47" s="24" t="s">
        <v>61</v>
      </c>
      <c r="G47" s="12">
        <v>0</v>
      </c>
      <c r="H47" s="88">
        <f t="shared" si="3"/>
        <v>0</v>
      </c>
      <c r="I47" s="58"/>
    </row>
    <row r="48" spans="1:9" x14ac:dyDescent="0.4">
      <c r="A48" s="19" t="s">
        <v>177</v>
      </c>
      <c r="B48" s="102">
        <v>0</v>
      </c>
      <c r="C48" s="6">
        <f t="shared" si="4"/>
        <v>0</v>
      </c>
      <c r="E48" s="27" t="s">
        <v>110</v>
      </c>
      <c r="F48" s="24" t="s">
        <v>62</v>
      </c>
      <c r="G48" s="12">
        <v>0</v>
      </c>
      <c r="H48" s="88">
        <f t="shared" si="3"/>
        <v>0</v>
      </c>
      <c r="I48" s="58"/>
    </row>
    <row r="49" spans="1:9" x14ac:dyDescent="0.4">
      <c r="A49" s="21" t="s">
        <v>178</v>
      </c>
      <c r="B49" s="97">
        <v>0</v>
      </c>
      <c r="C49" s="9">
        <f t="shared" si="4"/>
        <v>0</v>
      </c>
      <c r="E49" s="27" t="s">
        <v>111</v>
      </c>
      <c r="F49" s="24" t="s">
        <v>63</v>
      </c>
      <c r="G49" s="12">
        <v>0</v>
      </c>
      <c r="H49" s="88">
        <f t="shared" si="3"/>
        <v>0</v>
      </c>
      <c r="I49" s="58"/>
    </row>
    <row r="50" spans="1:9" x14ac:dyDescent="0.4">
      <c r="E50" s="27" t="s">
        <v>154</v>
      </c>
      <c r="F50" s="24" t="s">
        <v>155</v>
      </c>
      <c r="G50" s="12">
        <v>0</v>
      </c>
      <c r="H50" s="88">
        <f t="shared" si="3"/>
        <v>0</v>
      </c>
      <c r="I50" s="58"/>
    </row>
    <row r="51" spans="1:9" x14ac:dyDescent="0.4">
      <c r="E51" s="91" t="s">
        <v>158</v>
      </c>
      <c r="F51" s="92" t="s">
        <v>159</v>
      </c>
      <c r="G51" s="13">
        <v>0</v>
      </c>
      <c r="H51" s="93">
        <f t="shared" si="3"/>
        <v>0</v>
      </c>
      <c r="I51" s="94"/>
    </row>
    <row r="52" spans="1:9" x14ac:dyDescent="0.4">
      <c r="E52" s="28" t="s">
        <v>160</v>
      </c>
      <c r="F52" s="25" t="s">
        <v>161</v>
      </c>
      <c r="G52" s="14">
        <v>0</v>
      </c>
      <c r="H52" s="89">
        <f t="shared" si="3"/>
        <v>0</v>
      </c>
      <c r="I52" s="59"/>
    </row>
  </sheetData>
  <mergeCells count="10">
    <mergeCell ref="B14:C14"/>
    <mergeCell ref="B33:C33"/>
    <mergeCell ref="B34:C34"/>
    <mergeCell ref="B1:C1"/>
    <mergeCell ref="B2:C2"/>
    <mergeCell ref="B3:C3"/>
    <mergeCell ref="B4:C4"/>
    <mergeCell ref="B5:C5"/>
    <mergeCell ref="B7:C7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1"/>
  <dimension ref="A1:AK9"/>
  <sheetViews>
    <sheetView showGridLines="0" tabSelected="1" zoomScale="150" zoomScaleNormal="150" workbookViewId="0"/>
  </sheetViews>
  <sheetFormatPr defaultColWidth="9" defaultRowHeight="18.75" x14ac:dyDescent="0.4"/>
  <cols>
    <col min="1" max="1" width="6" style="46" customWidth="1"/>
    <col min="2" max="2" width="10.625" style="49" customWidth="1"/>
    <col min="3" max="3" width="10.625" style="114" customWidth="1"/>
    <col min="4" max="4" width="10.625" style="47" customWidth="1"/>
    <col min="5" max="5" width="10.625" style="48" customWidth="1"/>
    <col min="6" max="6" width="10.625" style="49" customWidth="1"/>
    <col min="7" max="7" width="10.625" style="61" customWidth="1"/>
    <col min="8" max="8" width="10.625" style="49" customWidth="1"/>
    <col min="9" max="9" width="10.625" style="53" customWidth="1"/>
    <col min="10" max="10" width="10.625" style="49" customWidth="1"/>
    <col min="11" max="11" width="10.625" style="50" customWidth="1"/>
    <col min="12" max="12" width="10.625" style="49" customWidth="1"/>
    <col min="13" max="13" width="10.625" style="51" customWidth="1"/>
    <col min="14" max="14" width="10.625" style="49" customWidth="1"/>
    <col min="15" max="15" width="10.625" style="51" customWidth="1"/>
    <col min="16" max="16" width="10.625" style="49" customWidth="1"/>
    <col min="17" max="17" width="10.625" style="52" customWidth="1"/>
    <col min="18" max="18" width="10.625" style="49" customWidth="1"/>
    <col min="19" max="19" width="10.625" style="52" customWidth="1"/>
    <col min="20" max="20" width="10.625" style="49" customWidth="1"/>
    <col min="21" max="21" width="10.625" style="53" customWidth="1"/>
    <col min="22" max="22" width="10.625" style="49" customWidth="1"/>
    <col min="23" max="23" width="10.625" style="53" customWidth="1"/>
    <col min="24" max="24" width="10.625" style="49" customWidth="1"/>
    <col min="25" max="25" width="10.625" style="51" customWidth="1"/>
    <col min="26" max="26" width="10.625" style="49" customWidth="1"/>
    <col min="27" max="27" width="10.625" style="52" customWidth="1"/>
    <col min="28" max="28" width="10.625" style="49" customWidth="1"/>
    <col min="29" max="29" width="10.625" style="52" customWidth="1"/>
    <col min="30" max="30" width="10.625" style="49" customWidth="1"/>
    <col min="31" max="31" width="10.625" style="52" customWidth="1"/>
    <col min="32" max="32" width="10.625" style="49" customWidth="1"/>
    <col min="33" max="33" width="10.625" style="52" customWidth="1"/>
    <col min="34" max="34" width="10.625" style="49" customWidth="1"/>
    <col min="35" max="35" width="10.625" style="52" customWidth="1"/>
    <col min="36" max="36" width="10.625" style="49" customWidth="1"/>
    <col min="37" max="37" width="10.625" style="56" customWidth="1"/>
    <col min="38" max="16384" width="9" style="37"/>
  </cols>
  <sheetData>
    <row r="1" spans="1:37" x14ac:dyDescent="0.4">
      <c r="A1" s="36"/>
      <c r="B1" s="147" t="s">
        <v>9</v>
      </c>
      <c r="C1" s="148"/>
      <c r="D1" s="141" t="s">
        <v>6</v>
      </c>
      <c r="E1" s="142"/>
      <c r="F1" s="141" t="s">
        <v>7</v>
      </c>
      <c r="G1" s="142"/>
      <c r="H1" s="147" t="s">
        <v>192</v>
      </c>
      <c r="I1" s="148"/>
      <c r="J1" s="141" t="s">
        <v>15</v>
      </c>
      <c r="K1" s="142"/>
      <c r="L1" s="141" t="s">
        <v>14</v>
      </c>
      <c r="M1" s="142"/>
      <c r="N1" s="141" t="s">
        <v>148</v>
      </c>
      <c r="O1" s="142"/>
      <c r="P1" s="141" t="s">
        <v>142</v>
      </c>
      <c r="Q1" s="142"/>
      <c r="R1" s="141" t="s">
        <v>143</v>
      </c>
      <c r="S1" s="142"/>
      <c r="T1" s="141" t="s">
        <v>5</v>
      </c>
      <c r="U1" s="142"/>
      <c r="V1" s="141" t="s">
        <v>16</v>
      </c>
      <c r="W1" s="142"/>
      <c r="X1" s="141" t="s">
        <v>17</v>
      </c>
      <c r="Y1" s="142"/>
      <c r="Z1" s="141" t="s">
        <v>122</v>
      </c>
      <c r="AA1" s="142"/>
      <c r="AB1" s="141" t="s">
        <v>119</v>
      </c>
      <c r="AC1" s="142"/>
      <c r="AD1" s="141" t="s">
        <v>125</v>
      </c>
      <c r="AE1" s="142"/>
      <c r="AF1" s="141" t="s">
        <v>144</v>
      </c>
      <c r="AG1" s="142"/>
      <c r="AH1" s="141" t="s">
        <v>137</v>
      </c>
      <c r="AI1" s="142"/>
      <c r="AJ1" s="141" t="s">
        <v>179</v>
      </c>
      <c r="AK1" s="142"/>
    </row>
    <row r="2" spans="1:37" x14ac:dyDescent="0.4">
      <c r="A2" s="36" t="s">
        <v>204</v>
      </c>
      <c r="B2" s="143">
        <v>0.81416122551278813</v>
      </c>
      <c r="C2" s="144"/>
      <c r="D2" s="143">
        <v>0.6675322673159253</v>
      </c>
      <c r="E2" s="144"/>
      <c r="F2" s="143">
        <v>0.47006654331734321</v>
      </c>
      <c r="G2" s="144"/>
      <c r="H2" s="145"/>
      <c r="I2" s="146"/>
      <c r="J2" s="143">
        <v>0.52453379575860715</v>
      </c>
      <c r="K2" s="144"/>
      <c r="L2" s="143">
        <v>0.62410403139736104</v>
      </c>
      <c r="M2" s="144"/>
      <c r="N2" s="143">
        <v>0.27741119076973025</v>
      </c>
      <c r="O2" s="144"/>
      <c r="P2" s="143">
        <v>0.16935773307109916</v>
      </c>
      <c r="Q2" s="144"/>
      <c r="R2" s="143">
        <v>0.30581720557999748</v>
      </c>
      <c r="S2" s="144"/>
      <c r="T2" s="143">
        <v>0.52364453912846909</v>
      </c>
      <c r="U2" s="144"/>
      <c r="V2" s="143">
        <v>-0.33738974604718586</v>
      </c>
      <c r="W2" s="144"/>
      <c r="X2" s="143">
        <v>0.55976136532010567</v>
      </c>
      <c r="Y2" s="144"/>
      <c r="Z2" s="143">
        <v>0.34713366813717206</v>
      </c>
      <c r="AA2" s="144"/>
      <c r="AB2" s="143">
        <v>-0.51035702169280273</v>
      </c>
      <c r="AC2" s="144"/>
      <c r="AD2" s="143">
        <v>-0.22688533514792381</v>
      </c>
      <c r="AE2" s="144"/>
      <c r="AF2" s="143">
        <v>0.28960053832482491</v>
      </c>
      <c r="AG2" s="144"/>
      <c r="AH2" s="143">
        <v>-4.1540627224849282E-2</v>
      </c>
      <c r="AI2" s="144"/>
      <c r="AJ2" s="143">
        <v>0.25454796700081672</v>
      </c>
      <c r="AK2" s="144"/>
    </row>
    <row r="3" spans="1:37" x14ac:dyDescent="0.4">
      <c r="A3" s="38">
        <v>1</v>
      </c>
      <c r="B3" s="41" t="s">
        <v>138</v>
      </c>
      <c r="C3" s="113">
        <v>33</v>
      </c>
      <c r="D3" s="39" t="s">
        <v>126</v>
      </c>
      <c r="E3" s="40">
        <v>354.59999999999991</v>
      </c>
      <c r="F3" s="41" t="s">
        <v>126</v>
      </c>
      <c r="G3" s="60">
        <v>13.133333333333329</v>
      </c>
      <c r="H3" s="41" t="s">
        <v>126</v>
      </c>
      <c r="I3" s="45">
        <v>1868.9450234555377</v>
      </c>
      <c r="J3" s="41" t="s">
        <v>126</v>
      </c>
      <c r="K3" s="42">
        <v>1.7407407407407407</v>
      </c>
      <c r="L3" s="41" t="s">
        <v>126</v>
      </c>
      <c r="M3" s="43">
        <v>0.48148148148148145</v>
      </c>
      <c r="N3" s="41" t="s">
        <v>126</v>
      </c>
      <c r="O3" s="43">
        <v>0.22222222222222221</v>
      </c>
      <c r="P3" s="41" t="s">
        <v>187</v>
      </c>
      <c r="Q3" s="44">
        <v>0.34090909090909088</v>
      </c>
      <c r="R3" s="41" t="s">
        <v>126</v>
      </c>
      <c r="S3" s="44">
        <v>0.13157894736842105</v>
      </c>
      <c r="T3" s="41" t="s">
        <v>126</v>
      </c>
      <c r="U3" s="45">
        <v>9504.1666666666661</v>
      </c>
      <c r="V3" s="41" t="s">
        <v>187</v>
      </c>
      <c r="W3" s="45">
        <v>-7010.5263157894733</v>
      </c>
      <c r="X3" s="41" t="s">
        <v>126</v>
      </c>
      <c r="Y3" s="43">
        <v>3.7037037037037035E-2</v>
      </c>
      <c r="Z3" s="41" t="s">
        <v>126</v>
      </c>
      <c r="AA3" s="44">
        <v>0.37719298245614036</v>
      </c>
      <c r="AB3" s="41" t="s">
        <v>187</v>
      </c>
      <c r="AC3" s="44">
        <v>0.23484848484848486</v>
      </c>
      <c r="AD3" s="41" t="s">
        <v>187</v>
      </c>
      <c r="AE3" s="44">
        <v>0.72222222222222221</v>
      </c>
      <c r="AF3" s="41" t="s">
        <v>126</v>
      </c>
      <c r="AG3" s="44">
        <v>0.54545454545454541</v>
      </c>
      <c r="AH3" s="41" t="s">
        <v>209</v>
      </c>
      <c r="AI3" s="44">
        <v>0.66666666666666663</v>
      </c>
      <c r="AJ3" s="41" t="s">
        <v>126</v>
      </c>
      <c r="AK3" s="55">
        <v>90400</v>
      </c>
    </row>
    <row r="4" spans="1:37" x14ac:dyDescent="0.4">
      <c r="A4" s="46">
        <v>2</v>
      </c>
      <c r="B4" s="49" t="s">
        <v>126</v>
      </c>
      <c r="C4" s="114">
        <v>27</v>
      </c>
      <c r="D4" s="47" t="s">
        <v>187</v>
      </c>
      <c r="E4" s="48">
        <v>161.9</v>
      </c>
      <c r="F4" s="49" t="s">
        <v>187</v>
      </c>
      <c r="G4" s="61">
        <v>10.793333333333333</v>
      </c>
      <c r="H4" s="49" t="s">
        <v>138</v>
      </c>
      <c r="I4" s="53">
        <v>1602.4846770045961</v>
      </c>
      <c r="J4" s="49" t="s">
        <v>187</v>
      </c>
      <c r="K4" s="50">
        <v>1.8</v>
      </c>
      <c r="L4" s="49" t="s">
        <v>187</v>
      </c>
      <c r="M4" s="51">
        <v>0.46666666666666667</v>
      </c>
      <c r="N4" s="49" t="s">
        <v>191</v>
      </c>
      <c r="O4" s="51">
        <v>0.25</v>
      </c>
      <c r="P4" s="49" t="s">
        <v>126</v>
      </c>
      <c r="Q4" s="52">
        <v>0.31578947368421051</v>
      </c>
      <c r="R4" s="49" t="s">
        <v>189</v>
      </c>
      <c r="S4" s="52">
        <v>0.14374999999999999</v>
      </c>
      <c r="T4" s="49" t="s">
        <v>191</v>
      </c>
      <c r="U4" s="53">
        <v>9078.9473684210534</v>
      </c>
      <c r="V4" s="49" t="s">
        <v>191</v>
      </c>
      <c r="W4" s="53">
        <v>-7555</v>
      </c>
      <c r="X4" s="49" t="s">
        <v>191</v>
      </c>
      <c r="Y4" s="51">
        <v>6.25E-2</v>
      </c>
      <c r="Z4" s="49" t="s">
        <v>191</v>
      </c>
      <c r="AA4" s="52">
        <v>0.36090225563909772</v>
      </c>
      <c r="AB4" s="49" t="s">
        <v>209</v>
      </c>
      <c r="AC4" s="52">
        <v>0.22222222222222221</v>
      </c>
      <c r="AD4" s="49" t="s">
        <v>189</v>
      </c>
      <c r="AE4" s="52">
        <v>0.625</v>
      </c>
      <c r="AF4" s="49" t="s">
        <v>191</v>
      </c>
      <c r="AG4" s="52">
        <v>0.5</v>
      </c>
      <c r="AH4" s="49" t="s">
        <v>162</v>
      </c>
      <c r="AI4" s="52">
        <v>0.53846153846153844</v>
      </c>
      <c r="AJ4" s="49" t="s">
        <v>138</v>
      </c>
      <c r="AK4" s="56">
        <v>90400</v>
      </c>
    </row>
    <row r="5" spans="1:37" x14ac:dyDescent="0.4">
      <c r="A5" s="46">
        <v>3</v>
      </c>
      <c r="B5" s="49" t="s">
        <v>189</v>
      </c>
      <c r="C5" s="114">
        <v>19</v>
      </c>
      <c r="D5" s="47" t="s">
        <v>191</v>
      </c>
      <c r="E5" s="48">
        <v>2.6999999999999886</v>
      </c>
      <c r="F5" s="49" t="s">
        <v>191</v>
      </c>
      <c r="G5" s="61">
        <v>0.16874999999999929</v>
      </c>
      <c r="H5" s="49" t="s">
        <v>162</v>
      </c>
      <c r="I5" s="53">
        <v>1573.7060279447555</v>
      </c>
      <c r="J5" s="49" t="s">
        <v>191</v>
      </c>
      <c r="K5" s="50">
        <v>2</v>
      </c>
      <c r="L5" s="49" t="s">
        <v>138</v>
      </c>
      <c r="M5" s="51">
        <v>0.33333333333333331</v>
      </c>
      <c r="N5" s="49" t="s">
        <v>187</v>
      </c>
      <c r="O5" s="51">
        <v>0.26666666666666666</v>
      </c>
      <c r="P5" s="49" t="s">
        <v>189</v>
      </c>
      <c r="Q5" s="52">
        <v>0.3</v>
      </c>
      <c r="R5" s="49" t="s">
        <v>187</v>
      </c>
      <c r="S5" s="52">
        <v>0.14393939393939395</v>
      </c>
      <c r="T5" s="49" t="s">
        <v>162</v>
      </c>
      <c r="U5" s="53">
        <v>8669.2307692307695</v>
      </c>
      <c r="V5" s="49" t="s">
        <v>162</v>
      </c>
      <c r="W5" s="53">
        <v>-8410</v>
      </c>
      <c r="X5" s="49" t="s">
        <v>187</v>
      </c>
      <c r="Y5" s="51">
        <v>6.6666666666666666E-2</v>
      </c>
      <c r="Z5" s="49" t="s">
        <v>162</v>
      </c>
      <c r="AA5" s="52">
        <v>0.35849056603773582</v>
      </c>
      <c r="AB5" s="49" t="s">
        <v>189</v>
      </c>
      <c r="AC5" s="52">
        <v>0.19375000000000001</v>
      </c>
      <c r="AD5" s="49" t="s">
        <v>138</v>
      </c>
      <c r="AE5" s="52">
        <v>0.56153846153846154</v>
      </c>
      <c r="AF5" s="49" t="s">
        <v>138</v>
      </c>
      <c r="AG5" s="52">
        <v>0.36601307189542481</v>
      </c>
      <c r="AH5" s="49" t="s">
        <v>187</v>
      </c>
      <c r="AI5" s="52">
        <v>0.48888888888888887</v>
      </c>
      <c r="AJ5" s="49" t="s">
        <v>187</v>
      </c>
      <c r="AK5" s="56">
        <v>84600</v>
      </c>
    </row>
    <row r="6" spans="1:37" x14ac:dyDescent="0.4">
      <c r="A6" s="46">
        <v>4</v>
      </c>
      <c r="B6" s="49" t="s">
        <v>191</v>
      </c>
      <c r="C6" s="114">
        <v>16</v>
      </c>
      <c r="D6" s="47" t="s">
        <v>138</v>
      </c>
      <c r="E6" s="48">
        <v>-2.1316282072803006E-14</v>
      </c>
      <c r="F6" s="49" t="s">
        <v>138</v>
      </c>
      <c r="G6" s="61">
        <v>-2.153159805333637E-16</v>
      </c>
      <c r="H6" s="49" t="s">
        <v>189</v>
      </c>
      <c r="I6" s="53">
        <v>1524.3449836312868</v>
      </c>
      <c r="J6" s="49" t="s">
        <v>138</v>
      </c>
      <c r="K6" s="50">
        <v>2</v>
      </c>
      <c r="L6" s="49" t="s">
        <v>162</v>
      </c>
      <c r="M6" s="51">
        <v>0.30769230769230771</v>
      </c>
      <c r="N6" s="49" t="s">
        <v>138</v>
      </c>
      <c r="O6" s="51">
        <v>0.33333333333333331</v>
      </c>
      <c r="P6" s="49" t="s">
        <v>138</v>
      </c>
      <c r="Q6" s="52">
        <v>0.29362214199759323</v>
      </c>
      <c r="R6" s="49" t="s">
        <v>191</v>
      </c>
      <c r="S6" s="52">
        <v>0.15037593984962405</v>
      </c>
      <c r="T6" s="49" t="s">
        <v>138</v>
      </c>
      <c r="U6" s="53">
        <v>8572.1311475409839</v>
      </c>
      <c r="V6" s="49" t="s">
        <v>138</v>
      </c>
      <c r="W6" s="53">
        <v>-8503.0534351145034</v>
      </c>
      <c r="X6" s="49" t="s">
        <v>138</v>
      </c>
      <c r="Y6" s="51">
        <v>7.0707070707070704E-2</v>
      </c>
      <c r="Z6" s="49" t="s">
        <v>138</v>
      </c>
      <c r="AA6" s="52">
        <v>0.3128760529482551</v>
      </c>
      <c r="AB6" s="49" t="s">
        <v>162</v>
      </c>
      <c r="AC6" s="52">
        <v>0.18867924528301888</v>
      </c>
      <c r="AD6" s="49" t="s">
        <v>126</v>
      </c>
      <c r="AE6" s="52">
        <v>0.53488372093023251</v>
      </c>
      <c r="AF6" s="49" t="s">
        <v>189</v>
      </c>
      <c r="AG6" s="52">
        <v>0.35483870967741937</v>
      </c>
      <c r="AH6" s="49" t="s">
        <v>138</v>
      </c>
      <c r="AI6" s="52">
        <v>0.46311475409836067</v>
      </c>
      <c r="AJ6" s="49" t="s">
        <v>191</v>
      </c>
      <c r="AK6" s="56">
        <v>82600</v>
      </c>
    </row>
    <row r="7" spans="1:37" x14ac:dyDescent="0.4">
      <c r="A7" s="46">
        <v>5</v>
      </c>
      <c r="B7" s="49" t="s">
        <v>187</v>
      </c>
      <c r="C7" s="114">
        <v>15</v>
      </c>
      <c r="D7" s="47" t="s">
        <v>162</v>
      </c>
      <c r="E7" s="48">
        <v>-120.60000000000001</v>
      </c>
      <c r="F7" s="49" t="s">
        <v>189</v>
      </c>
      <c r="G7" s="61">
        <v>-8.0789473684210531</v>
      </c>
      <c r="H7" s="49" t="s">
        <v>187</v>
      </c>
      <c r="I7" s="53">
        <v>1502.387739697532</v>
      </c>
      <c r="J7" s="49" t="s">
        <v>162</v>
      </c>
      <c r="K7" s="50">
        <v>2.0769230769230771</v>
      </c>
      <c r="L7" s="49" t="s">
        <v>191</v>
      </c>
      <c r="M7" s="51">
        <v>0.25</v>
      </c>
      <c r="N7" s="49" t="s">
        <v>162</v>
      </c>
      <c r="O7" s="51">
        <v>0.38461538461538464</v>
      </c>
      <c r="P7" s="49" t="s">
        <v>191</v>
      </c>
      <c r="Q7" s="52">
        <v>0.2857142857142857</v>
      </c>
      <c r="R7" s="49" t="s">
        <v>138</v>
      </c>
      <c r="S7" s="52">
        <v>0.15764139590854392</v>
      </c>
      <c r="T7" s="49" t="s">
        <v>189</v>
      </c>
      <c r="U7" s="53">
        <v>8141.666666666667</v>
      </c>
      <c r="V7" s="49" t="s">
        <v>126</v>
      </c>
      <c r="W7" s="53">
        <v>-8760</v>
      </c>
      <c r="X7" s="49" t="s">
        <v>162</v>
      </c>
      <c r="Y7" s="51">
        <v>7.6923076923076927E-2</v>
      </c>
      <c r="Z7" s="49" t="s">
        <v>209</v>
      </c>
      <c r="AA7" s="52">
        <v>0.27777777777777779</v>
      </c>
      <c r="AB7" s="49" t="s">
        <v>138</v>
      </c>
      <c r="AC7" s="52">
        <v>0.18411552346570398</v>
      </c>
      <c r="AD7" s="49" t="s">
        <v>191</v>
      </c>
      <c r="AE7" s="52">
        <v>0.52083333333333337</v>
      </c>
      <c r="AF7" s="49" t="s">
        <v>187</v>
      </c>
      <c r="AG7" s="52">
        <v>0.32258064516129031</v>
      </c>
      <c r="AH7" s="49" t="s">
        <v>126</v>
      </c>
      <c r="AI7" s="52">
        <v>0.43055555555555558</v>
      </c>
      <c r="AJ7" s="49" t="s">
        <v>189</v>
      </c>
      <c r="AK7" s="56">
        <v>82100</v>
      </c>
    </row>
    <row r="8" spans="1:37" x14ac:dyDescent="0.4">
      <c r="A8" s="46">
        <v>6</v>
      </c>
      <c r="B8" s="49" t="s">
        <v>162</v>
      </c>
      <c r="C8" s="114">
        <v>13</v>
      </c>
      <c r="D8" s="47" t="s">
        <v>189</v>
      </c>
      <c r="E8" s="48">
        <v>-153.5</v>
      </c>
      <c r="F8" s="49" t="s">
        <v>162</v>
      </c>
      <c r="G8" s="61">
        <v>-9.2769230769230777</v>
      </c>
      <c r="H8" s="49" t="s">
        <v>209</v>
      </c>
      <c r="I8" s="53">
        <v>1458.4719141494811</v>
      </c>
      <c r="J8" s="49" t="s">
        <v>189</v>
      </c>
      <c r="K8" s="50">
        <v>2.2105263157894739</v>
      </c>
      <c r="L8" s="49" t="s">
        <v>189</v>
      </c>
      <c r="M8" s="51">
        <v>0.21052631578947367</v>
      </c>
      <c r="N8" s="49" t="s">
        <v>189</v>
      </c>
      <c r="O8" s="51">
        <v>0.42105263157894735</v>
      </c>
      <c r="P8" s="49" t="s">
        <v>162</v>
      </c>
      <c r="Q8" s="52">
        <v>0.24528301886792453</v>
      </c>
      <c r="R8" s="49" t="s">
        <v>162</v>
      </c>
      <c r="S8" s="52">
        <v>0.18867924528301888</v>
      </c>
      <c r="T8" s="49" t="s">
        <v>187</v>
      </c>
      <c r="U8" s="53">
        <v>7735.5555555555557</v>
      </c>
      <c r="V8" s="49" t="s">
        <v>209</v>
      </c>
      <c r="W8" s="53">
        <v>-8863.1578947368416</v>
      </c>
      <c r="X8" s="49" t="s">
        <v>189</v>
      </c>
      <c r="Y8" s="51">
        <v>0.10526315789473684</v>
      </c>
      <c r="Z8" s="49" t="s">
        <v>187</v>
      </c>
      <c r="AA8" s="52">
        <v>0.27272727272727271</v>
      </c>
      <c r="AB8" s="49" t="s">
        <v>191</v>
      </c>
      <c r="AC8" s="52">
        <v>0.16541353383458646</v>
      </c>
      <c r="AD8" s="49" t="s">
        <v>162</v>
      </c>
      <c r="AE8" s="52">
        <v>0.5</v>
      </c>
      <c r="AF8" s="49" t="s">
        <v>209</v>
      </c>
      <c r="AG8" s="52">
        <v>0.1875</v>
      </c>
      <c r="AH8" s="49" t="s">
        <v>191</v>
      </c>
      <c r="AI8" s="52">
        <v>0.42105263157894735</v>
      </c>
      <c r="AJ8" s="49" t="s">
        <v>162</v>
      </c>
      <c r="AK8" s="56">
        <v>59300</v>
      </c>
    </row>
    <row r="9" spans="1:37" x14ac:dyDescent="0.4">
      <c r="A9" s="46">
        <v>7</v>
      </c>
      <c r="B9" s="49" t="s">
        <v>209</v>
      </c>
      <c r="C9" s="114">
        <v>9</v>
      </c>
      <c r="D9" s="47" t="s">
        <v>209</v>
      </c>
      <c r="E9" s="48">
        <v>-245.1</v>
      </c>
      <c r="F9" s="49" t="s">
        <v>209</v>
      </c>
      <c r="G9" s="61">
        <v>-27.233333333333334</v>
      </c>
      <c r="H9" s="49" t="s">
        <v>191</v>
      </c>
      <c r="I9" s="53">
        <v>1392.7601128886215</v>
      </c>
      <c r="J9" s="49" t="s">
        <v>209</v>
      </c>
      <c r="K9" s="50">
        <v>2.5555555555555554</v>
      </c>
      <c r="L9" s="49" t="s">
        <v>209</v>
      </c>
      <c r="M9" s="51">
        <v>0.1111111111111111</v>
      </c>
      <c r="N9" s="49" t="s">
        <v>209</v>
      </c>
      <c r="O9" s="51">
        <v>0.66666666666666663</v>
      </c>
      <c r="P9" s="49" t="s">
        <v>209</v>
      </c>
      <c r="Q9" s="52">
        <v>0.20833333333333334</v>
      </c>
      <c r="R9" s="49" t="s">
        <v>209</v>
      </c>
      <c r="S9" s="52">
        <v>0.2638888888888889</v>
      </c>
      <c r="T9" s="49" t="s">
        <v>209</v>
      </c>
      <c r="U9" s="53">
        <v>6533.333333333333</v>
      </c>
      <c r="V9" s="49" t="s">
        <v>189</v>
      </c>
      <c r="W9" s="53">
        <v>-10008.695652173914</v>
      </c>
      <c r="X9" s="49" t="s">
        <v>209</v>
      </c>
      <c r="Y9" s="51">
        <v>0.1111111111111111</v>
      </c>
      <c r="Z9" s="49" t="s">
        <v>189</v>
      </c>
      <c r="AA9" s="52">
        <v>0.2</v>
      </c>
      <c r="AB9" s="49" t="s">
        <v>126</v>
      </c>
      <c r="AC9" s="52">
        <v>0.14473684210526316</v>
      </c>
      <c r="AD9" s="49" t="s">
        <v>209</v>
      </c>
      <c r="AE9" s="52">
        <v>0.5</v>
      </c>
      <c r="AF9" s="49" t="s">
        <v>162</v>
      </c>
      <c r="AG9" s="52">
        <v>0.15</v>
      </c>
      <c r="AH9" s="49" t="s">
        <v>189</v>
      </c>
      <c r="AI9" s="52">
        <v>0.41666666666666669</v>
      </c>
      <c r="AJ9" s="49" t="s">
        <v>209</v>
      </c>
      <c r="AK9" s="56">
        <v>47600</v>
      </c>
    </row>
  </sheetData>
  <sortState xmlns:xlrd2="http://schemas.microsoft.com/office/spreadsheetml/2017/richdata2" ref="AJ3:AK55">
    <sortCondition descending="1" ref="AK1"/>
  </sortState>
  <mergeCells count="36"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  <mergeCell ref="F1:G1"/>
    <mergeCell ref="J1:K1"/>
    <mergeCell ref="L1:M1"/>
    <mergeCell ref="B1:C1"/>
    <mergeCell ref="D2:E2"/>
    <mergeCell ref="F2:G2"/>
    <mergeCell ref="J2:K2"/>
    <mergeCell ref="L2:M2"/>
    <mergeCell ref="B2:C2"/>
    <mergeCell ref="D1:E1"/>
    <mergeCell ref="N2:O2"/>
    <mergeCell ref="H2:I2"/>
    <mergeCell ref="P1:Q1"/>
    <mergeCell ref="N1:O1"/>
    <mergeCell ref="H1:I1"/>
    <mergeCell ref="Z1:AA1"/>
    <mergeCell ref="AB1:AC1"/>
    <mergeCell ref="AD1:AE1"/>
    <mergeCell ref="AF1:AG1"/>
    <mergeCell ref="P2:Q2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FFEB0-8691-4A16-8360-A110085EE585}">
  <sheetPr codeName="Sheet4"/>
  <dimension ref="A1:R101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138</v>
      </c>
      <c r="C1" s="132"/>
      <c r="E1" s="104" t="s">
        <v>153</v>
      </c>
      <c r="F1" s="122" t="s">
        <v>115</v>
      </c>
      <c r="G1" s="121" t="s">
        <v>116</v>
      </c>
      <c r="H1" s="86" t="s">
        <v>117</v>
      </c>
      <c r="I1" s="122" t="s">
        <v>145</v>
      </c>
      <c r="K1" s="72" t="s">
        <v>19</v>
      </c>
      <c r="L1" s="4" t="s">
        <v>120</v>
      </c>
      <c r="M1" s="115" t="s">
        <v>193</v>
      </c>
      <c r="N1" s="105"/>
      <c r="O1" s="72" t="s">
        <v>133</v>
      </c>
      <c r="P1" s="4" t="s">
        <v>134</v>
      </c>
      <c r="Q1" s="106" t="s">
        <v>116</v>
      </c>
      <c r="R1" s="62" t="s">
        <v>147</v>
      </c>
    </row>
    <row r="2" spans="1:18" x14ac:dyDescent="0.4">
      <c r="A2" s="18" t="s">
        <v>9</v>
      </c>
      <c r="B2" s="133">
        <v>99</v>
      </c>
      <c r="C2" s="134"/>
      <c r="E2" s="26" t="s">
        <v>66</v>
      </c>
      <c r="F2" s="23" t="s">
        <v>22</v>
      </c>
      <c r="G2" s="11">
        <v>164</v>
      </c>
      <c r="H2" s="87">
        <f>IF(B$20=0,0,G2/B$20)</f>
        <v>0.67213114754098358</v>
      </c>
      <c r="I2" s="57">
        <v>4</v>
      </c>
      <c r="K2" s="73">
        <v>0</v>
      </c>
      <c r="L2" s="118">
        <v>0</v>
      </c>
      <c r="M2" s="116">
        <v>1614.2957512011271</v>
      </c>
      <c r="O2" s="73" t="s">
        <v>127</v>
      </c>
      <c r="P2" s="79">
        <f t="shared" ref="P2:P7" si="0">IF(Q2=0,0,R2/Q2)</f>
        <v>-30.303030303030305</v>
      </c>
      <c r="Q2" s="76">
        <v>99</v>
      </c>
      <c r="R2" s="63">
        <v>-3000</v>
      </c>
    </row>
    <row r="3" spans="1:18" x14ac:dyDescent="0.4">
      <c r="A3" s="19" t="s">
        <v>8</v>
      </c>
      <c r="B3" s="135">
        <v>831</v>
      </c>
      <c r="C3" s="136"/>
      <c r="E3" s="27" t="s">
        <v>64</v>
      </c>
      <c r="F3" s="24" t="s">
        <v>20</v>
      </c>
      <c r="G3" s="12">
        <v>146</v>
      </c>
      <c r="H3" s="88">
        <f>IF(B$20=0,0,G3/B$20)</f>
        <v>0.59836065573770492</v>
      </c>
      <c r="I3" s="58">
        <v>6</v>
      </c>
      <c r="K3" s="74">
        <v>1</v>
      </c>
      <c r="L3" s="119">
        <v>-58</v>
      </c>
      <c r="M3" s="117">
        <v>1603.1699766939203</v>
      </c>
      <c r="O3" s="74" t="s">
        <v>128</v>
      </c>
      <c r="P3" s="80">
        <f t="shared" si="0"/>
        <v>0</v>
      </c>
      <c r="Q3" s="77">
        <v>99</v>
      </c>
      <c r="R3" s="64">
        <v>0</v>
      </c>
    </row>
    <row r="4" spans="1:18" x14ac:dyDescent="0.4">
      <c r="A4" s="19" t="s">
        <v>6</v>
      </c>
      <c r="B4" s="137">
        <v>-2.1316282072803006E-14</v>
      </c>
      <c r="C4" s="138"/>
      <c r="E4" s="27" t="s">
        <v>158</v>
      </c>
      <c r="F4" s="24" t="s">
        <v>159</v>
      </c>
      <c r="G4" s="12">
        <v>118</v>
      </c>
      <c r="H4" s="88">
        <f>IF(B$20=0,0,G4/B$20)</f>
        <v>0.48360655737704916</v>
      </c>
      <c r="I4" s="58">
        <v>3</v>
      </c>
      <c r="K4" s="74">
        <v>2</v>
      </c>
      <c r="L4" s="119">
        <v>-6.5</v>
      </c>
      <c r="M4" s="117">
        <v>1611.8209568337568</v>
      </c>
      <c r="O4" s="74" t="s">
        <v>129</v>
      </c>
      <c r="P4" s="80">
        <f t="shared" si="0"/>
        <v>10.416666666666666</v>
      </c>
      <c r="Q4" s="77">
        <v>96</v>
      </c>
      <c r="R4" s="64">
        <v>1000</v>
      </c>
    </row>
    <row r="5" spans="1:18" x14ac:dyDescent="0.4">
      <c r="A5" s="19" t="s">
        <v>7</v>
      </c>
      <c r="B5" s="125">
        <f>IF(B$2=0,0,B$4/B$2)</f>
        <v>-2.153159805333637E-16</v>
      </c>
      <c r="C5" s="126"/>
      <c r="E5" s="27" t="s">
        <v>72</v>
      </c>
      <c r="F5" s="24" t="s">
        <v>27</v>
      </c>
      <c r="G5" s="12">
        <v>108</v>
      </c>
      <c r="H5" s="88">
        <f>IF(B$20=0,0,G5/B$20)</f>
        <v>0.44262295081967212</v>
      </c>
      <c r="I5" s="58">
        <v>4</v>
      </c>
      <c r="K5" s="74">
        <v>3</v>
      </c>
      <c r="L5" s="119">
        <v>0</v>
      </c>
      <c r="M5" s="117">
        <v>1612.3200310927543</v>
      </c>
      <c r="O5" s="74" t="s">
        <v>130</v>
      </c>
      <c r="P5" s="80">
        <f t="shared" si="0"/>
        <v>11.111111111111111</v>
      </c>
      <c r="Q5" s="77">
        <v>90</v>
      </c>
      <c r="R5" s="64">
        <v>1000</v>
      </c>
    </row>
    <row r="6" spans="1:18" x14ac:dyDescent="0.4">
      <c r="A6" s="19" t="s">
        <v>192</v>
      </c>
      <c r="B6" s="129">
        <v>1602.4846770045961</v>
      </c>
      <c r="C6" s="130"/>
      <c r="E6" s="27" t="s">
        <v>68</v>
      </c>
      <c r="F6" s="24" t="s">
        <v>12</v>
      </c>
      <c r="G6" s="12">
        <v>88</v>
      </c>
      <c r="H6" s="88">
        <f>IF(B$20=0,0,G6/B$20)</f>
        <v>0.36065573770491804</v>
      </c>
      <c r="I6" s="58">
        <v>3</v>
      </c>
      <c r="K6" s="74">
        <v>4</v>
      </c>
      <c r="L6" s="119">
        <v>30.8</v>
      </c>
      <c r="M6" s="117">
        <v>1617.2321109061977</v>
      </c>
      <c r="O6" s="74" t="s">
        <v>131</v>
      </c>
      <c r="P6" s="80">
        <f t="shared" si="0"/>
        <v>-11.111111111111111</v>
      </c>
      <c r="Q6" s="77">
        <v>90</v>
      </c>
      <c r="R6" s="64">
        <v>-1000</v>
      </c>
    </row>
    <row r="7" spans="1:18" x14ac:dyDescent="0.4">
      <c r="A7" s="19" t="s">
        <v>1</v>
      </c>
      <c r="B7" s="139">
        <f>IF(B$2=0,0,(B$8*1+B$9*2+B$10*3)/B$2)</f>
        <v>2</v>
      </c>
      <c r="C7" s="140"/>
      <c r="E7" s="27" t="s">
        <v>67</v>
      </c>
      <c r="F7" s="24" t="s">
        <v>23</v>
      </c>
      <c r="G7" s="12">
        <v>75</v>
      </c>
      <c r="H7" s="88">
        <f>IF(B$20=0,0,G7/B$20)</f>
        <v>0.30737704918032788</v>
      </c>
      <c r="I7" s="58">
        <v>5</v>
      </c>
      <c r="K7" s="74">
        <v>5</v>
      </c>
      <c r="L7" s="119">
        <v>0.60000000000000142</v>
      </c>
      <c r="M7" s="117">
        <v>1611.1347182407605</v>
      </c>
      <c r="O7" s="75" t="s">
        <v>132</v>
      </c>
      <c r="P7" s="81">
        <f t="shared" si="0"/>
        <v>24.691358024691358</v>
      </c>
      <c r="Q7" s="78">
        <v>81</v>
      </c>
      <c r="R7" s="65">
        <v>2000</v>
      </c>
    </row>
    <row r="8" spans="1:18" x14ac:dyDescent="0.4">
      <c r="A8" s="19" t="s">
        <v>2</v>
      </c>
      <c r="B8" s="12">
        <v>33</v>
      </c>
      <c r="C8" s="6">
        <f t="shared" ref="C8:C15" si="1">IF(B$2=0,0,B8/B$2)</f>
        <v>0.33333333333333331</v>
      </c>
      <c r="E8" s="27" t="s">
        <v>69</v>
      </c>
      <c r="F8" s="24" t="s">
        <v>24</v>
      </c>
      <c r="G8" s="12">
        <v>41</v>
      </c>
      <c r="H8" s="88">
        <f>IF(B$20=0,0,G8/B$20)</f>
        <v>0.16803278688524589</v>
      </c>
      <c r="I8" s="58">
        <v>3</v>
      </c>
      <c r="K8" s="74">
        <v>6</v>
      </c>
      <c r="L8" s="119">
        <v>1.4432899320127035E-15</v>
      </c>
      <c r="M8" s="117">
        <v>1610.4019099313159</v>
      </c>
      <c r="O8" s="107"/>
      <c r="P8" s="85"/>
      <c r="Q8" s="108"/>
      <c r="R8" s="70"/>
    </row>
    <row r="9" spans="1:18" x14ac:dyDescent="0.4">
      <c r="A9" s="19" t="s">
        <v>3</v>
      </c>
      <c r="B9" s="12">
        <v>33</v>
      </c>
      <c r="C9" s="6">
        <f t="shared" si="1"/>
        <v>0.33333333333333331</v>
      </c>
      <c r="E9" s="27" t="s">
        <v>65</v>
      </c>
      <c r="F9" s="24" t="s">
        <v>21</v>
      </c>
      <c r="G9" s="12">
        <v>36</v>
      </c>
      <c r="H9" s="88">
        <f>IF(B$20=0,0,G9/B$20)</f>
        <v>0.14754098360655737</v>
      </c>
      <c r="I9" s="58">
        <v>4</v>
      </c>
      <c r="K9" s="74">
        <v>7</v>
      </c>
      <c r="L9" s="119">
        <v>44.3</v>
      </c>
      <c r="M9" s="117">
        <v>1617.911498471728</v>
      </c>
      <c r="O9" s="72" t="s">
        <v>149</v>
      </c>
      <c r="P9" s="4" t="s">
        <v>120</v>
      </c>
      <c r="Q9" s="106" t="s">
        <v>116</v>
      </c>
      <c r="R9" s="66" t="s">
        <v>147</v>
      </c>
    </row>
    <row r="10" spans="1:18" x14ac:dyDescent="0.4">
      <c r="A10" s="20" t="s">
        <v>4</v>
      </c>
      <c r="B10" s="13">
        <v>33</v>
      </c>
      <c r="C10" s="7">
        <f t="shared" si="1"/>
        <v>0.33333333333333331</v>
      </c>
      <c r="E10" s="27" t="s">
        <v>89</v>
      </c>
      <c r="F10" s="24" t="s">
        <v>44</v>
      </c>
      <c r="G10" s="12">
        <v>31</v>
      </c>
      <c r="H10" s="88">
        <f>IF(B$20=0,0,G10/B$20)</f>
        <v>0.12704918032786885</v>
      </c>
      <c r="I10" s="58">
        <v>3</v>
      </c>
      <c r="K10" s="74">
        <v>8</v>
      </c>
      <c r="L10" s="119">
        <v>-11.300000000000004</v>
      </c>
      <c r="M10" s="117">
        <v>1607.3940294808976</v>
      </c>
      <c r="O10" s="73" t="s">
        <v>150</v>
      </c>
      <c r="P10" s="82">
        <f>IF(Q10=0,0,R10/Q10)</f>
        <v>-18.521212121212123</v>
      </c>
      <c r="Q10" s="76">
        <v>33</v>
      </c>
      <c r="R10" s="67">
        <v>-611.20000000000005</v>
      </c>
    </row>
    <row r="11" spans="1:18" x14ac:dyDescent="0.4">
      <c r="A11" s="20" t="s">
        <v>183</v>
      </c>
      <c r="B11" s="109">
        <f>IF(B8=0,0,C11/B8)</f>
        <v>45.733333333333327</v>
      </c>
      <c r="C11" s="110">
        <v>1509.1999999999998</v>
      </c>
      <c r="E11" s="27" t="s">
        <v>70</v>
      </c>
      <c r="F11" s="24" t="s">
        <v>25</v>
      </c>
      <c r="G11" s="12">
        <v>28</v>
      </c>
      <c r="H11" s="88">
        <f>IF(B$20=0,0,G11/B$20)</f>
        <v>0.11475409836065574</v>
      </c>
      <c r="I11" s="58">
        <v>4</v>
      </c>
      <c r="K11" s="74">
        <v>9</v>
      </c>
      <c r="L11" s="119">
        <v>-3.5527136788005009E-15</v>
      </c>
      <c r="M11" s="117">
        <v>1608.9816653040123</v>
      </c>
      <c r="O11" s="74" t="s">
        <v>151</v>
      </c>
      <c r="P11" s="83">
        <f>IF(Q11=0,0,R11/Q11)</f>
        <v>2.481818181818181</v>
      </c>
      <c r="Q11" s="77">
        <v>33</v>
      </c>
      <c r="R11" s="68">
        <v>81.899999999999977</v>
      </c>
    </row>
    <row r="12" spans="1:18" x14ac:dyDescent="0.4">
      <c r="A12" s="20" t="s">
        <v>184</v>
      </c>
      <c r="B12" s="109">
        <f>IF(B9=0,0,C12/B9)</f>
        <v>-1.6727272727272726</v>
      </c>
      <c r="C12" s="110">
        <v>-55.199999999999996</v>
      </c>
      <c r="E12" s="27" t="s">
        <v>71</v>
      </c>
      <c r="F12" s="24" t="s">
        <v>26</v>
      </c>
      <c r="G12" s="12">
        <v>20</v>
      </c>
      <c r="H12" s="88">
        <f>IF(B$20=0,0,G12/B$20)</f>
        <v>8.1967213114754092E-2</v>
      </c>
      <c r="I12" s="58">
        <v>4</v>
      </c>
      <c r="K12" s="74">
        <v>10</v>
      </c>
      <c r="L12" s="119">
        <v>21.599999999999998</v>
      </c>
      <c r="M12" s="117">
        <v>1613.0137753121883</v>
      </c>
      <c r="O12" s="75" t="s">
        <v>152</v>
      </c>
      <c r="P12" s="84">
        <f>IF(Q12=0,0,R12/Q12)</f>
        <v>16.039393939393936</v>
      </c>
      <c r="Q12" s="78">
        <v>33</v>
      </c>
      <c r="R12" s="69">
        <v>529.29999999999984</v>
      </c>
    </row>
    <row r="13" spans="1:18" x14ac:dyDescent="0.4">
      <c r="A13" s="20" t="s">
        <v>185</v>
      </c>
      <c r="B13" s="109">
        <f>IF(B10=0,0,C13/B10)</f>
        <v>-44.060606060606048</v>
      </c>
      <c r="C13" s="110">
        <v>-1453.9999999999995</v>
      </c>
      <c r="E13" s="27" t="s">
        <v>86</v>
      </c>
      <c r="F13" s="24" t="s">
        <v>41</v>
      </c>
      <c r="G13" s="12">
        <v>15</v>
      </c>
      <c r="H13" s="88">
        <f>IF(B$20=0,0,G13/B$20)</f>
        <v>6.1475409836065573E-2</v>
      </c>
      <c r="I13" s="58">
        <v>3</v>
      </c>
      <c r="K13" s="74">
        <v>11</v>
      </c>
      <c r="L13" s="119">
        <v>20.999999999999996</v>
      </c>
      <c r="M13" s="117">
        <v>1613.0256926603151</v>
      </c>
      <c r="O13" s="103"/>
      <c r="P13" s="71"/>
      <c r="Q13" s="111"/>
      <c r="R13" s="71"/>
    </row>
    <row r="14" spans="1:18" x14ac:dyDescent="0.4">
      <c r="A14" s="20" t="s">
        <v>186</v>
      </c>
      <c r="B14" s="125">
        <f>AVERAGE(B11:B13)</f>
        <v>0</v>
      </c>
      <c r="C14" s="126"/>
      <c r="E14" s="27" t="s">
        <v>78</v>
      </c>
      <c r="F14" s="24" t="s">
        <v>33</v>
      </c>
      <c r="G14" s="12">
        <v>8</v>
      </c>
      <c r="H14" s="88">
        <f>IF(B$20=0,0,G14/B$20)</f>
        <v>3.2786885245901641E-2</v>
      </c>
      <c r="I14" s="58">
        <v>3</v>
      </c>
      <c r="K14" s="74">
        <v>12</v>
      </c>
      <c r="L14" s="119">
        <v>-3.5527136788005009E-15</v>
      </c>
      <c r="M14" s="117">
        <v>1609.3655385043533</v>
      </c>
      <c r="O14" s="72" t="s">
        <v>146</v>
      </c>
      <c r="P14" s="4" t="s">
        <v>120</v>
      </c>
      <c r="Q14" s="106" t="s">
        <v>116</v>
      </c>
      <c r="R14" s="66" t="s">
        <v>147</v>
      </c>
    </row>
    <row r="15" spans="1:18" x14ac:dyDescent="0.4">
      <c r="A15" s="21" t="s">
        <v>18</v>
      </c>
      <c r="B15" s="14">
        <v>7</v>
      </c>
      <c r="C15" s="9">
        <f t="shared" si="1"/>
        <v>7.0707070707070704E-2</v>
      </c>
      <c r="E15" s="27" t="s">
        <v>83</v>
      </c>
      <c r="F15" s="24" t="s">
        <v>38</v>
      </c>
      <c r="G15" s="12">
        <v>8</v>
      </c>
      <c r="H15" s="88">
        <f>IF(B$20=0,0,G15/B$20)</f>
        <v>3.2786885245901641E-2</v>
      </c>
      <c r="I15" s="58">
        <v>4</v>
      </c>
      <c r="K15" s="74">
        <v>13</v>
      </c>
      <c r="L15" s="119">
        <v>42.5</v>
      </c>
      <c r="M15" s="117">
        <v>1616.5693452733271</v>
      </c>
      <c r="O15" s="73" t="s">
        <v>209</v>
      </c>
      <c r="P15" s="82">
        <f>IF(Q15=0,0,R15/Q15)</f>
        <v>40.849999999999994</v>
      </c>
      <c r="Q15" s="76">
        <v>18</v>
      </c>
      <c r="R15" s="67">
        <v>735.3</v>
      </c>
    </row>
    <row r="16" spans="1:18" x14ac:dyDescent="0.4">
      <c r="A16" s="22" t="s">
        <v>121</v>
      </c>
      <c r="B16" s="15">
        <v>260</v>
      </c>
      <c r="C16" s="10">
        <f>IF(B$3=0,0,B16/B$3)</f>
        <v>0.3128760529482551</v>
      </c>
      <c r="E16" s="27" t="s">
        <v>73</v>
      </c>
      <c r="F16" s="24" t="s">
        <v>28</v>
      </c>
      <c r="G16" s="12">
        <v>5</v>
      </c>
      <c r="H16" s="88">
        <f>IF(B$20=0,0,G16/B$20)</f>
        <v>2.0491803278688523E-2</v>
      </c>
      <c r="I16" s="58">
        <v>6</v>
      </c>
      <c r="K16" s="74">
        <v>14</v>
      </c>
      <c r="L16" s="119">
        <v>33.6</v>
      </c>
      <c r="M16" s="117">
        <v>1614.4779292016872</v>
      </c>
      <c r="O16" s="74" t="s">
        <v>162</v>
      </c>
      <c r="P16" s="83">
        <f>IF(Q16=0,0,R16/Q16)</f>
        <v>13.915384615384614</v>
      </c>
      <c r="Q16" s="77">
        <v>26</v>
      </c>
      <c r="R16" s="68">
        <v>361.79999999999995</v>
      </c>
    </row>
    <row r="17" spans="1:18" x14ac:dyDescent="0.4">
      <c r="A17" s="19" t="s">
        <v>118</v>
      </c>
      <c r="B17" s="12">
        <v>153</v>
      </c>
      <c r="C17" s="6">
        <f>IF(B$3=0,0,B17/B$3)</f>
        <v>0.18411552346570398</v>
      </c>
      <c r="E17" s="27" t="s">
        <v>81</v>
      </c>
      <c r="F17" s="24" t="s">
        <v>36</v>
      </c>
      <c r="G17" s="12">
        <v>5</v>
      </c>
      <c r="H17" s="88">
        <f>IF(B$20=0,0,G17/B$20)</f>
        <v>2.0491803278688523E-2</v>
      </c>
      <c r="I17" s="58">
        <v>4</v>
      </c>
      <c r="K17" s="74">
        <v>15</v>
      </c>
      <c r="L17" s="119">
        <v>0</v>
      </c>
      <c r="M17" s="117">
        <v>1607.9530616264772</v>
      </c>
      <c r="O17" s="74" t="s">
        <v>189</v>
      </c>
      <c r="P17" s="83">
        <f>IF(Q17=0,0,R17/Q17)</f>
        <v>12.118421052631575</v>
      </c>
      <c r="Q17" s="77">
        <v>38</v>
      </c>
      <c r="R17" s="68">
        <v>460.49999999999989</v>
      </c>
    </row>
    <row r="18" spans="1:18" x14ac:dyDescent="0.4">
      <c r="A18" s="18" t="s">
        <v>123</v>
      </c>
      <c r="B18" s="11">
        <f>B24</f>
        <v>146</v>
      </c>
      <c r="C18" s="5">
        <f>IF(B$16=0,0,B18/B$16)</f>
        <v>0.56153846153846154</v>
      </c>
      <c r="E18" s="27" t="s">
        <v>91</v>
      </c>
      <c r="F18" s="24" t="s">
        <v>46</v>
      </c>
      <c r="G18" s="12">
        <v>3</v>
      </c>
      <c r="H18" s="88">
        <f>IF(B$20=0,0,G18/B$20)</f>
        <v>1.2295081967213115E-2</v>
      </c>
      <c r="I18" s="58">
        <v>4</v>
      </c>
      <c r="K18" s="74">
        <v>16</v>
      </c>
      <c r="L18" s="119">
        <v>1.4</v>
      </c>
      <c r="M18" s="117">
        <v>1608.3733432567183</v>
      </c>
      <c r="O18" s="74" t="s">
        <v>191</v>
      </c>
      <c r="P18" s="83">
        <f>IF(Q18=0,0,R18/Q18)</f>
        <v>-0.25312500000000382</v>
      </c>
      <c r="Q18" s="77">
        <v>32</v>
      </c>
      <c r="R18" s="68">
        <v>-8.1000000000001222</v>
      </c>
    </row>
    <row r="19" spans="1:18" x14ac:dyDescent="0.4">
      <c r="A19" s="18" t="s">
        <v>124</v>
      </c>
      <c r="B19" s="11">
        <f>B25</f>
        <v>56</v>
      </c>
      <c r="C19" s="5">
        <f>IF(B$17=0,0,B19/B$17)</f>
        <v>0.36601307189542481</v>
      </c>
      <c r="E19" s="27" t="s">
        <v>74</v>
      </c>
      <c r="F19" s="24" t="s">
        <v>29</v>
      </c>
      <c r="G19" s="12">
        <v>2</v>
      </c>
      <c r="H19" s="88">
        <f>IF(B$20=0,0,G19/B$20)</f>
        <v>8.1967213114754103E-3</v>
      </c>
      <c r="I19" s="58">
        <v>3</v>
      </c>
      <c r="K19" s="74">
        <v>17</v>
      </c>
      <c r="L19" s="119">
        <v>32.700000000000003</v>
      </c>
      <c r="M19" s="117">
        <v>1614.1731031971779</v>
      </c>
      <c r="O19" s="74" t="s">
        <v>187</v>
      </c>
      <c r="P19" s="83">
        <f>IF(Q19=0,0,R19/Q19)</f>
        <v>-16.190000000000001</v>
      </c>
      <c r="Q19" s="77">
        <v>30</v>
      </c>
      <c r="R19" s="68">
        <v>-485.7</v>
      </c>
    </row>
    <row r="20" spans="1:18" x14ac:dyDescent="0.4">
      <c r="A20" s="18" t="s">
        <v>10</v>
      </c>
      <c r="B20" s="11">
        <f>B23+B22</f>
        <v>244</v>
      </c>
      <c r="C20" s="5">
        <f>IF(B$3=0,0,B20/B$3)</f>
        <v>0.29362214199759323</v>
      </c>
      <c r="E20" s="27" t="s">
        <v>75</v>
      </c>
      <c r="F20" s="24" t="s">
        <v>30</v>
      </c>
      <c r="G20" s="12">
        <v>2</v>
      </c>
      <c r="H20" s="88">
        <f>IF(B$20=0,0,G20/B$20)</f>
        <v>8.1967213114754103E-3</v>
      </c>
      <c r="I20" s="58">
        <v>2</v>
      </c>
      <c r="K20" s="74">
        <v>18</v>
      </c>
      <c r="L20" s="119">
        <v>0</v>
      </c>
      <c r="M20" s="117">
        <v>1608.4180645779948</v>
      </c>
      <c r="O20" s="74" t="s">
        <v>126</v>
      </c>
      <c r="P20" s="83">
        <f>IF(Q20=0,0,R20/Q20)</f>
        <v>-19.700000000000003</v>
      </c>
      <c r="Q20" s="77">
        <v>54</v>
      </c>
      <c r="R20" s="68">
        <v>-1063.8000000000002</v>
      </c>
    </row>
    <row r="21" spans="1:18" x14ac:dyDescent="0.4">
      <c r="A21" s="19" t="s">
        <v>13</v>
      </c>
      <c r="B21" s="12">
        <v>131</v>
      </c>
      <c r="C21" s="6">
        <f>IF(B$3=0,0,B21/B$3)</f>
        <v>0.15764139590854392</v>
      </c>
      <c r="E21" s="27" t="s">
        <v>79</v>
      </c>
      <c r="F21" s="24" t="s">
        <v>34</v>
      </c>
      <c r="G21" s="12">
        <v>2</v>
      </c>
      <c r="H21" s="88">
        <f>IF(B$20=0,0,G21/B$20)</f>
        <v>8.1967213114754103E-3</v>
      </c>
      <c r="I21" s="58">
        <v>2</v>
      </c>
      <c r="K21" s="74">
        <v>19</v>
      </c>
      <c r="L21" s="119">
        <v>7.6</v>
      </c>
      <c r="M21" s="117">
        <v>1609.3575561905268</v>
      </c>
    </row>
    <row r="22" spans="1:18" x14ac:dyDescent="0.4">
      <c r="A22" s="19" t="s">
        <v>12</v>
      </c>
      <c r="B22" s="12">
        <v>113</v>
      </c>
      <c r="C22" s="6">
        <f>IF(B$20=0,0,B22/B$20)</f>
        <v>0.46311475409836067</v>
      </c>
      <c r="E22" s="27" t="s">
        <v>76</v>
      </c>
      <c r="F22" s="24" t="s">
        <v>31</v>
      </c>
      <c r="G22" s="12">
        <v>1</v>
      </c>
      <c r="H22" s="88">
        <f>IF(B$20=0,0,G22/B$20)</f>
        <v>4.0983606557377051E-3</v>
      </c>
      <c r="I22" s="58">
        <v>2</v>
      </c>
      <c r="K22" s="74">
        <v>20</v>
      </c>
      <c r="L22" s="119">
        <v>41.2</v>
      </c>
      <c r="M22" s="117">
        <v>1614.9714108533835</v>
      </c>
    </row>
    <row r="23" spans="1:18" x14ac:dyDescent="0.4">
      <c r="A23" s="19" t="s">
        <v>11</v>
      </c>
      <c r="B23" s="12">
        <v>131</v>
      </c>
      <c r="C23" s="6">
        <f>IF(B$20=0,0,B23/B$20)</f>
        <v>0.53688524590163933</v>
      </c>
      <c r="E23" s="27" t="s">
        <v>94</v>
      </c>
      <c r="F23" s="24" t="s">
        <v>49</v>
      </c>
      <c r="G23" s="12">
        <v>1</v>
      </c>
      <c r="H23" s="88">
        <f>IF(B$20=0,0,G23/B$20)</f>
        <v>4.0983606557377051E-3</v>
      </c>
      <c r="I23" s="58">
        <v>2</v>
      </c>
      <c r="K23" s="74">
        <v>21</v>
      </c>
      <c r="L23" s="119">
        <v>0</v>
      </c>
      <c r="M23" s="117">
        <v>1607.0875823882632</v>
      </c>
    </row>
    <row r="24" spans="1:18" x14ac:dyDescent="0.4">
      <c r="A24" s="19" t="s">
        <v>182</v>
      </c>
      <c r="B24" s="12">
        <v>146</v>
      </c>
      <c r="C24" s="6">
        <f>IF(B$20=0,0,B24/B$20)</f>
        <v>0.59836065573770492</v>
      </c>
      <c r="E24" s="27" t="s">
        <v>99</v>
      </c>
      <c r="F24" s="24" t="s">
        <v>54</v>
      </c>
      <c r="G24" s="12">
        <v>1</v>
      </c>
      <c r="H24" s="88">
        <f>IF(B$20=0,0,G24/B$20)</f>
        <v>4.0983606557377051E-3</v>
      </c>
      <c r="I24" s="58">
        <v>2</v>
      </c>
      <c r="K24" s="74">
        <v>22</v>
      </c>
      <c r="L24" s="119">
        <v>-38.700000000000003</v>
      </c>
      <c r="M24" s="117">
        <v>1600.1750568939335</v>
      </c>
    </row>
    <row r="25" spans="1:18" x14ac:dyDescent="0.4">
      <c r="A25" s="19" t="s">
        <v>180</v>
      </c>
      <c r="B25" s="12">
        <v>56</v>
      </c>
      <c r="C25" s="6">
        <f>IF(B$20=0,0,B25/B$20)</f>
        <v>0.22950819672131148</v>
      </c>
      <c r="E25" s="27" t="s">
        <v>154</v>
      </c>
      <c r="F25" s="24" t="s">
        <v>155</v>
      </c>
      <c r="G25" s="12">
        <v>1</v>
      </c>
      <c r="H25" s="88">
        <f>IF(B$20=0,0,G25/B$20)</f>
        <v>4.0983606557377051E-3</v>
      </c>
      <c r="I25" s="58">
        <v>2</v>
      </c>
      <c r="K25" s="74">
        <v>23</v>
      </c>
      <c r="L25" s="119">
        <v>-7.8000000000000043</v>
      </c>
      <c r="M25" s="117">
        <v>1605.83200655257</v>
      </c>
    </row>
    <row r="26" spans="1:18" x14ac:dyDescent="0.4">
      <c r="A26" s="19" t="s">
        <v>181</v>
      </c>
      <c r="B26" s="12">
        <v>42</v>
      </c>
      <c r="C26" s="6">
        <f>IF(B$20=0,0,B26/B$20)</f>
        <v>0.1721311475409836</v>
      </c>
      <c r="E26" s="27" t="s">
        <v>77</v>
      </c>
      <c r="F26" s="24" t="s">
        <v>32</v>
      </c>
      <c r="G26" s="12">
        <v>0</v>
      </c>
      <c r="H26" s="88">
        <f>IF(B$20=0,0,G26/B$20)</f>
        <v>0</v>
      </c>
      <c r="I26" s="58">
        <v>1</v>
      </c>
      <c r="K26" s="74">
        <v>24</v>
      </c>
      <c r="L26" s="119">
        <v>-4.4408920985006262E-15</v>
      </c>
      <c r="M26" s="117">
        <v>1607.2970145132545</v>
      </c>
    </row>
    <row r="27" spans="1:18" x14ac:dyDescent="0.4">
      <c r="A27" s="19" t="s">
        <v>5</v>
      </c>
      <c r="B27" s="16">
        <f>IF(B$20=0,0,C27/B$20)</f>
        <v>8572.1311475409839</v>
      </c>
      <c r="C27" s="8">
        <v>2091600</v>
      </c>
      <c r="E27" s="27" t="s">
        <v>80</v>
      </c>
      <c r="F27" s="24" t="s">
        <v>35</v>
      </c>
      <c r="G27" s="12">
        <v>0</v>
      </c>
      <c r="H27" s="88">
        <f>IF(B$20=0,0,G27/B$20)</f>
        <v>0</v>
      </c>
      <c r="I27" s="58">
        <v>1</v>
      </c>
      <c r="K27" s="74">
        <v>25</v>
      </c>
      <c r="L27" s="119">
        <v>61.399999999999991</v>
      </c>
      <c r="M27" s="117">
        <v>1618.5032324261749</v>
      </c>
    </row>
    <row r="28" spans="1:18" x14ac:dyDescent="0.4">
      <c r="A28" s="20" t="s">
        <v>164</v>
      </c>
      <c r="B28" s="95">
        <f>IF($B$20-B$19=0,0,C28/($B$20-B$19))</f>
        <v>8832.978723404256</v>
      </c>
      <c r="C28" s="96">
        <v>1660600</v>
      </c>
      <c r="E28" s="27" t="s">
        <v>82</v>
      </c>
      <c r="F28" s="24" t="s">
        <v>37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6.3999999999999915</v>
      </c>
      <c r="M28" s="117">
        <v>1608.6902130316178</v>
      </c>
    </row>
    <row r="29" spans="1:18" x14ac:dyDescent="0.4">
      <c r="A29" s="20" t="s">
        <v>165</v>
      </c>
      <c r="B29" s="95">
        <f>IF(B$19=0,0,C29/B$19)</f>
        <v>7696.4285714285716</v>
      </c>
      <c r="C29" s="96">
        <v>431000</v>
      </c>
      <c r="E29" s="27" t="s">
        <v>84</v>
      </c>
      <c r="F29" s="24" t="s">
        <v>39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-8.8817841970012523E-15</v>
      </c>
      <c r="M29" s="117">
        <v>1607.684071753428</v>
      </c>
    </row>
    <row r="30" spans="1:18" x14ac:dyDescent="0.4">
      <c r="A30" s="20" t="s">
        <v>163</v>
      </c>
      <c r="B30" s="95">
        <f>IF(B$21=0,0,C30/B$21)</f>
        <v>-8503.0534351145034</v>
      </c>
      <c r="C30" s="96">
        <v>-1113900</v>
      </c>
      <c r="E30" s="27" t="s">
        <v>85</v>
      </c>
      <c r="F30" s="24" t="s">
        <v>40</v>
      </c>
      <c r="G30" s="12">
        <v>0</v>
      </c>
      <c r="H30" s="88">
        <f>IF(B$20=0,0,G30/B$20)</f>
        <v>0</v>
      </c>
      <c r="I30" s="58">
        <v>1</v>
      </c>
      <c r="K30" s="74">
        <v>28</v>
      </c>
      <c r="L30" s="119">
        <v>-0.80000000000000893</v>
      </c>
      <c r="M30" s="117">
        <v>1607.6079673229074</v>
      </c>
    </row>
    <row r="31" spans="1:18" x14ac:dyDescent="0.4">
      <c r="A31" s="19" t="s">
        <v>156</v>
      </c>
      <c r="B31" s="12">
        <v>5</v>
      </c>
      <c r="C31" s="90">
        <v>0</v>
      </c>
      <c r="E31" s="27" t="s">
        <v>87</v>
      </c>
      <c r="F31" s="24" t="s">
        <v>42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45.999999999999986</v>
      </c>
      <c r="M31" s="117">
        <v>1616.1003195189699</v>
      </c>
    </row>
    <row r="32" spans="1:18" x14ac:dyDescent="0.4">
      <c r="A32" s="19" t="s">
        <v>157</v>
      </c>
      <c r="B32" s="12">
        <v>24</v>
      </c>
      <c r="C32" s="90">
        <v>3</v>
      </c>
      <c r="E32" s="27" t="s">
        <v>88</v>
      </c>
      <c r="F32" s="24" t="s">
        <v>43</v>
      </c>
      <c r="G32" s="12">
        <v>0</v>
      </c>
      <c r="H32" s="88">
        <f>IF(B$20=0,0,G32/B$20)</f>
        <v>0</v>
      </c>
      <c r="I32" s="58">
        <v>1</v>
      </c>
      <c r="K32" s="74">
        <v>30</v>
      </c>
      <c r="L32" s="119">
        <v>-1.4210854715202004E-14</v>
      </c>
      <c r="M32" s="117">
        <v>1607.837717601856</v>
      </c>
    </row>
    <row r="33" spans="1:13" x14ac:dyDescent="0.4">
      <c r="A33" s="54" t="s">
        <v>135</v>
      </c>
      <c r="B33" s="127">
        <v>6</v>
      </c>
      <c r="C33" s="128"/>
      <c r="E33" s="27" t="s">
        <v>90</v>
      </c>
      <c r="F33" s="24" t="s">
        <v>45</v>
      </c>
      <c r="G33" s="12">
        <v>0</v>
      </c>
      <c r="H33" s="88">
        <f>IF(B$20=0,0,G33/B$20)</f>
        <v>0</v>
      </c>
      <c r="I33" s="58">
        <v>1</v>
      </c>
      <c r="K33" s="74">
        <v>31</v>
      </c>
      <c r="L33" s="119">
        <v>-14.700000000000014</v>
      </c>
      <c r="M33" s="117">
        <v>1605.4986912962447</v>
      </c>
    </row>
    <row r="34" spans="1:13" x14ac:dyDescent="0.4">
      <c r="A34" s="22" t="s">
        <v>179</v>
      </c>
      <c r="B34" s="129">
        <v>90400</v>
      </c>
      <c r="C34" s="130"/>
      <c r="E34" s="27" t="s">
        <v>92</v>
      </c>
      <c r="F34" s="24" t="s">
        <v>47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57.59999999999998</v>
      </c>
      <c r="M34" s="117">
        <v>1618.8336991484673</v>
      </c>
    </row>
    <row r="35" spans="1:13" x14ac:dyDescent="0.4">
      <c r="A35" s="21" t="s">
        <v>136</v>
      </c>
      <c r="B35" s="29">
        <v>1</v>
      </c>
      <c r="C35" s="9">
        <f>IF(B$3=0,0,B35/B$3)</f>
        <v>1.2033694344163659E-3</v>
      </c>
      <c r="E35" s="27" t="s">
        <v>93</v>
      </c>
      <c r="F35" s="24" t="s">
        <v>48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-2.1316282072803006E-14</v>
      </c>
      <c r="M35" s="117">
        <v>1608.7066969535765</v>
      </c>
    </row>
    <row r="36" spans="1:13" x14ac:dyDescent="0.4">
      <c r="E36" s="27" t="s">
        <v>95</v>
      </c>
      <c r="F36" s="24" t="s">
        <v>50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31.299999999999979</v>
      </c>
      <c r="M36" s="117">
        <v>1614.4924567718551</v>
      </c>
    </row>
    <row r="37" spans="1:13" x14ac:dyDescent="0.4">
      <c r="A37" s="54" t="s">
        <v>170</v>
      </c>
      <c r="B37" s="123">
        <v>12</v>
      </c>
      <c r="C37" s="98">
        <f t="shared" ref="C37:C49" si="2">IF(B$20=0,0,B37/B$20)</f>
        <v>4.9180327868852458E-2</v>
      </c>
      <c r="E37" s="27" t="s">
        <v>96</v>
      </c>
      <c r="F37" s="24" t="s">
        <v>51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5.2999999999999794</v>
      </c>
      <c r="M37" s="117">
        <v>1609.929502031224</v>
      </c>
    </row>
    <row r="38" spans="1:13" x14ac:dyDescent="0.4">
      <c r="A38" s="19" t="s">
        <v>166</v>
      </c>
      <c r="B38" s="12">
        <v>39</v>
      </c>
      <c r="C38" s="6">
        <f t="shared" si="2"/>
        <v>0.1598360655737705</v>
      </c>
      <c r="E38" s="27" t="s">
        <v>97</v>
      </c>
      <c r="F38" s="24" t="s">
        <v>52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-2.042810365310288E-14</v>
      </c>
      <c r="M38" s="117">
        <v>1609.1199250190366</v>
      </c>
    </row>
    <row r="39" spans="1:13" x14ac:dyDescent="0.4">
      <c r="A39" s="19" t="s">
        <v>167</v>
      </c>
      <c r="B39" s="124">
        <v>42</v>
      </c>
      <c r="C39" s="6">
        <f t="shared" si="2"/>
        <v>0.1721311475409836</v>
      </c>
      <c r="E39" s="27" t="s">
        <v>98</v>
      </c>
      <c r="F39" s="24" t="s">
        <v>53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-58.90000000000002</v>
      </c>
      <c r="M39" s="117">
        <v>1598.0912054689225</v>
      </c>
    </row>
    <row r="40" spans="1:13" x14ac:dyDescent="0.4">
      <c r="A40" s="19" t="s">
        <v>168</v>
      </c>
      <c r="B40" s="124">
        <v>56</v>
      </c>
      <c r="C40" s="6">
        <f t="shared" si="2"/>
        <v>0.22950819672131148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10.699999999999974</v>
      </c>
      <c r="M40" s="117">
        <v>1610.2586582361089</v>
      </c>
    </row>
    <row r="41" spans="1:13" x14ac:dyDescent="0.4">
      <c r="A41" s="19" t="s">
        <v>169</v>
      </c>
      <c r="B41" s="124">
        <v>44</v>
      </c>
      <c r="C41" s="6">
        <f t="shared" si="2"/>
        <v>0.18032786885245902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-2.4868995751603507E-14</v>
      </c>
      <c r="M41" s="117">
        <v>1607.8991062866921</v>
      </c>
    </row>
    <row r="42" spans="1:13" x14ac:dyDescent="0.4">
      <c r="A42" s="19" t="s">
        <v>171</v>
      </c>
      <c r="B42" s="124">
        <v>19</v>
      </c>
      <c r="C42" s="6">
        <f t="shared" si="2"/>
        <v>7.7868852459016397E-2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-45.40000000000002</v>
      </c>
      <c r="M42" s="117">
        <v>1599.901711648972</v>
      </c>
    </row>
    <row r="43" spans="1:13" x14ac:dyDescent="0.4">
      <c r="A43" s="19" t="s">
        <v>172</v>
      </c>
      <c r="B43" s="124">
        <v>14</v>
      </c>
      <c r="C43" s="6">
        <f t="shared" si="2"/>
        <v>5.737704918032787E-2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-51.800000000000018</v>
      </c>
      <c r="M43" s="117">
        <v>1598.9723013790781</v>
      </c>
    </row>
    <row r="44" spans="1:13" x14ac:dyDescent="0.4">
      <c r="A44" s="19" t="s">
        <v>173</v>
      </c>
      <c r="B44" s="124">
        <v>11</v>
      </c>
      <c r="C44" s="6">
        <f t="shared" si="2"/>
        <v>4.5081967213114756E-2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-2.1316282072803006E-14</v>
      </c>
      <c r="M44" s="117">
        <v>1608.5244675708036</v>
      </c>
    </row>
    <row r="45" spans="1:13" x14ac:dyDescent="0.4">
      <c r="A45" s="19" t="s">
        <v>174</v>
      </c>
      <c r="B45" s="124">
        <v>3</v>
      </c>
      <c r="C45" s="6">
        <f t="shared" si="2"/>
        <v>1.2295081967213115E-2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4.4999999999999787</v>
      </c>
      <c r="M45" s="117">
        <v>1609.6133207653788</v>
      </c>
    </row>
    <row r="46" spans="1:13" x14ac:dyDescent="0.4">
      <c r="A46" s="19" t="s">
        <v>175</v>
      </c>
      <c r="B46" s="124">
        <v>2</v>
      </c>
      <c r="C46" s="6">
        <f t="shared" si="2"/>
        <v>8.1967213114754103E-3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1</v>
      </c>
      <c r="K46" s="74">
        <v>44</v>
      </c>
      <c r="L46" s="119">
        <v>36.999999999999979</v>
      </c>
      <c r="M46" s="117">
        <v>1615.7356408407866</v>
      </c>
    </row>
    <row r="47" spans="1:13" x14ac:dyDescent="0.4">
      <c r="A47" s="19" t="s">
        <v>176</v>
      </c>
      <c r="B47" s="124">
        <v>0</v>
      </c>
      <c r="C47" s="6">
        <f t="shared" si="2"/>
        <v>0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-2.1316282072803006E-14</v>
      </c>
      <c r="M47" s="117">
        <v>1609.3112269957419</v>
      </c>
    </row>
    <row r="48" spans="1:13" x14ac:dyDescent="0.4">
      <c r="A48" s="19" t="s">
        <v>177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-1.5000000000000213</v>
      </c>
      <c r="M48" s="117">
        <v>1609.1173596337674</v>
      </c>
    </row>
    <row r="49" spans="1:13" x14ac:dyDescent="0.4">
      <c r="A49" s="21" t="s">
        <v>178</v>
      </c>
      <c r="B49" s="97">
        <v>2</v>
      </c>
      <c r="C49" s="9">
        <f t="shared" si="2"/>
        <v>8.1967213114754103E-3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-44.90000000000002</v>
      </c>
      <c r="M49" s="117">
        <v>1601.3826554759648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-2.1316282072803006E-14</v>
      </c>
      <c r="M50" s="117">
        <v>1609.5883595431089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5.6999999999999789</v>
      </c>
      <c r="M51" s="117">
        <v>1610.1668293858502</v>
      </c>
    </row>
    <row r="52" spans="1:13" x14ac:dyDescent="0.4">
      <c r="E52" s="28" t="s">
        <v>160</v>
      </c>
      <c r="F52" s="25" t="s">
        <v>161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52.799999999999983</v>
      </c>
      <c r="M52" s="117">
        <v>1618.1938284095352</v>
      </c>
    </row>
    <row r="53" spans="1:13" x14ac:dyDescent="0.4">
      <c r="K53" s="74">
        <v>51</v>
      </c>
      <c r="L53" s="119">
        <v>-1.4210854715202004E-14</v>
      </c>
      <c r="M53" s="117">
        <v>1608.190665439078</v>
      </c>
    </row>
    <row r="54" spans="1:13" x14ac:dyDescent="0.4">
      <c r="K54" s="74">
        <v>52</v>
      </c>
      <c r="L54" s="119">
        <v>4.9999999999999858</v>
      </c>
      <c r="M54" s="117">
        <v>1609.1375214464435</v>
      </c>
    </row>
    <row r="55" spans="1:13" x14ac:dyDescent="0.4">
      <c r="K55" s="74">
        <v>53</v>
      </c>
      <c r="L55" s="119">
        <v>40.299999999999983</v>
      </c>
      <c r="M55" s="117">
        <v>1615.5326963177649</v>
      </c>
    </row>
    <row r="56" spans="1:13" x14ac:dyDescent="0.4">
      <c r="K56" s="74">
        <v>54</v>
      </c>
      <c r="L56" s="119">
        <v>-1.4210854715202004E-14</v>
      </c>
      <c r="M56" s="117">
        <v>1608.2815001398583</v>
      </c>
    </row>
    <row r="57" spans="1:13" x14ac:dyDescent="0.4">
      <c r="K57" s="74">
        <v>55</v>
      </c>
      <c r="L57" s="119">
        <v>-54.200000000000017</v>
      </c>
      <c r="M57" s="117">
        <v>1598.3138111390192</v>
      </c>
    </row>
    <row r="58" spans="1:13" x14ac:dyDescent="0.4">
      <c r="K58" s="74">
        <v>56</v>
      </c>
      <c r="L58" s="119">
        <v>21.199999999999989</v>
      </c>
      <c r="M58" s="117">
        <v>1611.733928272185</v>
      </c>
    </row>
    <row r="59" spans="1:13" x14ac:dyDescent="0.4">
      <c r="K59" s="74">
        <v>57</v>
      </c>
      <c r="L59" s="119">
        <v>-1.0658141036401503E-14</v>
      </c>
      <c r="M59" s="117">
        <v>1607.6855247025519</v>
      </c>
    </row>
    <row r="60" spans="1:13" x14ac:dyDescent="0.4">
      <c r="K60" s="74">
        <v>58</v>
      </c>
      <c r="L60" s="119">
        <v>-12.500000000000011</v>
      </c>
      <c r="M60" s="117">
        <v>1605.2274115543366</v>
      </c>
    </row>
    <row r="61" spans="1:13" x14ac:dyDescent="0.4">
      <c r="K61" s="74">
        <v>59</v>
      </c>
      <c r="L61" s="119">
        <v>40.499999999999986</v>
      </c>
      <c r="M61" s="117">
        <v>1614.5740470850105</v>
      </c>
    </row>
    <row r="62" spans="1:13" x14ac:dyDescent="0.4">
      <c r="K62" s="74">
        <v>60</v>
      </c>
      <c r="L62" s="119">
        <v>-1.4210854715202004E-14</v>
      </c>
      <c r="M62" s="117">
        <v>1607.0346028025006</v>
      </c>
    </row>
    <row r="63" spans="1:13" x14ac:dyDescent="0.4">
      <c r="K63" s="74">
        <v>61</v>
      </c>
      <c r="L63" s="119">
        <v>12.099999999999985</v>
      </c>
      <c r="M63" s="117">
        <v>1609.0083951856855</v>
      </c>
    </row>
    <row r="64" spans="1:13" x14ac:dyDescent="0.4">
      <c r="K64" s="74">
        <v>62</v>
      </c>
      <c r="L64" s="119">
        <v>45.999999999999986</v>
      </c>
      <c r="M64" s="117">
        <v>1614.8943448145712</v>
      </c>
    </row>
    <row r="65" spans="11:13" x14ac:dyDescent="0.4">
      <c r="K65" s="74">
        <v>63</v>
      </c>
      <c r="L65" s="119">
        <v>-1.4210854715202004E-14</v>
      </c>
      <c r="M65" s="117">
        <v>1606.3629787456839</v>
      </c>
    </row>
    <row r="66" spans="11:13" x14ac:dyDescent="0.4">
      <c r="K66" s="74">
        <v>64</v>
      </c>
      <c r="L66" s="119">
        <v>-1.8000000000000143</v>
      </c>
      <c r="M66" s="117">
        <v>1605.8388008732097</v>
      </c>
    </row>
    <row r="67" spans="11:13" x14ac:dyDescent="0.4">
      <c r="K67" s="74">
        <v>65</v>
      </c>
      <c r="L67" s="119">
        <v>-32.600000000000016</v>
      </c>
      <c r="M67" s="117">
        <v>1600.0977680679705</v>
      </c>
    </row>
    <row r="68" spans="11:13" x14ac:dyDescent="0.4">
      <c r="K68" s="74">
        <v>66</v>
      </c>
      <c r="L68" s="119">
        <v>-1.4210854715202004E-14</v>
      </c>
      <c r="M68" s="117">
        <v>1605.8031814595627</v>
      </c>
    </row>
    <row r="69" spans="11:13" x14ac:dyDescent="0.4">
      <c r="K69" s="74">
        <v>67</v>
      </c>
      <c r="L69" s="119">
        <v>-55.500000000000014</v>
      </c>
      <c r="M69" s="117">
        <v>1595.6163623708053</v>
      </c>
    </row>
    <row r="70" spans="11:13" x14ac:dyDescent="0.4">
      <c r="K70" s="74">
        <v>68</v>
      </c>
      <c r="L70" s="119">
        <v>-4.5000000000000142</v>
      </c>
      <c r="M70" s="117">
        <v>1604.6606641965805</v>
      </c>
    </row>
    <row r="71" spans="11:13" x14ac:dyDescent="0.4">
      <c r="K71" s="74">
        <v>69</v>
      </c>
      <c r="L71" s="119">
        <v>-1.4210854715202004E-14</v>
      </c>
      <c r="M71" s="117">
        <v>1605.2807002114009</v>
      </c>
    </row>
    <row r="72" spans="11:13" x14ac:dyDescent="0.4">
      <c r="K72" s="74">
        <v>70</v>
      </c>
      <c r="L72" s="119">
        <v>3.4999999999999858</v>
      </c>
      <c r="M72" s="117">
        <v>1605.7170160101325</v>
      </c>
    </row>
    <row r="73" spans="11:13" x14ac:dyDescent="0.4">
      <c r="K73" s="74">
        <v>71</v>
      </c>
      <c r="L73" s="119">
        <v>32.499999999999986</v>
      </c>
      <c r="M73" s="117">
        <v>1610.7407139140716</v>
      </c>
    </row>
    <row r="74" spans="11:13" x14ac:dyDescent="0.4">
      <c r="K74" s="74">
        <v>72</v>
      </c>
      <c r="L74" s="119">
        <v>-1.4210854715202004E-14</v>
      </c>
      <c r="M74" s="117">
        <v>1604.6642696305871</v>
      </c>
    </row>
    <row r="75" spans="11:13" x14ac:dyDescent="0.4">
      <c r="K75" s="74">
        <v>73</v>
      </c>
      <c r="L75" s="119">
        <v>40.599999999999987</v>
      </c>
      <c r="M75" s="117">
        <v>1611.7822840128035</v>
      </c>
    </row>
    <row r="76" spans="11:13" x14ac:dyDescent="0.4">
      <c r="K76" s="74">
        <v>74</v>
      </c>
      <c r="L76" s="119">
        <v>60.299999999999983</v>
      </c>
      <c r="M76" s="117">
        <v>1615.0955903087267</v>
      </c>
    </row>
    <row r="77" spans="11:13" x14ac:dyDescent="0.4">
      <c r="K77" s="74">
        <v>75</v>
      </c>
      <c r="L77" s="119">
        <v>-1.4210854715202004E-14</v>
      </c>
      <c r="M77" s="117">
        <v>1603.9890167668743</v>
      </c>
    </row>
    <row r="78" spans="11:13" x14ac:dyDescent="0.4">
      <c r="K78" s="74">
        <v>76</v>
      </c>
      <c r="L78" s="119">
        <v>34.199999999999989</v>
      </c>
      <c r="M78" s="117">
        <v>1609.9530826662731</v>
      </c>
    </row>
    <row r="79" spans="11:13" x14ac:dyDescent="0.4">
      <c r="K79" s="74">
        <v>77</v>
      </c>
      <c r="L79" s="119">
        <v>41.399999999999991</v>
      </c>
      <c r="M79" s="117">
        <v>1611.0213641702755</v>
      </c>
    </row>
    <row r="80" spans="11:13" x14ac:dyDescent="0.4">
      <c r="K80" s="74">
        <v>78</v>
      </c>
      <c r="L80" s="119">
        <v>-7.1054273576010019E-15</v>
      </c>
      <c r="M80" s="117">
        <v>1603.3352359852538</v>
      </c>
    </row>
    <row r="81" spans="11:13" x14ac:dyDescent="0.4">
      <c r="K81" s="74">
        <v>79</v>
      </c>
      <c r="L81" s="119">
        <v>-10.200000000000006</v>
      </c>
      <c r="M81" s="117">
        <v>1601.4492245693423</v>
      </c>
    </row>
    <row r="82" spans="11:13" x14ac:dyDescent="0.4">
      <c r="K82" s="74">
        <v>80</v>
      </c>
      <c r="L82" s="119">
        <v>57.399999999999991</v>
      </c>
      <c r="M82" s="117">
        <v>1613.5785292219261</v>
      </c>
    </row>
    <row r="83" spans="11:13" x14ac:dyDescent="0.4">
      <c r="K83" s="74">
        <v>81</v>
      </c>
      <c r="L83" s="119">
        <v>-7.1054273576010019E-15</v>
      </c>
      <c r="M83" s="117">
        <v>1603.1350580465946</v>
      </c>
    </row>
    <row r="84" spans="11:13" x14ac:dyDescent="0.4">
      <c r="K84" s="74">
        <v>82</v>
      </c>
      <c r="L84" s="119">
        <v>-33.000000000000007</v>
      </c>
      <c r="M84" s="117">
        <v>1597.1462476983152</v>
      </c>
    </row>
    <row r="85" spans="11:13" x14ac:dyDescent="0.4">
      <c r="K85" s="74">
        <v>83</v>
      </c>
      <c r="L85" s="119">
        <v>-34.20000000000001</v>
      </c>
      <c r="M85" s="117">
        <v>1596.9173702121252</v>
      </c>
    </row>
    <row r="86" spans="11:13" x14ac:dyDescent="0.4">
      <c r="K86" s="74">
        <v>84</v>
      </c>
      <c r="L86" s="119">
        <v>-7.1054273576010019E-15</v>
      </c>
      <c r="M86" s="117">
        <v>1603.0618659908525</v>
      </c>
    </row>
    <row r="87" spans="11:13" x14ac:dyDescent="0.4">
      <c r="K87" s="74">
        <v>85</v>
      </c>
      <c r="L87" s="119">
        <v>2.3999999999999928</v>
      </c>
      <c r="M87" s="117">
        <v>1603.4454947949075</v>
      </c>
    </row>
    <row r="88" spans="11:13" x14ac:dyDescent="0.4">
      <c r="K88" s="74">
        <v>86</v>
      </c>
      <c r="L88" s="119">
        <v>48.099999999999994</v>
      </c>
      <c r="M88" s="117">
        <v>1611.6208218261381</v>
      </c>
    </row>
    <row r="89" spans="11:13" x14ac:dyDescent="0.4">
      <c r="K89" s="74">
        <v>87</v>
      </c>
      <c r="L89" s="119">
        <v>-7.1054273576010019E-15</v>
      </c>
      <c r="M89" s="117">
        <v>1602.8630968951813</v>
      </c>
    </row>
    <row r="90" spans="11:13" x14ac:dyDescent="0.4">
      <c r="K90" s="74">
        <v>88</v>
      </c>
      <c r="L90" s="119">
        <v>61.399999999999991</v>
      </c>
      <c r="M90" s="117">
        <v>1613.8739183138102</v>
      </c>
    </row>
    <row r="91" spans="11:13" x14ac:dyDescent="0.4">
      <c r="K91" s="74">
        <v>89</v>
      </c>
      <c r="L91" s="119">
        <v>9.7999999999999901</v>
      </c>
      <c r="M91" s="117">
        <v>1604.4786748039273</v>
      </c>
    </row>
    <row r="92" spans="11:13" x14ac:dyDescent="0.4">
      <c r="K92" s="74">
        <v>90</v>
      </c>
      <c r="L92" s="119">
        <v>-1.0658141036401503E-14</v>
      </c>
      <c r="M92" s="117">
        <v>1602.6638027551037</v>
      </c>
    </row>
    <row r="93" spans="11:13" x14ac:dyDescent="0.4">
      <c r="K93" s="74">
        <v>91</v>
      </c>
      <c r="L93" s="119">
        <v>-9.7000000000000099</v>
      </c>
      <c r="M93" s="117">
        <v>1600.871819938573</v>
      </c>
    </row>
    <row r="94" spans="11:13" x14ac:dyDescent="0.4">
      <c r="K94" s="74">
        <v>92</v>
      </c>
      <c r="L94" s="119">
        <v>-49.800000000000011</v>
      </c>
      <c r="M94" s="117">
        <v>1593.6185890189415</v>
      </c>
    </row>
    <row r="95" spans="11:13" x14ac:dyDescent="0.4">
      <c r="K95" s="74">
        <v>93</v>
      </c>
      <c r="L95" s="119">
        <v>-1.4210854715202004E-14</v>
      </c>
      <c r="M95" s="117">
        <v>1602.5908774848278</v>
      </c>
    </row>
    <row r="96" spans="11:13" x14ac:dyDescent="0.4">
      <c r="K96" s="74">
        <v>94</v>
      </c>
      <c r="L96" s="119">
        <v>-45.100000000000016</v>
      </c>
      <c r="M96" s="117">
        <v>1594.4333322199188</v>
      </c>
    </row>
    <row r="97" spans="11:13" x14ac:dyDescent="0.4">
      <c r="K97" s="74">
        <v>95</v>
      </c>
      <c r="L97" s="119">
        <v>-54.200000000000017</v>
      </c>
      <c r="M97" s="117">
        <v>1592.8047322265993</v>
      </c>
    </row>
    <row r="98" spans="11:13" x14ac:dyDescent="0.4">
      <c r="K98" s="74">
        <v>96</v>
      </c>
      <c r="L98" s="119">
        <v>-1.4210854715202004E-14</v>
      </c>
      <c r="M98" s="117">
        <v>1602.5799038332398</v>
      </c>
    </row>
    <row r="99" spans="11:13" x14ac:dyDescent="0.4">
      <c r="K99" s="74">
        <v>97</v>
      </c>
      <c r="L99" s="119">
        <v>-44.100000000000016</v>
      </c>
      <c r="M99" s="117">
        <v>1594.6024244102402</v>
      </c>
    </row>
    <row r="100" spans="11:13" x14ac:dyDescent="0.4">
      <c r="K100" s="74">
        <v>98</v>
      </c>
      <c r="L100" s="119">
        <v>22.999999999999979</v>
      </c>
      <c r="M100" s="117">
        <v>1606.6888098637787</v>
      </c>
    </row>
    <row r="101" spans="11:13" x14ac:dyDescent="0.4">
      <c r="K101" s="74">
        <v>99</v>
      </c>
      <c r="L101" s="119">
        <v>-2.1316282072803006E-14</v>
      </c>
      <c r="M101" s="117">
        <v>1602.4846770045961</v>
      </c>
    </row>
  </sheetData>
  <sortState xmlns:xlrd2="http://schemas.microsoft.com/office/spreadsheetml/2017/richdata2" ref="O15:R20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F58B48-6123-4091-80A7-AD970072337D}">
  <sheetPr codeName="Sheet7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162</v>
      </c>
      <c r="C1" s="132"/>
      <c r="E1" s="104" t="s">
        <v>153</v>
      </c>
      <c r="F1" s="122" t="s">
        <v>115</v>
      </c>
      <c r="G1" s="121" t="s">
        <v>116</v>
      </c>
      <c r="H1" s="86" t="s">
        <v>117</v>
      </c>
      <c r="I1" s="122" t="s">
        <v>145</v>
      </c>
      <c r="K1" s="72" t="s">
        <v>19</v>
      </c>
      <c r="L1" s="4" t="s">
        <v>120</v>
      </c>
      <c r="M1" s="115" t="s">
        <v>193</v>
      </c>
      <c r="N1" s="105"/>
      <c r="O1" s="72" t="s">
        <v>133</v>
      </c>
      <c r="P1" s="4" t="s">
        <v>134</v>
      </c>
      <c r="Q1" s="106" t="s">
        <v>116</v>
      </c>
      <c r="R1" s="62" t="s">
        <v>147</v>
      </c>
    </row>
    <row r="2" spans="1:18" x14ac:dyDescent="0.4">
      <c r="A2" s="18" t="s">
        <v>9</v>
      </c>
      <c r="B2" s="133">
        <v>13</v>
      </c>
      <c r="C2" s="134"/>
      <c r="E2" s="26" t="s">
        <v>64</v>
      </c>
      <c r="F2" s="23" t="s">
        <v>20</v>
      </c>
      <c r="G2" s="11">
        <v>19</v>
      </c>
      <c r="H2" s="87">
        <f>IF(B$20=0,0,G2/B$20)</f>
        <v>0.73076923076923073</v>
      </c>
      <c r="I2" s="57">
        <v>1</v>
      </c>
      <c r="K2" s="73">
        <v>0</v>
      </c>
      <c r="L2" s="118">
        <v>0</v>
      </c>
      <c r="M2" s="116">
        <v>1595.6213709809917</v>
      </c>
      <c r="O2" s="73" t="s">
        <v>127</v>
      </c>
      <c r="P2" s="79">
        <f t="shared" ref="P2:P7" si="0">IF(Q2=0,0,R2/Q2)</f>
        <v>-1084.6153846153845</v>
      </c>
      <c r="Q2" s="76">
        <v>13</v>
      </c>
      <c r="R2" s="63">
        <v>-14100</v>
      </c>
    </row>
    <row r="3" spans="1:18" x14ac:dyDescent="0.4">
      <c r="A3" s="19" t="s">
        <v>8</v>
      </c>
      <c r="B3" s="135">
        <v>106</v>
      </c>
      <c r="C3" s="136"/>
      <c r="E3" s="27" t="s">
        <v>66</v>
      </c>
      <c r="F3" s="24" t="s">
        <v>22</v>
      </c>
      <c r="G3" s="12">
        <v>16</v>
      </c>
      <c r="H3" s="88">
        <f>IF(B$20=0,0,G3/B$20)</f>
        <v>0.61538461538461542</v>
      </c>
      <c r="I3" s="58">
        <v>5</v>
      </c>
      <c r="K3" s="74">
        <v>1</v>
      </c>
      <c r="L3" s="119">
        <v>-58</v>
      </c>
      <c r="M3" s="117">
        <v>1584.6076427551059</v>
      </c>
      <c r="O3" s="74" t="s">
        <v>128</v>
      </c>
      <c r="P3" s="80">
        <f t="shared" si="0"/>
        <v>-3953.8461538461538</v>
      </c>
      <c r="Q3" s="77">
        <v>13</v>
      </c>
      <c r="R3" s="64">
        <v>-51400</v>
      </c>
    </row>
    <row r="4" spans="1:18" x14ac:dyDescent="0.4">
      <c r="A4" s="19" t="s">
        <v>6</v>
      </c>
      <c r="B4" s="137">
        <v>-120.60000000000001</v>
      </c>
      <c r="C4" s="138"/>
      <c r="E4" s="27" t="s">
        <v>68</v>
      </c>
      <c r="F4" s="24" t="s">
        <v>12</v>
      </c>
      <c r="G4" s="12">
        <v>13</v>
      </c>
      <c r="H4" s="88">
        <f>IF(B$20=0,0,G4/B$20)</f>
        <v>0.5</v>
      </c>
      <c r="I4" s="58">
        <v>2</v>
      </c>
      <c r="K4" s="74">
        <v>2</v>
      </c>
      <c r="L4" s="119">
        <v>-13.700000000000003</v>
      </c>
      <c r="M4" s="117">
        <v>1592.2719968985753</v>
      </c>
      <c r="O4" s="74" t="s">
        <v>129</v>
      </c>
      <c r="P4" s="80">
        <f t="shared" si="0"/>
        <v>-907.69230769230774</v>
      </c>
      <c r="Q4" s="77">
        <v>13</v>
      </c>
      <c r="R4" s="64">
        <v>-11800</v>
      </c>
    </row>
    <row r="5" spans="1:18" x14ac:dyDescent="0.4">
      <c r="A5" s="19" t="s">
        <v>7</v>
      </c>
      <c r="B5" s="125">
        <f>IF(B$2=0,0,B$4/B$2)</f>
        <v>-9.2769230769230777</v>
      </c>
      <c r="C5" s="126"/>
      <c r="E5" s="27" t="s">
        <v>158</v>
      </c>
      <c r="F5" s="24" t="s">
        <v>159</v>
      </c>
      <c r="G5" s="12">
        <v>13</v>
      </c>
      <c r="H5" s="88">
        <f>IF(B$20=0,0,G5/B$20)</f>
        <v>0.5</v>
      </c>
      <c r="I5" s="58">
        <v>2</v>
      </c>
      <c r="K5" s="74">
        <v>3</v>
      </c>
      <c r="L5" s="119">
        <v>7.8999999999999986</v>
      </c>
      <c r="M5" s="117">
        <v>1596.4043649171838</v>
      </c>
      <c r="O5" s="74" t="s">
        <v>130</v>
      </c>
      <c r="P5" s="80">
        <f t="shared" si="0"/>
        <v>-2091.6666666666665</v>
      </c>
      <c r="Q5" s="77">
        <v>12</v>
      </c>
      <c r="R5" s="64">
        <v>-25100</v>
      </c>
    </row>
    <row r="6" spans="1:18" x14ac:dyDescent="0.4">
      <c r="A6" s="19" t="s">
        <v>192</v>
      </c>
      <c r="B6" s="129">
        <v>1573.7060279447555</v>
      </c>
      <c r="C6" s="130"/>
      <c r="E6" s="27" t="s">
        <v>67</v>
      </c>
      <c r="F6" s="24" t="s">
        <v>23</v>
      </c>
      <c r="G6" s="12">
        <v>8</v>
      </c>
      <c r="H6" s="88">
        <f>IF(B$20=0,0,G6/B$20)</f>
        <v>0.30769230769230771</v>
      </c>
      <c r="I6" s="58">
        <v>4</v>
      </c>
      <c r="K6" s="74">
        <v>4</v>
      </c>
      <c r="L6" s="119">
        <v>50.4</v>
      </c>
      <c r="M6" s="117">
        <v>1603.6859387276807</v>
      </c>
      <c r="O6" s="74" t="s">
        <v>131</v>
      </c>
      <c r="P6" s="80">
        <f t="shared" si="0"/>
        <v>1441.6666666666667</v>
      </c>
      <c r="Q6" s="77">
        <v>12</v>
      </c>
      <c r="R6" s="64">
        <v>17300</v>
      </c>
    </row>
    <row r="7" spans="1:18" x14ac:dyDescent="0.4">
      <c r="A7" s="19" t="s">
        <v>1</v>
      </c>
      <c r="B7" s="139">
        <f>IF(B$2=0,0,(B$8*1+B$9*2+B$10*3)/B$2)</f>
        <v>2.0769230769230771</v>
      </c>
      <c r="C7" s="140"/>
      <c r="E7" s="27" t="s">
        <v>69</v>
      </c>
      <c r="F7" s="24" t="s">
        <v>24</v>
      </c>
      <c r="G7" s="12">
        <v>8</v>
      </c>
      <c r="H7" s="88">
        <f>IF(B$20=0,0,G7/B$20)</f>
        <v>0.30769230769230771</v>
      </c>
      <c r="I7" s="58">
        <v>1</v>
      </c>
      <c r="K7" s="74">
        <v>5</v>
      </c>
      <c r="L7" s="119">
        <v>81.7</v>
      </c>
      <c r="M7" s="117">
        <v>1609.5138230953146</v>
      </c>
      <c r="O7" s="75" t="s">
        <v>132</v>
      </c>
      <c r="P7" s="81">
        <f t="shared" si="0"/>
        <v>1000</v>
      </c>
      <c r="Q7" s="78">
        <v>10</v>
      </c>
      <c r="R7" s="65">
        <v>10000</v>
      </c>
    </row>
    <row r="8" spans="1:18" x14ac:dyDescent="0.4">
      <c r="A8" s="19" t="s">
        <v>2</v>
      </c>
      <c r="B8" s="12">
        <v>4</v>
      </c>
      <c r="C8" s="6">
        <f t="shared" ref="C8:C15" si="1">IF(B$2=0,0,B8/B$2)</f>
        <v>0.30769230769230771</v>
      </c>
      <c r="E8" s="27" t="s">
        <v>65</v>
      </c>
      <c r="F8" s="24" t="s">
        <v>21</v>
      </c>
      <c r="G8" s="12">
        <v>5</v>
      </c>
      <c r="H8" s="88">
        <f>IF(B$20=0,0,G8/B$20)</f>
        <v>0.19230769230769232</v>
      </c>
      <c r="I8" s="58">
        <v>2</v>
      </c>
      <c r="K8" s="74">
        <v>6</v>
      </c>
      <c r="L8" s="119">
        <v>40.5</v>
      </c>
      <c r="M8" s="117">
        <v>1601.6627401567428</v>
      </c>
      <c r="O8" s="107"/>
      <c r="P8" s="85"/>
      <c r="Q8" s="108"/>
      <c r="R8" s="70"/>
    </row>
    <row r="9" spans="1:18" x14ac:dyDescent="0.4">
      <c r="A9" s="19" t="s">
        <v>3</v>
      </c>
      <c r="B9" s="12">
        <v>4</v>
      </c>
      <c r="C9" s="6">
        <f t="shared" si="1"/>
        <v>0.30769230769230771</v>
      </c>
      <c r="E9" s="27" t="s">
        <v>70</v>
      </c>
      <c r="F9" s="24" t="s">
        <v>25</v>
      </c>
      <c r="G9" s="12">
        <v>5</v>
      </c>
      <c r="H9" s="88">
        <f>IF(B$20=0,0,G9/B$20)</f>
        <v>0.19230769230769232</v>
      </c>
      <c r="I9" s="58">
        <v>2</v>
      </c>
      <c r="K9" s="74">
        <v>7</v>
      </c>
      <c r="L9" s="119">
        <v>-14.5</v>
      </c>
      <c r="M9" s="117">
        <v>1591.9507637158024</v>
      </c>
      <c r="O9" s="72" t="s">
        <v>149</v>
      </c>
      <c r="P9" s="4" t="s">
        <v>120</v>
      </c>
      <c r="Q9" s="106" t="s">
        <v>116</v>
      </c>
      <c r="R9" s="66" t="s">
        <v>147</v>
      </c>
    </row>
    <row r="10" spans="1:18" x14ac:dyDescent="0.4">
      <c r="A10" s="20" t="s">
        <v>4</v>
      </c>
      <c r="B10" s="13">
        <v>5</v>
      </c>
      <c r="C10" s="7">
        <f t="shared" si="1"/>
        <v>0.38461538461538464</v>
      </c>
      <c r="E10" s="27" t="s">
        <v>71</v>
      </c>
      <c r="F10" s="24" t="s">
        <v>26</v>
      </c>
      <c r="G10" s="12">
        <v>4</v>
      </c>
      <c r="H10" s="88">
        <f>IF(B$20=0,0,G10/B$20)</f>
        <v>0.15384615384615385</v>
      </c>
      <c r="I10" s="58">
        <v>1</v>
      </c>
      <c r="K10" s="74">
        <v>8</v>
      </c>
      <c r="L10" s="119">
        <v>-29.2</v>
      </c>
      <c r="M10" s="117">
        <v>1589.7070591335075</v>
      </c>
      <c r="O10" s="73" t="s">
        <v>150</v>
      </c>
      <c r="P10" s="82">
        <f>IF(Q10=0,0,R10/Q10)</f>
        <v>-13.328571428571427</v>
      </c>
      <c r="Q10" s="76">
        <v>7</v>
      </c>
      <c r="R10" s="67">
        <v>-93.3</v>
      </c>
    </row>
    <row r="11" spans="1:18" x14ac:dyDescent="0.4">
      <c r="A11" s="20" t="s">
        <v>183</v>
      </c>
      <c r="B11" s="109">
        <f>IF(B8=0,0,C11/B8)</f>
        <v>34.925000000000004</v>
      </c>
      <c r="C11" s="110">
        <v>139.70000000000002</v>
      </c>
      <c r="E11" s="27" t="s">
        <v>72</v>
      </c>
      <c r="F11" s="24" t="s">
        <v>27</v>
      </c>
      <c r="G11" s="12">
        <v>4</v>
      </c>
      <c r="H11" s="88">
        <f>IF(B$20=0,0,G11/B$20)</f>
        <v>0.15384615384615385</v>
      </c>
      <c r="I11" s="58">
        <v>7</v>
      </c>
      <c r="K11" s="74">
        <v>9</v>
      </c>
      <c r="L11" s="119">
        <v>-55.2</v>
      </c>
      <c r="M11" s="117">
        <v>1585.2928167787065</v>
      </c>
      <c r="O11" s="74" t="s">
        <v>151</v>
      </c>
      <c r="P11" s="83">
        <f>IF(Q11=0,0,R11/Q11)</f>
        <v>-7.75</v>
      </c>
      <c r="Q11" s="77">
        <v>2</v>
      </c>
      <c r="R11" s="68">
        <v>-15.5</v>
      </c>
    </row>
    <row r="12" spans="1:18" x14ac:dyDescent="0.4">
      <c r="A12" s="20" t="s">
        <v>184</v>
      </c>
      <c r="B12" s="109">
        <f>IF(B9=0,0,C12/B9)</f>
        <v>-6.8249999999999993</v>
      </c>
      <c r="C12" s="110">
        <v>-27.299999999999997</v>
      </c>
      <c r="E12" s="27" t="s">
        <v>86</v>
      </c>
      <c r="F12" s="24" t="s">
        <v>41</v>
      </c>
      <c r="G12" s="12">
        <v>3</v>
      </c>
      <c r="H12" s="88">
        <f>IF(B$20=0,0,G12/B$20)</f>
        <v>0.11538461538461539</v>
      </c>
      <c r="I12" s="58">
        <v>1</v>
      </c>
      <c r="K12" s="74">
        <v>10</v>
      </c>
      <c r="L12" s="119">
        <v>-65.900000000000006</v>
      </c>
      <c r="M12" s="117">
        <v>1583.0830598780342</v>
      </c>
      <c r="O12" s="75" t="s">
        <v>152</v>
      </c>
      <c r="P12" s="84">
        <f>IF(Q12=0,0,R12/Q12)</f>
        <v>-2.9499999999999997</v>
      </c>
      <c r="Q12" s="78">
        <v>4</v>
      </c>
      <c r="R12" s="69">
        <v>-11.799999999999999</v>
      </c>
    </row>
    <row r="13" spans="1:18" x14ac:dyDescent="0.4">
      <c r="A13" s="20" t="s">
        <v>185</v>
      </c>
      <c r="B13" s="109">
        <f>IF(B10=0,0,C13/B10)</f>
        <v>-46.6</v>
      </c>
      <c r="C13" s="110">
        <v>-233</v>
      </c>
      <c r="E13" s="27" t="s">
        <v>89</v>
      </c>
      <c r="F13" s="24" t="s">
        <v>44</v>
      </c>
      <c r="G13" s="12">
        <v>3</v>
      </c>
      <c r="H13" s="88">
        <f>IF(B$20=0,0,G13/B$20)</f>
        <v>0.11538461538461539</v>
      </c>
      <c r="I13" s="58">
        <v>4</v>
      </c>
      <c r="K13" s="74">
        <v>11</v>
      </c>
      <c r="L13" s="119">
        <v>-72.300000000000011</v>
      </c>
      <c r="M13" s="117">
        <v>1582.254561518766</v>
      </c>
      <c r="O13" s="103"/>
      <c r="P13" s="71"/>
      <c r="Q13" s="111"/>
      <c r="R13" s="71"/>
    </row>
    <row r="14" spans="1:18" x14ac:dyDescent="0.4">
      <c r="A14" s="20" t="s">
        <v>186</v>
      </c>
      <c r="B14" s="125">
        <f>AVERAGE(B11:B13)</f>
        <v>-6.1666666666666652</v>
      </c>
      <c r="C14" s="126"/>
      <c r="E14" s="27" t="s">
        <v>78</v>
      </c>
      <c r="F14" s="24" t="s">
        <v>33</v>
      </c>
      <c r="G14" s="12">
        <v>2</v>
      </c>
      <c r="H14" s="88">
        <f>IF(B$20=0,0,G14/B$20)</f>
        <v>7.6923076923076927E-2</v>
      </c>
      <c r="I14" s="58">
        <v>1</v>
      </c>
      <c r="K14" s="74">
        <v>12</v>
      </c>
      <c r="L14" s="119">
        <v>-67.800000000000011</v>
      </c>
      <c r="M14" s="117">
        <v>1583.5010341496534</v>
      </c>
      <c r="O14" s="72" t="s">
        <v>146</v>
      </c>
      <c r="P14" s="4" t="s">
        <v>120</v>
      </c>
      <c r="Q14" s="106" t="s">
        <v>116</v>
      </c>
      <c r="R14" s="66" t="s">
        <v>147</v>
      </c>
    </row>
    <row r="15" spans="1:18" x14ac:dyDescent="0.4">
      <c r="A15" s="21" t="s">
        <v>18</v>
      </c>
      <c r="B15" s="14">
        <v>1</v>
      </c>
      <c r="C15" s="9">
        <f t="shared" si="1"/>
        <v>7.6923076923076927E-2</v>
      </c>
      <c r="E15" s="27" t="s">
        <v>73</v>
      </c>
      <c r="F15" s="24" t="s">
        <v>28</v>
      </c>
      <c r="G15" s="12">
        <v>1</v>
      </c>
      <c r="H15" s="88">
        <f>IF(B$20=0,0,G15/B$20)</f>
        <v>3.8461538461538464E-2</v>
      </c>
      <c r="I15" s="58">
        <v>2</v>
      </c>
      <c r="K15" s="74">
        <v>13</v>
      </c>
      <c r="L15" s="119">
        <v>-120.60000000000001</v>
      </c>
      <c r="M15" s="117">
        <v>1573.7060279447555</v>
      </c>
      <c r="O15" s="73" t="s">
        <v>189</v>
      </c>
      <c r="P15" s="82">
        <f>IF(Q15=0,0,R15/Q15)</f>
        <v>8.7374999999999972</v>
      </c>
      <c r="Q15" s="76">
        <v>8</v>
      </c>
      <c r="R15" s="67">
        <v>69.899999999999977</v>
      </c>
    </row>
    <row r="16" spans="1:18" x14ac:dyDescent="0.4">
      <c r="A16" s="22" t="s">
        <v>121</v>
      </c>
      <c r="B16" s="15">
        <v>38</v>
      </c>
      <c r="C16" s="10">
        <f>IF(B$3=0,0,B16/B$3)</f>
        <v>0.35849056603773582</v>
      </c>
      <c r="E16" s="27" t="s">
        <v>81</v>
      </c>
      <c r="F16" s="24" t="s">
        <v>36</v>
      </c>
      <c r="G16" s="12">
        <v>1</v>
      </c>
      <c r="H16" s="88">
        <f>IF(B$20=0,0,G16/B$20)</f>
        <v>3.8461538461538464E-2</v>
      </c>
      <c r="I16" s="58">
        <v>2</v>
      </c>
      <c r="O16" s="74" t="s">
        <v>126</v>
      </c>
      <c r="P16" s="83">
        <f>IF(Q16=0,0,R16/Q16)</f>
        <v>-19.414285714285711</v>
      </c>
      <c r="Q16" s="77">
        <v>7</v>
      </c>
      <c r="R16" s="68">
        <v>-135.89999999999998</v>
      </c>
    </row>
    <row r="17" spans="1:18" x14ac:dyDescent="0.4">
      <c r="A17" s="19" t="s">
        <v>118</v>
      </c>
      <c r="B17" s="12">
        <v>20</v>
      </c>
      <c r="C17" s="6">
        <f>IF(B$3=0,0,B17/B$3)</f>
        <v>0.18867924528301888</v>
      </c>
      <c r="E17" s="27" t="s">
        <v>83</v>
      </c>
      <c r="F17" s="24" t="s">
        <v>38</v>
      </c>
      <c r="G17" s="12">
        <v>1</v>
      </c>
      <c r="H17" s="88">
        <f>IF(B$20=0,0,G17/B$20)</f>
        <v>3.8461538461538464E-2</v>
      </c>
      <c r="I17" s="58">
        <v>3</v>
      </c>
      <c r="O17" s="74" t="s">
        <v>187</v>
      </c>
      <c r="P17" s="83">
        <f>IF(Q17=0,0,R17/Q17)</f>
        <v>-26.890909090909091</v>
      </c>
      <c r="Q17" s="77">
        <v>11</v>
      </c>
      <c r="R17" s="68">
        <v>-295.8</v>
      </c>
    </row>
    <row r="18" spans="1:18" x14ac:dyDescent="0.4">
      <c r="A18" s="18" t="s">
        <v>123</v>
      </c>
      <c r="B18" s="11">
        <f>B24</f>
        <v>19</v>
      </c>
      <c r="C18" s="5">
        <f>IF(B$16=0,0,B18/B$16)</f>
        <v>0.5</v>
      </c>
      <c r="E18" s="27" t="s">
        <v>74</v>
      </c>
      <c r="F18" s="24" t="s">
        <v>29</v>
      </c>
      <c r="G18" s="12">
        <v>0</v>
      </c>
      <c r="H18" s="88">
        <f>IF(B$20=0,0,G18/B$20)</f>
        <v>0</v>
      </c>
      <c r="I18" s="58">
        <v>4</v>
      </c>
    </row>
    <row r="19" spans="1:18" x14ac:dyDescent="0.4">
      <c r="A19" s="18" t="s">
        <v>124</v>
      </c>
      <c r="B19" s="11">
        <f>B25</f>
        <v>3</v>
      </c>
      <c r="C19" s="5">
        <f>IF(B$17=0,0,B19/B$17)</f>
        <v>0.15</v>
      </c>
      <c r="E19" s="27" t="s">
        <v>75</v>
      </c>
      <c r="F19" s="24" t="s">
        <v>30</v>
      </c>
      <c r="G19" s="12">
        <v>0</v>
      </c>
      <c r="H19" s="88">
        <f>IF(B$20=0,0,G19/B$20)</f>
        <v>0</v>
      </c>
      <c r="I19" s="58">
        <v>3</v>
      </c>
    </row>
    <row r="20" spans="1:18" x14ac:dyDescent="0.4">
      <c r="A20" s="18" t="s">
        <v>10</v>
      </c>
      <c r="B20" s="11">
        <f>B23+B22</f>
        <v>26</v>
      </c>
      <c r="C20" s="5">
        <f>IF(B$3=0,0,B20/B$3)</f>
        <v>0.24528301886792453</v>
      </c>
      <c r="E20" s="27" t="s">
        <v>76</v>
      </c>
      <c r="F20" s="24" t="s">
        <v>31</v>
      </c>
      <c r="G20" s="12">
        <v>0</v>
      </c>
      <c r="H20" s="88">
        <f>IF(B$20=0,0,G20/B$20)</f>
        <v>0</v>
      </c>
      <c r="I20" s="58">
        <v>3</v>
      </c>
    </row>
    <row r="21" spans="1:18" x14ac:dyDescent="0.4">
      <c r="A21" s="19" t="s">
        <v>13</v>
      </c>
      <c r="B21" s="12">
        <v>20</v>
      </c>
      <c r="C21" s="6">
        <f>IF(B$3=0,0,B21/B$3)</f>
        <v>0.18867924528301888</v>
      </c>
      <c r="E21" s="27" t="s">
        <v>77</v>
      </c>
      <c r="F21" s="24" t="s">
        <v>32</v>
      </c>
      <c r="G21" s="12">
        <v>0</v>
      </c>
      <c r="H21" s="88">
        <f>IF(B$20=0,0,G21/B$20)</f>
        <v>0</v>
      </c>
      <c r="I21" s="58">
        <v>1</v>
      </c>
    </row>
    <row r="22" spans="1:18" x14ac:dyDescent="0.4">
      <c r="A22" s="19" t="s">
        <v>12</v>
      </c>
      <c r="B22" s="12">
        <v>14</v>
      </c>
      <c r="C22" s="6">
        <f>IF(B$20=0,0,B22/B$20)</f>
        <v>0.53846153846153844</v>
      </c>
      <c r="E22" s="27" t="s">
        <v>79</v>
      </c>
      <c r="F22" s="24" t="s">
        <v>34</v>
      </c>
      <c r="G22" s="12">
        <v>0</v>
      </c>
      <c r="H22" s="88">
        <f>IF(B$20=0,0,G22/B$20)</f>
        <v>0</v>
      </c>
      <c r="I22" s="58">
        <v>3</v>
      </c>
    </row>
    <row r="23" spans="1:18" x14ac:dyDescent="0.4">
      <c r="A23" s="19" t="s">
        <v>11</v>
      </c>
      <c r="B23" s="12">
        <v>12</v>
      </c>
      <c r="C23" s="6">
        <f>IF(B$20=0,0,B23/B$20)</f>
        <v>0.46153846153846156</v>
      </c>
      <c r="E23" s="27" t="s">
        <v>80</v>
      </c>
      <c r="F23" s="24" t="s">
        <v>35</v>
      </c>
      <c r="G23" s="12">
        <v>0</v>
      </c>
      <c r="H23" s="88">
        <f>IF(B$20=0,0,G23/B$20)</f>
        <v>0</v>
      </c>
      <c r="I23" s="58">
        <v>1</v>
      </c>
    </row>
    <row r="24" spans="1:18" x14ac:dyDescent="0.4">
      <c r="A24" s="19" t="s">
        <v>182</v>
      </c>
      <c r="B24" s="12">
        <v>19</v>
      </c>
      <c r="C24" s="6">
        <f>IF(B$20=0,0,B24/B$20)</f>
        <v>0.73076923076923073</v>
      </c>
      <c r="E24" s="27" t="s">
        <v>82</v>
      </c>
      <c r="F24" s="24" t="s">
        <v>37</v>
      </c>
      <c r="G24" s="12">
        <v>0</v>
      </c>
      <c r="H24" s="88">
        <f>IF(B$20=0,0,G24/B$20)</f>
        <v>0</v>
      </c>
      <c r="I24" s="58">
        <v>1</v>
      </c>
    </row>
    <row r="25" spans="1:18" x14ac:dyDescent="0.4">
      <c r="A25" s="19" t="s">
        <v>180</v>
      </c>
      <c r="B25" s="12">
        <v>3</v>
      </c>
      <c r="C25" s="6">
        <f>IF(B$20=0,0,B25/B$20)</f>
        <v>0.11538461538461539</v>
      </c>
      <c r="E25" s="27" t="s">
        <v>84</v>
      </c>
      <c r="F25" s="24" t="s">
        <v>39</v>
      </c>
      <c r="G25" s="12">
        <v>0</v>
      </c>
      <c r="H25" s="88">
        <f>IF(B$20=0,0,G25/B$20)</f>
        <v>0</v>
      </c>
      <c r="I25" s="58">
        <v>1</v>
      </c>
    </row>
    <row r="26" spans="1:18" x14ac:dyDescent="0.4">
      <c r="A26" s="19" t="s">
        <v>181</v>
      </c>
      <c r="B26" s="12">
        <v>4</v>
      </c>
      <c r="C26" s="6">
        <f>IF(B$20=0,0,B26/B$20)</f>
        <v>0.15384615384615385</v>
      </c>
      <c r="E26" s="27" t="s">
        <v>85</v>
      </c>
      <c r="F26" s="24" t="s">
        <v>40</v>
      </c>
      <c r="G26" s="12">
        <v>0</v>
      </c>
      <c r="H26" s="88">
        <f>IF(B$20=0,0,G26/B$20)</f>
        <v>0</v>
      </c>
      <c r="I26" s="58">
        <v>1</v>
      </c>
    </row>
    <row r="27" spans="1:18" x14ac:dyDescent="0.4">
      <c r="A27" s="19" t="s">
        <v>5</v>
      </c>
      <c r="B27" s="16">
        <f>IF(B$20=0,0,C27/B$20)</f>
        <v>8669.2307692307695</v>
      </c>
      <c r="C27" s="8">
        <v>225400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">
      <c r="A28" s="20" t="s">
        <v>164</v>
      </c>
      <c r="B28" s="95">
        <f>IF($B$20-B$19=0,0,C28/($B$20-B$19))</f>
        <v>8582.608695652174</v>
      </c>
      <c r="C28" s="96">
        <v>197400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1</v>
      </c>
    </row>
    <row r="29" spans="1:18" x14ac:dyDescent="0.4">
      <c r="A29" s="20" t="s">
        <v>165</v>
      </c>
      <c r="B29" s="95">
        <f>IF(B$19=0,0,C29/B$19)</f>
        <v>9333.3333333333339</v>
      </c>
      <c r="C29" s="96">
        <v>28000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1</v>
      </c>
    </row>
    <row r="30" spans="1:18" x14ac:dyDescent="0.4">
      <c r="A30" s="20" t="s">
        <v>163</v>
      </c>
      <c r="B30" s="95">
        <f>IF(B$21=0,0,C30/B$21)</f>
        <v>-8410</v>
      </c>
      <c r="C30" s="96">
        <v>-168200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5</v>
      </c>
    </row>
    <row r="31" spans="1:18" x14ac:dyDescent="0.4">
      <c r="A31" s="19" t="s">
        <v>156</v>
      </c>
      <c r="B31" s="12">
        <v>2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1</v>
      </c>
    </row>
    <row r="32" spans="1:18" x14ac:dyDescent="0.4">
      <c r="A32" s="19" t="s">
        <v>157</v>
      </c>
      <c r="B32" s="12">
        <v>17</v>
      </c>
      <c r="C32" s="90">
        <v>1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">
      <c r="A33" s="54" t="s">
        <v>135</v>
      </c>
      <c r="B33" s="127">
        <v>4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3</v>
      </c>
    </row>
    <row r="34" spans="1:9" x14ac:dyDescent="0.4">
      <c r="A34" s="22" t="s">
        <v>179</v>
      </c>
      <c r="B34" s="129">
        <v>59300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136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170</v>
      </c>
      <c r="B37" s="123">
        <v>0</v>
      </c>
      <c r="C37" s="98">
        <f t="shared" ref="C37:C49" si="2">IF(B$20=0,0,B37/B$20)</f>
        <v>0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166</v>
      </c>
      <c r="B38" s="12">
        <v>4</v>
      </c>
      <c r="C38" s="6">
        <f t="shared" si="2"/>
        <v>0.15384615384615385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3</v>
      </c>
    </row>
    <row r="39" spans="1:9" x14ac:dyDescent="0.4">
      <c r="A39" s="19" t="s">
        <v>167</v>
      </c>
      <c r="B39" s="124">
        <v>5</v>
      </c>
      <c r="C39" s="6">
        <f t="shared" si="2"/>
        <v>0.19230769230769232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168</v>
      </c>
      <c r="B40" s="124">
        <v>3</v>
      </c>
      <c r="C40" s="6">
        <f t="shared" si="2"/>
        <v>0.11538461538461539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169</v>
      </c>
      <c r="B41" s="124">
        <v>8</v>
      </c>
      <c r="C41" s="6">
        <f t="shared" si="2"/>
        <v>0.30769230769230771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">
      <c r="A42" s="19" t="s">
        <v>171</v>
      </c>
      <c r="B42" s="124">
        <v>2</v>
      </c>
      <c r="C42" s="6">
        <f t="shared" si="2"/>
        <v>7.6923076923076927E-2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172</v>
      </c>
      <c r="B43" s="124">
        <v>2</v>
      </c>
      <c r="C43" s="6">
        <f t="shared" si="2"/>
        <v>7.6923076923076927E-2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173</v>
      </c>
      <c r="B44" s="124">
        <v>1</v>
      </c>
      <c r="C44" s="6">
        <f t="shared" si="2"/>
        <v>3.8461538461538464E-2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174</v>
      </c>
      <c r="B45" s="124">
        <v>1</v>
      </c>
      <c r="C45" s="6">
        <f t="shared" si="2"/>
        <v>3.8461538461538464E-2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">
      <c r="A46" s="19" t="s">
        <v>175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176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177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178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154</v>
      </c>
      <c r="F51" s="92" t="s">
        <v>155</v>
      </c>
      <c r="G51" s="13">
        <v>0</v>
      </c>
      <c r="H51" s="93">
        <f>IF(B$20=0,0,G51/B$20)</f>
        <v>0</v>
      </c>
      <c r="I51" s="94">
        <v>3</v>
      </c>
    </row>
    <row r="52" spans="1:9" x14ac:dyDescent="0.4">
      <c r="E52" s="28" t="s">
        <v>160</v>
      </c>
      <c r="F52" s="25" t="s">
        <v>161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17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E6CF4-0484-4568-86BB-DC78242EFCD6}">
  <sheetPr codeName="Sheet9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187</v>
      </c>
      <c r="C1" s="132"/>
      <c r="E1" s="104" t="s">
        <v>153</v>
      </c>
      <c r="F1" s="122" t="s">
        <v>115</v>
      </c>
      <c r="G1" s="121" t="s">
        <v>116</v>
      </c>
      <c r="H1" s="86" t="s">
        <v>117</v>
      </c>
      <c r="I1" s="122" t="s">
        <v>145</v>
      </c>
      <c r="K1" s="72" t="s">
        <v>19</v>
      </c>
      <c r="L1" s="4" t="s">
        <v>120</v>
      </c>
      <c r="M1" s="115" t="s">
        <v>193</v>
      </c>
      <c r="N1" s="105"/>
      <c r="O1" s="72" t="s">
        <v>133</v>
      </c>
      <c r="P1" s="4" t="s">
        <v>134</v>
      </c>
      <c r="Q1" s="106" t="s">
        <v>116</v>
      </c>
      <c r="R1" s="62" t="s">
        <v>147</v>
      </c>
    </row>
    <row r="2" spans="1:18" x14ac:dyDescent="0.4">
      <c r="A2" s="18" t="s">
        <v>9</v>
      </c>
      <c r="B2" s="133">
        <v>15</v>
      </c>
      <c r="C2" s="134"/>
      <c r="E2" s="26" t="s">
        <v>66</v>
      </c>
      <c r="F2" s="23" t="s">
        <v>22</v>
      </c>
      <c r="G2" s="11">
        <v>34</v>
      </c>
      <c r="H2" s="87">
        <f>IF(B$20=0,0,G2/B$20)</f>
        <v>0.75555555555555554</v>
      </c>
      <c r="I2" s="57">
        <v>2</v>
      </c>
      <c r="K2" s="73">
        <v>0</v>
      </c>
      <c r="L2" s="118">
        <v>0</v>
      </c>
      <c r="M2" s="116">
        <v>1463.3989422821498</v>
      </c>
      <c r="O2" s="73" t="s">
        <v>127</v>
      </c>
      <c r="P2" s="79">
        <f t="shared" ref="P2:P7" si="0">IF(Q2=0,0,R2/Q2)</f>
        <v>1526.6666666666667</v>
      </c>
      <c r="Q2" s="76">
        <v>15</v>
      </c>
      <c r="R2" s="63">
        <v>22900</v>
      </c>
    </row>
    <row r="3" spans="1:18" x14ac:dyDescent="0.4">
      <c r="A3" s="19" t="s">
        <v>8</v>
      </c>
      <c r="B3" s="135">
        <v>132</v>
      </c>
      <c r="C3" s="136"/>
      <c r="E3" s="27" t="s">
        <v>64</v>
      </c>
      <c r="F3" s="24" t="s">
        <v>20</v>
      </c>
      <c r="G3" s="12">
        <v>27</v>
      </c>
      <c r="H3" s="88">
        <f>IF(B$20=0,0,G3/B$20)</f>
        <v>0.6</v>
      </c>
      <c r="I3" s="58">
        <v>5</v>
      </c>
      <c r="K3" s="74">
        <v>1</v>
      </c>
      <c r="L3" s="119">
        <v>51.5</v>
      </c>
      <c r="M3" s="117">
        <v>1472.8885486284569</v>
      </c>
      <c r="O3" s="74" t="s">
        <v>128</v>
      </c>
      <c r="P3" s="80">
        <f t="shared" si="0"/>
        <v>-660</v>
      </c>
      <c r="Q3" s="77">
        <v>15</v>
      </c>
      <c r="R3" s="64">
        <v>-9900</v>
      </c>
    </row>
    <row r="4" spans="1:18" x14ac:dyDescent="0.4">
      <c r="A4" s="19" t="s">
        <v>6</v>
      </c>
      <c r="B4" s="137">
        <v>161.9</v>
      </c>
      <c r="C4" s="138"/>
      <c r="E4" s="27" t="s">
        <v>72</v>
      </c>
      <c r="F4" s="24" t="s">
        <v>27</v>
      </c>
      <c r="G4" s="12">
        <v>21</v>
      </c>
      <c r="H4" s="88">
        <f>IF(B$20=0,0,G4/B$20)</f>
        <v>0.46666666666666667</v>
      </c>
      <c r="I4" s="58">
        <v>3</v>
      </c>
      <c r="K4" s="74">
        <v>2</v>
      </c>
      <c r="L4" s="119">
        <v>21.3</v>
      </c>
      <c r="M4" s="117">
        <v>1467.6572173366862</v>
      </c>
      <c r="O4" s="74" t="s">
        <v>129</v>
      </c>
      <c r="P4" s="80">
        <f t="shared" si="0"/>
        <v>-273.33333333333331</v>
      </c>
      <c r="Q4" s="77">
        <v>15</v>
      </c>
      <c r="R4" s="64">
        <v>-4100</v>
      </c>
    </row>
    <row r="5" spans="1:18" x14ac:dyDescent="0.4">
      <c r="A5" s="19" t="s">
        <v>7</v>
      </c>
      <c r="B5" s="125">
        <f>IF(B$2=0,0,B$4/B$2)</f>
        <v>10.793333333333333</v>
      </c>
      <c r="C5" s="126"/>
      <c r="E5" s="27" t="s">
        <v>158</v>
      </c>
      <c r="F5" s="24" t="s">
        <v>159</v>
      </c>
      <c r="G5" s="12">
        <v>18</v>
      </c>
      <c r="H5" s="88">
        <f>IF(B$20=0,0,G5/B$20)</f>
        <v>0.4</v>
      </c>
      <c r="I5" s="58">
        <v>7</v>
      </c>
      <c r="K5" s="74">
        <v>3</v>
      </c>
      <c r="L5" s="119">
        <v>-34.299999999999997</v>
      </c>
      <c r="M5" s="117">
        <v>1458.041274032666</v>
      </c>
      <c r="O5" s="74" t="s">
        <v>130</v>
      </c>
      <c r="P5" s="80">
        <f t="shared" si="0"/>
        <v>2400</v>
      </c>
      <c r="Q5" s="77">
        <v>15</v>
      </c>
      <c r="R5" s="64">
        <v>36000</v>
      </c>
    </row>
    <row r="6" spans="1:18" x14ac:dyDescent="0.4">
      <c r="A6" s="19" t="s">
        <v>192</v>
      </c>
      <c r="B6" s="129">
        <v>1502.387739697532</v>
      </c>
      <c r="C6" s="130"/>
      <c r="E6" s="27" t="s">
        <v>68</v>
      </c>
      <c r="F6" s="24" t="s">
        <v>12</v>
      </c>
      <c r="G6" s="12">
        <v>14</v>
      </c>
      <c r="H6" s="88">
        <f>IF(B$20=0,0,G6/B$20)</f>
        <v>0.31111111111111112</v>
      </c>
      <c r="I6" s="58">
        <v>7</v>
      </c>
      <c r="K6" s="74">
        <v>4</v>
      </c>
      <c r="L6" s="119">
        <v>-34.9</v>
      </c>
      <c r="M6" s="117">
        <v>1458.9830263884701</v>
      </c>
      <c r="O6" s="74" t="s">
        <v>131</v>
      </c>
      <c r="P6" s="80">
        <f t="shared" si="0"/>
        <v>-900</v>
      </c>
      <c r="Q6" s="77">
        <v>15</v>
      </c>
      <c r="R6" s="64">
        <v>-13500</v>
      </c>
    </row>
    <row r="7" spans="1:18" x14ac:dyDescent="0.4">
      <c r="A7" s="19" t="s">
        <v>1</v>
      </c>
      <c r="B7" s="139">
        <f>IF(B$2=0,0,(B$8*1+B$9*2+B$10*3)/B$2)</f>
        <v>1.8</v>
      </c>
      <c r="C7" s="140"/>
      <c r="E7" s="27" t="s">
        <v>65</v>
      </c>
      <c r="F7" s="24" t="s">
        <v>21</v>
      </c>
      <c r="G7" s="12">
        <v>9</v>
      </c>
      <c r="H7" s="88">
        <f>IF(B$20=0,0,G7/B$20)</f>
        <v>0.2</v>
      </c>
      <c r="I7" s="58">
        <v>1</v>
      </c>
      <c r="K7" s="74">
        <v>5</v>
      </c>
      <c r="L7" s="119">
        <v>-43.8</v>
      </c>
      <c r="M7" s="117">
        <v>1457.8371282301393</v>
      </c>
      <c r="O7" s="75" t="s">
        <v>132</v>
      </c>
      <c r="P7" s="81">
        <f t="shared" si="0"/>
        <v>2500</v>
      </c>
      <c r="Q7" s="78">
        <v>13</v>
      </c>
      <c r="R7" s="65">
        <v>32500</v>
      </c>
    </row>
    <row r="8" spans="1:18" x14ac:dyDescent="0.4">
      <c r="A8" s="19" t="s">
        <v>2</v>
      </c>
      <c r="B8" s="12">
        <v>7</v>
      </c>
      <c r="C8" s="6">
        <f t="shared" ref="C8:C15" si="1">IF(B$2=0,0,B8/B$2)</f>
        <v>0.46666666666666667</v>
      </c>
      <c r="E8" s="27" t="s">
        <v>67</v>
      </c>
      <c r="F8" s="24" t="s">
        <v>23</v>
      </c>
      <c r="G8" s="12">
        <v>9</v>
      </c>
      <c r="H8" s="88">
        <f>IF(B$20=0,0,G8/B$20)</f>
        <v>0.2</v>
      </c>
      <c r="I8" s="58">
        <v>6</v>
      </c>
      <c r="K8" s="74">
        <v>6</v>
      </c>
      <c r="L8" s="119">
        <v>-42.4</v>
      </c>
      <c r="M8" s="117">
        <v>1459.1581054607584</v>
      </c>
      <c r="O8" s="107"/>
      <c r="P8" s="85"/>
      <c r="Q8" s="108"/>
      <c r="R8" s="70"/>
    </row>
    <row r="9" spans="1:18" x14ac:dyDescent="0.4">
      <c r="A9" s="19" t="s">
        <v>3</v>
      </c>
      <c r="B9" s="12">
        <v>4</v>
      </c>
      <c r="C9" s="6">
        <f t="shared" si="1"/>
        <v>0.26666666666666666</v>
      </c>
      <c r="E9" s="27" t="s">
        <v>69</v>
      </c>
      <c r="F9" s="24" t="s">
        <v>24</v>
      </c>
      <c r="G9" s="12">
        <v>6</v>
      </c>
      <c r="H9" s="88">
        <f>IF(B$20=0,0,G9/B$20)</f>
        <v>0.13333333333333333</v>
      </c>
      <c r="I9" s="58">
        <v>5</v>
      </c>
      <c r="K9" s="74">
        <v>7</v>
      </c>
      <c r="L9" s="119">
        <v>-8.7999999999999972</v>
      </c>
      <c r="M9" s="117">
        <v>1465.6731568279938</v>
      </c>
      <c r="O9" s="72" t="s">
        <v>149</v>
      </c>
      <c r="P9" s="4" t="s">
        <v>120</v>
      </c>
      <c r="Q9" s="106" t="s">
        <v>116</v>
      </c>
      <c r="R9" s="66" t="s">
        <v>147</v>
      </c>
    </row>
    <row r="10" spans="1:18" x14ac:dyDescent="0.4">
      <c r="A10" s="20" t="s">
        <v>4</v>
      </c>
      <c r="B10" s="13">
        <v>4</v>
      </c>
      <c r="C10" s="7">
        <f t="shared" si="1"/>
        <v>0.26666666666666666</v>
      </c>
      <c r="E10" s="27" t="s">
        <v>71</v>
      </c>
      <c r="F10" s="24" t="s">
        <v>26</v>
      </c>
      <c r="G10" s="12">
        <v>5</v>
      </c>
      <c r="H10" s="88">
        <f>IF(B$20=0,0,G10/B$20)</f>
        <v>0.1111111111111111</v>
      </c>
      <c r="I10" s="58">
        <v>3</v>
      </c>
      <c r="K10" s="74">
        <v>8</v>
      </c>
      <c r="L10" s="119">
        <v>-0.99999999999999734</v>
      </c>
      <c r="M10" s="117">
        <v>1467.979117887026</v>
      </c>
      <c r="O10" s="73" t="s">
        <v>150</v>
      </c>
      <c r="P10" s="82">
        <f>IF(Q10=0,0,R10/Q10)</f>
        <v>-30.2</v>
      </c>
      <c r="Q10" s="76">
        <v>1</v>
      </c>
      <c r="R10" s="67">
        <v>-30.2</v>
      </c>
    </row>
    <row r="11" spans="1:18" x14ac:dyDescent="0.4">
      <c r="A11" s="20" t="s">
        <v>183</v>
      </c>
      <c r="B11" s="109">
        <f>IF(B8=0,0,C11/B8)</f>
        <v>48.485714285714288</v>
      </c>
      <c r="C11" s="110">
        <v>339.40000000000003</v>
      </c>
      <c r="E11" s="27" t="s">
        <v>89</v>
      </c>
      <c r="F11" s="24" t="s">
        <v>44</v>
      </c>
      <c r="G11" s="12">
        <v>5</v>
      </c>
      <c r="H11" s="88">
        <f>IF(B$20=0,0,G11/B$20)</f>
        <v>0.1111111111111111</v>
      </c>
      <c r="I11" s="58">
        <v>5</v>
      </c>
      <c r="K11" s="74">
        <v>9</v>
      </c>
      <c r="L11" s="119">
        <v>60.4</v>
      </c>
      <c r="M11" s="117">
        <v>1480.0212431797038</v>
      </c>
      <c r="O11" s="74" t="s">
        <v>151</v>
      </c>
      <c r="P11" s="83">
        <f>IF(Q11=0,0,R11/Q11)</f>
        <v>6.6749999999999989</v>
      </c>
      <c r="Q11" s="77">
        <v>8</v>
      </c>
      <c r="R11" s="68">
        <v>53.399999999999991</v>
      </c>
    </row>
    <row r="12" spans="1:18" x14ac:dyDescent="0.4">
      <c r="A12" s="20" t="s">
        <v>184</v>
      </c>
      <c r="B12" s="109">
        <f>IF(B9=0,0,C12/B9)</f>
        <v>-7.4999999999999956E-2</v>
      </c>
      <c r="C12" s="110">
        <v>-0.29999999999999982</v>
      </c>
      <c r="E12" s="27" t="s">
        <v>70</v>
      </c>
      <c r="F12" s="24" t="s">
        <v>25</v>
      </c>
      <c r="G12" s="12">
        <v>4</v>
      </c>
      <c r="H12" s="88">
        <f>IF(B$20=0,0,G12/B$20)</f>
        <v>8.8888888888888892E-2</v>
      </c>
      <c r="I12" s="58">
        <v>6</v>
      </c>
      <c r="K12" s="74">
        <v>10</v>
      </c>
      <c r="L12" s="119">
        <v>14.399999999999999</v>
      </c>
      <c r="M12" s="117">
        <v>1472.5751157206255</v>
      </c>
      <c r="O12" s="75" t="s">
        <v>152</v>
      </c>
      <c r="P12" s="84">
        <f>IF(Q12=0,0,R12/Q12)</f>
        <v>23.116666666666664</v>
      </c>
      <c r="Q12" s="78">
        <v>6</v>
      </c>
      <c r="R12" s="69">
        <v>138.69999999999999</v>
      </c>
    </row>
    <row r="13" spans="1:18" x14ac:dyDescent="0.4">
      <c r="A13" s="20" t="s">
        <v>185</v>
      </c>
      <c r="B13" s="109">
        <f>IF(B10=0,0,C13/B10)</f>
        <v>-44.300000000000004</v>
      </c>
      <c r="C13" s="110">
        <v>-177.20000000000002</v>
      </c>
      <c r="E13" s="27" t="s">
        <v>83</v>
      </c>
      <c r="F13" s="24" t="s">
        <v>38</v>
      </c>
      <c r="G13" s="12">
        <v>3</v>
      </c>
      <c r="H13" s="88">
        <f>IF(B$20=0,0,G13/B$20)</f>
        <v>6.6666666666666666E-2</v>
      </c>
      <c r="I13" s="58">
        <v>1</v>
      </c>
      <c r="K13" s="74">
        <v>11</v>
      </c>
      <c r="L13" s="119">
        <v>45.7</v>
      </c>
      <c r="M13" s="117">
        <v>1479.1776650263018</v>
      </c>
      <c r="O13" s="103"/>
      <c r="P13" s="71"/>
      <c r="Q13" s="111"/>
      <c r="R13" s="71"/>
    </row>
    <row r="14" spans="1:18" x14ac:dyDescent="0.4">
      <c r="A14" s="20" t="s">
        <v>186</v>
      </c>
      <c r="B14" s="125">
        <f>AVERAGE(B11:B13)</f>
        <v>1.3702380952380935</v>
      </c>
      <c r="C14" s="126"/>
      <c r="E14" s="27" t="s">
        <v>81</v>
      </c>
      <c r="F14" s="24" t="s">
        <v>36</v>
      </c>
      <c r="G14" s="12">
        <v>2</v>
      </c>
      <c r="H14" s="88">
        <f>IF(B$20=0,0,G14/B$20)</f>
        <v>4.4444444444444446E-2</v>
      </c>
      <c r="I14" s="58">
        <v>1</v>
      </c>
      <c r="K14" s="74">
        <v>12</v>
      </c>
      <c r="L14" s="119">
        <v>115.3</v>
      </c>
      <c r="M14" s="117">
        <v>1492.058599036144</v>
      </c>
      <c r="O14" s="72" t="s">
        <v>146</v>
      </c>
      <c r="P14" s="4" t="s">
        <v>120</v>
      </c>
      <c r="Q14" s="106" t="s">
        <v>116</v>
      </c>
      <c r="R14" s="66" t="s">
        <v>147</v>
      </c>
    </row>
    <row r="15" spans="1:18" x14ac:dyDescent="0.4">
      <c r="A15" s="21" t="s">
        <v>18</v>
      </c>
      <c r="B15" s="14">
        <v>1</v>
      </c>
      <c r="C15" s="9">
        <f t="shared" si="1"/>
        <v>6.6666666666666666E-2</v>
      </c>
      <c r="E15" s="27" t="s">
        <v>86</v>
      </c>
      <c r="F15" s="24" t="s">
        <v>41</v>
      </c>
      <c r="G15" s="12">
        <v>2</v>
      </c>
      <c r="H15" s="88">
        <f>IF(B$20=0,0,G15/B$20)</f>
        <v>4.4444444444444446E-2</v>
      </c>
      <c r="I15" s="58">
        <v>5</v>
      </c>
      <c r="K15" s="74">
        <v>13</v>
      </c>
      <c r="L15" s="119">
        <v>69.900000000000006</v>
      </c>
      <c r="M15" s="117">
        <v>1484.7562474419271</v>
      </c>
      <c r="O15" s="73" t="s">
        <v>162</v>
      </c>
      <c r="P15" s="82">
        <f>IF(Q15=0,0,R15/Q15)</f>
        <v>26.890909090909087</v>
      </c>
      <c r="Q15" s="76">
        <v>11</v>
      </c>
      <c r="R15" s="67">
        <v>295.79999999999995</v>
      </c>
    </row>
    <row r="16" spans="1:18" x14ac:dyDescent="0.4">
      <c r="A16" s="22" t="s">
        <v>121</v>
      </c>
      <c r="B16" s="15">
        <v>36</v>
      </c>
      <c r="C16" s="10">
        <f>IF(B$3=0,0,B16/B$3)</f>
        <v>0.27272727272727271</v>
      </c>
      <c r="E16" s="27" t="s">
        <v>73</v>
      </c>
      <c r="F16" s="24" t="s">
        <v>28</v>
      </c>
      <c r="G16" s="12">
        <v>1</v>
      </c>
      <c r="H16" s="88">
        <f>IF(B$20=0,0,G16/B$20)</f>
        <v>2.2222222222222223E-2</v>
      </c>
      <c r="I16" s="58">
        <v>4</v>
      </c>
      <c r="K16" s="74">
        <v>14</v>
      </c>
      <c r="L16" s="119">
        <v>114.80000000000001</v>
      </c>
      <c r="M16" s="117">
        <v>1493.6617099572757</v>
      </c>
      <c r="O16" s="74" t="s">
        <v>189</v>
      </c>
      <c r="P16" s="83">
        <f>IF(Q16=0,0,R16/Q16)</f>
        <v>14.15</v>
      </c>
      <c r="Q16" s="77">
        <v>10</v>
      </c>
      <c r="R16" s="68">
        <v>141.5</v>
      </c>
    </row>
    <row r="17" spans="1:18" x14ac:dyDescent="0.4">
      <c r="A17" s="19" t="s">
        <v>118</v>
      </c>
      <c r="B17" s="12">
        <v>31</v>
      </c>
      <c r="C17" s="6">
        <f>IF(B$3=0,0,B17/B$3)</f>
        <v>0.23484848484848486</v>
      </c>
      <c r="E17" s="27" t="s">
        <v>74</v>
      </c>
      <c r="F17" s="24" t="s">
        <v>29</v>
      </c>
      <c r="G17" s="12">
        <v>1</v>
      </c>
      <c r="H17" s="88">
        <f>IF(B$20=0,0,G17/B$20)</f>
        <v>2.2222222222222223E-2</v>
      </c>
      <c r="I17" s="58">
        <v>1</v>
      </c>
      <c r="K17" s="74">
        <v>15</v>
      </c>
      <c r="L17" s="119">
        <v>161.9</v>
      </c>
      <c r="M17" s="117">
        <v>1502.387739697532</v>
      </c>
      <c r="O17" s="74" t="s">
        <v>126</v>
      </c>
      <c r="P17" s="83">
        <f>IF(Q17=0,0,R17/Q17)</f>
        <v>5.3777777777777782</v>
      </c>
      <c r="Q17" s="77">
        <v>9</v>
      </c>
      <c r="R17" s="68">
        <v>48.400000000000006</v>
      </c>
    </row>
    <row r="18" spans="1:18" x14ac:dyDescent="0.4">
      <c r="A18" s="18" t="s">
        <v>123</v>
      </c>
      <c r="B18" s="11">
        <f>B24</f>
        <v>26</v>
      </c>
      <c r="C18" s="5">
        <f>IF(B$16=0,0,B18/B$16)</f>
        <v>0.72222222222222221</v>
      </c>
      <c r="E18" s="27" t="s">
        <v>78</v>
      </c>
      <c r="F18" s="24" t="s">
        <v>33</v>
      </c>
      <c r="G18" s="12">
        <v>1</v>
      </c>
      <c r="H18" s="88">
        <f>IF(B$20=0,0,G18/B$20)</f>
        <v>2.2222222222222223E-2</v>
      </c>
      <c r="I18" s="58">
        <v>5</v>
      </c>
    </row>
    <row r="19" spans="1:18" x14ac:dyDescent="0.4">
      <c r="A19" s="18" t="s">
        <v>124</v>
      </c>
      <c r="B19" s="11">
        <f>B25</f>
        <v>10</v>
      </c>
      <c r="C19" s="5">
        <f>IF(B$17=0,0,B19/B$17)</f>
        <v>0.32258064516129031</v>
      </c>
      <c r="E19" s="27" t="s">
        <v>75</v>
      </c>
      <c r="F19" s="24" t="s">
        <v>30</v>
      </c>
      <c r="G19" s="12">
        <v>0</v>
      </c>
      <c r="H19" s="88">
        <f>IF(B$20=0,0,G19/B$20)</f>
        <v>0</v>
      </c>
      <c r="I19" s="58">
        <v>3</v>
      </c>
    </row>
    <row r="20" spans="1:18" x14ac:dyDescent="0.4">
      <c r="A20" s="18" t="s">
        <v>10</v>
      </c>
      <c r="B20" s="11">
        <f>B23+B22</f>
        <v>45</v>
      </c>
      <c r="C20" s="5">
        <f>IF(B$3=0,0,B20/B$3)</f>
        <v>0.34090909090909088</v>
      </c>
      <c r="E20" s="27" t="s">
        <v>76</v>
      </c>
      <c r="F20" s="24" t="s">
        <v>31</v>
      </c>
      <c r="G20" s="12">
        <v>0</v>
      </c>
      <c r="H20" s="88">
        <f>IF(B$20=0,0,G20/B$20)</f>
        <v>0</v>
      </c>
      <c r="I20" s="58">
        <v>3</v>
      </c>
    </row>
    <row r="21" spans="1:18" x14ac:dyDescent="0.4">
      <c r="A21" s="19" t="s">
        <v>13</v>
      </c>
      <c r="B21" s="12">
        <v>19</v>
      </c>
      <c r="C21" s="6">
        <f>IF(B$3=0,0,B21/B$3)</f>
        <v>0.14393939393939395</v>
      </c>
      <c r="E21" s="27" t="s">
        <v>77</v>
      </c>
      <c r="F21" s="24" t="s">
        <v>32</v>
      </c>
      <c r="G21" s="12">
        <v>0</v>
      </c>
      <c r="H21" s="88">
        <f>IF(B$20=0,0,G21/B$20)</f>
        <v>0</v>
      </c>
      <c r="I21" s="58">
        <v>1</v>
      </c>
    </row>
    <row r="22" spans="1:18" x14ac:dyDescent="0.4">
      <c r="A22" s="19" t="s">
        <v>12</v>
      </c>
      <c r="B22" s="12">
        <v>22</v>
      </c>
      <c r="C22" s="6">
        <f>IF(B$20=0,0,B22/B$20)</f>
        <v>0.48888888888888887</v>
      </c>
      <c r="E22" s="27" t="s">
        <v>79</v>
      </c>
      <c r="F22" s="24" t="s">
        <v>34</v>
      </c>
      <c r="G22" s="12">
        <v>0</v>
      </c>
      <c r="H22" s="88">
        <f>IF(B$20=0,0,G22/B$20)</f>
        <v>0</v>
      </c>
      <c r="I22" s="58">
        <v>3</v>
      </c>
    </row>
    <row r="23" spans="1:18" x14ac:dyDescent="0.4">
      <c r="A23" s="19" t="s">
        <v>11</v>
      </c>
      <c r="B23" s="12">
        <v>23</v>
      </c>
      <c r="C23" s="6">
        <f>IF(B$20=0,0,B23/B$20)</f>
        <v>0.51111111111111107</v>
      </c>
      <c r="E23" s="27" t="s">
        <v>80</v>
      </c>
      <c r="F23" s="24" t="s">
        <v>35</v>
      </c>
      <c r="G23" s="12">
        <v>0</v>
      </c>
      <c r="H23" s="88">
        <f>IF(B$20=0,0,G23/B$20)</f>
        <v>0</v>
      </c>
      <c r="I23" s="58">
        <v>1</v>
      </c>
    </row>
    <row r="24" spans="1:18" x14ac:dyDescent="0.4">
      <c r="A24" s="19" t="s">
        <v>182</v>
      </c>
      <c r="B24" s="12">
        <v>26</v>
      </c>
      <c r="C24" s="6">
        <f>IF(B$20=0,0,B24/B$20)</f>
        <v>0.57777777777777772</v>
      </c>
      <c r="E24" s="27" t="s">
        <v>82</v>
      </c>
      <c r="F24" s="24" t="s">
        <v>37</v>
      </c>
      <c r="G24" s="12">
        <v>0</v>
      </c>
      <c r="H24" s="88">
        <f>IF(B$20=0,0,G24/B$20)</f>
        <v>0</v>
      </c>
      <c r="I24" s="58">
        <v>1</v>
      </c>
    </row>
    <row r="25" spans="1:18" x14ac:dyDescent="0.4">
      <c r="A25" s="19" t="s">
        <v>180</v>
      </c>
      <c r="B25" s="12">
        <v>10</v>
      </c>
      <c r="C25" s="6">
        <f>IF(B$20=0,0,B25/B$20)</f>
        <v>0.22222222222222221</v>
      </c>
      <c r="E25" s="27" t="s">
        <v>84</v>
      </c>
      <c r="F25" s="24" t="s">
        <v>39</v>
      </c>
      <c r="G25" s="12">
        <v>0</v>
      </c>
      <c r="H25" s="88">
        <f>IF(B$20=0,0,G25/B$20)</f>
        <v>0</v>
      </c>
      <c r="I25" s="58">
        <v>1</v>
      </c>
    </row>
    <row r="26" spans="1:18" x14ac:dyDescent="0.4">
      <c r="A26" s="19" t="s">
        <v>181</v>
      </c>
      <c r="B26" s="12">
        <v>9</v>
      </c>
      <c r="C26" s="6">
        <f>IF(B$20=0,0,B26/B$20)</f>
        <v>0.2</v>
      </c>
      <c r="E26" s="27" t="s">
        <v>85</v>
      </c>
      <c r="F26" s="24" t="s">
        <v>40</v>
      </c>
      <c r="G26" s="12">
        <v>0</v>
      </c>
      <c r="H26" s="88">
        <f>IF(B$20=0,0,G26/B$20)</f>
        <v>0</v>
      </c>
      <c r="I26" s="58">
        <v>1</v>
      </c>
    </row>
    <row r="27" spans="1:18" x14ac:dyDescent="0.4">
      <c r="A27" s="19" t="s">
        <v>5</v>
      </c>
      <c r="B27" s="16">
        <f>IF(B$20=0,0,C27/B$20)</f>
        <v>7735.5555555555557</v>
      </c>
      <c r="C27" s="8">
        <v>348100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">
      <c r="A28" s="20" t="s">
        <v>164</v>
      </c>
      <c r="B28" s="95">
        <f>IF($B$20-B$19=0,0,C28/($B$20-B$19))</f>
        <v>8117.1428571428569</v>
      </c>
      <c r="C28" s="96">
        <v>284100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1</v>
      </c>
    </row>
    <row r="29" spans="1:18" x14ac:dyDescent="0.4">
      <c r="A29" s="20" t="s">
        <v>165</v>
      </c>
      <c r="B29" s="95">
        <f>IF(B$19=0,0,C29/B$19)</f>
        <v>6400</v>
      </c>
      <c r="C29" s="96">
        <v>64000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1</v>
      </c>
    </row>
    <row r="30" spans="1:18" x14ac:dyDescent="0.4">
      <c r="A30" s="20" t="s">
        <v>163</v>
      </c>
      <c r="B30" s="95">
        <f>IF(B$21=0,0,C30/B$21)</f>
        <v>-7010.5263157894733</v>
      </c>
      <c r="C30" s="96">
        <v>-133200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5</v>
      </c>
    </row>
    <row r="31" spans="1:18" x14ac:dyDescent="0.4">
      <c r="A31" s="19" t="s">
        <v>156</v>
      </c>
      <c r="B31" s="12">
        <v>4</v>
      </c>
      <c r="C31" s="90">
        <v>2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1</v>
      </c>
    </row>
    <row r="32" spans="1:18" x14ac:dyDescent="0.4">
      <c r="A32" s="19" t="s">
        <v>157</v>
      </c>
      <c r="B32" s="12">
        <v>15</v>
      </c>
      <c r="C32" s="90">
        <v>10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">
      <c r="A33" s="54" t="s">
        <v>135</v>
      </c>
      <c r="B33" s="127">
        <v>6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3</v>
      </c>
    </row>
    <row r="34" spans="1:9" x14ac:dyDescent="0.4">
      <c r="A34" s="22" t="s">
        <v>179</v>
      </c>
      <c r="B34" s="129">
        <v>84600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136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170</v>
      </c>
      <c r="B37" s="123">
        <v>5</v>
      </c>
      <c r="C37" s="98">
        <f t="shared" ref="C37:C49" si="2">IF(B$20=0,0,B37/B$20)</f>
        <v>0.1111111111111111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166</v>
      </c>
      <c r="B38" s="12">
        <v>8</v>
      </c>
      <c r="C38" s="6">
        <f t="shared" si="2"/>
        <v>0.17777777777777778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3</v>
      </c>
    </row>
    <row r="39" spans="1:9" x14ac:dyDescent="0.4">
      <c r="A39" s="19" t="s">
        <v>167</v>
      </c>
      <c r="B39" s="124">
        <v>7</v>
      </c>
      <c r="C39" s="6">
        <f t="shared" si="2"/>
        <v>0.15555555555555556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168</v>
      </c>
      <c r="B40" s="124">
        <v>12</v>
      </c>
      <c r="C40" s="6">
        <f t="shared" si="2"/>
        <v>0.26666666666666666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169</v>
      </c>
      <c r="B41" s="124">
        <v>3</v>
      </c>
      <c r="C41" s="6">
        <f t="shared" si="2"/>
        <v>6.6666666666666666E-2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">
      <c r="A42" s="19" t="s">
        <v>171</v>
      </c>
      <c r="B42" s="124">
        <v>4</v>
      </c>
      <c r="C42" s="6">
        <f t="shared" si="2"/>
        <v>8.8888888888888892E-2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172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173</v>
      </c>
      <c r="B44" s="124">
        <v>6</v>
      </c>
      <c r="C44" s="6">
        <f t="shared" si="2"/>
        <v>0.13333333333333333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174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">
      <c r="A46" s="19" t="s">
        <v>175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176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177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178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154</v>
      </c>
      <c r="F51" s="92" t="s">
        <v>155</v>
      </c>
      <c r="G51" s="13">
        <v>0</v>
      </c>
      <c r="H51" s="93">
        <f>IF(B$20=0,0,G51/B$20)</f>
        <v>0</v>
      </c>
      <c r="I51" s="94">
        <v>3</v>
      </c>
    </row>
    <row r="52" spans="1:9" x14ac:dyDescent="0.4">
      <c r="E52" s="28" t="s">
        <v>160</v>
      </c>
      <c r="F52" s="25" t="s">
        <v>161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17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C4D9A1-4318-4563-8A2E-199053B53FAC}">
  <sheetPr codeName="Sheet11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189</v>
      </c>
      <c r="C1" s="132"/>
      <c r="E1" s="104" t="s">
        <v>153</v>
      </c>
      <c r="F1" s="122" t="s">
        <v>115</v>
      </c>
      <c r="G1" s="121" t="s">
        <v>116</v>
      </c>
      <c r="H1" s="86" t="s">
        <v>117</v>
      </c>
      <c r="I1" s="122" t="s">
        <v>145</v>
      </c>
      <c r="K1" s="72" t="s">
        <v>19</v>
      </c>
      <c r="L1" s="4" t="s">
        <v>120</v>
      </c>
      <c r="M1" s="115" t="s">
        <v>193</v>
      </c>
      <c r="N1" s="105"/>
      <c r="O1" s="72" t="s">
        <v>133</v>
      </c>
      <c r="P1" s="4" t="s">
        <v>134</v>
      </c>
      <c r="Q1" s="106" t="s">
        <v>116</v>
      </c>
      <c r="R1" s="62" t="s">
        <v>147</v>
      </c>
    </row>
    <row r="2" spans="1:18" x14ac:dyDescent="0.4">
      <c r="A2" s="18" t="s">
        <v>9</v>
      </c>
      <c r="B2" s="133">
        <v>19</v>
      </c>
      <c r="C2" s="134"/>
      <c r="E2" s="26" t="s">
        <v>66</v>
      </c>
      <c r="F2" s="23" t="s">
        <v>22</v>
      </c>
      <c r="G2" s="11">
        <v>43</v>
      </c>
      <c r="H2" s="87">
        <f>IF(B$20=0,0,G2/B$20)</f>
        <v>0.89583333333333337</v>
      </c>
      <c r="I2" s="57">
        <v>1</v>
      </c>
      <c r="K2" s="73">
        <v>0</v>
      </c>
      <c r="L2" s="118">
        <v>0</v>
      </c>
      <c r="M2" s="116">
        <v>1546.9221135131666</v>
      </c>
      <c r="O2" s="73" t="s">
        <v>127</v>
      </c>
      <c r="P2" s="79">
        <f t="shared" ref="P2:P7" si="0">IF(Q2=0,0,R2/Q2)</f>
        <v>-2047.3684210526317</v>
      </c>
      <c r="Q2" s="76">
        <v>19</v>
      </c>
      <c r="R2" s="63">
        <v>-38900</v>
      </c>
    </row>
    <row r="3" spans="1:18" x14ac:dyDescent="0.4">
      <c r="A3" s="19" t="s">
        <v>8</v>
      </c>
      <c r="B3" s="135">
        <v>160</v>
      </c>
      <c r="C3" s="136"/>
      <c r="E3" s="27" t="s">
        <v>72</v>
      </c>
      <c r="F3" s="24" t="s">
        <v>27</v>
      </c>
      <c r="G3" s="12">
        <v>25</v>
      </c>
      <c r="H3" s="88">
        <f>IF(B$20=0,0,G3/B$20)</f>
        <v>0.52083333333333337</v>
      </c>
      <c r="I3" s="58">
        <v>1</v>
      </c>
      <c r="K3" s="74">
        <v>1</v>
      </c>
      <c r="L3" s="119">
        <v>6.5</v>
      </c>
      <c r="M3" s="117">
        <v>1547.8105808320875</v>
      </c>
      <c r="O3" s="74" t="s">
        <v>128</v>
      </c>
      <c r="P3" s="80">
        <f t="shared" si="0"/>
        <v>3336.8421052631579</v>
      </c>
      <c r="Q3" s="77">
        <v>19</v>
      </c>
      <c r="R3" s="64">
        <v>63400</v>
      </c>
    </row>
    <row r="4" spans="1:18" x14ac:dyDescent="0.4">
      <c r="A4" s="19" t="s">
        <v>6</v>
      </c>
      <c r="B4" s="137">
        <v>-153.5</v>
      </c>
      <c r="C4" s="138"/>
      <c r="E4" s="27" t="s">
        <v>158</v>
      </c>
      <c r="F4" s="24" t="s">
        <v>159</v>
      </c>
      <c r="G4" s="12">
        <v>23</v>
      </c>
      <c r="H4" s="88">
        <f>IF(B$20=0,0,G4/B$20)</f>
        <v>0.47916666666666669</v>
      </c>
      <c r="I4" s="58">
        <v>4</v>
      </c>
      <c r="K4" s="74">
        <v>2</v>
      </c>
      <c r="L4" s="119">
        <v>5.9</v>
      </c>
      <c r="M4" s="117">
        <v>1547.457717347095</v>
      </c>
      <c r="O4" s="74" t="s">
        <v>129</v>
      </c>
      <c r="P4" s="80">
        <f t="shared" si="0"/>
        <v>673.68421052631584</v>
      </c>
      <c r="Q4" s="77">
        <v>19</v>
      </c>
      <c r="R4" s="64">
        <v>12800</v>
      </c>
    </row>
    <row r="5" spans="1:18" x14ac:dyDescent="0.4">
      <c r="A5" s="19" t="s">
        <v>7</v>
      </c>
      <c r="B5" s="125">
        <f>IF(B$2=0,0,B$4/B$2)</f>
        <v>-8.0789473684210531</v>
      </c>
      <c r="C5" s="126"/>
      <c r="E5" s="27" t="s">
        <v>64</v>
      </c>
      <c r="F5" s="24" t="s">
        <v>20</v>
      </c>
      <c r="G5" s="12">
        <v>20</v>
      </c>
      <c r="H5" s="88">
        <f>IF(B$20=0,0,G5/B$20)</f>
        <v>0.41666666666666669</v>
      </c>
      <c r="I5" s="58">
        <v>7</v>
      </c>
      <c r="K5" s="74">
        <v>3</v>
      </c>
      <c r="L5" s="119">
        <v>17.200000000000003</v>
      </c>
      <c r="M5" s="117">
        <v>1549.4049710430124</v>
      </c>
      <c r="O5" s="74" t="s">
        <v>130</v>
      </c>
      <c r="P5" s="80">
        <f t="shared" si="0"/>
        <v>-911.11111111111109</v>
      </c>
      <c r="Q5" s="77">
        <v>18</v>
      </c>
      <c r="R5" s="64">
        <v>-16400</v>
      </c>
    </row>
    <row r="6" spans="1:18" x14ac:dyDescent="0.4">
      <c r="A6" s="19" t="s">
        <v>192</v>
      </c>
      <c r="B6" s="129">
        <v>1524.3449836312868</v>
      </c>
      <c r="C6" s="130"/>
      <c r="E6" s="27" t="s">
        <v>68</v>
      </c>
      <c r="F6" s="24" t="s">
        <v>12</v>
      </c>
      <c r="G6" s="12">
        <v>16</v>
      </c>
      <c r="H6" s="88">
        <f>IF(B$20=0,0,G6/B$20)</f>
        <v>0.33333333333333331</v>
      </c>
      <c r="I6" s="58">
        <v>4</v>
      </c>
      <c r="K6" s="74">
        <v>4</v>
      </c>
      <c r="L6" s="119">
        <v>-16.399999999999999</v>
      </c>
      <c r="M6" s="117">
        <v>1543.2705412167543</v>
      </c>
      <c r="O6" s="74" t="s">
        <v>131</v>
      </c>
      <c r="P6" s="80">
        <f t="shared" si="0"/>
        <v>-2333.3333333333335</v>
      </c>
      <c r="Q6" s="77">
        <v>18</v>
      </c>
      <c r="R6" s="64">
        <v>-42000</v>
      </c>
    </row>
    <row r="7" spans="1:18" x14ac:dyDescent="0.4">
      <c r="A7" s="19" t="s">
        <v>1</v>
      </c>
      <c r="B7" s="139">
        <f>IF(B$2=0,0,(B$8*1+B$9*2+B$10*3)/B$2)</f>
        <v>2.2105263157894739</v>
      </c>
      <c r="C7" s="140"/>
      <c r="E7" s="27" t="s">
        <v>69</v>
      </c>
      <c r="F7" s="24" t="s">
        <v>24</v>
      </c>
      <c r="G7" s="12">
        <v>5</v>
      </c>
      <c r="H7" s="88">
        <f>IF(B$20=0,0,G7/B$20)</f>
        <v>0.10416666666666667</v>
      </c>
      <c r="I7" s="58">
        <v>7</v>
      </c>
      <c r="K7" s="74">
        <v>5</v>
      </c>
      <c r="L7" s="119">
        <v>-8.7999999999999989</v>
      </c>
      <c r="M7" s="117">
        <v>1544.6009179694538</v>
      </c>
      <c r="O7" s="75" t="s">
        <v>132</v>
      </c>
      <c r="P7" s="81">
        <f t="shared" si="0"/>
        <v>-2853.3333333333335</v>
      </c>
      <c r="Q7" s="78">
        <v>15</v>
      </c>
      <c r="R7" s="65">
        <v>-42800</v>
      </c>
    </row>
    <row r="8" spans="1:18" x14ac:dyDescent="0.4">
      <c r="A8" s="19" t="s">
        <v>2</v>
      </c>
      <c r="B8" s="12">
        <v>4</v>
      </c>
      <c r="C8" s="6">
        <f t="shared" ref="C8:C15" si="1">IF(B$2=0,0,B8/B$2)</f>
        <v>0.21052631578947367</v>
      </c>
      <c r="E8" s="27" t="s">
        <v>65</v>
      </c>
      <c r="F8" s="24" t="s">
        <v>21</v>
      </c>
      <c r="G8" s="12">
        <v>4</v>
      </c>
      <c r="H8" s="88">
        <f>IF(B$20=0,0,G8/B$20)</f>
        <v>8.3333333333333329E-2</v>
      </c>
      <c r="I8" s="58">
        <v>7</v>
      </c>
      <c r="K8" s="74">
        <v>6</v>
      </c>
      <c r="L8" s="119">
        <v>22.1</v>
      </c>
      <c r="M8" s="117">
        <v>1550.591312461637</v>
      </c>
      <c r="O8" s="107"/>
      <c r="P8" s="85"/>
      <c r="Q8" s="108"/>
      <c r="R8" s="70"/>
    </row>
    <row r="9" spans="1:18" x14ac:dyDescent="0.4">
      <c r="A9" s="19" t="s">
        <v>3</v>
      </c>
      <c r="B9" s="12">
        <v>7</v>
      </c>
      <c r="C9" s="6">
        <f t="shared" si="1"/>
        <v>0.36842105263157893</v>
      </c>
      <c r="E9" s="27" t="s">
        <v>67</v>
      </c>
      <c r="F9" s="24" t="s">
        <v>23</v>
      </c>
      <c r="G9" s="12">
        <v>4</v>
      </c>
      <c r="H9" s="88">
        <f>IF(B$20=0,0,G9/B$20)</f>
        <v>8.3333333333333329E-2</v>
      </c>
      <c r="I9" s="58">
        <v>7</v>
      </c>
      <c r="K9" s="74">
        <v>7</v>
      </c>
      <c r="L9" s="119">
        <v>68.900000000000006</v>
      </c>
      <c r="M9" s="117">
        <v>1559.4257645868672</v>
      </c>
      <c r="O9" s="72" t="s">
        <v>149</v>
      </c>
      <c r="P9" s="4" t="s">
        <v>120</v>
      </c>
      <c r="Q9" s="106" t="s">
        <v>116</v>
      </c>
      <c r="R9" s="66" t="s">
        <v>147</v>
      </c>
    </row>
    <row r="10" spans="1:18" x14ac:dyDescent="0.4">
      <c r="A10" s="20" t="s">
        <v>4</v>
      </c>
      <c r="B10" s="13">
        <v>8</v>
      </c>
      <c r="C10" s="7">
        <f t="shared" si="1"/>
        <v>0.42105263157894735</v>
      </c>
      <c r="E10" s="27" t="s">
        <v>70</v>
      </c>
      <c r="F10" s="24" t="s">
        <v>25</v>
      </c>
      <c r="G10" s="12">
        <v>4</v>
      </c>
      <c r="H10" s="88">
        <f>IF(B$20=0,0,G10/B$20)</f>
        <v>8.3333333333333329E-2</v>
      </c>
      <c r="I10" s="58">
        <v>7</v>
      </c>
      <c r="K10" s="74">
        <v>8</v>
      </c>
      <c r="L10" s="119">
        <v>11.300000000000004</v>
      </c>
      <c r="M10" s="117">
        <v>1549.655209999346</v>
      </c>
      <c r="O10" s="73" t="s">
        <v>150</v>
      </c>
      <c r="P10" s="82">
        <f>IF(Q10=0,0,R10/Q10)</f>
        <v>-25.016666666666666</v>
      </c>
      <c r="Q10" s="76">
        <v>6</v>
      </c>
      <c r="R10" s="67">
        <v>-150.1</v>
      </c>
    </row>
    <row r="11" spans="1:18" x14ac:dyDescent="0.4">
      <c r="A11" s="20" t="s">
        <v>183</v>
      </c>
      <c r="B11" s="109">
        <f>IF(B8=0,0,C11/B8)</f>
        <v>47.625</v>
      </c>
      <c r="C11" s="110">
        <v>190.5</v>
      </c>
      <c r="E11" s="27" t="s">
        <v>89</v>
      </c>
      <c r="F11" s="24" t="s">
        <v>44</v>
      </c>
      <c r="G11" s="12">
        <v>4</v>
      </c>
      <c r="H11" s="88">
        <f>IF(B$20=0,0,G11/B$20)</f>
        <v>8.3333333333333329E-2</v>
      </c>
      <c r="I11" s="58">
        <v>7</v>
      </c>
      <c r="K11" s="74">
        <v>9</v>
      </c>
      <c r="L11" s="119">
        <v>-47.599999999999994</v>
      </c>
      <c r="M11" s="117">
        <v>1538.98327873935</v>
      </c>
      <c r="O11" s="74" t="s">
        <v>151</v>
      </c>
      <c r="P11" s="83">
        <f>IF(Q11=0,0,R11/Q11)</f>
        <v>1.4285714285713727E-2</v>
      </c>
      <c r="Q11" s="77">
        <v>7</v>
      </c>
      <c r="R11" s="68">
        <v>9.9999999999996092E-2</v>
      </c>
    </row>
    <row r="12" spans="1:18" x14ac:dyDescent="0.4">
      <c r="A12" s="20" t="s">
        <v>184</v>
      </c>
      <c r="B12" s="109">
        <f>IF(B9=0,0,C12/B9)</f>
        <v>1.6000000000000008</v>
      </c>
      <c r="C12" s="110">
        <v>11.200000000000005</v>
      </c>
      <c r="E12" s="27" t="s">
        <v>71</v>
      </c>
      <c r="F12" s="24" t="s">
        <v>26</v>
      </c>
      <c r="G12" s="12">
        <v>3</v>
      </c>
      <c r="H12" s="88">
        <f>IF(B$20=0,0,G12/B$20)</f>
        <v>6.25E-2</v>
      </c>
      <c r="I12" s="58">
        <v>6</v>
      </c>
      <c r="K12" s="74">
        <v>10</v>
      </c>
      <c r="L12" s="119">
        <v>-84.6</v>
      </c>
      <c r="M12" s="117">
        <v>1533.0193790669139</v>
      </c>
      <c r="O12" s="75" t="s">
        <v>152</v>
      </c>
      <c r="P12" s="84">
        <f>IF(Q12=0,0,R12/Q12)</f>
        <v>-0.58333333333333337</v>
      </c>
      <c r="Q12" s="78">
        <v>6</v>
      </c>
      <c r="R12" s="69">
        <v>-3.5</v>
      </c>
    </row>
    <row r="13" spans="1:18" x14ac:dyDescent="0.4">
      <c r="A13" s="20" t="s">
        <v>185</v>
      </c>
      <c r="B13" s="109">
        <f>IF(B10=0,0,C13/B10)</f>
        <v>-44.400000000000006</v>
      </c>
      <c r="C13" s="110">
        <v>-355.20000000000005</v>
      </c>
      <c r="E13" s="27" t="s">
        <v>78</v>
      </c>
      <c r="F13" s="24" t="s">
        <v>33</v>
      </c>
      <c r="G13" s="12">
        <v>3</v>
      </c>
      <c r="H13" s="88">
        <f>IF(B$20=0,0,G13/B$20)</f>
        <v>6.25E-2</v>
      </c>
      <c r="I13" s="58">
        <v>2</v>
      </c>
      <c r="K13" s="74">
        <v>11</v>
      </c>
      <c r="L13" s="119">
        <v>-128</v>
      </c>
      <c r="M13" s="117">
        <v>1525.7412627925123</v>
      </c>
      <c r="O13" s="103"/>
      <c r="P13" s="71"/>
      <c r="Q13" s="111"/>
      <c r="R13" s="71"/>
    </row>
    <row r="14" spans="1:18" x14ac:dyDescent="0.4">
      <c r="A14" s="20" t="s">
        <v>186</v>
      </c>
      <c r="B14" s="125">
        <f>AVERAGE(B11:B13)</f>
        <v>1.6083333333333318</v>
      </c>
      <c r="C14" s="126"/>
      <c r="E14" s="27" t="s">
        <v>83</v>
      </c>
      <c r="F14" s="24" t="s">
        <v>38</v>
      </c>
      <c r="G14" s="12">
        <v>2</v>
      </c>
      <c r="H14" s="88">
        <f>IF(B$20=0,0,G14/B$20)</f>
        <v>4.1666666666666664E-2</v>
      </c>
      <c r="I14" s="58">
        <v>2</v>
      </c>
      <c r="K14" s="74">
        <v>12</v>
      </c>
      <c r="L14" s="119">
        <v>-122.3</v>
      </c>
      <c r="M14" s="117">
        <v>1526.8228152157571</v>
      </c>
      <c r="O14" s="72" t="s">
        <v>146</v>
      </c>
      <c r="P14" s="4" t="s">
        <v>120</v>
      </c>
      <c r="Q14" s="106" t="s">
        <v>116</v>
      </c>
      <c r="R14" s="66" t="s">
        <v>147</v>
      </c>
    </row>
    <row r="15" spans="1:18" x14ac:dyDescent="0.4">
      <c r="A15" s="21" t="s">
        <v>18</v>
      </c>
      <c r="B15" s="14">
        <v>2</v>
      </c>
      <c r="C15" s="9">
        <f t="shared" si="1"/>
        <v>0.10526315789473684</v>
      </c>
      <c r="E15" s="27" t="s">
        <v>86</v>
      </c>
      <c r="F15" s="24" t="s">
        <v>41</v>
      </c>
      <c r="G15" s="12">
        <v>2</v>
      </c>
      <c r="H15" s="88">
        <f>IF(B$20=0,0,G15/B$20)</f>
        <v>4.1666666666666664E-2</v>
      </c>
      <c r="I15" s="58">
        <v>6</v>
      </c>
      <c r="K15" s="74">
        <v>13</v>
      </c>
      <c r="L15" s="119">
        <v>-132.5</v>
      </c>
      <c r="M15" s="117">
        <v>1525.3958783244625</v>
      </c>
      <c r="O15" s="73" t="s">
        <v>162</v>
      </c>
      <c r="P15" s="82">
        <f>IF(Q15=0,0,R15/Q15)</f>
        <v>-8.7374999999999972</v>
      </c>
      <c r="Q15" s="76">
        <v>8</v>
      </c>
      <c r="R15" s="67">
        <v>-69.899999999999977</v>
      </c>
    </row>
    <row r="16" spans="1:18" x14ac:dyDescent="0.4">
      <c r="A16" s="22" t="s">
        <v>121</v>
      </c>
      <c r="B16" s="15">
        <v>32</v>
      </c>
      <c r="C16" s="10">
        <f>IF(B$3=0,0,B16/B$3)</f>
        <v>0.2</v>
      </c>
      <c r="E16" s="27" t="s">
        <v>73</v>
      </c>
      <c r="F16" s="24" t="s">
        <v>28</v>
      </c>
      <c r="G16" s="12">
        <v>1</v>
      </c>
      <c r="H16" s="88">
        <f>IF(B$20=0,0,G16/B$20)</f>
        <v>2.0833333333333332E-2</v>
      </c>
      <c r="I16" s="58">
        <v>5</v>
      </c>
      <c r="K16" s="74">
        <v>14</v>
      </c>
      <c r="L16" s="119">
        <v>-165.5</v>
      </c>
      <c r="M16" s="117">
        <v>1519.8735030545158</v>
      </c>
      <c r="O16" s="74" t="s">
        <v>191</v>
      </c>
      <c r="P16" s="83">
        <f>IF(Q16=0,0,R16/Q16)</f>
        <v>-8.9285714285714324</v>
      </c>
      <c r="Q16" s="77">
        <v>7</v>
      </c>
      <c r="R16" s="68">
        <v>-62.500000000000021</v>
      </c>
    </row>
    <row r="17" spans="1:18" x14ac:dyDescent="0.4">
      <c r="A17" s="19" t="s">
        <v>118</v>
      </c>
      <c r="B17" s="12">
        <v>31</v>
      </c>
      <c r="C17" s="6">
        <f>IF(B$3=0,0,B17/B$3)</f>
        <v>0.19375000000000001</v>
      </c>
      <c r="E17" s="27" t="s">
        <v>74</v>
      </c>
      <c r="F17" s="24" t="s">
        <v>29</v>
      </c>
      <c r="G17" s="12">
        <v>1</v>
      </c>
      <c r="H17" s="88">
        <f>IF(B$20=0,0,G17/B$20)</f>
        <v>2.0833333333333332E-2</v>
      </c>
      <c r="I17" s="58">
        <v>2</v>
      </c>
      <c r="K17" s="74">
        <v>15</v>
      </c>
      <c r="L17" s="119">
        <v>-119.8</v>
      </c>
      <c r="M17" s="117">
        <v>1528.5502620361888</v>
      </c>
      <c r="O17" s="74" t="s">
        <v>187</v>
      </c>
      <c r="P17" s="83">
        <f>IF(Q17=0,0,R17/Q17)</f>
        <v>-14.15</v>
      </c>
      <c r="Q17" s="77">
        <v>10</v>
      </c>
      <c r="R17" s="68">
        <v>-141.5</v>
      </c>
    </row>
    <row r="18" spans="1:18" x14ac:dyDescent="0.4">
      <c r="A18" s="18" t="s">
        <v>123</v>
      </c>
      <c r="B18" s="11">
        <f>B24</f>
        <v>20</v>
      </c>
      <c r="C18" s="5">
        <f>IF(B$16=0,0,B18/B$16)</f>
        <v>0.625</v>
      </c>
      <c r="E18" s="27" t="s">
        <v>81</v>
      </c>
      <c r="F18" s="24" t="s">
        <v>36</v>
      </c>
      <c r="G18" s="12">
        <v>1</v>
      </c>
      <c r="H18" s="88">
        <f>IF(B$20=0,0,G18/B$20)</f>
        <v>2.0833333333333332E-2</v>
      </c>
      <c r="I18" s="58">
        <v>3</v>
      </c>
      <c r="K18" s="74">
        <v>16</v>
      </c>
      <c r="L18" s="119">
        <v>-171.4</v>
      </c>
      <c r="M18" s="117">
        <v>1519.6669604639717</v>
      </c>
      <c r="O18" s="74" t="s">
        <v>126</v>
      </c>
      <c r="P18" s="83">
        <f>IF(Q18=0,0,R18/Q18)</f>
        <v>-14.353846153846158</v>
      </c>
      <c r="Q18" s="77">
        <v>13</v>
      </c>
      <c r="R18" s="68">
        <v>-186.60000000000005</v>
      </c>
    </row>
    <row r="19" spans="1:18" x14ac:dyDescent="0.4">
      <c r="A19" s="18" t="s">
        <v>124</v>
      </c>
      <c r="B19" s="11">
        <f>B25</f>
        <v>11</v>
      </c>
      <c r="C19" s="5">
        <f>IF(B$17=0,0,B19/B$17)</f>
        <v>0.35483870967741937</v>
      </c>
      <c r="E19" s="27" t="s">
        <v>91</v>
      </c>
      <c r="F19" s="24" t="s">
        <v>46</v>
      </c>
      <c r="G19" s="12">
        <v>1</v>
      </c>
      <c r="H19" s="88">
        <f>IF(B$20=0,0,G19/B$20)</f>
        <v>2.0833333333333332E-2</v>
      </c>
      <c r="I19" s="58">
        <v>2</v>
      </c>
      <c r="K19" s="74">
        <v>17</v>
      </c>
      <c r="L19" s="119">
        <v>-211.5</v>
      </c>
      <c r="M19" s="117">
        <v>1512.9009587011878</v>
      </c>
    </row>
    <row r="20" spans="1:18" x14ac:dyDescent="0.4">
      <c r="A20" s="18" t="s">
        <v>10</v>
      </c>
      <c r="B20" s="11">
        <f>B23+B22</f>
        <v>48</v>
      </c>
      <c r="C20" s="5">
        <f>IF(B$3=0,0,B20/B$3)</f>
        <v>0.3</v>
      </c>
      <c r="E20" s="27" t="s">
        <v>94</v>
      </c>
      <c r="F20" s="24" t="s">
        <v>49</v>
      </c>
      <c r="G20" s="12">
        <v>1</v>
      </c>
      <c r="H20" s="88">
        <f>IF(B$20=0,0,G20/B$20)</f>
        <v>2.0833333333333332E-2</v>
      </c>
      <c r="I20" s="58">
        <v>1</v>
      </c>
      <c r="K20" s="74">
        <v>18</v>
      </c>
      <c r="L20" s="119">
        <v>-220.6</v>
      </c>
      <c r="M20" s="117">
        <v>1511.7615529489808</v>
      </c>
    </row>
    <row r="21" spans="1:18" x14ac:dyDescent="0.4">
      <c r="A21" s="19" t="s">
        <v>13</v>
      </c>
      <c r="B21" s="12">
        <v>23</v>
      </c>
      <c r="C21" s="6">
        <f>IF(B$3=0,0,B21/B$3)</f>
        <v>0.14374999999999999</v>
      </c>
      <c r="E21" s="27" t="s">
        <v>75</v>
      </c>
      <c r="F21" s="24" t="s">
        <v>30</v>
      </c>
      <c r="G21" s="12">
        <v>0</v>
      </c>
      <c r="H21" s="88">
        <f>IF(B$20=0,0,G21/B$20)</f>
        <v>0</v>
      </c>
      <c r="I21" s="58">
        <v>3</v>
      </c>
      <c r="K21" s="74">
        <v>19</v>
      </c>
      <c r="L21" s="119">
        <v>-153.5</v>
      </c>
      <c r="M21" s="117">
        <v>1524.3449836312868</v>
      </c>
    </row>
    <row r="22" spans="1:18" x14ac:dyDescent="0.4">
      <c r="A22" s="19" t="s">
        <v>12</v>
      </c>
      <c r="B22" s="12">
        <v>20</v>
      </c>
      <c r="C22" s="6">
        <f>IF(B$20=0,0,B22/B$20)</f>
        <v>0.41666666666666669</v>
      </c>
      <c r="E22" s="27" t="s">
        <v>76</v>
      </c>
      <c r="F22" s="24" t="s">
        <v>31</v>
      </c>
      <c r="G22" s="12">
        <v>0</v>
      </c>
      <c r="H22" s="88">
        <f>IF(B$20=0,0,G22/B$20)</f>
        <v>0</v>
      </c>
      <c r="I22" s="58">
        <v>3</v>
      </c>
    </row>
    <row r="23" spans="1:18" x14ac:dyDescent="0.4">
      <c r="A23" s="19" t="s">
        <v>11</v>
      </c>
      <c r="B23" s="12">
        <v>28</v>
      </c>
      <c r="C23" s="6">
        <f>IF(B$20=0,0,B23/B$20)</f>
        <v>0.58333333333333337</v>
      </c>
      <c r="E23" s="27" t="s">
        <v>77</v>
      </c>
      <c r="F23" s="24" t="s">
        <v>32</v>
      </c>
      <c r="G23" s="12">
        <v>0</v>
      </c>
      <c r="H23" s="88">
        <f>IF(B$20=0,0,G23/B$20)</f>
        <v>0</v>
      </c>
      <c r="I23" s="58">
        <v>1</v>
      </c>
    </row>
    <row r="24" spans="1:18" x14ac:dyDescent="0.4">
      <c r="A24" s="19" t="s">
        <v>182</v>
      </c>
      <c r="B24" s="12">
        <v>20</v>
      </c>
      <c r="C24" s="6">
        <f>IF(B$20=0,0,B24/B$20)</f>
        <v>0.41666666666666669</v>
      </c>
      <c r="E24" s="27" t="s">
        <v>79</v>
      </c>
      <c r="F24" s="24" t="s">
        <v>34</v>
      </c>
      <c r="G24" s="12">
        <v>0</v>
      </c>
      <c r="H24" s="88">
        <f>IF(B$20=0,0,G24/B$20)</f>
        <v>0</v>
      </c>
      <c r="I24" s="58">
        <v>3</v>
      </c>
    </row>
    <row r="25" spans="1:18" x14ac:dyDescent="0.4">
      <c r="A25" s="19" t="s">
        <v>180</v>
      </c>
      <c r="B25" s="12">
        <v>11</v>
      </c>
      <c r="C25" s="6">
        <f>IF(B$20=0,0,B25/B$20)</f>
        <v>0.22916666666666666</v>
      </c>
      <c r="E25" s="27" t="s">
        <v>80</v>
      </c>
      <c r="F25" s="24" t="s">
        <v>35</v>
      </c>
      <c r="G25" s="12">
        <v>0</v>
      </c>
      <c r="H25" s="88">
        <f>IF(B$20=0,0,G25/B$20)</f>
        <v>0</v>
      </c>
      <c r="I25" s="58">
        <v>1</v>
      </c>
    </row>
    <row r="26" spans="1:18" x14ac:dyDescent="0.4">
      <c r="A26" s="19" t="s">
        <v>181</v>
      </c>
      <c r="B26" s="12">
        <v>17</v>
      </c>
      <c r="C26" s="6">
        <f>IF(B$20=0,0,B26/B$20)</f>
        <v>0.35416666666666669</v>
      </c>
      <c r="E26" s="27" t="s">
        <v>82</v>
      </c>
      <c r="F26" s="24" t="s">
        <v>37</v>
      </c>
      <c r="G26" s="12">
        <v>0</v>
      </c>
      <c r="H26" s="88">
        <f>IF(B$20=0,0,G26/B$20)</f>
        <v>0</v>
      </c>
      <c r="I26" s="58">
        <v>1</v>
      </c>
    </row>
    <row r="27" spans="1:18" x14ac:dyDescent="0.4">
      <c r="A27" s="19" t="s">
        <v>5</v>
      </c>
      <c r="B27" s="16">
        <f>IF(B$20=0,0,C27/B$20)</f>
        <v>8141.666666666667</v>
      </c>
      <c r="C27" s="8">
        <v>390800</v>
      </c>
      <c r="E27" s="27" t="s">
        <v>84</v>
      </c>
      <c r="F27" s="24" t="s">
        <v>39</v>
      </c>
      <c r="G27" s="12">
        <v>0</v>
      </c>
      <c r="H27" s="88">
        <f>IF(B$20=0,0,G27/B$20)</f>
        <v>0</v>
      </c>
      <c r="I27" s="58">
        <v>1</v>
      </c>
    </row>
    <row r="28" spans="1:18" x14ac:dyDescent="0.4">
      <c r="A28" s="20" t="s">
        <v>164</v>
      </c>
      <c r="B28" s="95">
        <f>IF($B$20-B$19=0,0,C28/($B$20-B$19))</f>
        <v>7521.6216216216217</v>
      </c>
      <c r="C28" s="96">
        <v>278300</v>
      </c>
      <c r="E28" s="27" t="s">
        <v>85</v>
      </c>
      <c r="F28" s="24" t="s">
        <v>40</v>
      </c>
      <c r="G28" s="12">
        <v>0</v>
      </c>
      <c r="H28" s="88">
        <f>IF(B$20=0,0,G28/B$20)</f>
        <v>0</v>
      </c>
      <c r="I28" s="58">
        <v>1</v>
      </c>
    </row>
    <row r="29" spans="1:18" x14ac:dyDescent="0.4">
      <c r="A29" s="20" t="s">
        <v>165</v>
      </c>
      <c r="B29" s="95">
        <f>IF(B$19=0,0,C29/B$19)</f>
        <v>10227.272727272728</v>
      </c>
      <c r="C29" s="96">
        <v>112500</v>
      </c>
      <c r="E29" s="27" t="s">
        <v>87</v>
      </c>
      <c r="F29" s="24" t="s">
        <v>42</v>
      </c>
      <c r="G29" s="12">
        <v>0</v>
      </c>
      <c r="H29" s="88">
        <f>IF(B$20=0,0,G29/B$20)</f>
        <v>0</v>
      </c>
      <c r="I29" s="58">
        <v>1</v>
      </c>
    </row>
    <row r="30" spans="1:18" x14ac:dyDescent="0.4">
      <c r="A30" s="20" t="s">
        <v>163</v>
      </c>
      <c r="B30" s="95">
        <f>IF(B$21=0,0,C30/B$21)</f>
        <v>-10008.695652173914</v>
      </c>
      <c r="C30" s="96">
        <v>-230200</v>
      </c>
      <c r="E30" s="27" t="s">
        <v>88</v>
      </c>
      <c r="F30" s="24" t="s">
        <v>43</v>
      </c>
      <c r="G30" s="12">
        <v>0</v>
      </c>
      <c r="H30" s="88">
        <f>IF(B$20=0,0,G30/B$20)</f>
        <v>0</v>
      </c>
      <c r="I30" s="58">
        <v>1</v>
      </c>
    </row>
    <row r="31" spans="1:18" x14ac:dyDescent="0.4">
      <c r="A31" s="19" t="s">
        <v>156</v>
      </c>
      <c r="B31" s="12">
        <v>4</v>
      </c>
      <c r="C31" s="90">
        <v>2</v>
      </c>
      <c r="E31" s="27" t="s">
        <v>90</v>
      </c>
      <c r="F31" s="24" t="s">
        <v>45</v>
      </c>
      <c r="G31" s="12">
        <v>0</v>
      </c>
      <c r="H31" s="88">
        <f>IF(B$20=0,0,G31/B$20)</f>
        <v>0</v>
      </c>
      <c r="I31" s="58">
        <v>1</v>
      </c>
    </row>
    <row r="32" spans="1:18" x14ac:dyDescent="0.4">
      <c r="A32" s="19" t="s">
        <v>157</v>
      </c>
      <c r="B32" s="12">
        <v>20</v>
      </c>
      <c r="C32" s="90">
        <v>4</v>
      </c>
      <c r="E32" s="27" t="s">
        <v>92</v>
      </c>
      <c r="F32" s="24" t="s">
        <v>47</v>
      </c>
      <c r="G32" s="12">
        <v>0</v>
      </c>
      <c r="H32" s="88">
        <f>IF(B$20=0,0,G32/B$20)</f>
        <v>0</v>
      </c>
      <c r="I32" s="58">
        <v>1</v>
      </c>
    </row>
    <row r="33" spans="1:9" x14ac:dyDescent="0.4">
      <c r="A33" s="54" t="s">
        <v>135</v>
      </c>
      <c r="B33" s="127">
        <v>6</v>
      </c>
      <c r="C33" s="128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179</v>
      </c>
      <c r="B34" s="129">
        <v>82100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136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170</v>
      </c>
      <c r="B37" s="123">
        <v>3</v>
      </c>
      <c r="C37" s="98">
        <f t="shared" ref="C37:C49" si="2">IF(B$20=0,0,B37/B$20)</f>
        <v>6.25E-2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166</v>
      </c>
      <c r="B38" s="12">
        <v>10</v>
      </c>
      <c r="C38" s="6">
        <f t="shared" si="2"/>
        <v>0.20833333333333334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3</v>
      </c>
    </row>
    <row r="39" spans="1:9" x14ac:dyDescent="0.4">
      <c r="A39" s="19" t="s">
        <v>167</v>
      </c>
      <c r="B39" s="124">
        <v>9</v>
      </c>
      <c r="C39" s="6">
        <f t="shared" si="2"/>
        <v>0.1875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168</v>
      </c>
      <c r="B40" s="124">
        <v>9</v>
      </c>
      <c r="C40" s="6">
        <f t="shared" si="2"/>
        <v>0.1875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169</v>
      </c>
      <c r="B41" s="124">
        <v>9</v>
      </c>
      <c r="C41" s="6">
        <f t="shared" si="2"/>
        <v>0.1875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">
      <c r="A42" s="19" t="s">
        <v>171</v>
      </c>
      <c r="B42" s="124">
        <v>4</v>
      </c>
      <c r="C42" s="6">
        <f t="shared" si="2"/>
        <v>8.3333333333333329E-2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172</v>
      </c>
      <c r="B43" s="124">
        <v>1</v>
      </c>
      <c r="C43" s="6">
        <f t="shared" si="2"/>
        <v>2.0833333333333332E-2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173</v>
      </c>
      <c r="B44" s="124">
        <v>1</v>
      </c>
      <c r="C44" s="6">
        <f t="shared" si="2"/>
        <v>2.0833333333333332E-2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174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">
      <c r="A46" s="19" t="s">
        <v>175</v>
      </c>
      <c r="B46" s="124">
        <v>1</v>
      </c>
      <c r="C46" s="6">
        <f t="shared" si="2"/>
        <v>2.0833333333333332E-2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176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177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178</v>
      </c>
      <c r="B49" s="97">
        <v>1</v>
      </c>
      <c r="C49" s="9">
        <f t="shared" si="2"/>
        <v>2.0833333333333332E-2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154</v>
      </c>
      <c r="F51" s="92" t="s">
        <v>155</v>
      </c>
      <c r="G51" s="13">
        <v>0</v>
      </c>
      <c r="H51" s="93">
        <f>IF(B$20=0,0,G51/B$20)</f>
        <v>0</v>
      </c>
      <c r="I51" s="94">
        <v>3</v>
      </c>
    </row>
    <row r="52" spans="1:9" x14ac:dyDescent="0.4">
      <c r="E52" s="28" t="s">
        <v>160</v>
      </c>
      <c r="F52" s="25" t="s">
        <v>161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18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50B9E7-CA96-49A4-AD37-3D8A4F911617}">
  <sheetPr codeName="Sheet13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126</v>
      </c>
      <c r="C1" s="132"/>
      <c r="E1" s="104" t="s">
        <v>153</v>
      </c>
      <c r="F1" s="122" t="s">
        <v>115</v>
      </c>
      <c r="G1" s="121" t="s">
        <v>116</v>
      </c>
      <c r="H1" s="86" t="s">
        <v>117</v>
      </c>
      <c r="I1" s="122" t="s">
        <v>145</v>
      </c>
      <c r="K1" s="72" t="s">
        <v>19</v>
      </c>
      <c r="L1" s="4" t="s">
        <v>120</v>
      </c>
      <c r="M1" s="115" t="s">
        <v>193</v>
      </c>
      <c r="N1" s="105"/>
      <c r="O1" s="72" t="s">
        <v>133</v>
      </c>
      <c r="P1" s="4" t="s">
        <v>134</v>
      </c>
      <c r="Q1" s="106" t="s">
        <v>116</v>
      </c>
      <c r="R1" s="62" t="s">
        <v>147</v>
      </c>
    </row>
    <row r="2" spans="1:18" x14ac:dyDescent="0.4">
      <c r="A2" s="18" t="s">
        <v>9</v>
      </c>
      <c r="B2" s="133">
        <v>27</v>
      </c>
      <c r="C2" s="134"/>
      <c r="E2" s="26" t="s">
        <v>64</v>
      </c>
      <c r="F2" s="23" t="s">
        <v>20</v>
      </c>
      <c r="G2" s="11">
        <v>45</v>
      </c>
      <c r="H2" s="87">
        <f>IF(B$20=0,0,G2/B$20)</f>
        <v>0.625</v>
      </c>
      <c r="I2" s="57">
        <v>4</v>
      </c>
      <c r="K2" s="73">
        <v>0</v>
      </c>
      <c r="L2" s="118">
        <v>0</v>
      </c>
      <c r="M2" s="116">
        <v>1846.5755924228188</v>
      </c>
      <c r="O2" s="73" t="s">
        <v>127</v>
      </c>
      <c r="P2" s="79">
        <f t="shared" ref="P2:P7" si="0">IF(Q2=0,0,R2/Q2)</f>
        <v>1829.6296296296296</v>
      </c>
      <c r="Q2" s="76">
        <v>27</v>
      </c>
      <c r="R2" s="63">
        <v>49400</v>
      </c>
    </row>
    <row r="3" spans="1:18" x14ac:dyDescent="0.4">
      <c r="A3" s="19" t="s">
        <v>8</v>
      </c>
      <c r="B3" s="135">
        <v>228</v>
      </c>
      <c r="C3" s="136"/>
      <c r="E3" s="27" t="s">
        <v>66</v>
      </c>
      <c r="F3" s="24" t="s">
        <v>22</v>
      </c>
      <c r="G3" s="12">
        <v>40</v>
      </c>
      <c r="H3" s="88">
        <f>IF(B$20=0,0,G3/B$20)</f>
        <v>0.55555555555555558</v>
      </c>
      <c r="I3" s="58">
        <v>6</v>
      </c>
      <c r="K3" s="74">
        <v>1</v>
      </c>
      <c r="L3" s="119">
        <v>30.8</v>
      </c>
      <c r="M3" s="117">
        <v>1850.0821388682818</v>
      </c>
      <c r="O3" s="74" t="s">
        <v>128</v>
      </c>
      <c r="P3" s="80">
        <f t="shared" si="0"/>
        <v>2003.7037037037037</v>
      </c>
      <c r="Q3" s="77">
        <v>27</v>
      </c>
      <c r="R3" s="64">
        <v>54100</v>
      </c>
    </row>
    <row r="4" spans="1:18" x14ac:dyDescent="0.4">
      <c r="A4" s="19" t="s">
        <v>6</v>
      </c>
      <c r="B4" s="137">
        <v>354.59999999999991</v>
      </c>
      <c r="C4" s="138"/>
      <c r="E4" s="27" t="s">
        <v>72</v>
      </c>
      <c r="F4" s="24" t="s">
        <v>27</v>
      </c>
      <c r="G4" s="12">
        <v>36</v>
      </c>
      <c r="H4" s="88">
        <f>IF(B$20=0,0,G4/B$20)</f>
        <v>0.5</v>
      </c>
      <c r="I4" s="58">
        <v>2</v>
      </c>
      <c r="K4" s="74">
        <v>2</v>
      </c>
      <c r="L4" s="119">
        <v>9.8000000000000007</v>
      </c>
      <c r="M4" s="117">
        <v>1844.9996460350721</v>
      </c>
      <c r="O4" s="74" t="s">
        <v>129</v>
      </c>
      <c r="P4" s="80">
        <f t="shared" si="0"/>
        <v>550</v>
      </c>
      <c r="Q4" s="77">
        <v>26</v>
      </c>
      <c r="R4" s="64">
        <v>14300</v>
      </c>
    </row>
    <row r="5" spans="1:18" x14ac:dyDescent="0.4">
      <c r="A5" s="19" t="s">
        <v>7</v>
      </c>
      <c r="B5" s="125">
        <f>IF(B$2=0,0,B$4/B$2)</f>
        <v>13.133333333333329</v>
      </c>
      <c r="C5" s="126"/>
      <c r="E5" s="27" t="s">
        <v>67</v>
      </c>
      <c r="F5" s="24" t="s">
        <v>23</v>
      </c>
      <c r="G5" s="12">
        <v>35</v>
      </c>
      <c r="H5" s="88">
        <f>IF(B$20=0,0,G5/B$20)</f>
        <v>0.4861111111111111</v>
      </c>
      <c r="I5" s="58">
        <v>1</v>
      </c>
      <c r="K5" s="74">
        <v>3</v>
      </c>
      <c r="L5" s="119">
        <v>-22.900000000000002</v>
      </c>
      <c r="M5" s="117">
        <v>1837.8596481588618</v>
      </c>
      <c r="O5" s="74" t="s">
        <v>130</v>
      </c>
      <c r="P5" s="80">
        <f t="shared" si="0"/>
        <v>3033.3333333333335</v>
      </c>
      <c r="Q5" s="77">
        <v>24</v>
      </c>
      <c r="R5" s="64">
        <v>72800</v>
      </c>
    </row>
    <row r="6" spans="1:18" x14ac:dyDescent="0.4">
      <c r="A6" s="19" t="s">
        <v>192</v>
      </c>
      <c r="B6" s="129">
        <v>1868.9450234555377</v>
      </c>
      <c r="C6" s="130"/>
      <c r="E6" s="27" t="s">
        <v>158</v>
      </c>
      <c r="F6" s="24" t="s">
        <v>159</v>
      </c>
      <c r="G6" s="12">
        <v>33</v>
      </c>
      <c r="H6" s="88">
        <f>IF(B$20=0,0,G6/B$20)</f>
        <v>0.45833333333333331</v>
      </c>
      <c r="I6" s="58">
        <v>6</v>
      </c>
      <c r="K6" s="74">
        <v>4</v>
      </c>
      <c r="L6" s="119">
        <v>-61.600000000000009</v>
      </c>
      <c r="M6" s="117">
        <v>1829.5624902699085</v>
      </c>
      <c r="O6" s="74" t="s">
        <v>131</v>
      </c>
      <c r="P6" s="80">
        <f t="shared" si="0"/>
        <v>1916.6666666666667</v>
      </c>
      <c r="Q6" s="77">
        <v>24</v>
      </c>
      <c r="R6" s="64">
        <v>46000</v>
      </c>
    </row>
    <row r="7" spans="1:18" x14ac:dyDescent="0.4">
      <c r="A7" s="19" t="s">
        <v>1</v>
      </c>
      <c r="B7" s="139">
        <f>IF(B$2=0,0,(B$8*1+B$9*2+B$10*3)/B$2)</f>
        <v>1.7407407407407407</v>
      </c>
      <c r="C7" s="140"/>
      <c r="E7" s="27" t="s">
        <v>68</v>
      </c>
      <c r="F7" s="24" t="s">
        <v>12</v>
      </c>
      <c r="G7" s="12">
        <v>24</v>
      </c>
      <c r="H7" s="88">
        <f>IF(B$20=0,0,G7/B$20)</f>
        <v>0.33333333333333331</v>
      </c>
      <c r="I7" s="58">
        <v>4</v>
      </c>
      <c r="K7" s="74">
        <v>5</v>
      </c>
      <c r="L7" s="119">
        <v>-68.000000000000014</v>
      </c>
      <c r="M7" s="117">
        <v>1827.231115328289</v>
      </c>
      <c r="O7" s="75" t="s">
        <v>132</v>
      </c>
      <c r="P7" s="81">
        <f t="shared" si="0"/>
        <v>-956.52173913043475</v>
      </c>
      <c r="Q7" s="78">
        <v>23</v>
      </c>
      <c r="R7" s="65">
        <v>-22000</v>
      </c>
    </row>
    <row r="8" spans="1:18" x14ac:dyDescent="0.4">
      <c r="A8" s="19" t="s">
        <v>2</v>
      </c>
      <c r="B8" s="12">
        <v>13</v>
      </c>
      <c r="C8" s="6">
        <f t="shared" ref="C8:C15" si="1">IF(B$2=0,0,B8/B$2)</f>
        <v>0.48148148148148145</v>
      </c>
      <c r="E8" s="27" t="s">
        <v>89</v>
      </c>
      <c r="F8" s="24" t="s">
        <v>44</v>
      </c>
      <c r="G8" s="12">
        <v>13</v>
      </c>
      <c r="H8" s="88">
        <f>IF(B$20=0,0,G8/B$20)</f>
        <v>0.18055555555555555</v>
      </c>
      <c r="I8" s="58">
        <v>1</v>
      </c>
      <c r="K8" s="74">
        <v>6</v>
      </c>
      <c r="L8" s="119">
        <v>-68.800000000000011</v>
      </c>
      <c r="M8" s="117">
        <v>1825.8377286363193</v>
      </c>
      <c r="O8" s="107"/>
      <c r="P8" s="85"/>
      <c r="Q8" s="108"/>
      <c r="R8" s="70"/>
    </row>
    <row r="9" spans="1:18" x14ac:dyDescent="0.4">
      <c r="A9" s="19" t="s">
        <v>3</v>
      </c>
      <c r="B9" s="12">
        <v>8</v>
      </c>
      <c r="C9" s="6">
        <f t="shared" si="1"/>
        <v>0.29629629629629628</v>
      </c>
      <c r="E9" s="27" t="s">
        <v>69</v>
      </c>
      <c r="F9" s="24" t="s">
        <v>24</v>
      </c>
      <c r="G9" s="12">
        <v>12</v>
      </c>
      <c r="H9" s="88">
        <f>IF(B$20=0,0,G9/B$20)</f>
        <v>0.16666666666666666</v>
      </c>
      <c r="I9" s="58">
        <v>4</v>
      </c>
      <c r="K9" s="74">
        <v>7</v>
      </c>
      <c r="L9" s="119">
        <v>3.4999999999999858</v>
      </c>
      <c r="M9" s="117">
        <v>1837.8507022645015</v>
      </c>
      <c r="O9" s="72" t="s">
        <v>149</v>
      </c>
      <c r="P9" s="4" t="s">
        <v>120</v>
      </c>
      <c r="Q9" s="106" t="s">
        <v>116</v>
      </c>
      <c r="R9" s="66" t="s">
        <v>147</v>
      </c>
    </row>
    <row r="10" spans="1:18" x14ac:dyDescent="0.4">
      <c r="A10" s="20" t="s">
        <v>4</v>
      </c>
      <c r="B10" s="13">
        <v>6</v>
      </c>
      <c r="C10" s="7">
        <f t="shared" si="1"/>
        <v>0.22222222222222221</v>
      </c>
      <c r="E10" s="27" t="s">
        <v>65</v>
      </c>
      <c r="F10" s="24" t="s">
        <v>21</v>
      </c>
      <c r="G10" s="12">
        <v>9</v>
      </c>
      <c r="H10" s="88">
        <f>IF(B$20=0,0,G10/B$20)</f>
        <v>0.125</v>
      </c>
      <c r="I10" s="58">
        <v>6</v>
      </c>
      <c r="K10" s="74">
        <v>8</v>
      </c>
      <c r="L10" s="119">
        <v>-1.800000000000014</v>
      </c>
      <c r="M10" s="117">
        <v>1835.6735980509145</v>
      </c>
      <c r="O10" s="73" t="s">
        <v>150</v>
      </c>
      <c r="P10" s="82">
        <f>IF(Q10=0,0,R10/Q10)</f>
        <v>-3.1777777777777771</v>
      </c>
      <c r="Q10" s="76">
        <v>9</v>
      </c>
      <c r="R10" s="67">
        <v>-28.599999999999994</v>
      </c>
    </row>
    <row r="11" spans="1:18" x14ac:dyDescent="0.4">
      <c r="A11" s="20" t="s">
        <v>183</v>
      </c>
      <c r="B11" s="109">
        <f>IF(B8=0,0,C11/B8)</f>
        <v>46.400000000000006</v>
      </c>
      <c r="C11" s="110">
        <v>603.20000000000005</v>
      </c>
      <c r="E11" s="27" t="s">
        <v>70</v>
      </c>
      <c r="F11" s="24" t="s">
        <v>25</v>
      </c>
      <c r="G11" s="12">
        <v>7</v>
      </c>
      <c r="H11" s="88">
        <f>IF(B$20=0,0,G11/B$20)</f>
        <v>9.7222222222222224E-2</v>
      </c>
      <c r="I11" s="58">
        <v>5</v>
      </c>
      <c r="K11" s="74">
        <v>9</v>
      </c>
      <c r="L11" s="119">
        <v>49.999999999999986</v>
      </c>
      <c r="M11" s="117">
        <v>1843.805556462609</v>
      </c>
      <c r="O11" s="74" t="s">
        <v>151</v>
      </c>
      <c r="P11" s="83">
        <f>IF(Q11=0,0,R11/Q11)</f>
        <v>20.428571428571427</v>
      </c>
      <c r="Q11" s="77">
        <v>7</v>
      </c>
      <c r="R11" s="68">
        <v>143</v>
      </c>
    </row>
    <row r="12" spans="1:18" x14ac:dyDescent="0.4">
      <c r="A12" s="20" t="s">
        <v>184</v>
      </c>
      <c r="B12" s="109">
        <f>IF(B9=0,0,C12/B9)</f>
        <v>-2.4875000000000003</v>
      </c>
      <c r="C12" s="110">
        <v>-19.900000000000002</v>
      </c>
      <c r="E12" s="27" t="s">
        <v>86</v>
      </c>
      <c r="F12" s="24" t="s">
        <v>41</v>
      </c>
      <c r="G12" s="12">
        <v>6</v>
      </c>
      <c r="H12" s="88">
        <f>IF(B$20=0,0,G12/B$20)</f>
        <v>8.3333333333333329E-2</v>
      </c>
      <c r="I12" s="58">
        <v>2</v>
      </c>
      <c r="K12" s="74">
        <v>10</v>
      </c>
      <c r="L12" s="119">
        <v>82.499999999999986</v>
      </c>
      <c r="M12" s="117">
        <v>1848.5227231238334</v>
      </c>
      <c r="O12" s="75" t="s">
        <v>152</v>
      </c>
      <c r="P12" s="84">
        <f>IF(Q12=0,0,R12/Q12)</f>
        <v>21.836363636363636</v>
      </c>
      <c r="Q12" s="78">
        <v>11</v>
      </c>
      <c r="R12" s="69">
        <v>240.2</v>
      </c>
    </row>
    <row r="13" spans="1:18" x14ac:dyDescent="0.4">
      <c r="A13" s="20" t="s">
        <v>185</v>
      </c>
      <c r="B13" s="109">
        <f>IF(B10=0,0,C13/B10)</f>
        <v>-38.116666666666667</v>
      </c>
      <c r="C13" s="110">
        <v>-228.7</v>
      </c>
      <c r="E13" s="27" t="s">
        <v>71</v>
      </c>
      <c r="F13" s="24" t="s">
        <v>26</v>
      </c>
      <c r="G13" s="12">
        <v>3</v>
      </c>
      <c r="H13" s="88">
        <f>IF(B$20=0,0,G13/B$20)</f>
        <v>4.1666666666666664E-2</v>
      </c>
      <c r="I13" s="58">
        <v>7</v>
      </c>
      <c r="K13" s="74">
        <v>11</v>
      </c>
      <c r="L13" s="119">
        <v>80.999999999999986</v>
      </c>
      <c r="M13" s="117">
        <v>1846.8935867850905</v>
      </c>
      <c r="O13" s="103"/>
      <c r="P13" s="71"/>
      <c r="Q13" s="111"/>
      <c r="R13" s="71"/>
    </row>
    <row r="14" spans="1:18" x14ac:dyDescent="0.4">
      <c r="A14" s="20" t="s">
        <v>186</v>
      </c>
      <c r="B14" s="125">
        <f>AVERAGE(B11:B13)</f>
        <v>1.9319444444444471</v>
      </c>
      <c r="C14" s="126"/>
      <c r="E14" s="27" t="s">
        <v>75</v>
      </c>
      <c r="F14" s="24" t="s">
        <v>30</v>
      </c>
      <c r="G14" s="12">
        <v>2</v>
      </c>
      <c r="H14" s="88">
        <f>IF(B$20=0,0,G14/B$20)</f>
        <v>2.7777777777777776E-2</v>
      </c>
      <c r="I14" s="58">
        <v>1</v>
      </c>
      <c r="K14" s="74">
        <v>12</v>
      </c>
      <c r="L14" s="119">
        <v>116.29999999999998</v>
      </c>
      <c r="M14" s="117">
        <v>1851.86222526438</v>
      </c>
      <c r="O14" s="72" t="s">
        <v>146</v>
      </c>
      <c r="P14" s="4" t="s">
        <v>120</v>
      </c>
      <c r="Q14" s="106" t="s">
        <v>116</v>
      </c>
      <c r="R14" s="66" t="s">
        <v>147</v>
      </c>
    </row>
    <row r="15" spans="1:18" x14ac:dyDescent="0.4">
      <c r="A15" s="21" t="s">
        <v>18</v>
      </c>
      <c r="B15" s="14">
        <v>1</v>
      </c>
      <c r="C15" s="9">
        <f t="shared" si="1"/>
        <v>3.7037037037037035E-2</v>
      </c>
      <c r="E15" s="27" t="s">
        <v>78</v>
      </c>
      <c r="F15" s="24" t="s">
        <v>33</v>
      </c>
      <c r="G15" s="12">
        <v>2</v>
      </c>
      <c r="H15" s="88">
        <f>IF(B$20=0,0,G15/B$20)</f>
        <v>2.7777777777777776E-2</v>
      </c>
      <c r="I15" s="58">
        <v>4</v>
      </c>
      <c r="K15" s="74">
        <v>13</v>
      </c>
      <c r="L15" s="119">
        <v>191.7</v>
      </c>
      <c r="M15" s="117">
        <v>1863.7610519127936</v>
      </c>
      <c r="O15" s="73" t="s">
        <v>209</v>
      </c>
      <c r="P15" s="82">
        <f>IF(Q15=0,0,R15/Q15)</f>
        <v>57.644444444444439</v>
      </c>
      <c r="Q15" s="76">
        <v>9</v>
      </c>
      <c r="R15" s="67">
        <v>518.79999999999995</v>
      </c>
    </row>
    <row r="16" spans="1:18" x14ac:dyDescent="0.4">
      <c r="A16" s="22" t="s">
        <v>121</v>
      </c>
      <c r="B16" s="15">
        <v>86</v>
      </c>
      <c r="C16" s="10">
        <f>IF(B$3=0,0,B16/B$3)</f>
        <v>0.37719298245614036</v>
      </c>
      <c r="E16" s="27" t="s">
        <v>79</v>
      </c>
      <c r="F16" s="24" t="s">
        <v>34</v>
      </c>
      <c r="G16" s="12">
        <v>2</v>
      </c>
      <c r="H16" s="88">
        <f>IF(B$20=0,0,G16/B$20)</f>
        <v>2.7777777777777776E-2</v>
      </c>
      <c r="I16" s="58">
        <v>1</v>
      </c>
      <c r="K16" s="74">
        <v>14</v>
      </c>
      <c r="L16" s="119">
        <v>244.7</v>
      </c>
      <c r="M16" s="117">
        <v>1871.5564856013168</v>
      </c>
      <c r="O16" s="74" t="s">
        <v>162</v>
      </c>
      <c r="P16" s="83">
        <f>IF(Q16=0,0,R16/Q16)</f>
        <v>19.414285714285711</v>
      </c>
      <c r="Q16" s="77">
        <v>7</v>
      </c>
      <c r="R16" s="68">
        <v>135.89999999999998</v>
      </c>
    </row>
    <row r="17" spans="1:18" x14ac:dyDescent="0.4">
      <c r="A17" s="19" t="s">
        <v>118</v>
      </c>
      <c r="B17" s="12">
        <v>33</v>
      </c>
      <c r="C17" s="6">
        <f>IF(B$3=0,0,B17/B$3)</f>
        <v>0.14473684210526316</v>
      </c>
      <c r="E17" s="27" t="s">
        <v>83</v>
      </c>
      <c r="F17" s="24" t="s">
        <v>38</v>
      </c>
      <c r="G17" s="12">
        <v>2</v>
      </c>
      <c r="H17" s="88">
        <f>IF(B$20=0,0,G17/B$20)</f>
        <v>2.7777777777777776E-2</v>
      </c>
      <c r="I17" s="58">
        <v>5</v>
      </c>
      <c r="K17" s="74">
        <v>15</v>
      </c>
      <c r="L17" s="119">
        <v>278.59999999999997</v>
      </c>
      <c r="M17" s="117">
        <v>1875.867146687709</v>
      </c>
      <c r="O17" s="74" t="s">
        <v>191</v>
      </c>
      <c r="P17" s="83">
        <f>IF(Q17=0,0,R17/Q17)</f>
        <v>16.931249999999995</v>
      </c>
      <c r="Q17" s="77">
        <v>16</v>
      </c>
      <c r="R17" s="68">
        <v>270.89999999999992</v>
      </c>
    </row>
    <row r="18" spans="1:18" x14ac:dyDescent="0.4">
      <c r="A18" s="18" t="s">
        <v>123</v>
      </c>
      <c r="B18" s="11">
        <f>B24</f>
        <v>46</v>
      </c>
      <c r="C18" s="5">
        <f>IF(B$16=0,0,B18/B$16)</f>
        <v>0.53488372093023251</v>
      </c>
      <c r="E18" s="27" t="s">
        <v>76</v>
      </c>
      <c r="F18" s="24" t="s">
        <v>31</v>
      </c>
      <c r="G18" s="12">
        <v>1</v>
      </c>
      <c r="H18" s="88">
        <f>IF(B$20=0,0,G18/B$20)</f>
        <v>1.3888888888888888E-2</v>
      </c>
      <c r="I18" s="58">
        <v>1</v>
      </c>
      <c r="K18" s="74">
        <v>16</v>
      </c>
      <c r="L18" s="119">
        <v>247.79999999999995</v>
      </c>
      <c r="M18" s="117">
        <v>1868.5059438075828</v>
      </c>
      <c r="O18" s="74" t="s">
        <v>189</v>
      </c>
      <c r="P18" s="83">
        <f>IF(Q18=0,0,R18/Q18)</f>
        <v>14.353846153846158</v>
      </c>
      <c r="Q18" s="77">
        <v>13</v>
      </c>
      <c r="R18" s="68">
        <v>186.60000000000005</v>
      </c>
    </row>
    <row r="19" spans="1:18" x14ac:dyDescent="0.4">
      <c r="A19" s="18" t="s">
        <v>124</v>
      </c>
      <c r="B19" s="11">
        <f>B25</f>
        <v>18</v>
      </c>
      <c r="C19" s="5">
        <f>IF(B$17=0,0,B19/B$17)</f>
        <v>0.54545454545454541</v>
      </c>
      <c r="E19" s="27" t="s">
        <v>81</v>
      </c>
      <c r="F19" s="24" t="s">
        <v>36</v>
      </c>
      <c r="G19" s="12">
        <v>1</v>
      </c>
      <c r="H19" s="88">
        <f>IF(B$20=0,0,G19/B$20)</f>
        <v>1.3888888888888888E-2</v>
      </c>
      <c r="I19" s="58">
        <v>5</v>
      </c>
      <c r="K19" s="74">
        <v>17</v>
      </c>
      <c r="L19" s="119">
        <v>298.79999999999995</v>
      </c>
      <c r="M19" s="117">
        <v>1875.9129081447372</v>
      </c>
      <c r="O19" s="74" t="s">
        <v>187</v>
      </c>
      <c r="P19" s="83">
        <f>IF(Q19=0,0,R19/Q19)</f>
        <v>-5.3777777777777764</v>
      </c>
      <c r="Q19" s="77">
        <v>9</v>
      </c>
      <c r="R19" s="68">
        <v>-48.399999999999991</v>
      </c>
    </row>
    <row r="20" spans="1:18" x14ac:dyDescent="0.4">
      <c r="A20" s="18" t="s">
        <v>10</v>
      </c>
      <c r="B20" s="11">
        <f>B23+B22</f>
        <v>72</v>
      </c>
      <c r="C20" s="5">
        <f>IF(B$3=0,0,B20/B$3)</f>
        <v>0.31578947368421051</v>
      </c>
      <c r="E20" s="27" t="s">
        <v>91</v>
      </c>
      <c r="F20" s="24" t="s">
        <v>46</v>
      </c>
      <c r="G20" s="12">
        <v>1</v>
      </c>
      <c r="H20" s="88">
        <f>IF(B$20=0,0,G20/B$20)</f>
        <v>1.3888888888888888E-2</v>
      </c>
      <c r="I20" s="58">
        <v>3</v>
      </c>
      <c r="K20" s="74">
        <v>18</v>
      </c>
      <c r="L20" s="119">
        <v>327.79999999999995</v>
      </c>
      <c r="M20" s="117">
        <v>1879.3154306958688</v>
      </c>
    </row>
    <row r="21" spans="1:18" x14ac:dyDescent="0.4">
      <c r="A21" s="19" t="s">
        <v>13</v>
      </c>
      <c r="B21" s="12">
        <v>30</v>
      </c>
      <c r="C21" s="6">
        <f>IF(B$3=0,0,B21/B$3)</f>
        <v>0.13157894736842105</v>
      </c>
      <c r="E21" s="27" t="s">
        <v>99</v>
      </c>
      <c r="F21" s="24" t="s">
        <v>54</v>
      </c>
      <c r="G21" s="12">
        <v>1</v>
      </c>
      <c r="H21" s="88">
        <f>IF(B$20=0,0,G21/B$20)</f>
        <v>1.3888888888888888E-2</v>
      </c>
      <c r="I21" s="58">
        <v>1</v>
      </c>
      <c r="K21" s="74">
        <v>19</v>
      </c>
      <c r="L21" s="119">
        <v>347.49999999999994</v>
      </c>
      <c r="M21" s="117">
        <v>1881.0235381116936</v>
      </c>
    </row>
    <row r="22" spans="1:18" x14ac:dyDescent="0.4">
      <c r="A22" s="19" t="s">
        <v>12</v>
      </c>
      <c r="B22" s="12">
        <v>31</v>
      </c>
      <c r="C22" s="6">
        <f>IF(B$20=0,0,B22/B$20)</f>
        <v>0.43055555555555558</v>
      </c>
      <c r="E22" s="27" t="s">
        <v>154</v>
      </c>
      <c r="F22" s="24" t="s">
        <v>155</v>
      </c>
      <c r="G22" s="12">
        <v>1</v>
      </c>
      <c r="H22" s="88">
        <f>IF(B$20=0,0,G22/B$20)</f>
        <v>1.3888888888888888E-2</v>
      </c>
      <c r="I22" s="58">
        <v>1</v>
      </c>
      <c r="K22" s="74">
        <v>20</v>
      </c>
      <c r="L22" s="119">
        <v>354.69999999999993</v>
      </c>
      <c r="M22" s="117">
        <v>1880.4653968830235</v>
      </c>
    </row>
    <row r="23" spans="1:18" x14ac:dyDescent="0.4">
      <c r="A23" s="19" t="s">
        <v>11</v>
      </c>
      <c r="B23" s="12">
        <v>41</v>
      </c>
      <c r="C23" s="6">
        <f>IF(B$20=0,0,B23/B$20)</f>
        <v>0.56944444444444442</v>
      </c>
      <c r="E23" s="27" t="s">
        <v>73</v>
      </c>
      <c r="F23" s="24" t="s">
        <v>28</v>
      </c>
      <c r="G23" s="12">
        <v>0</v>
      </c>
      <c r="H23" s="88">
        <f>IF(B$20=0,0,G23/B$20)</f>
        <v>0</v>
      </c>
      <c r="I23" s="58">
        <v>7</v>
      </c>
      <c r="K23" s="74">
        <v>21</v>
      </c>
      <c r="L23" s="119">
        <v>297.29999999999995</v>
      </c>
      <c r="M23" s="117">
        <v>1868.4206045017254</v>
      </c>
    </row>
    <row r="24" spans="1:18" x14ac:dyDescent="0.4">
      <c r="A24" s="19" t="s">
        <v>182</v>
      </c>
      <c r="B24" s="12">
        <v>46</v>
      </c>
      <c r="C24" s="6">
        <f>IF(B$20=0,0,B24/B$20)</f>
        <v>0.63888888888888884</v>
      </c>
      <c r="E24" s="27" t="s">
        <v>74</v>
      </c>
      <c r="F24" s="24" t="s">
        <v>29</v>
      </c>
      <c r="G24" s="12">
        <v>0</v>
      </c>
      <c r="H24" s="88">
        <f>IF(B$20=0,0,G24/B$20)</f>
        <v>0</v>
      </c>
      <c r="I24" s="58">
        <v>4</v>
      </c>
      <c r="K24" s="74">
        <v>22</v>
      </c>
      <c r="L24" s="119">
        <v>331.49999999999994</v>
      </c>
      <c r="M24" s="117">
        <v>1872.9360808747151</v>
      </c>
    </row>
    <row r="25" spans="1:18" x14ac:dyDescent="0.4">
      <c r="A25" s="19" t="s">
        <v>180</v>
      </c>
      <c r="B25" s="12">
        <v>18</v>
      </c>
      <c r="C25" s="6">
        <f>IF(B$20=0,0,B25/B$20)</f>
        <v>0.25</v>
      </c>
      <c r="E25" s="27" t="s">
        <v>77</v>
      </c>
      <c r="F25" s="24" t="s">
        <v>32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283.39999999999992</v>
      </c>
      <c r="M25" s="117">
        <v>1862.6104643894669</v>
      </c>
    </row>
    <row r="26" spans="1:18" x14ac:dyDescent="0.4">
      <c r="A26" s="19" t="s">
        <v>181</v>
      </c>
      <c r="B26" s="12">
        <v>8</v>
      </c>
      <c r="C26" s="6">
        <f>IF(B$20=0,0,B26/B$20)</f>
        <v>0.1111111111111111</v>
      </c>
      <c r="E26" s="27" t="s">
        <v>80</v>
      </c>
      <c r="F26" s="24" t="s">
        <v>35</v>
      </c>
      <c r="G26" s="12">
        <v>0</v>
      </c>
      <c r="H26" s="88">
        <f>IF(B$20=0,0,G26/B$20)</f>
        <v>0</v>
      </c>
      <c r="I26" s="58">
        <v>1</v>
      </c>
      <c r="K26" s="74">
        <v>24</v>
      </c>
      <c r="L26" s="119">
        <v>273.59999999999991</v>
      </c>
      <c r="M26" s="117">
        <v>1859.2468016031301</v>
      </c>
    </row>
    <row r="27" spans="1:18" x14ac:dyDescent="0.4">
      <c r="A27" s="19" t="s">
        <v>5</v>
      </c>
      <c r="B27" s="16">
        <f>IF(B$20=0,0,C27/B$20)</f>
        <v>9504.1666666666661</v>
      </c>
      <c r="C27" s="8">
        <v>684300</v>
      </c>
      <c r="E27" s="27" t="s">
        <v>82</v>
      </c>
      <c r="F27" s="24" t="s">
        <v>37</v>
      </c>
      <c r="G27" s="12">
        <v>0</v>
      </c>
      <c r="H27" s="88">
        <f>IF(B$20=0,0,G27/B$20)</f>
        <v>0</v>
      </c>
      <c r="I27" s="58">
        <v>1</v>
      </c>
      <c r="K27" s="74">
        <v>25</v>
      </c>
      <c r="L27" s="119">
        <v>323.39999999999992</v>
      </c>
      <c r="M27" s="117">
        <v>1866.6253207935113</v>
      </c>
    </row>
    <row r="28" spans="1:18" x14ac:dyDescent="0.4">
      <c r="A28" s="20" t="s">
        <v>164</v>
      </c>
      <c r="B28" s="95">
        <f>IF($B$20-B$19=0,0,C28/($B$20-B$19))</f>
        <v>9959.2592592592591</v>
      </c>
      <c r="C28" s="96">
        <v>537800</v>
      </c>
      <c r="E28" s="27" t="s">
        <v>84</v>
      </c>
      <c r="F28" s="24" t="s">
        <v>39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377.59999999999991</v>
      </c>
      <c r="M28" s="117">
        <v>1874.7575688687502</v>
      </c>
    </row>
    <row r="29" spans="1:18" x14ac:dyDescent="0.4">
      <c r="A29" s="20" t="s">
        <v>165</v>
      </c>
      <c r="B29" s="95">
        <f>IF(B$19=0,0,C29/B$19)</f>
        <v>8138.8888888888887</v>
      </c>
      <c r="C29" s="96">
        <v>146500</v>
      </c>
      <c r="E29" s="27" t="s">
        <v>85</v>
      </c>
      <c r="F29" s="24" t="s">
        <v>40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354.59999999999991</v>
      </c>
      <c r="M29" s="117">
        <v>1868.9450234555377</v>
      </c>
    </row>
    <row r="30" spans="1:18" x14ac:dyDescent="0.4">
      <c r="A30" s="20" t="s">
        <v>163</v>
      </c>
      <c r="B30" s="95">
        <f>IF(B$21=0,0,C30/B$21)</f>
        <v>-8760</v>
      </c>
      <c r="C30" s="96">
        <v>-262800</v>
      </c>
      <c r="E30" s="27" t="s">
        <v>87</v>
      </c>
      <c r="F30" s="24" t="s">
        <v>42</v>
      </c>
      <c r="G30" s="12">
        <v>0</v>
      </c>
      <c r="H30" s="88">
        <f>IF(B$20=0,0,G30/B$20)</f>
        <v>0</v>
      </c>
      <c r="I30" s="58">
        <v>1</v>
      </c>
    </row>
    <row r="31" spans="1:18" x14ac:dyDescent="0.4">
      <c r="A31" s="19" t="s">
        <v>156</v>
      </c>
      <c r="B31" s="12">
        <v>5</v>
      </c>
      <c r="C31" s="90">
        <v>0</v>
      </c>
      <c r="E31" s="27" t="s">
        <v>88</v>
      </c>
      <c r="F31" s="24" t="s">
        <v>43</v>
      </c>
      <c r="G31" s="12">
        <v>0</v>
      </c>
      <c r="H31" s="88">
        <f>IF(B$20=0,0,G31/B$20)</f>
        <v>0</v>
      </c>
      <c r="I31" s="58">
        <v>1</v>
      </c>
    </row>
    <row r="32" spans="1:18" x14ac:dyDescent="0.4">
      <c r="A32" s="19" t="s">
        <v>157</v>
      </c>
      <c r="B32" s="12">
        <v>24</v>
      </c>
      <c r="C32" s="90">
        <v>3</v>
      </c>
      <c r="E32" s="27" t="s">
        <v>90</v>
      </c>
      <c r="F32" s="24" t="s">
        <v>45</v>
      </c>
      <c r="G32" s="12">
        <v>0</v>
      </c>
      <c r="H32" s="88">
        <f>IF(B$20=0,0,G32/B$20)</f>
        <v>0</v>
      </c>
      <c r="I32" s="58">
        <v>1</v>
      </c>
    </row>
    <row r="33" spans="1:9" x14ac:dyDescent="0.4">
      <c r="A33" s="54" t="s">
        <v>135</v>
      </c>
      <c r="B33" s="127">
        <v>6</v>
      </c>
      <c r="C33" s="128"/>
      <c r="E33" s="27" t="s">
        <v>92</v>
      </c>
      <c r="F33" s="24" t="s">
        <v>47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179</v>
      </c>
      <c r="B34" s="129">
        <v>90400</v>
      </c>
      <c r="C34" s="130"/>
      <c r="E34" s="27" t="s">
        <v>93</v>
      </c>
      <c r="F34" s="24" t="s">
        <v>48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136</v>
      </c>
      <c r="B35" s="29">
        <v>0</v>
      </c>
      <c r="C35" s="9">
        <f>IF(B$3=0,0,B35/B$3)</f>
        <v>0</v>
      </c>
      <c r="E35" s="27" t="s">
        <v>94</v>
      </c>
      <c r="F35" s="24" t="s">
        <v>49</v>
      </c>
      <c r="G35" s="12">
        <v>0</v>
      </c>
      <c r="H35" s="88">
        <f>IF(B$20=0,0,G35/B$20)</f>
        <v>0</v>
      </c>
      <c r="I35" s="58">
        <v>3</v>
      </c>
    </row>
    <row r="36" spans="1:9" x14ac:dyDescent="0.4">
      <c r="E36" s="27" t="s">
        <v>95</v>
      </c>
      <c r="F36" s="24" t="s">
        <v>50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170</v>
      </c>
      <c r="B37" s="123">
        <v>3</v>
      </c>
      <c r="C37" s="98">
        <f t="shared" ref="C37:C49" si="2">IF(B$20=0,0,B37/B$20)</f>
        <v>4.1666666666666664E-2</v>
      </c>
      <c r="E37" s="27" t="s">
        <v>96</v>
      </c>
      <c r="F37" s="24" t="s">
        <v>51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166</v>
      </c>
      <c r="B38" s="12">
        <v>7</v>
      </c>
      <c r="C38" s="6">
        <f t="shared" si="2"/>
        <v>9.7222222222222224E-2</v>
      </c>
      <c r="E38" s="27" t="s">
        <v>97</v>
      </c>
      <c r="F38" s="24" t="s">
        <v>52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167</v>
      </c>
      <c r="B39" s="124">
        <v>14</v>
      </c>
      <c r="C39" s="6">
        <f t="shared" si="2"/>
        <v>0.19444444444444445</v>
      </c>
      <c r="E39" s="27" t="s">
        <v>98</v>
      </c>
      <c r="F39" s="24" t="s">
        <v>53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168</v>
      </c>
      <c r="B40" s="124">
        <v>15</v>
      </c>
      <c r="C40" s="6">
        <f t="shared" si="2"/>
        <v>0.20833333333333334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169</v>
      </c>
      <c r="B41" s="124">
        <v>14</v>
      </c>
      <c r="C41" s="6">
        <f t="shared" si="2"/>
        <v>0.19444444444444445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</row>
    <row r="42" spans="1:9" x14ac:dyDescent="0.4">
      <c r="A42" s="19" t="s">
        <v>171</v>
      </c>
      <c r="B42" s="124">
        <v>6</v>
      </c>
      <c r="C42" s="6">
        <f t="shared" si="2"/>
        <v>8.3333333333333329E-2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172</v>
      </c>
      <c r="B43" s="124">
        <v>8</v>
      </c>
      <c r="C43" s="6">
        <f t="shared" si="2"/>
        <v>0.1111111111111111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173</v>
      </c>
      <c r="B44" s="124">
        <v>3</v>
      </c>
      <c r="C44" s="6">
        <f t="shared" si="2"/>
        <v>4.1666666666666664E-2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174</v>
      </c>
      <c r="B45" s="124">
        <v>0</v>
      </c>
      <c r="C45" s="6">
        <f t="shared" si="2"/>
        <v>0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</row>
    <row r="46" spans="1:9" x14ac:dyDescent="0.4">
      <c r="A46" s="19" t="s">
        <v>175</v>
      </c>
      <c r="B46" s="124">
        <v>1</v>
      </c>
      <c r="C46" s="6">
        <f t="shared" si="2"/>
        <v>1.3888888888888888E-2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176</v>
      </c>
      <c r="B47" s="124">
        <v>0</v>
      </c>
      <c r="C47" s="6">
        <f t="shared" si="2"/>
        <v>0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177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178</v>
      </c>
      <c r="B49" s="97">
        <v>1</v>
      </c>
      <c r="C49" s="9">
        <f t="shared" si="2"/>
        <v>1.3888888888888888E-2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</row>
    <row r="52" spans="1:9" x14ac:dyDescent="0.4">
      <c r="E52" s="28" t="s">
        <v>160</v>
      </c>
      <c r="F52" s="25" t="s">
        <v>161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19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750B6B-6B17-4D34-941F-D34B03233E17}">
  <sheetPr codeName="Sheet15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191</v>
      </c>
      <c r="C1" s="132"/>
      <c r="E1" s="104" t="s">
        <v>153</v>
      </c>
      <c r="F1" s="122" t="s">
        <v>115</v>
      </c>
      <c r="G1" s="121" t="s">
        <v>116</v>
      </c>
      <c r="H1" s="86" t="s">
        <v>117</v>
      </c>
      <c r="I1" s="122" t="s">
        <v>145</v>
      </c>
      <c r="K1" s="72" t="s">
        <v>19</v>
      </c>
      <c r="L1" s="4" t="s">
        <v>120</v>
      </c>
      <c r="M1" s="115" t="s">
        <v>193</v>
      </c>
      <c r="N1" s="105"/>
      <c r="O1" s="72" t="s">
        <v>133</v>
      </c>
      <c r="P1" s="4" t="s">
        <v>134</v>
      </c>
      <c r="Q1" s="106" t="s">
        <v>116</v>
      </c>
      <c r="R1" s="62" t="s">
        <v>147</v>
      </c>
    </row>
    <row r="2" spans="1:18" x14ac:dyDescent="0.4">
      <c r="A2" s="18" t="s">
        <v>9</v>
      </c>
      <c r="B2" s="133">
        <v>16</v>
      </c>
      <c r="C2" s="134"/>
      <c r="E2" s="26" t="s">
        <v>66</v>
      </c>
      <c r="F2" s="23" t="s">
        <v>22</v>
      </c>
      <c r="G2" s="11">
        <v>27</v>
      </c>
      <c r="H2" s="87">
        <f>IF(B$20=0,0,G2/B$20)</f>
        <v>0.71052631578947367</v>
      </c>
      <c r="I2" s="57">
        <v>3</v>
      </c>
      <c r="K2" s="73">
        <v>0</v>
      </c>
      <c r="L2" s="118">
        <v>0</v>
      </c>
      <c r="M2" s="116">
        <v>1372.5824902185618</v>
      </c>
      <c r="O2" s="73" t="s">
        <v>127</v>
      </c>
      <c r="P2" s="79">
        <f t="shared" ref="P2:P7" si="0">IF(Q2=0,0,R2/Q2)</f>
        <v>-731.25</v>
      </c>
      <c r="Q2" s="76">
        <v>16</v>
      </c>
      <c r="R2" s="63">
        <v>-11700</v>
      </c>
    </row>
    <row r="3" spans="1:18" x14ac:dyDescent="0.4">
      <c r="A3" s="19" t="s">
        <v>8</v>
      </c>
      <c r="B3" s="135">
        <v>133</v>
      </c>
      <c r="C3" s="136"/>
      <c r="E3" s="27" t="s">
        <v>64</v>
      </c>
      <c r="F3" s="24" t="s">
        <v>20</v>
      </c>
      <c r="G3" s="12">
        <v>25</v>
      </c>
      <c r="H3" s="88">
        <f>IF(B$20=0,0,G3/B$20)</f>
        <v>0.65789473684210531</v>
      </c>
      <c r="I3" s="58">
        <v>3</v>
      </c>
      <c r="K3" s="74">
        <v>1</v>
      </c>
      <c r="L3" s="119">
        <v>5</v>
      </c>
      <c r="M3" s="117">
        <v>1374.9429952772505</v>
      </c>
      <c r="O3" s="74" t="s">
        <v>128</v>
      </c>
      <c r="P3" s="80">
        <f t="shared" si="0"/>
        <v>-1862.5</v>
      </c>
      <c r="Q3" s="77">
        <v>16</v>
      </c>
      <c r="R3" s="64">
        <v>-29800</v>
      </c>
    </row>
    <row r="4" spans="1:18" x14ac:dyDescent="0.4">
      <c r="A4" s="19" t="s">
        <v>6</v>
      </c>
      <c r="B4" s="137">
        <v>2.6999999999999886</v>
      </c>
      <c r="C4" s="138"/>
      <c r="E4" s="27" t="s">
        <v>158</v>
      </c>
      <c r="F4" s="24" t="s">
        <v>159</v>
      </c>
      <c r="G4" s="12">
        <v>24</v>
      </c>
      <c r="H4" s="88">
        <f>IF(B$20=0,0,G4/B$20)</f>
        <v>0.63157894736842102</v>
      </c>
      <c r="I4" s="58">
        <v>1</v>
      </c>
      <c r="K4" s="74">
        <v>2</v>
      </c>
      <c r="L4" s="119">
        <v>-49.2</v>
      </c>
      <c r="M4" s="117">
        <v>1366.375337305587</v>
      </c>
      <c r="O4" s="74" t="s">
        <v>129</v>
      </c>
      <c r="P4" s="80">
        <f t="shared" si="0"/>
        <v>1746.6666666666667</v>
      </c>
      <c r="Q4" s="77">
        <v>15</v>
      </c>
      <c r="R4" s="64">
        <v>26200</v>
      </c>
    </row>
    <row r="5" spans="1:18" x14ac:dyDescent="0.4">
      <c r="A5" s="19" t="s">
        <v>7</v>
      </c>
      <c r="B5" s="125">
        <f>IF(B$2=0,0,B$4/B$2)</f>
        <v>0.16874999999999929</v>
      </c>
      <c r="C5" s="126"/>
      <c r="E5" s="27" t="s">
        <v>72</v>
      </c>
      <c r="F5" s="24" t="s">
        <v>27</v>
      </c>
      <c r="G5" s="12">
        <v>16</v>
      </c>
      <c r="H5" s="88">
        <f>IF(B$20=0,0,G5/B$20)</f>
        <v>0.42105263157894735</v>
      </c>
      <c r="I5" s="58">
        <v>5</v>
      </c>
      <c r="K5" s="74">
        <v>3</v>
      </c>
      <c r="L5" s="119">
        <v>-61.7</v>
      </c>
      <c r="M5" s="117">
        <v>1365.3650852817534</v>
      </c>
      <c r="O5" s="74" t="s">
        <v>130</v>
      </c>
      <c r="P5" s="80">
        <f t="shared" si="0"/>
        <v>-3850</v>
      </c>
      <c r="Q5" s="77">
        <v>14</v>
      </c>
      <c r="R5" s="64">
        <v>-53900</v>
      </c>
    </row>
    <row r="6" spans="1:18" x14ac:dyDescent="0.4">
      <c r="A6" s="19" t="s">
        <v>192</v>
      </c>
      <c r="B6" s="129">
        <v>1392.7601128886215</v>
      </c>
      <c r="C6" s="130"/>
      <c r="E6" s="27" t="s">
        <v>67</v>
      </c>
      <c r="F6" s="24" t="s">
        <v>23</v>
      </c>
      <c r="G6" s="12">
        <v>14</v>
      </c>
      <c r="H6" s="88">
        <f>IF(B$20=0,0,G6/B$20)</f>
        <v>0.36842105263157893</v>
      </c>
      <c r="I6" s="58">
        <v>2</v>
      </c>
      <c r="K6" s="74">
        <v>4</v>
      </c>
      <c r="L6" s="119">
        <v>-49.6</v>
      </c>
      <c r="M6" s="117">
        <v>1368.7888947700628</v>
      </c>
      <c r="O6" s="74" t="s">
        <v>131</v>
      </c>
      <c r="P6" s="80">
        <f t="shared" si="0"/>
        <v>2842.8571428571427</v>
      </c>
      <c r="Q6" s="77">
        <v>14</v>
      </c>
      <c r="R6" s="64">
        <v>39800</v>
      </c>
    </row>
    <row r="7" spans="1:18" x14ac:dyDescent="0.4">
      <c r="A7" s="19" t="s">
        <v>1</v>
      </c>
      <c r="B7" s="139">
        <f>IF(B$2=0,0,(B$8*1+B$9*2+B$10*3)/B$2)</f>
        <v>2</v>
      </c>
      <c r="C7" s="140"/>
      <c r="E7" s="27" t="s">
        <v>68</v>
      </c>
      <c r="F7" s="24" t="s">
        <v>12</v>
      </c>
      <c r="G7" s="12">
        <v>12</v>
      </c>
      <c r="H7" s="88">
        <f>IF(B$20=0,0,G7/B$20)</f>
        <v>0.31578947368421051</v>
      </c>
      <c r="I7" s="58">
        <v>6</v>
      </c>
      <c r="K7" s="74">
        <v>5</v>
      </c>
      <c r="L7" s="119">
        <v>-51.4</v>
      </c>
      <c r="M7" s="117">
        <v>1369.6901614014425</v>
      </c>
      <c r="O7" s="75" t="s">
        <v>132</v>
      </c>
      <c r="P7" s="81">
        <f t="shared" si="0"/>
        <v>2692.3076923076924</v>
      </c>
      <c r="Q7" s="78">
        <v>13</v>
      </c>
      <c r="R7" s="65">
        <v>35000</v>
      </c>
    </row>
    <row r="8" spans="1:18" x14ac:dyDescent="0.4">
      <c r="A8" s="19" t="s">
        <v>2</v>
      </c>
      <c r="B8" s="12">
        <v>4</v>
      </c>
      <c r="C8" s="6">
        <f t="shared" ref="C8:C15" si="1">IF(B$2=0,0,B8/B$2)</f>
        <v>0.25</v>
      </c>
      <c r="E8" s="27" t="s">
        <v>69</v>
      </c>
      <c r="F8" s="24" t="s">
        <v>24</v>
      </c>
      <c r="G8" s="12">
        <v>8</v>
      </c>
      <c r="H8" s="88">
        <f>IF(B$20=0,0,G8/B$20)</f>
        <v>0.21052631578947367</v>
      </c>
      <c r="I8" s="58">
        <v>2</v>
      </c>
      <c r="K8" s="74">
        <v>6</v>
      </c>
      <c r="L8" s="119">
        <v>-106.9</v>
      </c>
      <c r="M8" s="117">
        <v>1360.9200204330339</v>
      </c>
      <c r="O8" s="107"/>
      <c r="P8" s="85"/>
      <c r="Q8" s="108"/>
      <c r="R8" s="70"/>
    </row>
    <row r="9" spans="1:18" x14ac:dyDescent="0.4">
      <c r="A9" s="19" t="s">
        <v>3</v>
      </c>
      <c r="B9" s="12">
        <v>8</v>
      </c>
      <c r="C9" s="6">
        <f t="shared" si="1"/>
        <v>0.5</v>
      </c>
      <c r="E9" s="27" t="s">
        <v>65</v>
      </c>
      <c r="F9" s="24" t="s">
        <v>21</v>
      </c>
      <c r="G9" s="12">
        <v>7</v>
      </c>
      <c r="H9" s="88">
        <f>IF(B$20=0,0,G9/B$20)</f>
        <v>0.18421052631578946</v>
      </c>
      <c r="I9" s="58">
        <v>3</v>
      </c>
      <c r="K9" s="74">
        <v>7</v>
      </c>
      <c r="L9" s="119">
        <v>-103.4</v>
      </c>
      <c r="M9" s="117">
        <v>1362.8225003104358</v>
      </c>
      <c r="O9" s="72" t="s">
        <v>149</v>
      </c>
      <c r="P9" s="4" t="s">
        <v>120</v>
      </c>
      <c r="Q9" s="106" t="s">
        <v>116</v>
      </c>
      <c r="R9" s="66" t="s">
        <v>147</v>
      </c>
    </row>
    <row r="10" spans="1:18" x14ac:dyDescent="0.4">
      <c r="A10" s="20" t="s">
        <v>4</v>
      </c>
      <c r="B10" s="13">
        <v>4</v>
      </c>
      <c r="C10" s="7">
        <f t="shared" si="1"/>
        <v>0.25</v>
      </c>
      <c r="E10" s="27" t="s">
        <v>70</v>
      </c>
      <c r="F10" s="24" t="s">
        <v>25</v>
      </c>
      <c r="G10" s="12">
        <v>5</v>
      </c>
      <c r="H10" s="88">
        <f>IF(B$20=0,0,G10/B$20)</f>
        <v>0.13157894736842105</v>
      </c>
      <c r="I10" s="58">
        <v>3</v>
      </c>
      <c r="K10" s="74">
        <v>8</v>
      </c>
      <c r="L10" s="119">
        <v>-62.800000000000004</v>
      </c>
      <c r="M10" s="117">
        <v>1371.3915653085733</v>
      </c>
      <c r="O10" s="73" t="s">
        <v>150</v>
      </c>
      <c r="P10" s="82">
        <f>IF(Q10=0,0,R10/Q10)</f>
        <v>-22.660000000000004</v>
      </c>
      <c r="Q10" s="76">
        <v>5</v>
      </c>
      <c r="R10" s="67">
        <v>-113.30000000000001</v>
      </c>
    </row>
    <row r="11" spans="1:18" x14ac:dyDescent="0.4">
      <c r="A11" s="20" t="s">
        <v>183</v>
      </c>
      <c r="B11" s="109">
        <f>IF(B8=0,0,C11/B8)</f>
        <v>50.95</v>
      </c>
      <c r="C11" s="110">
        <v>203.8</v>
      </c>
      <c r="E11" s="27" t="s">
        <v>89</v>
      </c>
      <c r="F11" s="24" t="s">
        <v>44</v>
      </c>
      <c r="G11" s="12">
        <v>4</v>
      </c>
      <c r="H11" s="88">
        <f>IF(B$20=0,0,G11/B$20)</f>
        <v>0.10526315789473684</v>
      </c>
      <c r="I11" s="58">
        <v>6</v>
      </c>
      <c r="K11" s="74">
        <v>9</v>
      </c>
      <c r="L11" s="119">
        <v>-28.6</v>
      </c>
      <c r="M11" s="117">
        <v>1378.7512159167218</v>
      </c>
      <c r="O11" s="74" t="s">
        <v>151</v>
      </c>
      <c r="P11" s="83">
        <f>IF(Q11=0,0,R11/Q11)</f>
        <v>-1.8000000000000003</v>
      </c>
      <c r="Q11" s="77">
        <v>7</v>
      </c>
      <c r="R11" s="68">
        <v>-12.600000000000001</v>
      </c>
    </row>
    <row r="12" spans="1:18" x14ac:dyDescent="0.4">
      <c r="A12" s="20" t="s">
        <v>184</v>
      </c>
      <c r="B12" s="109">
        <f>IF(B9=0,0,C12/B9)</f>
        <v>-0.27499999999999991</v>
      </c>
      <c r="C12" s="110">
        <v>-2.1999999999999993</v>
      </c>
      <c r="E12" s="27" t="s">
        <v>71</v>
      </c>
      <c r="F12" s="24" t="s">
        <v>26</v>
      </c>
      <c r="G12" s="12">
        <v>3</v>
      </c>
      <c r="H12" s="88">
        <f>IF(B$20=0,0,G12/B$20)</f>
        <v>7.8947368421052627E-2</v>
      </c>
      <c r="I12" s="58">
        <v>5</v>
      </c>
      <c r="K12" s="74">
        <v>10</v>
      </c>
      <c r="L12" s="119">
        <v>38.999999999999993</v>
      </c>
      <c r="M12" s="117">
        <v>1392.2167086212214</v>
      </c>
      <c r="O12" s="75" t="s">
        <v>152</v>
      </c>
      <c r="P12" s="84">
        <f>IF(Q12=0,0,R12/Q12)</f>
        <v>32.15</v>
      </c>
      <c r="Q12" s="78">
        <v>4</v>
      </c>
      <c r="R12" s="69">
        <v>128.6</v>
      </c>
    </row>
    <row r="13" spans="1:18" x14ac:dyDescent="0.4">
      <c r="A13" s="20" t="s">
        <v>185</v>
      </c>
      <c r="B13" s="109">
        <f>IF(B10=0,0,C13/B10)</f>
        <v>-49.725000000000001</v>
      </c>
      <c r="C13" s="110">
        <v>-198.9</v>
      </c>
      <c r="E13" s="27" t="s">
        <v>86</v>
      </c>
      <c r="F13" s="24" t="s">
        <v>41</v>
      </c>
      <c r="G13" s="12">
        <v>2</v>
      </c>
      <c r="H13" s="88">
        <f>IF(B$20=0,0,G13/B$20)</f>
        <v>5.2631578947368418E-2</v>
      </c>
      <c r="I13" s="58">
        <v>4</v>
      </c>
      <c r="K13" s="74">
        <v>11</v>
      </c>
      <c r="L13" s="119">
        <v>37.79999999999999</v>
      </c>
      <c r="M13" s="117">
        <v>1393.217408369494</v>
      </c>
      <c r="O13" s="103"/>
      <c r="P13" s="71"/>
      <c r="Q13" s="111"/>
      <c r="R13" s="71"/>
    </row>
    <row r="14" spans="1:18" x14ac:dyDescent="0.4">
      <c r="A14" s="20" t="s">
        <v>186</v>
      </c>
      <c r="B14" s="125">
        <f>AVERAGE(B11:B13)</f>
        <v>0.3166666666666676</v>
      </c>
      <c r="C14" s="126"/>
      <c r="E14" s="27" t="s">
        <v>73</v>
      </c>
      <c r="F14" s="24" t="s">
        <v>28</v>
      </c>
      <c r="G14" s="12">
        <v>1</v>
      </c>
      <c r="H14" s="88">
        <f>IF(B$20=0,0,G14/B$20)</f>
        <v>2.6315789473684209E-2</v>
      </c>
      <c r="I14" s="58">
        <v>3</v>
      </c>
      <c r="K14" s="74">
        <v>12</v>
      </c>
      <c r="L14" s="119">
        <v>40.199999999999989</v>
      </c>
      <c r="M14" s="117">
        <v>1394.860103919277</v>
      </c>
      <c r="O14" s="72" t="s">
        <v>146</v>
      </c>
      <c r="P14" s="4" t="s">
        <v>120</v>
      </c>
      <c r="Q14" s="106" t="s">
        <v>116</v>
      </c>
      <c r="R14" s="66" t="s">
        <v>147</v>
      </c>
    </row>
    <row r="15" spans="1:18" x14ac:dyDescent="0.4">
      <c r="A15" s="21" t="s">
        <v>18</v>
      </c>
      <c r="B15" s="14">
        <v>1</v>
      </c>
      <c r="C15" s="9">
        <f t="shared" si="1"/>
        <v>6.25E-2</v>
      </c>
      <c r="E15" s="27" t="s">
        <v>91</v>
      </c>
      <c r="F15" s="24" t="s">
        <v>46</v>
      </c>
      <c r="G15" s="12">
        <v>1</v>
      </c>
      <c r="H15" s="88">
        <f>IF(B$20=0,0,G15/B$20)</f>
        <v>2.6315789473684209E-2</v>
      </c>
      <c r="I15" s="58">
        <v>1</v>
      </c>
      <c r="K15" s="74">
        <v>13</v>
      </c>
      <c r="L15" s="119">
        <v>101.6</v>
      </c>
      <c r="M15" s="117">
        <v>1407.1189432957613</v>
      </c>
      <c r="O15" s="73" t="s">
        <v>209</v>
      </c>
      <c r="P15" s="82">
        <f>IF(Q15=0,0,R15/Q15)</f>
        <v>24.055555555555554</v>
      </c>
      <c r="Q15" s="76">
        <v>9</v>
      </c>
      <c r="R15" s="67">
        <v>216.49999999999997</v>
      </c>
    </row>
    <row r="16" spans="1:18" x14ac:dyDescent="0.4">
      <c r="A16" s="22" t="s">
        <v>121</v>
      </c>
      <c r="B16" s="15">
        <v>48</v>
      </c>
      <c r="C16" s="10">
        <f>IF(B$3=0,0,B16/B$3)</f>
        <v>0.36090225563909772</v>
      </c>
      <c r="E16" s="27" t="s">
        <v>74</v>
      </c>
      <c r="F16" s="24" t="s">
        <v>29</v>
      </c>
      <c r="G16" s="12">
        <v>0</v>
      </c>
      <c r="H16" s="88">
        <f>IF(B$20=0,0,G16/B$20)</f>
        <v>0</v>
      </c>
      <c r="I16" s="58">
        <v>4</v>
      </c>
      <c r="K16" s="74">
        <v>14</v>
      </c>
      <c r="L16" s="119">
        <v>91.899999999999991</v>
      </c>
      <c r="M16" s="117">
        <v>1406.5002296359867</v>
      </c>
      <c r="O16" s="74" t="s">
        <v>189</v>
      </c>
      <c r="P16" s="83">
        <f>IF(Q16=0,0,R16/Q16)</f>
        <v>8.9285714285714288</v>
      </c>
      <c r="Q16" s="77">
        <v>7</v>
      </c>
      <c r="R16" s="68">
        <v>62.5</v>
      </c>
    </row>
    <row r="17" spans="1:18" x14ac:dyDescent="0.4">
      <c r="A17" s="19" t="s">
        <v>118</v>
      </c>
      <c r="B17" s="12">
        <v>22</v>
      </c>
      <c r="C17" s="6">
        <f>IF(B$3=0,0,B17/B$3)</f>
        <v>0.16541353383458646</v>
      </c>
      <c r="E17" s="27" t="s">
        <v>75</v>
      </c>
      <c r="F17" s="24" t="s">
        <v>30</v>
      </c>
      <c r="G17" s="12">
        <v>0</v>
      </c>
      <c r="H17" s="88">
        <f>IF(B$20=0,0,G17/B$20)</f>
        <v>0</v>
      </c>
      <c r="I17" s="58">
        <v>3</v>
      </c>
      <c r="K17" s="74">
        <v>15</v>
      </c>
      <c r="L17" s="119">
        <v>46.79999999999999</v>
      </c>
      <c r="M17" s="117">
        <v>1399.5192282581706</v>
      </c>
      <c r="O17" s="74" t="s">
        <v>126</v>
      </c>
      <c r="P17" s="83">
        <f>IF(Q17=0,0,R17/Q17)</f>
        <v>-16.931250000000002</v>
      </c>
      <c r="Q17" s="77">
        <v>16</v>
      </c>
      <c r="R17" s="68">
        <v>-270.90000000000003</v>
      </c>
    </row>
    <row r="18" spans="1:18" x14ac:dyDescent="0.4">
      <c r="A18" s="18" t="s">
        <v>123</v>
      </c>
      <c r="B18" s="11">
        <f>B24</f>
        <v>25</v>
      </c>
      <c r="C18" s="5">
        <f>IF(B$16=0,0,B18/B$16)</f>
        <v>0.52083333333333337</v>
      </c>
      <c r="E18" s="27" t="s">
        <v>76</v>
      </c>
      <c r="F18" s="24" t="s">
        <v>31</v>
      </c>
      <c r="G18" s="12">
        <v>0</v>
      </c>
      <c r="H18" s="88">
        <f>IF(B$20=0,0,G18/B$20)</f>
        <v>0</v>
      </c>
      <c r="I18" s="58">
        <v>3</v>
      </c>
      <c r="K18" s="74">
        <v>16</v>
      </c>
      <c r="L18" s="119">
        <v>2.6999999999999886</v>
      </c>
      <c r="M18" s="117">
        <v>1392.7601128886215</v>
      </c>
    </row>
    <row r="19" spans="1:18" x14ac:dyDescent="0.4">
      <c r="A19" s="18" t="s">
        <v>124</v>
      </c>
      <c r="B19" s="11">
        <f>B25</f>
        <v>11</v>
      </c>
      <c r="C19" s="5">
        <f>IF(B$17=0,0,B19/B$17)</f>
        <v>0.5</v>
      </c>
      <c r="E19" s="27" t="s">
        <v>77</v>
      </c>
      <c r="F19" s="24" t="s">
        <v>32</v>
      </c>
      <c r="G19" s="12">
        <v>0</v>
      </c>
      <c r="H19" s="88">
        <f>IF(B$20=0,0,G19/B$20)</f>
        <v>0</v>
      </c>
      <c r="I19" s="58">
        <v>1</v>
      </c>
    </row>
    <row r="20" spans="1:18" x14ac:dyDescent="0.4">
      <c r="A20" s="18" t="s">
        <v>10</v>
      </c>
      <c r="B20" s="11">
        <f>B23+B22</f>
        <v>38</v>
      </c>
      <c r="C20" s="5">
        <f>IF(B$3=0,0,B20/B$3)</f>
        <v>0.2857142857142857</v>
      </c>
      <c r="E20" s="27" t="s">
        <v>78</v>
      </c>
      <c r="F20" s="24" t="s">
        <v>33</v>
      </c>
      <c r="G20" s="12">
        <v>0</v>
      </c>
      <c r="H20" s="88">
        <f>IF(B$20=0,0,G20/B$20)</f>
        <v>0</v>
      </c>
      <c r="I20" s="58">
        <v>6</v>
      </c>
    </row>
    <row r="21" spans="1:18" x14ac:dyDescent="0.4">
      <c r="A21" s="19" t="s">
        <v>13</v>
      </c>
      <c r="B21" s="12">
        <v>20</v>
      </c>
      <c r="C21" s="6">
        <f>IF(B$3=0,0,B21/B$3)</f>
        <v>0.15037593984962405</v>
      </c>
      <c r="E21" s="27" t="s">
        <v>79</v>
      </c>
      <c r="F21" s="24" t="s">
        <v>34</v>
      </c>
      <c r="G21" s="12">
        <v>0</v>
      </c>
      <c r="H21" s="88">
        <f>IF(B$20=0,0,G21/B$20)</f>
        <v>0</v>
      </c>
      <c r="I21" s="58">
        <v>3</v>
      </c>
    </row>
    <row r="22" spans="1:18" x14ac:dyDescent="0.4">
      <c r="A22" s="19" t="s">
        <v>12</v>
      </c>
      <c r="B22" s="12">
        <v>16</v>
      </c>
      <c r="C22" s="6">
        <f>IF(B$20=0,0,B22/B$20)</f>
        <v>0.42105263157894735</v>
      </c>
      <c r="E22" s="27" t="s">
        <v>80</v>
      </c>
      <c r="F22" s="24" t="s">
        <v>35</v>
      </c>
      <c r="G22" s="12">
        <v>0</v>
      </c>
      <c r="H22" s="88">
        <f>IF(B$20=0,0,G22/B$20)</f>
        <v>0</v>
      </c>
      <c r="I22" s="58">
        <v>1</v>
      </c>
    </row>
    <row r="23" spans="1:18" x14ac:dyDescent="0.4">
      <c r="A23" s="19" t="s">
        <v>11</v>
      </c>
      <c r="B23" s="12">
        <v>22</v>
      </c>
      <c r="C23" s="6">
        <f>IF(B$20=0,0,B23/B$20)</f>
        <v>0.57894736842105265</v>
      </c>
      <c r="E23" s="27" t="s">
        <v>81</v>
      </c>
      <c r="F23" s="24" t="s">
        <v>36</v>
      </c>
      <c r="G23" s="12">
        <v>0</v>
      </c>
      <c r="H23" s="88">
        <f>IF(B$20=0,0,G23/B$20)</f>
        <v>0</v>
      </c>
      <c r="I23" s="58">
        <v>6</v>
      </c>
    </row>
    <row r="24" spans="1:18" x14ac:dyDescent="0.4">
      <c r="A24" s="19" t="s">
        <v>182</v>
      </c>
      <c r="B24" s="12">
        <v>25</v>
      </c>
      <c r="C24" s="6">
        <f>IF(B$20=0,0,B24/B$20)</f>
        <v>0.65789473684210531</v>
      </c>
      <c r="E24" s="27" t="s">
        <v>82</v>
      </c>
      <c r="F24" s="24" t="s">
        <v>37</v>
      </c>
      <c r="G24" s="12">
        <v>0</v>
      </c>
      <c r="H24" s="88">
        <f>IF(B$20=0,0,G24/B$20)</f>
        <v>0</v>
      </c>
      <c r="I24" s="58">
        <v>1</v>
      </c>
    </row>
    <row r="25" spans="1:18" x14ac:dyDescent="0.4">
      <c r="A25" s="19" t="s">
        <v>180</v>
      </c>
      <c r="B25" s="12">
        <v>11</v>
      </c>
      <c r="C25" s="6">
        <f>IF(B$20=0,0,B25/B$20)</f>
        <v>0.28947368421052633</v>
      </c>
      <c r="E25" s="27" t="s">
        <v>83</v>
      </c>
      <c r="F25" s="24" t="s">
        <v>38</v>
      </c>
      <c r="G25" s="12">
        <v>0</v>
      </c>
      <c r="H25" s="88">
        <f>IF(B$20=0,0,G25/B$20)</f>
        <v>0</v>
      </c>
      <c r="I25" s="58">
        <v>6</v>
      </c>
    </row>
    <row r="26" spans="1:18" x14ac:dyDescent="0.4">
      <c r="A26" s="19" t="s">
        <v>181</v>
      </c>
      <c r="B26" s="12">
        <v>2</v>
      </c>
      <c r="C26" s="6">
        <f>IF(B$20=0,0,B26/B$20)</f>
        <v>5.2631578947368418E-2</v>
      </c>
      <c r="E26" s="27" t="s">
        <v>84</v>
      </c>
      <c r="F26" s="24" t="s">
        <v>39</v>
      </c>
      <c r="G26" s="12">
        <v>0</v>
      </c>
      <c r="H26" s="88">
        <f>IF(B$20=0,0,G26/B$20)</f>
        <v>0</v>
      </c>
      <c r="I26" s="58">
        <v>1</v>
      </c>
    </row>
    <row r="27" spans="1:18" x14ac:dyDescent="0.4">
      <c r="A27" s="19" t="s">
        <v>5</v>
      </c>
      <c r="B27" s="16">
        <f>IF(B$20=0,0,C27/B$20)</f>
        <v>9078.9473684210534</v>
      </c>
      <c r="C27" s="8">
        <v>345000</v>
      </c>
      <c r="E27" s="27" t="s">
        <v>85</v>
      </c>
      <c r="F27" s="24" t="s">
        <v>40</v>
      </c>
      <c r="G27" s="12">
        <v>0</v>
      </c>
      <c r="H27" s="88">
        <f>IF(B$20=0,0,G27/B$20)</f>
        <v>0</v>
      </c>
      <c r="I27" s="58">
        <v>1</v>
      </c>
    </row>
    <row r="28" spans="1:18" x14ac:dyDescent="0.4">
      <c r="A28" s="20" t="s">
        <v>164</v>
      </c>
      <c r="B28" s="95">
        <f>IF($B$20-B$19=0,0,C28/($B$20-B$19))</f>
        <v>10481.481481481482</v>
      </c>
      <c r="C28" s="96">
        <v>283000</v>
      </c>
      <c r="E28" s="27" t="s">
        <v>87</v>
      </c>
      <c r="F28" s="24" t="s">
        <v>42</v>
      </c>
      <c r="G28" s="12">
        <v>0</v>
      </c>
      <c r="H28" s="88">
        <f>IF(B$20=0,0,G28/B$20)</f>
        <v>0</v>
      </c>
      <c r="I28" s="58">
        <v>1</v>
      </c>
    </row>
    <row r="29" spans="1:18" x14ac:dyDescent="0.4">
      <c r="A29" s="20" t="s">
        <v>165</v>
      </c>
      <c r="B29" s="95">
        <f>IF(B$19=0,0,C29/B$19)</f>
        <v>5636.363636363636</v>
      </c>
      <c r="C29" s="96">
        <v>62000</v>
      </c>
      <c r="E29" s="27" t="s">
        <v>88</v>
      </c>
      <c r="F29" s="24" t="s">
        <v>43</v>
      </c>
      <c r="G29" s="12">
        <v>0</v>
      </c>
      <c r="H29" s="88">
        <f>IF(B$20=0,0,G29/B$20)</f>
        <v>0</v>
      </c>
      <c r="I29" s="58">
        <v>1</v>
      </c>
    </row>
    <row r="30" spans="1:18" x14ac:dyDescent="0.4">
      <c r="A30" s="20" t="s">
        <v>163</v>
      </c>
      <c r="B30" s="95">
        <f>IF(B$21=0,0,C30/B$21)</f>
        <v>-7555</v>
      </c>
      <c r="C30" s="96">
        <v>-151100</v>
      </c>
      <c r="E30" s="27" t="s">
        <v>90</v>
      </c>
      <c r="F30" s="24" t="s">
        <v>45</v>
      </c>
      <c r="G30" s="12">
        <v>0</v>
      </c>
      <c r="H30" s="88">
        <f>IF(B$20=0,0,G30/B$20)</f>
        <v>0</v>
      </c>
      <c r="I30" s="58">
        <v>1</v>
      </c>
    </row>
    <row r="31" spans="1:18" x14ac:dyDescent="0.4">
      <c r="A31" s="19" t="s">
        <v>156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1</v>
      </c>
    </row>
    <row r="32" spans="1:18" x14ac:dyDescent="0.4">
      <c r="A32" s="19" t="s">
        <v>157</v>
      </c>
      <c r="B32" s="12">
        <v>21</v>
      </c>
      <c r="C32" s="90">
        <v>0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">
      <c r="A33" s="54" t="s">
        <v>135</v>
      </c>
      <c r="B33" s="127">
        <v>4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3</v>
      </c>
    </row>
    <row r="34" spans="1:9" x14ac:dyDescent="0.4">
      <c r="A34" s="22" t="s">
        <v>179</v>
      </c>
      <c r="B34" s="129">
        <v>82600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136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170</v>
      </c>
      <c r="B37" s="123">
        <v>0</v>
      </c>
      <c r="C37" s="98">
        <f t="shared" ref="C37:C49" si="2">IF(B$20=0,0,B37/B$20)</f>
        <v>0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166</v>
      </c>
      <c r="B38" s="12">
        <v>7</v>
      </c>
      <c r="C38" s="6">
        <f t="shared" si="2"/>
        <v>0.18421052631578946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3</v>
      </c>
    </row>
    <row r="39" spans="1:9" x14ac:dyDescent="0.4">
      <c r="A39" s="19" t="s">
        <v>167</v>
      </c>
      <c r="B39" s="124">
        <v>6</v>
      </c>
      <c r="C39" s="6">
        <f t="shared" si="2"/>
        <v>0.15789473684210525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168</v>
      </c>
      <c r="B40" s="124">
        <v>12</v>
      </c>
      <c r="C40" s="6">
        <f t="shared" si="2"/>
        <v>0.31578947368421051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169</v>
      </c>
      <c r="B41" s="124">
        <v>5</v>
      </c>
      <c r="C41" s="6">
        <f t="shared" si="2"/>
        <v>0.13157894736842105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">
      <c r="A42" s="19" t="s">
        <v>171</v>
      </c>
      <c r="B42" s="124">
        <v>3</v>
      </c>
      <c r="C42" s="6">
        <f t="shared" si="2"/>
        <v>7.8947368421052627E-2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172</v>
      </c>
      <c r="B43" s="124">
        <v>3</v>
      </c>
      <c r="C43" s="6">
        <f t="shared" si="2"/>
        <v>7.8947368421052627E-2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173</v>
      </c>
      <c r="B44" s="124">
        <v>0</v>
      </c>
      <c r="C44" s="6">
        <f t="shared" si="2"/>
        <v>0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174</v>
      </c>
      <c r="B45" s="124">
        <v>2</v>
      </c>
      <c r="C45" s="6">
        <f t="shared" si="2"/>
        <v>5.2631578947368418E-2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">
      <c r="A46" s="19" t="s">
        <v>175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176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177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178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154</v>
      </c>
      <c r="F51" s="92" t="s">
        <v>155</v>
      </c>
      <c r="G51" s="13">
        <v>0</v>
      </c>
      <c r="H51" s="93">
        <f>IF(B$20=0,0,G51/B$20)</f>
        <v>0</v>
      </c>
      <c r="I51" s="94">
        <v>3</v>
      </c>
    </row>
    <row r="52" spans="1:9" x14ac:dyDescent="0.4">
      <c r="E52" s="28" t="s">
        <v>160</v>
      </c>
      <c r="F52" s="25" t="s">
        <v>161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17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6AC4C0-7D47-4235-A2C1-498E2E4B6B9E}">
  <sheetPr codeName="Sheet17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209</v>
      </c>
      <c r="C1" s="132"/>
      <c r="E1" s="104" t="s">
        <v>153</v>
      </c>
      <c r="F1" s="122" t="s">
        <v>115</v>
      </c>
      <c r="G1" s="121" t="s">
        <v>116</v>
      </c>
      <c r="H1" s="86" t="s">
        <v>117</v>
      </c>
      <c r="I1" s="122" t="s">
        <v>145</v>
      </c>
      <c r="K1" s="72" t="s">
        <v>19</v>
      </c>
      <c r="L1" s="4" t="s">
        <v>120</v>
      </c>
      <c r="M1" s="115" t="s">
        <v>193</v>
      </c>
      <c r="N1" s="105"/>
      <c r="O1" s="72" t="s">
        <v>133</v>
      </c>
      <c r="P1" s="4" t="s">
        <v>134</v>
      </c>
      <c r="Q1" s="106" t="s">
        <v>116</v>
      </c>
      <c r="R1" s="62" t="s">
        <v>147</v>
      </c>
    </row>
    <row r="2" spans="1:18" x14ac:dyDescent="0.4">
      <c r="A2" s="18" t="s">
        <v>9</v>
      </c>
      <c r="B2" s="133">
        <v>9</v>
      </c>
      <c r="C2" s="134"/>
      <c r="E2" s="26" t="s">
        <v>64</v>
      </c>
      <c r="F2" s="23" t="s">
        <v>20</v>
      </c>
      <c r="G2" s="11">
        <v>10</v>
      </c>
      <c r="H2" s="87">
        <f>IF(B$20=0,0,G2/B$20)</f>
        <v>0.66666666666666663</v>
      </c>
      <c r="I2" s="57">
        <v>2</v>
      </c>
      <c r="K2" s="73">
        <v>0</v>
      </c>
      <c r="L2" s="118">
        <v>0</v>
      </c>
      <c r="M2" s="116">
        <v>1497.379788</v>
      </c>
      <c r="O2" s="73" t="s">
        <v>127</v>
      </c>
      <c r="P2" s="79">
        <f t="shared" ref="P2:P7" si="0">IF(Q2=0,0,R2/Q2)</f>
        <v>-1177.7777777777778</v>
      </c>
      <c r="Q2" s="76">
        <v>9</v>
      </c>
      <c r="R2" s="63">
        <v>-10600</v>
      </c>
    </row>
    <row r="3" spans="1:18" x14ac:dyDescent="0.4">
      <c r="A3" s="19" t="s">
        <v>8</v>
      </c>
      <c r="B3" s="135">
        <v>72</v>
      </c>
      <c r="C3" s="136"/>
      <c r="E3" s="27" t="s">
        <v>68</v>
      </c>
      <c r="F3" s="24" t="s">
        <v>12</v>
      </c>
      <c r="G3" s="12">
        <v>9</v>
      </c>
      <c r="H3" s="88">
        <f>IF(B$20=0,0,G3/B$20)</f>
        <v>0.6</v>
      </c>
      <c r="I3" s="58">
        <v>1</v>
      </c>
      <c r="K3" s="74">
        <v>1</v>
      </c>
      <c r="L3" s="119">
        <v>-40.299999999999997</v>
      </c>
      <c r="M3" s="117">
        <v>1490.837509272</v>
      </c>
      <c r="O3" s="74" t="s">
        <v>128</v>
      </c>
      <c r="P3" s="80">
        <f t="shared" si="0"/>
        <v>-2933.3333333333335</v>
      </c>
      <c r="Q3" s="77">
        <v>9</v>
      </c>
      <c r="R3" s="64">
        <v>-26400</v>
      </c>
    </row>
    <row r="4" spans="1:18" x14ac:dyDescent="0.4">
      <c r="A4" s="19" t="s">
        <v>6</v>
      </c>
      <c r="B4" s="137">
        <v>-245.1</v>
      </c>
      <c r="C4" s="138"/>
      <c r="E4" s="27" t="s">
        <v>158</v>
      </c>
      <c r="F4" s="24" t="s">
        <v>159</v>
      </c>
      <c r="G4" s="12">
        <v>7</v>
      </c>
      <c r="H4" s="88">
        <f>IF(B$20=0,0,G4/B$20)</f>
        <v>0.46666666666666667</v>
      </c>
      <c r="I4" s="58">
        <v>5</v>
      </c>
      <c r="K4" s="74">
        <v>2</v>
      </c>
      <c r="L4" s="119">
        <v>-61.5</v>
      </c>
      <c r="M4" s="117">
        <v>1487.5144842163681</v>
      </c>
      <c r="O4" s="74" t="s">
        <v>129</v>
      </c>
      <c r="P4" s="80">
        <f t="shared" si="0"/>
        <v>-4550</v>
      </c>
      <c r="Q4" s="77">
        <v>8</v>
      </c>
      <c r="R4" s="64">
        <v>-36400</v>
      </c>
    </row>
    <row r="5" spans="1:18" x14ac:dyDescent="0.4">
      <c r="A5" s="19" t="s">
        <v>7</v>
      </c>
      <c r="B5" s="125">
        <f>IF(B$2=0,0,B$4/B$2)</f>
        <v>-27.233333333333334</v>
      </c>
      <c r="C5" s="126"/>
      <c r="E5" s="27" t="s">
        <v>72</v>
      </c>
      <c r="F5" s="24" t="s">
        <v>27</v>
      </c>
      <c r="G5" s="12">
        <v>6</v>
      </c>
      <c r="H5" s="88">
        <f>IF(B$20=0,0,G5/B$20)</f>
        <v>0.4</v>
      </c>
      <c r="I5" s="58">
        <v>6</v>
      </c>
      <c r="K5" s="74">
        <v>3</v>
      </c>
      <c r="L5" s="119">
        <v>-102</v>
      </c>
      <c r="M5" s="117">
        <v>1480.73739731107</v>
      </c>
      <c r="O5" s="74" t="s">
        <v>130</v>
      </c>
      <c r="P5" s="80">
        <f t="shared" si="0"/>
        <v>-1771.4285714285713</v>
      </c>
      <c r="Q5" s="77">
        <v>7</v>
      </c>
      <c r="R5" s="64">
        <v>-12400</v>
      </c>
    </row>
    <row r="6" spans="1:18" x14ac:dyDescent="0.4">
      <c r="A6" s="19" t="s">
        <v>192</v>
      </c>
      <c r="B6" s="129">
        <v>1458.4719141494811</v>
      </c>
      <c r="C6" s="130"/>
      <c r="E6" s="27" t="s">
        <v>67</v>
      </c>
      <c r="F6" s="24" t="s">
        <v>23</v>
      </c>
      <c r="G6" s="12">
        <v>5</v>
      </c>
      <c r="H6" s="88">
        <f>IF(B$20=0,0,G6/B$20)</f>
        <v>0.33333333333333331</v>
      </c>
      <c r="I6" s="58">
        <v>3</v>
      </c>
      <c r="K6" s="74">
        <v>4</v>
      </c>
      <c r="L6" s="119">
        <v>-148</v>
      </c>
      <c r="M6" s="117">
        <v>1473.0109729272035</v>
      </c>
      <c r="O6" s="74" t="s">
        <v>131</v>
      </c>
      <c r="P6" s="80">
        <f t="shared" si="0"/>
        <v>-6942.8571428571431</v>
      </c>
      <c r="Q6" s="77">
        <v>7</v>
      </c>
      <c r="R6" s="64">
        <v>-48600</v>
      </c>
    </row>
    <row r="7" spans="1:18" x14ac:dyDescent="0.4">
      <c r="A7" s="19" t="s">
        <v>1</v>
      </c>
      <c r="B7" s="139">
        <f>IF(B$2=0,0,(B$8*1+B$9*2+B$10*3)/B$2)</f>
        <v>2.5555555555555554</v>
      </c>
      <c r="C7" s="140"/>
      <c r="E7" s="27" t="s">
        <v>66</v>
      </c>
      <c r="F7" s="24" t="s">
        <v>22</v>
      </c>
      <c r="G7" s="12">
        <v>4</v>
      </c>
      <c r="H7" s="88">
        <f>IF(B$20=0,0,G7/B$20)</f>
        <v>0.26666666666666666</v>
      </c>
      <c r="I7" s="58">
        <v>7</v>
      </c>
      <c r="K7" s="74">
        <v>5</v>
      </c>
      <c r="L7" s="119">
        <v>-115.4</v>
      </c>
      <c r="M7" s="117">
        <v>1479.4789070896402</v>
      </c>
      <c r="O7" s="75" t="s">
        <v>132</v>
      </c>
      <c r="P7" s="81">
        <f t="shared" si="0"/>
        <v>-1528.5714285714287</v>
      </c>
      <c r="Q7" s="78">
        <v>7</v>
      </c>
      <c r="R7" s="65">
        <v>-10700</v>
      </c>
    </row>
    <row r="8" spans="1:18" x14ac:dyDescent="0.4">
      <c r="A8" s="19" t="s">
        <v>2</v>
      </c>
      <c r="B8" s="12">
        <v>1</v>
      </c>
      <c r="C8" s="6">
        <f t="shared" ref="C8:C15" si="1">IF(B$2=0,0,B8/B$2)</f>
        <v>0.1111111111111111</v>
      </c>
      <c r="E8" s="27" t="s">
        <v>70</v>
      </c>
      <c r="F8" s="24" t="s">
        <v>25</v>
      </c>
      <c r="G8" s="12">
        <v>3</v>
      </c>
      <c r="H8" s="88">
        <f>IF(B$20=0,0,G8/B$20)</f>
        <v>0.2</v>
      </c>
      <c r="I8" s="58">
        <v>1</v>
      </c>
      <c r="K8" s="74">
        <v>6</v>
      </c>
      <c r="L8" s="119">
        <v>-110.9</v>
      </c>
      <c r="M8" s="117">
        <v>1480.8500336471022</v>
      </c>
      <c r="O8" s="107"/>
      <c r="P8" s="85"/>
      <c r="Q8" s="108"/>
      <c r="R8" s="70"/>
    </row>
    <row r="9" spans="1:18" x14ac:dyDescent="0.4">
      <c r="A9" s="19" t="s">
        <v>3</v>
      </c>
      <c r="B9" s="12">
        <v>2</v>
      </c>
      <c r="C9" s="6">
        <f t="shared" si="1"/>
        <v>0.22222222222222221</v>
      </c>
      <c r="E9" s="27" t="s">
        <v>65</v>
      </c>
      <c r="F9" s="24" t="s">
        <v>21</v>
      </c>
      <c r="G9" s="12">
        <v>2</v>
      </c>
      <c r="H9" s="88">
        <f>IF(B$20=0,0,G9/B$20)</f>
        <v>0.13333333333333333</v>
      </c>
      <c r="I9" s="58">
        <v>5</v>
      </c>
      <c r="K9" s="74">
        <v>7</v>
      </c>
      <c r="L9" s="119">
        <v>-143.4</v>
      </c>
      <c r="M9" s="117">
        <v>1475.5529334452197</v>
      </c>
      <c r="O9" s="72" t="s">
        <v>149</v>
      </c>
      <c r="P9" s="4" t="s">
        <v>120</v>
      </c>
      <c r="Q9" s="106" t="s">
        <v>116</v>
      </c>
      <c r="R9" s="66" t="s">
        <v>147</v>
      </c>
    </row>
    <row r="10" spans="1:18" x14ac:dyDescent="0.4">
      <c r="A10" s="20" t="s">
        <v>4</v>
      </c>
      <c r="B10" s="13">
        <v>6</v>
      </c>
      <c r="C10" s="7">
        <f t="shared" si="1"/>
        <v>0.66666666666666663</v>
      </c>
      <c r="E10" s="27" t="s">
        <v>69</v>
      </c>
      <c r="F10" s="24" t="s">
        <v>24</v>
      </c>
      <c r="G10" s="12">
        <v>2</v>
      </c>
      <c r="H10" s="88">
        <f>IF(B$20=0,0,G10/B$20)</f>
        <v>0.13333333333333333</v>
      </c>
      <c r="I10" s="58">
        <v>5</v>
      </c>
      <c r="K10" s="74">
        <v>8</v>
      </c>
      <c r="L10" s="119">
        <v>-203.7</v>
      </c>
      <c r="M10" s="117">
        <v>1465.2836158445484</v>
      </c>
      <c r="O10" s="73" t="s">
        <v>150</v>
      </c>
      <c r="P10" s="82">
        <f>IF(Q10=0,0,R10/Q10)</f>
        <v>-39.14</v>
      </c>
      <c r="Q10" s="76">
        <v>5</v>
      </c>
      <c r="R10" s="67">
        <v>-195.70000000000002</v>
      </c>
    </row>
    <row r="11" spans="1:18" x14ac:dyDescent="0.4">
      <c r="A11" s="20" t="s">
        <v>183</v>
      </c>
      <c r="B11" s="109">
        <f>IF(B8=0,0,C11/B8)</f>
        <v>32.6</v>
      </c>
      <c r="C11" s="110">
        <v>32.6</v>
      </c>
      <c r="E11" s="27" t="s">
        <v>71</v>
      </c>
      <c r="F11" s="24" t="s">
        <v>26</v>
      </c>
      <c r="G11" s="12">
        <v>2</v>
      </c>
      <c r="H11" s="88">
        <f>IF(B$20=0,0,G11/B$20)</f>
        <v>0.13333333333333333</v>
      </c>
      <c r="I11" s="58">
        <v>2</v>
      </c>
      <c r="K11" s="74">
        <v>9</v>
      </c>
      <c r="L11" s="119">
        <v>-245.1</v>
      </c>
      <c r="M11" s="117">
        <v>1458.4719141494811</v>
      </c>
      <c r="O11" s="74" t="s">
        <v>151</v>
      </c>
      <c r="P11" s="83">
        <f>IF(Q11=0,0,R11/Q11)</f>
        <v>-43.25</v>
      </c>
      <c r="Q11" s="77">
        <v>2</v>
      </c>
      <c r="R11" s="68">
        <v>-86.5</v>
      </c>
    </row>
    <row r="12" spans="1:18" x14ac:dyDescent="0.4">
      <c r="A12" s="20" t="s">
        <v>184</v>
      </c>
      <c r="B12" s="109">
        <f>IF(B9=0,0,C12/B9)</f>
        <v>-8.35</v>
      </c>
      <c r="C12" s="110">
        <v>-16.7</v>
      </c>
      <c r="E12" s="27" t="s">
        <v>89</v>
      </c>
      <c r="F12" s="24" t="s">
        <v>44</v>
      </c>
      <c r="G12" s="12">
        <v>2</v>
      </c>
      <c r="H12" s="88">
        <f>IF(B$20=0,0,G12/B$20)</f>
        <v>0.13333333333333333</v>
      </c>
      <c r="I12" s="58">
        <v>2</v>
      </c>
      <c r="O12" s="75" t="s">
        <v>152</v>
      </c>
      <c r="P12" s="84">
        <f>IF(Q12=0,0,R12/Q12)</f>
        <v>18.55</v>
      </c>
      <c r="Q12" s="78">
        <v>2</v>
      </c>
      <c r="R12" s="69">
        <v>37.1</v>
      </c>
    </row>
    <row r="13" spans="1:18" x14ac:dyDescent="0.4">
      <c r="A13" s="20" t="s">
        <v>185</v>
      </c>
      <c r="B13" s="109">
        <f>IF(B10=0,0,C13/B10)</f>
        <v>-43.5</v>
      </c>
      <c r="C13" s="110">
        <v>-261</v>
      </c>
      <c r="E13" s="27" t="s">
        <v>73</v>
      </c>
      <c r="F13" s="24" t="s">
        <v>28</v>
      </c>
      <c r="G13" s="12">
        <v>1</v>
      </c>
      <c r="H13" s="88">
        <f>IF(B$20=0,0,G13/B$20)</f>
        <v>6.6666666666666666E-2</v>
      </c>
      <c r="I13" s="58">
        <v>1</v>
      </c>
      <c r="O13" s="103"/>
      <c r="P13" s="71"/>
      <c r="Q13" s="111"/>
      <c r="R13" s="71"/>
    </row>
    <row r="14" spans="1:18" x14ac:dyDescent="0.4">
      <c r="A14" s="20" t="s">
        <v>186</v>
      </c>
      <c r="B14" s="125">
        <f>AVERAGE(B11:B13)</f>
        <v>-6.416666666666667</v>
      </c>
      <c r="C14" s="126"/>
      <c r="E14" s="27" t="s">
        <v>74</v>
      </c>
      <c r="F14" s="24" t="s">
        <v>29</v>
      </c>
      <c r="G14" s="12">
        <v>0</v>
      </c>
      <c r="H14" s="88">
        <f>IF(B$20=0,0,G14/B$20)</f>
        <v>0</v>
      </c>
      <c r="I14" s="58">
        <v>4</v>
      </c>
      <c r="O14" s="72" t="s">
        <v>146</v>
      </c>
      <c r="P14" s="4" t="s">
        <v>120</v>
      </c>
      <c r="Q14" s="106" t="s">
        <v>116</v>
      </c>
      <c r="R14" s="66" t="s">
        <v>147</v>
      </c>
    </row>
    <row r="15" spans="1:18" x14ac:dyDescent="0.4">
      <c r="A15" s="21" t="s">
        <v>18</v>
      </c>
      <c r="B15" s="14">
        <v>1</v>
      </c>
      <c r="C15" s="9">
        <f t="shared" si="1"/>
        <v>0.1111111111111111</v>
      </c>
      <c r="E15" s="27" t="s">
        <v>75</v>
      </c>
      <c r="F15" s="24" t="s">
        <v>30</v>
      </c>
      <c r="G15" s="12">
        <v>0</v>
      </c>
      <c r="H15" s="88">
        <f>IF(B$20=0,0,G15/B$20)</f>
        <v>0</v>
      </c>
      <c r="I15" s="58">
        <v>3</v>
      </c>
      <c r="O15" s="73" t="s">
        <v>191</v>
      </c>
      <c r="P15" s="82">
        <f>IF(Q15=0,0,R15/Q15)</f>
        <v>-24.055555555555557</v>
      </c>
      <c r="Q15" s="76">
        <v>9</v>
      </c>
      <c r="R15" s="67">
        <v>-216.5</v>
      </c>
    </row>
    <row r="16" spans="1:18" x14ac:dyDescent="0.4">
      <c r="A16" s="22" t="s">
        <v>121</v>
      </c>
      <c r="B16" s="15">
        <v>20</v>
      </c>
      <c r="C16" s="10">
        <f>IF(B$3=0,0,B16/B$3)</f>
        <v>0.27777777777777779</v>
      </c>
      <c r="E16" s="27" t="s">
        <v>76</v>
      </c>
      <c r="F16" s="24" t="s">
        <v>31</v>
      </c>
      <c r="G16" s="12">
        <v>0</v>
      </c>
      <c r="H16" s="88">
        <f>IF(B$20=0,0,G16/B$20)</f>
        <v>0</v>
      </c>
      <c r="I16" s="58">
        <v>3</v>
      </c>
      <c r="O16" s="74" t="s">
        <v>126</v>
      </c>
      <c r="P16" s="83">
        <f>IF(Q16=0,0,R16/Q16)</f>
        <v>-57.644444444444439</v>
      </c>
      <c r="Q16" s="77">
        <v>9</v>
      </c>
      <c r="R16" s="68">
        <v>-518.79999999999995</v>
      </c>
    </row>
    <row r="17" spans="1:9" x14ac:dyDescent="0.4">
      <c r="A17" s="19" t="s">
        <v>118</v>
      </c>
      <c r="B17" s="12">
        <v>16</v>
      </c>
      <c r="C17" s="6">
        <f>IF(B$3=0,0,B17/B$3)</f>
        <v>0.22222222222222221</v>
      </c>
      <c r="E17" s="27" t="s">
        <v>77</v>
      </c>
      <c r="F17" s="24" t="s">
        <v>32</v>
      </c>
      <c r="G17" s="12">
        <v>0</v>
      </c>
      <c r="H17" s="88">
        <f>IF(B$20=0,0,G17/B$20)</f>
        <v>0</v>
      </c>
      <c r="I17" s="58">
        <v>1</v>
      </c>
    </row>
    <row r="18" spans="1:9" x14ac:dyDescent="0.4">
      <c r="A18" s="18" t="s">
        <v>123</v>
      </c>
      <c r="B18" s="11">
        <f>B24</f>
        <v>10</v>
      </c>
      <c r="C18" s="5">
        <f>IF(B$16=0,0,B18/B$16)</f>
        <v>0.5</v>
      </c>
      <c r="E18" s="27" t="s">
        <v>78</v>
      </c>
      <c r="F18" s="24" t="s">
        <v>33</v>
      </c>
      <c r="G18" s="12">
        <v>0</v>
      </c>
      <c r="H18" s="88">
        <f>IF(B$20=0,0,G18/B$20)</f>
        <v>0</v>
      </c>
      <c r="I18" s="58">
        <v>6</v>
      </c>
    </row>
    <row r="19" spans="1:9" x14ac:dyDescent="0.4">
      <c r="A19" s="18" t="s">
        <v>124</v>
      </c>
      <c r="B19" s="11">
        <f>B25</f>
        <v>3</v>
      </c>
      <c r="C19" s="5">
        <f>IF(B$17=0,0,B19/B$17)</f>
        <v>0.1875</v>
      </c>
      <c r="E19" s="27" t="s">
        <v>79</v>
      </c>
      <c r="F19" s="24" t="s">
        <v>34</v>
      </c>
      <c r="G19" s="12">
        <v>0</v>
      </c>
      <c r="H19" s="88">
        <f>IF(B$20=0,0,G19/B$20)</f>
        <v>0</v>
      </c>
      <c r="I19" s="58">
        <v>3</v>
      </c>
    </row>
    <row r="20" spans="1:9" x14ac:dyDescent="0.4">
      <c r="A20" s="18" t="s">
        <v>10</v>
      </c>
      <c r="B20" s="11">
        <f>B23+B22</f>
        <v>15</v>
      </c>
      <c r="C20" s="5">
        <f>IF(B$3=0,0,B20/B$3)</f>
        <v>0.20833333333333334</v>
      </c>
      <c r="E20" s="27" t="s">
        <v>80</v>
      </c>
      <c r="F20" s="24" t="s">
        <v>35</v>
      </c>
      <c r="G20" s="12">
        <v>0</v>
      </c>
      <c r="H20" s="88">
        <f>IF(B$20=0,0,G20/B$20)</f>
        <v>0</v>
      </c>
      <c r="I20" s="58">
        <v>1</v>
      </c>
    </row>
    <row r="21" spans="1:9" x14ac:dyDescent="0.4">
      <c r="A21" s="19" t="s">
        <v>13</v>
      </c>
      <c r="B21" s="12">
        <v>19</v>
      </c>
      <c r="C21" s="6">
        <f>IF(B$3=0,0,B21/B$3)</f>
        <v>0.2638888888888889</v>
      </c>
      <c r="E21" s="27" t="s">
        <v>81</v>
      </c>
      <c r="F21" s="24" t="s">
        <v>36</v>
      </c>
      <c r="G21" s="12">
        <v>0</v>
      </c>
      <c r="H21" s="88">
        <f>IF(B$20=0,0,G21/B$20)</f>
        <v>0</v>
      </c>
      <c r="I21" s="58">
        <v>6</v>
      </c>
    </row>
    <row r="22" spans="1:9" x14ac:dyDescent="0.4">
      <c r="A22" s="19" t="s">
        <v>12</v>
      </c>
      <c r="B22" s="12">
        <v>10</v>
      </c>
      <c r="C22" s="6">
        <f>IF(B$20=0,0,B22/B$20)</f>
        <v>0.66666666666666663</v>
      </c>
      <c r="E22" s="27" t="s">
        <v>82</v>
      </c>
      <c r="F22" s="24" t="s">
        <v>37</v>
      </c>
      <c r="G22" s="12">
        <v>0</v>
      </c>
      <c r="H22" s="88">
        <f>IF(B$20=0,0,G22/B$20)</f>
        <v>0</v>
      </c>
      <c r="I22" s="58">
        <v>1</v>
      </c>
    </row>
    <row r="23" spans="1:9" x14ac:dyDescent="0.4">
      <c r="A23" s="19" t="s">
        <v>11</v>
      </c>
      <c r="B23" s="12">
        <v>5</v>
      </c>
      <c r="C23" s="6">
        <f>IF(B$20=0,0,B23/B$20)</f>
        <v>0.33333333333333331</v>
      </c>
      <c r="E23" s="27" t="s">
        <v>83</v>
      </c>
      <c r="F23" s="24" t="s">
        <v>38</v>
      </c>
      <c r="G23" s="12">
        <v>0</v>
      </c>
      <c r="H23" s="88">
        <f>IF(B$20=0,0,G23/B$20)</f>
        <v>0</v>
      </c>
      <c r="I23" s="58">
        <v>6</v>
      </c>
    </row>
    <row r="24" spans="1:9" x14ac:dyDescent="0.4">
      <c r="A24" s="19" t="s">
        <v>182</v>
      </c>
      <c r="B24" s="12">
        <v>10</v>
      </c>
      <c r="C24" s="6">
        <f>IF(B$20=0,0,B24/B$20)</f>
        <v>0.66666666666666663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1</v>
      </c>
    </row>
    <row r="25" spans="1:9" x14ac:dyDescent="0.4">
      <c r="A25" s="19" t="s">
        <v>180</v>
      </c>
      <c r="B25" s="12">
        <v>3</v>
      </c>
      <c r="C25" s="6">
        <f>IF(B$20=0,0,B25/B$20)</f>
        <v>0.2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1</v>
      </c>
    </row>
    <row r="26" spans="1:9" x14ac:dyDescent="0.4">
      <c r="A26" s="19" t="s">
        <v>181</v>
      </c>
      <c r="B26" s="12">
        <v>2</v>
      </c>
      <c r="C26" s="6">
        <f>IF(B$20=0,0,B26/B$20)</f>
        <v>0.13333333333333333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7</v>
      </c>
    </row>
    <row r="27" spans="1:9" x14ac:dyDescent="0.4">
      <c r="A27" s="19" t="s">
        <v>5</v>
      </c>
      <c r="B27" s="16">
        <f>IF(B$20=0,0,C27/B$20)</f>
        <v>6533.333333333333</v>
      </c>
      <c r="C27" s="8">
        <v>98000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9" x14ac:dyDescent="0.4">
      <c r="A28" s="20" t="s">
        <v>164</v>
      </c>
      <c r="B28" s="95">
        <f>IF($B$20-B$19=0,0,C28/($B$20-B$19))</f>
        <v>6666.666666666667</v>
      </c>
      <c r="C28" s="96">
        <v>80000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1</v>
      </c>
    </row>
    <row r="29" spans="1:9" x14ac:dyDescent="0.4">
      <c r="A29" s="20" t="s">
        <v>165</v>
      </c>
      <c r="B29" s="95">
        <f>IF(B$19=0,0,C29/B$19)</f>
        <v>6000</v>
      </c>
      <c r="C29" s="96">
        <v>18000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1</v>
      </c>
    </row>
    <row r="30" spans="1:9" x14ac:dyDescent="0.4">
      <c r="A30" s="20" t="s">
        <v>163</v>
      </c>
      <c r="B30" s="95">
        <f>IF(B$21=0,0,C30/B$21)</f>
        <v>-8863.1578947368416</v>
      </c>
      <c r="C30" s="96">
        <v>-168400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5</v>
      </c>
    </row>
    <row r="31" spans="1:9" x14ac:dyDescent="0.4">
      <c r="A31" s="19" t="s">
        <v>156</v>
      </c>
      <c r="B31" s="12">
        <v>2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1</v>
      </c>
    </row>
    <row r="32" spans="1:9" x14ac:dyDescent="0.4">
      <c r="A32" s="19" t="s">
        <v>157</v>
      </c>
      <c r="B32" s="12">
        <v>10</v>
      </c>
      <c r="C32" s="90">
        <v>0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">
      <c r="A33" s="54" t="s">
        <v>135</v>
      </c>
      <c r="B33" s="127">
        <v>2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3</v>
      </c>
    </row>
    <row r="34" spans="1:9" x14ac:dyDescent="0.4">
      <c r="A34" s="22" t="s">
        <v>179</v>
      </c>
      <c r="B34" s="129">
        <v>47600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136</v>
      </c>
      <c r="B35" s="29">
        <v>1</v>
      </c>
      <c r="C35" s="9">
        <f>IF(B$3=0,0,B35/B$3)</f>
        <v>1.3888888888888888E-2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170</v>
      </c>
      <c r="B37" s="123">
        <v>1</v>
      </c>
      <c r="C37" s="98">
        <f t="shared" ref="C37:C49" si="2">IF(B$20=0,0,B37/B$20)</f>
        <v>6.6666666666666666E-2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166</v>
      </c>
      <c r="B38" s="12">
        <v>3</v>
      </c>
      <c r="C38" s="6">
        <f t="shared" si="2"/>
        <v>0.2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3</v>
      </c>
    </row>
    <row r="39" spans="1:9" x14ac:dyDescent="0.4">
      <c r="A39" s="19" t="s">
        <v>167</v>
      </c>
      <c r="B39" s="124">
        <v>1</v>
      </c>
      <c r="C39" s="6">
        <f t="shared" si="2"/>
        <v>6.6666666666666666E-2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168</v>
      </c>
      <c r="B40" s="124">
        <v>5</v>
      </c>
      <c r="C40" s="6">
        <f t="shared" si="2"/>
        <v>0.33333333333333331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169</v>
      </c>
      <c r="B41" s="124">
        <v>5</v>
      </c>
      <c r="C41" s="6">
        <f t="shared" si="2"/>
        <v>0.33333333333333331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">
      <c r="A42" s="19" t="s">
        <v>171</v>
      </c>
      <c r="B42" s="124">
        <v>0</v>
      </c>
      <c r="C42" s="6">
        <f t="shared" si="2"/>
        <v>0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172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173</v>
      </c>
      <c r="B44" s="124">
        <v>0</v>
      </c>
      <c r="C44" s="6">
        <f t="shared" si="2"/>
        <v>0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174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">
      <c r="A46" s="19" t="s">
        <v>175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176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177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178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154</v>
      </c>
      <c r="F51" s="92" t="s">
        <v>155</v>
      </c>
      <c r="G51" s="13">
        <v>0</v>
      </c>
      <c r="H51" s="93">
        <f>IF(B$20=0,0,G51/B$20)</f>
        <v>0</v>
      </c>
      <c r="I51" s="94">
        <v>3</v>
      </c>
    </row>
    <row r="52" spans="1:9" x14ac:dyDescent="0.4">
      <c r="E52" s="28" t="s">
        <v>160</v>
      </c>
      <c r="F52" s="25" t="s">
        <v>161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16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31062-0CA5-4CEF-9B83-32627A111B74}">
  <sheetPr codeName="Sheet18"/>
  <dimension ref="A1:Q12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209</v>
      </c>
      <c r="B1" s="34" t="s">
        <v>209</v>
      </c>
      <c r="C1" s="34" t="s">
        <v>209</v>
      </c>
      <c r="D1" s="35" t="s">
        <v>209</v>
      </c>
      <c r="E1" s="34" t="s">
        <v>209</v>
      </c>
      <c r="F1" s="34" t="s">
        <v>209</v>
      </c>
      <c r="G1" s="34" t="s">
        <v>209</v>
      </c>
      <c r="H1" s="34" t="s">
        <v>209</v>
      </c>
      <c r="I1" s="34" t="s">
        <v>209</v>
      </c>
      <c r="J1" s="34" t="s">
        <v>209</v>
      </c>
      <c r="K1" s="34" t="s">
        <v>209</v>
      </c>
      <c r="L1" s="34" t="s">
        <v>209</v>
      </c>
      <c r="M1" s="34" t="s">
        <v>209</v>
      </c>
      <c r="N1" s="34" t="s">
        <v>209</v>
      </c>
      <c r="O1" s="34" t="s">
        <v>209</v>
      </c>
      <c r="P1" s="34" t="s">
        <v>209</v>
      </c>
      <c r="Q1" s="34" t="s">
        <v>209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148</v>
      </c>
      <c r="G2" s="34" t="s">
        <v>140</v>
      </c>
      <c r="H2" s="34" t="s">
        <v>139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141</v>
      </c>
      <c r="P2" s="34" t="s">
        <v>137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-40.299999999999997</v>
      </c>
      <c r="C4" s="30">
        <v>-40.299999999999997</v>
      </c>
      <c r="D4" s="35">
        <v>3</v>
      </c>
      <c r="E4" s="31">
        <v>0</v>
      </c>
      <c r="F4" s="31">
        <v>1</v>
      </c>
      <c r="G4" s="31">
        <v>0.25</v>
      </c>
      <c r="H4" s="31">
        <v>0.375</v>
      </c>
      <c r="I4" s="32">
        <v>7200</v>
      </c>
      <c r="J4" s="32">
        <v>-9333.3333333333339</v>
      </c>
      <c r="K4" s="31">
        <v>0</v>
      </c>
      <c r="L4" s="31">
        <v>0.25</v>
      </c>
      <c r="M4" s="31">
        <v>0.125</v>
      </c>
      <c r="N4" s="31">
        <v>0.5</v>
      </c>
      <c r="O4" s="31">
        <v>0</v>
      </c>
      <c r="P4" s="31">
        <v>0.5</v>
      </c>
    </row>
    <row r="5" spans="1:17" x14ac:dyDescent="0.4">
      <c r="A5" s="33">
        <v>2</v>
      </c>
      <c r="B5" s="30">
        <v>-61.5</v>
      </c>
      <c r="C5" s="30">
        <v>-30.75</v>
      </c>
      <c r="D5" s="35">
        <v>2.5</v>
      </c>
      <c r="E5" s="31">
        <v>0</v>
      </c>
      <c r="F5" s="31">
        <v>0.5</v>
      </c>
      <c r="G5" s="31">
        <v>0.22222222222222221</v>
      </c>
      <c r="H5" s="31">
        <v>0.27777777777777779</v>
      </c>
      <c r="I5" s="32">
        <v>6225</v>
      </c>
      <c r="J5" s="32">
        <v>-11440</v>
      </c>
      <c r="K5" s="31">
        <v>0</v>
      </c>
      <c r="L5" s="31">
        <v>0.27777777777777779</v>
      </c>
      <c r="M5" s="31">
        <v>0.1111111111111111</v>
      </c>
      <c r="N5" s="31">
        <v>0.6</v>
      </c>
      <c r="O5" s="31">
        <v>0</v>
      </c>
      <c r="P5" s="31">
        <v>0.75</v>
      </c>
    </row>
    <row r="6" spans="1:17" x14ac:dyDescent="0.4">
      <c r="A6" s="33">
        <v>3</v>
      </c>
      <c r="B6" s="30">
        <v>-102</v>
      </c>
      <c r="C6" s="30">
        <v>-34</v>
      </c>
      <c r="D6" s="35">
        <v>2.6666666666666665</v>
      </c>
      <c r="E6" s="31">
        <v>0</v>
      </c>
      <c r="F6" s="31">
        <v>0.66666666666666663</v>
      </c>
      <c r="G6" s="31">
        <v>0.21428571428571427</v>
      </c>
      <c r="H6" s="31">
        <v>0.25</v>
      </c>
      <c r="I6" s="32">
        <v>5700</v>
      </c>
      <c r="J6" s="32">
        <v>-10442.857142857143</v>
      </c>
      <c r="K6" s="31">
        <v>0</v>
      </c>
      <c r="L6" s="31">
        <v>0.39285714285714285</v>
      </c>
      <c r="M6" s="31">
        <v>0.10714285714285714</v>
      </c>
      <c r="N6" s="31">
        <v>0.45454545454545453</v>
      </c>
      <c r="O6" s="31">
        <v>0</v>
      </c>
      <c r="P6" s="31">
        <v>0.66666666666666663</v>
      </c>
    </row>
    <row r="7" spans="1:17" x14ac:dyDescent="0.4">
      <c r="A7" s="33">
        <v>4</v>
      </c>
      <c r="B7" s="30">
        <v>-148</v>
      </c>
      <c r="C7" s="30">
        <v>-37</v>
      </c>
      <c r="D7" s="35">
        <v>2.75</v>
      </c>
      <c r="E7" s="31">
        <v>0</v>
      </c>
      <c r="F7" s="31">
        <v>0.75</v>
      </c>
      <c r="G7" s="31">
        <v>0.1891891891891892</v>
      </c>
      <c r="H7" s="31">
        <v>0.27027027027027029</v>
      </c>
      <c r="I7" s="32">
        <v>6028.5714285714284</v>
      </c>
      <c r="J7" s="32">
        <v>-9080</v>
      </c>
      <c r="K7" s="31">
        <v>0</v>
      </c>
      <c r="L7" s="31">
        <v>0.35135135135135137</v>
      </c>
      <c r="M7" s="31">
        <v>0.13513513513513514</v>
      </c>
      <c r="N7" s="31">
        <v>0.38461538461538464</v>
      </c>
      <c r="O7" s="31">
        <v>0.2</v>
      </c>
      <c r="P7" s="31">
        <v>0.5714285714285714</v>
      </c>
    </row>
    <row r="8" spans="1:17" x14ac:dyDescent="0.4">
      <c r="A8" s="33">
        <v>5</v>
      </c>
      <c r="B8" s="30">
        <v>-115.4</v>
      </c>
      <c r="C8" s="30">
        <v>-23.080000000000002</v>
      </c>
      <c r="D8" s="35">
        <v>2.4</v>
      </c>
      <c r="E8" s="31">
        <v>0.2</v>
      </c>
      <c r="F8" s="31">
        <v>0.6</v>
      </c>
      <c r="G8" s="31">
        <v>0.22727272727272727</v>
      </c>
      <c r="H8" s="31">
        <v>0.25</v>
      </c>
      <c r="I8" s="32">
        <v>6430</v>
      </c>
      <c r="J8" s="32">
        <v>-8981.818181818182</v>
      </c>
      <c r="K8" s="31">
        <v>0</v>
      </c>
      <c r="L8" s="31">
        <v>0.34090909090909088</v>
      </c>
      <c r="M8" s="31">
        <v>0.13636363636363635</v>
      </c>
      <c r="N8" s="31">
        <v>0.46666666666666667</v>
      </c>
      <c r="O8" s="31">
        <v>0.16666666666666666</v>
      </c>
      <c r="P8" s="31">
        <v>0.7</v>
      </c>
    </row>
    <row r="9" spans="1:17" x14ac:dyDescent="0.4">
      <c r="A9" s="33">
        <v>6</v>
      </c>
      <c r="B9" s="30">
        <v>-110.9</v>
      </c>
      <c r="C9" s="30">
        <v>-18.483333333333334</v>
      </c>
      <c r="D9" s="35">
        <v>2.3333333333333335</v>
      </c>
      <c r="E9" s="31">
        <v>0.16666666666666666</v>
      </c>
      <c r="F9" s="31">
        <v>0.5</v>
      </c>
      <c r="G9" s="31">
        <v>0.23404255319148937</v>
      </c>
      <c r="H9" s="31">
        <v>0.23404255319148937</v>
      </c>
      <c r="I9" s="32">
        <v>6572.727272727273</v>
      </c>
      <c r="J9" s="32">
        <v>-8981.818181818182</v>
      </c>
      <c r="K9" s="31">
        <v>0</v>
      </c>
      <c r="L9" s="31">
        <v>0.34042553191489361</v>
      </c>
      <c r="M9" s="31">
        <v>0.1702127659574468</v>
      </c>
      <c r="N9" s="31">
        <v>0.5</v>
      </c>
      <c r="O9" s="31">
        <v>0.125</v>
      </c>
      <c r="P9" s="31">
        <v>0.63636363636363635</v>
      </c>
    </row>
    <row r="10" spans="1:17" x14ac:dyDescent="0.4">
      <c r="A10" s="33">
        <v>7</v>
      </c>
      <c r="B10" s="30">
        <v>-143.4</v>
      </c>
      <c r="C10" s="30">
        <v>-20.485714285714288</v>
      </c>
      <c r="D10" s="35">
        <v>2.4285714285714284</v>
      </c>
      <c r="E10" s="31">
        <v>0.14285714285714285</v>
      </c>
      <c r="F10" s="31">
        <v>0.5714285714285714</v>
      </c>
      <c r="G10" s="31">
        <v>0.22222222222222221</v>
      </c>
      <c r="H10" s="31">
        <v>0.25925925925925924</v>
      </c>
      <c r="I10" s="32">
        <v>6691.666666666667</v>
      </c>
      <c r="J10" s="32">
        <v>-8628.5714285714294</v>
      </c>
      <c r="K10" s="31">
        <v>0</v>
      </c>
      <c r="L10" s="31">
        <v>0.29629629629629628</v>
      </c>
      <c r="M10" s="31">
        <v>0.20370370370370369</v>
      </c>
      <c r="N10" s="31">
        <v>0.5</v>
      </c>
      <c r="O10" s="31">
        <v>0.18181818181818182</v>
      </c>
      <c r="P10" s="31">
        <v>0.66666666666666663</v>
      </c>
    </row>
    <row r="11" spans="1:17" x14ac:dyDescent="0.4">
      <c r="A11" s="33">
        <v>8</v>
      </c>
      <c r="B11" s="30">
        <v>-203.7</v>
      </c>
      <c r="C11" s="30">
        <v>-25.462499999999999</v>
      </c>
      <c r="D11" s="35">
        <v>2.5</v>
      </c>
      <c r="E11" s="31">
        <v>0.125</v>
      </c>
      <c r="F11" s="31">
        <v>0.625</v>
      </c>
      <c r="G11" s="31">
        <v>0.2</v>
      </c>
      <c r="H11" s="31">
        <v>0.26666666666666666</v>
      </c>
      <c r="I11" s="32">
        <v>6691.666666666667</v>
      </c>
      <c r="J11" s="32">
        <v>-9050</v>
      </c>
      <c r="K11" s="31">
        <v>0.125</v>
      </c>
      <c r="L11" s="31">
        <v>0.28333333333333333</v>
      </c>
      <c r="M11" s="31">
        <v>0.21666666666666667</v>
      </c>
      <c r="N11" s="31">
        <v>0.47058823529411764</v>
      </c>
      <c r="O11" s="31">
        <v>0.15384615384615385</v>
      </c>
      <c r="P11" s="31">
        <v>0.66666666666666663</v>
      </c>
    </row>
    <row r="12" spans="1:17" x14ac:dyDescent="0.4">
      <c r="A12" s="33">
        <v>9</v>
      </c>
      <c r="B12" s="30">
        <v>-245.1</v>
      </c>
      <c r="C12" s="30">
        <v>-27.233333333333334</v>
      </c>
      <c r="D12" s="35">
        <v>2.5555555555555554</v>
      </c>
      <c r="E12" s="31">
        <v>0.1111111111111111</v>
      </c>
      <c r="F12" s="31">
        <v>0.66666666666666663</v>
      </c>
      <c r="G12" s="31">
        <v>0.20833333333333334</v>
      </c>
      <c r="H12" s="31">
        <v>0.2638888888888889</v>
      </c>
      <c r="I12" s="32">
        <v>6533.333333333333</v>
      </c>
      <c r="J12" s="32">
        <v>-8863.1578947368416</v>
      </c>
      <c r="K12" s="31">
        <v>0.1111111111111111</v>
      </c>
      <c r="L12" s="31">
        <v>0.27777777777777779</v>
      </c>
      <c r="M12" s="31">
        <v>0.22222222222222221</v>
      </c>
      <c r="N12" s="31">
        <v>0.5</v>
      </c>
      <c r="O12" s="31">
        <v>0.1875</v>
      </c>
      <c r="P12" s="31">
        <v>0.66666666666666663</v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CF4D2F-4C93-4229-9339-ADAAB5FC55D1}">
  <sheetPr codeName="Sheet16"/>
  <dimension ref="A1:Q19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191</v>
      </c>
      <c r="B1" s="34" t="s">
        <v>191</v>
      </c>
      <c r="C1" s="34" t="s">
        <v>191</v>
      </c>
      <c r="D1" s="35" t="s">
        <v>191</v>
      </c>
      <c r="E1" s="34" t="s">
        <v>191</v>
      </c>
      <c r="F1" s="34" t="s">
        <v>191</v>
      </c>
      <c r="G1" s="34" t="s">
        <v>191</v>
      </c>
      <c r="H1" s="34" t="s">
        <v>191</v>
      </c>
      <c r="I1" s="34" t="s">
        <v>191</v>
      </c>
      <c r="J1" s="34" t="s">
        <v>191</v>
      </c>
      <c r="K1" s="34" t="s">
        <v>191</v>
      </c>
      <c r="L1" s="34" t="s">
        <v>191</v>
      </c>
      <c r="M1" s="34" t="s">
        <v>191</v>
      </c>
      <c r="N1" s="34" t="s">
        <v>191</v>
      </c>
      <c r="O1" s="34" t="s">
        <v>191</v>
      </c>
      <c r="P1" s="34" t="s">
        <v>191</v>
      </c>
      <c r="Q1" s="34" t="s">
        <v>191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148</v>
      </c>
      <c r="G2" s="34" t="s">
        <v>140</v>
      </c>
      <c r="H2" s="34" t="s">
        <v>139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141</v>
      </c>
      <c r="P2" s="34" t="s">
        <v>137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5</v>
      </c>
      <c r="C4" s="30">
        <v>5</v>
      </c>
      <c r="D4" s="35">
        <v>2</v>
      </c>
      <c r="E4" s="31">
        <v>0</v>
      </c>
      <c r="F4" s="31">
        <v>0</v>
      </c>
      <c r="G4" s="31">
        <v>0.375</v>
      </c>
      <c r="H4" s="31">
        <v>0.25</v>
      </c>
      <c r="I4" s="32">
        <v>7300</v>
      </c>
      <c r="J4" s="32">
        <v>-8400</v>
      </c>
      <c r="K4" s="31">
        <v>0</v>
      </c>
      <c r="L4" s="31">
        <v>0.375</v>
      </c>
      <c r="M4" s="31">
        <v>0.125</v>
      </c>
      <c r="N4" s="31">
        <v>0.66666666666666663</v>
      </c>
      <c r="O4" s="31">
        <v>1</v>
      </c>
      <c r="P4" s="31">
        <v>0.66666666666666663</v>
      </c>
    </row>
    <row r="5" spans="1:17" x14ac:dyDescent="0.4">
      <c r="A5" s="33">
        <v>2</v>
      </c>
      <c r="B5" s="30">
        <v>-49.2</v>
      </c>
      <c r="C5" s="30">
        <v>-24.6</v>
      </c>
      <c r="D5" s="35">
        <v>2.5</v>
      </c>
      <c r="E5" s="31">
        <v>0</v>
      </c>
      <c r="F5" s="31">
        <v>0.5</v>
      </c>
      <c r="G5" s="31">
        <v>0.22222222222222221</v>
      </c>
      <c r="H5" s="31">
        <v>0.22222222222222221</v>
      </c>
      <c r="I5" s="32">
        <v>6775</v>
      </c>
      <c r="J5" s="32">
        <v>-10200</v>
      </c>
      <c r="K5" s="31">
        <v>0</v>
      </c>
      <c r="L5" s="31">
        <v>0.3888888888888889</v>
      </c>
      <c r="M5" s="31">
        <v>0.1111111111111111</v>
      </c>
      <c r="N5" s="31">
        <v>0.42857142857142855</v>
      </c>
      <c r="O5" s="31">
        <v>0.5</v>
      </c>
      <c r="P5" s="31">
        <v>0.5</v>
      </c>
    </row>
    <row r="6" spans="1:17" x14ac:dyDescent="0.4">
      <c r="A6" s="33">
        <v>3</v>
      </c>
      <c r="B6" s="30">
        <v>-61.7</v>
      </c>
      <c r="C6" s="30">
        <v>-20.566666666666666</v>
      </c>
      <c r="D6" s="35">
        <v>2.3333333333333335</v>
      </c>
      <c r="E6" s="31">
        <v>0</v>
      </c>
      <c r="F6" s="31">
        <v>0.33333333333333331</v>
      </c>
      <c r="G6" s="31">
        <v>0.21428571428571427</v>
      </c>
      <c r="H6" s="31">
        <v>0.17857142857142858</v>
      </c>
      <c r="I6" s="32">
        <v>7166.666666666667</v>
      </c>
      <c r="J6" s="32">
        <v>-10560</v>
      </c>
      <c r="K6" s="31">
        <v>0</v>
      </c>
      <c r="L6" s="31">
        <v>0.32142857142857145</v>
      </c>
      <c r="M6" s="31">
        <v>0.14285714285714285</v>
      </c>
      <c r="N6" s="31">
        <v>0.44444444444444442</v>
      </c>
      <c r="O6" s="31">
        <v>0.5</v>
      </c>
      <c r="P6" s="31">
        <v>0.33333333333333331</v>
      </c>
    </row>
    <row r="7" spans="1:17" x14ac:dyDescent="0.4">
      <c r="A7" s="33">
        <v>4</v>
      </c>
      <c r="B7" s="30">
        <v>-49.6</v>
      </c>
      <c r="C7" s="30">
        <v>-12.4</v>
      </c>
      <c r="D7" s="35">
        <v>2.25</v>
      </c>
      <c r="E7" s="31">
        <v>0</v>
      </c>
      <c r="F7" s="31">
        <v>0.25</v>
      </c>
      <c r="G7" s="31">
        <v>0.24324324324324326</v>
      </c>
      <c r="H7" s="31">
        <v>0.16216216216216217</v>
      </c>
      <c r="I7" s="32">
        <v>6677.7777777777774</v>
      </c>
      <c r="J7" s="32">
        <v>-10133.333333333334</v>
      </c>
      <c r="K7" s="31">
        <v>0</v>
      </c>
      <c r="L7" s="31">
        <v>0.27027027027027029</v>
      </c>
      <c r="M7" s="31">
        <v>0.13513513513513514</v>
      </c>
      <c r="N7" s="31">
        <v>0.5</v>
      </c>
      <c r="O7" s="31">
        <v>0.6</v>
      </c>
      <c r="P7" s="31">
        <v>0.55555555555555558</v>
      </c>
    </row>
    <row r="8" spans="1:17" x14ac:dyDescent="0.4">
      <c r="A8" s="33">
        <v>5</v>
      </c>
      <c r="B8" s="30">
        <v>-51.4</v>
      </c>
      <c r="C8" s="30">
        <v>-10.28</v>
      </c>
      <c r="D8" s="35">
        <v>2.2000000000000002</v>
      </c>
      <c r="E8" s="31">
        <v>0</v>
      </c>
      <c r="F8" s="31">
        <v>0.2</v>
      </c>
      <c r="G8" s="31">
        <v>0.25</v>
      </c>
      <c r="H8" s="31">
        <v>0.13636363636363635</v>
      </c>
      <c r="I8" s="32">
        <v>7281.818181818182</v>
      </c>
      <c r="J8" s="32">
        <v>-10133.333333333334</v>
      </c>
      <c r="K8" s="31">
        <v>0</v>
      </c>
      <c r="L8" s="31">
        <v>0.31818181818181818</v>
      </c>
      <c r="M8" s="31">
        <v>0.13636363636363635</v>
      </c>
      <c r="N8" s="31">
        <v>0.5</v>
      </c>
      <c r="O8" s="31">
        <v>0.5</v>
      </c>
      <c r="P8" s="31">
        <v>0.45454545454545453</v>
      </c>
    </row>
    <row r="9" spans="1:17" x14ac:dyDescent="0.4">
      <c r="A9" s="33">
        <v>6</v>
      </c>
      <c r="B9" s="30">
        <v>-106.9</v>
      </c>
      <c r="C9" s="30">
        <v>-17.816666666666666</v>
      </c>
      <c r="D9" s="35">
        <v>2.3333333333333335</v>
      </c>
      <c r="E9" s="31">
        <v>0</v>
      </c>
      <c r="F9" s="31">
        <v>0.33333333333333331</v>
      </c>
      <c r="G9" s="31">
        <v>0.23404255319148937</v>
      </c>
      <c r="H9" s="31">
        <v>0.1702127659574468</v>
      </c>
      <c r="I9" s="32">
        <v>7281.818181818182</v>
      </c>
      <c r="J9" s="32">
        <v>-10850</v>
      </c>
      <c r="K9" s="31">
        <v>0.16666666666666666</v>
      </c>
      <c r="L9" s="31">
        <v>0.31914893617021278</v>
      </c>
      <c r="M9" s="31">
        <v>0.1276595744680851</v>
      </c>
      <c r="N9" s="31">
        <v>0.46666666666666667</v>
      </c>
      <c r="O9" s="31">
        <v>0.5</v>
      </c>
      <c r="P9" s="31">
        <v>0.45454545454545453</v>
      </c>
    </row>
    <row r="10" spans="1:17" x14ac:dyDescent="0.4">
      <c r="A10" s="33">
        <v>7</v>
      </c>
      <c r="B10" s="30">
        <v>-103.4</v>
      </c>
      <c r="C10" s="30">
        <v>-14.771428571428572</v>
      </c>
      <c r="D10" s="35">
        <v>2.2857142857142856</v>
      </c>
      <c r="E10" s="31">
        <v>0</v>
      </c>
      <c r="F10" s="31">
        <v>0.2857142857142857</v>
      </c>
      <c r="G10" s="31">
        <v>0.22222222222222221</v>
      </c>
      <c r="H10" s="31">
        <v>0.14814814814814814</v>
      </c>
      <c r="I10" s="32">
        <v>7675</v>
      </c>
      <c r="J10" s="32">
        <v>-10850</v>
      </c>
      <c r="K10" s="31">
        <v>0.14285714285714285</v>
      </c>
      <c r="L10" s="31">
        <v>0.35185185185185186</v>
      </c>
      <c r="M10" s="31">
        <v>0.1111111111111111</v>
      </c>
      <c r="N10" s="31">
        <v>0.42105263157894735</v>
      </c>
      <c r="O10" s="31">
        <v>0.5</v>
      </c>
      <c r="P10" s="31">
        <v>0.41666666666666669</v>
      </c>
    </row>
    <row r="11" spans="1:17" x14ac:dyDescent="0.4">
      <c r="A11" s="33">
        <v>8</v>
      </c>
      <c r="B11" s="30">
        <v>-62.800000000000004</v>
      </c>
      <c r="C11" s="30">
        <v>-7.8500000000000005</v>
      </c>
      <c r="D11" s="35">
        <v>2.125</v>
      </c>
      <c r="E11" s="31">
        <v>0.125</v>
      </c>
      <c r="F11" s="31">
        <v>0.25</v>
      </c>
      <c r="G11" s="31">
        <v>0.25</v>
      </c>
      <c r="H11" s="31">
        <v>0.13333333333333333</v>
      </c>
      <c r="I11" s="32">
        <v>7846.666666666667</v>
      </c>
      <c r="J11" s="32">
        <v>-10850</v>
      </c>
      <c r="K11" s="31">
        <v>0.125</v>
      </c>
      <c r="L11" s="31">
        <v>0.35</v>
      </c>
      <c r="M11" s="31">
        <v>0.11666666666666667</v>
      </c>
      <c r="N11" s="31">
        <v>0.47619047619047616</v>
      </c>
      <c r="O11" s="31">
        <v>0.5714285714285714</v>
      </c>
      <c r="P11" s="31">
        <v>0.46666666666666667</v>
      </c>
    </row>
    <row r="12" spans="1:17" x14ac:dyDescent="0.4">
      <c r="A12" s="33">
        <v>9</v>
      </c>
      <c r="B12" s="30">
        <v>-28.6</v>
      </c>
      <c r="C12" s="30">
        <v>-3.177777777777778</v>
      </c>
      <c r="D12" s="35">
        <v>2</v>
      </c>
      <c r="E12" s="31">
        <v>0.22222222222222221</v>
      </c>
      <c r="F12" s="31">
        <v>0.22222222222222221</v>
      </c>
      <c r="G12" s="31">
        <v>0.27777777777777779</v>
      </c>
      <c r="H12" s="31">
        <v>0.1388888888888889</v>
      </c>
      <c r="I12" s="32">
        <v>7515</v>
      </c>
      <c r="J12" s="32">
        <v>-9140</v>
      </c>
      <c r="K12" s="31">
        <v>0.1111111111111111</v>
      </c>
      <c r="L12" s="31">
        <v>0.3611111111111111</v>
      </c>
      <c r="M12" s="31">
        <v>0.15277777777777779</v>
      </c>
      <c r="N12" s="31">
        <v>0.46153846153846156</v>
      </c>
      <c r="O12" s="31">
        <v>0.63636363636363635</v>
      </c>
      <c r="P12" s="31">
        <v>0.45</v>
      </c>
    </row>
    <row r="13" spans="1:17" x14ac:dyDescent="0.4">
      <c r="A13" s="33">
        <v>10</v>
      </c>
      <c r="B13" s="30">
        <v>38.999999999999993</v>
      </c>
      <c r="C13" s="30">
        <v>3.8999999999999995</v>
      </c>
      <c r="D13" s="35">
        <v>1.9</v>
      </c>
      <c r="E13" s="31">
        <v>0.3</v>
      </c>
      <c r="F13" s="31">
        <v>0.2</v>
      </c>
      <c r="G13" s="31">
        <v>0.29113924050632911</v>
      </c>
      <c r="H13" s="31">
        <v>0.12658227848101267</v>
      </c>
      <c r="I13" s="32">
        <v>8708.6956521739139</v>
      </c>
      <c r="J13" s="32">
        <v>-9140</v>
      </c>
      <c r="K13" s="31">
        <v>0.1</v>
      </c>
      <c r="L13" s="31">
        <v>0.379746835443038</v>
      </c>
      <c r="M13" s="31">
        <v>0.13924050632911392</v>
      </c>
      <c r="N13" s="31">
        <v>0.5</v>
      </c>
      <c r="O13" s="31">
        <v>0.63636363636363635</v>
      </c>
      <c r="P13" s="31">
        <v>0.43478260869565216</v>
      </c>
    </row>
    <row r="14" spans="1:17" x14ac:dyDescent="0.4">
      <c r="A14" s="33">
        <v>11</v>
      </c>
      <c r="B14" s="30">
        <v>37.79999999999999</v>
      </c>
      <c r="C14" s="30">
        <v>3.4363636363636356</v>
      </c>
      <c r="D14" s="35">
        <v>1.9090909090909092</v>
      </c>
      <c r="E14" s="31">
        <v>0.27272727272727271</v>
      </c>
      <c r="F14" s="31">
        <v>0.18181818181818182</v>
      </c>
      <c r="G14" s="31">
        <v>0.2857142857142857</v>
      </c>
      <c r="H14" s="31">
        <v>0.12087912087912088</v>
      </c>
      <c r="I14" s="32">
        <v>8603.8461538461543</v>
      </c>
      <c r="J14" s="32">
        <v>-8663.636363636364</v>
      </c>
      <c r="K14" s="31">
        <v>9.0909090909090912E-2</v>
      </c>
      <c r="L14" s="31">
        <v>0.38461538461538464</v>
      </c>
      <c r="M14" s="31">
        <v>0.13186813186813187</v>
      </c>
      <c r="N14" s="31">
        <v>0.51428571428571423</v>
      </c>
      <c r="O14" s="31">
        <v>0.58333333333333337</v>
      </c>
      <c r="P14" s="31">
        <v>0.42307692307692307</v>
      </c>
    </row>
    <row r="15" spans="1:17" x14ac:dyDescent="0.4">
      <c r="A15" s="33">
        <v>12</v>
      </c>
      <c r="B15" s="30">
        <v>40.199999999999989</v>
      </c>
      <c r="C15" s="30">
        <v>3.3499999999999992</v>
      </c>
      <c r="D15" s="35">
        <v>1.9166666666666667</v>
      </c>
      <c r="E15" s="31">
        <v>0.25</v>
      </c>
      <c r="F15" s="31">
        <v>0.16666666666666666</v>
      </c>
      <c r="G15" s="31">
        <v>0.27551020408163263</v>
      </c>
      <c r="H15" s="31">
        <v>0.12244897959183673</v>
      </c>
      <c r="I15" s="32">
        <v>8581.4814814814818</v>
      </c>
      <c r="J15" s="32">
        <v>-8158.333333333333</v>
      </c>
      <c r="K15" s="31">
        <v>8.3333333333333329E-2</v>
      </c>
      <c r="L15" s="31">
        <v>0.35714285714285715</v>
      </c>
      <c r="M15" s="31">
        <v>0.16326530612244897</v>
      </c>
      <c r="N15" s="31">
        <v>0.51428571428571423</v>
      </c>
      <c r="O15" s="31">
        <v>0.5</v>
      </c>
      <c r="P15" s="31">
        <v>0.44444444444444442</v>
      </c>
    </row>
    <row r="16" spans="1:17" x14ac:dyDescent="0.4">
      <c r="A16" s="33">
        <v>13</v>
      </c>
      <c r="B16" s="30">
        <v>101.6</v>
      </c>
      <c r="C16" s="30">
        <v>7.8153846153846152</v>
      </c>
      <c r="D16" s="35">
        <v>1.8461538461538463</v>
      </c>
      <c r="E16" s="31">
        <v>0.30769230769230771</v>
      </c>
      <c r="F16" s="31">
        <v>0.15384615384615385</v>
      </c>
      <c r="G16" s="31">
        <v>0.28703703703703703</v>
      </c>
      <c r="H16" s="31">
        <v>0.1111111111111111</v>
      </c>
      <c r="I16" s="32">
        <v>8935.4838709677424</v>
      </c>
      <c r="J16" s="32">
        <v>-8158.333333333333</v>
      </c>
      <c r="K16" s="31">
        <v>7.6923076923076927E-2</v>
      </c>
      <c r="L16" s="31">
        <v>0.35185185185185186</v>
      </c>
      <c r="M16" s="31">
        <v>0.17592592592592593</v>
      </c>
      <c r="N16" s="31">
        <v>0.52631578947368418</v>
      </c>
      <c r="O16" s="31">
        <v>0.52631578947368418</v>
      </c>
      <c r="P16" s="31">
        <v>0.41935483870967744</v>
      </c>
    </row>
    <row r="17" spans="1:16" x14ac:dyDescent="0.4">
      <c r="A17" s="33">
        <v>14</v>
      </c>
      <c r="B17" s="30">
        <v>91.899999999999991</v>
      </c>
      <c r="C17" s="30">
        <v>6.5642857142857141</v>
      </c>
      <c r="D17" s="35">
        <v>1.8571428571428572</v>
      </c>
      <c r="E17" s="31">
        <v>0.2857142857142857</v>
      </c>
      <c r="F17" s="31">
        <v>0.14285714285714285</v>
      </c>
      <c r="G17" s="31">
        <v>0.29565217391304349</v>
      </c>
      <c r="H17" s="31">
        <v>0.11304347826086956</v>
      </c>
      <c r="I17" s="32">
        <v>8735.2941176470595</v>
      </c>
      <c r="J17" s="32">
        <v>-8146.1538461538457</v>
      </c>
      <c r="K17" s="31">
        <v>7.1428571428571425E-2</v>
      </c>
      <c r="L17" s="31">
        <v>0.35652173913043478</v>
      </c>
      <c r="M17" s="31">
        <v>0.17391304347826086</v>
      </c>
      <c r="N17" s="31">
        <v>0.51219512195121952</v>
      </c>
      <c r="O17" s="31">
        <v>0.55000000000000004</v>
      </c>
      <c r="P17" s="31">
        <v>0.41176470588235292</v>
      </c>
    </row>
    <row r="18" spans="1:16" x14ac:dyDescent="0.4">
      <c r="A18" s="33">
        <v>15</v>
      </c>
      <c r="B18" s="30">
        <v>46.79999999999999</v>
      </c>
      <c r="C18" s="30">
        <v>3.1199999999999992</v>
      </c>
      <c r="D18" s="35">
        <v>1.9333333333333333</v>
      </c>
      <c r="E18" s="31">
        <v>0.26666666666666666</v>
      </c>
      <c r="F18" s="31">
        <v>0.2</v>
      </c>
      <c r="G18" s="31">
        <v>0.28799999999999998</v>
      </c>
      <c r="H18" s="31">
        <v>0.128</v>
      </c>
      <c r="I18" s="32">
        <v>9250</v>
      </c>
      <c r="J18" s="32">
        <v>-7937.5</v>
      </c>
      <c r="K18" s="31">
        <v>6.6666666666666666E-2</v>
      </c>
      <c r="L18" s="31">
        <v>0.36</v>
      </c>
      <c r="M18" s="31">
        <v>0.16</v>
      </c>
      <c r="N18" s="31">
        <v>0.51111111111111107</v>
      </c>
      <c r="O18" s="31">
        <v>0.55000000000000004</v>
      </c>
      <c r="P18" s="31">
        <v>0.41666666666666669</v>
      </c>
    </row>
    <row r="19" spans="1:16" x14ac:dyDescent="0.4">
      <c r="A19" s="33">
        <v>16</v>
      </c>
      <c r="B19" s="30">
        <v>2.6999999999999886</v>
      </c>
      <c r="C19" s="30">
        <v>0.16874999999999929</v>
      </c>
      <c r="D19" s="35">
        <v>2</v>
      </c>
      <c r="E19" s="31">
        <v>0.25</v>
      </c>
      <c r="F19" s="31">
        <v>0.25</v>
      </c>
      <c r="G19" s="31">
        <v>0.2857142857142857</v>
      </c>
      <c r="H19" s="31">
        <v>0.15037593984962405</v>
      </c>
      <c r="I19" s="32">
        <v>9078.9473684210534</v>
      </c>
      <c r="J19" s="32">
        <v>-7555</v>
      </c>
      <c r="K19" s="31">
        <v>6.25E-2</v>
      </c>
      <c r="L19" s="31">
        <v>0.36090225563909772</v>
      </c>
      <c r="M19" s="31">
        <v>0.16541353383458646</v>
      </c>
      <c r="N19" s="31">
        <v>0.52083333333333337</v>
      </c>
      <c r="O19" s="31">
        <v>0.5</v>
      </c>
      <c r="P19" s="31">
        <v>0.42105263157894735</v>
      </c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DC308-D443-4ADA-8DA5-F1670EBF4EC0}">
  <sheetPr codeName="Sheet14"/>
  <dimension ref="A1:Q30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126</v>
      </c>
      <c r="B1" s="34" t="s">
        <v>126</v>
      </c>
      <c r="C1" s="34" t="s">
        <v>126</v>
      </c>
      <c r="D1" s="35" t="s">
        <v>126</v>
      </c>
      <c r="E1" s="34" t="s">
        <v>126</v>
      </c>
      <c r="F1" s="34" t="s">
        <v>126</v>
      </c>
      <c r="G1" s="34" t="s">
        <v>126</v>
      </c>
      <c r="H1" s="34" t="s">
        <v>126</v>
      </c>
      <c r="I1" s="34" t="s">
        <v>126</v>
      </c>
      <c r="J1" s="34" t="s">
        <v>126</v>
      </c>
      <c r="K1" s="34" t="s">
        <v>126</v>
      </c>
      <c r="L1" s="34" t="s">
        <v>126</v>
      </c>
      <c r="M1" s="34" t="s">
        <v>126</v>
      </c>
      <c r="N1" s="34" t="s">
        <v>126</v>
      </c>
      <c r="O1" s="34" t="s">
        <v>126</v>
      </c>
      <c r="P1" s="34" t="s">
        <v>126</v>
      </c>
      <c r="Q1" s="34" t="s">
        <v>126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148</v>
      </c>
      <c r="G2" s="34" t="s">
        <v>140</v>
      </c>
      <c r="H2" s="34" t="s">
        <v>139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141</v>
      </c>
      <c r="P2" s="34" t="s">
        <v>137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30.8</v>
      </c>
      <c r="C4" s="30">
        <v>30.8</v>
      </c>
      <c r="D4" s="35">
        <v>1</v>
      </c>
      <c r="E4" s="31">
        <v>1</v>
      </c>
      <c r="F4" s="31">
        <v>0</v>
      </c>
      <c r="G4" s="31">
        <v>0.33333333333333331</v>
      </c>
      <c r="H4" s="31">
        <v>0.16666666666666666</v>
      </c>
      <c r="I4" s="32">
        <v>7950</v>
      </c>
      <c r="J4" s="32">
        <v>-2600</v>
      </c>
      <c r="K4" s="31">
        <v>0</v>
      </c>
      <c r="L4" s="31">
        <v>0.33333333333333331</v>
      </c>
      <c r="M4" s="31">
        <v>0.16666666666666666</v>
      </c>
      <c r="N4" s="31">
        <v>0.5</v>
      </c>
      <c r="O4" s="31">
        <v>1</v>
      </c>
      <c r="P4" s="31">
        <v>0</v>
      </c>
    </row>
    <row r="5" spans="1:17" x14ac:dyDescent="0.4">
      <c r="A5" s="33">
        <v>2</v>
      </c>
      <c r="B5" s="30">
        <v>9.8000000000000007</v>
      </c>
      <c r="C5" s="30">
        <v>4.9000000000000004</v>
      </c>
      <c r="D5" s="35">
        <v>2</v>
      </c>
      <c r="E5" s="31">
        <v>0.5</v>
      </c>
      <c r="F5" s="31">
        <v>0.5</v>
      </c>
      <c r="G5" s="31">
        <v>0.33333333333333331</v>
      </c>
      <c r="H5" s="31">
        <v>0.16666666666666666</v>
      </c>
      <c r="I5" s="32">
        <v>6225</v>
      </c>
      <c r="J5" s="32">
        <v>-5300</v>
      </c>
      <c r="K5" s="31">
        <v>0</v>
      </c>
      <c r="L5" s="31">
        <v>0.16666666666666666</v>
      </c>
      <c r="M5" s="31">
        <v>0.25</v>
      </c>
      <c r="N5" s="31">
        <v>0.5</v>
      </c>
      <c r="O5" s="31">
        <v>1</v>
      </c>
      <c r="P5" s="31">
        <v>0</v>
      </c>
    </row>
    <row r="6" spans="1:17" x14ac:dyDescent="0.4">
      <c r="A6" s="33">
        <v>3</v>
      </c>
      <c r="B6" s="30">
        <v>-22.900000000000002</v>
      </c>
      <c r="C6" s="30">
        <v>-7.6333333333333337</v>
      </c>
      <c r="D6" s="35">
        <v>2.3333333333333335</v>
      </c>
      <c r="E6" s="31">
        <v>0.33333333333333331</v>
      </c>
      <c r="F6" s="31">
        <v>0.66666666666666663</v>
      </c>
      <c r="G6" s="31">
        <v>0.23809523809523808</v>
      </c>
      <c r="H6" s="31">
        <v>0.19047619047619047</v>
      </c>
      <c r="I6" s="32">
        <v>7380</v>
      </c>
      <c r="J6" s="32">
        <v>-4950</v>
      </c>
      <c r="K6" s="31">
        <v>0</v>
      </c>
      <c r="L6" s="31">
        <v>0.38095238095238093</v>
      </c>
      <c r="M6" s="31">
        <v>0.19047619047619047</v>
      </c>
      <c r="N6" s="31">
        <v>0.25</v>
      </c>
      <c r="O6" s="31">
        <v>0.75</v>
      </c>
      <c r="P6" s="31">
        <v>0.2</v>
      </c>
    </row>
    <row r="7" spans="1:17" x14ac:dyDescent="0.4">
      <c r="A7" s="33">
        <v>4</v>
      </c>
      <c r="B7" s="30">
        <v>-61.600000000000009</v>
      </c>
      <c r="C7" s="30">
        <v>-15.400000000000002</v>
      </c>
      <c r="D7" s="35">
        <v>2.5</v>
      </c>
      <c r="E7" s="31">
        <v>0.25</v>
      </c>
      <c r="F7" s="31">
        <v>0.75</v>
      </c>
      <c r="G7" s="31">
        <v>0.19354838709677419</v>
      </c>
      <c r="H7" s="31">
        <v>0.22580645161290322</v>
      </c>
      <c r="I7" s="32">
        <v>8150</v>
      </c>
      <c r="J7" s="32">
        <v>-6142.8571428571431</v>
      </c>
      <c r="K7" s="31">
        <v>0</v>
      </c>
      <c r="L7" s="31">
        <v>0.41935483870967744</v>
      </c>
      <c r="M7" s="31">
        <v>0.12903225806451613</v>
      </c>
      <c r="N7" s="31">
        <v>0.23076923076923078</v>
      </c>
      <c r="O7" s="31">
        <v>0.75</v>
      </c>
      <c r="P7" s="31">
        <v>0.33333333333333331</v>
      </c>
    </row>
    <row r="8" spans="1:17" x14ac:dyDescent="0.4">
      <c r="A8" s="33">
        <v>5</v>
      </c>
      <c r="B8" s="30">
        <v>-68.000000000000014</v>
      </c>
      <c r="C8" s="30">
        <v>-13.600000000000003</v>
      </c>
      <c r="D8" s="35">
        <v>2.4</v>
      </c>
      <c r="E8" s="31">
        <v>0.2</v>
      </c>
      <c r="F8" s="31">
        <v>0.6</v>
      </c>
      <c r="G8" s="31">
        <v>0.19047619047619047</v>
      </c>
      <c r="H8" s="31">
        <v>0.16666666666666666</v>
      </c>
      <c r="I8" s="32">
        <v>8812.5</v>
      </c>
      <c r="J8" s="32">
        <v>-6142.8571428571431</v>
      </c>
      <c r="K8" s="31">
        <v>0</v>
      </c>
      <c r="L8" s="31">
        <v>0.40476190476190477</v>
      </c>
      <c r="M8" s="31">
        <v>0.11904761904761904</v>
      </c>
      <c r="N8" s="31">
        <v>0.23529411764705882</v>
      </c>
      <c r="O8" s="31">
        <v>0.6</v>
      </c>
      <c r="P8" s="31">
        <v>0.25</v>
      </c>
    </row>
    <row r="9" spans="1:17" x14ac:dyDescent="0.4">
      <c r="A9" s="33">
        <v>6</v>
      </c>
      <c r="B9" s="30">
        <v>-68.800000000000011</v>
      </c>
      <c r="C9" s="30">
        <v>-11.466666666666669</v>
      </c>
      <c r="D9" s="35">
        <v>2.3333333333333335</v>
      </c>
      <c r="E9" s="31">
        <v>0.16666666666666666</v>
      </c>
      <c r="F9" s="31">
        <v>0.5</v>
      </c>
      <c r="G9" s="31">
        <v>0.21428571428571427</v>
      </c>
      <c r="H9" s="31">
        <v>0.17857142857142858</v>
      </c>
      <c r="I9" s="32">
        <v>8983.3333333333339</v>
      </c>
      <c r="J9" s="32">
        <v>-6010</v>
      </c>
      <c r="K9" s="31">
        <v>0</v>
      </c>
      <c r="L9" s="31">
        <v>0.39285714285714285</v>
      </c>
      <c r="M9" s="31">
        <v>0.10714285714285714</v>
      </c>
      <c r="N9" s="31">
        <v>0.36363636363636365</v>
      </c>
      <c r="O9" s="31">
        <v>0.5</v>
      </c>
      <c r="P9" s="31">
        <v>0.25</v>
      </c>
    </row>
    <row r="10" spans="1:17" x14ac:dyDescent="0.4">
      <c r="A10" s="33">
        <v>7</v>
      </c>
      <c r="B10" s="30">
        <v>3.4999999999999858</v>
      </c>
      <c r="C10" s="30">
        <v>0.49999999999999795</v>
      </c>
      <c r="D10" s="35">
        <v>2.1428571428571428</v>
      </c>
      <c r="E10" s="31">
        <v>0.2857142857142857</v>
      </c>
      <c r="F10" s="31">
        <v>0.42857142857142855</v>
      </c>
      <c r="G10" s="31">
        <v>0.25806451612903225</v>
      </c>
      <c r="H10" s="31">
        <v>0.16129032258064516</v>
      </c>
      <c r="I10" s="32">
        <v>9537.5</v>
      </c>
      <c r="J10" s="32">
        <v>-6010</v>
      </c>
      <c r="K10" s="31">
        <v>0</v>
      </c>
      <c r="L10" s="31">
        <v>0.43548387096774194</v>
      </c>
      <c r="M10" s="31">
        <v>9.6774193548387094E-2</v>
      </c>
      <c r="N10" s="31">
        <v>0.40740740740740738</v>
      </c>
      <c r="O10" s="31">
        <v>0.5</v>
      </c>
      <c r="P10" s="31">
        <v>0.4375</v>
      </c>
    </row>
    <row r="11" spans="1:17" x14ac:dyDescent="0.4">
      <c r="A11" s="33">
        <v>8</v>
      </c>
      <c r="B11" s="30">
        <v>-1.800000000000014</v>
      </c>
      <c r="C11" s="30">
        <v>-0.22500000000000175</v>
      </c>
      <c r="D11" s="35">
        <v>2.125</v>
      </c>
      <c r="E11" s="31">
        <v>0.25</v>
      </c>
      <c r="F11" s="31">
        <v>0.375</v>
      </c>
      <c r="G11" s="31">
        <v>0.26027397260273971</v>
      </c>
      <c r="H11" s="31">
        <v>0.17808219178082191</v>
      </c>
      <c r="I11" s="32">
        <v>9052.6315789473683</v>
      </c>
      <c r="J11" s="32">
        <v>-5946.1538461538457</v>
      </c>
      <c r="K11" s="31">
        <v>0</v>
      </c>
      <c r="L11" s="31">
        <v>0.43835616438356162</v>
      </c>
      <c r="M11" s="31">
        <v>9.5890410958904104E-2</v>
      </c>
      <c r="N11" s="31">
        <v>0.40625</v>
      </c>
      <c r="O11" s="31">
        <v>0.42857142857142855</v>
      </c>
      <c r="P11" s="31">
        <v>0.42105263157894735</v>
      </c>
    </row>
    <row r="12" spans="1:17" x14ac:dyDescent="0.4">
      <c r="A12" s="33">
        <v>9</v>
      </c>
      <c r="B12" s="30">
        <v>49.999999999999986</v>
      </c>
      <c r="C12" s="30">
        <v>5.5555555555555536</v>
      </c>
      <c r="D12" s="35">
        <v>2</v>
      </c>
      <c r="E12" s="31">
        <v>0.33333333333333331</v>
      </c>
      <c r="F12" s="31">
        <v>0.33333333333333331</v>
      </c>
      <c r="G12" s="31">
        <v>0.27160493827160492</v>
      </c>
      <c r="H12" s="31">
        <v>0.16049382716049382</v>
      </c>
      <c r="I12" s="32">
        <v>9690.9090909090901</v>
      </c>
      <c r="J12" s="32">
        <v>-5946.1538461538457</v>
      </c>
      <c r="K12" s="31">
        <v>0</v>
      </c>
      <c r="L12" s="31">
        <v>0.41975308641975306</v>
      </c>
      <c r="M12" s="31">
        <v>8.6419753086419748E-2</v>
      </c>
      <c r="N12" s="31">
        <v>0.44117647058823528</v>
      </c>
      <c r="O12" s="31">
        <v>0.42857142857142855</v>
      </c>
      <c r="P12" s="31">
        <v>0.40909090909090912</v>
      </c>
    </row>
    <row r="13" spans="1:17" x14ac:dyDescent="0.4">
      <c r="A13" s="33">
        <v>10</v>
      </c>
      <c r="B13" s="30">
        <v>82.499999999999986</v>
      </c>
      <c r="C13" s="30">
        <v>8.2499999999999982</v>
      </c>
      <c r="D13" s="35">
        <v>1.9</v>
      </c>
      <c r="E13" s="31">
        <v>0.4</v>
      </c>
      <c r="F13" s="31">
        <v>0.3</v>
      </c>
      <c r="G13" s="31">
        <v>0.28735632183908044</v>
      </c>
      <c r="H13" s="31">
        <v>0.16091954022988506</v>
      </c>
      <c r="I13" s="32">
        <v>9268</v>
      </c>
      <c r="J13" s="32">
        <v>-6092.8571428571431</v>
      </c>
      <c r="K13" s="31">
        <v>0</v>
      </c>
      <c r="L13" s="31">
        <v>0.41379310344827586</v>
      </c>
      <c r="M13" s="31">
        <v>9.1954022988505746E-2</v>
      </c>
      <c r="N13" s="31">
        <v>0.47222222222222221</v>
      </c>
      <c r="O13" s="31">
        <v>0.5</v>
      </c>
      <c r="P13" s="31">
        <v>0.4</v>
      </c>
    </row>
    <row r="14" spans="1:17" x14ac:dyDescent="0.4">
      <c r="A14" s="33">
        <v>11</v>
      </c>
      <c r="B14" s="30">
        <v>80.999999999999986</v>
      </c>
      <c r="C14" s="30">
        <v>7.3636363636363624</v>
      </c>
      <c r="D14" s="35">
        <v>1.9090909090909092</v>
      </c>
      <c r="E14" s="31">
        <v>0.36363636363636365</v>
      </c>
      <c r="F14" s="31">
        <v>0.27272727272727271</v>
      </c>
      <c r="G14" s="31">
        <v>0.28421052631578947</v>
      </c>
      <c r="H14" s="31">
        <v>0.16842105263157894</v>
      </c>
      <c r="I14" s="32">
        <v>10062.962962962964</v>
      </c>
      <c r="J14" s="32">
        <v>-6956.25</v>
      </c>
      <c r="K14" s="31">
        <v>0</v>
      </c>
      <c r="L14" s="31">
        <v>0.4</v>
      </c>
      <c r="M14" s="31">
        <v>0.10526315789473684</v>
      </c>
      <c r="N14" s="31">
        <v>0.44736842105263158</v>
      </c>
      <c r="O14" s="31">
        <v>0.6</v>
      </c>
      <c r="P14" s="31">
        <v>0.37037037037037035</v>
      </c>
    </row>
    <row r="15" spans="1:17" x14ac:dyDescent="0.4">
      <c r="A15" s="33">
        <v>12</v>
      </c>
      <c r="B15" s="30">
        <v>116.29999999999998</v>
      </c>
      <c r="C15" s="30">
        <v>9.6916666666666647</v>
      </c>
      <c r="D15" s="35">
        <v>1.8333333333333333</v>
      </c>
      <c r="E15" s="31">
        <v>0.41666666666666669</v>
      </c>
      <c r="F15" s="31">
        <v>0.25</v>
      </c>
      <c r="G15" s="31">
        <v>0.29126213592233008</v>
      </c>
      <c r="H15" s="31">
        <v>0.1553398058252427</v>
      </c>
      <c r="I15" s="32">
        <v>9763.3333333333339</v>
      </c>
      <c r="J15" s="32">
        <v>-6956.25</v>
      </c>
      <c r="K15" s="31">
        <v>0</v>
      </c>
      <c r="L15" s="31">
        <v>0.41747572815533979</v>
      </c>
      <c r="M15" s="31">
        <v>9.7087378640776698E-2</v>
      </c>
      <c r="N15" s="31">
        <v>0.46511627906976744</v>
      </c>
      <c r="O15" s="31">
        <v>0.6</v>
      </c>
      <c r="P15" s="31">
        <v>0.33333333333333331</v>
      </c>
    </row>
    <row r="16" spans="1:17" x14ac:dyDescent="0.4">
      <c r="A16" s="33">
        <v>13</v>
      </c>
      <c r="B16" s="30">
        <v>191.7</v>
      </c>
      <c r="C16" s="30">
        <v>14.746153846153845</v>
      </c>
      <c r="D16" s="35">
        <v>1.7692307692307692</v>
      </c>
      <c r="E16" s="31">
        <v>0.46153846153846156</v>
      </c>
      <c r="F16" s="31">
        <v>0.23076923076923078</v>
      </c>
      <c r="G16" s="31">
        <v>0.30088495575221241</v>
      </c>
      <c r="H16" s="31">
        <v>0.1415929203539823</v>
      </c>
      <c r="I16" s="32">
        <v>10261.764705882353</v>
      </c>
      <c r="J16" s="32">
        <v>-6956.25</v>
      </c>
      <c r="K16" s="31">
        <v>0</v>
      </c>
      <c r="L16" s="31">
        <v>0.4247787610619469</v>
      </c>
      <c r="M16" s="31">
        <v>9.7345132743362831E-2</v>
      </c>
      <c r="N16" s="31">
        <v>0.5</v>
      </c>
      <c r="O16" s="31">
        <v>0.54545454545454541</v>
      </c>
      <c r="P16" s="31">
        <v>0.3235294117647059</v>
      </c>
    </row>
    <row r="17" spans="1:16" x14ac:dyDescent="0.4">
      <c r="A17" s="33">
        <v>14</v>
      </c>
      <c r="B17" s="30">
        <v>244.7</v>
      </c>
      <c r="C17" s="30">
        <v>17.478571428571428</v>
      </c>
      <c r="D17" s="35">
        <v>1.7142857142857142</v>
      </c>
      <c r="E17" s="31">
        <v>0.5</v>
      </c>
      <c r="F17" s="31">
        <v>0.21428571428571427</v>
      </c>
      <c r="G17" s="31">
        <v>0.30894308943089432</v>
      </c>
      <c r="H17" s="31">
        <v>0.13821138211382114</v>
      </c>
      <c r="I17" s="32">
        <v>10071.052631578947</v>
      </c>
      <c r="J17" s="32">
        <v>-6623.5294117647063</v>
      </c>
      <c r="K17" s="31">
        <v>0</v>
      </c>
      <c r="L17" s="31">
        <v>0.42276422764227645</v>
      </c>
      <c r="M17" s="31">
        <v>0.12195121951219512</v>
      </c>
      <c r="N17" s="31">
        <v>0.48076923076923078</v>
      </c>
      <c r="O17" s="31">
        <v>0.6</v>
      </c>
      <c r="P17" s="31">
        <v>0.36842105263157893</v>
      </c>
    </row>
    <row r="18" spans="1:16" x14ac:dyDescent="0.4">
      <c r="A18" s="33">
        <v>15</v>
      </c>
      <c r="B18" s="30">
        <v>278.59999999999997</v>
      </c>
      <c r="C18" s="30">
        <v>18.573333333333331</v>
      </c>
      <c r="D18" s="35">
        <v>1.6666666666666667</v>
      </c>
      <c r="E18" s="31">
        <v>0.53333333333333333</v>
      </c>
      <c r="F18" s="31">
        <v>0.2</v>
      </c>
      <c r="G18" s="31">
        <v>0.31060606060606061</v>
      </c>
      <c r="H18" s="31">
        <v>0.12878787878787878</v>
      </c>
      <c r="I18" s="32">
        <v>9765.8536585365855</v>
      </c>
      <c r="J18" s="32">
        <v>-6623.5294117647063</v>
      </c>
      <c r="K18" s="31">
        <v>0</v>
      </c>
      <c r="L18" s="31">
        <v>0.41666666666666669</v>
      </c>
      <c r="M18" s="31">
        <v>0.12121212121212122</v>
      </c>
      <c r="N18" s="31">
        <v>0.49090909090909091</v>
      </c>
      <c r="O18" s="31">
        <v>0.625</v>
      </c>
      <c r="P18" s="31">
        <v>0.34146341463414637</v>
      </c>
    </row>
    <row r="19" spans="1:16" x14ac:dyDescent="0.4">
      <c r="A19" s="33">
        <v>16</v>
      </c>
      <c r="B19" s="30">
        <v>247.79999999999995</v>
      </c>
      <c r="C19" s="30">
        <v>15.487499999999997</v>
      </c>
      <c r="D19" s="35">
        <v>1.75</v>
      </c>
      <c r="E19" s="31">
        <v>0.5</v>
      </c>
      <c r="F19" s="31">
        <v>0.25</v>
      </c>
      <c r="G19" s="31">
        <v>0.30215827338129497</v>
      </c>
      <c r="H19" s="31">
        <v>0.12949640287769784</v>
      </c>
      <c r="I19" s="32">
        <v>9819.0476190476184</v>
      </c>
      <c r="J19" s="32">
        <v>-6922.2222222222226</v>
      </c>
      <c r="K19" s="31">
        <v>0</v>
      </c>
      <c r="L19" s="31">
        <v>0.41726618705035973</v>
      </c>
      <c r="M19" s="31">
        <v>0.11510791366906475</v>
      </c>
      <c r="N19" s="31">
        <v>0.48275862068965519</v>
      </c>
      <c r="O19" s="31">
        <v>0.625</v>
      </c>
      <c r="P19" s="31">
        <v>0.35714285714285715</v>
      </c>
    </row>
    <row r="20" spans="1:16" x14ac:dyDescent="0.4">
      <c r="A20" s="33">
        <v>17</v>
      </c>
      <c r="B20" s="30">
        <v>298.79999999999995</v>
      </c>
      <c r="C20" s="30">
        <v>17.576470588235292</v>
      </c>
      <c r="D20" s="35">
        <v>1.7058823529411764</v>
      </c>
      <c r="E20" s="31">
        <v>0.52941176470588236</v>
      </c>
      <c r="F20" s="31">
        <v>0.23529411764705882</v>
      </c>
      <c r="G20" s="31">
        <v>0.30985915492957744</v>
      </c>
      <c r="H20" s="31">
        <v>0.12676056338028169</v>
      </c>
      <c r="I20" s="32">
        <v>10054.545454545454</v>
      </c>
      <c r="J20" s="32">
        <v>-6922.2222222222226</v>
      </c>
      <c r="K20" s="31">
        <v>0</v>
      </c>
      <c r="L20" s="31">
        <v>0.41549295774647887</v>
      </c>
      <c r="M20" s="31">
        <v>0.11971830985915492</v>
      </c>
      <c r="N20" s="31">
        <v>0.49152542372881358</v>
      </c>
      <c r="O20" s="31">
        <v>0.6470588235294118</v>
      </c>
      <c r="P20" s="31">
        <v>0.36363636363636365</v>
      </c>
    </row>
    <row r="21" spans="1:16" x14ac:dyDescent="0.4">
      <c r="A21" s="33">
        <v>18</v>
      </c>
      <c r="B21" s="30">
        <v>327.79999999999995</v>
      </c>
      <c r="C21" s="30">
        <v>18.211111111111109</v>
      </c>
      <c r="D21" s="35">
        <v>1.6666666666666667</v>
      </c>
      <c r="E21" s="31">
        <v>0.55555555555555558</v>
      </c>
      <c r="F21" s="31">
        <v>0.22222222222222221</v>
      </c>
      <c r="G21" s="31">
        <v>0.31543624161073824</v>
      </c>
      <c r="H21" s="31">
        <v>0.12080536912751678</v>
      </c>
      <c r="I21" s="32">
        <v>9710.6382978723395</v>
      </c>
      <c r="J21" s="32">
        <v>-6922.2222222222226</v>
      </c>
      <c r="K21" s="31">
        <v>0</v>
      </c>
      <c r="L21" s="31">
        <v>0.41610738255033558</v>
      </c>
      <c r="M21" s="31">
        <v>0.12751677852348994</v>
      </c>
      <c r="N21" s="31">
        <v>0.5</v>
      </c>
      <c r="O21" s="31">
        <v>0.57894736842105265</v>
      </c>
      <c r="P21" s="31">
        <v>0.36170212765957449</v>
      </c>
    </row>
    <row r="22" spans="1:16" x14ac:dyDescent="0.4">
      <c r="A22" s="33">
        <v>19</v>
      </c>
      <c r="B22" s="30">
        <v>347.49999999999994</v>
      </c>
      <c r="C22" s="30">
        <v>18.289473684210524</v>
      </c>
      <c r="D22" s="35">
        <v>1.6842105263157894</v>
      </c>
      <c r="E22" s="31">
        <v>0.52631578947368418</v>
      </c>
      <c r="F22" s="31">
        <v>0.21052631578947367</v>
      </c>
      <c r="G22" s="31">
        <v>0.32258064516129031</v>
      </c>
      <c r="H22" s="31">
        <v>0.11612903225806452</v>
      </c>
      <c r="I22" s="32">
        <v>9608</v>
      </c>
      <c r="J22" s="32">
        <v>-6922.2222222222226</v>
      </c>
      <c r="K22" s="31">
        <v>0</v>
      </c>
      <c r="L22" s="31">
        <v>0.41935483870967744</v>
      </c>
      <c r="M22" s="31">
        <v>0.12903225806451613</v>
      </c>
      <c r="N22" s="31">
        <v>0.52307692307692311</v>
      </c>
      <c r="O22" s="31">
        <v>0.55000000000000004</v>
      </c>
      <c r="P22" s="31">
        <v>0.38</v>
      </c>
    </row>
    <row r="23" spans="1:16" x14ac:dyDescent="0.4">
      <c r="A23" s="33">
        <v>20</v>
      </c>
      <c r="B23" s="30">
        <v>354.69999999999993</v>
      </c>
      <c r="C23" s="30">
        <v>17.734999999999996</v>
      </c>
      <c r="D23" s="35">
        <v>1.7</v>
      </c>
      <c r="E23" s="31">
        <v>0.5</v>
      </c>
      <c r="F23" s="31">
        <v>0.2</v>
      </c>
      <c r="G23" s="31">
        <v>0.31736526946107785</v>
      </c>
      <c r="H23" s="31">
        <v>0.11377245508982035</v>
      </c>
      <c r="I23" s="32">
        <v>9566.0377358490568</v>
      </c>
      <c r="J23" s="32">
        <v>-7189.4736842105267</v>
      </c>
      <c r="K23" s="31">
        <v>0</v>
      </c>
      <c r="L23" s="31">
        <v>0.41916167664670656</v>
      </c>
      <c r="M23" s="31">
        <v>0.1317365269461078</v>
      </c>
      <c r="N23" s="31">
        <v>0.52857142857142858</v>
      </c>
      <c r="O23" s="31">
        <v>0.5</v>
      </c>
      <c r="P23" s="31">
        <v>0.37735849056603776</v>
      </c>
    </row>
    <row r="24" spans="1:16" x14ac:dyDescent="0.4">
      <c r="A24" s="33">
        <v>21</v>
      </c>
      <c r="B24" s="30">
        <v>297.29999999999995</v>
      </c>
      <c r="C24" s="30">
        <v>14.157142857142855</v>
      </c>
      <c r="D24" s="35">
        <v>1.7619047619047619</v>
      </c>
      <c r="E24" s="31">
        <v>0.47619047619047616</v>
      </c>
      <c r="F24" s="31">
        <v>0.23809523809523808</v>
      </c>
      <c r="G24" s="31">
        <v>0.31034482758620691</v>
      </c>
      <c r="H24" s="31">
        <v>0.11494252873563218</v>
      </c>
      <c r="I24" s="32">
        <v>9461.1111111111113</v>
      </c>
      <c r="J24" s="32">
        <v>-8030</v>
      </c>
      <c r="K24" s="31">
        <v>4.7619047619047616E-2</v>
      </c>
      <c r="L24" s="31">
        <v>0.40804597701149425</v>
      </c>
      <c r="M24" s="31">
        <v>0.13218390804597702</v>
      </c>
      <c r="N24" s="31">
        <v>0.52112676056338025</v>
      </c>
      <c r="O24" s="31">
        <v>0.52173913043478259</v>
      </c>
      <c r="P24" s="31">
        <v>0.37037037037037035</v>
      </c>
    </row>
    <row r="25" spans="1:16" x14ac:dyDescent="0.4">
      <c r="A25" s="33">
        <v>22</v>
      </c>
      <c r="B25" s="30">
        <v>331.49999999999994</v>
      </c>
      <c r="C25" s="30">
        <v>15.068181818181815</v>
      </c>
      <c r="D25" s="35">
        <v>1.7272727272727273</v>
      </c>
      <c r="E25" s="31">
        <v>0.5</v>
      </c>
      <c r="F25" s="31">
        <v>0.22727272727272727</v>
      </c>
      <c r="G25" s="31">
        <v>0.31182795698924731</v>
      </c>
      <c r="H25" s="31">
        <v>0.11827956989247312</v>
      </c>
      <c r="I25" s="32">
        <v>9524.1379310344819</v>
      </c>
      <c r="J25" s="32">
        <v>-7886.363636363636</v>
      </c>
      <c r="K25" s="31">
        <v>4.5454545454545456E-2</v>
      </c>
      <c r="L25" s="31">
        <v>0.40322580645161288</v>
      </c>
      <c r="M25" s="31">
        <v>0.13440860215053763</v>
      </c>
      <c r="N25" s="31">
        <v>0.52</v>
      </c>
      <c r="O25" s="31">
        <v>0.52</v>
      </c>
      <c r="P25" s="31">
        <v>0.37931034482758619</v>
      </c>
    </row>
    <row r="26" spans="1:16" x14ac:dyDescent="0.4">
      <c r="A26" s="33">
        <v>23</v>
      </c>
      <c r="B26" s="30">
        <v>283.39999999999992</v>
      </c>
      <c r="C26" s="30">
        <v>12.321739130434779</v>
      </c>
      <c r="D26" s="35">
        <v>1.7826086956521738</v>
      </c>
      <c r="E26" s="31">
        <v>0.47826086956521741</v>
      </c>
      <c r="F26" s="31">
        <v>0.2608695652173913</v>
      </c>
      <c r="G26" s="31">
        <v>0.31088082901554404</v>
      </c>
      <c r="H26" s="31">
        <v>0.12435233160621761</v>
      </c>
      <c r="I26" s="32">
        <v>9338.3333333333339</v>
      </c>
      <c r="J26" s="32">
        <v>-8395.8333333333339</v>
      </c>
      <c r="K26" s="31">
        <v>4.3478260869565216E-2</v>
      </c>
      <c r="L26" s="31">
        <v>0.40932642487046633</v>
      </c>
      <c r="M26" s="31">
        <v>0.12953367875647667</v>
      </c>
      <c r="N26" s="31">
        <v>0.51898734177215189</v>
      </c>
      <c r="O26" s="31">
        <v>0.52</v>
      </c>
      <c r="P26" s="31">
        <v>0.38333333333333336</v>
      </c>
    </row>
    <row r="27" spans="1:16" x14ac:dyDescent="0.4">
      <c r="A27" s="33">
        <v>24</v>
      </c>
      <c r="B27" s="30">
        <v>273.59999999999991</v>
      </c>
      <c r="C27" s="30">
        <v>11.399999999999997</v>
      </c>
      <c r="D27" s="35">
        <v>1.7916666666666667</v>
      </c>
      <c r="E27" s="31">
        <v>0.45833333333333331</v>
      </c>
      <c r="F27" s="31">
        <v>0.25</v>
      </c>
      <c r="G27" s="31">
        <v>0.31527093596059114</v>
      </c>
      <c r="H27" s="31">
        <v>0.13300492610837439</v>
      </c>
      <c r="I27" s="32">
        <v>9254.6875</v>
      </c>
      <c r="J27" s="32">
        <v>-8844.4444444444453</v>
      </c>
      <c r="K27" s="31">
        <v>4.1666666666666664E-2</v>
      </c>
      <c r="L27" s="31">
        <v>0.39408866995073893</v>
      </c>
      <c r="M27" s="31">
        <v>0.13793103448275862</v>
      </c>
      <c r="N27" s="31">
        <v>0.51249999999999996</v>
      </c>
      <c r="O27" s="31">
        <v>0.5357142857142857</v>
      </c>
      <c r="P27" s="31">
        <v>0.390625</v>
      </c>
    </row>
    <row r="28" spans="1:16" x14ac:dyDescent="0.4">
      <c r="A28" s="33">
        <v>25</v>
      </c>
      <c r="B28" s="30">
        <v>323.39999999999992</v>
      </c>
      <c r="C28" s="30">
        <v>12.935999999999996</v>
      </c>
      <c r="D28" s="35">
        <v>1.76</v>
      </c>
      <c r="E28" s="31">
        <v>0.48</v>
      </c>
      <c r="F28" s="31">
        <v>0.24</v>
      </c>
      <c r="G28" s="31">
        <v>0.32380952380952382</v>
      </c>
      <c r="H28" s="31">
        <v>0.1380952380952381</v>
      </c>
      <c r="I28" s="32">
        <v>9369.1176470588234</v>
      </c>
      <c r="J28" s="32">
        <v>-8786.2068965517246</v>
      </c>
      <c r="K28" s="31">
        <v>0.04</v>
      </c>
      <c r="L28" s="31">
        <v>0.39047619047619048</v>
      </c>
      <c r="M28" s="31">
        <v>0.14761904761904762</v>
      </c>
      <c r="N28" s="31">
        <v>0.52439024390243905</v>
      </c>
      <c r="O28" s="31">
        <v>0.54838709677419351</v>
      </c>
      <c r="P28" s="31">
        <v>0.41176470588235292</v>
      </c>
    </row>
    <row r="29" spans="1:16" x14ac:dyDescent="0.4">
      <c r="A29" s="33">
        <v>26</v>
      </c>
      <c r="B29" s="30">
        <v>377.59999999999991</v>
      </c>
      <c r="C29" s="30">
        <v>14.523076923076919</v>
      </c>
      <c r="D29" s="35">
        <v>1.7307692307692308</v>
      </c>
      <c r="E29" s="31">
        <v>0.5</v>
      </c>
      <c r="F29" s="31">
        <v>0.23076923076923078</v>
      </c>
      <c r="G29" s="31">
        <v>0.32727272727272727</v>
      </c>
      <c r="H29" s="31">
        <v>0.13181818181818181</v>
      </c>
      <c r="I29" s="32">
        <v>9504.1666666666661</v>
      </c>
      <c r="J29" s="32">
        <v>-8786.2068965517246</v>
      </c>
      <c r="K29" s="31">
        <v>3.8461538461538464E-2</v>
      </c>
      <c r="L29" s="31">
        <v>0.38636363636363635</v>
      </c>
      <c r="M29" s="31">
        <v>0.15</v>
      </c>
      <c r="N29" s="31">
        <v>0.54117647058823526</v>
      </c>
      <c r="O29" s="31">
        <v>0.54545454545454541</v>
      </c>
      <c r="P29" s="31">
        <v>0.43055555555555558</v>
      </c>
    </row>
    <row r="30" spans="1:16" x14ac:dyDescent="0.4">
      <c r="A30" s="33">
        <v>27</v>
      </c>
      <c r="B30" s="30">
        <v>354.59999999999991</v>
      </c>
      <c r="C30" s="30">
        <v>13.133333333333329</v>
      </c>
      <c r="D30" s="35">
        <v>1.7407407407407407</v>
      </c>
      <c r="E30" s="31">
        <v>0.48148148148148145</v>
      </c>
      <c r="F30" s="31">
        <v>0.22222222222222221</v>
      </c>
      <c r="G30" s="31">
        <v>0.31578947368421051</v>
      </c>
      <c r="H30" s="31">
        <v>0.13157894736842105</v>
      </c>
      <c r="I30" s="32">
        <v>9504.1666666666661</v>
      </c>
      <c r="J30" s="32">
        <v>-8760</v>
      </c>
      <c r="K30" s="31">
        <v>3.7037037037037035E-2</v>
      </c>
      <c r="L30" s="31">
        <v>0.37719298245614036</v>
      </c>
      <c r="M30" s="31">
        <v>0.14473684210526316</v>
      </c>
      <c r="N30" s="31">
        <v>0.53488372093023251</v>
      </c>
      <c r="O30" s="31">
        <v>0.54545454545454541</v>
      </c>
      <c r="P30" s="31">
        <v>0.43055555555555558</v>
      </c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7ED17-C8CD-4A33-8845-D51C31DAC361}">
  <sheetPr codeName="Sheet12"/>
  <dimension ref="A1:Q22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189</v>
      </c>
      <c r="B1" s="34" t="s">
        <v>189</v>
      </c>
      <c r="C1" s="34" t="s">
        <v>189</v>
      </c>
      <c r="D1" s="35" t="s">
        <v>189</v>
      </c>
      <c r="E1" s="34" t="s">
        <v>189</v>
      </c>
      <c r="F1" s="34" t="s">
        <v>189</v>
      </c>
      <c r="G1" s="34" t="s">
        <v>189</v>
      </c>
      <c r="H1" s="34" t="s">
        <v>189</v>
      </c>
      <c r="I1" s="34" t="s">
        <v>189</v>
      </c>
      <c r="J1" s="34" t="s">
        <v>189</v>
      </c>
      <c r="K1" s="34" t="s">
        <v>189</v>
      </c>
      <c r="L1" s="34" t="s">
        <v>189</v>
      </c>
      <c r="M1" s="34" t="s">
        <v>189</v>
      </c>
      <c r="N1" s="34" t="s">
        <v>189</v>
      </c>
      <c r="O1" s="34" t="s">
        <v>189</v>
      </c>
      <c r="P1" s="34" t="s">
        <v>189</v>
      </c>
      <c r="Q1" s="34" t="s">
        <v>189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148</v>
      </c>
      <c r="G2" s="34" t="s">
        <v>140</v>
      </c>
      <c r="H2" s="34" t="s">
        <v>139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141</v>
      </c>
      <c r="P2" s="34" t="s">
        <v>137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6.5</v>
      </c>
      <c r="C4" s="30">
        <v>6.5</v>
      </c>
      <c r="D4" s="35">
        <v>2</v>
      </c>
      <c r="E4" s="31">
        <v>0</v>
      </c>
      <c r="F4" s="31">
        <v>0</v>
      </c>
      <c r="G4" s="31">
        <v>0.2</v>
      </c>
      <c r="H4" s="31">
        <v>0</v>
      </c>
      <c r="I4" s="32">
        <v>12000</v>
      </c>
      <c r="J4" s="32">
        <v>0</v>
      </c>
      <c r="K4" s="31">
        <v>0</v>
      </c>
      <c r="L4" s="31">
        <v>0.2</v>
      </c>
      <c r="M4" s="31">
        <v>0</v>
      </c>
      <c r="N4" s="31">
        <v>1</v>
      </c>
      <c r="O4" s="31">
        <v>0</v>
      </c>
      <c r="P4" s="31">
        <v>0</v>
      </c>
    </row>
    <row r="5" spans="1:17" x14ac:dyDescent="0.4">
      <c r="A5" s="33">
        <v>2</v>
      </c>
      <c r="B5" s="30">
        <v>5.9</v>
      </c>
      <c r="C5" s="30">
        <v>2.95</v>
      </c>
      <c r="D5" s="35">
        <v>2</v>
      </c>
      <c r="E5" s="31">
        <v>0</v>
      </c>
      <c r="F5" s="31">
        <v>0</v>
      </c>
      <c r="G5" s="31">
        <v>0.36363636363636365</v>
      </c>
      <c r="H5" s="31">
        <v>0.18181818181818182</v>
      </c>
      <c r="I5" s="32">
        <v>6950</v>
      </c>
      <c r="J5" s="32">
        <v>-7950</v>
      </c>
      <c r="K5" s="31">
        <v>0</v>
      </c>
      <c r="L5" s="31">
        <v>0.36363636363636365</v>
      </c>
      <c r="M5" s="31">
        <v>0</v>
      </c>
      <c r="N5" s="31">
        <v>1</v>
      </c>
      <c r="O5" s="31">
        <v>0</v>
      </c>
      <c r="P5" s="31">
        <v>0</v>
      </c>
    </row>
    <row r="6" spans="1:17" x14ac:dyDescent="0.4">
      <c r="A6" s="33">
        <v>3</v>
      </c>
      <c r="B6" s="30">
        <v>17.200000000000003</v>
      </c>
      <c r="C6" s="30">
        <v>5.7333333333333343</v>
      </c>
      <c r="D6" s="35">
        <v>2</v>
      </c>
      <c r="E6" s="31">
        <v>0</v>
      </c>
      <c r="F6" s="31">
        <v>0</v>
      </c>
      <c r="G6" s="31">
        <v>0.31818181818181818</v>
      </c>
      <c r="H6" s="31">
        <v>0.18181818181818182</v>
      </c>
      <c r="I6" s="32">
        <v>10114.285714285714</v>
      </c>
      <c r="J6" s="32">
        <v>-12975</v>
      </c>
      <c r="K6" s="31">
        <v>0</v>
      </c>
      <c r="L6" s="31">
        <v>0.31818181818181818</v>
      </c>
      <c r="M6" s="31">
        <v>0.13636363636363635</v>
      </c>
      <c r="N6" s="31">
        <v>0.7142857142857143</v>
      </c>
      <c r="O6" s="31">
        <v>0.33333333333333331</v>
      </c>
      <c r="P6" s="31">
        <v>0.14285714285714285</v>
      </c>
    </row>
    <row r="7" spans="1:17" x14ac:dyDescent="0.4">
      <c r="A7" s="33">
        <v>4</v>
      </c>
      <c r="B7" s="30">
        <v>-16.399999999999999</v>
      </c>
      <c r="C7" s="30">
        <v>-4.0999999999999996</v>
      </c>
      <c r="D7" s="35">
        <v>2.25</v>
      </c>
      <c r="E7" s="31">
        <v>0</v>
      </c>
      <c r="F7" s="31">
        <v>0.25</v>
      </c>
      <c r="G7" s="31">
        <v>0.32142857142857145</v>
      </c>
      <c r="H7" s="31">
        <v>0.17857142857142858</v>
      </c>
      <c r="I7" s="32">
        <v>8388.8888888888887</v>
      </c>
      <c r="J7" s="32">
        <v>-11980</v>
      </c>
      <c r="K7" s="31">
        <v>0</v>
      </c>
      <c r="L7" s="31">
        <v>0.32142857142857145</v>
      </c>
      <c r="M7" s="31">
        <v>0.14285714285714285</v>
      </c>
      <c r="N7" s="31">
        <v>0.66666666666666663</v>
      </c>
      <c r="O7" s="31">
        <v>0.25</v>
      </c>
      <c r="P7" s="31">
        <v>0.22222222222222221</v>
      </c>
    </row>
    <row r="8" spans="1:17" x14ac:dyDescent="0.4">
      <c r="A8" s="33">
        <v>5</v>
      </c>
      <c r="B8" s="30">
        <v>-8.7999999999999989</v>
      </c>
      <c r="C8" s="30">
        <v>-1.7599999999999998</v>
      </c>
      <c r="D8" s="35">
        <v>2.2000000000000002</v>
      </c>
      <c r="E8" s="31">
        <v>0</v>
      </c>
      <c r="F8" s="31">
        <v>0.2</v>
      </c>
      <c r="G8" s="31">
        <v>0.34285714285714286</v>
      </c>
      <c r="H8" s="31">
        <v>0.14285714285714285</v>
      </c>
      <c r="I8" s="32">
        <v>7841.666666666667</v>
      </c>
      <c r="J8" s="32">
        <v>-11980</v>
      </c>
      <c r="K8" s="31">
        <v>0</v>
      </c>
      <c r="L8" s="31">
        <v>0.31428571428571428</v>
      </c>
      <c r="M8" s="31">
        <v>0.11428571428571428</v>
      </c>
      <c r="N8" s="31">
        <v>0.72727272727272729</v>
      </c>
      <c r="O8" s="31">
        <v>0.25</v>
      </c>
      <c r="P8" s="31">
        <v>0.16666666666666666</v>
      </c>
    </row>
    <row r="9" spans="1:17" x14ac:dyDescent="0.4">
      <c r="A9" s="33">
        <v>6</v>
      </c>
      <c r="B9" s="30">
        <v>22.1</v>
      </c>
      <c r="C9" s="30">
        <v>3.6833333333333336</v>
      </c>
      <c r="D9" s="35">
        <v>2</v>
      </c>
      <c r="E9" s="31">
        <v>0.16666666666666666</v>
      </c>
      <c r="F9" s="31">
        <v>0.16666666666666666</v>
      </c>
      <c r="G9" s="31">
        <v>0.37777777777777777</v>
      </c>
      <c r="H9" s="31">
        <v>0.13333333333333333</v>
      </c>
      <c r="I9" s="32">
        <v>6805.8823529411766</v>
      </c>
      <c r="J9" s="32">
        <v>-10850</v>
      </c>
      <c r="K9" s="31">
        <v>0</v>
      </c>
      <c r="L9" s="31">
        <v>0.31111111111111112</v>
      </c>
      <c r="M9" s="31">
        <v>0.1111111111111111</v>
      </c>
      <c r="N9" s="31">
        <v>0.7142857142857143</v>
      </c>
      <c r="O9" s="31">
        <v>0.4</v>
      </c>
      <c r="P9" s="31">
        <v>0.23529411764705882</v>
      </c>
    </row>
    <row r="10" spans="1:17" x14ac:dyDescent="0.4">
      <c r="A10" s="33">
        <v>7</v>
      </c>
      <c r="B10" s="30">
        <v>68.900000000000006</v>
      </c>
      <c r="C10" s="30">
        <v>9.8428571428571434</v>
      </c>
      <c r="D10" s="35">
        <v>1.8571428571428572</v>
      </c>
      <c r="E10" s="31">
        <v>0.2857142857142857</v>
      </c>
      <c r="F10" s="31">
        <v>0.14285714285714285</v>
      </c>
      <c r="G10" s="31">
        <v>0.38983050847457629</v>
      </c>
      <c r="H10" s="31">
        <v>0.13559322033898305</v>
      </c>
      <c r="I10" s="32">
        <v>6869.565217391304</v>
      </c>
      <c r="J10" s="32">
        <v>-10637.5</v>
      </c>
      <c r="K10" s="31">
        <v>0</v>
      </c>
      <c r="L10" s="31">
        <v>0.23728813559322035</v>
      </c>
      <c r="M10" s="31">
        <v>0.13559322033898305</v>
      </c>
      <c r="N10" s="31">
        <v>0.7142857142857143</v>
      </c>
      <c r="O10" s="31">
        <v>0.375</v>
      </c>
      <c r="P10" s="31">
        <v>0.34782608695652173</v>
      </c>
    </row>
    <row r="11" spans="1:17" x14ac:dyDescent="0.4">
      <c r="A11" s="33">
        <v>8</v>
      </c>
      <c r="B11" s="30">
        <v>11.300000000000004</v>
      </c>
      <c r="C11" s="30">
        <v>1.4125000000000005</v>
      </c>
      <c r="D11" s="35">
        <v>2</v>
      </c>
      <c r="E11" s="31">
        <v>0.25</v>
      </c>
      <c r="F11" s="31">
        <v>0.25</v>
      </c>
      <c r="G11" s="31">
        <v>0.35384615384615387</v>
      </c>
      <c r="H11" s="31">
        <v>0.13846153846153847</v>
      </c>
      <c r="I11" s="32">
        <v>6869.565217391304</v>
      </c>
      <c r="J11" s="32">
        <v>-10344.444444444445</v>
      </c>
      <c r="K11" s="31">
        <v>0.125</v>
      </c>
      <c r="L11" s="31">
        <v>0.2153846153846154</v>
      </c>
      <c r="M11" s="31">
        <v>0.13846153846153847</v>
      </c>
      <c r="N11" s="31">
        <v>0.7142857142857143</v>
      </c>
      <c r="O11" s="31">
        <v>0.33333333333333331</v>
      </c>
      <c r="P11" s="31">
        <v>0.34782608695652173</v>
      </c>
    </row>
    <row r="12" spans="1:17" x14ac:dyDescent="0.4">
      <c r="A12" s="33">
        <v>9</v>
      </c>
      <c r="B12" s="30">
        <v>-47.599999999999994</v>
      </c>
      <c r="C12" s="30">
        <v>-5.2888888888888879</v>
      </c>
      <c r="D12" s="35">
        <v>2.1111111111111112</v>
      </c>
      <c r="E12" s="31">
        <v>0.22222222222222221</v>
      </c>
      <c r="F12" s="31">
        <v>0.33333333333333331</v>
      </c>
      <c r="G12" s="31">
        <v>0.31578947368421051</v>
      </c>
      <c r="H12" s="31">
        <v>0.13157894736842105</v>
      </c>
      <c r="I12" s="32">
        <v>6908.333333333333</v>
      </c>
      <c r="J12" s="32">
        <v>-10910</v>
      </c>
      <c r="K12" s="31">
        <v>0.22222222222222221</v>
      </c>
      <c r="L12" s="31">
        <v>0.21052631578947367</v>
      </c>
      <c r="M12" s="31">
        <v>0.14473684210526316</v>
      </c>
      <c r="N12" s="31">
        <v>0.6875</v>
      </c>
      <c r="O12" s="31">
        <v>0.27272727272727271</v>
      </c>
      <c r="P12" s="31">
        <v>0.375</v>
      </c>
    </row>
    <row r="13" spans="1:17" x14ac:dyDescent="0.4">
      <c r="A13" s="33">
        <v>10</v>
      </c>
      <c r="B13" s="30">
        <v>-84.6</v>
      </c>
      <c r="C13" s="30">
        <v>-8.4599999999999991</v>
      </c>
      <c r="D13" s="35">
        <v>2.2000000000000002</v>
      </c>
      <c r="E13" s="31">
        <v>0.2</v>
      </c>
      <c r="F13" s="31">
        <v>0.4</v>
      </c>
      <c r="G13" s="31">
        <v>0.29268292682926828</v>
      </c>
      <c r="H13" s="31">
        <v>0.14634146341463414</v>
      </c>
      <c r="I13" s="32">
        <v>6908.333333333333</v>
      </c>
      <c r="J13" s="32">
        <v>-10258.333333333334</v>
      </c>
      <c r="K13" s="31">
        <v>0.2</v>
      </c>
      <c r="L13" s="31">
        <v>0.2073170731707317</v>
      </c>
      <c r="M13" s="31">
        <v>0.15853658536585366</v>
      </c>
      <c r="N13" s="31">
        <v>0.6470588235294118</v>
      </c>
      <c r="O13" s="31">
        <v>0.23076923076923078</v>
      </c>
      <c r="P13" s="31">
        <v>0.375</v>
      </c>
    </row>
    <row r="14" spans="1:17" x14ac:dyDescent="0.4">
      <c r="A14" s="33">
        <v>11</v>
      </c>
      <c r="B14" s="30">
        <v>-128</v>
      </c>
      <c r="C14" s="30">
        <v>-11.636363636363637</v>
      </c>
      <c r="D14" s="35">
        <v>2.2727272727272729</v>
      </c>
      <c r="E14" s="31">
        <v>0.18181818181818182</v>
      </c>
      <c r="F14" s="31">
        <v>0.45454545454545453</v>
      </c>
      <c r="G14" s="31">
        <v>0.3</v>
      </c>
      <c r="H14" s="31">
        <v>0.15555555555555556</v>
      </c>
      <c r="I14" s="32">
        <v>7200</v>
      </c>
      <c r="J14" s="32">
        <v>-11650</v>
      </c>
      <c r="K14" s="31">
        <v>0.18181818181818182</v>
      </c>
      <c r="L14" s="31">
        <v>0.21111111111111111</v>
      </c>
      <c r="M14" s="31">
        <v>0.15555555555555556</v>
      </c>
      <c r="N14" s="31">
        <v>0.68421052631578949</v>
      </c>
      <c r="O14" s="31">
        <v>0.21428571428571427</v>
      </c>
      <c r="P14" s="31">
        <v>0.33333333333333331</v>
      </c>
    </row>
    <row r="15" spans="1:17" x14ac:dyDescent="0.4">
      <c r="A15" s="33">
        <v>12</v>
      </c>
      <c r="B15" s="30">
        <v>-122.3</v>
      </c>
      <c r="C15" s="30">
        <v>-10.191666666666666</v>
      </c>
      <c r="D15" s="35">
        <v>2.25</v>
      </c>
      <c r="E15" s="31">
        <v>0.16666666666666666</v>
      </c>
      <c r="F15" s="31">
        <v>0.41666666666666669</v>
      </c>
      <c r="G15" s="31">
        <v>0.30303030303030304</v>
      </c>
      <c r="H15" s="31">
        <v>0.15151515151515152</v>
      </c>
      <c r="I15" s="32">
        <v>7470</v>
      </c>
      <c r="J15" s="32">
        <v>-10940</v>
      </c>
      <c r="K15" s="31">
        <v>0.16666666666666666</v>
      </c>
      <c r="L15" s="31">
        <v>0.21212121212121213</v>
      </c>
      <c r="M15" s="31">
        <v>0.16161616161616163</v>
      </c>
      <c r="N15" s="31">
        <v>0.7142857142857143</v>
      </c>
      <c r="O15" s="31">
        <v>0.1875</v>
      </c>
      <c r="P15" s="31">
        <v>0.4</v>
      </c>
    </row>
    <row r="16" spans="1:17" x14ac:dyDescent="0.4">
      <c r="A16" s="33">
        <v>13</v>
      </c>
      <c r="B16" s="30">
        <v>-132.5</v>
      </c>
      <c r="C16" s="30">
        <v>-10.192307692307692</v>
      </c>
      <c r="D16" s="35">
        <v>2.2307692307692308</v>
      </c>
      <c r="E16" s="31">
        <v>0.15384615384615385</v>
      </c>
      <c r="F16" s="31">
        <v>0.38461538461538464</v>
      </c>
      <c r="G16" s="31">
        <v>0.30188679245283018</v>
      </c>
      <c r="H16" s="31">
        <v>0.16037735849056603</v>
      </c>
      <c r="I16" s="32">
        <v>7493.75</v>
      </c>
      <c r="J16" s="32">
        <v>-10352.941176470587</v>
      </c>
      <c r="K16" s="31">
        <v>0.15384615384615385</v>
      </c>
      <c r="L16" s="31">
        <v>0.19811320754716982</v>
      </c>
      <c r="M16" s="31">
        <v>0.18867924528301888</v>
      </c>
      <c r="N16" s="31">
        <v>0.7142857142857143</v>
      </c>
      <c r="O16" s="31">
        <v>0.25</v>
      </c>
      <c r="P16" s="31">
        <v>0.4375</v>
      </c>
    </row>
    <row r="17" spans="1:16" x14ac:dyDescent="0.4">
      <c r="A17" s="33">
        <v>14</v>
      </c>
      <c r="B17" s="30">
        <v>-165.5</v>
      </c>
      <c r="C17" s="30">
        <v>-11.821428571428571</v>
      </c>
      <c r="D17" s="35">
        <v>2.2857142857142856</v>
      </c>
      <c r="E17" s="31">
        <v>0.14285714285714285</v>
      </c>
      <c r="F17" s="31">
        <v>0.42857142857142855</v>
      </c>
      <c r="G17" s="31">
        <v>0.29661016949152541</v>
      </c>
      <c r="H17" s="31">
        <v>0.16101694915254236</v>
      </c>
      <c r="I17" s="32">
        <v>7451.4285714285716</v>
      </c>
      <c r="J17" s="32">
        <v>-10089.473684210527</v>
      </c>
      <c r="K17" s="31">
        <v>0.14285714285714285</v>
      </c>
      <c r="L17" s="31">
        <v>0.17796610169491525</v>
      </c>
      <c r="M17" s="31">
        <v>0.19491525423728814</v>
      </c>
      <c r="N17" s="31">
        <v>0.7142857142857143</v>
      </c>
      <c r="O17" s="31">
        <v>0.2608695652173913</v>
      </c>
      <c r="P17" s="31">
        <v>0.45714285714285713</v>
      </c>
    </row>
    <row r="18" spans="1:16" x14ac:dyDescent="0.4">
      <c r="A18" s="33">
        <v>15</v>
      </c>
      <c r="B18" s="30">
        <v>-119.8</v>
      </c>
      <c r="C18" s="30">
        <v>-7.9866666666666664</v>
      </c>
      <c r="D18" s="35">
        <v>2.2000000000000002</v>
      </c>
      <c r="E18" s="31">
        <v>0.2</v>
      </c>
      <c r="F18" s="31">
        <v>0.4</v>
      </c>
      <c r="G18" s="31">
        <v>0.30399999999999999</v>
      </c>
      <c r="H18" s="31">
        <v>0.152</v>
      </c>
      <c r="I18" s="32">
        <v>7705.2631578947367</v>
      </c>
      <c r="J18" s="32">
        <v>-10089.473684210527</v>
      </c>
      <c r="K18" s="31">
        <v>0.13333333333333333</v>
      </c>
      <c r="L18" s="31">
        <v>0.17599999999999999</v>
      </c>
      <c r="M18" s="31">
        <v>0.2</v>
      </c>
      <c r="N18" s="31">
        <v>0.72727272727272729</v>
      </c>
      <c r="O18" s="31">
        <v>0.32</v>
      </c>
      <c r="P18" s="31">
        <v>0.44736842105263158</v>
      </c>
    </row>
    <row r="19" spans="1:16" x14ac:dyDescent="0.4">
      <c r="A19" s="33">
        <v>16</v>
      </c>
      <c r="B19" s="30">
        <v>-171.4</v>
      </c>
      <c r="C19" s="30">
        <v>-10.7125</v>
      </c>
      <c r="D19" s="35">
        <v>2.25</v>
      </c>
      <c r="E19" s="31">
        <v>0.1875</v>
      </c>
      <c r="F19" s="31">
        <v>0.4375</v>
      </c>
      <c r="G19" s="31">
        <v>0.2814814814814815</v>
      </c>
      <c r="H19" s="31">
        <v>0.15555555555555556</v>
      </c>
      <c r="I19" s="32">
        <v>7705.2631578947367</v>
      </c>
      <c r="J19" s="32">
        <v>-9438.0952380952385</v>
      </c>
      <c r="K19" s="31">
        <v>0.125</v>
      </c>
      <c r="L19" s="31">
        <v>0.17777777777777778</v>
      </c>
      <c r="M19" s="31">
        <v>0.19259259259259259</v>
      </c>
      <c r="N19" s="31">
        <v>0.66666666666666663</v>
      </c>
      <c r="O19" s="31">
        <v>0.30769230769230771</v>
      </c>
      <c r="P19" s="31">
        <v>0.44736842105263158</v>
      </c>
    </row>
    <row r="20" spans="1:16" x14ac:dyDescent="0.4">
      <c r="A20" s="33">
        <v>17</v>
      </c>
      <c r="B20" s="30">
        <v>-211.5</v>
      </c>
      <c r="C20" s="30">
        <v>-12.441176470588236</v>
      </c>
      <c r="D20" s="35">
        <v>2.2941176470588234</v>
      </c>
      <c r="E20" s="31">
        <v>0.17647058823529413</v>
      </c>
      <c r="F20" s="31">
        <v>0.47058823529411764</v>
      </c>
      <c r="G20" s="31">
        <v>0.26760563380281688</v>
      </c>
      <c r="H20" s="31">
        <v>0.14788732394366197</v>
      </c>
      <c r="I20" s="32">
        <v>7705.2631578947367</v>
      </c>
      <c r="J20" s="32">
        <v>-9438.0952380952385</v>
      </c>
      <c r="K20" s="31">
        <v>0.11764705882352941</v>
      </c>
      <c r="L20" s="31">
        <v>0.18309859154929578</v>
      </c>
      <c r="M20" s="31">
        <v>0.19014084507042253</v>
      </c>
      <c r="N20" s="31">
        <v>0.61538461538461542</v>
      </c>
      <c r="O20" s="31">
        <v>0.29629629629629628</v>
      </c>
      <c r="P20" s="31">
        <v>0.44736842105263158</v>
      </c>
    </row>
    <row r="21" spans="1:16" x14ac:dyDescent="0.4">
      <c r="A21" s="33">
        <v>18</v>
      </c>
      <c r="B21" s="30">
        <v>-220.6</v>
      </c>
      <c r="C21" s="30">
        <v>-12.255555555555555</v>
      </c>
      <c r="D21" s="35">
        <v>2.2777777777777777</v>
      </c>
      <c r="E21" s="31">
        <v>0.16666666666666666</v>
      </c>
      <c r="F21" s="31">
        <v>0.44444444444444442</v>
      </c>
      <c r="G21" s="31">
        <v>0.27631578947368424</v>
      </c>
      <c r="H21" s="31">
        <v>0.14473684210526316</v>
      </c>
      <c r="I21" s="32">
        <v>7969.0476190476193</v>
      </c>
      <c r="J21" s="32">
        <v>-10100</v>
      </c>
      <c r="K21" s="31">
        <v>0.1111111111111111</v>
      </c>
      <c r="L21" s="31">
        <v>0.19736842105263158</v>
      </c>
      <c r="M21" s="31">
        <v>0.18421052631578946</v>
      </c>
      <c r="N21" s="31">
        <v>0.6333333333333333</v>
      </c>
      <c r="O21" s="31">
        <v>0.32142857142857145</v>
      </c>
      <c r="P21" s="31">
        <v>0.45238095238095238</v>
      </c>
    </row>
    <row r="22" spans="1:16" x14ac:dyDescent="0.4">
      <c r="A22" s="33">
        <v>19</v>
      </c>
      <c r="B22" s="30">
        <v>-153.5</v>
      </c>
      <c r="C22" s="30">
        <v>-8.0789473684210531</v>
      </c>
      <c r="D22" s="35">
        <v>2.2105263157894739</v>
      </c>
      <c r="E22" s="31">
        <v>0.21052631578947367</v>
      </c>
      <c r="F22" s="31">
        <v>0.42105263157894735</v>
      </c>
      <c r="G22" s="31">
        <v>0.3</v>
      </c>
      <c r="H22" s="31">
        <v>0.14374999999999999</v>
      </c>
      <c r="I22" s="32">
        <v>8141.666666666667</v>
      </c>
      <c r="J22" s="32">
        <v>-10008.695652173914</v>
      </c>
      <c r="K22" s="31">
        <v>0.10526315789473684</v>
      </c>
      <c r="L22" s="31">
        <v>0.2</v>
      </c>
      <c r="M22" s="31">
        <v>0.19375000000000001</v>
      </c>
      <c r="N22" s="31">
        <v>0.625</v>
      </c>
      <c r="O22" s="31">
        <v>0.35483870967741937</v>
      </c>
      <c r="P22" s="31">
        <v>0.41666666666666669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5B1B23-BD55-440B-8EAF-50EFA4FF52BC}">
  <sheetPr codeName="Sheet10"/>
  <dimension ref="A1:Q18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187</v>
      </c>
      <c r="B1" s="34" t="s">
        <v>187</v>
      </c>
      <c r="C1" s="34" t="s">
        <v>187</v>
      </c>
      <c r="D1" s="35" t="s">
        <v>187</v>
      </c>
      <c r="E1" s="34" t="s">
        <v>187</v>
      </c>
      <c r="F1" s="34" t="s">
        <v>187</v>
      </c>
      <c r="G1" s="34" t="s">
        <v>187</v>
      </c>
      <c r="H1" s="34" t="s">
        <v>187</v>
      </c>
      <c r="I1" s="34" t="s">
        <v>187</v>
      </c>
      <c r="J1" s="34" t="s">
        <v>187</v>
      </c>
      <c r="K1" s="34" t="s">
        <v>187</v>
      </c>
      <c r="L1" s="34" t="s">
        <v>187</v>
      </c>
      <c r="M1" s="34" t="s">
        <v>187</v>
      </c>
      <c r="N1" s="34" t="s">
        <v>187</v>
      </c>
      <c r="O1" s="34" t="s">
        <v>187</v>
      </c>
      <c r="P1" s="34" t="s">
        <v>187</v>
      </c>
      <c r="Q1" s="34" t="s">
        <v>187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148</v>
      </c>
      <c r="G2" s="34" t="s">
        <v>140</v>
      </c>
      <c r="H2" s="34" t="s">
        <v>139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141</v>
      </c>
      <c r="P2" s="34" t="s">
        <v>137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51.5</v>
      </c>
      <c r="C4" s="30">
        <v>51.5</v>
      </c>
      <c r="D4" s="35">
        <v>1</v>
      </c>
      <c r="E4" s="31">
        <v>1</v>
      </c>
      <c r="F4" s="31">
        <v>0</v>
      </c>
      <c r="G4" s="31">
        <v>0.6</v>
      </c>
      <c r="H4" s="31">
        <v>0</v>
      </c>
      <c r="I4" s="32">
        <v>9333.3333333333339</v>
      </c>
      <c r="J4" s="32">
        <v>0</v>
      </c>
      <c r="K4" s="31">
        <v>0</v>
      </c>
      <c r="L4" s="31">
        <v>0.4</v>
      </c>
      <c r="M4" s="31">
        <v>0.2</v>
      </c>
      <c r="N4" s="31">
        <v>1</v>
      </c>
      <c r="O4" s="31">
        <v>0</v>
      </c>
      <c r="P4" s="31">
        <v>0.33333333333333331</v>
      </c>
    </row>
    <row r="5" spans="1:17" x14ac:dyDescent="0.4">
      <c r="A5" s="33">
        <v>2</v>
      </c>
      <c r="B5" s="30">
        <v>21.3</v>
      </c>
      <c r="C5" s="30">
        <v>10.65</v>
      </c>
      <c r="D5" s="35">
        <v>2</v>
      </c>
      <c r="E5" s="31">
        <v>0.5</v>
      </c>
      <c r="F5" s="31">
        <v>0.5</v>
      </c>
      <c r="G5" s="31">
        <v>0.36363636363636365</v>
      </c>
      <c r="H5" s="31">
        <v>0.18181818181818182</v>
      </c>
      <c r="I5" s="32">
        <v>8000</v>
      </c>
      <c r="J5" s="32">
        <v>-6600</v>
      </c>
      <c r="K5" s="31">
        <v>0</v>
      </c>
      <c r="L5" s="31">
        <v>0.36363636363636365</v>
      </c>
      <c r="M5" s="31">
        <v>0.36363636363636365</v>
      </c>
      <c r="N5" s="31">
        <v>0.75</v>
      </c>
      <c r="O5" s="31">
        <v>0</v>
      </c>
      <c r="P5" s="31">
        <v>0.5</v>
      </c>
    </row>
    <row r="6" spans="1:17" x14ac:dyDescent="0.4">
      <c r="A6" s="33">
        <v>3</v>
      </c>
      <c r="B6" s="30">
        <v>-34.299999999999997</v>
      </c>
      <c r="C6" s="30">
        <v>-11.433333333333332</v>
      </c>
      <c r="D6" s="35">
        <v>2.3333333333333335</v>
      </c>
      <c r="E6" s="31">
        <v>0.33333333333333331</v>
      </c>
      <c r="F6" s="31">
        <v>0.66666666666666663</v>
      </c>
      <c r="G6" s="31">
        <v>0.31818181818181818</v>
      </c>
      <c r="H6" s="31">
        <v>0.18181818181818182</v>
      </c>
      <c r="I6" s="32">
        <v>5914.2857142857147</v>
      </c>
      <c r="J6" s="32">
        <v>-13300</v>
      </c>
      <c r="K6" s="31">
        <v>0.33333333333333331</v>
      </c>
      <c r="L6" s="31">
        <v>0.36363636363636365</v>
      </c>
      <c r="M6" s="31">
        <v>0.22727272727272727</v>
      </c>
      <c r="N6" s="31">
        <v>0.625</v>
      </c>
      <c r="O6" s="31">
        <v>0</v>
      </c>
      <c r="P6" s="31">
        <v>0.5714285714285714</v>
      </c>
    </row>
    <row r="7" spans="1:17" x14ac:dyDescent="0.4">
      <c r="A7" s="33">
        <v>4</v>
      </c>
      <c r="B7" s="30">
        <v>-34.9</v>
      </c>
      <c r="C7" s="30">
        <v>-8.7249999999999996</v>
      </c>
      <c r="D7" s="35">
        <v>2.25</v>
      </c>
      <c r="E7" s="31">
        <v>0.25</v>
      </c>
      <c r="F7" s="31">
        <v>0.5</v>
      </c>
      <c r="G7" s="31">
        <v>0.32142857142857145</v>
      </c>
      <c r="H7" s="31">
        <v>0.21428571428571427</v>
      </c>
      <c r="I7" s="32">
        <v>5777.7777777777774</v>
      </c>
      <c r="J7" s="32">
        <v>-10366.666666666666</v>
      </c>
      <c r="K7" s="31">
        <v>0.25</v>
      </c>
      <c r="L7" s="31">
        <v>0.39285714285714285</v>
      </c>
      <c r="M7" s="31">
        <v>0.25</v>
      </c>
      <c r="N7" s="31">
        <v>0.63636363636363635</v>
      </c>
      <c r="O7" s="31">
        <v>0</v>
      </c>
      <c r="P7" s="31">
        <v>0.44444444444444442</v>
      </c>
    </row>
    <row r="8" spans="1:17" x14ac:dyDescent="0.4">
      <c r="A8" s="33">
        <v>5</v>
      </c>
      <c r="B8" s="30">
        <v>-43.8</v>
      </c>
      <c r="C8" s="30">
        <v>-8.76</v>
      </c>
      <c r="D8" s="35">
        <v>2.2000000000000002</v>
      </c>
      <c r="E8" s="31">
        <v>0.2</v>
      </c>
      <c r="F8" s="31">
        <v>0.4</v>
      </c>
      <c r="G8" s="31">
        <v>0.29411764705882354</v>
      </c>
      <c r="H8" s="31">
        <v>0.23529411764705882</v>
      </c>
      <c r="I8" s="32">
        <v>6000</v>
      </c>
      <c r="J8" s="32">
        <v>-8425</v>
      </c>
      <c r="K8" s="31">
        <v>0.2</v>
      </c>
      <c r="L8" s="31">
        <v>0.35294117647058826</v>
      </c>
      <c r="M8" s="31">
        <v>0.23529411764705882</v>
      </c>
      <c r="N8" s="31">
        <v>0.66666666666666663</v>
      </c>
      <c r="O8" s="31">
        <v>0</v>
      </c>
      <c r="P8" s="31">
        <v>0.4</v>
      </c>
    </row>
    <row r="9" spans="1:17" x14ac:dyDescent="0.4">
      <c r="A9" s="33">
        <v>6</v>
      </c>
      <c r="B9" s="30">
        <v>-42.4</v>
      </c>
      <c r="C9" s="30">
        <v>-7.0666666666666664</v>
      </c>
      <c r="D9" s="35">
        <v>2.1666666666666665</v>
      </c>
      <c r="E9" s="31">
        <v>0.16666666666666666</v>
      </c>
      <c r="F9" s="31">
        <v>0.33333333333333331</v>
      </c>
      <c r="G9" s="31">
        <v>0.32558139534883723</v>
      </c>
      <c r="H9" s="31">
        <v>0.18604651162790697</v>
      </c>
      <c r="I9" s="32">
        <v>5814.2857142857147</v>
      </c>
      <c r="J9" s="32">
        <v>-8425</v>
      </c>
      <c r="K9" s="31">
        <v>0.16666666666666666</v>
      </c>
      <c r="L9" s="31">
        <v>0.32558139534883723</v>
      </c>
      <c r="M9" s="31">
        <v>0.20930232558139536</v>
      </c>
      <c r="N9" s="31">
        <v>0.7142857142857143</v>
      </c>
      <c r="O9" s="31">
        <v>0.1111111111111111</v>
      </c>
      <c r="P9" s="31">
        <v>0.2857142857142857</v>
      </c>
    </row>
    <row r="10" spans="1:17" x14ac:dyDescent="0.4">
      <c r="A10" s="33">
        <v>7</v>
      </c>
      <c r="B10" s="30">
        <v>-8.7999999999999972</v>
      </c>
      <c r="C10" s="30">
        <v>-1.2571428571428567</v>
      </c>
      <c r="D10" s="35">
        <v>2</v>
      </c>
      <c r="E10" s="31">
        <v>0.2857142857142857</v>
      </c>
      <c r="F10" s="31">
        <v>0.2857142857142857</v>
      </c>
      <c r="G10" s="31">
        <v>0.34</v>
      </c>
      <c r="H10" s="31">
        <v>0.2</v>
      </c>
      <c r="I10" s="32">
        <v>6335.2941176470586</v>
      </c>
      <c r="J10" s="32">
        <v>-7800</v>
      </c>
      <c r="K10" s="31">
        <v>0.14285714285714285</v>
      </c>
      <c r="L10" s="31">
        <v>0.34</v>
      </c>
      <c r="M10" s="31">
        <v>0.26</v>
      </c>
      <c r="N10" s="31">
        <v>0.6470588235294118</v>
      </c>
      <c r="O10" s="31">
        <v>0.23076923076923078</v>
      </c>
      <c r="P10" s="31">
        <v>0.41176470588235292</v>
      </c>
    </row>
    <row r="11" spans="1:17" x14ac:dyDescent="0.4">
      <c r="A11" s="33">
        <v>8</v>
      </c>
      <c r="B11" s="30">
        <v>-0.99999999999999734</v>
      </c>
      <c r="C11" s="30">
        <v>-0.12499999999999967</v>
      </c>
      <c r="D11" s="35">
        <v>2</v>
      </c>
      <c r="E11" s="31">
        <v>0.25</v>
      </c>
      <c r="F11" s="31">
        <v>0.25</v>
      </c>
      <c r="G11" s="31">
        <v>0.33333333333333331</v>
      </c>
      <c r="H11" s="31">
        <v>0.2</v>
      </c>
      <c r="I11" s="32">
        <v>6205</v>
      </c>
      <c r="J11" s="32">
        <v>-6716.666666666667</v>
      </c>
      <c r="K11" s="31">
        <v>0.125</v>
      </c>
      <c r="L11" s="31">
        <v>0.33333333333333331</v>
      </c>
      <c r="M11" s="31">
        <v>0.23333333333333334</v>
      </c>
      <c r="N11" s="31">
        <v>0.7</v>
      </c>
      <c r="O11" s="31">
        <v>0.21428571428571427</v>
      </c>
      <c r="P11" s="31">
        <v>0.35</v>
      </c>
    </row>
    <row r="12" spans="1:17" x14ac:dyDescent="0.4">
      <c r="A12" s="33">
        <v>9</v>
      </c>
      <c r="B12" s="30">
        <v>60.4</v>
      </c>
      <c r="C12" s="30">
        <v>6.7111111111111112</v>
      </c>
      <c r="D12" s="35">
        <v>1.8888888888888888</v>
      </c>
      <c r="E12" s="31">
        <v>0.33333333333333331</v>
      </c>
      <c r="F12" s="31">
        <v>0.22222222222222221</v>
      </c>
      <c r="G12" s="31">
        <v>0.36619718309859156</v>
      </c>
      <c r="H12" s="31">
        <v>0.18309859154929578</v>
      </c>
      <c r="I12" s="32">
        <v>6861.5384615384619</v>
      </c>
      <c r="J12" s="32">
        <v>-7123.0769230769229</v>
      </c>
      <c r="K12" s="31">
        <v>0.1111111111111111</v>
      </c>
      <c r="L12" s="31">
        <v>0.3380281690140845</v>
      </c>
      <c r="M12" s="31">
        <v>0.23943661971830985</v>
      </c>
      <c r="N12" s="31">
        <v>0.70833333333333337</v>
      </c>
      <c r="O12" s="31">
        <v>0.29411764705882354</v>
      </c>
      <c r="P12" s="31">
        <v>0.42307692307692307</v>
      </c>
    </row>
    <row r="13" spans="1:17" x14ac:dyDescent="0.4">
      <c r="A13" s="33">
        <v>10</v>
      </c>
      <c r="B13" s="30">
        <v>14.399999999999999</v>
      </c>
      <c r="C13" s="30">
        <v>1.44</v>
      </c>
      <c r="D13" s="35">
        <v>2</v>
      </c>
      <c r="E13" s="31">
        <v>0.3</v>
      </c>
      <c r="F13" s="31">
        <v>0.3</v>
      </c>
      <c r="G13" s="31">
        <v>0.32941176470588235</v>
      </c>
      <c r="H13" s="31">
        <v>0.17647058823529413</v>
      </c>
      <c r="I13" s="32">
        <v>6842.8571428571431</v>
      </c>
      <c r="J13" s="32">
        <v>-7613.333333333333</v>
      </c>
      <c r="K13" s="31">
        <v>0.1</v>
      </c>
      <c r="L13" s="31">
        <v>0.30588235294117649</v>
      </c>
      <c r="M13" s="31">
        <v>0.22352941176470589</v>
      </c>
      <c r="N13" s="31">
        <v>0.69230769230769229</v>
      </c>
      <c r="O13" s="31">
        <v>0.31578947368421051</v>
      </c>
      <c r="P13" s="31">
        <v>0.39285714285714285</v>
      </c>
    </row>
    <row r="14" spans="1:17" x14ac:dyDescent="0.4">
      <c r="A14" s="33">
        <v>11</v>
      </c>
      <c r="B14" s="30">
        <v>45.7</v>
      </c>
      <c r="C14" s="30">
        <v>4.1545454545454552</v>
      </c>
      <c r="D14" s="35">
        <v>1.9090909090909092</v>
      </c>
      <c r="E14" s="31">
        <v>0.36363636363636365</v>
      </c>
      <c r="F14" s="31">
        <v>0.27272727272727271</v>
      </c>
      <c r="G14" s="31">
        <v>0.33333333333333331</v>
      </c>
      <c r="H14" s="31">
        <v>0.16666666666666666</v>
      </c>
      <c r="I14" s="32">
        <v>6690.625</v>
      </c>
      <c r="J14" s="32">
        <v>-7537.5</v>
      </c>
      <c r="K14" s="31">
        <v>9.0909090909090912E-2</v>
      </c>
      <c r="L14" s="31">
        <v>0.32291666666666669</v>
      </c>
      <c r="M14" s="31">
        <v>0.20833333333333334</v>
      </c>
      <c r="N14" s="31">
        <v>0.67741935483870963</v>
      </c>
      <c r="O14" s="31">
        <v>0.3</v>
      </c>
      <c r="P14" s="31">
        <v>0.375</v>
      </c>
    </row>
    <row r="15" spans="1:17" x14ac:dyDescent="0.4">
      <c r="A15" s="33">
        <v>12</v>
      </c>
      <c r="B15" s="30">
        <v>115.3</v>
      </c>
      <c r="C15" s="30">
        <v>9.6083333333333325</v>
      </c>
      <c r="D15" s="35">
        <v>1.8333333333333333</v>
      </c>
      <c r="E15" s="31">
        <v>0.41666666666666669</v>
      </c>
      <c r="F15" s="31">
        <v>0.25</v>
      </c>
      <c r="G15" s="31">
        <v>0.35514018691588783</v>
      </c>
      <c r="H15" s="31">
        <v>0.14953271028037382</v>
      </c>
      <c r="I15" s="32">
        <v>7205.2631578947367</v>
      </c>
      <c r="J15" s="32">
        <v>-7537.5</v>
      </c>
      <c r="K15" s="31">
        <v>8.3333333333333329E-2</v>
      </c>
      <c r="L15" s="31">
        <v>0.31775700934579437</v>
      </c>
      <c r="M15" s="31">
        <v>0.23364485981308411</v>
      </c>
      <c r="N15" s="31">
        <v>0.70588235294117652</v>
      </c>
      <c r="O15" s="31">
        <v>0.36</v>
      </c>
      <c r="P15" s="31">
        <v>0.44736842105263158</v>
      </c>
    </row>
    <row r="16" spans="1:17" x14ac:dyDescent="0.4">
      <c r="A16" s="33">
        <v>13</v>
      </c>
      <c r="B16" s="30">
        <v>69.900000000000006</v>
      </c>
      <c r="C16" s="30">
        <v>5.3769230769230774</v>
      </c>
      <c r="D16" s="35">
        <v>1.9230769230769231</v>
      </c>
      <c r="E16" s="31">
        <v>0.38461538461538464</v>
      </c>
      <c r="F16" s="31">
        <v>0.30769230769230771</v>
      </c>
      <c r="G16" s="31">
        <v>0.33913043478260868</v>
      </c>
      <c r="H16" s="31">
        <v>0.15652173913043479</v>
      </c>
      <c r="I16" s="32">
        <v>7156.4102564102568</v>
      </c>
      <c r="J16" s="32">
        <v>-7255.5555555555557</v>
      </c>
      <c r="K16" s="31">
        <v>7.6923076923076927E-2</v>
      </c>
      <c r="L16" s="31">
        <v>0.29565217391304349</v>
      </c>
      <c r="M16" s="31">
        <v>0.24347826086956523</v>
      </c>
      <c r="N16" s="31">
        <v>0.70588235294117652</v>
      </c>
      <c r="O16" s="31">
        <v>0.32142857142857145</v>
      </c>
      <c r="P16" s="31">
        <v>0.46153846153846156</v>
      </c>
    </row>
    <row r="17" spans="1:16" x14ac:dyDescent="0.4">
      <c r="A17" s="33">
        <v>14</v>
      </c>
      <c r="B17" s="30">
        <v>114.80000000000001</v>
      </c>
      <c r="C17" s="30">
        <v>8.2000000000000011</v>
      </c>
      <c r="D17" s="35">
        <v>1.8571428571428572</v>
      </c>
      <c r="E17" s="31">
        <v>0.42857142857142855</v>
      </c>
      <c r="F17" s="31">
        <v>0.2857142857142857</v>
      </c>
      <c r="G17" s="31">
        <v>0.33333333333333331</v>
      </c>
      <c r="H17" s="31">
        <v>0.15447154471544716</v>
      </c>
      <c r="I17" s="32">
        <v>7392.6829268292686</v>
      </c>
      <c r="J17" s="32">
        <v>-7010.5263157894733</v>
      </c>
      <c r="K17" s="31">
        <v>7.1428571428571425E-2</v>
      </c>
      <c r="L17" s="31">
        <v>0.28455284552845528</v>
      </c>
      <c r="M17" s="31">
        <v>0.23577235772357724</v>
      </c>
      <c r="N17" s="31">
        <v>0.7142857142857143</v>
      </c>
      <c r="O17" s="31">
        <v>0.31034482758620691</v>
      </c>
      <c r="P17" s="31">
        <v>0.48780487804878048</v>
      </c>
    </row>
    <row r="18" spans="1:16" x14ac:dyDescent="0.4">
      <c r="A18" s="33">
        <v>15</v>
      </c>
      <c r="B18" s="30">
        <v>161.9</v>
      </c>
      <c r="C18" s="30">
        <v>10.793333333333333</v>
      </c>
      <c r="D18" s="35">
        <v>1.8</v>
      </c>
      <c r="E18" s="31">
        <v>0.46666666666666667</v>
      </c>
      <c r="F18" s="31">
        <v>0.26666666666666666</v>
      </c>
      <c r="G18" s="31">
        <v>0.34090909090909088</v>
      </c>
      <c r="H18" s="31">
        <v>0.14393939393939395</v>
      </c>
      <c r="I18" s="32">
        <v>7735.5555555555557</v>
      </c>
      <c r="J18" s="32">
        <v>-7010.5263157894733</v>
      </c>
      <c r="K18" s="31">
        <v>6.6666666666666666E-2</v>
      </c>
      <c r="L18" s="31">
        <v>0.27272727272727271</v>
      </c>
      <c r="M18" s="31">
        <v>0.23484848484848486</v>
      </c>
      <c r="N18" s="31">
        <v>0.72222222222222221</v>
      </c>
      <c r="O18" s="31">
        <v>0.32258064516129031</v>
      </c>
      <c r="P18" s="31">
        <v>0.48888888888888887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9B8B96-9385-40CD-ACC8-B818A18C71E9}">
  <sheetPr codeName="Sheet8"/>
  <dimension ref="A1:Q16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162</v>
      </c>
      <c r="B1" s="34" t="s">
        <v>162</v>
      </c>
      <c r="C1" s="34" t="s">
        <v>162</v>
      </c>
      <c r="D1" s="35" t="s">
        <v>162</v>
      </c>
      <c r="E1" s="34" t="s">
        <v>162</v>
      </c>
      <c r="F1" s="34" t="s">
        <v>162</v>
      </c>
      <c r="G1" s="34" t="s">
        <v>162</v>
      </c>
      <c r="H1" s="34" t="s">
        <v>162</v>
      </c>
      <c r="I1" s="34" t="s">
        <v>162</v>
      </c>
      <c r="J1" s="34" t="s">
        <v>162</v>
      </c>
      <c r="K1" s="34" t="s">
        <v>162</v>
      </c>
      <c r="L1" s="34" t="s">
        <v>162</v>
      </c>
      <c r="M1" s="34" t="s">
        <v>162</v>
      </c>
      <c r="N1" s="34" t="s">
        <v>162</v>
      </c>
      <c r="O1" s="34" t="s">
        <v>162</v>
      </c>
      <c r="P1" s="34" t="s">
        <v>162</v>
      </c>
      <c r="Q1" s="34" t="s">
        <v>162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148</v>
      </c>
      <c r="G2" s="34" t="s">
        <v>140</v>
      </c>
      <c r="H2" s="34" t="s">
        <v>139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141</v>
      </c>
      <c r="P2" s="34" t="s">
        <v>137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-58</v>
      </c>
      <c r="C4" s="30">
        <v>-58</v>
      </c>
      <c r="D4" s="35">
        <v>3</v>
      </c>
      <c r="E4" s="31">
        <v>0</v>
      </c>
      <c r="F4" s="31">
        <v>1</v>
      </c>
      <c r="G4" s="31">
        <v>0</v>
      </c>
      <c r="H4" s="31">
        <v>0.6</v>
      </c>
      <c r="I4" s="32">
        <v>0</v>
      </c>
      <c r="J4" s="32">
        <v>-12000</v>
      </c>
      <c r="K4" s="31">
        <v>1</v>
      </c>
      <c r="L4" s="31">
        <v>0.2</v>
      </c>
      <c r="M4" s="31">
        <v>0</v>
      </c>
      <c r="N4" s="31">
        <v>0</v>
      </c>
      <c r="O4" s="31">
        <v>0</v>
      </c>
      <c r="P4" s="31">
        <v>0</v>
      </c>
    </row>
    <row r="5" spans="1:17" x14ac:dyDescent="0.4">
      <c r="A5" s="33">
        <v>2</v>
      </c>
      <c r="B5" s="30">
        <v>-13.700000000000003</v>
      </c>
      <c r="C5" s="30">
        <v>-6.8500000000000014</v>
      </c>
      <c r="D5" s="35">
        <v>2</v>
      </c>
      <c r="E5" s="31">
        <v>0.5</v>
      </c>
      <c r="F5" s="31">
        <v>0.5</v>
      </c>
      <c r="G5" s="31">
        <v>0.125</v>
      </c>
      <c r="H5" s="31">
        <v>0.25</v>
      </c>
      <c r="I5" s="32">
        <v>18000</v>
      </c>
      <c r="J5" s="32">
        <v>-10300</v>
      </c>
      <c r="K5" s="31">
        <v>0.5</v>
      </c>
      <c r="L5" s="31">
        <v>0.25</v>
      </c>
      <c r="M5" s="31">
        <v>0.1875</v>
      </c>
      <c r="N5" s="31">
        <v>0.5</v>
      </c>
      <c r="O5" s="31">
        <v>0</v>
      </c>
      <c r="P5" s="31">
        <v>0</v>
      </c>
    </row>
    <row r="6" spans="1:17" x14ac:dyDescent="0.4">
      <c r="A6" s="33">
        <v>3</v>
      </c>
      <c r="B6" s="30">
        <v>7.8999999999999986</v>
      </c>
      <c r="C6" s="30">
        <v>2.6333333333333329</v>
      </c>
      <c r="D6" s="35">
        <v>1.6666666666666667</v>
      </c>
      <c r="E6" s="31">
        <v>0.66666666666666663</v>
      </c>
      <c r="F6" s="31">
        <v>0.33333333333333331</v>
      </c>
      <c r="G6" s="31">
        <v>0.18181818181818182</v>
      </c>
      <c r="H6" s="31">
        <v>0.27272727272727271</v>
      </c>
      <c r="I6" s="32">
        <v>11800</v>
      </c>
      <c r="J6" s="32">
        <v>-8633.3333333333339</v>
      </c>
      <c r="K6" s="31">
        <v>0.33333333333333331</v>
      </c>
      <c r="L6" s="31">
        <v>0.22727272727272727</v>
      </c>
      <c r="M6" s="31">
        <v>0.18181818181818182</v>
      </c>
      <c r="N6" s="31">
        <v>0.6</v>
      </c>
      <c r="O6" s="31">
        <v>0</v>
      </c>
      <c r="P6" s="31">
        <v>0.25</v>
      </c>
    </row>
    <row r="7" spans="1:17" x14ac:dyDescent="0.4">
      <c r="A7" s="33">
        <v>4</v>
      </c>
      <c r="B7" s="30">
        <v>50.4</v>
      </c>
      <c r="C7" s="30">
        <v>12.6</v>
      </c>
      <c r="D7" s="35">
        <v>1.5</v>
      </c>
      <c r="E7" s="31">
        <v>0.75</v>
      </c>
      <c r="F7" s="31">
        <v>0.25</v>
      </c>
      <c r="G7" s="31">
        <v>0.25</v>
      </c>
      <c r="H7" s="31">
        <v>0.21428571428571427</v>
      </c>
      <c r="I7" s="32">
        <v>9928.5714285714294</v>
      </c>
      <c r="J7" s="32">
        <v>-8633.3333333333339</v>
      </c>
      <c r="K7" s="31">
        <v>0.25</v>
      </c>
      <c r="L7" s="31">
        <v>0.21428571428571427</v>
      </c>
      <c r="M7" s="31">
        <v>0.17857142857142858</v>
      </c>
      <c r="N7" s="31">
        <v>0.66666666666666663</v>
      </c>
      <c r="O7" s="31">
        <v>0</v>
      </c>
      <c r="P7" s="31">
        <v>0.42857142857142855</v>
      </c>
    </row>
    <row r="8" spans="1:17" x14ac:dyDescent="0.4">
      <c r="A8" s="33">
        <v>5</v>
      </c>
      <c r="B8" s="30">
        <v>81.7</v>
      </c>
      <c r="C8" s="30">
        <v>16.34</v>
      </c>
      <c r="D8" s="35">
        <v>1.4</v>
      </c>
      <c r="E8" s="31">
        <v>0.8</v>
      </c>
      <c r="F8" s="31">
        <v>0.2</v>
      </c>
      <c r="G8" s="31">
        <v>0.27027027027027029</v>
      </c>
      <c r="H8" s="31">
        <v>0.24324324324324326</v>
      </c>
      <c r="I8" s="32">
        <v>10320</v>
      </c>
      <c r="J8" s="32">
        <v>-7966.666666666667</v>
      </c>
      <c r="K8" s="31">
        <v>0.2</v>
      </c>
      <c r="L8" s="31">
        <v>0.21621621621621623</v>
      </c>
      <c r="M8" s="31">
        <v>0.21621621621621623</v>
      </c>
      <c r="N8" s="31">
        <v>0.75</v>
      </c>
      <c r="O8" s="31">
        <v>0.125</v>
      </c>
      <c r="P8" s="31">
        <v>0.5</v>
      </c>
    </row>
    <row r="9" spans="1:17" x14ac:dyDescent="0.4">
      <c r="A9" s="33">
        <v>6</v>
      </c>
      <c r="B9" s="30">
        <v>40.5</v>
      </c>
      <c r="C9" s="30">
        <v>6.75</v>
      </c>
      <c r="D9" s="35">
        <v>1.6666666666666667</v>
      </c>
      <c r="E9" s="31">
        <v>0.66666666666666663</v>
      </c>
      <c r="F9" s="31">
        <v>0.33333333333333331</v>
      </c>
      <c r="G9" s="31">
        <v>0.25</v>
      </c>
      <c r="H9" s="31">
        <v>0.22727272727272727</v>
      </c>
      <c r="I9" s="32">
        <v>9636.363636363636</v>
      </c>
      <c r="J9" s="32">
        <v>-7970</v>
      </c>
      <c r="K9" s="31">
        <v>0.16666666666666666</v>
      </c>
      <c r="L9" s="31">
        <v>0.25</v>
      </c>
      <c r="M9" s="31">
        <v>0.22727272727272727</v>
      </c>
      <c r="N9" s="31">
        <v>0.63636363636363635</v>
      </c>
      <c r="O9" s="31">
        <v>0.1</v>
      </c>
      <c r="P9" s="31">
        <v>0.54545454545454541</v>
      </c>
    </row>
    <row r="10" spans="1:17" x14ac:dyDescent="0.4">
      <c r="A10" s="33">
        <v>7</v>
      </c>
      <c r="B10" s="30">
        <v>-14.5</v>
      </c>
      <c r="C10" s="30">
        <v>-2.0714285714285716</v>
      </c>
      <c r="D10" s="35">
        <v>1.8571428571428572</v>
      </c>
      <c r="E10" s="31">
        <v>0.5714285714285714</v>
      </c>
      <c r="F10" s="31">
        <v>0.42857142857142855</v>
      </c>
      <c r="G10" s="31">
        <v>0.23636363636363636</v>
      </c>
      <c r="H10" s="31">
        <v>0.23636363636363636</v>
      </c>
      <c r="I10" s="32">
        <v>9369.2307692307695</v>
      </c>
      <c r="J10" s="32">
        <v>-8161.5384615384619</v>
      </c>
      <c r="K10" s="31">
        <v>0.14285714285714285</v>
      </c>
      <c r="L10" s="31">
        <v>0.23636363636363636</v>
      </c>
      <c r="M10" s="31">
        <v>0.2</v>
      </c>
      <c r="N10" s="31">
        <v>0.61538461538461542</v>
      </c>
      <c r="O10" s="31">
        <v>9.0909090909090912E-2</v>
      </c>
      <c r="P10" s="31">
        <v>0.61538461538461542</v>
      </c>
    </row>
    <row r="11" spans="1:17" x14ac:dyDescent="0.4">
      <c r="A11" s="33">
        <v>8</v>
      </c>
      <c r="B11" s="30">
        <v>-29.2</v>
      </c>
      <c r="C11" s="30">
        <v>-3.65</v>
      </c>
      <c r="D11" s="35">
        <v>1.875</v>
      </c>
      <c r="E11" s="31">
        <v>0.5</v>
      </c>
      <c r="F11" s="31">
        <v>0.375</v>
      </c>
      <c r="G11" s="31">
        <v>0.22950819672131148</v>
      </c>
      <c r="H11" s="31">
        <v>0.21311475409836064</v>
      </c>
      <c r="I11" s="32">
        <v>9271.4285714285706</v>
      </c>
      <c r="J11" s="32">
        <v>-8161.5384615384619</v>
      </c>
      <c r="K11" s="31">
        <v>0.125</v>
      </c>
      <c r="L11" s="31">
        <v>0.29508196721311475</v>
      </c>
      <c r="M11" s="31">
        <v>0.18032786885245902</v>
      </c>
      <c r="N11" s="31">
        <v>0.5</v>
      </c>
      <c r="O11" s="31">
        <v>9.0909090909090912E-2</v>
      </c>
      <c r="P11" s="31">
        <v>0.5714285714285714</v>
      </c>
    </row>
    <row r="12" spans="1:17" x14ac:dyDescent="0.4">
      <c r="A12" s="33">
        <v>9</v>
      </c>
      <c r="B12" s="30">
        <v>-55.2</v>
      </c>
      <c r="C12" s="30">
        <v>-6.1333333333333337</v>
      </c>
      <c r="D12" s="35">
        <v>2</v>
      </c>
      <c r="E12" s="31">
        <v>0.44444444444444442</v>
      </c>
      <c r="F12" s="31">
        <v>0.44444444444444442</v>
      </c>
      <c r="G12" s="31">
        <v>0.22222222222222221</v>
      </c>
      <c r="H12" s="31">
        <v>0.20833333333333334</v>
      </c>
      <c r="I12" s="32">
        <v>9237.5</v>
      </c>
      <c r="J12" s="32">
        <v>-8386.6666666666661</v>
      </c>
      <c r="K12" s="31">
        <v>0.1111111111111111</v>
      </c>
      <c r="L12" s="31">
        <v>0.31944444444444442</v>
      </c>
      <c r="M12" s="31">
        <v>0.22222222222222221</v>
      </c>
      <c r="N12" s="31">
        <v>0.47826086956521741</v>
      </c>
      <c r="O12" s="31">
        <v>6.25E-2</v>
      </c>
      <c r="P12" s="31">
        <v>0.5625</v>
      </c>
    </row>
    <row r="13" spans="1:17" x14ac:dyDescent="0.4">
      <c r="A13" s="33">
        <v>10</v>
      </c>
      <c r="B13" s="30">
        <v>-65.900000000000006</v>
      </c>
      <c r="C13" s="30">
        <v>-6.5900000000000007</v>
      </c>
      <c r="D13" s="35">
        <v>2</v>
      </c>
      <c r="E13" s="31">
        <v>0.4</v>
      </c>
      <c r="F13" s="31">
        <v>0.4</v>
      </c>
      <c r="G13" s="31">
        <v>0.21686746987951808</v>
      </c>
      <c r="H13" s="31">
        <v>0.18072289156626506</v>
      </c>
      <c r="I13" s="32">
        <v>9255.5555555555547</v>
      </c>
      <c r="J13" s="32">
        <v>-8386.6666666666661</v>
      </c>
      <c r="K13" s="31">
        <v>0.1</v>
      </c>
      <c r="L13" s="31">
        <v>0.33734939759036142</v>
      </c>
      <c r="M13" s="31">
        <v>0.19277108433734941</v>
      </c>
      <c r="N13" s="31">
        <v>0.4642857142857143</v>
      </c>
      <c r="O13" s="31">
        <v>6.25E-2</v>
      </c>
      <c r="P13" s="31">
        <v>0.61111111111111116</v>
      </c>
    </row>
    <row r="14" spans="1:17" x14ac:dyDescent="0.4">
      <c r="A14" s="33">
        <v>11</v>
      </c>
      <c r="B14" s="30">
        <v>-72.300000000000011</v>
      </c>
      <c r="C14" s="30">
        <v>-6.5727272727272741</v>
      </c>
      <c r="D14" s="35">
        <v>2</v>
      </c>
      <c r="E14" s="31">
        <v>0.36363636363636365</v>
      </c>
      <c r="F14" s="31">
        <v>0.36363636363636365</v>
      </c>
      <c r="G14" s="31">
        <v>0.24175824175824176</v>
      </c>
      <c r="H14" s="31">
        <v>0.18681318681318682</v>
      </c>
      <c r="I14" s="32">
        <v>8700</v>
      </c>
      <c r="J14" s="32">
        <v>-8411.7647058823532</v>
      </c>
      <c r="K14" s="31">
        <v>9.0909090909090912E-2</v>
      </c>
      <c r="L14" s="31">
        <v>0.32967032967032966</v>
      </c>
      <c r="M14" s="31">
        <v>0.2087912087912088</v>
      </c>
      <c r="N14" s="31">
        <v>0.5</v>
      </c>
      <c r="O14" s="31">
        <v>0.15789473684210525</v>
      </c>
      <c r="P14" s="31">
        <v>0.59090909090909094</v>
      </c>
    </row>
    <row r="15" spans="1:17" x14ac:dyDescent="0.4">
      <c r="A15" s="33">
        <v>12</v>
      </c>
      <c r="B15" s="30">
        <v>-67.800000000000011</v>
      </c>
      <c r="C15" s="30">
        <v>-5.6500000000000012</v>
      </c>
      <c r="D15" s="35">
        <v>2</v>
      </c>
      <c r="E15" s="31">
        <v>0.33333333333333331</v>
      </c>
      <c r="F15" s="31">
        <v>0.33333333333333331</v>
      </c>
      <c r="G15" s="31">
        <v>0.25773195876288657</v>
      </c>
      <c r="H15" s="31">
        <v>0.19587628865979381</v>
      </c>
      <c r="I15" s="32">
        <v>8536</v>
      </c>
      <c r="J15" s="32">
        <v>-8221.0526315789466</v>
      </c>
      <c r="K15" s="31">
        <v>8.3333333333333329E-2</v>
      </c>
      <c r="L15" s="31">
        <v>0.35051546391752575</v>
      </c>
      <c r="M15" s="31">
        <v>0.19587628865979381</v>
      </c>
      <c r="N15" s="31">
        <v>0.52941176470588236</v>
      </c>
      <c r="O15" s="31">
        <v>0.15789473684210525</v>
      </c>
      <c r="P15" s="31">
        <v>0.52</v>
      </c>
    </row>
    <row r="16" spans="1:17" x14ac:dyDescent="0.4">
      <c r="A16" s="33">
        <v>13</v>
      </c>
      <c r="B16" s="30">
        <v>-120.60000000000001</v>
      </c>
      <c r="C16" s="30">
        <v>-9.2769230769230777</v>
      </c>
      <c r="D16" s="35">
        <v>2.0769230769230771</v>
      </c>
      <c r="E16" s="31">
        <v>0.30769230769230771</v>
      </c>
      <c r="F16" s="31">
        <v>0.38461538461538464</v>
      </c>
      <c r="G16" s="31">
        <v>0.24528301886792453</v>
      </c>
      <c r="H16" s="31">
        <v>0.18867924528301888</v>
      </c>
      <c r="I16" s="32">
        <v>8669.2307692307695</v>
      </c>
      <c r="J16" s="32">
        <v>-8410</v>
      </c>
      <c r="K16" s="31">
        <v>7.6923076923076927E-2</v>
      </c>
      <c r="L16" s="31">
        <v>0.35849056603773582</v>
      </c>
      <c r="M16" s="31">
        <v>0.18867924528301888</v>
      </c>
      <c r="N16" s="31">
        <v>0.5</v>
      </c>
      <c r="O16" s="31">
        <v>0.15</v>
      </c>
      <c r="P16" s="31">
        <v>0.53846153846153844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EF85CF-58E6-4EB2-9FEC-3900D4F5CDA2}">
  <sheetPr codeName="Sheet6"/>
  <dimension ref="A1:Q36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138</v>
      </c>
      <c r="B1" s="34" t="s">
        <v>138</v>
      </c>
      <c r="C1" s="34" t="s">
        <v>138</v>
      </c>
      <c r="D1" s="35" t="s">
        <v>138</v>
      </c>
      <c r="E1" s="34" t="s">
        <v>138</v>
      </c>
      <c r="F1" s="34" t="s">
        <v>138</v>
      </c>
      <c r="G1" s="34" t="s">
        <v>138</v>
      </c>
      <c r="H1" s="34" t="s">
        <v>138</v>
      </c>
      <c r="I1" s="34" t="s">
        <v>138</v>
      </c>
      <c r="J1" s="34" t="s">
        <v>138</v>
      </c>
      <c r="K1" s="34" t="s">
        <v>138</v>
      </c>
      <c r="L1" s="34" t="s">
        <v>138</v>
      </c>
      <c r="M1" s="34" t="s">
        <v>138</v>
      </c>
      <c r="N1" s="34" t="s">
        <v>138</v>
      </c>
      <c r="O1" s="34" t="s">
        <v>138</v>
      </c>
      <c r="P1" s="34" t="s">
        <v>138</v>
      </c>
      <c r="Q1" s="34" t="s">
        <v>138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148</v>
      </c>
      <c r="G2" s="34" t="s">
        <v>140</v>
      </c>
      <c r="H2" s="34" t="s">
        <v>139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141</v>
      </c>
      <c r="P2" s="34" t="s">
        <v>137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0</v>
      </c>
      <c r="C4" s="30">
        <v>0</v>
      </c>
      <c r="D4" s="35">
        <v>2</v>
      </c>
      <c r="E4" s="31">
        <v>0.33333333333333331</v>
      </c>
      <c r="F4" s="31">
        <v>0.33333333333333331</v>
      </c>
      <c r="G4" s="31">
        <v>0.26666666666666666</v>
      </c>
      <c r="H4" s="31">
        <v>0.2</v>
      </c>
      <c r="I4" s="32">
        <v>10000</v>
      </c>
      <c r="J4" s="32">
        <v>-12000</v>
      </c>
      <c r="K4" s="31">
        <v>0.33333333333333331</v>
      </c>
      <c r="L4" s="31">
        <v>0.26666666666666666</v>
      </c>
      <c r="M4" s="31">
        <v>6.6666666666666666E-2</v>
      </c>
      <c r="N4" s="31">
        <v>0.75</v>
      </c>
      <c r="O4" s="31">
        <v>0</v>
      </c>
      <c r="P4" s="31">
        <v>0.25</v>
      </c>
    </row>
    <row r="5" spans="1:17" x14ac:dyDescent="0.4">
      <c r="A5" s="33">
        <v>2</v>
      </c>
      <c r="B5" s="30">
        <v>1.4432899320127035E-15</v>
      </c>
      <c r="C5" s="30">
        <v>2.4054832200211723E-16</v>
      </c>
      <c r="D5" s="35">
        <v>2</v>
      </c>
      <c r="E5" s="31">
        <v>0.33333333333333331</v>
      </c>
      <c r="F5" s="31">
        <v>0.33333333333333331</v>
      </c>
      <c r="G5" s="31">
        <v>0.30303030303030304</v>
      </c>
      <c r="H5" s="31">
        <v>0.24242424242424243</v>
      </c>
      <c r="I5" s="32">
        <v>7570</v>
      </c>
      <c r="J5" s="32">
        <v>-8462.5</v>
      </c>
      <c r="K5" s="31">
        <v>0.16666666666666666</v>
      </c>
      <c r="L5" s="31">
        <v>0.33333333333333331</v>
      </c>
      <c r="M5" s="31">
        <v>0.15151515151515152</v>
      </c>
      <c r="N5" s="31">
        <v>0.72727272727272729</v>
      </c>
      <c r="O5" s="31">
        <v>0.2</v>
      </c>
      <c r="P5" s="31">
        <v>0.2</v>
      </c>
    </row>
    <row r="6" spans="1:17" x14ac:dyDescent="0.4">
      <c r="A6" s="33">
        <v>3</v>
      </c>
      <c r="B6" s="30">
        <v>-3.5527136788005009E-15</v>
      </c>
      <c r="C6" s="30">
        <v>-3.9474596431116675E-16</v>
      </c>
      <c r="D6" s="35">
        <v>2</v>
      </c>
      <c r="E6" s="31">
        <v>0.33333333333333331</v>
      </c>
      <c r="F6" s="31">
        <v>0.33333333333333331</v>
      </c>
      <c r="G6" s="31">
        <v>0.27272727272727271</v>
      </c>
      <c r="H6" s="31">
        <v>0.19696969696969696</v>
      </c>
      <c r="I6" s="32">
        <v>9116.6666666666661</v>
      </c>
      <c r="J6" s="32">
        <v>-11453.846153846154</v>
      </c>
      <c r="K6" s="31">
        <v>0.22222222222222221</v>
      </c>
      <c r="L6" s="31">
        <v>0.31818181818181818</v>
      </c>
      <c r="M6" s="31">
        <v>0.18181818181818182</v>
      </c>
      <c r="N6" s="31">
        <v>0.61904761904761907</v>
      </c>
      <c r="O6" s="31">
        <v>0.16666666666666666</v>
      </c>
      <c r="P6" s="31">
        <v>0.27777777777777779</v>
      </c>
    </row>
    <row r="7" spans="1:17" x14ac:dyDescent="0.4">
      <c r="A7" s="33">
        <v>4</v>
      </c>
      <c r="B7" s="30">
        <v>-3.5527136788005009E-15</v>
      </c>
      <c r="C7" s="30">
        <v>-2.9605947323337506E-16</v>
      </c>
      <c r="D7" s="35">
        <v>2</v>
      </c>
      <c r="E7" s="31">
        <v>0.33333333333333331</v>
      </c>
      <c r="F7" s="31">
        <v>0.33333333333333331</v>
      </c>
      <c r="G7" s="31">
        <v>0.2857142857142857</v>
      </c>
      <c r="H7" s="31">
        <v>0.21428571428571427</v>
      </c>
      <c r="I7" s="32">
        <v>8120.833333333333</v>
      </c>
      <c r="J7" s="32">
        <v>-9805.5555555555547</v>
      </c>
      <c r="K7" s="31">
        <v>0.16666666666666666</v>
      </c>
      <c r="L7" s="31">
        <v>0.29761904761904762</v>
      </c>
      <c r="M7" s="31">
        <v>0.20238095238095238</v>
      </c>
      <c r="N7" s="31">
        <v>0.64</v>
      </c>
      <c r="O7" s="31">
        <v>0.23529411764705882</v>
      </c>
      <c r="P7" s="31">
        <v>0.25</v>
      </c>
    </row>
    <row r="8" spans="1:17" x14ac:dyDescent="0.4">
      <c r="A8" s="33">
        <v>5</v>
      </c>
      <c r="B8" s="30">
        <v>0</v>
      </c>
      <c r="C8" s="30">
        <v>0</v>
      </c>
      <c r="D8" s="35">
        <v>2</v>
      </c>
      <c r="E8" s="31">
        <v>0.33333333333333331</v>
      </c>
      <c r="F8" s="31">
        <v>0.33333333333333331</v>
      </c>
      <c r="G8" s="31">
        <v>0.29411764705882354</v>
      </c>
      <c r="H8" s="31">
        <v>0.20588235294117646</v>
      </c>
      <c r="I8" s="32">
        <v>7663.333333333333</v>
      </c>
      <c r="J8" s="32">
        <v>-9033.3333333333339</v>
      </c>
      <c r="K8" s="31">
        <v>0.13333333333333333</v>
      </c>
      <c r="L8" s="31">
        <v>0.28431372549019607</v>
      </c>
      <c r="M8" s="31">
        <v>0.19607843137254902</v>
      </c>
      <c r="N8" s="31">
        <v>0.65517241379310343</v>
      </c>
      <c r="O8" s="31">
        <v>0.2</v>
      </c>
      <c r="P8" s="31">
        <v>0.3</v>
      </c>
    </row>
    <row r="9" spans="1:17" x14ac:dyDescent="0.4">
      <c r="A9" s="33">
        <v>6</v>
      </c>
      <c r="B9" s="30">
        <v>0</v>
      </c>
      <c r="C9" s="30">
        <v>0</v>
      </c>
      <c r="D9" s="35">
        <v>2</v>
      </c>
      <c r="E9" s="31">
        <v>0.33333333333333331</v>
      </c>
      <c r="F9" s="31">
        <v>0.33333333333333331</v>
      </c>
      <c r="G9" s="31">
        <v>0.29457364341085274</v>
      </c>
      <c r="H9" s="31">
        <v>0.20155038759689922</v>
      </c>
      <c r="I9" s="32">
        <v>7815.7894736842109</v>
      </c>
      <c r="J9" s="32">
        <v>-8415.3846153846152</v>
      </c>
      <c r="K9" s="31">
        <v>0.1111111111111111</v>
      </c>
      <c r="L9" s="31">
        <v>0.30232558139534882</v>
      </c>
      <c r="M9" s="31">
        <v>0.19379844961240311</v>
      </c>
      <c r="N9" s="31">
        <v>0.61538461538461542</v>
      </c>
      <c r="O9" s="31">
        <v>0.24</v>
      </c>
      <c r="P9" s="31">
        <v>0.31578947368421051</v>
      </c>
    </row>
    <row r="10" spans="1:17" x14ac:dyDescent="0.4">
      <c r="A10" s="33">
        <v>7</v>
      </c>
      <c r="B10" s="30">
        <v>0</v>
      </c>
      <c r="C10" s="30">
        <v>0</v>
      </c>
      <c r="D10" s="35">
        <v>2</v>
      </c>
      <c r="E10" s="31">
        <v>0.33333333333333331</v>
      </c>
      <c r="F10" s="31">
        <v>0.33333333333333331</v>
      </c>
      <c r="G10" s="31">
        <v>0.3</v>
      </c>
      <c r="H10" s="31">
        <v>0.19333333333333333</v>
      </c>
      <c r="I10" s="32">
        <v>7660</v>
      </c>
      <c r="J10" s="32">
        <v>-8186.2068965517237</v>
      </c>
      <c r="K10" s="31">
        <v>9.5238095238095233E-2</v>
      </c>
      <c r="L10" s="31">
        <v>0.31333333333333335</v>
      </c>
      <c r="M10" s="31">
        <v>0.20666666666666667</v>
      </c>
      <c r="N10" s="31">
        <v>0.5957446808510638</v>
      </c>
      <c r="O10" s="31">
        <v>0.25806451612903225</v>
      </c>
      <c r="P10" s="31">
        <v>0.35555555555555557</v>
      </c>
    </row>
    <row r="11" spans="1:17" x14ac:dyDescent="0.4">
      <c r="A11" s="33">
        <v>8</v>
      </c>
      <c r="B11" s="30">
        <v>-4.4408920985006262E-15</v>
      </c>
      <c r="C11" s="30">
        <v>-1.8503717077085943E-16</v>
      </c>
      <c r="D11" s="35">
        <v>2</v>
      </c>
      <c r="E11" s="31">
        <v>0.33333333333333331</v>
      </c>
      <c r="F11" s="31">
        <v>0.33333333333333331</v>
      </c>
      <c r="G11" s="31">
        <v>0.3</v>
      </c>
      <c r="H11" s="31">
        <v>0.19444444444444445</v>
      </c>
      <c r="I11" s="32">
        <v>7309.2592592592591</v>
      </c>
      <c r="J11" s="32">
        <v>-7668.5714285714284</v>
      </c>
      <c r="K11" s="31">
        <v>8.3333333333333329E-2</v>
      </c>
      <c r="L11" s="31">
        <v>0.32222222222222224</v>
      </c>
      <c r="M11" s="31">
        <v>0.18333333333333332</v>
      </c>
      <c r="N11" s="31">
        <v>0.58620689655172409</v>
      </c>
      <c r="O11" s="31">
        <v>0.27272727272727271</v>
      </c>
      <c r="P11" s="31">
        <v>0.35185185185185186</v>
      </c>
    </row>
    <row r="12" spans="1:17" x14ac:dyDescent="0.4">
      <c r="A12" s="33">
        <v>9</v>
      </c>
      <c r="B12" s="30">
        <v>-8.8817841970012523E-15</v>
      </c>
      <c r="C12" s="30">
        <v>-3.2895497025930562E-16</v>
      </c>
      <c r="D12" s="35">
        <v>2</v>
      </c>
      <c r="E12" s="31">
        <v>0.33333333333333331</v>
      </c>
      <c r="F12" s="31">
        <v>0.33333333333333331</v>
      </c>
      <c r="G12" s="31">
        <v>0.30046948356807512</v>
      </c>
      <c r="H12" s="31">
        <v>0.18309859154929578</v>
      </c>
      <c r="I12" s="32">
        <v>7600</v>
      </c>
      <c r="J12" s="32">
        <v>-7866.666666666667</v>
      </c>
      <c r="K12" s="31">
        <v>7.407407407407407E-2</v>
      </c>
      <c r="L12" s="31">
        <v>0.31924882629107981</v>
      </c>
      <c r="M12" s="31">
        <v>0.17840375586854459</v>
      </c>
      <c r="N12" s="31">
        <v>0.57352941176470584</v>
      </c>
      <c r="O12" s="31">
        <v>0.28947368421052633</v>
      </c>
      <c r="P12" s="31">
        <v>0.390625</v>
      </c>
    </row>
    <row r="13" spans="1:17" x14ac:dyDescent="0.4">
      <c r="A13" s="33">
        <v>10</v>
      </c>
      <c r="B13" s="30">
        <v>-1.4210854715202004E-14</v>
      </c>
      <c r="C13" s="30">
        <v>-4.7369515717340012E-16</v>
      </c>
      <c r="D13" s="35">
        <v>2</v>
      </c>
      <c r="E13" s="31">
        <v>0.33333333333333331</v>
      </c>
      <c r="F13" s="31">
        <v>0.33333333333333331</v>
      </c>
      <c r="G13" s="31">
        <v>0.29803921568627451</v>
      </c>
      <c r="H13" s="31">
        <v>0.1803921568627451</v>
      </c>
      <c r="I13" s="32">
        <v>7621.0526315789475</v>
      </c>
      <c r="J13" s="32">
        <v>-7945.652173913043</v>
      </c>
      <c r="K13" s="31">
        <v>6.6666666666666666E-2</v>
      </c>
      <c r="L13" s="31">
        <v>0.29411764705882354</v>
      </c>
      <c r="M13" s="31">
        <v>0.17254901960784313</v>
      </c>
      <c r="N13" s="31">
        <v>0.58666666666666667</v>
      </c>
      <c r="O13" s="31">
        <v>0.29545454545454547</v>
      </c>
      <c r="P13" s="31">
        <v>0.39473684210526316</v>
      </c>
    </row>
    <row r="14" spans="1:17" x14ac:dyDescent="0.4">
      <c r="A14" s="33">
        <v>11</v>
      </c>
      <c r="B14" s="30">
        <v>-2.1316282072803006E-14</v>
      </c>
      <c r="C14" s="30">
        <v>-6.459479416000911E-16</v>
      </c>
      <c r="D14" s="35">
        <v>2</v>
      </c>
      <c r="E14" s="31">
        <v>0.33333333333333331</v>
      </c>
      <c r="F14" s="31">
        <v>0.33333333333333331</v>
      </c>
      <c r="G14" s="31">
        <v>0.2967032967032967</v>
      </c>
      <c r="H14" s="31">
        <v>0.17216117216117216</v>
      </c>
      <c r="I14" s="32">
        <v>7802.4691358024693</v>
      </c>
      <c r="J14" s="32">
        <v>-7946.8085106382978</v>
      </c>
      <c r="K14" s="31">
        <v>9.0909090909090912E-2</v>
      </c>
      <c r="L14" s="31">
        <v>0.31135531135531136</v>
      </c>
      <c r="M14" s="31">
        <v>0.16483516483516483</v>
      </c>
      <c r="N14" s="31">
        <v>0.56470588235294117</v>
      </c>
      <c r="O14" s="31">
        <v>0.28888888888888886</v>
      </c>
      <c r="P14" s="31">
        <v>0.41975308641975306</v>
      </c>
    </row>
    <row r="15" spans="1:17" x14ac:dyDescent="0.4">
      <c r="A15" s="33">
        <v>12</v>
      </c>
      <c r="B15" s="30">
        <v>-2.042810365310288E-14</v>
      </c>
      <c r="C15" s="30">
        <v>-5.6744732369730219E-16</v>
      </c>
      <c r="D15" s="35">
        <v>2</v>
      </c>
      <c r="E15" s="31">
        <v>0.33333333333333331</v>
      </c>
      <c r="F15" s="31">
        <v>0.33333333333333331</v>
      </c>
      <c r="G15" s="31">
        <v>0.29411764705882354</v>
      </c>
      <c r="H15" s="31">
        <v>0.17320261437908496</v>
      </c>
      <c r="I15" s="32">
        <v>7687.7777777777774</v>
      </c>
      <c r="J15" s="32">
        <v>-7864.1509433962265</v>
      </c>
      <c r="K15" s="31">
        <v>8.3333333333333329E-2</v>
      </c>
      <c r="L15" s="31">
        <v>0.32679738562091504</v>
      </c>
      <c r="M15" s="31">
        <v>0.16993464052287582</v>
      </c>
      <c r="N15" s="31">
        <v>0.55000000000000004</v>
      </c>
      <c r="O15" s="31">
        <v>0.25</v>
      </c>
      <c r="P15" s="31">
        <v>0.41111111111111109</v>
      </c>
    </row>
    <row r="16" spans="1:17" x14ac:dyDescent="0.4">
      <c r="A16" s="33">
        <v>13</v>
      </c>
      <c r="B16" s="30">
        <v>-2.4868995751603507E-14</v>
      </c>
      <c r="C16" s="30">
        <v>-6.3766655773342325E-16</v>
      </c>
      <c r="D16" s="35">
        <v>2</v>
      </c>
      <c r="E16" s="31">
        <v>0.33333333333333331</v>
      </c>
      <c r="F16" s="31">
        <v>0.33333333333333331</v>
      </c>
      <c r="G16" s="31">
        <v>0.29203539823008851</v>
      </c>
      <c r="H16" s="31">
        <v>0.15929203539823009</v>
      </c>
      <c r="I16" s="32">
        <v>7860.606060606061</v>
      </c>
      <c r="J16" s="32">
        <v>-8014.8148148148148</v>
      </c>
      <c r="K16" s="31">
        <v>0.10256410256410256</v>
      </c>
      <c r="L16" s="31">
        <v>0.32448377581120946</v>
      </c>
      <c r="M16" s="31">
        <v>0.17404129793510326</v>
      </c>
      <c r="N16" s="31">
        <v>0.55454545454545456</v>
      </c>
      <c r="O16" s="31">
        <v>0.2711864406779661</v>
      </c>
      <c r="P16" s="31">
        <v>0.45454545454545453</v>
      </c>
    </row>
    <row r="17" spans="1:16" x14ac:dyDescent="0.4">
      <c r="A17" s="33">
        <v>14</v>
      </c>
      <c r="B17" s="30">
        <v>-2.1316282072803006E-14</v>
      </c>
      <c r="C17" s="30">
        <v>-5.0753052554292868E-16</v>
      </c>
      <c r="D17" s="35">
        <v>2</v>
      </c>
      <c r="E17" s="31">
        <v>0.33333333333333331</v>
      </c>
      <c r="F17" s="31">
        <v>0.33333333333333331</v>
      </c>
      <c r="G17" s="31">
        <v>0.29476584022038566</v>
      </c>
      <c r="H17" s="31">
        <v>0.15977961432506887</v>
      </c>
      <c r="I17" s="32">
        <v>7939.2523364485978</v>
      </c>
      <c r="J17" s="32">
        <v>-7931.0344827586205</v>
      </c>
      <c r="K17" s="31">
        <v>9.5238095238095233E-2</v>
      </c>
      <c r="L17" s="31">
        <v>0.31404958677685951</v>
      </c>
      <c r="M17" s="31">
        <v>0.1790633608815427</v>
      </c>
      <c r="N17" s="31">
        <v>0.57017543859649122</v>
      </c>
      <c r="O17" s="31">
        <v>0.27692307692307694</v>
      </c>
      <c r="P17" s="31">
        <v>0.45794392523364486</v>
      </c>
    </row>
    <row r="18" spans="1:16" x14ac:dyDescent="0.4">
      <c r="A18" s="33">
        <v>15</v>
      </c>
      <c r="B18" s="30">
        <v>-2.1316282072803006E-14</v>
      </c>
      <c r="C18" s="30">
        <v>-4.7369515717340012E-16</v>
      </c>
      <c r="D18" s="35">
        <v>2</v>
      </c>
      <c r="E18" s="31">
        <v>0.33333333333333331</v>
      </c>
      <c r="F18" s="31">
        <v>0.33333333333333331</v>
      </c>
      <c r="G18" s="31">
        <v>0.29658792650918636</v>
      </c>
      <c r="H18" s="31">
        <v>0.16535433070866143</v>
      </c>
      <c r="I18" s="32">
        <v>7876.1061946902655</v>
      </c>
      <c r="J18" s="32">
        <v>-7860.3174603174602</v>
      </c>
      <c r="K18" s="31">
        <v>8.8888888888888892E-2</v>
      </c>
      <c r="L18" s="31">
        <v>0.31758530183727035</v>
      </c>
      <c r="M18" s="31">
        <v>0.17847769028871391</v>
      </c>
      <c r="N18" s="31">
        <v>0.57851239669421484</v>
      </c>
      <c r="O18" s="31">
        <v>0.27941176470588236</v>
      </c>
      <c r="P18" s="31">
        <v>0.44247787610619471</v>
      </c>
    </row>
    <row r="19" spans="1:16" x14ac:dyDescent="0.4">
      <c r="A19" s="33">
        <v>16</v>
      </c>
      <c r="B19" s="30">
        <v>-2.1316282072803006E-14</v>
      </c>
      <c r="C19" s="30">
        <v>-4.4408920985006262E-16</v>
      </c>
      <c r="D19" s="35">
        <v>2</v>
      </c>
      <c r="E19" s="31">
        <v>0.33333333333333331</v>
      </c>
      <c r="F19" s="31">
        <v>0.33333333333333331</v>
      </c>
      <c r="G19" s="31">
        <v>0.29629629629629628</v>
      </c>
      <c r="H19" s="31">
        <v>0.16790123456790124</v>
      </c>
      <c r="I19" s="32">
        <v>8188.333333333333</v>
      </c>
      <c r="J19" s="32">
        <v>-8291.176470588236</v>
      </c>
      <c r="K19" s="31">
        <v>8.3333333333333329E-2</v>
      </c>
      <c r="L19" s="31">
        <v>0.31111111111111112</v>
      </c>
      <c r="M19" s="31">
        <v>0.17777777777777778</v>
      </c>
      <c r="N19" s="31">
        <v>0.57936507936507942</v>
      </c>
      <c r="O19" s="31">
        <v>0.29166666666666669</v>
      </c>
      <c r="P19" s="31">
        <v>0.43333333333333335</v>
      </c>
    </row>
    <row r="20" spans="1:16" x14ac:dyDescent="0.4">
      <c r="A20" s="33">
        <v>17</v>
      </c>
      <c r="B20" s="30">
        <v>-1.4210854715202004E-14</v>
      </c>
      <c r="C20" s="30">
        <v>-2.7864421010200007E-16</v>
      </c>
      <c r="D20" s="35">
        <v>2</v>
      </c>
      <c r="E20" s="31">
        <v>0.33333333333333331</v>
      </c>
      <c r="F20" s="31">
        <v>0.33333333333333331</v>
      </c>
      <c r="G20" s="31">
        <v>0.29629629629629628</v>
      </c>
      <c r="H20" s="31">
        <v>0.16203703703703703</v>
      </c>
      <c r="I20" s="32">
        <v>8353.90625</v>
      </c>
      <c r="J20" s="32">
        <v>-8240</v>
      </c>
      <c r="K20" s="31">
        <v>7.8431372549019607E-2</v>
      </c>
      <c r="L20" s="31">
        <v>0.30787037037037035</v>
      </c>
      <c r="M20" s="31">
        <v>0.17824074074074073</v>
      </c>
      <c r="N20" s="31">
        <v>0.57894736842105265</v>
      </c>
      <c r="O20" s="31">
        <v>0.2857142857142857</v>
      </c>
      <c r="P20" s="31">
        <v>0.453125</v>
      </c>
    </row>
    <row r="21" spans="1:16" x14ac:dyDescent="0.4">
      <c r="A21" s="33">
        <v>18</v>
      </c>
      <c r="B21" s="30">
        <v>-1.4210854715202004E-14</v>
      </c>
      <c r="C21" s="30">
        <v>-2.631639762074445E-16</v>
      </c>
      <c r="D21" s="35">
        <v>2</v>
      </c>
      <c r="E21" s="31">
        <v>0.33333333333333331</v>
      </c>
      <c r="F21" s="31">
        <v>0.33333333333333331</v>
      </c>
      <c r="G21" s="31">
        <v>0.2982456140350877</v>
      </c>
      <c r="H21" s="31">
        <v>0.16447368421052633</v>
      </c>
      <c r="I21" s="32">
        <v>8285.2941176470595</v>
      </c>
      <c r="J21" s="32">
        <v>-8288</v>
      </c>
      <c r="K21" s="31">
        <v>7.407407407407407E-2</v>
      </c>
      <c r="L21" s="31">
        <v>0.31359649122807015</v>
      </c>
      <c r="M21" s="31">
        <v>0.17324561403508773</v>
      </c>
      <c r="N21" s="31">
        <v>0.58041958041958042</v>
      </c>
      <c r="O21" s="31">
        <v>0.29113924050632911</v>
      </c>
      <c r="P21" s="31">
        <v>0.4485294117647059</v>
      </c>
    </row>
    <row r="22" spans="1:16" x14ac:dyDescent="0.4">
      <c r="A22" s="33">
        <v>19</v>
      </c>
      <c r="B22" s="30">
        <v>-1.0658141036401503E-14</v>
      </c>
      <c r="C22" s="30">
        <v>-1.8698493046318425E-16</v>
      </c>
      <c r="D22" s="35">
        <v>2</v>
      </c>
      <c r="E22" s="31">
        <v>0.33333333333333331</v>
      </c>
      <c r="F22" s="31">
        <v>0.33333333333333331</v>
      </c>
      <c r="G22" s="31">
        <v>0.29423868312757201</v>
      </c>
      <c r="H22" s="31">
        <v>0.16255144032921812</v>
      </c>
      <c r="I22" s="32">
        <v>8381.1188811188804</v>
      </c>
      <c r="J22" s="32">
        <v>-8541.7721518987346</v>
      </c>
      <c r="K22" s="31">
        <v>7.0175438596491224E-2</v>
      </c>
      <c r="L22" s="31">
        <v>0.31893004115226337</v>
      </c>
      <c r="M22" s="31">
        <v>0.16872427983539096</v>
      </c>
      <c r="N22" s="31">
        <v>0.58064516129032262</v>
      </c>
      <c r="O22" s="31">
        <v>0.28048780487804881</v>
      </c>
      <c r="P22" s="31">
        <v>0.44755244755244755</v>
      </c>
    </row>
    <row r="23" spans="1:16" x14ac:dyDescent="0.4">
      <c r="A23" s="33">
        <v>20</v>
      </c>
      <c r="B23" s="30">
        <v>-1.4210854715202004E-14</v>
      </c>
      <c r="C23" s="30">
        <v>-2.3684757858670006E-16</v>
      </c>
      <c r="D23" s="35">
        <v>2</v>
      </c>
      <c r="E23" s="31">
        <v>0.33333333333333331</v>
      </c>
      <c r="F23" s="31">
        <v>0.33333333333333331</v>
      </c>
      <c r="G23" s="31">
        <v>0.2926356589147287</v>
      </c>
      <c r="H23" s="31">
        <v>0.16085271317829458</v>
      </c>
      <c r="I23" s="32">
        <v>8327.8145695364237</v>
      </c>
      <c r="J23" s="32">
        <v>-8481.9277108433744</v>
      </c>
      <c r="K23" s="31">
        <v>6.6666666666666666E-2</v>
      </c>
      <c r="L23" s="31">
        <v>0.3236434108527132</v>
      </c>
      <c r="M23" s="31">
        <v>0.17248062015503876</v>
      </c>
      <c r="N23" s="31">
        <v>0.56287425149700598</v>
      </c>
      <c r="O23" s="31">
        <v>0.30337078651685395</v>
      </c>
      <c r="P23" s="31">
        <v>0.45033112582781459</v>
      </c>
    </row>
    <row r="24" spans="1:16" x14ac:dyDescent="0.4">
      <c r="A24" s="33">
        <v>21</v>
      </c>
      <c r="B24" s="30">
        <v>-1.4210854715202004E-14</v>
      </c>
      <c r="C24" s="30">
        <v>-2.2556912246352386E-16</v>
      </c>
      <c r="D24" s="35">
        <v>2</v>
      </c>
      <c r="E24" s="31">
        <v>0.33333333333333331</v>
      </c>
      <c r="F24" s="31">
        <v>0.33333333333333331</v>
      </c>
      <c r="G24" s="31">
        <v>0.29097605893186002</v>
      </c>
      <c r="H24" s="31">
        <v>0.16022099447513813</v>
      </c>
      <c r="I24" s="32">
        <v>8229.7468354430384</v>
      </c>
      <c r="J24" s="32">
        <v>-8387.3563218390809</v>
      </c>
      <c r="K24" s="31">
        <v>6.3492063492063489E-2</v>
      </c>
      <c r="L24" s="31">
        <v>0.31860036832412525</v>
      </c>
      <c r="M24" s="31">
        <v>0.17127071823204421</v>
      </c>
      <c r="N24" s="31">
        <v>0.56069364161849711</v>
      </c>
      <c r="O24" s="31">
        <v>0.32258064516129031</v>
      </c>
      <c r="P24" s="31">
        <v>0.44936708860759494</v>
      </c>
    </row>
    <row r="25" spans="1:16" x14ac:dyDescent="0.4">
      <c r="A25" s="33">
        <v>22</v>
      </c>
      <c r="B25" s="30">
        <v>-1.4210854715202004E-14</v>
      </c>
      <c r="C25" s="30">
        <v>-2.153159805333637E-16</v>
      </c>
      <c r="D25" s="35">
        <v>2</v>
      </c>
      <c r="E25" s="31">
        <v>0.33333333333333331</v>
      </c>
      <c r="F25" s="31">
        <v>0.33333333333333331</v>
      </c>
      <c r="G25" s="31">
        <v>0.29078014184397161</v>
      </c>
      <c r="H25" s="31">
        <v>0.15780141843971632</v>
      </c>
      <c r="I25" s="32">
        <v>8258.5365853658532</v>
      </c>
      <c r="J25" s="32">
        <v>-8423.5955056179773</v>
      </c>
      <c r="K25" s="31">
        <v>6.0606060606060608E-2</v>
      </c>
      <c r="L25" s="31">
        <v>0.32269503546099293</v>
      </c>
      <c r="M25" s="31">
        <v>0.16843971631205673</v>
      </c>
      <c r="N25" s="31">
        <v>0.56043956043956045</v>
      </c>
      <c r="O25" s="31">
        <v>0.31578947368421051</v>
      </c>
      <c r="P25" s="31">
        <v>0.45731707317073172</v>
      </c>
    </row>
    <row r="26" spans="1:16" x14ac:dyDescent="0.4">
      <c r="A26" s="33">
        <v>23</v>
      </c>
      <c r="B26" s="30">
        <v>-1.4210854715202004E-14</v>
      </c>
      <c r="C26" s="30">
        <v>-2.0595441616234788E-16</v>
      </c>
      <c r="D26" s="35">
        <v>2</v>
      </c>
      <c r="E26" s="31">
        <v>0.33333333333333331</v>
      </c>
      <c r="F26" s="31">
        <v>0.33333333333333331</v>
      </c>
      <c r="G26" s="31">
        <v>0.29144851657940662</v>
      </c>
      <c r="H26" s="31">
        <v>0.15881326352530542</v>
      </c>
      <c r="I26" s="32">
        <v>8337.7245508982032</v>
      </c>
      <c r="J26" s="32">
        <v>-8524.1758241758234</v>
      </c>
      <c r="K26" s="31">
        <v>7.2463768115942032E-2</v>
      </c>
      <c r="L26" s="31">
        <v>0.32286212914485168</v>
      </c>
      <c r="M26" s="31">
        <v>0.17102966841186737</v>
      </c>
      <c r="N26" s="31">
        <v>0.56216216216216219</v>
      </c>
      <c r="O26" s="31">
        <v>0.31632653061224492</v>
      </c>
      <c r="P26" s="31">
        <v>0.45508982035928142</v>
      </c>
    </row>
    <row r="27" spans="1:16" x14ac:dyDescent="0.4">
      <c r="A27" s="33">
        <v>24</v>
      </c>
      <c r="B27" s="30">
        <v>-1.4210854715202004E-14</v>
      </c>
      <c r="C27" s="30">
        <v>-1.9737298215558337E-16</v>
      </c>
      <c r="D27" s="35">
        <v>2</v>
      </c>
      <c r="E27" s="31">
        <v>0.33333333333333331</v>
      </c>
      <c r="F27" s="31">
        <v>0.33333333333333331</v>
      </c>
      <c r="G27" s="31">
        <v>0.28956228956228958</v>
      </c>
      <c r="H27" s="31">
        <v>0.15824915824915825</v>
      </c>
      <c r="I27" s="32">
        <v>8293.0232558139542</v>
      </c>
      <c r="J27" s="32">
        <v>-8486.1702127659573</v>
      </c>
      <c r="K27" s="31">
        <v>6.9444444444444448E-2</v>
      </c>
      <c r="L27" s="31">
        <v>0.32323232323232326</v>
      </c>
      <c r="M27" s="31">
        <v>0.17340067340067339</v>
      </c>
      <c r="N27" s="31">
        <v>0.55729166666666663</v>
      </c>
      <c r="O27" s="31">
        <v>0.31067961165048541</v>
      </c>
      <c r="P27" s="31">
        <v>0.45348837209302323</v>
      </c>
    </row>
    <row r="28" spans="1:16" x14ac:dyDescent="0.4">
      <c r="A28" s="33">
        <v>25</v>
      </c>
      <c r="B28" s="30">
        <v>-1.4210854715202004E-14</v>
      </c>
      <c r="C28" s="30">
        <v>-1.8947806286936006E-16</v>
      </c>
      <c r="D28" s="35">
        <v>2</v>
      </c>
      <c r="E28" s="31">
        <v>0.33333333333333331</v>
      </c>
      <c r="F28" s="31">
        <v>0.33333333333333331</v>
      </c>
      <c r="G28" s="31">
        <v>0.2908496732026144</v>
      </c>
      <c r="H28" s="31">
        <v>0.15686274509803921</v>
      </c>
      <c r="I28" s="32">
        <v>8292.1348314606748</v>
      </c>
      <c r="J28" s="32">
        <v>-8559.375</v>
      </c>
      <c r="K28" s="31">
        <v>0.08</v>
      </c>
      <c r="L28" s="31">
        <v>0.3235294117647059</v>
      </c>
      <c r="M28" s="31">
        <v>0.17483660130718953</v>
      </c>
      <c r="N28" s="31">
        <v>0.56565656565656564</v>
      </c>
      <c r="O28" s="31">
        <v>0.30841121495327101</v>
      </c>
      <c r="P28" s="31">
        <v>0.4606741573033708</v>
      </c>
    </row>
    <row r="29" spans="1:16" x14ac:dyDescent="0.4">
      <c r="A29" s="33">
        <v>26</v>
      </c>
      <c r="B29" s="30">
        <v>-7.1054273576010019E-15</v>
      </c>
      <c r="C29" s="30">
        <v>-9.1095222533346175E-17</v>
      </c>
      <c r="D29" s="35">
        <v>2</v>
      </c>
      <c r="E29" s="31">
        <v>0.33333333333333331</v>
      </c>
      <c r="F29" s="31">
        <v>0.33333333333333331</v>
      </c>
      <c r="G29" s="31">
        <v>0.29166666666666669</v>
      </c>
      <c r="H29" s="31">
        <v>0.15740740740740741</v>
      </c>
      <c r="I29" s="32">
        <v>8216.402116402116</v>
      </c>
      <c r="J29" s="32">
        <v>-8450</v>
      </c>
      <c r="K29" s="31">
        <v>7.6923076923076927E-2</v>
      </c>
      <c r="L29" s="31">
        <v>0.32561728395061729</v>
      </c>
      <c r="M29" s="31">
        <v>0.17901234567901234</v>
      </c>
      <c r="N29" s="31">
        <v>0.56398104265402849</v>
      </c>
      <c r="O29" s="31">
        <v>0.31896551724137934</v>
      </c>
      <c r="P29" s="31">
        <v>0.46031746031746029</v>
      </c>
    </row>
    <row r="30" spans="1:16" x14ac:dyDescent="0.4">
      <c r="A30" s="33">
        <v>27</v>
      </c>
      <c r="B30" s="30">
        <v>-7.1054273576010019E-15</v>
      </c>
      <c r="C30" s="30">
        <v>-8.77213254024815E-17</v>
      </c>
      <c r="D30" s="35">
        <v>2</v>
      </c>
      <c r="E30" s="31">
        <v>0.33333333333333331</v>
      </c>
      <c r="F30" s="31">
        <v>0.33333333333333331</v>
      </c>
      <c r="G30" s="31">
        <v>0.2914798206278027</v>
      </c>
      <c r="H30" s="31">
        <v>0.15695067264573992</v>
      </c>
      <c r="I30" s="32">
        <v>8320.5128205128203</v>
      </c>
      <c r="J30" s="32">
        <v>-8550.4761904761908</v>
      </c>
      <c r="K30" s="31">
        <v>8.6419753086419748E-2</v>
      </c>
      <c r="L30" s="31">
        <v>0.32286995515695066</v>
      </c>
      <c r="M30" s="31">
        <v>0.18086696562032886</v>
      </c>
      <c r="N30" s="31">
        <v>0.56481481481481477</v>
      </c>
      <c r="O30" s="31">
        <v>0.33057851239669422</v>
      </c>
      <c r="P30" s="31">
        <v>0.46153846153846156</v>
      </c>
    </row>
    <row r="31" spans="1:16" x14ac:dyDescent="0.4">
      <c r="A31" s="33">
        <v>28</v>
      </c>
      <c r="B31" s="30">
        <v>-7.1054273576010019E-15</v>
      </c>
      <c r="C31" s="30">
        <v>-8.4588420923821446E-17</v>
      </c>
      <c r="D31" s="35">
        <v>2</v>
      </c>
      <c r="E31" s="31">
        <v>0.33333333333333331</v>
      </c>
      <c r="F31" s="31">
        <v>0.33333333333333331</v>
      </c>
      <c r="G31" s="31">
        <v>0.29078014184397161</v>
      </c>
      <c r="H31" s="31">
        <v>0.15602836879432624</v>
      </c>
      <c r="I31" s="32">
        <v>8333.6585365853662</v>
      </c>
      <c r="J31" s="32">
        <v>-8457.2727272727279</v>
      </c>
      <c r="K31" s="31">
        <v>8.3333333333333329E-2</v>
      </c>
      <c r="L31" s="31">
        <v>0.31914893617021278</v>
      </c>
      <c r="M31" s="31">
        <v>0.18014184397163122</v>
      </c>
      <c r="N31" s="31">
        <v>0.56444444444444442</v>
      </c>
      <c r="O31" s="31">
        <v>0.33070866141732286</v>
      </c>
      <c r="P31" s="31">
        <v>0.46341463414634149</v>
      </c>
    </row>
    <row r="32" spans="1:16" x14ac:dyDescent="0.4">
      <c r="A32" s="33">
        <v>29</v>
      </c>
      <c r="B32" s="30">
        <v>-7.1054273576010019E-15</v>
      </c>
      <c r="C32" s="30">
        <v>-8.167157882300002E-17</v>
      </c>
      <c r="D32" s="35">
        <v>2</v>
      </c>
      <c r="E32" s="31">
        <v>0.33333333333333331</v>
      </c>
      <c r="F32" s="31">
        <v>0.33333333333333331</v>
      </c>
      <c r="G32" s="31">
        <v>0.29063360881542699</v>
      </c>
      <c r="H32" s="31">
        <v>0.15564738292011018</v>
      </c>
      <c r="I32" s="32">
        <v>8323.6966824644551</v>
      </c>
      <c r="J32" s="32">
        <v>-8503.5398230088504</v>
      </c>
      <c r="K32" s="31">
        <v>8.0459770114942528E-2</v>
      </c>
      <c r="L32" s="31">
        <v>0.3168044077134986</v>
      </c>
      <c r="M32" s="31">
        <v>0.18319559228650137</v>
      </c>
      <c r="N32" s="31">
        <v>0.56521739130434778</v>
      </c>
      <c r="O32" s="31">
        <v>0.33834586466165412</v>
      </c>
      <c r="P32" s="31">
        <v>0.46445497630331756</v>
      </c>
    </row>
    <row r="33" spans="1:16" x14ac:dyDescent="0.4">
      <c r="A33" s="33">
        <v>30</v>
      </c>
      <c r="B33" s="30">
        <v>-1.0658141036401503E-14</v>
      </c>
      <c r="C33" s="30">
        <v>-1.1842378929335003E-16</v>
      </c>
      <c r="D33" s="35">
        <v>2</v>
      </c>
      <c r="E33" s="31">
        <v>0.33333333333333331</v>
      </c>
      <c r="F33" s="31">
        <v>0.33333333333333331</v>
      </c>
      <c r="G33" s="31">
        <v>0.28968253968253971</v>
      </c>
      <c r="H33" s="31">
        <v>0.15608465608465608</v>
      </c>
      <c r="I33" s="32">
        <v>8372.6027397260277</v>
      </c>
      <c r="J33" s="32">
        <v>-8514.4067796610161</v>
      </c>
      <c r="K33" s="31">
        <v>7.7777777777777779E-2</v>
      </c>
      <c r="L33" s="31">
        <v>0.31216931216931215</v>
      </c>
      <c r="M33" s="31">
        <v>0.18518518518518517</v>
      </c>
      <c r="N33" s="31">
        <v>0.55932203389830504</v>
      </c>
      <c r="O33" s="31">
        <v>0.35</v>
      </c>
      <c r="P33" s="31">
        <v>0.46118721461187212</v>
      </c>
    </row>
    <row r="34" spans="1:16" x14ac:dyDescent="0.4">
      <c r="A34" s="33">
        <v>31</v>
      </c>
      <c r="B34" s="30">
        <v>-1.4210854715202004E-14</v>
      </c>
      <c r="C34" s="30">
        <v>-1.5280488941077425E-16</v>
      </c>
      <c r="D34" s="35">
        <v>2</v>
      </c>
      <c r="E34" s="31">
        <v>0.33333333333333331</v>
      </c>
      <c r="F34" s="31">
        <v>0.33333333333333331</v>
      </c>
      <c r="G34" s="31">
        <v>0.29086229086229087</v>
      </c>
      <c r="H34" s="31">
        <v>0.15572715572715573</v>
      </c>
      <c r="I34" s="32">
        <v>8400</v>
      </c>
      <c r="J34" s="32">
        <v>-8501.6528925619841</v>
      </c>
      <c r="K34" s="31">
        <v>7.5268817204301078E-2</v>
      </c>
      <c r="L34" s="31">
        <v>0.31274131274131273</v>
      </c>
      <c r="M34" s="31">
        <v>0.18661518661518661</v>
      </c>
      <c r="N34" s="31">
        <v>0.55555555555555558</v>
      </c>
      <c r="O34" s="31">
        <v>0.35862068965517241</v>
      </c>
      <c r="P34" s="31">
        <v>0.46460176991150443</v>
      </c>
    </row>
    <row r="35" spans="1:16" x14ac:dyDescent="0.4">
      <c r="A35" s="33">
        <v>32</v>
      </c>
      <c r="B35" s="30">
        <v>-1.4210854715202004E-14</v>
      </c>
      <c r="C35" s="30">
        <v>-1.4802973661668753E-16</v>
      </c>
      <c r="D35" s="35">
        <v>2</v>
      </c>
      <c r="E35" s="31">
        <v>0.33333333333333331</v>
      </c>
      <c r="F35" s="31">
        <v>0.33333333333333331</v>
      </c>
      <c r="G35" s="31">
        <v>0.29244114002478316</v>
      </c>
      <c r="H35" s="31">
        <v>0.15489467162329615</v>
      </c>
      <c r="I35" s="32">
        <v>8574.1525423728817</v>
      </c>
      <c r="J35" s="32">
        <v>-8590.4</v>
      </c>
      <c r="K35" s="31">
        <v>7.2916666666666671E-2</v>
      </c>
      <c r="L35" s="31">
        <v>0.31474597273853777</v>
      </c>
      <c r="M35" s="31">
        <v>0.18339529120198264</v>
      </c>
      <c r="N35" s="31">
        <v>0.56299212598425197</v>
      </c>
      <c r="O35" s="31">
        <v>0.36486486486486486</v>
      </c>
      <c r="P35" s="31">
        <v>0.47033898305084748</v>
      </c>
    </row>
    <row r="36" spans="1:16" x14ac:dyDescent="0.4">
      <c r="A36" s="33">
        <v>33</v>
      </c>
      <c r="B36" s="30">
        <v>-2.1316282072803006E-14</v>
      </c>
      <c r="C36" s="30">
        <v>-2.153159805333637E-16</v>
      </c>
      <c r="D36" s="35">
        <v>2</v>
      </c>
      <c r="E36" s="31">
        <v>0.33333333333333331</v>
      </c>
      <c r="F36" s="31">
        <v>0.33333333333333331</v>
      </c>
      <c r="G36" s="31">
        <v>0.29362214199759323</v>
      </c>
      <c r="H36" s="31">
        <v>0.15764139590854392</v>
      </c>
      <c r="I36" s="32">
        <v>8572.1311475409839</v>
      </c>
      <c r="J36" s="32">
        <v>-8503.0534351145034</v>
      </c>
      <c r="K36" s="31">
        <v>7.0707070707070704E-2</v>
      </c>
      <c r="L36" s="31">
        <v>0.3128760529482551</v>
      </c>
      <c r="M36" s="31">
        <v>0.18411552346570398</v>
      </c>
      <c r="N36" s="31">
        <v>0.56153846153846154</v>
      </c>
      <c r="O36" s="31">
        <v>0.36601307189542481</v>
      </c>
      <c r="P36" s="31">
        <v>0.46311475409836067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19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504</vt:i4>
      </vt:variant>
    </vt:vector>
  </HeadingPairs>
  <TitlesOfParts>
    <vt:vector size="538" baseType="lpstr">
      <vt:lpstr>Cache</vt:lpstr>
      <vt:lpstr>Template2</vt:lpstr>
      <vt:lpstr>Players</vt:lpstr>
      <vt:lpstr>Template1</vt:lpstr>
      <vt:lpstr>ランキング</vt:lpstr>
      <vt:lpstr>全体</vt:lpstr>
      <vt:lpstr>れんたろう</vt:lpstr>
      <vt:lpstr>たかの</vt:lpstr>
      <vt:lpstr>ただ</vt:lpstr>
      <vt:lpstr>だいち</vt:lpstr>
      <vt:lpstr>りくと</vt:lpstr>
      <vt:lpstr>わさび</vt:lpstr>
      <vt:lpstr>わさび2</vt:lpstr>
      <vt:lpstr>りくと2</vt:lpstr>
      <vt:lpstr>だいち2</vt:lpstr>
      <vt:lpstr>ただ2</vt:lpstr>
      <vt:lpstr>たかの2</vt:lpstr>
      <vt:lpstr>れんたろう2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だいち!アガリ数</vt:lpstr>
      <vt:lpstr>たかの!アガリ数</vt:lpstr>
      <vt:lpstr>ただ!アガリ数</vt:lpstr>
      <vt:lpstr>りくと!アガリ数</vt:lpstr>
      <vt:lpstr>れんたろう!アガリ数</vt:lpstr>
      <vt:lpstr>わさび!アガリ数</vt:lpstr>
      <vt:lpstr>全体!アガリ数</vt:lpstr>
      <vt:lpstr>Template1!アガリ率</vt:lpstr>
      <vt:lpstr>だいち!アガリ率</vt:lpstr>
      <vt:lpstr>たかの!アガリ率</vt:lpstr>
      <vt:lpstr>ただ!アガリ率</vt:lpstr>
      <vt:lpstr>りくと!アガリ率</vt:lpstr>
      <vt:lpstr>れんたろう!アガリ率</vt:lpstr>
      <vt:lpstr>わさび!アガリ率</vt:lpstr>
      <vt:lpstr>全体!アガリ率</vt:lpstr>
      <vt:lpstr>Template1!ダマアガリ数</vt:lpstr>
      <vt:lpstr>だいち!ダマアガリ数</vt:lpstr>
      <vt:lpstr>たかの!ダマアガリ数</vt:lpstr>
      <vt:lpstr>ただ!ダマアガリ数</vt:lpstr>
      <vt:lpstr>りくと!ダマアガリ数</vt:lpstr>
      <vt:lpstr>れんたろう!ダマアガリ数</vt:lpstr>
      <vt:lpstr>わさび!ダマアガリ数</vt:lpstr>
      <vt:lpstr>全体!ダマアガリ数</vt:lpstr>
      <vt:lpstr>Template1!ダマアガリ率</vt:lpstr>
      <vt:lpstr>だいち!ダマアガリ率</vt:lpstr>
      <vt:lpstr>たかの!ダマアガリ率</vt:lpstr>
      <vt:lpstr>ただ!ダマアガリ率</vt:lpstr>
      <vt:lpstr>りくと!ダマアガリ率</vt:lpstr>
      <vt:lpstr>れんたろう!ダマアガリ率</vt:lpstr>
      <vt:lpstr>わさび!ダマアガリ率</vt:lpstr>
      <vt:lpstr>全体!ダマアガリ率</vt:lpstr>
      <vt:lpstr>Template1!チョンボ数</vt:lpstr>
      <vt:lpstr>だいち!チョンボ数</vt:lpstr>
      <vt:lpstr>たかの!チョンボ数</vt:lpstr>
      <vt:lpstr>ただ!チョンボ数</vt:lpstr>
      <vt:lpstr>りくと!チョンボ数</vt:lpstr>
      <vt:lpstr>れんたろう!チョンボ数</vt:lpstr>
      <vt:lpstr>わさび!チョンボ数</vt:lpstr>
      <vt:lpstr>全体!チョンボ数</vt:lpstr>
      <vt:lpstr>Template1!チョンボ率</vt:lpstr>
      <vt:lpstr>だいち!チョンボ率</vt:lpstr>
      <vt:lpstr>たかの!チョンボ率</vt:lpstr>
      <vt:lpstr>ただ!チョンボ率</vt:lpstr>
      <vt:lpstr>りくと!チョンボ率</vt:lpstr>
      <vt:lpstr>れんたろう!チョンボ率</vt:lpstr>
      <vt:lpstr>わさび!チョンボ率</vt:lpstr>
      <vt:lpstr>全体!チョンボ率</vt:lpstr>
      <vt:lpstr>Template1!ツモ数</vt:lpstr>
      <vt:lpstr>だいち!ツモ数</vt:lpstr>
      <vt:lpstr>たかの!ツモ数</vt:lpstr>
      <vt:lpstr>ただ!ツモ数</vt:lpstr>
      <vt:lpstr>りくと!ツモ数</vt:lpstr>
      <vt:lpstr>れんたろう!ツモ数</vt:lpstr>
      <vt:lpstr>わさび!ツモ数</vt:lpstr>
      <vt:lpstr>全体!ツモ数</vt:lpstr>
      <vt:lpstr>Template1!ツモ率</vt:lpstr>
      <vt:lpstr>だいち!ツモ率</vt:lpstr>
      <vt:lpstr>たかの!ツモ率</vt:lpstr>
      <vt:lpstr>ただ!ツモ率</vt:lpstr>
      <vt:lpstr>りくと!ツモ率</vt:lpstr>
      <vt:lpstr>れんたろう!ツモ率</vt:lpstr>
      <vt:lpstr>わさび!ツモ率</vt:lpstr>
      <vt:lpstr>全体!ツモ率</vt:lpstr>
      <vt:lpstr>Template1!トップ数</vt:lpstr>
      <vt:lpstr>だいち!トップ数</vt:lpstr>
      <vt:lpstr>たかの!トップ数</vt:lpstr>
      <vt:lpstr>ただ!トップ数</vt:lpstr>
      <vt:lpstr>りくと!トップ数</vt:lpstr>
      <vt:lpstr>れんたろう!トップ数</vt:lpstr>
      <vt:lpstr>わさび!トップ数</vt:lpstr>
      <vt:lpstr>全体!トップ数</vt:lpstr>
      <vt:lpstr>Template1!トップ率</vt:lpstr>
      <vt:lpstr>だいち!トップ率</vt:lpstr>
      <vt:lpstr>たかの!トップ率</vt:lpstr>
      <vt:lpstr>ただ!トップ率</vt:lpstr>
      <vt:lpstr>りくと!トップ率</vt:lpstr>
      <vt:lpstr>れんたろう!トップ率</vt:lpstr>
      <vt:lpstr>わさび!トップ率</vt:lpstr>
      <vt:lpstr>全体!トップ率</vt:lpstr>
      <vt:lpstr>だいち!バランス</vt:lpstr>
      <vt:lpstr>たかの!バランス</vt:lpstr>
      <vt:lpstr>ただ!バランス</vt:lpstr>
      <vt:lpstr>りくと!バランス</vt:lpstr>
      <vt:lpstr>れんたろう!バランス</vt:lpstr>
      <vt:lpstr>わさび!バランス</vt:lpstr>
      <vt:lpstr>全体!バランス</vt:lpstr>
      <vt:lpstr>バランス</vt:lpstr>
      <vt:lpstr>Template1!ふっとび数</vt:lpstr>
      <vt:lpstr>だいち!ふっとび数</vt:lpstr>
      <vt:lpstr>たかの!ふっとび数</vt:lpstr>
      <vt:lpstr>ただ!ふっとび数</vt:lpstr>
      <vt:lpstr>りくと!ふっとび数</vt:lpstr>
      <vt:lpstr>れんたろう!ふっとび数</vt:lpstr>
      <vt:lpstr>わさび!ふっとび数</vt:lpstr>
      <vt:lpstr>全体!ふっとび数</vt:lpstr>
      <vt:lpstr>Template1!ふっとび率</vt:lpstr>
      <vt:lpstr>だいち!ふっとび率</vt:lpstr>
      <vt:lpstr>たかの!ふっとび率</vt:lpstr>
      <vt:lpstr>ただ!ふっとび率</vt:lpstr>
      <vt:lpstr>りくと!ふっとび率</vt:lpstr>
      <vt:lpstr>れんたろう!ふっとび率</vt:lpstr>
      <vt:lpstr>わさび!ふっとび率</vt:lpstr>
      <vt:lpstr>全体!ふっとび率</vt:lpstr>
      <vt:lpstr>Template1!ラス数</vt:lpstr>
      <vt:lpstr>だいち!ラス数</vt:lpstr>
      <vt:lpstr>たかの!ラス数</vt:lpstr>
      <vt:lpstr>ただ!ラス数</vt:lpstr>
      <vt:lpstr>りくと!ラス数</vt:lpstr>
      <vt:lpstr>れんたろう!ラス数</vt:lpstr>
      <vt:lpstr>わさび!ラス数</vt:lpstr>
      <vt:lpstr>全体!ラス数</vt:lpstr>
      <vt:lpstr>Template1!ラス率</vt:lpstr>
      <vt:lpstr>だいち!ラス率</vt:lpstr>
      <vt:lpstr>たかの!ラス率</vt:lpstr>
      <vt:lpstr>ただ!ラス率</vt:lpstr>
      <vt:lpstr>りくと!ラス率</vt:lpstr>
      <vt:lpstr>れんたろう!ラス率</vt:lpstr>
      <vt:lpstr>わさび!ラス率</vt:lpstr>
      <vt:lpstr>全体!ラス率</vt:lpstr>
      <vt:lpstr>Template1!リーチアガリ数</vt:lpstr>
      <vt:lpstr>だいち!リーチアガリ数</vt:lpstr>
      <vt:lpstr>たかの!リーチアガリ数</vt:lpstr>
      <vt:lpstr>ただ!リーチアガリ数</vt:lpstr>
      <vt:lpstr>りくと!リーチアガリ数</vt:lpstr>
      <vt:lpstr>れんたろう!リーチアガリ数</vt:lpstr>
      <vt:lpstr>わさび!リーチアガリ数</vt:lpstr>
      <vt:lpstr>全体!リーチアガリ数</vt:lpstr>
      <vt:lpstr>Template1!リーチアガリ率</vt:lpstr>
      <vt:lpstr>だいち!リーチアガリ率</vt:lpstr>
      <vt:lpstr>たかの!リーチアガリ率</vt:lpstr>
      <vt:lpstr>ただ!リーチアガリ率</vt:lpstr>
      <vt:lpstr>りくと!リーチアガリ率</vt:lpstr>
      <vt:lpstr>れんたろう!リーチアガリ率</vt:lpstr>
      <vt:lpstr>わさび!リーチアガリ率</vt:lpstr>
      <vt:lpstr>全体!リーチアガリ率</vt:lpstr>
      <vt:lpstr>Template1!リーチ数</vt:lpstr>
      <vt:lpstr>だいち!リーチ数</vt:lpstr>
      <vt:lpstr>たかの!リーチ数</vt:lpstr>
      <vt:lpstr>ただ!リーチ数</vt:lpstr>
      <vt:lpstr>りくと!リーチ数</vt:lpstr>
      <vt:lpstr>れんたろう!リーチ数</vt:lpstr>
      <vt:lpstr>わさび!リーチ数</vt:lpstr>
      <vt:lpstr>全体!リーチ数</vt:lpstr>
      <vt:lpstr>Template1!リーチ成功数</vt:lpstr>
      <vt:lpstr>だいち!リーチ成功数</vt:lpstr>
      <vt:lpstr>たかの!リーチ成功数</vt:lpstr>
      <vt:lpstr>ただ!リーチ成功数</vt:lpstr>
      <vt:lpstr>りくと!リーチ成功数</vt:lpstr>
      <vt:lpstr>れんたろう!リーチ成功数</vt:lpstr>
      <vt:lpstr>わさび!リーチ成功数</vt:lpstr>
      <vt:lpstr>全体!リーチ成功数</vt:lpstr>
      <vt:lpstr>Template1!リーチ成功率</vt:lpstr>
      <vt:lpstr>だいち!リーチ成功率</vt:lpstr>
      <vt:lpstr>たかの!リーチ成功率</vt:lpstr>
      <vt:lpstr>ただ!リーチ成功率</vt:lpstr>
      <vt:lpstr>りくと!リーチ成功率</vt:lpstr>
      <vt:lpstr>れんたろう!リーチ成功率</vt:lpstr>
      <vt:lpstr>わさび!リーチ成功率</vt:lpstr>
      <vt:lpstr>全体!リーチ成功率</vt:lpstr>
      <vt:lpstr>Template1!リーチ率</vt:lpstr>
      <vt:lpstr>だいち!リーチ率</vt:lpstr>
      <vt:lpstr>たかの!リーチ率</vt:lpstr>
      <vt:lpstr>ただ!リーチ率</vt:lpstr>
      <vt:lpstr>りくと!リーチ率</vt:lpstr>
      <vt:lpstr>れんたろう!リーチ率</vt:lpstr>
      <vt:lpstr>わさび!リーチ率</vt:lpstr>
      <vt:lpstr>全体!リーチ率</vt:lpstr>
      <vt:lpstr>だいち!レーティング</vt:lpstr>
      <vt:lpstr>たかの!レーティング</vt:lpstr>
      <vt:lpstr>ただ!レーティング</vt:lpstr>
      <vt:lpstr>りくと!レーティング</vt:lpstr>
      <vt:lpstr>れんたろう!レーティング</vt:lpstr>
      <vt:lpstr>わさび!レーティング</vt:lpstr>
      <vt:lpstr>全体!レーティング</vt:lpstr>
      <vt:lpstr>レーティング</vt:lpstr>
      <vt:lpstr>Template1!ロン数</vt:lpstr>
      <vt:lpstr>だいち!ロン数</vt:lpstr>
      <vt:lpstr>たかの!ロン数</vt:lpstr>
      <vt:lpstr>ただ!ロン数</vt:lpstr>
      <vt:lpstr>りくと!ロン数</vt:lpstr>
      <vt:lpstr>れんたろう!ロン数</vt:lpstr>
      <vt:lpstr>わさび!ロン数</vt:lpstr>
      <vt:lpstr>全体!ロン数</vt:lpstr>
      <vt:lpstr>Template1!ロン率</vt:lpstr>
      <vt:lpstr>だいち!ロン率</vt:lpstr>
      <vt:lpstr>たかの!ロン率</vt:lpstr>
      <vt:lpstr>ただ!ロン率</vt:lpstr>
      <vt:lpstr>りくと!ロン率</vt:lpstr>
      <vt:lpstr>れんたろう!ロン率</vt:lpstr>
      <vt:lpstr>わさび!ロン率</vt:lpstr>
      <vt:lpstr>全体!ロン率</vt:lpstr>
      <vt:lpstr>だいち!一位スコア</vt:lpstr>
      <vt:lpstr>たかの!一位スコア</vt:lpstr>
      <vt:lpstr>ただ!一位スコア</vt:lpstr>
      <vt:lpstr>りくと!一位スコア</vt:lpstr>
      <vt:lpstr>れんたろう!一位スコア</vt:lpstr>
      <vt:lpstr>わさび!一位スコア</vt:lpstr>
      <vt:lpstr>全体!一位スコア</vt:lpstr>
      <vt:lpstr>一位スコア</vt:lpstr>
      <vt:lpstr>だいち!一位通算スコア</vt:lpstr>
      <vt:lpstr>たかの!一位通算スコア</vt:lpstr>
      <vt:lpstr>ただ!一位通算スコア</vt:lpstr>
      <vt:lpstr>りくと!一位通算スコア</vt:lpstr>
      <vt:lpstr>れんたろう!一位通算スコア</vt:lpstr>
      <vt:lpstr>わさび!一位通算スコア</vt:lpstr>
      <vt:lpstr>全体!一位通算スコア</vt:lpstr>
      <vt:lpstr>一位通算スコア</vt:lpstr>
      <vt:lpstr>だいち!一翻数</vt:lpstr>
      <vt:lpstr>たかの!一翻数</vt:lpstr>
      <vt:lpstr>ただ!一翻数</vt:lpstr>
      <vt:lpstr>りくと!一翻数</vt:lpstr>
      <vt:lpstr>れんたろう!一翻数</vt:lpstr>
      <vt:lpstr>わさび!一翻数</vt:lpstr>
      <vt:lpstr>全体!一翻数</vt:lpstr>
      <vt:lpstr>一翻数</vt:lpstr>
      <vt:lpstr>だいち!一翻率</vt:lpstr>
      <vt:lpstr>たかの!一翻率</vt:lpstr>
      <vt:lpstr>ただ!一翻率</vt:lpstr>
      <vt:lpstr>りくと!一翻率</vt:lpstr>
      <vt:lpstr>れんたろう!一翻率</vt:lpstr>
      <vt:lpstr>わさび!一翻率</vt:lpstr>
      <vt:lpstr>全体!一翻率</vt:lpstr>
      <vt:lpstr>一翻率</vt:lpstr>
      <vt:lpstr>Template1!現行連続アガリ</vt:lpstr>
      <vt:lpstr>だいち!現行連続アガリ</vt:lpstr>
      <vt:lpstr>たかの!現行連続アガリ</vt:lpstr>
      <vt:lpstr>ただ!現行連続アガリ</vt:lpstr>
      <vt:lpstr>りくと!現行連続アガリ</vt:lpstr>
      <vt:lpstr>れんたろう!現行連続アガリ</vt:lpstr>
      <vt:lpstr>わさび!現行連続アガリ</vt:lpstr>
      <vt:lpstr>全体!現行連続アガリ</vt:lpstr>
      <vt:lpstr>Template1!現行連続無放銃</vt:lpstr>
      <vt:lpstr>だいち!現行連続無放銃</vt:lpstr>
      <vt:lpstr>たかの!現行連続無放銃</vt:lpstr>
      <vt:lpstr>ただ!現行連続無放銃</vt:lpstr>
      <vt:lpstr>りくと!現行連続無放銃</vt:lpstr>
      <vt:lpstr>れんたろう!現行連続無放銃</vt:lpstr>
      <vt:lpstr>わさび!現行連続無放銃</vt:lpstr>
      <vt:lpstr>全体!現行連続無放銃</vt:lpstr>
      <vt:lpstr>Template1!最高点</vt:lpstr>
      <vt:lpstr>だいち!最高点</vt:lpstr>
      <vt:lpstr>たかの!最高点</vt:lpstr>
      <vt:lpstr>ただ!最高点</vt:lpstr>
      <vt:lpstr>りくと!最高点</vt:lpstr>
      <vt:lpstr>れんたろう!最高点</vt:lpstr>
      <vt:lpstr>わさび!最高点</vt:lpstr>
      <vt:lpstr>全体!最高点</vt:lpstr>
      <vt:lpstr>Template1!最大ドラ数</vt:lpstr>
      <vt:lpstr>だいち!最大ドラ数</vt:lpstr>
      <vt:lpstr>たかの!最大ドラ数</vt:lpstr>
      <vt:lpstr>ただ!最大ドラ数</vt:lpstr>
      <vt:lpstr>りくと!最大ドラ数</vt:lpstr>
      <vt:lpstr>れんたろう!最大ドラ数</vt:lpstr>
      <vt:lpstr>わさび!最大ドラ数</vt:lpstr>
      <vt:lpstr>全体!最大ドラ数</vt:lpstr>
      <vt:lpstr>Template1!最大点数</vt:lpstr>
      <vt:lpstr>だいち!最大点数</vt:lpstr>
      <vt:lpstr>たかの!最大点数</vt:lpstr>
      <vt:lpstr>ただ!最大点数</vt:lpstr>
      <vt:lpstr>りくと!最大点数</vt:lpstr>
      <vt:lpstr>れんたろう!最大点数</vt:lpstr>
      <vt:lpstr>わさび!最大点数</vt:lpstr>
      <vt:lpstr>全体!最大点数</vt:lpstr>
      <vt:lpstr>だいち!三位スコア</vt:lpstr>
      <vt:lpstr>たかの!三位スコア</vt:lpstr>
      <vt:lpstr>ただ!三位スコア</vt:lpstr>
      <vt:lpstr>りくと!三位スコア</vt:lpstr>
      <vt:lpstr>れんたろう!三位スコア</vt:lpstr>
      <vt:lpstr>わさび!三位スコア</vt:lpstr>
      <vt:lpstr>全体!三位スコア</vt:lpstr>
      <vt:lpstr>三位スコア</vt:lpstr>
      <vt:lpstr>だいち!三位通算スコア</vt:lpstr>
      <vt:lpstr>たかの!三位通算スコア</vt:lpstr>
      <vt:lpstr>ただ!三位通算スコア</vt:lpstr>
      <vt:lpstr>りくと!三位通算スコア</vt:lpstr>
      <vt:lpstr>れんたろう!三位通算スコア</vt:lpstr>
      <vt:lpstr>わさび!三位通算スコア</vt:lpstr>
      <vt:lpstr>全体!三位通算スコア</vt:lpstr>
      <vt:lpstr>三位通算スコア</vt:lpstr>
      <vt:lpstr>Template1!総局数</vt:lpstr>
      <vt:lpstr>だいち!総局数</vt:lpstr>
      <vt:lpstr>たかの!総局数</vt:lpstr>
      <vt:lpstr>ただ!総局数</vt:lpstr>
      <vt:lpstr>りくと!総局数</vt:lpstr>
      <vt:lpstr>れんたろう!総局数</vt:lpstr>
      <vt:lpstr>わさび!総局数</vt:lpstr>
      <vt:lpstr>全体!総局数</vt:lpstr>
      <vt:lpstr>Template1!対戦数</vt:lpstr>
      <vt:lpstr>だいち!対戦数</vt:lpstr>
      <vt:lpstr>たかの!対戦数</vt:lpstr>
      <vt:lpstr>ただ!対戦数</vt:lpstr>
      <vt:lpstr>りくと!対戦数</vt:lpstr>
      <vt:lpstr>れんたろう!対戦数</vt:lpstr>
      <vt:lpstr>わさび!対戦数</vt:lpstr>
      <vt:lpstr>全体!対戦数</vt:lpstr>
      <vt:lpstr>Template1!通算アガリ点</vt:lpstr>
      <vt:lpstr>だいち!通算アガリ点</vt:lpstr>
      <vt:lpstr>たかの!通算アガリ点</vt:lpstr>
      <vt:lpstr>ただ!通算アガリ点</vt:lpstr>
      <vt:lpstr>りくと!通算アガリ点</vt:lpstr>
      <vt:lpstr>れんたろう!通算アガリ点</vt:lpstr>
      <vt:lpstr>わさび!通算アガリ点</vt:lpstr>
      <vt:lpstr>全体!通算アガリ点</vt:lpstr>
      <vt:lpstr>Template1!通算スコア</vt:lpstr>
      <vt:lpstr>だいち!通算スコア</vt:lpstr>
      <vt:lpstr>たかの!通算スコア</vt:lpstr>
      <vt:lpstr>ただ!通算スコア</vt:lpstr>
      <vt:lpstr>りくと!通算スコア</vt:lpstr>
      <vt:lpstr>れんたろう!通算スコア</vt:lpstr>
      <vt:lpstr>わさび!通算スコア</vt:lpstr>
      <vt:lpstr>全体!通算スコア</vt:lpstr>
      <vt:lpstr>Template1!通算副露アガリ点</vt:lpstr>
      <vt:lpstr>だいち!通算副露アガリ点</vt:lpstr>
      <vt:lpstr>たかの!通算副露アガリ点</vt:lpstr>
      <vt:lpstr>ただ!通算副露アガリ点</vt:lpstr>
      <vt:lpstr>りくと!通算副露アガリ点</vt:lpstr>
      <vt:lpstr>れんたろう!通算副露アガリ点</vt:lpstr>
      <vt:lpstr>わさび!通算副露アガリ点</vt:lpstr>
      <vt:lpstr>全体!通算副露アガリ点</vt:lpstr>
      <vt:lpstr>Template1!通算放銃点</vt:lpstr>
      <vt:lpstr>だいち!通算放銃点</vt:lpstr>
      <vt:lpstr>たかの!通算放銃点</vt:lpstr>
      <vt:lpstr>ただ!通算放銃点</vt:lpstr>
      <vt:lpstr>りくと!通算放銃点</vt:lpstr>
      <vt:lpstr>れんたろう!通算放銃点</vt:lpstr>
      <vt:lpstr>わさび!通算放銃点</vt:lpstr>
      <vt:lpstr>全体!通算放銃点</vt:lpstr>
      <vt:lpstr>Template1!通算門前アガリ点</vt:lpstr>
      <vt:lpstr>だいち!通算門前アガリ点</vt:lpstr>
      <vt:lpstr>たかの!通算門前アガリ点</vt:lpstr>
      <vt:lpstr>ただ!通算門前アガリ点</vt:lpstr>
      <vt:lpstr>りくと!通算門前アガリ点</vt:lpstr>
      <vt:lpstr>れんたろう!通算門前アガリ点</vt:lpstr>
      <vt:lpstr>わさび!通算門前アガリ点</vt:lpstr>
      <vt:lpstr>全体!通算門前アガリ点</vt:lpstr>
      <vt:lpstr>だいち!二位スコア</vt:lpstr>
      <vt:lpstr>たかの!二位スコア</vt:lpstr>
      <vt:lpstr>ただ!二位スコア</vt:lpstr>
      <vt:lpstr>りくと!二位スコア</vt:lpstr>
      <vt:lpstr>れんたろう!二位スコア</vt:lpstr>
      <vt:lpstr>わさび!二位スコア</vt:lpstr>
      <vt:lpstr>全体!二位スコア</vt:lpstr>
      <vt:lpstr>二位スコア</vt:lpstr>
      <vt:lpstr>Template1!二位数</vt:lpstr>
      <vt:lpstr>だいち!二位数</vt:lpstr>
      <vt:lpstr>たかの!二位数</vt:lpstr>
      <vt:lpstr>ただ!二位数</vt:lpstr>
      <vt:lpstr>りくと!二位数</vt:lpstr>
      <vt:lpstr>れんたろう!二位数</vt:lpstr>
      <vt:lpstr>わさび!二位数</vt:lpstr>
      <vt:lpstr>全体!二位数</vt:lpstr>
      <vt:lpstr>だいち!二位通算スコア</vt:lpstr>
      <vt:lpstr>たかの!二位通算スコア</vt:lpstr>
      <vt:lpstr>ただ!二位通算スコア</vt:lpstr>
      <vt:lpstr>りくと!二位通算スコア</vt:lpstr>
      <vt:lpstr>れんたろう!二位通算スコア</vt:lpstr>
      <vt:lpstr>わさび!二位通算スコア</vt:lpstr>
      <vt:lpstr>全体!二位通算スコア</vt:lpstr>
      <vt:lpstr>二位通算スコア</vt:lpstr>
      <vt:lpstr>Template1!二位率</vt:lpstr>
      <vt:lpstr>だいち!二位率</vt:lpstr>
      <vt:lpstr>たかの!二位率</vt:lpstr>
      <vt:lpstr>ただ!二位率</vt:lpstr>
      <vt:lpstr>りくと!二位率</vt:lpstr>
      <vt:lpstr>れんたろう!二位率</vt:lpstr>
      <vt:lpstr>わさび!二位率</vt:lpstr>
      <vt:lpstr>全体!二位率</vt:lpstr>
      <vt:lpstr>Template1!副露アガリ数</vt:lpstr>
      <vt:lpstr>だいち!副露アガリ数</vt:lpstr>
      <vt:lpstr>たかの!副露アガリ数</vt:lpstr>
      <vt:lpstr>ただ!副露アガリ数</vt:lpstr>
      <vt:lpstr>りくと!副露アガリ数</vt:lpstr>
      <vt:lpstr>れんたろう!副露アガリ数</vt:lpstr>
      <vt:lpstr>わさび!副露アガリ数</vt:lpstr>
      <vt:lpstr>全体!副露アガリ数</vt:lpstr>
      <vt:lpstr>Template1!副露アガリ点</vt:lpstr>
      <vt:lpstr>だいち!副露アガリ点</vt:lpstr>
      <vt:lpstr>たかの!副露アガリ点</vt:lpstr>
      <vt:lpstr>ただ!副露アガリ点</vt:lpstr>
      <vt:lpstr>りくと!副露アガリ点</vt:lpstr>
      <vt:lpstr>れんたろう!副露アガリ点</vt:lpstr>
      <vt:lpstr>わさび!副露アガリ点</vt:lpstr>
      <vt:lpstr>全体!副露アガリ点</vt:lpstr>
      <vt:lpstr>Template1!副露アガリ率</vt:lpstr>
      <vt:lpstr>だいち!副露アガリ率</vt:lpstr>
      <vt:lpstr>たかの!副露アガリ率</vt:lpstr>
      <vt:lpstr>ただ!副露アガリ率</vt:lpstr>
      <vt:lpstr>りくと!副露アガリ率</vt:lpstr>
      <vt:lpstr>れんたろう!副露アガリ率</vt:lpstr>
      <vt:lpstr>わさび!副露アガリ率</vt:lpstr>
      <vt:lpstr>全体!副露アガリ率</vt:lpstr>
      <vt:lpstr>Template1!副露数</vt:lpstr>
      <vt:lpstr>だいち!副露数</vt:lpstr>
      <vt:lpstr>たかの!副露数</vt:lpstr>
      <vt:lpstr>ただ!副露数</vt:lpstr>
      <vt:lpstr>りくと!副露数</vt:lpstr>
      <vt:lpstr>れんたろう!副露数</vt:lpstr>
      <vt:lpstr>わさび!副露数</vt:lpstr>
      <vt:lpstr>全体!副露数</vt:lpstr>
      <vt:lpstr>Template1!副露成功数</vt:lpstr>
      <vt:lpstr>だいち!副露成功数</vt:lpstr>
      <vt:lpstr>たかの!副露成功数</vt:lpstr>
      <vt:lpstr>ただ!副露成功数</vt:lpstr>
      <vt:lpstr>りくと!副露成功数</vt:lpstr>
      <vt:lpstr>れんたろう!副露成功数</vt:lpstr>
      <vt:lpstr>わさび!副露成功数</vt:lpstr>
      <vt:lpstr>全体!副露成功数</vt:lpstr>
      <vt:lpstr>Template1!副露成功率</vt:lpstr>
      <vt:lpstr>だいち!副露成功率</vt:lpstr>
      <vt:lpstr>たかの!副露成功率</vt:lpstr>
      <vt:lpstr>ただ!副露成功率</vt:lpstr>
      <vt:lpstr>りくと!副露成功率</vt:lpstr>
      <vt:lpstr>れんたろう!副露成功率</vt:lpstr>
      <vt:lpstr>わさび!副露成功率</vt:lpstr>
      <vt:lpstr>全体!副露成功率</vt:lpstr>
      <vt:lpstr>Template1!副露率</vt:lpstr>
      <vt:lpstr>だいち!副露率</vt:lpstr>
      <vt:lpstr>たかの!副露率</vt:lpstr>
      <vt:lpstr>ただ!副露率</vt:lpstr>
      <vt:lpstr>りくと!副露率</vt:lpstr>
      <vt:lpstr>れんたろう!副露率</vt:lpstr>
      <vt:lpstr>わさび!副露率</vt:lpstr>
      <vt:lpstr>全体!副露率</vt:lpstr>
      <vt:lpstr>Template1!平均アガリ点</vt:lpstr>
      <vt:lpstr>だいち!平均アガリ点</vt:lpstr>
      <vt:lpstr>たかの!平均アガリ点</vt:lpstr>
      <vt:lpstr>ただ!平均アガリ点</vt:lpstr>
      <vt:lpstr>りくと!平均アガリ点</vt:lpstr>
      <vt:lpstr>れんたろう!平均アガリ点</vt:lpstr>
      <vt:lpstr>わさび!平均アガリ点</vt:lpstr>
      <vt:lpstr>全体!平均アガリ点</vt:lpstr>
      <vt:lpstr>Template1!平均スコア</vt:lpstr>
      <vt:lpstr>だいち!平均スコア</vt:lpstr>
      <vt:lpstr>たかの!平均スコア</vt:lpstr>
      <vt:lpstr>ただ!平均スコア</vt:lpstr>
      <vt:lpstr>りくと!平均スコア</vt:lpstr>
      <vt:lpstr>れんたろう!平均スコア</vt:lpstr>
      <vt:lpstr>わさび!平均スコア</vt:lpstr>
      <vt:lpstr>全体!平均スコア</vt:lpstr>
      <vt:lpstr>Template1!平均順位</vt:lpstr>
      <vt:lpstr>だいち!平均順位</vt:lpstr>
      <vt:lpstr>たかの!平均順位</vt:lpstr>
      <vt:lpstr>ただ!平均順位</vt:lpstr>
      <vt:lpstr>りくと!平均順位</vt:lpstr>
      <vt:lpstr>れんたろう!平均順位</vt:lpstr>
      <vt:lpstr>わさび!平均順位</vt:lpstr>
      <vt:lpstr>全体!平均順位</vt:lpstr>
      <vt:lpstr>Template1!平均放銃点</vt:lpstr>
      <vt:lpstr>だいち!平均放銃点</vt:lpstr>
      <vt:lpstr>たかの!平均放銃点</vt:lpstr>
      <vt:lpstr>ただ!平均放銃点</vt:lpstr>
      <vt:lpstr>りくと!平均放銃点</vt:lpstr>
      <vt:lpstr>れんたろう!平均放銃点</vt:lpstr>
      <vt:lpstr>わさび!平均放銃点</vt:lpstr>
      <vt:lpstr>全体!平均放銃点</vt:lpstr>
      <vt:lpstr>Template1!放銃数</vt:lpstr>
      <vt:lpstr>だいち!放銃数</vt:lpstr>
      <vt:lpstr>たかの!放銃数</vt:lpstr>
      <vt:lpstr>ただ!放銃数</vt:lpstr>
      <vt:lpstr>りくと!放銃数</vt:lpstr>
      <vt:lpstr>れんたろう!放銃数</vt:lpstr>
      <vt:lpstr>わさび!放銃数</vt:lpstr>
      <vt:lpstr>全体!放銃数</vt:lpstr>
      <vt:lpstr>Template1!放銃率</vt:lpstr>
      <vt:lpstr>だいち!放銃率</vt:lpstr>
      <vt:lpstr>たかの!放銃率</vt:lpstr>
      <vt:lpstr>ただ!放銃率</vt:lpstr>
      <vt:lpstr>りくと!放銃率</vt:lpstr>
      <vt:lpstr>れんたろう!放銃率</vt:lpstr>
      <vt:lpstr>わさび!放銃率</vt:lpstr>
      <vt:lpstr>全体!放銃率</vt:lpstr>
      <vt:lpstr>Template1!名前</vt:lpstr>
      <vt:lpstr>だいち!名前</vt:lpstr>
      <vt:lpstr>たかの!名前</vt:lpstr>
      <vt:lpstr>ただ!名前</vt:lpstr>
      <vt:lpstr>りくと!名前</vt:lpstr>
      <vt:lpstr>れんたろう!名前</vt:lpstr>
      <vt:lpstr>わさび!名前</vt:lpstr>
      <vt:lpstr>全体!名前</vt:lpstr>
      <vt:lpstr>Template1!門前アガリ点</vt:lpstr>
      <vt:lpstr>だいち!門前アガリ点</vt:lpstr>
      <vt:lpstr>たかの!門前アガリ点</vt:lpstr>
      <vt:lpstr>ただ!門前アガリ点</vt:lpstr>
      <vt:lpstr>りくと!門前アガリ点</vt:lpstr>
      <vt:lpstr>れんたろう!門前アガリ点</vt:lpstr>
      <vt:lpstr>わさび!門前アガリ点</vt:lpstr>
      <vt:lpstr>全体!門前アガリ点</vt:lpstr>
      <vt:lpstr>Template1!連続アガリ</vt:lpstr>
      <vt:lpstr>だいち!連続アガリ</vt:lpstr>
      <vt:lpstr>たかの!連続アガリ</vt:lpstr>
      <vt:lpstr>ただ!連続アガリ</vt:lpstr>
      <vt:lpstr>りくと!連続アガリ</vt:lpstr>
      <vt:lpstr>れんたろう!連続アガリ</vt:lpstr>
      <vt:lpstr>わさび!連続アガリ</vt:lpstr>
      <vt:lpstr>全体!連続アガリ</vt:lpstr>
      <vt:lpstr>Template1!連続無放銃</vt:lpstr>
      <vt:lpstr>だいち!連続無放銃</vt:lpstr>
      <vt:lpstr>たかの!連続無放銃</vt:lpstr>
      <vt:lpstr>ただ!連続無放銃</vt:lpstr>
      <vt:lpstr>りくと!連続無放銃</vt:lpstr>
      <vt:lpstr>れんたろう!連続無放銃</vt:lpstr>
      <vt:lpstr>わさび!連続無放銃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福澤　大地</cp:lastModifiedBy>
  <dcterms:created xsi:type="dcterms:W3CDTF">2018-11-18T09:24:12Z</dcterms:created>
  <dcterms:modified xsi:type="dcterms:W3CDTF">2023-08-13T18:14:56Z</dcterms:modified>
</cp:coreProperties>
</file>