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4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6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7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8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9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0.xml" ContentType="application/vnd.openxmlformats-officedocument.drawing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1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2.xml" ContentType="application/vnd.openxmlformats-officedocument.drawing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3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4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5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6.xml" ContentType="application/vnd.openxmlformats-officedocument.drawing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7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aichi\Git\mahjong\麻雀同好会7th\"/>
    </mc:Choice>
  </mc:AlternateContent>
  <bookViews>
    <workbookView xWindow="-120" yWindow="-120" windowWidth="29040" windowHeight="15990" tabRatio="663" firstSheet="4" activeTab="4"/>
  </bookViews>
  <sheets>
    <sheet name="Cache" sheetId="2227" state="hidden" r:id="rId1"/>
    <sheet name="Template2" sheetId="3002" state="hidden" r:id="rId2"/>
    <sheet name="Players" sheetId="3285" state="hidden" r:id="rId3"/>
    <sheet name="Template1" sheetId="6023" state="hidden" r:id="rId4"/>
    <sheet name="ランキング" sheetId="3332" r:id="rId5"/>
    <sheet name="通算スコア" sheetId="3331" state="hidden" r:id="rId6"/>
    <sheet name="平均スコア" sheetId="3493" state="hidden" r:id="rId7"/>
    <sheet name="平均順位" sheetId="3183" state="hidden" r:id="rId8"/>
    <sheet name="トップ率" sheetId="3185" state="hidden" r:id="rId9"/>
    <sheet name="ラス率" sheetId="4886" state="hidden" r:id="rId10"/>
    <sheet name="アガリ率" sheetId="3189" state="hidden" r:id="rId11"/>
    <sheet name="放銃率" sheetId="3190" state="hidden" r:id="rId12"/>
    <sheet name="平均アガリ点" sheetId="3520" state="hidden" r:id="rId13"/>
    <sheet name="平均放銃点" sheetId="3521" state="hidden" r:id="rId14"/>
    <sheet name="ふっとび率" sheetId="3522" state="hidden" r:id="rId15"/>
    <sheet name="リーチ率" sheetId="3524" state="hidden" r:id="rId16"/>
    <sheet name="副露率" sheetId="3525" state="hidden" r:id="rId17"/>
    <sheet name="リーチ成功率" sheetId="4841" state="hidden" r:id="rId18"/>
    <sheet name="副露成功率" sheetId="3527" state="hidden" r:id="rId19"/>
    <sheet name="ツモ率" sheetId="3528" state="hidden" r:id="rId20"/>
  </sheets>
  <definedNames>
    <definedName name="アガリ数" localSheetId="3">Template1!$B$20</definedName>
    <definedName name="アガリ率" localSheetId="3">Template1!$C$20</definedName>
    <definedName name="ダマアガリ数" localSheetId="3">Template1!$B$26</definedName>
    <definedName name="ダマアガリ率" localSheetId="3">Template1!$C$26</definedName>
    <definedName name="チョンボ数" localSheetId="3">Template1!$B$35</definedName>
    <definedName name="チョンボ率" localSheetId="3">Template1!$C$35</definedName>
    <definedName name="ツモ数" localSheetId="3">Template1!$B$22</definedName>
    <definedName name="ツモ率" localSheetId="3">Template1!$C$22</definedName>
    <definedName name="トップ数" localSheetId="3">Template1!$B$8</definedName>
    <definedName name="トップ率" localSheetId="3">Template1!$C$8</definedName>
    <definedName name="バランス">Template1!$B$14</definedName>
    <definedName name="ふっとび数" localSheetId="3">Template1!$B$15</definedName>
    <definedName name="ふっとび率" localSheetId="3">Template1!$C$15</definedName>
    <definedName name="ラス数" localSheetId="3">Template1!$B$10</definedName>
    <definedName name="ラス率" localSheetId="3">Template1!$C$10</definedName>
    <definedName name="リーチアガリ数" localSheetId="3">Template1!$B$24</definedName>
    <definedName name="リーチアガリ率" localSheetId="3">Template1!$C$24</definedName>
    <definedName name="リーチ数" localSheetId="3">Template1!$B$16</definedName>
    <definedName name="リーチ成功数" localSheetId="3">Template1!$B$18</definedName>
    <definedName name="リーチ成功率" localSheetId="3">Template1!$C$18</definedName>
    <definedName name="リーチ率" localSheetId="3">Template1!$C$16</definedName>
    <definedName name="レーティング">Template1!$B$6</definedName>
    <definedName name="ロン数" localSheetId="3">Template1!$B$23</definedName>
    <definedName name="ロン率" localSheetId="3">Template1!$C$23</definedName>
    <definedName name="一位スコア">Template1!$B$11</definedName>
    <definedName name="一位通算スコア">Template1!$C$11</definedName>
    <definedName name="一翻数">Template1!$B$37</definedName>
    <definedName name="一翻率">Template1!$C$37</definedName>
    <definedName name="現行連続アガリ" localSheetId="3">Template1!$C$31</definedName>
    <definedName name="現行連続無放銃" localSheetId="3">Template1!$C$32</definedName>
    <definedName name="最高点" localSheetId="3">Template1!$B$34</definedName>
    <definedName name="最大ドラ数" localSheetId="3">Template1!$B$33</definedName>
    <definedName name="最大点数" localSheetId="3">Template1!$B$34</definedName>
    <definedName name="三位スコア">Template1!$B$13</definedName>
    <definedName name="三位通算スコア">Template1!$C$13</definedName>
    <definedName name="総局数" localSheetId="3">Template1!$B$3</definedName>
    <definedName name="対戦数" localSheetId="3">Template1!$B$2</definedName>
    <definedName name="通算アガリ点" localSheetId="3">Template1!$C$27</definedName>
    <definedName name="通算スコア" localSheetId="3">Template1!$B$4</definedName>
    <definedName name="通算副露アガリ点" localSheetId="3">Template1!$C$29</definedName>
    <definedName name="通算放銃点" localSheetId="3">Template1!$C$30</definedName>
    <definedName name="通算門前アガリ点" localSheetId="3">Template1!$C$28</definedName>
    <definedName name="二位スコア">Template1!$B$12</definedName>
    <definedName name="二位数" localSheetId="3">Template1!$B$9</definedName>
    <definedName name="二位通算スコア">Template1!$C$12</definedName>
    <definedName name="二位率" localSheetId="3">Template1!$C$9</definedName>
    <definedName name="副露アガリ数" localSheetId="3">Template1!$B$25</definedName>
    <definedName name="副露アガリ点" localSheetId="3">Template1!$B$29</definedName>
    <definedName name="副露アガリ率" localSheetId="3">Template1!$C$25</definedName>
    <definedName name="副露数" localSheetId="3">Template1!$B$17</definedName>
    <definedName name="副露成功数" localSheetId="3">Template1!$B$19</definedName>
    <definedName name="副露成功率" localSheetId="3">Template1!$C$19</definedName>
    <definedName name="副露率" localSheetId="3">Template1!$C$17</definedName>
    <definedName name="平均アガリ点" localSheetId="3">Template1!$B$27</definedName>
    <definedName name="平均スコア" localSheetId="3">Template1!$B$5</definedName>
    <definedName name="平均順位" localSheetId="3">Template1!$B$7</definedName>
    <definedName name="平均放銃点" localSheetId="3">Template1!$B$30</definedName>
    <definedName name="放銃数" localSheetId="3">Template1!$B$21</definedName>
    <definedName name="放銃率" localSheetId="3">Template1!$C$21</definedName>
    <definedName name="名前" localSheetId="3">Template1!$B$1</definedName>
    <definedName name="門前アガリ点" localSheetId="3">Template1!$B$28</definedName>
    <definedName name="連続アガリ" localSheetId="3">Template1!$B$31</definedName>
    <definedName name="連続無放銃" localSheetId="3">Template1!$B$32</definedName>
  </definedName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35" i="6023" l="1"/>
  <c r="B30" i="6023"/>
  <c r="C21" i="6023"/>
  <c r="C20" i="6023"/>
  <c r="B20" i="6023"/>
  <c r="H52" i="6023" s="1"/>
  <c r="C19" i="6023"/>
  <c r="B19" i="6023"/>
  <c r="B29" i="6023" s="1"/>
  <c r="C18" i="6023"/>
  <c r="B18" i="6023"/>
  <c r="C17" i="6023"/>
  <c r="C16" i="6023"/>
  <c r="C15" i="6023"/>
  <c r="P12" i="6023"/>
  <c r="H12" i="6023"/>
  <c r="B13" i="6023"/>
  <c r="P11" i="6023"/>
  <c r="B12" i="6023"/>
  <c r="P10" i="6023"/>
  <c r="B11" i="6023"/>
  <c r="C10" i="6023"/>
  <c r="C9" i="6023"/>
  <c r="P7" i="6023"/>
  <c r="C8" i="6023"/>
  <c r="P6" i="6023"/>
  <c r="B7" i="6023"/>
  <c r="P5" i="6023"/>
  <c r="B5" i="6023"/>
  <c r="P4" i="6023"/>
  <c r="P3" i="6023"/>
  <c r="H3" i="6023"/>
  <c r="P2" i="6023"/>
  <c r="H9" i="6023" l="1"/>
  <c r="B14" i="6023"/>
  <c r="H6" i="6023"/>
  <c r="H17" i="6023"/>
  <c r="H20" i="6023"/>
  <c r="H24" i="6023"/>
  <c r="H28" i="6023"/>
  <c r="H31" i="6023"/>
  <c r="C38" i="6023"/>
  <c r="C40" i="6023"/>
  <c r="C44" i="6023"/>
  <c r="C48" i="6023"/>
  <c r="H11" i="6023"/>
  <c r="H14" i="6023"/>
  <c r="C22" i="6023"/>
  <c r="B28" i="6023"/>
  <c r="H32" i="6023"/>
  <c r="H45" i="6023"/>
  <c r="H19" i="6023"/>
  <c r="H21" i="6023"/>
  <c r="H23" i="6023"/>
  <c r="H25" i="6023"/>
  <c r="H27" i="6023"/>
  <c r="H29" i="6023"/>
  <c r="H33" i="6023"/>
  <c r="C37" i="6023"/>
  <c r="C39" i="6023"/>
  <c r="C41" i="6023"/>
  <c r="C43" i="6023"/>
  <c r="C45" i="6023"/>
  <c r="C47" i="6023"/>
  <c r="C49" i="6023"/>
  <c r="H51" i="6023"/>
  <c r="H22" i="6023"/>
  <c r="H26" i="6023"/>
  <c r="H34" i="6023"/>
  <c r="C42" i="6023"/>
  <c r="C46" i="6023"/>
  <c r="H49" i="6023"/>
  <c r="H5" i="6023"/>
  <c r="H16" i="6023"/>
  <c r="C24" i="6023"/>
  <c r="C26" i="6023"/>
  <c r="H35" i="6023"/>
  <c r="H37" i="6023"/>
  <c r="H39" i="6023"/>
  <c r="H41" i="6023"/>
  <c r="H43" i="6023"/>
  <c r="H47" i="6023"/>
  <c r="H50" i="6023"/>
  <c r="H2" i="6023"/>
  <c r="H4" i="6023"/>
  <c r="H8" i="6023"/>
  <c r="H10" i="6023"/>
  <c r="H7" i="6023"/>
  <c r="H13" i="6023"/>
  <c r="H15" i="6023"/>
  <c r="H18" i="6023"/>
  <c r="C23" i="6023"/>
  <c r="C25" i="6023"/>
  <c r="B27" i="6023"/>
  <c r="H30" i="6023"/>
  <c r="H36" i="6023"/>
  <c r="H38" i="6023"/>
  <c r="H40" i="6023"/>
  <c r="H42" i="6023"/>
  <c r="H44" i="6023"/>
  <c r="H46" i="6023"/>
  <c r="H48" i="6023"/>
</calcChain>
</file>

<file path=xl/sharedStrings.xml><?xml version="1.0" encoding="utf-8"?>
<sst xmlns="http://schemas.openxmlformats.org/spreadsheetml/2006/main" count="256" uniqueCount="213">
  <si>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</si>
  <si>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</si>
  <si>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</si>
  <si>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</si>
  <si>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</si>
  <si>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</si>
  <si>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</si>
  <si>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</si>
  <si>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</si>
  <si>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</si>
  <si>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</si>
  <si>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</si>
  <si>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</si>
  <si>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</si>
  <si>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</si>
  <si>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</si>
  <si>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</si>
  <si>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</si>
  <si>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</si>
  <si>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</si>
  <si>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</si>
  <si>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</si>
  <si>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</si>
  <si>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</si>
  <si>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</si>
  <si>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</si>
  <si>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</si>
  <si>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</si>
  <si>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</si>
  <si>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</si>
  <si>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</si>
  <si>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</si>
  <si>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</si>
  <si>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</si>
  <si>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</si>
  <si>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</si>
  <si>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</si>
  <si>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</si>
  <si>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</si>
  <si>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</si>
  <si>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</si>
  <si>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</si>
  <si>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</si>
  <si>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</si>
  <si>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</si>
  <si>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</si>
  <si>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</si>
  <si>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</si>
  <si>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</si>
  <si>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</si>
  <si>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</si>
  <si>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</si>
  <si>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</si>
  <si>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</si>
  <si>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</si>
  <si>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</si>
  <si>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</si>
  <si>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</si>
  <si>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</si>
  <si>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</si>
  <si>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</si>
  <si>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</si>
  <si>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</si>
  <si>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</si>
  <si>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</si>
  <si>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</si>
  <si>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</si>
  <si>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</si>
  <si>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</si>
  <si>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</si>
  <si>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</si>
  <si>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</si>
  <si>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</si>
  <si>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</si>
  <si>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</si>
  <si>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</si>
  <si>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</si>
  <si>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</si>
  <si>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</si>
  <si>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</si>
  <si>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</si>
  <si>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</si>
  <si>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</si>
  <si>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</si>
  <si>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</si>
  <si>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</si>
  <si>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</si>
  <si>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</si>
  <si>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</si>
  <si>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</si>
  <si>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</si>
  <si>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</si>
  <si>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</si>
  <si>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</si>
  <si>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</si>
  <si>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</si>
  <si>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</si>
  <si>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</si>
  <si>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</si>
  <si>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</si>
  <si>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</si>
  <si>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</si>
  <si>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</si>
  <si>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</si>
  <si>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</si>
  <si>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</si>
  <si>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</si>
  <si>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</si>
  <si>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</si>
  <si>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</si>
  <si>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</si>
  <si>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</si>
  <si>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</si>
  <si>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</si>
  <si>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</si>
  <si>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</si>
  <si>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</si>
  <si>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</si>
  <si>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</si>
  <si>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</si>
  <si>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</si>
  <si>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</si>
  <si>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</si>
  <si>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</si>
  <si>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</si>
  <si>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</si>
  <si>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</si>
  <si>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</si>
  <si>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</si>
  <si>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</si>
  <si>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</si>
  <si>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</si>
  <si>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</si>
  <si>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</si>
  <si>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</si>
  <si>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</si>
  <si>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</si>
  <si>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</si>
  <si>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</si>
  <si>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</si>
  <si>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</si>
  <si>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</si>
  <si>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</si>
  <si>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</si>
  <si>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</si>
  <si>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</si>
  <si>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</si>
  <si>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合計</t>
    <rPh sb="0" eb="2">
      <t>ゴウケイ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</si>
  <si>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</si>
  <si>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</si>
  <si>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</si>
  <si>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</si>
  <si>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</si>
  <si>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</si>
  <si>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51</t>
    <phoneticPr fontId="1"/>
  </si>
  <si>
    <t>オープン立直</t>
    <rPh sb="4" eb="6">
      <t>リーチ</t>
    </rPh>
    <phoneticPr fontId="1"/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</si>
  <si>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</si>
  <si>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</si>
  <si>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52</t>
  </si>
  <si>
    <t>赤ドラ</t>
  </si>
  <si>
    <t>53</t>
    <phoneticPr fontId="1"/>
  </si>
  <si>
    <t>十三不塔</t>
    <rPh sb="0" eb="4">
      <t>シー</t>
    </rPh>
    <phoneticPr fontId="1"/>
  </si>
  <si>
    <t>れんたろう</t>
  </si>
  <si>
    <t>平均放銃点</t>
  </si>
  <si>
    <t>門前アガリ点</t>
    <rPh sb="0" eb="2">
      <t>メンゼン</t>
    </rPh>
    <rPh sb="5" eb="6">
      <t>テン</t>
    </rPh>
    <phoneticPr fontId="1"/>
  </si>
  <si>
    <t>副露アガリ点</t>
    <rPh sb="0" eb="2">
      <t>フーロ</t>
    </rPh>
    <rPh sb="5" eb="6">
      <t>テン</t>
    </rPh>
    <phoneticPr fontId="1"/>
  </si>
  <si>
    <t>2翻</t>
    <phoneticPr fontId="1"/>
  </si>
  <si>
    <t>3翻</t>
    <rPh sb="1" eb="2">
      <t>ホン</t>
    </rPh>
    <phoneticPr fontId="1"/>
  </si>
  <si>
    <t>4翻</t>
    <phoneticPr fontId="1"/>
  </si>
  <si>
    <t>5翻</t>
    <rPh sb="1" eb="2">
      <t>ホン</t>
    </rPh>
    <phoneticPr fontId="1"/>
  </si>
  <si>
    <t>1翻</t>
    <rPh sb="1" eb="2">
      <t>ホン</t>
    </rPh>
    <phoneticPr fontId="1"/>
  </si>
  <si>
    <t>6翻</t>
    <phoneticPr fontId="1"/>
  </si>
  <si>
    <t>7翻</t>
    <rPh sb="1" eb="2">
      <t>ホン</t>
    </rPh>
    <phoneticPr fontId="1"/>
  </si>
  <si>
    <t>8翻</t>
    <phoneticPr fontId="1"/>
  </si>
  <si>
    <t>9翻</t>
    <rPh sb="1" eb="2">
      <t>ホン</t>
    </rPh>
    <phoneticPr fontId="1"/>
  </si>
  <si>
    <t>10翻</t>
    <phoneticPr fontId="1"/>
  </si>
  <si>
    <t>11翻</t>
    <rPh sb="2" eb="3">
      <t>ホン</t>
    </rPh>
    <phoneticPr fontId="1"/>
  </si>
  <si>
    <t>12翻</t>
    <phoneticPr fontId="1"/>
  </si>
  <si>
    <t>13翻～</t>
    <rPh sb="2" eb="3">
      <t>ホン</t>
    </rPh>
    <phoneticPr fontId="1"/>
  </si>
  <si>
    <t>最高点</t>
    <rPh sb="0" eb="3">
      <t>サイコウテン</t>
    </rPh>
    <phoneticPr fontId="1"/>
  </si>
  <si>
    <t>副露アガリ</t>
    <rPh sb="0" eb="2">
      <t>フーロ</t>
    </rPh>
    <phoneticPr fontId="1"/>
  </si>
  <si>
    <t>ダマアガリ</t>
    <phoneticPr fontId="1"/>
  </si>
  <si>
    <t>リーチアガリ</t>
    <phoneticPr fontId="1"/>
  </si>
  <si>
    <t>1位スコア</t>
    <rPh sb="1" eb="2">
      <t>イ</t>
    </rPh>
    <phoneticPr fontId="1"/>
  </si>
  <si>
    <t>2位スコア</t>
    <phoneticPr fontId="1"/>
  </si>
  <si>
    <t>3位スコア</t>
    <phoneticPr fontId="1"/>
  </si>
  <si>
    <t>バランス</t>
    <phoneticPr fontId="1"/>
  </si>
  <si>
    <t>たかの</t>
  </si>
  <si>
    <t>まっつん</t>
  </si>
  <si>
    <t>ただ</t>
  </si>
  <si>
    <t>のり</t>
  </si>
  <si>
    <t>りくと</t>
  </si>
  <si>
    <t>レーティング</t>
    <phoneticPr fontId="1"/>
  </si>
  <si>
    <t>R</t>
    <phoneticPr fontId="1"/>
  </si>
  <si>
    <t>ともき</t>
  </si>
  <si>
    <t>ぱぱ</t>
  </si>
  <si>
    <t>あさひ</t>
  </si>
  <si>
    <t>いっしー</t>
  </si>
  <si>
    <t>ほたに</t>
  </si>
  <si>
    <t>かわたつ</t>
  </si>
  <si>
    <t>やがさき</t>
  </si>
  <si>
    <t>ちさと</t>
  </si>
  <si>
    <t>かこたろう</t>
  </si>
  <si>
    <t>がくと</t>
  </si>
  <si>
    <t>相関</t>
    <rPh sb="0" eb="2">
      <t>ソウカン</t>
    </rPh>
    <phoneticPr fontId="1"/>
  </si>
  <si>
    <t>ゆう</t>
  </si>
  <si>
    <t>てんちゃん</t>
  </si>
  <si>
    <t>いちかわ</t>
  </si>
  <si>
    <t>たか</t>
  </si>
  <si>
    <t>わさび</t>
  </si>
  <si>
    <t>やなぎ</t>
  </si>
  <si>
    <t>ぱぱ</t>
    <phoneticPr fontId="1"/>
  </si>
  <si>
    <t>―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</si>
</sst>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7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45">
    <xf numFmtId="0" fontId="0" fillId="0" borderId="0" xfId="0">
      <alignment vertical="center"/>
    </xf>
    <xf numFmtId="14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0" fontId="0" fillId="0" borderId="0" xfId="0" applyNumberFormat="1" applyBorder="1" applyAlignment="1">
      <alignment horizontal="left" vertical="center"/>
    </xf>
    <xf numFmtId="0" fontId="0" fillId="0" borderId="10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176" fontId="4" fillId="0" borderId="41" xfId="0" applyNumberFormat="1" applyFont="1" applyBorder="1" applyAlignment="1">
      <alignment horizontal="center" vertical="center" shrinkToFit="1"/>
    </xf>
    <xf numFmtId="176" fontId="4" fillId="0" borderId="42" xfId="0" applyNumberFormat="1" applyFont="1" applyBorder="1" applyAlignment="1">
      <alignment horizontal="center" vertical="center" shrinkToFit="1"/>
    </xf>
    <xf numFmtId="176" fontId="4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49" fontId="3" fillId="0" borderId="54" xfId="0" applyNumberFormat="1" applyFon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0" fontId="0" fillId="0" borderId="55" xfId="0" applyNumberFormat="1" applyBorder="1" applyAlignment="1">
      <alignment horizontal="center" vertical="center" shrinkToFit="1"/>
    </xf>
    <xf numFmtId="183" fontId="0" fillId="0" borderId="7" xfId="0" applyNumberForma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2" fillId="0" borderId="7" xfId="0" applyNumberFormat="1" applyFon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0" fontId="0" fillId="0" borderId="0" xfId="0" applyAlignment="1">
      <alignment vertical="center" shrinkToFit="1"/>
    </xf>
    <xf numFmtId="0" fontId="3" fillId="0" borderId="10" xfId="0" applyFont="1" applyBorder="1" applyAlignment="1">
      <alignment horizontal="center" vertical="center" shrinkToFit="1"/>
    </xf>
    <xf numFmtId="187" fontId="0" fillId="0" borderId="0" xfId="0" applyNumberFormat="1" applyAlignment="1">
      <alignment vertical="center" shrinkToFit="1"/>
    </xf>
    <xf numFmtId="0" fontId="4" fillId="0" borderId="40" xfId="0" applyFont="1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176" fontId="4" fillId="0" borderId="0" xfId="0" applyNumberFormat="1" applyFont="1" applyAlignment="1">
      <alignment horizontal="center" vertical="center" shrinkToFit="1"/>
    </xf>
    <xf numFmtId="184" fontId="0" fillId="0" borderId="16" xfId="0" applyNumberFormat="1" applyBorder="1" applyAlignment="1">
      <alignment horizontal="center" vertical="center" shrinkToFit="1"/>
    </xf>
    <xf numFmtId="184" fontId="2" fillId="0" borderId="7" xfId="0" applyNumberFormat="1" applyFont="1" applyBorder="1" applyAlignment="1">
      <alignment horizontal="center" vertical="center" shrinkToFit="1"/>
    </xf>
    <xf numFmtId="0" fontId="4" fillId="0" borderId="0" xfId="0" applyFont="1" applyAlignment="1">
      <alignment vertical="center" shrinkToFit="1"/>
    </xf>
    <xf numFmtId="49" fontId="4" fillId="0" borderId="0" xfId="0" applyNumberFormat="1" applyFont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 shrinkToFit="1"/>
    </xf>
    <xf numFmtId="176" fontId="0" fillId="0" borderId="35" xfId="0" applyNumberFormat="1" applyBorder="1" applyAlignment="1">
      <alignment horizontal="center" vertical="center" shrinkToFit="1"/>
    </xf>
    <xf numFmtId="1" fontId="0" fillId="0" borderId="11" xfId="0" applyNumberFormat="1" applyBorder="1" applyAlignment="1">
      <alignment horizontal="center" vertical="center" shrinkToFit="1"/>
    </xf>
    <xf numFmtId="1" fontId="0" fillId="0" borderId="6" xfId="0" applyNumberFormat="1" applyBorder="1" applyAlignment="1">
      <alignment horizontal="center" vertical="center" shrinkToFit="1"/>
    </xf>
    <xf numFmtId="1" fontId="0" fillId="0" borderId="3" xfId="0" applyNumberFormat="1" applyBorder="1" applyAlignment="1">
      <alignment horizontal="center" vertical="center" shrinkToFit="1"/>
    </xf>
    <xf numFmtId="177" fontId="0" fillId="0" borderId="1" xfId="0" applyNumberFormat="1" applyBorder="1" applyAlignment="1">
      <alignment horizontal="center" vertical="center" shrinkToFit="1"/>
    </xf>
    <xf numFmtId="177" fontId="0" fillId="0" borderId="2" xfId="0" applyNumberFormat="1" applyBorder="1" applyAlignment="1">
      <alignment horizontal="center" vertical="center" shrinkToFit="1"/>
    </xf>
    <xf numFmtId="1" fontId="0" fillId="0" borderId="0" xfId="0" applyNumberFormat="1">
      <alignment vertical="center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0" fontId="0" fillId="0" borderId="29" xfId="0" applyBorder="1" applyAlignment="1">
      <alignment horizontal="center" vertical="center" shrinkToFit="1"/>
    </xf>
    <xf numFmtId="0" fontId="0" fillId="0" borderId="30" xfId="0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3.xml"/><Relationship Id="rId13" Type="http://schemas.openxmlformats.org/officeDocument/2006/relationships/chartsheet" Target="chartsheets/sheet8.xml"/><Relationship Id="rId18" Type="http://schemas.openxmlformats.org/officeDocument/2006/relationships/chartsheet" Target="chartsheets/sheet13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chartsheet" Target="chartsheets/sheet2.xml"/><Relationship Id="rId12" Type="http://schemas.openxmlformats.org/officeDocument/2006/relationships/chartsheet" Target="chartsheets/sheet7.xml"/><Relationship Id="rId17" Type="http://schemas.openxmlformats.org/officeDocument/2006/relationships/chartsheet" Target="chartsheets/sheet12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hartsheet" Target="chartsheets/sheet11.xml"/><Relationship Id="rId20" Type="http://schemas.openxmlformats.org/officeDocument/2006/relationships/chartsheet" Target="chartsheets/sheet15.xml"/><Relationship Id="rId1" Type="http://schemas.openxmlformats.org/officeDocument/2006/relationships/worksheet" Target="worksheets/sheet1.xml"/><Relationship Id="rId6" Type="http://schemas.openxmlformats.org/officeDocument/2006/relationships/chartsheet" Target="chartsheets/sheet1.xml"/><Relationship Id="rId11" Type="http://schemas.openxmlformats.org/officeDocument/2006/relationships/chartsheet" Target="chartsheets/sheet6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chartsheet" Target="chartsheets/sheet10.xml"/><Relationship Id="rId23" Type="http://schemas.openxmlformats.org/officeDocument/2006/relationships/sharedStrings" Target="sharedStrings.xml"/><Relationship Id="rId10" Type="http://schemas.openxmlformats.org/officeDocument/2006/relationships/chartsheet" Target="chartsheets/sheet5.xml"/><Relationship Id="rId19" Type="http://schemas.openxmlformats.org/officeDocument/2006/relationships/chartsheet" Target="chartsheets/sheet14.xml"/><Relationship Id="rId4" Type="http://schemas.openxmlformats.org/officeDocument/2006/relationships/worksheet" Target="worksheets/sheet4.xml"/><Relationship Id="rId9" Type="http://schemas.openxmlformats.org/officeDocument/2006/relationships/chartsheet" Target="chartsheets/sheet4.xml"/><Relationship Id="rId14" Type="http://schemas.openxmlformats.org/officeDocument/2006/relationships/chartsheet" Target="chartsheets/sheet9.xml"/><Relationship Id="rId22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Template1!$L$2</c:f>
              <c:numCache>
                <c:formatCode>\+0.0;\-0.0;\±0</c:formatCode>
                <c:ptCount val="1"/>
                <c:pt idx="0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8C3-4198-83CC-4E91FF118A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52542064"/>
        <c:axId val="-1152530640"/>
      </c:scatterChart>
      <c:valAx>
        <c:axId val="-1152542064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30640"/>
        <c:crossesAt val="0"/>
        <c:crossBetween val="midCat"/>
      </c:valAx>
      <c:valAx>
        <c:axId val="-1152530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420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Template1!$P$2:$P$7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222-4FF8-B778-E9F0B94751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152541520"/>
        <c:axId val="-1152529552"/>
      </c:lineChart>
      <c:catAx>
        <c:axId val="-11525415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29552"/>
        <c:crossesAt val="0"/>
        <c:auto val="1"/>
        <c:lblAlgn val="ctr"/>
        <c:lblOffset val="100"/>
        <c:noMultiLvlLbl val="0"/>
      </c:catAx>
      <c:valAx>
        <c:axId val="-1152529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415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Template1!$A$37:$A$49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Template1!$B$37:$B$49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3739-40D6-AC41-B4DBEBCBEB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-1152530096"/>
        <c:axId val="-1152540432"/>
      </c:barChart>
      <c:catAx>
        <c:axId val="-11525300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40432"/>
        <c:crossesAt val="0"/>
        <c:auto val="1"/>
        <c:lblAlgn val="ctr"/>
        <c:lblOffset val="100"/>
        <c:noMultiLvlLbl val="0"/>
      </c:catAx>
      <c:valAx>
        <c:axId val="-1152540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300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Template1!$M$2</c:f>
              <c:numCache>
                <c:formatCode>0</c:formatCode>
                <c:ptCount val="1"/>
                <c:pt idx="0">
                  <c:v>1500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8C3-4198-83CC-4E91FF118A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52534448"/>
        <c:axId val="-1152529008"/>
      </c:scatterChart>
      <c:valAx>
        <c:axId val="-1152534448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29008"/>
        <c:crossesAt val="1500"/>
        <c:crossBetween val="midCat"/>
      </c:valAx>
      <c:valAx>
        <c:axId val="-1152529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344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248-4FE8-A8B2-4ECB92B9A456}"/>
            </c:ex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52537168"/>
        <c:axId val="-1152537712"/>
      </c:scatterChart>
      <c:valAx>
        <c:axId val="-1152537168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37712"/>
        <c:crossesAt val="-1.4210854715202004E-14"/>
        <c:crossBetween val="midCat"/>
      </c:valAx>
      <c:valAx>
        <c:axId val="-11525377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371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8CC-43E6-BBBF-C5F3C62A55DF}"/>
            </c:ex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52540976"/>
        <c:axId val="-1152543696"/>
      </c:scatterChart>
      <c:valAx>
        <c:axId val="-1152540976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43696"/>
        <c:crossesAt val="-4.7369515717340015E-17"/>
        <c:crossBetween val="midCat"/>
      </c:valAx>
      <c:valAx>
        <c:axId val="-1152543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409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1CA-4B73-A478-5CECE427DE84}"/>
            </c:ex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52538256"/>
        <c:axId val="-1152538800"/>
      </c:scatterChart>
      <c:valAx>
        <c:axId val="-1152538256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38800"/>
        <c:crossesAt val="1.99"/>
        <c:crossBetween val="midCat"/>
      </c:valAx>
      <c:valAx>
        <c:axId val="-1152538800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38256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91A-49FC-A7F1-1C9BECE1386D}"/>
            </c:ex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52539888"/>
        <c:axId val="-1152533904"/>
      </c:scatterChart>
      <c:valAx>
        <c:axId val="-1152539888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33904"/>
        <c:crossesAt val="0.34"/>
        <c:crossBetween val="midCat"/>
      </c:valAx>
      <c:valAx>
        <c:axId val="-1152533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398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86E-41BF-A266-1116E0BBF4D8}"/>
            </c:ex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52543152"/>
        <c:axId val="-1152542608"/>
      </c:scatterChart>
      <c:valAx>
        <c:axId val="-1152543152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42608"/>
        <c:crossesAt val="0.33"/>
        <c:crossBetween val="midCat"/>
      </c:valAx>
      <c:valAx>
        <c:axId val="-1152542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431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CCD-49E2-985A-5C6FC7504B96}"/>
            </c:ex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52539344"/>
        <c:axId val="-1152536624"/>
      </c:scatterChart>
      <c:valAx>
        <c:axId val="-11525393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36624"/>
        <c:crossesAt val="0.29695431472081218"/>
        <c:crossBetween val="midCat"/>
      </c:valAx>
      <c:valAx>
        <c:axId val="-1152536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393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8B4-4F77-82F7-F0F3CF1D68A6}"/>
            </c:ex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52532272"/>
        <c:axId val="-1152533360"/>
      </c:scatterChart>
      <c:valAx>
        <c:axId val="-1152532272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33360"/>
        <c:crossesAt val="0.16116751269035534"/>
        <c:crossBetween val="midCat"/>
      </c:valAx>
      <c:valAx>
        <c:axId val="-1152533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322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F5C9-4B64-9205-41354802BBF2}"/>
            </c:ex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52536080"/>
        <c:axId val="-1152531728"/>
      </c:scatterChart>
      <c:valAx>
        <c:axId val="-1152536080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31728"/>
        <c:crossesAt val="9343.0199430199427"/>
        <c:crossBetween val="midCat"/>
      </c:valAx>
      <c:valAx>
        <c:axId val="-1152531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360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E0C-48CE-B085-A862FAE71597}"/>
            </c:ex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52531184"/>
        <c:axId val="-1161176208"/>
      </c:scatterChart>
      <c:valAx>
        <c:axId val="-115253118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61176208"/>
        <c:crossesAt val="-8578.4776902887133"/>
        <c:crossBetween val="midCat"/>
      </c:valAx>
      <c:valAx>
        <c:axId val="-1161176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311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C9F-483C-8BF9-3EEEDDBC1115}"/>
            </c:ex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61184368"/>
        <c:axId val="-1149411488"/>
      </c:scatterChart>
      <c:valAx>
        <c:axId val="-1161184368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49411488"/>
        <c:crossesAt val="0.13333333333333333"/>
        <c:crossBetween val="midCat"/>
      </c:valAx>
      <c:valAx>
        <c:axId val="-11494114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611843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A8D-4737-A6AF-5494A4274111}"/>
            </c:ex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49404960"/>
        <c:axId val="-1149410400"/>
      </c:scatterChart>
      <c:valAx>
        <c:axId val="-1149404960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49410400"/>
        <c:crossesAt val="0.30922165820642977"/>
        <c:crossBetween val="midCat"/>
      </c:valAx>
      <c:valAx>
        <c:axId val="-1149410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494049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F6AD-4CCE-BF2B-5C9AEAB8974D}"/>
            </c:ex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49408768"/>
        <c:axId val="-1149406592"/>
      </c:scatterChart>
      <c:valAx>
        <c:axId val="-1149408768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49406592"/>
        <c:crossesAt val="0.16243654822335024"/>
        <c:crossBetween val="midCat"/>
      </c:valAx>
      <c:valAx>
        <c:axId val="-1149406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494087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B12-4F93-81A3-2013D9106955}"/>
            </c:ex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49407680"/>
        <c:axId val="-1149409312"/>
      </c:scatterChart>
      <c:valAx>
        <c:axId val="-1149407680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49409312"/>
        <c:crossesAt val="0.54582763337893292"/>
        <c:crossBetween val="midCat"/>
      </c:valAx>
      <c:valAx>
        <c:axId val="-1149409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494076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1B5-4210-90DD-8BD1D614F256}"/>
            </c:ex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49416928"/>
        <c:axId val="-1149410944"/>
      </c:scatterChart>
      <c:valAx>
        <c:axId val="-1149416928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49410944"/>
        <c:crossesAt val="0.37760416666666669"/>
        <c:crossBetween val="midCat"/>
      </c:valAx>
      <c:valAx>
        <c:axId val="-11494109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494169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3D4-46D3-9A87-4D49E92CB307}"/>
            </c:ex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49404416"/>
        <c:axId val="-1149406048"/>
      </c:scatterChart>
      <c:valAx>
        <c:axId val="-1149404416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49406048"/>
        <c:crossesAt val="0.45156695156695159"/>
        <c:crossBetween val="midCat"/>
      </c:valAx>
      <c:valAx>
        <c:axId val="-11494060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494044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>
  <sheetPr codeName="グラフ27"/>
  <sheetViews>
    <sheetView zoomScale="115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=""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=""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=""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=""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28575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=""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="" xmlns:a16="http://schemas.microsoft.com/office/drawing/2014/main" id="{00000000-0008-0000-1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="" xmlns:a16="http://schemas.microsoft.com/office/drawing/2014/main" id="{00000000-0008-0000-1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="" xmlns:a16="http://schemas.microsoft.com/office/drawing/2014/main" id="{00000000-0008-0000-1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="" xmlns:a16="http://schemas.microsoft.com/office/drawing/2014/main" id="{00000000-0008-0000-1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="" xmlns:a16="http://schemas.microsoft.com/office/drawing/2014/main" id="{00000000-0008-0000-1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="" xmlns:a16="http://schemas.microsoft.com/office/drawing/2014/main" id="{00000000-0008-0000-1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="" xmlns:a16="http://schemas.microsoft.com/office/drawing/2014/main" id="{00000000-0008-0000-1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="" xmlns:a16="http://schemas.microsoft.com/office/drawing/2014/main" id="{00000000-0008-0000-1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="" xmlns:a16="http://schemas.microsoft.com/office/drawing/2014/main" id="{00000000-0008-0000-1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="" xmlns:a16="http://schemas.microsoft.com/office/drawing/2014/main" id="{00000000-0008-0000-1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="" xmlns:a16="http://schemas.microsoft.com/office/drawing/2014/main" id="{00000000-0008-0000-1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="" xmlns:a16="http://schemas.microsoft.com/office/drawing/2014/main" id="{00000000-0008-0000-1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5.xml><?xml version="1.0" encoding="utf-8"?>
<xdr:wsDr xmlns:xdr="http://schemas.openxmlformats.org/drawingml/2006/spreadsheetDrawing" xmlns:a="http://schemas.openxmlformats.org/drawingml/2006/main">
  <xdr:absoluteAnchor>
    <xdr:pos x="0" y="0"/>
    <xdr:ext cx="9289774" cy="6062870"/>
    <xdr:graphicFrame macro="">
      <xdr:nvGraphicFramePr>
        <xdr:cNvPr id="2" name="グラフ 1">
          <a:extLst>
            <a:ext uri="{FF2B5EF4-FFF2-40B4-BE49-F238E27FC236}">
              <a16:creationId xmlns="" xmlns:a16="http://schemas.microsoft.com/office/drawing/2014/main" id="{00000000-0008-0000-1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="" xmlns:a16="http://schemas.microsoft.com/office/drawing/2014/main" id="{00000000-0008-0000-2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=""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1"/>
  <sheetViews>
    <sheetView workbookViewId="0"/>
  </sheetViews>
  <sheetFormatPr defaultColWidth="9" defaultRowHeight="18.75" x14ac:dyDescent="0.4"/>
  <cols>
    <col min="1" max="1" width="19.125" style="2" customWidth="1"/>
    <col min="2" max="2" width="19.125" style="3" customWidth="1"/>
    <col min="3" max="16384" width="9" style="2"/>
  </cols>
  <sheetData>
    <row r="1" spans="1:2" x14ac:dyDescent="0.4">
      <c r="A1" s="1">
        <v>32874</v>
      </c>
      <c r="B1" s="1">
        <v>2958465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P3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6" x14ac:dyDescent="0.4">
      <c r="A1" s="34"/>
      <c r="B1" s="34"/>
      <c r="C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</row>
    <row r="2" spans="1:16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148</v>
      </c>
      <c r="G2" s="34" t="s">
        <v>140</v>
      </c>
      <c r="H2" s="34" t="s">
        <v>139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141</v>
      </c>
      <c r="P2" s="34" t="s">
        <v>137</v>
      </c>
    </row>
    <row r="3" spans="1:16" x14ac:dyDescent="0.4">
      <c r="A3" s="33">
        <v>0</v>
      </c>
      <c r="B3" s="30">
        <v>0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25"/>
  <sheetViews>
    <sheetView workbookViewId="0"/>
  </sheetViews>
  <sheetFormatPr defaultRowHeight="18.75" x14ac:dyDescent="0.4"/>
  <cols>
    <col min="1" max="1" width="11" customWidth="1"/>
    <col min="2" max="2" width="9" style="120" customWidth="1"/>
    <col min="3" max="3" width="9" style="120"/>
  </cols>
  <sheetData>
    <row r="1" spans="1:3" x14ac:dyDescent="0.4">
      <c r="A1" t="s">
        <v>211</v>
      </c>
    </row>
    <row r="2" spans="1:3" x14ac:dyDescent="0.4">
      <c r="A2" t="s">
        <v>126</v>
      </c>
      <c r="C2" s="120">
        <v>1846.5755924228188</v>
      </c>
    </row>
    <row r="3" spans="1:3" x14ac:dyDescent="0.4">
      <c r="A3" t="s">
        <v>138</v>
      </c>
      <c r="C3" s="120">
        <v>1614.2957512011271</v>
      </c>
    </row>
    <row r="4" spans="1:3" x14ac:dyDescent="0.4">
      <c r="A4" t="s">
        <v>162</v>
      </c>
      <c r="C4" s="120">
        <v>1595.6213709809917</v>
      </c>
    </row>
    <row r="5" spans="1:3" x14ac:dyDescent="0.4">
      <c r="A5" t="s">
        <v>188</v>
      </c>
      <c r="C5" s="120">
        <v>1551.4699038276274</v>
      </c>
    </row>
    <row r="6" spans="1:3" x14ac:dyDescent="0.4">
      <c r="A6" t="s">
        <v>189</v>
      </c>
      <c r="C6" s="120">
        <v>1546.9221135131666</v>
      </c>
    </row>
    <row r="7" spans="1:3" x14ac:dyDescent="0.4">
      <c r="A7" t="s">
        <v>207</v>
      </c>
      <c r="C7" s="120">
        <v>1541.223654027415</v>
      </c>
    </row>
    <row r="8" spans="1:3" x14ac:dyDescent="0.4">
      <c r="A8" t="s">
        <v>200</v>
      </c>
      <c r="C8" s="120">
        <v>1519.3079580555725</v>
      </c>
    </row>
    <row r="9" spans="1:3" x14ac:dyDescent="0.4">
      <c r="A9" t="s">
        <v>196</v>
      </c>
      <c r="C9" s="120">
        <v>1519.2052586122145</v>
      </c>
    </row>
    <row r="10" spans="1:3" x14ac:dyDescent="0.4">
      <c r="A10" t="s">
        <v>199</v>
      </c>
      <c r="C10" s="120">
        <v>1503.1020000000001</v>
      </c>
    </row>
    <row r="11" spans="1:3" x14ac:dyDescent="0.4">
      <c r="A11" t="s">
        <v>209</v>
      </c>
      <c r="C11" s="120">
        <v>1497.379788</v>
      </c>
    </row>
    <row r="12" spans="1:3" x14ac:dyDescent="0.4">
      <c r="A12" t="s">
        <v>210</v>
      </c>
      <c r="C12" s="120">
        <v>1493.0891304000002</v>
      </c>
    </row>
    <row r="13" spans="1:3" x14ac:dyDescent="0.4">
      <c r="A13" t="s">
        <v>198</v>
      </c>
      <c r="C13" s="120">
        <v>1491.5152195648213</v>
      </c>
    </row>
    <row r="14" spans="1:3" x14ac:dyDescent="0.4">
      <c r="A14" t="s">
        <v>201</v>
      </c>
      <c r="C14" s="120">
        <v>1489.2889468180317</v>
      </c>
    </row>
    <row r="15" spans="1:3" x14ac:dyDescent="0.4">
      <c r="A15" t="s">
        <v>208</v>
      </c>
      <c r="C15" s="120">
        <v>1488.9447185272431</v>
      </c>
    </row>
    <row r="16" spans="1:3" x14ac:dyDescent="0.4">
      <c r="A16" t="s">
        <v>203</v>
      </c>
      <c r="C16" s="120">
        <v>1484.6521503082251</v>
      </c>
    </row>
    <row r="17" spans="1:8" x14ac:dyDescent="0.4">
      <c r="A17" t="s">
        <v>205</v>
      </c>
      <c r="C17" s="120">
        <v>1484.4200922656562</v>
      </c>
      <c r="G17" s="120"/>
      <c r="H17" s="120"/>
    </row>
    <row r="18" spans="1:8" x14ac:dyDescent="0.4">
      <c r="A18" t="s">
        <v>206</v>
      </c>
      <c r="C18" s="120">
        <v>1483.0119085897741</v>
      </c>
      <c r="G18" s="120"/>
      <c r="H18" s="120"/>
    </row>
    <row r="19" spans="1:8" x14ac:dyDescent="0.4">
      <c r="A19" t="s">
        <v>197</v>
      </c>
      <c r="C19" s="120">
        <v>1476.9680701642462</v>
      </c>
      <c r="G19" s="120"/>
      <c r="H19" s="120"/>
    </row>
    <row r="20" spans="1:8" x14ac:dyDescent="0.4">
      <c r="A20" t="s">
        <v>202</v>
      </c>
      <c r="C20" s="120">
        <v>1476.2954110473599</v>
      </c>
      <c r="G20" s="120"/>
      <c r="H20" s="120"/>
    </row>
    <row r="21" spans="1:8" x14ac:dyDescent="0.4">
      <c r="A21" t="s">
        <v>187</v>
      </c>
      <c r="C21" s="120">
        <v>1463.3989422821498</v>
      </c>
      <c r="G21" s="120"/>
      <c r="H21" s="120"/>
    </row>
    <row r="22" spans="1:8" x14ac:dyDescent="0.4">
      <c r="A22" t="s">
        <v>194</v>
      </c>
      <c r="C22" s="120">
        <v>1445.1125193047092</v>
      </c>
      <c r="G22" s="120"/>
      <c r="H22" s="120"/>
    </row>
    <row r="23" spans="1:8" x14ac:dyDescent="0.4">
      <c r="A23" t="s">
        <v>195</v>
      </c>
      <c r="C23" s="120">
        <v>1384.1908394993188</v>
      </c>
    </row>
    <row r="24" spans="1:8" x14ac:dyDescent="0.4">
      <c r="A24" t="s">
        <v>191</v>
      </c>
      <c r="C24" s="120">
        <v>1372.5824902185618</v>
      </c>
    </row>
    <row r="25" spans="1:8" x14ac:dyDescent="0.4">
      <c r="A25" t="s">
        <v>190</v>
      </c>
      <c r="C25" s="120">
        <v>1340.228259602879</v>
      </c>
    </row>
  </sheetData>
  <sortState ref="A2:C25">
    <sortCondition ref="B2:B25"/>
  </sortState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27"/>
      <c r="C1" s="128"/>
      <c r="E1" s="104" t="s">
        <v>153</v>
      </c>
      <c r="F1" s="100" t="s">
        <v>115</v>
      </c>
      <c r="G1" s="99" t="s">
        <v>116</v>
      </c>
      <c r="H1" s="86" t="s">
        <v>117</v>
      </c>
      <c r="I1" s="100" t="s">
        <v>145</v>
      </c>
      <c r="K1" s="72" t="s">
        <v>19</v>
      </c>
      <c r="L1" s="4" t="s">
        <v>120</v>
      </c>
      <c r="M1" s="115" t="s">
        <v>193</v>
      </c>
      <c r="N1" s="105"/>
      <c r="O1" s="72" t="s">
        <v>133</v>
      </c>
      <c r="P1" s="4" t="s">
        <v>134</v>
      </c>
      <c r="Q1" s="106" t="s">
        <v>116</v>
      </c>
      <c r="R1" s="62" t="s">
        <v>147</v>
      </c>
    </row>
    <row r="2" spans="1:18" x14ac:dyDescent="0.4">
      <c r="A2" s="18" t="s">
        <v>9</v>
      </c>
      <c r="B2" s="129">
        <v>0</v>
      </c>
      <c r="C2" s="130"/>
      <c r="E2" s="26" t="s">
        <v>64</v>
      </c>
      <c r="F2" s="23" t="s">
        <v>20</v>
      </c>
      <c r="G2" s="11">
        <v>0</v>
      </c>
      <c r="H2" s="87">
        <f t="shared" ref="H2:H33" si="0">IF(B$20=0,0,G2/B$20)</f>
        <v>0</v>
      </c>
      <c r="I2" s="57"/>
      <c r="K2" s="73">
        <v>0</v>
      </c>
      <c r="L2" s="118">
        <v>0</v>
      </c>
      <c r="M2" s="116">
        <v>1500</v>
      </c>
      <c r="O2" s="73" t="s">
        <v>127</v>
      </c>
      <c r="P2" s="79">
        <f t="shared" ref="P2:P7" si="1">IF(Q2=0,0,R2/Q2)</f>
        <v>0</v>
      </c>
      <c r="Q2" s="76">
        <v>0</v>
      </c>
      <c r="R2" s="63">
        <v>0</v>
      </c>
    </row>
    <row r="3" spans="1:18" x14ac:dyDescent="0.4">
      <c r="A3" s="19" t="s">
        <v>8</v>
      </c>
      <c r="B3" s="131">
        <v>0</v>
      </c>
      <c r="C3" s="132"/>
      <c r="E3" s="27" t="s">
        <v>65</v>
      </c>
      <c r="F3" s="24" t="s">
        <v>21</v>
      </c>
      <c r="G3" s="12">
        <v>0</v>
      </c>
      <c r="H3" s="88">
        <f t="shared" si="0"/>
        <v>0</v>
      </c>
      <c r="I3" s="58"/>
      <c r="O3" s="74" t="s">
        <v>128</v>
      </c>
      <c r="P3" s="80">
        <f t="shared" si="1"/>
        <v>0</v>
      </c>
      <c r="Q3" s="77">
        <v>0</v>
      </c>
      <c r="R3" s="64">
        <v>0</v>
      </c>
    </row>
    <row r="4" spans="1:18" x14ac:dyDescent="0.4">
      <c r="A4" s="19" t="s">
        <v>6</v>
      </c>
      <c r="B4" s="133">
        <v>0</v>
      </c>
      <c r="C4" s="134"/>
      <c r="E4" s="27" t="s">
        <v>66</v>
      </c>
      <c r="F4" s="24" t="s">
        <v>22</v>
      </c>
      <c r="G4" s="12">
        <v>0</v>
      </c>
      <c r="H4" s="88">
        <f t="shared" si="0"/>
        <v>0</v>
      </c>
      <c r="I4" s="58"/>
      <c r="O4" s="74" t="s">
        <v>129</v>
      </c>
      <c r="P4" s="80">
        <f t="shared" si="1"/>
        <v>0</v>
      </c>
      <c r="Q4" s="77">
        <v>0</v>
      </c>
      <c r="R4" s="64">
        <v>0</v>
      </c>
    </row>
    <row r="5" spans="1:18" x14ac:dyDescent="0.4">
      <c r="A5" s="19" t="s">
        <v>7</v>
      </c>
      <c r="B5" s="121">
        <f>IF(B$2=0,0,B$4/B$2)</f>
        <v>0</v>
      </c>
      <c r="C5" s="122"/>
      <c r="E5" s="27" t="s">
        <v>67</v>
      </c>
      <c r="F5" s="24" t="s">
        <v>23</v>
      </c>
      <c r="G5" s="12">
        <v>0</v>
      </c>
      <c r="H5" s="88">
        <f t="shared" si="0"/>
        <v>0</v>
      </c>
      <c r="I5" s="58"/>
      <c r="O5" s="74" t="s">
        <v>130</v>
      </c>
      <c r="P5" s="80">
        <f t="shared" si="1"/>
        <v>0</v>
      </c>
      <c r="Q5" s="77">
        <v>0</v>
      </c>
      <c r="R5" s="64">
        <v>0</v>
      </c>
    </row>
    <row r="6" spans="1:18" x14ac:dyDescent="0.4">
      <c r="A6" s="19" t="s">
        <v>192</v>
      </c>
      <c r="B6" s="125">
        <v>1500</v>
      </c>
      <c r="C6" s="126"/>
      <c r="E6" s="27" t="s">
        <v>68</v>
      </c>
      <c r="F6" s="24" t="s">
        <v>12</v>
      </c>
      <c r="G6" s="12">
        <v>0</v>
      </c>
      <c r="H6" s="88">
        <f t="shared" si="0"/>
        <v>0</v>
      </c>
      <c r="I6" s="58"/>
      <c r="O6" s="74" t="s">
        <v>131</v>
      </c>
      <c r="P6" s="80">
        <f t="shared" si="1"/>
        <v>0</v>
      </c>
      <c r="Q6" s="77">
        <v>0</v>
      </c>
      <c r="R6" s="64">
        <v>0</v>
      </c>
    </row>
    <row r="7" spans="1:18" x14ac:dyDescent="0.4">
      <c r="A7" s="19" t="s">
        <v>1</v>
      </c>
      <c r="B7" s="135">
        <f>IF(B$2=0,0,(B$8*1+B$9*2+B$10*3)/B$2)</f>
        <v>0</v>
      </c>
      <c r="C7" s="136"/>
      <c r="E7" s="27" t="s">
        <v>69</v>
      </c>
      <c r="F7" s="24" t="s">
        <v>24</v>
      </c>
      <c r="G7" s="12">
        <v>0</v>
      </c>
      <c r="H7" s="88">
        <f t="shared" si="0"/>
        <v>0</v>
      </c>
      <c r="I7" s="58"/>
      <c r="O7" s="75" t="s">
        <v>132</v>
      </c>
      <c r="P7" s="81">
        <f t="shared" si="1"/>
        <v>0</v>
      </c>
      <c r="Q7" s="78">
        <v>0</v>
      </c>
      <c r="R7" s="65">
        <v>0</v>
      </c>
    </row>
    <row r="8" spans="1:18" x14ac:dyDescent="0.4">
      <c r="A8" s="19" t="s">
        <v>2</v>
      </c>
      <c r="B8" s="12">
        <v>0</v>
      </c>
      <c r="C8" s="6">
        <f t="shared" ref="C8:C15" si="2">IF(B$2=0,0,B8/B$2)</f>
        <v>0</v>
      </c>
      <c r="E8" s="27" t="s">
        <v>70</v>
      </c>
      <c r="F8" s="24" t="s">
        <v>25</v>
      </c>
      <c r="G8" s="12">
        <v>0</v>
      </c>
      <c r="H8" s="88">
        <f t="shared" si="0"/>
        <v>0</v>
      </c>
      <c r="I8" s="58"/>
      <c r="O8" s="107"/>
      <c r="P8" s="85"/>
      <c r="Q8" s="108"/>
      <c r="R8" s="70"/>
    </row>
    <row r="9" spans="1:18" x14ac:dyDescent="0.4">
      <c r="A9" s="19" t="s">
        <v>3</v>
      </c>
      <c r="B9" s="12">
        <v>0</v>
      </c>
      <c r="C9" s="6">
        <f t="shared" si="2"/>
        <v>0</v>
      </c>
      <c r="E9" s="27" t="s">
        <v>71</v>
      </c>
      <c r="F9" s="24" t="s">
        <v>26</v>
      </c>
      <c r="G9" s="12">
        <v>0</v>
      </c>
      <c r="H9" s="88">
        <f t="shared" si="0"/>
        <v>0</v>
      </c>
      <c r="I9" s="58"/>
      <c r="O9" s="72" t="s">
        <v>149</v>
      </c>
      <c r="P9" s="4" t="s">
        <v>120</v>
      </c>
      <c r="Q9" s="106" t="s">
        <v>116</v>
      </c>
      <c r="R9" s="66" t="s">
        <v>147</v>
      </c>
    </row>
    <row r="10" spans="1:18" x14ac:dyDescent="0.4">
      <c r="A10" s="20" t="s">
        <v>4</v>
      </c>
      <c r="B10" s="13">
        <v>0</v>
      </c>
      <c r="C10" s="7">
        <f t="shared" si="2"/>
        <v>0</v>
      </c>
      <c r="E10" s="27" t="s">
        <v>72</v>
      </c>
      <c r="F10" s="24" t="s">
        <v>27</v>
      </c>
      <c r="G10" s="12">
        <v>0</v>
      </c>
      <c r="H10" s="88">
        <f t="shared" si="0"/>
        <v>0</v>
      </c>
      <c r="I10" s="58"/>
      <c r="O10" s="73" t="s">
        <v>150</v>
      </c>
      <c r="P10" s="82">
        <f>IF(Q10=0,0,R10/Q10)</f>
        <v>0</v>
      </c>
      <c r="Q10" s="76">
        <v>0</v>
      </c>
      <c r="R10" s="67">
        <v>0</v>
      </c>
    </row>
    <row r="11" spans="1:18" x14ac:dyDescent="0.4">
      <c r="A11" s="20" t="s">
        <v>183</v>
      </c>
      <c r="B11" s="109">
        <f>IF(B8=0,0,C11/B8)</f>
        <v>0</v>
      </c>
      <c r="C11" s="110">
        <v>0</v>
      </c>
      <c r="E11" s="27" t="s">
        <v>73</v>
      </c>
      <c r="F11" s="24" t="s">
        <v>28</v>
      </c>
      <c r="G11" s="12">
        <v>0</v>
      </c>
      <c r="H11" s="88">
        <f t="shared" si="0"/>
        <v>0</v>
      </c>
      <c r="I11" s="58"/>
      <c r="O11" s="74" t="s">
        <v>151</v>
      </c>
      <c r="P11" s="83">
        <f>IF(Q11=0,0,R11/Q11)</f>
        <v>0</v>
      </c>
      <c r="Q11" s="77">
        <v>0</v>
      </c>
      <c r="R11" s="68">
        <v>0</v>
      </c>
    </row>
    <row r="12" spans="1:18" x14ac:dyDescent="0.4">
      <c r="A12" s="20" t="s">
        <v>184</v>
      </c>
      <c r="B12" s="109">
        <f>IF(B9=0,0,C12/B9)</f>
        <v>0</v>
      </c>
      <c r="C12" s="110">
        <v>0</v>
      </c>
      <c r="E12" s="27" t="s">
        <v>74</v>
      </c>
      <c r="F12" s="24" t="s">
        <v>29</v>
      </c>
      <c r="G12" s="12">
        <v>0</v>
      </c>
      <c r="H12" s="88">
        <f t="shared" si="0"/>
        <v>0</v>
      </c>
      <c r="I12" s="58"/>
      <c r="O12" s="75" t="s">
        <v>152</v>
      </c>
      <c r="P12" s="84">
        <f>IF(Q12=0,0,R12/Q12)</f>
        <v>0</v>
      </c>
      <c r="Q12" s="78">
        <v>0</v>
      </c>
      <c r="R12" s="69">
        <v>0</v>
      </c>
    </row>
    <row r="13" spans="1:18" x14ac:dyDescent="0.4">
      <c r="A13" s="20" t="s">
        <v>185</v>
      </c>
      <c r="B13" s="109">
        <f>IF(B10=0,0,C13/B10)</f>
        <v>0</v>
      </c>
      <c r="C13" s="110">
        <v>0</v>
      </c>
      <c r="E13" s="27" t="s">
        <v>75</v>
      </c>
      <c r="F13" s="24" t="s">
        <v>30</v>
      </c>
      <c r="G13" s="12">
        <v>0</v>
      </c>
      <c r="H13" s="88">
        <f t="shared" si="0"/>
        <v>0</v>
      </c>
      <c r="I13" s="58"/>
      <c r="O13" s="103"/>
      <c r="P13" s="71"/>
      <c r="Q13" s="111"/>
      <c r="R13" s="71"/>
    </row>
    <row r="14" spans="1:18" x14ac:dyDescent="0.4">
      <c r="A14" s="20" t="s">
        <v>186</v>
      </c>
      <c r="B14" s="121">
        <f>AVERAGE(B11:B13)</f>
        <v>0</v>
      </c>
      <c r="C14" s="122"/>
      <c r="E14" s="27" t="s">
        <v>76</v>
      </c>
      <c r="F14" s="24" t="s">
        <v>31</v>
      </c>
      <c r="G14" s="12">
        <v>0</v>
      </c>
      <c r="H14" s="88">
        <f t="shared" si="0"/>
        <v>0</v>
      </c>
      <c r="I14" s="58"/>
      <c r="O14" s="72" t="s">
        <v>146</v>
      </c>
      <c r="P14" s="4" t="s">
        <v>120</v>
      </c>
      <c r="Q14" s="106" t="s">
        <v>116</v>
      </c>
      <c r="R14" s="66" t="s">
        <v>147</v>
      </c>
    </row>
    <row r="15" spans="1:18" x14ac:dyDescent="0.4">
      <c r="A15" s="21" t="s">
        <v>18</v>
      </c>
      <c r="B15" s="14">
        <v>0</v>
      </c>
      <c r="C15" s="9">
        <f t="shared" si="2"/>
        <v>0</v>
      </c>
      <c r="E15" s="27" t="s">
        <v>77</v>
      </c>
      <c r="F15" s="24" t="s">
        <v>32</v>
      </c>
      <c r="G15" s="12">
        <v>0</v>
      </c>
      <c r="H15" s="88">
        <f t="shared" si="0"/>
        <v>0</v>
      </c>
      <c r="I15" s="58"/>
      <c r="O15" s="73"/>
      <c r="P15" s="82"/>
      <c r="Q15" s="76"/>
      <c r="R15" s="67"/>
    </row>
    <row r="16" spans="1:18" x14ac:dyDescent="0.4">
      <c r="A16" s="22" t="s">
        <v>121</v>
      </c>
      <c r="B16" s="15">
        <v>0</v>
      </c>
      <c r="C16" s="10">
        <f>IF(B$3=0,0,B16/B$3)</f>
        <v>0</v>
      </c>
      <c r="E16" s="27" t="s">
        <v>78</v>
      </c>
      <c r="F16" s="24" t="s">
        <v>33</v>
      </c>
      <c r="G16" s="12">
        <v>0</v>
      </c>
      <c r="H16" s="88">
        <f t="shared" si="0"/>
        <v>0</v>
      </c>
      <c r="I16" s="58"/>
    </row>
    <row r="17" spans="1:9" x14ac:dyDescent="0.4">
      <c r="A17" s="19" t="s">
        <v>118</v>
      </c>
      <c r="B17" s="12">
        <v>0</v>
      </c>
      <c r="C17" s="6">
        <f>IF(B$3=0,0,B17/B$3)</f>
        <v>0</v>
      </c>
      <c r="E17" s="27" t="s">
        <v>79</v>
      </c>
      <c r="F17" s="24" t="s">
        <v>34</v>
      </c>
      <c r="G17" s="12">
        <v>0</v>
      </c>
      <c r="H17" s="88">
        <f t="shared" si="0"/>
        <v>0</v>
      </c>
      <c r="I17" s="58"/>
    </row>
    <row r="18" spans="1:9" x14ac:dyDescent="0.4">
      <c r="A18" s="18" t="s">
        <v>123</v>
      </c>
      <c r="B18" s="11">
        <f>B24</f>
        <v>0</v>
      </c>
      <c r="C18" s="5">
        <f>IF(B$16=0,0,B18/B$16)</f>
        <v>0</v>
      </c>
      <c r="E18" s="27" t="s">
        <v>80</v>
      </c>
      <c r="F18" s="24" t="s">
        <v>35</v>
      </c>
      <c r="G18" s="12">
        <v>0</v>
      </c>
      <c r="H18" s="88">
        <f t="shared" si="0"/>
        <v>0</v>
      </c>
      <c r="I18" s="58"/>
    </row>
    <row r="19" spans="1:9" x14ac:dyDescent="0.4">
      <c r="A19" s="18" t="s">
        <v>124</v>
      </c>
      <c r="B19" s="11">
        <f>B25</f>
        <v>0</v>
      </c>
      <c r="C19" s="5">
        <f>IF(B$17=0,0,B19/B$17)</f>
        <v>0</v>
      </c>
      <c r="E19" s="27" t="s">
        <v>81</v>
      </c>
      <c r="F19" s="24" t="s">
        <v>36</v>
      </c>
      <c r="G19" s="12">
        <v>0</v>
      </c>
      <c r="H19" s="88">
        <f t="shared" si="0"/>
        <v>0</v>
      </c>
      <c r="I19" s="58"/>
    </row>
    <row r="20" spans="1:9" x14ac:dyDescent="0.4">
      <c r="A20" s="18" t="s">
        <v>10</v>
      </c>
      <c r="B20" s="11">
        <f>B23+B22</f>
        <v>0</v>
      </c>
      <c r="C20" s="5">
        <f>IF(B$3=0,0,B20/B$3)</f>
        <v>0</v>
      </c>
      <c r="E20" s="27" t="s">
        <v>82</v>
      </c>
      <c r="F20" s="24" t="s">
        <v>37</v>
      </c>
      <c r="G20" s="12">
        <v>0</v>
      </c>
      <c r="H20" s="88">
        <f t="shared" si="0"/>
        <v>0</v>
      </c>
      <c r="I20" s="58"/>
    </row>
    <row r="21" spans="1:9" x14ac:dyDescent="0.4">
      <c r="A21" s="19" t="s">
        <v>13</v>
      </c>
      <c r="B21" s="12">
        <v>0</v>
      </c>
      <c r="C21" s="6">
        <f>IF(B$3=0,0,B21/B$3)</f>
        <v>0</v>
      </c>
      <c r="E21" s="27" t="s">
        <v>83</v>
      </c>
      <c r="F21" s="24" t="s">
        <v>38</v>
      </c>
      <c r="G21" s="12">
        <v>0</v>
      </c>
      <c r="H21" s="88">
        <f t="shared" si="0"/>
        <v>0</v>
      </c>
      <c r="I21" s="58"/>
    </row>
    <row r="22" spans="1:9" x14ac:dyDescent="0.4">
      <c r="A22" s="19" t="s">
        <v>12</v>
      </c>
      <c r="B22" s="12">
        <v>0</v>
      </c>
      <c r="C22" s="6">
        <f>IF(B$20=0,0,B22/B$20)</f>
        <v>0</v>
      </c>
      <c r="E22" s="27" t="s">
        <v>84</v>
      </c>
      <c r="F22" s="24" t="s">
        <v>39</v>
      </c>
      <c r="G22" s="12">
        <v>0</v>
      </c>
      <c r="H22" s="88">
        <f t="shared" si="0"/>
        <v>0</v>
      </c>
      <c r="I22" s="58"/>
    </row>
    <row r="23" spans="1:9" x14ac:dyDescent="0.4">
      <c r="A23" s="19" t="s">
        <v>11</v>
      </c>
      <c r="B23" s="12">
        <v>0</v>
      </c>
      <c r="C23" s="6">
        <f>IF(B$20=0,0,B23/B$20)</f>
        <v>0</v>
      </c>
      <c r="E23" s="27" t="s">
        <v>85</v>
      </c>
      <c r="F23" s="24" t="s">
        <v>40</v>
      </c>
      <c r="G23" s="12">
        <v>0</v>
      </c>
      <c r="H23" s="88">
        <f t="shared" si="0"/>
        <v>0</v>
      </c>
      <c r="I23" s="58"/>
    </row>
    <row r="24" spans="1:9" x14ac:dyDescent="0.4">
      <c r="A24" s="19" t="s">
        <v>182</v>
      </c>
      <c r="B24" s="12">
        <v>0</v>
      </c>
      <c r="C24" s="6">
        <f>IF(B$20=0,0,B24/B$20)</f>
        <v>0</v>
      </c>
      <c r="E24" s="27" t="s">
        <v>86</v>
      </c>
      <c r="F24" s="24" t="s">
        <v>41</v>
      </c>
      <c r="G24" s="12">
        <v>0</v>
      </c>
      <c r="H24" s="88">
        <f t="shared" si="0"/>
        <v>0</v>
      </c>
      <c r="I24" s="58"/>
    </row>
    <row r="25" spans="1:9" x14ac:dyDescent="0.4">
      <c r="A25" s="19" t="s">
        <v>180</v>
      </c>
      <c r="B25" s="12">
        <v>0</v>
      </c>
      <c r="C25" s="6">
        <f>IF(B$20=0,0,B25/B$20)</f>
        <v>0</v>
      </c>
      <c r="E25" s="27" t="s">
        <v>87</v>
      </c>
      <c r="F25" s="24" t="s">
        <v>42</v>
      </c>
      <c r="G25" s="12">
        <v>0</v>
      </c>
      <c r="H25" s="88">
        <f t="shared" si="0"/>
        <v>0</v>
      </c>
      <c r="I25" s="58"/>
    </row>
    <row r="26" spans="1:9" x14ac:dyDescent="0.4">
      <c r="A26" s="19" t="s">
        <v>181</v>
      </c>
      <c r="B26" s="12">
        <v>0</v>
      </c>
      <c r="C26" s="6">
        <f>IF(B$20=0,0,B26/B$20)</f>
        <v>0</v>
      </c>
      <c r="E26" s="27" t="s">
        <v>88</v>
      </c>
      <c r="F26" s="24" t="s">
        <v>43</v>
      </c>
      <c r="G26" s="12">
        <v>0</v>
      </c>
      <c r="H26" s="88">
        <f t="shared" si="0"/>
        <v>0</v>
      </c>
      <c r="I26" s="58"/>
    </row>
    <row r="27" spans="1:9" x14ac:dyDescent="0.4">
      <c r="A27" s="19" t="s">
        <v>5</v>
      </c>
      <c r="B27" s="16">
        <f>IF(B$20=0,0,C27/B$20)</f>
        <v>0</v>
      </c>
      <c r="C27" s="8">
        <v>0</v>
      </c>
      <c r="E27" s="27" t="s">
        <v>89</v>
      </c>
      <c r="F27" s="24" t="s">
        <v>44</v>
      </c>
      <c r="G27" s="12">
        <v>0</v>
      </c>
      <c r="H27" s="88">
        <f t="shared" si="0"/>
        <v>0</v>
      </c>
      <c r="I27" s="58"/>
    </row>
    <row r="28" spans="1:9" x14ac:dyDescent="0.4">
      <c r="A28" s="20" t="s">
        <v>164</v>
      </c>
      <c r="B28" s="95">
        <f>IF($B$20-B$19=0,0,C28/($B$20-B$19))</f>
        <v>0</v>
      </c>
      <c r="C28" s="96">
        <v>0</v>
      </c>
      <c r="E28" s="27" t="s">
        <v>90</v>
      </c>
      <c r="F28" s="24" t="s">
        <v>45</v>
      </c>
      <c r="G28" s="12">
        <v>0</v>
      </c>
      <c r="H28" s="88">
        <f t="shared" si="0"/>
        <v>0</v>
      </c>
      <c r="I28" s="58"/>
    </row>
    <row r="29" spans="1:9" x14ac:dyDescent="0.4">
      <c r="A29" s="20" t="s">
        <v>165</v>
      </c>
      <c r="B29" s="95">
        <f>IF(B$19=0,0,C29/B$19)</f>
        <v>0</v>
      </c>
      <c r="C29" s="96">
        <v>0</v>
      </c>
      <c r="E29" s="27" t="s">
        <v>91</v>
      </c>
      <c r="F29" s="24" t="s">
        <v>46</v>
      </c>
      <c r="G29" s="12">
        <v>0</v>
      </c>
      <c r="H29" s="88">
        <f t="shared" si="0"/>
        <v>0</v>
      </c>
      <c r="I29" s="58"/>
    </row>
    <row r="30" spans="1:9" x14ac:dyDescent="0.4">
      <c r="A30" s="20" t="s">
        <v>163</v>
      </c>
      <c r="B30" s="95">
        <f>IF(B$21=0,0,C30/B$21)</f>
        <v>0</v>
      </c>
      <c r="C30" s="96">
        <v>0</v>
      </c>
      <c r="E30" s="27" t="s">
        <v>92</v>
      </c>
      <c r="F30" s="24" t="s">
        <v>47</v>
      </c>
      <c r="G30" s="12">
        <v>0</v>
      </c>
      <c r="H30" s="88">
        <f t="shared" si="0"/>
        <v>0</v>
      </c>
      <c r="I30" s="58"/>
    </row>
    <row r="31" spans="1:9" x14ac:dyDescent="0.4">
      <c r="A31" s="19" t="s">
        <v>156</v>
      </c>
      <c r="B31" s="12">
        <v>0</v>
      </c>
      <c r="C31" s="90">
        <v>0</v>
      </c>
      <c r="E31" s="27" t="s">
        <v>93</v>
      </c>
      <c r="F31" s="24" t="s">
        <v>48</v>
      </c>
      <c r="G31" s="12">
        <v>0</v>
      </c>
      <c r="H31" s="88">
        <f t="shared" si="0"/>
        <v>0</v>
      </c>
      <c r="I31" s="58"/>
    </row>
    <row r="32" spans="1:9" x14ac:dyDescent="0.4">
      <c r="A32" s="19" t="s">
        <v>157</v>
      </c>
      <c r="B32" s="12">
        <v>0</v>
      </c>
      <c r="C32" s="90">
        <v>0</v>
      </c>
      <c r="E32" s="27" t="s">
        <v>94</v>
      </c>
      <c r="F32" s="24" t="s">
        <v>49</v>
      </c>
      <c r="G32" s="12">
        <v>0</v>
      </c>
      <c r="H32" s="88">
        <f t="shared" si="0"/>
        <v>0</v>
      </c>
      <c r="I32" s="58"/>
    </row>
    <row r="33" spans="1:9" x14ac:dyDescent="0.4">
      <c r="A33" s="54" t="s">
        <v>135</v>
      </c>
      <c r="B33" s="123">
        <v>0</v>
      </c>
      <c r="C33" s="124"/>
      <c r="E33" s="27" t="s">
        <v>95</v>
      </c>
      <c r="F33" s="24" t="s">
        <v>50</v>
      </c>
      <c r="G33" s="12">
        <v>0</v>
      </c>
      <c r="H33" s="88">
        <f t="shared" si="0"/>
        <v>0</v>
      </c>
      <c r="I33" s="58"/>
    </row>
    <row r="34" spans="1:9" x14ac:dyDescent="0.4">
      <c r="A34" s="22" t="s">
        <v>179</v>
      </c>
      <c r="B34" s="125">
        <v>-1000000</v>
      </c>
      <c r="C34" s="126"/>
      <c r="E34" s="27" t="s">
        <v>96</v>
      </c>
      <c r="F34" s="24" t="s">
        <v>51</v>
      </c>
      <c r="G34" s="12">
        <v>0</v>
      </c>
      <c r="H34" s="88">
        <f t="shared" ref="H34:H52" si="3">IF(B$20=0,0,G34/B$20)</f>
        <v>0</v>
      </c>
      <c r="I34" s="58"/>
    </row>
    <row r="35" spans="1:9" x14ac:dyDescent="0.4">
      <c r="A35" s="21" t="s">
        <v>136</v>
      </c>
      <c r="B35" s="29">
        <v>0</v>
      </c>
      <c r="C35" s="9">
        <f>IF(B$3=0,0,B35/B$3)</f>
        <v>0</v>
      </c>
      <c r="E35" s="27" t="s">
        <v>97</v>
      </c>
      <c r="F35" s="24" t="s">
        <v>52</v>
      </c>
      <c r="G35" s="12">
        <v>0</v>
      </c>
      <c r="H35" s="88">
        <f t="shared" si="3"/>
        <v>0</v>
      </c>
      <c r="I35" s="58"/>
    </row>
    <row r="36" spans="1:9" x14ac:dyDescent="0.4">
      <c r="E36" s="27" t="s">
        <v>98</v>
      </c>
      <c r="F36" s="24" t="s">
        <v>53</v>
      </c>
      <c r="G36" s="12">
        <v>0</v>
      </c>
      <c r="H36" s="88">
        <f t="shared" si="3"/>
        <v>0</v>
      </c>
      <c r="I36" s="58"/>
    </row>
    <row r="37" spans="1:9" x14ac:dyDescent="0.4">
      <c r="A37" s="54" t="s">
        <v>170</v>
      </c>
      <c r="B37" s="101">
        <v>0</v>
      </c>
      <c r="C37" s="98">
        <f t="shared" ref="C37:C49" si="4">IF(B$20=0,0,B37/B$20)</f>
        <v>0</v>
      </c>
      <c r="E37" s="27" t="s">
        <v>99</v>
      </c>
      <c r="F37" s="24" t="s">
        <v>54</v>
      </c>
      <c r="G37" s="12">
        <v>0</v>
      </c>
      <c r="H37" s="88">
        <f t="shared" si="3"/>
        <v>0</v>
      </c>
      <c r="I37" s="58"/>
    </row>
    <row r="38" spans="1:9" x14ac:dyDescent="0.4">
      <c r="A38" s="19" t="s">
        <v>166</v>
      </c>
      <c r="B38" s="12">
        <v>0</v>
      </c>
      <c r="C38" s="6">
        <f t="shared" si="4"/>
        <v>0</v>
      </c>
      <c r="E38" s="27" t="s">
        <v>100</v>
      </c>
      <c r="F38" s="24" t="s">
        <v>55</v>
      </c>
      <c r="G38" s="12">
        <v>0</v>
      </c>
      <c r="H38" s="88">
        <f t="shared" si="3"/>
        <v>0</v>
      </c>
      <c r="I38" s="58"/>
    </row>
    <row r="39" spans="1:9" x14ac:dyDescent="0.4">
      <c r="A39" s="19" t="s">
        <v>167</v>
      </c>
      <c r="B39" s="102">
        <v>0</v>
      </c>
      <c r="C39" s="6">
        <f t="shared" si="4"/>
        <v>0</v>
      </c>
      <c r="E39" s="27" t="s">
        <v>101</v>
      </c>
      <c r="F39" s="24" t="s">
        <v>56</v>
      </c>
      <c r="G39" s="12">
        <v>0</v>
      </c>
      <c r="H39" s="88">
        <f t="shared" si="3"/>
        <v>0</v>
      </c>
      <c r="I39" s="58"/>
    </row>
    <row r="40" spans="1:9" x14ac:dyDescent="0.4">
      <c r="A40" s="19" t="s">
        <v>168</v>
      </c>
      <c r="B40" s="102">
        <v>0</v>
      </c>
      <c r="C40" s="6">
        <f t="shared" si="4"/>
        <v>0</v>
      </c>
      <c r="E40" s="27" t="s">
        <v>102</v>
      </c>
      <c r="F40" s="24" t="s">
        <v>57</v>
      </c>
      <c r="G40" s="12">
        <v>0</v>
      </c>
      <c r="H40" s="88">
        <f t="shared" si="3"/>
        <v>0</v>
      </c>
      <c r="I40" s="58"/>
    </row>
    <row r="41" spans="1:9" x14ac:dyDescent="0.4">
      <c r="A41" s="19" t="s">
        <v>169</v>
      </c>
      <c r="B41" s="102">
        <v>0</v>
      </c>
      <c r="C41" s="6">
        <f t="shared" si="4"/>
        <v>0</v>
      </c>
      <c r="E41" s="27" t="s">
        <v>103</v>
      </c>
      <c r="F41" s="24" t="s">
        <v>58</v>
      </c>
      <c r="G41" s="12">
        <v>0</v>
      </c>
      <c r="H41" s="88">
        <f t="shared" si="3"/>
        <v>0</v>
      </c>
      <c r="I41" s="58"/>
    </row>
    <row r="42" spans="1:9" x14ac:dyDescent="0.4">
      <c r="A42" s="19" t="s">
        <v>171</v>
      </c>
      <c r="B42" s="102">
        <v>0</v>
      </c>
      <c r="C42" s="6">
        <f t="shared" si="4"/>
        <v>0</v>
      </c>
      <c r="E42" s="27" t="s">
        <v>104</v>
      </c>
      <c r="F42" s="24" t="s">
        <v>59</v>
      </c>
      <c r="G42" s="12">
        <v>0</v>
      </c>
      <c r="H42" s="88">
        <f t="shared" si="3"/>
        <v>0</v>
      </c>
      <c r="I42" s="58"/>
    </row>
    <row r="43" spans="1:9" x14ac:dyDescent="0.4">
      <c r="A43" s="19" t="s">
        <v>172</v>
      </c>
      <c r="B43" s="102">
        <v>0</v>
      </c>
      <c r="C43" s="6">
        <f t="shared" si="4"/>
        <v>0</v>
      </c>
      <c r="E43" s="27" t="s">
        <v>105</v>
      </c>
      <c r="F43" s="24" t="s">
        <v>112</v>
      </c>
      <c r="G43" s="12">
        <v>0</v>
      </c>
      <c r="H43" s="88">
        <f t="shared" si="3"/>
        <v>0</v>
      </c>
      <c r="I43" s="58"/>
    </row>
    <row r="44" spans="1:9" x14ac:dyDescent="0.4">
      <c r="A44" s="19" t="s">
        <v>173</v>
      </c>
      <c r="B44" s="102">
        <v>0</v>
      </c>
      <c r="C44" s="6">
        <f t="shared" si="4"/>
        <v>0</v>
      </c>
      <c r="E44" s="27" t="s">
        <v>106</v>
      </c>
      <c r="F44" s="24" t="s">
        <v>113</v>
      </c>
      <c r="G44" s="12">
        <v>0</v>
      </c>
      <c r="H44" s="88">
        <f t="shared" si="3"/>
        <v>0</v>
      </c>
      <c r="I44" s="58"/>
    </row>
    <row r="45" spans="1:9" x14ac:dyDescent="0.4">
      <c r="A45" s="19" t="s">
        <v>174</v>
      </c>
      <c r="B45" s="102">
        <v>0</v>
      </c>
      <c r="C45" s="6">
        <f t="shared" si="4"/>
        <v>0</v>
      </c>
      <c r="E45" s="27" t="s">
        <v>107</v>
      </c>
      <c r="F45" s="24" t="s">
        <v>114</v>
      </c>
      <c r="G45" s="12">
        <v>0</v>
      </c>
      <c r="H45" s="88">
        <f t="shared" si="3"/>
        <v>0</v>
      </c>
      <c r="I45" s="58"/>
    </row>
    <row r="46" spans="1:9" x14ac:dyDescent="0.4">
      <c r="A46" s="19" t="s">
        <v>175</v>
      </c>
      <c r="B46" s="102">
        <v>0</v>
      </c>
      <c r="C46" s="6">
        <f t="shared" si="4"/>
        <v>0</v>
      </c>
      <c r="E46" s="27" t="s">
        <v>108</v>
      </c>
      <c r="F46" s="24" t="s">
        <v>60</v>
      </c>
      <c r="G46" s="12">
        <v>0</v>
      </c>
      <c r="H46" s="88">
        <f t="shared" si="3"/>
        <v>0</v>
      </c>
      <c r="I46" s="58"/>
    </row>
    <row r="47" spans="1:9" x14ac:dyDescent="0.4">
      <c r="A47" s="19" t="s">
        <v>176</v>
      </c>
      <c r="B47" s="102">
        <v>0</v>
      </c>
      <c r="C47" s="6">
        <f t="shared" si="4"/>
        <v>0</v>
      </c>
      <c r="E47" s="27" t="s">
        <v>109</v>
      </c>
      <c r="F47" s="24" t="s">
        <v>61</v>
      </c>
      <c r="G47" s="12">
        <v>0</v>
      </c>
      <c r="H47" s="88">
        <f t="shared" si="3"/>
        <v>0</v>
      </c>
      <c r="I47" s="58"/>
    </row>
    <row r="48" spans="1:9" x14ac:dyDescent="0.4">
      <c r="A48" s="19" t="s">
        <v>177</v>
      </c>
      <c r="B48" s="102">
        <v>0</v>
      </c>
      <c r="C48" s="6">
        <f t="shared" si="4"/>
        <v>0</v>
      </c>
      <c r="E48" s="27" t="s">
        <v>110</v>
      </c>
      <c r="F48" s="24" t="s">
        <v>62</v>
      </c>
      <c r="G48" s="12">
        <v>0</v>
      </c>
      <c r="H48" s="88">
        <f t="shared" si="3"/>
        <v>0</v>
      </c>
      <c r="I48" s="58"/>
    </row>
    <row r="49" spans="1:9" x14ac:dyDescent="0.4">
      <c r="A49" s="21" t="s">
        <v>178</v>
      </c>
      <c r="B49" s="97">
        <v>0</v>
      </c>
      <c r="C49" s="9">
        <f t="shared" si="4"/>
        <v>0</v>
      </c>
      <c r="E49" s="27" t="s">
        <v>111</v>
      </c>
      <c r="F49" s="24" t="s">
        <v>63</v>
      </c>
      <c r="G49" s="12">
        <v>0</v>
      </c>
      <c r="H49" s="88">
        <f t="shared" si="3"/>
        <v>0</v>
      </c>
      <c r="I49" s="58"/>
    </row>
    <row r="50" spans="1:9" x14ac:dyDescent="0.4">
      <c r="E50" s="27" t="s">
        <v>154</v>
      </c>
      <c r="F50" s="24" t="s">
        <v>155</v>
      </c>
      <c r="G50" s="12">
        <v>0</v>
      </c>
      <c r="H50" s="88">
        <f t="shared" si="3"/>
        <v>0</v>
      </c>
      <c r="I50" s="58"/>
    </row>
    <row r="51" spans="1:9" x14ac:dyDescent="0.4">
      <c r="E51" s="91" t="s">
        <v>158</v>
      </c>
      <c r="F51" s="92" t="s">
        <v>159</v>
      </c>
      <c r="G51" s="13">
        <v>0</v>
      </c>
      <c r="H51" s="93">
        <f t="shared" si="3"/>
        <v>0</v>
      </c>
      <c r="I51" s="94"/>
    </row>
    <row r="52" spans="1:9" x14ac:dyDescent="0.4">
      <c r="E52" s="28" t="s">
        <v>160</v>
      </c>
      <c r="F52" s="25" t="s">
        <v>161</v>
      </c>
      <c r="G52" s="14">
        <v>0</v>
      </c>
      <c r="H52" s="89">
        <f t="shared" si="3"/>
        <v>0</v>
      </c>
      <c r="I52" s="59"/>
    </row>
  </sheetData>
  <mergeCells count="10">
    <mergeCell ref="B14:C14"/>
    <mergeCell ref="B33:C33"/>
    <mergeCell ref="B34:C34"/>
    <mergeCell ref="B1:C1"/>
    <mergeCell ref="B2:C2"/>
    <mergeCell ref="B3:C3"/>
    <mergeCell ref="B4:C4"/>
    <mergeCell ref="B5:C5"/>
    <mergeCell ref="B7:C7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1"/>
  <dimension ref="A1:AK3"/>
  <sheetViews>
    <sheetView showGridLines="0" tabSelected="1" zoomScale="150" zoomScaleNormal="150" workbookViewId="0"/>
  </sheetViews>
  <sheetFormatPr defaultColWidth="9" defaultRowHeight="18.75" x14ac:dyDescent="0.4"/>
  <cols>
    <col min="1" max="1" width="6" style="46" customWidth="1"/>
    <col min="2" max="2" width="10.625" style="49" customWidth="1"/>
    <col min="3" max="3" width="10.625" style="114" customWidth="1"/>
    <col min="4" max="4" width="10.625" style="47" customWidth="1"/>
    <col min="5" max="5" width="10.625" style="48" customWidth="1"/>
    <col min="6" max="6" width="10.625" style="49" customWidth="1"/>
    <col min="7" max="7" width="10.625" style="61" customWidth="1"/>
    <col min="8" max="8" width="10.625" style="49" customWidth="1"/>
    <col min="9" max="9" width="10.625" style="53" customWidth="1"/>
    <col min="10" max="10" width="10.625" style="49" customWidth="1"/>
    <col min="11" max="11" width="10.625" style="50" customWidth="1"/>
    <col min="12" max="12" width="10.625" style="49" customWidth="1"/>
    <col min="13" max="13" width="10.625" style="51" customWidth="1"/>
    <col min="14" max="14" width="10.625" style="49" customWidth="1"/>
    <col min="15" max="15" width="10.625" style="51" customWidth="1"/>
    <col min="16" max="16" width="10.625" style="49" customWidth="1"/>
    <col min="17" max="17" width="10.625" style="52" customWidth="1"/>
    <col min="18" max="18" width="10.625" style="49" customWidth="1"/>
    <col min="19" max="19" width="10.625" style="52" customWidth="1"/>
    <col min="20" max="20" width="10.625" style="49" customWidth="1"/>
    <col min="21" max="21" width="10.625" style="53" customWidth="1"/>
    <col min="22" max="22" width="10.625" style="49" customWidth="1"/>
    <col min="23" max="23" width="10.625" style="53" customWidth="1"/>
    <col min="24" max="24" width="10.625" style="49" customWidth="1"/>
    <col min="25" max="25" width="10.625" style="51" customWidth="1"/>
    <col min="26" max="26" width="10.625" style="49" customWidth="1"/>
    <col min="27" max="27" width="10.625" style="52" customWidth="1"/>
    <col min="28" max="28" width="10.625" style="49" customWidth="1"/>
    <col min="29" max="29" width="10.625" style="52" customWidth="1"/>
    <col min="30" max="30" width="10.625" style="49" customWidth="1"/>
    <col min="31" max="31" width="10.625" style="52" customWidth="1"/>
    <col min="32" max="32" width="10.625" style="49" customWidth="1"/>
    <col min="33" max="33" width="10.625" style="52" customWidth="1"/>
    <col min="34" max="34" width="10.625" style="49" customWidth="1"/>
    <col min="35" max="35" width="10.625" style="52" customWidth="1"/>
    <col min="36" max="36" width="10.625" style="49" customWidth="1"/>
    <col min="37" max="37" width="10.625" style="56" customWidth="1"/>
    <col min="38" max="16384" width="9" style="37"/>
  </cols>
  <sheetData>
    <row r="1" spans="1:37" x14ac:dyDescent="0.4">
      <c r="A1" s="36"/>
      <c r="B1" s="141" t="s">
        <v>9</v>
      </c>
      <c r="C1" s="142"/>
      <c r="D1" s="139" t="s">
        <v>6</v>
      </c>
      <c r="E1" s="140"/>
      <c r="F1" s="139" t="s">
        <v>7</v>
      </c>
      <c r="G1" s="140"/>
      <c r="H1" s="141" t="s">
        <v>192</v>
      </c>
      <c r="I1" s="142"/>
      <c r="J1" s="139" t="s">
        <v>15</v>
      </c>
      <c r="K1" s="140"/>
      <c r="L1" s="139" t="s">
        <v>14</v>
      </c>
      <c r="M1" s="140"/>
      <c r="N1" s="139" t="s">
        <v>148</v>
      </c>
      <c r="O1" s="140"/>
      <c r="P1" s="139" t="s">
        <v>142</v>
      </c>
      <c r="Q1" s="140"/>
      <c r="R1" s="139" t="s">
        <v>143</v>
      </c>
      <c r="S1" s="140"/>
      <c r="T1" s="139" t="s">
        <v>5</v>
      </c>
      <c r="U1" s="140"/>
      <c r="V1" s="139" t="s">
        <v>16</v>
      </c>
      <c r="W1" s="140"/>
      <c r="X1" s="139" t="s">
        <v>17</v>
      </c>
      <c r="Y1" s="140"/>
      <c r="Z1" s="139" t="s">
        <v>122</v>
      </c>
      <c r="AA1" s="140"/>
      <c r="AB1" s="139" t="s">
        <v>119</v>
      </c>
      <c r="AC1" s="140"/>
      <c r="AD1" s="139" t="s">
        <v>125</v>
      </c>
      <c r="AE1" s="140"/>
      <c r="AF1" s="139" t="s">
        <v>144</v>
      </c>
      <c r="AG1" s="140"/>
      <c r="AH1" s="139" t="s">
        <v>137</v>
      </c>
      <c r="AI1" s="140"/>
      <c r="AJ1" s="139" t="s">
        <v>179</v>
      </c>
      <c r="AK1" s="140"/>
    </row>
    <row r="2" spans="1:37" x14ac:dyDescent="0.4">
      <c r="A2" s="36" t="s">
        <v>204</v>
      </c>
      <c r="B2" s="137" t="s">
        <v>212</v>
      </c>
      <c r="C2" s="138"/>
      <c r="D2" s="137" t="s">
        <v>212</v>
      </c>
      <c r="E2" s="138"/>
      <c r="F2" s="137" t="s">
        <v>212</v>
      </c>
      <c r="G2" s="138"/>
      <c r="H2" s="143"/>
      <c r="I2" s="144"/>
      <c r="J2" s="137" t="s">
        <v>212</v>
      </c>
      <c r="K2" s="138"/>
      <c r="L2" s="137" t="s">
        <v>212</v>
      </c>
      <c r="M2" s="138"/>
      <c r="N2" s="137" t="s">
        <v>212</v>
      </c>
      <c r="O2" s="138"/>
      <c r="P2" s="137" t="s">
        <v>212</v>
      </c>
      <c r="Q2" s="138"/>
      <c r="R2" s="137" t="s">
        <v>212</v>
      </c>
      <c r="S2" s="138"/>
      <c r="T2" s="137" t="s">
        <v>212</v>
      </c>
      <c r="U2" s="138"/>
      <c r="V2" s="137" t="s">
        <v>212</v>
      </c>
      <c r="W2" s="138"/>
      <c r="X2" s="137" t="s">
        <v>212</v>
      </c>
      <c r="Y2" s="138"/>
      <c r="Z2" s="137" t="s">
        <v>212</v>
      </c>
      <c r="AA2" s="138"/>
      <c r="AB2" s="137" t="s">
        <v>212</v>
      </c>
      <c r="AC2" s="138"/>
      <c r="AD2" s="137" t="s">
        <v>212</v>
      </c>
      <c r="AE2" s="138"/>
      <c r="AF2" s="137" t="s">
        <v>212</v>
      </c>
      <c r="AG2" s="138"/>
      <c r="AH2" s="137" t="s">
        <v>212</v>
      </c>
      <c r="AI2" s="138"/>
      <c r="AJ2" s="137" t="s">
        <v>212</v>
      </c>
      <c r="AK2" s="138"/>
    </row>
    <row r="3" spans="1:37" x14ac:dyDescent="0.4">
      <c r="A3" s="38"/>
      <c r="B3" s="41"/>
      <c r="C3" s="113"/>
      <c r="D3" s="39"/>
      <c r="E3" s="40"/>
      <c r="F3" s="41"/>
      <c r="G3" s="60"/>
      <c r="H3" s="41"/>
      <c r="I3" s="45"/>
      <c r="J3" s="41"/>
      <c r="K3" s="42"/>
      <c r="L3" s="41"/>
      <c r="M3" s="43"/>
      <c r="N3" s="41"/>
      <c r="O3" s="43"/>
      <c r="P3" s="41"/>
      <c r="Q3" s="44"/>
      <c r="R3" s="41"/>
      <c r="S3" s="44"/>
      <c r="T3" s="41"/>
      <c r="U3" s="45"/>
      <c r="V3" s="41"/>
      <c r="W3" s="45"/>
      <c r="X3" s="41"/>
      <c r="Y3" s="43"/>
      <c r="Z3" s="41"/>
      <c r="AA3" s="44"/>
      <c r="AB3" s="41"/>
      <c r="AC3" s="44"/>
      <c r="AD3" s="41"/>
      <c r="AE3" s="44"/>
      <c r="AF3" s="41"/>
      <c r="AG3" s="44"/>
      <c r="AH3" s="41"/>
      <c r="AI3" s="44"/>
      <c r="AJ3" s="41"/>
      <c r="AK3" s="55"/>
    </row>
  </sheetData>
  <sortState ref="AJ3:AK3">
    <sortCondition descending="1" ref="AK1"/>
  </sortState>
  <mergeCells count="36">
    <mergeCell ref="Z1:AA1"/>
    <mergeCell ref="AB1:AC1"/>
    <mergeCell ref="AD1:AE1"/>
    <mergeCell ref="AF1:AG1"/>
    <mergeCell ref="P2:Q2"/>
    <mergeCell ref="N2:O2"/>
    <mergeCell ref="H2:I2"/>
    <mergeCell ref="P1:Q1"/>
    <mergeCell ref="N1:O1"/>
    <mergeCell ref="H1:I1"/>
    <mergeCell ref="F1:G1"/>
    <mergeCell ref="J1:K1"/>
    <mergeCell ref="L1:M1"/>
    <mergeCell ref="B1:C1"/>
    <mergeCell ref="D2:E2"/>
    <mergeCell ref="F2:G2"/>
    <mergeCell ref="J2:K2"/>
    <mergeCell ref="L2:M2"/>
    <mergeCell ref="B2:C2"/>
    <mergeCell ref="D1:E1"/>
    <mergeCell ref="AH2:AI2"/>
    <mergeCell ref="R1:S1"/>
    <mergeCell ref="AJ2:AK2"/>
    <mergeCell ref="Z2:AA2"/>
    <mergeCell ref="AB2:AC2"/>
    <mergeCell ref="AD2:AE2"/>
    <mergeCell ref="AF2:AG2"/>
    <mergeCell ref="R2:S2"/>
    <mergeCell ref="T2:U2"/>
    <mergeCell ref="V2:W2"/>
    <mergeCell ref="X2:Y2"/>
    <mergeCell ref="AJ1:AK1"/>
    <mergeCell ref="T1:U1"/>
    <mergeCell ref="V1:W1"/>
    <mergeCell ref="X1:Y1"/>
    <mergeCell ref="AH1:AI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28575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5</vt:i4>
      </vt:variant>
      <vt:variant>
        <vt:lpstr>グラフ</vt:lpstr>
      </vt:variant>
      <vt:variant>
        <vt:i4>15</vt:i4>
      </vt:variant>
      <vt:variant>
        <vt:lpstr>名前付き一覧</vt:lpstr>
      </vt:variant>
      <vt:variant>
        <vt:i4>63</vt:i4>
      </vt:variant>
    </vt:vector>
  </HeadingPairs>
  <TitlesOfParts>
    <vt:vector size="83" baseType="lpstr">
      <vt:lpstr>Cache</vt:lpstr>
      <vt:lpstr>Template2</vt:lpstr>
      <vt:lpstr>Players</vt:lpstr>
      <vt:lpstr>Template1</vt:lpstr>
      <vt:lpstr>ランキング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リーチ率</vt:lpstr>
      <vt:lpstr>副露率</vt:lpstr>
      <vt:lpstr>リーチ成功率</vt:lpstr>
      <vt:lpstr>副露成功率</vt:lpstr>
      <vt:lpstr>ツモ率</vt:lpstr>
      <vt:lpstr>Template1!アガリ数</vt:lpstr>
      <vt:lpstr>Template1!アガリ率</vt:lpstr>
      <vt:lpstr>Template1!ダマアガリ数</vt:lpstr>
      <vt:lpstr>Template1!ダマアガリ率</vt:lpstr>
      <vt:lpstr>Template1!チョンボ数</vt:lpstr>
      <vt:lpstr>Template1!チョンボ率</vt:lpstr>
      <vt:lpstr>Template1!ツモ数</vt:lpstr>
      <vt:lpstr>Template1!ツモ率</vt:lpstr>
      <vt:lpstr>Template1!トップ数</vt:lpstr>
      <vt:lpstr>Template1!トップ率</vt:lpstr>
      <vt:lpstr>バランス</vt:lpstr>
      <vt:lpstr>Template1!ふっとび数</vt:lpstr>
      <vt:lpstr>Template1!ふっとび率</vt:lpstr>
      <vt:lpstr>Template1!ラス数</vt:lpstr>
      <vt:lpstr>Template1!ラス率</vt:lpstr>
      <vt:lpstr>Template1!リーチアガリ数</vt:lpstr>
      <vt:lpstr>Template1!リーチアガリ率</vt:lpstr>
      <vt:lpstr>Template1!リーチ数</vt:lpstr>
      <vt:lpstr>Template1!リーチ成功数</vt:lpstr>
      <vt:lpstr>Template1!リーチ成功率</vt:lpstr>
      <vt:lpstr>Template1!リーチ率</vt:lpstr>
      <vt:lpstr>レーティング</vt:lpstr>
      <vt:lpstr>Template1!ロン数</vt:lpstr>
      <vt:lpstr>Template1!ロン率</vt:lpstr>
      <vt:lpstr>一位スコア</vt:lpstr>
      <vt:lpstr>一位通算スコア</vt:lpstr>
      <vt:lpstr>一翻数</vt:lpstr>
      <vt:lpstr>一翻率</vt:lpstr>
      <vt:lpstr>Template1!現行連続アガリ</vt:lpstr>
      <vt:lpstr>Template1!現行連続無放銃</vt:lpstr>
      <vt:lpstr>Template1!最高点</vt:lpstr>
      <vt:lpstr>Template1!最大ドラ数</vt:lpstr>
      <vt:lpstr>Template1!最大点数</vt:lpstr>
      <vt:lpstr>三位スコア</vt:lpstr>
      <vt:lpstr>三位通算スコア</vt:lpstr>
      <vt:lpstr>Template1!総局数</vt:lpstr>
      <vt:lpstr>Template1!対戦数</vt:lpstr>
      <vt:lpstr>Template1!通算アガリ点</vt:lpstr>
      <vt:lpstr>Template1!通算スコア</vt:lpstr>
      <vt:lpstr>Template1!通算副露アガリ点</vt:lpstr>
      <vt:lpstr>Template1!通算放銃点</vt:lpstr>
      <vt:lpstr>Template1!通算門前アガリ点</vt:lpstr>
      <vt:lpstr>二位スコア</vt:lpstr>
      <vt:lpstr>Template1!二位数</vt:lpstr>
      <vt:lpstr>二位通算スコア</vt:lpstr>
      <vt:lpstr>Template1!二位率</vt:lpstr>
      <vt:lpstr>Template1!副露アガリ数</vt:lpstr>
      <vt:lpstr>Template1!副露アガリ点</vt:lpstr>
      <vt:lpstr>Template1!副露アガリ率</vt:lpstr>
      <vt:lpstr>Template1!副露数</vt:lpstr>
      <vt:lpstr>Template1!副露成功数</vt:lpstr>
      <vt:lpstr>Template1!副露成功率</vt:lpstr>
      <vt:lpstr>Template1!副露率</vt:lpstr>
      <vt:lpstr>Template1!平均アガリ点</vt:lpstr>
      <vt:lpstr>Template1!平均スコア</vt:lpstr>
      <vt:lpstr>Template1!平均順位</vt:lpstr>
      <vt:lpstr>Template1!平均放銃点</vt:lpstr>
      <vt:lpstr>Template1!放銃数</vt:lpstr>
      <vt:lpstr>Template1!放銃率</vt:lpstr>
      <vt:lpstr>Template1!名前</vt:lpstr>
      <vt:lpstr>Template1!門前アガリ点</vt:lpstr>
      <vt:lpstr>Template1!連続アガリ</vt:lpstr>
      <vt:lpstr>Template1!連続無放銃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2023-01-04T13:36:39Z</dcterms:modified>
</cp:coreProperties>
</file>