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対局\"/>
    </mc:Choice>
  </mc:AlternateContent>
  <xr:revisionPtr revIDLastSave="0" documentId="13_ncr:1_{568D31D0-B77C-4429-9AA3-CCDFD32AE54B}" xr6:coauthVersionLast="47" xr6:coauthVersionMax="47" xr10:uidLastSave="{00000000-0000-0000-0000-000000000000}"/>
  <bookViews>
    <workbookView xWindow="-120" yWindow="-120" windowWidth="29040" windowHeight="16440" activeTab="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5" l="1"/>
  <c r="C12" i="25" s="1"/>
  <c r="E11" i="25"/>
  <c r="E10" i="25"/>
  <c r="D10" i="25" s="1"/>
  <c r="E9" i="25"/>
  <c r="E8" i="25"/>
  <c r="E7" i="25"/>
  <c r="E6" i="25"/>
  <c r="D6" i="25" s="1"/>
  <c r="E5" i="25"/>
  <c r="C5" i="25" s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1" i="25"/>
  <c r="C11" i="25"/>
  <c r="C10" i="25"/>
  <c r="D9" i="25"/>
  <c r="C9" i="25"/>
  <c r="D8" i="25"/>
  <c r="C8" i="25"/>
  <c r="J7" i="25"/>
  <c r="J8" i="25" s="1"/>
  <c r="D7" i="25"/>
  <c r="J6" i="25"/>
  <c r="T5" i="25"/>
  <c r="J5" i="25"/>
  <c r="D5" i="25"/>
  <c r="T4" i="25"/>
  <c r="O4" i="25"/>
  <c r="J4" i="25"/>
  <c r="W3" i="25"/>
  <c r="V3" i="25"/>
  <c r="U3" i="25"/>
  <c r="W2" i="25"/>
  <c r="V2" i="25"/>
  <c r="U2" i="25"/>
  <c r="BO1" i="25"/>
  <c r="AT1" i="25"/>
  <c r="Y1" i="25"/>
  <c r="E11" i="24"/>
  <c r="C11" i="24" s="1"/>
  <c r="E10" i="24"/>
  <c r="E9" i="24"/>
  <c r="C9" i="24" s="1"/>
  <c r="E8" i="24"/>
  <c r="D8" i="24" s="1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C12" i="24"/>
  <c r="D11" i="24"/>
  <c r="D10" i="24"/>
  <c r="T8" i="24"/>
  <c r="T9" i="24" s="1"/>
  <c r="T7" i="24"/>
  <c r="O7" i="24"/>
  <c r="O8" i="24" s="1"/>
  <c r="D7" i="24"/>
  <c r="T6" i="24"/>
  <c r="O6" i="24"/>
  <c r="J6" i="24"/>
  <c r="J7" i="24" s="1"/>
  <c r="T5" i="24"/>
  <c r="O5" i="24"/>
  <c r="J5" i="24"/>
  <c r="D5" i="24"/>
  <c r="T4" i="24"/>
  <c r="O4" i="24"/>
  <c r="J4" i="24"/>
  <c r="W3" i="24"/>
  <c r="V3" i="24"/>
  <c r="U3" i="24"/>
  <c r="W2" i="24"/>
  <c r="V2" i="24"/>
  <c r="U2" i="24"/>
  <c r="BO1" i="24"/>
  <c r="AT1" i="24"/>
  <c r="Y1" i="24"/>
  <c r="E12" i="23"/>
  <c r="E11" i="23"/>
  <c r="A11" i="23" s="1"/>
  <c r="E10" i="23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 s="1"/>
  <c r="T12" i="23"/>
  <c r="O12" i="23"/>
  <c r="J12" i="23"/>
  <c r="D12" i="23"/>
  <c r="C12" i="23"/>
  <c r="B12" i="23"/>
  <c r="A12" i="23"/>
  <c r="T11" i="23"/>
  <c r="O11" i="23"/>
  <c r="J11" i="23"/>
  <c r="U11" i="23" s="1"/>
  <c r="D11" i="23"/>
  <c r="C11" i="23"/>
  <c r="B11" i="23"/>
  <c r="D10" i="23"/>
  <c r="C10" i="23"/>
  <c r="D9" i="23"/>
  <c r="C9" i="23"/>
  <c r="J8" i="23"/>
  <c r="J9" i="23" s="1"/>
  <c r="D8" i="23"/>
  <c r="J7" i="23"/>
  <c r="D7" i="23"/>
  <c r="J6" i="23"/>
  <c r="C6" i="23"/>
  <c r="D6" i="23"/>
  <c r="T5" i="23"/>
  <c r="T6" i="23" s="1"/>
  <c r="J5" i="23"/>
  <c r="B5" i="23"/>
  <c r="D5" i="23"/>
  <c r="C5" i="23"/>
  <c r="T4" i="23"/>
  <c r="O4" i="23"/>
  <c r="O5" i="23" s="1"/>
  <c r="J4" i="23"/>
  <c r="U4" i="23" s="1"/>
  <c r="W3" i="23"/>
  <c r="V3" i="23"/>
  <c r="U3" i="23"/>
  <c r="W2" i="23"/>
  <c r="V2" i="23"/>
  <c r="U2" i="23"/>
  <c r="BO1" i="23"/>
  <c r="AT1" i="23"/>
  <c r="Y1" i="23"/>
  <c r="C11" i="22"/>
  <c r="E10" i="22"/>
  <c r="E9" i="22"/>
  <c r="E8" i="22"/>
  <c r="E7" i="22"/>
  <c r="D7" i="22" s="1"/>
  <c r="E6" i="22"/>
  <c r="C6" i="22" s="1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D17" i="22"/>
  <c r="C16" i="22"/>
  <c r="D16" i="22"/>
  <c r="D15" i="22"/>
  <c r="C15" i="22"/>
  <c r="D14" i="22"/>
  <c r="C14" i="22"/>
  <c r="D13" i="22"/>
  <c r="D12" i="22"/>
  <c r="D11" i="22"/>
  <c r="D10" i="22"/>
  <c r="C10" i="22"/>
  <c r="D9" i="22"/>
  <c r="C9" i="22"/>
  <c r="T8" i="22"/>
  <c r="D8" i="22"/>
  <c r="T7" i="22"/>
  <c r="O7" i="22"/>
  <c r="T6" i="22"/>
  <c r="O6" i="22"/>
  <c r="J6" i="22"/>
  <c r="U6" i="22" s="1"/>
  <c r="T5" i="22"/>
  <c r="O5" i="22"/>
  <c r="J5" i="22"/>
  <c r="U5" i="22" s="1"/>
  <c r="D5" i="22"/>
  <c r="T4" i="22"/>
  <c r="O4" i="22"/>
  <c r="J4" i="22"/>
  <c r="W3" i="22"/>
  <c r="V3" i="22"/>
  <c r="U3" i="22"/>
  <c r="W2" i="22"/>
  <c r="V2" i="22"/>
  <c r="U2" i="22"/>
  <c r="BO1" i="22"/>
  <c r="AT1" i="22"/>
  <c r="Y1" i="22"/>
  <c r="D18" i="21"/>
  <c r="E17" i="21"/>
  <c r="D17" i="21" s="1"/>
  <c r="E16" i="21"/>
  <c r="C16" i="21" s="1"/>
  <c r="E15" i="21"/>
  <c r="D15" i="21" s="1"/>
  <c r="E14" i="21"/>
  <c r="D14" i="21" s="1"/>
  <c r="E13" i="21"/>
  <c r="E12" i="21"/>
  <c r="C12" i="21" s="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T17" i="21"/>
  <c r="O17" i="21"/>
  <c r="J17" i="21"/>
  <c r="U17" i="21" s="1"/>
  <c r="C17" i="21"/>
  <c r="B17" i="21"/>
  <c r="A17" i="21"/>
  <c r="T16" i="21"/>
  <c r="O16" i="21"/>
  <c r="J16" i="21"/>
  <c r="T15" i="21"/>
  <c r="O15" i="21"/>
  <c r="J15" i="21"/>
  <c r="U15" i="21" s="1"/>
  <c r="B15" i="21"/>
  <c r="A15" i="21" s="1"/>
  <c r="T14" i="21"/>
  <c r="O14" i="21"/>
  <c r="J14" i="21"/>
  <c r="T13" i="21"/>
  <c r="O13" i="21"/>
  <c r="J13" i="21"/>
  <c r="U13" i="21" s="1"/>
  <c r="D13" i="21"/>
  <c r="C13" i="21"/>
  <c r="B13" i="21"/>
  <c r="A13" i="21"/>
  <c r="T12" i="21"/>
  <c r="O12" i="21"/>
  <c r="J12" i="21"/>
  <c r="U12" i="21" s="1"/>
  <c r="D10" i="21"/>
  <c r="C9" i="21"/>
  <c r="D9" i="21"/>
  <c r="B8" i="21"/>
  <c r="D8" i="21"/>
  <c r="C8" i="21"/>
  <c r="T7" i="21"/>
  <c r="D7" i="21"/>
  <c r="C7" i="21"/>
  <c r="B7" i="21"/>
  <c r="T6" i="21"/>
  <c r="O6" i="21"/>
  <c r="D6" i="21"/>
  <c r="C6" i="21"/>
  <c r="B6" i="21"/>
  <c r="A7" i="21" s="1"/>
  <c r="T5" i="21"/>
  <c r="O5" i="21"/>
  <c r="V5" i="21" s="1"/>
  <c r="J5" i="21"/>
  <c r="D5" i="21"/>
  <c r="C5" i="2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E11" i="20"/>
  <c r="E10" i="20"/>
  <c r="D10" i="20" s="1"/>
  <c r="E9" i="20"/>
  <c r="E8" i="20"/>
  <c r="E7" i="20"/>
  <c r="E6" i="20"/>
  <c r="E5" i="20"/>
  <c r="D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O11" i="20"/>
  <c r="J11" i="20"/>
  <c r="U11" i="20" s="1"/>
  <c r="D11" i="20"/>
  <c r="C11" i="20"/>
  <c r="B11" i="20"/>
  <c r="A11" i="20" s="1"/>
  <c r="T10" i="20"/>
  <c r="T9" i="20"/>
  <c r="O9" i="20"/>
  <c r="O10" i="20" s="1"/>
  <c r="C9" i="20"/>
  <c r="D9" i="20"/>
  <c r="T8" i="20"/>
  <c r="W8" i="20" s="1"/>
  <c r="O8" i="20"/>
  <c r="J8" i="20"/>
  <c r="J9" i="20" s="1"/>
  <c r="T7" i="20"/>
  <c r="O7" i="20"/>
  <c r="J7" i="20"/>
  <c r="U7" i="20" s="1"/>
  <c r="D7" i="20"/>
  <c r="T6" i="20"/>
  <c r="O6" i="20"/>
  <c r="J6" i="20"/>
  <c r="C6" i="20"/>
  <c r="D6" i="20"/>
  <c r="T5" i="20"/>
  <c r="O5" i="20"/>
  <c r="J5" i="20"/>
  <c r="U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B12" i="25" l="1"/>
  <c r="A12" i="25" s="1"/>
  <c r="D12" i="25"/>
  <c r="W4" i="25"/>
  <c r="U4" i="25"/>
  <c r="J9" i="25"/>
  <c r="O5" i="25"/>
  <c r="T6" i="25"/>
  <c r="V4" i="25"/>
  <c r="B7" i="25"/>
  <c r="B6" i="25"/>
  <c r="B5" i="25"/>
  <c r="A5" i="25" s="1"/>
  <c r="C6" i="25"/>
  <c r="C7" i="25" s="1"/>
  <c r="D12" i="24"/>
  <c r="D9" i="24"/>
  <c r="C8" i="24"/>
  <c r="W7" i="24"/>
  <c r="V6" i="24"/>
  <c r="W6" i="24"/>
  <c r="D6" i="24"/>
  <c r="V5" i="24"/>
  <c r="W5" i="24"/>
  <c r="U5" i="24"/>
  <c r="V4" i="24"/>
  <c r="U4" i="24"/>
  <c r="W4" i="24"/>
  <c r="J8" i="24"/>
  <c r="U7" i="24"/>
  <c r="B6" i="24"/>
  <c r="B7" i="24" s="1"/>
  <c r="B8" i="24" s="1"/>
  <c r="T10" i="24"/>
  <c r="O9" i="24"/>
  <c r="C10" i="24"/>
  <c r="U6" i="24"/>
  <c r="V7" i="24"/>
  <c r="A5" i="24"/>
  <c r="C7" i="24"/>
  <c r="B5" i="24"/>
  <c r="C5" i="24"/>
  <c r="C6" i="24" s="1"/>
  <c r="U12" i="23"/>
  <c r="V12" i="23"/>
  <c r="W12" i="23"/>
  <c r="W11" i="23"/>
  <c r="V11" i="23"/>
  <c r="U5" i="23"/>
  <c r="W4" i="23"/>
  <c r="V4" i="23"/>
  <c r="V5" i="23"/>
  <c r="O6" i="23"/>
  <c r="W6" i="23" s="1"/>
  <c r="W5" i="23"/>
  <c r="J10" i="23"/>
  <c r="A5" i="23"/>
  <c r="T7" i="23"/>
  <c r="C7" i="23"/>
  <c r="B7" i="23"/>
  <c r="C8" i="23"/>
  <c r="B6" i="23"/>
  <c r="A6" i="23" s="1"/>
  <c r="C7" i="22"/>
  <c r="C8" i="22" s="1"/>
  <c r="V6" i="22"/>
  <c r="D6" i="22"/>
  <c r="W4" i="22"/>
  <c r="U4" i="22"/>
  <c r="V5" i="22"/>
  <c r="W5" i="22"/>
  <c r="B5" i="22"/>
  <c r="B6" i="22" s="1"/>
  <c r="V4" i="22"/>
  <c r="C17" i="22"/>
  <c r="W6" i="22"/>
  <c r="C5" i="22"/>
  <c r="J7" i="22"/>
  <c r="O8" i="22"/>
  <c r="T9" i="22"/>
  <c r="C12" i="22"/>
  <c r="C13" i="22" s="1"/>
  <c r="B18" i="21"/>
  <c r="A18" i="21" s="1"/>
  <c r="C18" i="21"/>
  <c r="W17" i="21"/>
  <c r="V17" i="21"/>
  <c r="V16" i="21"/>
  <c r="U16" i="21"/>
  <c r="W16" i="21"/>
  <c r="B16" i="21"/>
  <c r="A16" i="21" s="1"/>
  <c r="D16" i="21"/>
  <c r="V15" i="21"/>
  <c r="W15" i="21"/>
  <c r="C15" i="21"/>
  <c r="V14" i="21"/>
  <c r="W14" i="21"/>
  <c r="U14" i="21"/>
  <c r="B14" i="21"/>
  <c r="C14" i="21"/>
  <c r="A14" i="21"/>
  <c r="V13" i="21"/>
  <c r="W13" i="21"/>
  <c r="V12" i="21"/>
  <c r="W12" i="21"/>
  <c r="D12" i="21"/>
  <c r="B12" i="21"/>
  <c r="A12" i="21" s="1"/>
  <c r="A6" i="21"/>
  <c r="W5" i="21"/>
  <c r="U5" i="21"/>
  <c r="V4" i="21"/>
  <c r="W4" i="21"/>
  <c r="D11" i="21"/>
  <c r="J6" i="21"/>
  <c r="O7" i="21"/>
  <c r="T8" i="21"/>
  <c r="A8" i="21"/>
  <c r="B9" i="21"/>
  <c r="C10" i="21"/>
  <c r="C11" i="21" s="1"/>
  <c r="V11" i="20"/>
  <c r="W11" i="20"/>
  <c r="W9" i="20"/>
  <c r="V8" i="20"/>
  <c r="D8" i="20"/>
  <c r="V7" i="20"/>
  <c r="W7" i="20"/>
  <c r="W6" i="20"/>
  <c r="V6" i="20"/>
  <c r="U6" i="20"/>
  <c r="W5" i="20"/>
  <c r="V5" i="20"/>
  <c r="U4" i="20"/>
  <c r="C5" i="20"/>
  <c r="B5" i="20"/>
  <c r="A5" i="20" s="1"/>
  <c r="V4" i="20"/>
  <c r="W4" i="20"/>
  <c r="J10" i="20"/>
  <c r="U10" i="20" s="1"/>
  <c r="U9" i="20"/>
  <c r="V9" i="20"/>
  <c r="C10" i="20"/>
  <c r="U8" i="20"/>
  <c r="B6" i="20"/>
  <c r="B7" i="20" s="1"/>
  <c r="C7" i="20"/>
  <c r="C8" i="20" s="1"/>
  <c r="W3" i="19"/>
  <c r="V3" i="19"/>
  <c r="U3" i="19"/>
  <c r="A6" i="25" l="1"/>
  <c r="U5" i="25"/>
  <c r="V5" i="25"/>
  <c r="O6" i="25"/>
  <c r="J10" i="25"/>
  <c r="B8" i="25"/>
  <c r="W6" i="25"/>
  <c r="T7" i="25"/>
  <c r="W5" i="25"/>
  <c r="A7" i="25"/>
  <c r="A8" i="25" s="1"/>
  <c r="B9" i="24"/>
  <c r="J9" i="24"/>
  <c r="V9" i="24" s="1"/>
  <c r="U8" i="24"/>
  <c r="V8" i="24"/>
  <c r="O10" i="24"/>
  <c r="A6" i="24"/>
  <c r="A7" i="24"/>
  <c r="A8" i="24" s="1"/>
  <c r="W8" i="24"/>
  <c r="T11" i="24"/>
  <c r="T8" i="23"/>
  <c r="B8" i="23"/>
  <c r="V6" i="23"/>
  <c r="O7" i="23"/>
  <c r="W7" i="23" s="1"/>
  <c r="U6" i="23"/>
  <c r="A7" i="23"/>
  <c r="B7" i="22"/>
  <c r="U7" i="22"/>
  <c r="J8" i="22"/>
  <c r="V8" i="22" s="1"/>
  <c r="T10" i="22"/>
  <c r="W7" i="22"/>
  <c r="A5" i="22"/>
  <c r="A6" i="22" s="1"/>
  <c r="O9" i="22"/>
  <c r="V7" i="22"/>
  <c r="O8" i="21"/>
  <c r="B10" i="21"/>
  <c r="A9" i="21"/>
  <c r="W6" i="21"/>
  <c r="U6" i="21"/>
  <c r="J7" i="21"/>
  <c r="V7" i="21" s="1"/>
  <c r="V6" i="21"/>
  <c r="T9" i="21"/>
  <c r="V10" i="20"/>
  <c r="W10" i="20"/>
  <c r="A6" i="20"/>
  <c r="B8" i="20"/>
  <c r="A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V8" i="19" s="1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T8" i="25" l="1"/>
  <c r="B9" i="25"/>
  <c r="J11" i="25"/>
  <c r="V6" i="25"/>
  <c r="O7" i="25"/>
  <c r="U6" i="25"/>
  <c r="T12" i="24"/>
  <c r="O11" i="24"/>
  <c r="J10" i="24"/>
  <c r="U9" i="24"/>
  <c r="W9" i="24"/>
  <c r="B10" i="24"/>
  <c r="A9" i="24"/>
  <c r="T9" i="23"/>
  <c r="V7" i="23"/>
  <c r="O8" i="23"/>
  <c r="U7" i="23"/>
  <c r="B9" i="23"/>
  <c r="A8" i="23"/>
  <c r="A9" i="23" s="1"/>
  <c r="O10" i="22"/>
  <c r="T11" i="22"/>
  <c r="J9" i="22"/>
  <c r="U8" i="22"/>
  <c r="W8" i="22"/>
  <c r="B8" i="22"/>
  <c r="A7" i="22"/>
  <c r="T10" i="21"/>
  <c r="J8" i="21"/>
  <c r="U7" i="21"/>
  <c r="W7" i="21"/>
  <c r="B11" i="21"/>
  <c r="A11" i="21" s="1"/>
  <c r="O9" i="21"/>
  <c r="A10" i="21"/>
  <c r="B9" i="20"/>
  <c r="A8" i="20"/>
  <c r="U10" i="19"/>
  <c r="W9" i="19"/>
  <c r="V9" i="19"/>
  <c r="W8" i="19"/>
  <c r="U8" i="19"/>
  <c r="W7" i="19"/>
  <c r="V7" i="19"/>
  <c r="U6" i="19"/>
  <c r="W4" i="19"/>
  <c r="V6" i="19"/>
  <c r="W6" i="19"/>
  <c r="U4" i="19"/>
  <c r="V4" i="19"/>
  <c r="T5" i="19"/>
  <c r="J5" i="19"/>
  <c r="O5" i="19"/>
  <c r="B10" i="25" l="1"/>
  <c r="A10" i="25" s="1"/>
  <c r="A9" i="25"/>
  <c r="O8" i="25"/>
  <c r="V7" i="25"/>
  <c r="U7" i="25"/>
  <c r="W8" i="25"/>
  <c r="T9" i="25"/>
  <c r="W7" i="25"/>
  <c r="B11" i="24"/>
  <c r="A11" i="24" s="1"/>
  <c r="U10" i="24"/>
  <c r="J11" i="24"/>
  <c r="V11" i="24" s="1"/>
  <c r="W10" i="24"/>
  <c r="A10" i="24"/>
  <c r="V10" i="24"/>
  <c r="O12" i="24"/>
  <c r="V8" i="23"/>
  <c r="O9" i="23"/>
  <c r="W9" i="23" s="1"/>
  <c r="U8" i="23"/>
  <c r="W8" i="23"/>
  <c r="B10" i="23"/>
  <c r="A10" i="23" s="1"/>
  <c r="T10" i="23"/>
  <c r="A8" i="22"/>
  <c r="J10" i="22"/>
  <c r="V10" i="22" s="1"/>
  <c r="U9" i="22"/>
  <c r="W9" i="22"/>
  <c r="O11" i="22"/>
  <c r="V9" i="22"/>
  <c r="B9" i="22"/>
  <c r="A9" i="22" s="1"/>
  <c r="T12" i="22"/>
  <c r="T11" i="21"/>
  <c r="U8" i="21"/>
  <c r="J9" i="21"/>
  <c r="W8" i="21"/>
  <c r="V8" i="21"/>
  <c r="O10" i="21"/>
  <c r="V9" i="21"/>
  <c r="B10" i="20"/>
  <c r="A10" i="20" s="1"/>
  <c r="A9" i="20"/>
  <c r="V5" i="19"/>
  <c r="U5" i="19"/>
  <c r="W5" i="19"/>
  <c r="O9" i="25" l="1"/>
  <c r="W9" i="25" s="1"/>
  <c r="V8" i="25"/>
  <c r="U8" i="25"/>
  <c r="B11" i="25"/>
  <c r="A11" i="25"/>
  <c r="T10" i="25"/>
  <c r="B12" i="24"/>
  <c r="A12" i="24"/>
  <c r="U11" i="24"/>
  <c r="J12" i="24"/>
  <c r="V12" i="24" s="1"/>
  <c r="W11" i="24"/>
  <c r="O10" i="23"/>
  <c r="V9" i="23"/>
  <c r="U9" i="23"/>
  <c r="W10" i="23"/>
  <c r="O12" i="22"/>
  <c r="U10" i="22"/>
  <c r="J11" i="22"/>
  <c r="W10" i="22"/>
  <c r="T13" i="22"/>
  <c r="B10" i="22"/>
  <c r="O11" i="21"/>
  <c r="J10" i="21"/>
  <c r="U9" i="21"/>
  <c r="W9" i="21"/>
  <c r="T11" i="25" l="1"/>
  <c r="W10" i="25"/>
  <c r="O10" i="25"/>
  <c r="V9" i="25"/>
  <c r="U9" i="25"/>
  <c r="U12" i="24"/>
  <c r="W12" i="24"/>
  <c r="V10" i="23"/>
  <c r="U10" i="23"/>
  <c r="V12" i="22"/>
  <c r="O13" i="22"/>
  <c r="B11" i="22"/>
  <c r="A10" i="22"/>
  <c r="J12" i="22"/>
  <c r="U11" i="22"/>
  <c r="W11" i="22"/>
  <c r="V11" i="22"/>
  <c r="T14" i="22"/>
  <c r="U10" i="21"/>
  <c r="J11" i="21"/>
  <c r="V11" i="21" s="1"/>
  <c r="W10" i="21"/>
  <c r="V10" i="21"/>
  <c r="O11" i="25" l="1"/>
  <c r="V10" i="25"/>
  <c r="U10" i="25"/>
  <c r="B12" i="22"/>
  <c r="V13" i="22"/>
  <c r="O14" i="22"/>
  <c r="T15" i="22"/>
  <c r="A11" i="22"/>
  <c r="J13" i="22"/>
  <c r="U12" i="22"/>
  <c r="W12" i="22"/>
  <c r="U11" i="21"/>
  <c r="W11" i="21"/>
  <c r="V11" i="25" l="1"/>
  <c r="U11" i="25"/>
  <c r="W11" i="25"/>
  <c r="T16" i="22"/>
  <c r="O15" i="22"/>
  <c r="V14" i="22"/>
  <c r="B13" i="22"/>
  <c r="A13" i="22" s="1"/>
  <c r="A12" i="22"/>
  <c r="J14" i="22"/>
  <c r="U13" i="22"/>
  <c r="W13" i="22"/>
  <c r="O16" i="22" l="1"/>
  <c r="T17" i="22"/>
  <c r="J15" i="22"/>
  <c r="U14" i="22"/>
  <c r="W14" i="22"/>
  <c r="B14" i="22"/>
  <c r="A14" i="22"/>
  <c r="J16" i="22" l="1"/>
  <c r="U15" i="22"/>
  <c r="W15" i="22"/>
  <c r="V15" i="22"/>
  <c r="A15" i="22"/>
  <c r="B15" i="22"/>
  <c r="O17" i="22"/>
  <c r="V16" i="22"/>
  <c r="J17" i="22" l="1"/>
  <c r="U16" i="22"/>
  <c r="W16" i="22"/>
  <c r="V17" i="22"/>
  <c r="B16" i="22"/>
  <c r="U17" i="22" l="1"/>
  <c r="W17" i="22"/>
  <c r="B17" i="22"/>
  <c r="A17" i="22" s="1"/>
  <c r="A16" i="22"/>
</calcChain>
</file>

<file path=xl/sharedStrings.xml><?xml version="1.0" encoding="utf-8"?>
<sst xmlns="http://schemas.openxmlformats.org/spreadsheetml/2006/main" count="1209" uniqueCount="207">
  <si>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</si>
  <si>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</si>
  <si>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</si>
  <si>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</si>
  <si>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</si>
  <si>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</si>
  <si>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</si>
  <si>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</si>
  <si>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</si>
  <si>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</si>
  <si>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</si>
  <si>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</si>
  <si>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</si>
  <si>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</si>
  <si>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</si>
  <si>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</si>
  <si>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</si>
  <si>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</si>
  <si>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</si>
  <si>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</si>
  <si>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</si>
  <si>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</si>
  <si>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</si>
  <si>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</si>
  <si>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</si>
  <si>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</si>
  <si>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</si>
  <si>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</si>
  <si>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</si>
  <si>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</si>
  <si>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</si>
  <si>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</si>
  <si>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</si>
  <si>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</si>
  <si>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</si>
  <si>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</si>
  <si>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</si>
  <si>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</si>
  <si>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</si>
  <si>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</si>
  <si>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</si>
  <si>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</si>
  <si>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</si>
  <si>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</si>
  <si>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</si>
  <si>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</si>
  <si>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</si>
  <si>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</si>
  <si>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</si>
  <si>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</si>
  <si>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</si>
  <si>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</si>
  <si>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</si>
  <si>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</si>
  <si>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</si>
  <si>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</si>
  <si>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</si>
  <si>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</si>
  <si>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</si>
  <si>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</si>
  <si>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</si>
  <si>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</si>
  <si>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</si>
  <si>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</si>
  <si>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</si>
  <si>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</si>
  <si>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</si>
  <si>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</si>
  <si>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</si>
  <si>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</si>
  <si>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</si>
  <si>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</si>
  <si>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</si>
  <si>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</si>
  <si>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</si>
  <si>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</si>
  <si>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</si>
  <si>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</si>
  <si>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</si>
  <si>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</si>
  <si>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</si>
  <si>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</si>
  <si>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</si>
  <si>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</si>
  <si>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</si>
  <si>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</si>
  <si>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</si>
  <si>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</si>
  <si>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</si>
  <si>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</si>
  <si>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</si>
  <si>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</si>
  <si>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</si>
  <si>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</si>
  <si>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</si>
  <si>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</si>
  <si>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</si>
  <si>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</si>
  <si>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</si>
  <si>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</si>
  <si>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</si>
  <si>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</si>
  <si>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</si>
  <si>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</si>
  <si>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</si>
  <si>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</si>
  <si>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</si>
  <si>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</si>
  <si>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</si>
  <si>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</si>
  <si>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</si>
  <si>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</si>
  <si>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</si>
  <si>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</si>
  <si>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</si>
  <si>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</si>
  <si>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</si>
  <si>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</si>
  <si>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</si>
  <si>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</si>
  <si>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</si>
  <si>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</si>
  <si>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</si>
  <si>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</si>
  <si>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</si>
  <si>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</si>
  <si>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</si>
  <si>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</si>
  <si>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</si>
  <si>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</si>
  <si>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</si>
  <si>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</si>
  <si>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</si>
  <si>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</si>
  <si>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</si>
  <si>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</si>
  <si>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</si>
  <si>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</si>
  <si>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</si>
  <si>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</si>
  <si>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</si>
  <si>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</si>
  <si>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</si>
  <si>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</si>
  <si>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</si>
  <si>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</si>
  <si>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</si>
  <si>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</si>
  <si>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</si>
  <si>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</si>
  <si>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</si>
  <si>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</si>
  <si>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</si>
  <si>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</si>
  <si>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</si>
  <si>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</si>
  <si>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</si>
  <si>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</si>
  <si>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</si>
  <si>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</si>
  <si>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</si>
  <si>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</si>
  <si>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</si>
  <si>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</si>
  <si>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</si>
  <si>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</si>
  <si>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</si>
  <si>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</si>
  <si>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</si>
  <si>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</si>
  <si>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</si>
  <si>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</si>
  <si>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</si>
  <si>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</si>
  <si>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</si>
  <si>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</si>
  <si>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</si>
  <si>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</si>
  <si>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</si>
  <si>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</si>
  <si>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</si>
  <si>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</si>
  <si>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</si>
  <si>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</si>
  <si>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</si>
  <si>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</si>
  <si>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</si>
  <si>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</si>
  <si>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</si>
  <si>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</si>
  <si>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</si>
  <si>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</si>
  <si>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りくと</t>
    <phoneticPr fontId="1"/>
  </si>
  <si>
    <t>だいち</t>
    <phoneticPr fontId="1"/>
  </si>
  <si>
    <t>わさび</t>
  </si>
  <si>
    <t>わさび</t>
    <phoneticPr fontId="1"/>
  </si>
  <si>
    <t>ツモ支払</t>
  </si>
  <si>
    <t>ツモ</t>
  </si>
  <si>
    <t>01</t>
  </si>
  <si>
    <t>ロン</t>
  </si>
  <si>
    <t>放銃</t>
  </si>
  <si>
    <t>*</t>
  </si>
  <si>
    <t>N</t>
  </si>
  <si>
    <t>T</t>
  </si>
  <si>
    <t>流局</t>
    <phoneticPr fontId="1"/>
  </si>
  <si>
    <t>02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</si>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</sst>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わさび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わさび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-800</v>
      </c>
      <c r="H4" s="9">
        <v>-1000</v>
      </c>
      <c r="I4" s="48">
        <v>0</v>
      </c>
      <c r="J4" s="21">
        <f>IF(COUNTA($F4,$K4,$P4)&gt;0,J3+SUM(G4:I4),"")</f>
        <v>33200</v>
      </c>
      <c r="K4" s="8" t="s">
        <v>197</v>
      </c>
      <c r="L4" s="9">
        <v>2100</v>
      </c>
      <c r="M4" s="9">
        <v>1000</v>
      </c>
      <c r="N4" s="48">
        <v>0</v>
      </c>
      <c r="O4" s="21">
        <f>IF(COUNTA($F4,$K4,$P4)&gt;0,O3+SUM(L4:N4),"")</f>
        <v>38100</v>
      </c>
      <c r="P4" s="8" t="s">
        <v>196</v>
      </c>
      <c r="Q4" s="9">
        <v>-1300</v>
      </c>
      <c r="R4" s="9"/>
      <c r="S4" s="48">
        <v>0</v>
      </c>
      <c r="T4" s="21">
        <f>IF(COUNTA($F4,$K4,$P4)&gt;0,T3+SUM(Q4:S4),"")</f>
        <v>33700</v>
      </c>
      <c r="U4" s="53">
        <f>IF($J4="","",ROUND(($J4-$J$3)/1000,1)+(_xlfn.RANK.AVG($J4,($J4,$O4,$T4),1)-2)*20)</f>
        <v>-21.8</v>
      </c>
      <c r="V4" s="54">
        <f>IF($O4="","",ROUND(($O4-$O$3)/1000,1)+(_xlfn.RANK.AVG($O4,($J4,$O4,$T4),1)-2)*20)</f>
        <v>23.1</v>
      </c>
      <c r="W4" s="55">
        <f>IF($T4="","",ROUND(($T4-$T$3)/1000,1)+(_xlfn.RANK.AVG($T4,($J4,$O4,$T4),1)-2)*20)</f>
        <v>-1.3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198</v>
      </c>
      <c r="BA4" s="41" t="s">
        <v>82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/>
      <c r="G5" s="9"/>
      <c r="H5" s="9"/>
      <c r="I5" s="48"/>
      <c r="J5" s="21">
        <f t="shared" ref="J5:J30" si="2">IF(COUNTA($F5,$K5,$P5)&gt;0,J4+SUM(G5:I5),"")</f>
        <v>33200</v>
      </c>
      <c r="K5" s="8" t="s">
        <v>199</v>
      </c>
      <c r="L5" s="9">
        <v>16000</v>
      </c>
      <c r="M5" s="9">
        <v>1000</v>
      </c>
      <c r="N5" s="48">
        <v>0</v>
      </c>
      <c r="O5" s="21">
        <f t="shared" ref="O5:O30" si="3">IF(COUNTA($F5,$K5,$P5)&gt;0,O4+SUM(L5:N5),"")</f>
        <v>55100</v>
      </c>
      <c r="P5" s="8" t="s">
        <v>200</v>
      </c>
      <c r="Q5" s="9">
        <v>-16000</v>
      </c>
      <c r="R5" s="9">
        <v>-1000</v>
      </c>
      <c r="S5" s="48">
        <v>0</v>
      </c>
      <c r="T5" s="21">
        <f t="shared" ref="T5:T30" si="4">IF(COUNTA($F5,$K5,$P5)&gt;0,T4+SUM(Q5:S5),"")</f>
        <v>16700</v>
      </c>
      <c r="U5" s="53">
        <f>IF($J5="","",ROUND(($J5-$J$3)/1000,1)+(_xlfn.RANK.AVG($J5,($J5,$O5,$T5),1)-2)*20)</f>
        <v>-1.8</v>
      </c>
      <c r="V5" s="54">
        <f>IF($O5="","",ROUND(($O5-$O$3)/1000,1)+(_xlfn.RANK.AVG($O5,($J5,$O5,$T5),1)-2)*20)</f>
        <v>40.1</v>
      </c>
      <c r="W5" s="55">
        <f>IF($T5="","",ROUND(($T5-$T$3)/1000,1)+(_xlfn.RANK.AVG($T5,($J5,$O5,$T5),1)-2)*20)</f>
        <v>-38.299999999999997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8</v>
      </c>
      <c r="AY5" s="30" t="s">
        <v>201</v>
      </c>
      <c r="AZ5" s="40" t="s">
        <v>99</v>
      </c>
      <c r="BA5" s="41" t="s">
        <v>104</v>
      </c>
      <c r="BB5" s="41" t="s">
        <v>86</v>
      </c>
      <c r="BC5" s="41" t="s">
        <v>86</v>
      </c>
      <c r="BD5" s="41" t="s">
        <v>79</v>
      </c>
      <c r="BE5" s="41" t="s">
        <v>93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2"/>
        <v>33200</v>
      </c>
      <c r="K6" s="8" t="s">
        <v>199</v>
      </c>
      <c r="L6" s="9">
        <v>11600</v>
      </c>
      <c r="M6" s="9"/>
      <c r="N6" s="48">
        <v>0</v>
      </c>
      <c r="O6" s="21">
        <f t="shared" si="3"/>
        <v>66700</v>
      </c>
      <c r="P6" s="8" t="s">
        <v>200</v>
      </c>
      <c r="Q6" s="9">
        <v>-11600</v>
      </c>
      <c r="R6" s="9"/>
      <c r="S6" s="48">
        <v>0</v>
      </c>
      <c r="T6" s="21">
        <f t="shared" si="4"/>
        <v>5100</v>
      </c>
      <c r="U6" s="53">
        <f>IF($J6="","",ROUND(($J6-$J$3)/1000,1)+(_xlfn.RANK.AVG($J6,($J6,$O6,$T6),1)-2)*20)</f>
        <v>-1.8</v>
      </c>
      <c r="V6" s="54">
        <f>IF($O6="","",ROUND(($O6-$O$3)/1000,1)+(_xlfn.RANK.AVG($O6,($J6,$O6,$T6),1)-2)*20)</f>
        <v>51.7</v>
      </c>
      <c r="W6" s="55">
        <f>IF($T6="","",ROUND(($T6-$T$3)/1000,1)+(_xlfn.RANK.AVG($T6,($J6,$O6,$T6),1)-2)*20)</f>
        <v>-49.9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30</v>
      </c>
      <c r="AZ6" s="40" t="s">
        <v>86</v>
      </c>
      <c r="BA6" s="41" t="s">
        <v>79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204</v>
      </c>
      <c r="G7" s="9">
        <v>-1500</v>
      </c>
      <c r="H7" s="9"/>
      <c r="I7" s="48"/>
      <c r="J7" s="21">
        <f t="shared" si="2"/>
        <v>31700</v>
      </c>
      <c r="K7" s="8" t="s">
        <v>204</v>
      </c>
      <c r="L7" s="9">
        <v>-1500</v>
      </c>
      <c r="M7" s="9"/>
      <c r="N7" s="48"/>
      <c r="O7" s="21">
        <f t="shared" si="3"/>
        <v>65200</v>
      </c>
      <c r="P7" s="8" t="s">
        <v>204</v>
      </c>
      <c r="Q7" s="9">
        <v>3000</v>
      </c>
      <c r="R7" s="9">
        <v>-1000</v>
      </c>
      <c r="S7" s="48"/>
      <c r="T7" s="21">
        <f t="shared" si="4"/>
        <v>7100</v>
      </c>
      <c r="U7" s="53">
        <f>IF($J7="","",ROUND(($J7-$J$3)/1000,1)+(_xlfn.RANK.AVG($J7,($J7,$O7,$T7),1)-2)*20)</f>
        <v>-3.3</v>
      </c>
      <c r="V7" s="54">
        <f>IF($O7="","",ROUND(($O7-$O$3)/1000,1)+(_xlfn.RANK.AVG($O7,($J7,$O7,$T7),1)-2)*20)</f>
        <v>50.2</v>
      </c>
      <c r="W7" s="55">
        <f>IF($T7="","",ROUND(($T7-$T$3)/1000,1)+(_xlfn.RANK.AVG($T7,($J7,$O7,$T7),1)-2)*20)</f>
        <v>-47.9</v>
      </c>
      <c r="Y7" s="8" t="s">
        <v>202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1</v>
      </c>
      <c r="E8" s="4" t="str">
        <f>IF($P$1="","",$P$1)</f>
        <v>わさび</v>
      </c>
      <c r="F8" s="8" t="s">
        <v>196</v>
      </c>
      <c r="G8" s="9">
        <v>-3000</v>
      </c>
      <c r="H8" s="9">
        <v>-1000</v>
      </c>
      <c r="I8" s="48">
        <v>-1000</v>
      </c>
      <c r="J8" s="21">
        <f t="shared" si="2"/>
        <v>26700</v>
      </c>
      <c r="K8" s="8" t="s">
        <v>197</v>
      </c>
      <c r="L8" s="9">
        <v>8000</v>
      </c>
      <c r="M8" s="9">
        <v>2000</v>
      </c>
      <c r="N8" s="48">
        <v>2000</v>
      </c>
      <c r="O8" s="21">
        <f t="shared" si="3"/>
        <v>77200</v>
      </c>
      <c r="P8" s="8" t="s">
        <v>196</v>
      </c>
      <c r="Q8" s="9">
        <v>-5000</v>
      </c>
      <c r="R8" s="9"/>
      <c r="S8" s="48">
        <v>-1000</v>
      </c>
      <c r="T8" s="21">
        <f t="shared" si="4"/>
        <v>1100</v>
      </c>
      <c r="U8" s="53">
        <f>IF($J8="","",ROUND(($J8-$J$3)/1000,1)+(_xlfn.RANK.AVG($J8,($J8,$O8,$T8),1)-2)*20)</f>
        <v>-8.3000000000000007</v>
      </c>
      <c r="V8" s="54">
        <f>IF($O8="","",ROUND(($O8-$O$3)/1000,1)+(_xlfn.RANK.AVG($O8,($J8,$O8,$T8),1)-2)*20)</f>
        <v>62.2</v>
      </c>
      <c r="W8" s="55">
        <f>IF($T8="","",ROUND(($T8-$T$3)/1000,1)+(_xlfn.RANK.AVG($T8,($J8,$O8,$T8),1)-2)*20)</f>
        <v>-53.9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201</v>
      </c>
      <c r="AZ8" s="40" t="s">
        <v>198</v>
      </c>
      <c r="BA8" s="41" t="s">
        <v>82</v>
      </c>
      <c r="BB8" s="41" t="s">
        <v>79</v>
      </c>
      <c r="BC8" s="41" t="s">
        <v>96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りくと</v>
      </c>
      <c r="F9" s="8"/>
      <c r="G9" s="9"/>
      <c r="H9" s="9">
        <v>-1000</v>
      </c>
      <c r="I9" s="48"/>
      <c r="J9" s="21">
        <f t="shared" si="2"/>
        <v>25700</v>
      </c>
      <c r="K9" s="8" t="s">
        <v>200</v>
      </c>
      <c r="L9" s="9">
        <v>-3900</v>
      </c>
      <c r="M9" s="9"/>
      <c r="N9" s="48">
        <v>0</v>
      </c>
      <c r="O9" s="21">
        <f t="shared" si="3"/>
        <v>73300</v>
      </c>
      <c r="P9" s="8" t="s">
        <v>199</v>
      </c>
      <c r="Q9" s="9">
        <v>3900</v>
      </c>
      <c r="R9" s="9">
        <v>1000</v>
      </c>
      <c r="S9" s="48">
        <v>0</v>
      </c>
      <c r="T9" s="21">
        <f t="shared" si="4"/>
        <v>6000</v>
      </c>
      <c r="U9" s="53">
        <f>IF($J9="","",ROUND(($J9-$J$3)/1000,1)+(_xlfn.RANK.AVG($J9,($J9,$O9,$T9),1)-2)*20)</f>
        <v>-9.3000000000000007</v>
      </c>
      <c r="V9" s="54">
        <f>IF($O9="","",ROUND(($O9-$O$3)/1000,1)+(_xlfn.RANK.AVG($O9,($J9,$O9,$T9),1)-2)*20)</f>
        <v>58.3</v>
      </c>
      <c r="W9" s="55">
        <f>IF($T9="","",ROUND(($T9-$T$3)/1000,1)+(_xlfn.RANK.AVG($T9,($J9,$O9,$T9),1)-2)*20)</f>
        <v>-49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198</v>
      </c>
      <c r="BV9" s="41" t="s">
        <v>83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/>
      <c r="G10" s="9"/>
      <c r="H10" s="9"/>
      <c r="I10" s="48"/>
      <c r="J10" s="21">
        <f t="shared" si="2"/>
        <v>25700</v>
      </c>
      <c r="K10" s="8" t="s">
        <v>199</v>
      </c>
      <c r="L10" s="9">
        <v>12000</v>
      </c>
      <c r="M10" s="9"/>
      <c r="N10" s="48">
        <v>0</v>
      </c>
      <c r="O10" s="21">
        <f t="shared" si="3"/>
        <v>85300</v>
      </c>
      <c r="P10" s="8" t="s">
        <v>200</v>
      </c>
      <c r="Q10" s="9">
        <v>-12000</v>
      </c>
      <c r="R10" s="9"/>
      <c r="S10" s="48">
        <v>0</v>
      </c>
      <c r="T10" s="21">
        <f t="shared" si="4"/>
        <v>-6000</v>
      </c>
      <c r="U10" s="53">
        <f>IF($J10="","",ROUND(($J10-$J$3)/1000,1)+(_xlfn.RANK.AVG($J10,($J10,$O10,$T10),1)-2)*20)</f>
        <v>-9.3000000000000007</v>
      </c>
      <c r="V10" s="54">
        <f>IF($O10="","",ROUND(($O10-$O$3)/1000,1)+(_xlfn.RANK.AVG($O10,($J10,$O10,$T10),1)-2)*20)</f>
        <v>70.3</v>
      </c>
      <c r="W10" s="55">
        <f>IF($T10="","",ROUND(($T10-$T$3)/1000,1)+(_xlfn.RANK.AVG($T10,($J10,$O10,$T10),1)-2)*20)</f>
        <v>-61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201</v>
      </c>
      <c r="AZ10" s="40" t="s">
        <v>198</v>
      </c>
      <c r="BA10" s="41" t="s">
        <v>205</v>
      </c>
      <c r="BB10" s="41" t="s">
        <v>79</v>
      </c>
      <c r="BC10" s="41" t="s">
        <v>80</v>
      </c>
      <c r="BD10" s="41" t="s">
        <v>206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583FA1B-470E-4DF8-A762-1BEFAEF8324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EEF66-A675-4FB5-BF1A-6DE1AECC92E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わさび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200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199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198</v>
      </c>
      <c r="BA4" s="41" t="s">
        <v>86</v>
      </c>
      <c r="BB4" s="41" t="s">
        <v>80</v>
      </c>
      <c r="BC4" s="41" t="s">
        <v>80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196</v>
      </c>
      <c r="G5" s="9">
        <v>-5000</v>
      </c>
      <c r="H5" s="9"/>
      <c r="I5" s="48">
        <v>0</v>
      </c>
      <c r="J5" s="21">
        <f t="shared" ref="J5:J30" si="2">IF(COUNTA($F5,$K5,$P5)&gt;0,J4+SUM(G5:I5),"")</f>
        <v>22000</v>
      </c>
      <c r="K5" s="8" t="s">
        <v>197</v>
      </c>
      <c r="L5" s="9">
        <v>8000</v>
      </c>
      <c r="M5" s="9"/>
      <c r="N5" s="48">
        <v>0</v>
      </c>
      <c r="O5" s="21">
        <f t="shared" ref="O5:O30" si="3">IF(COUNTA($F5,$K5,$P5)&gt;0,O4+SUM(L5:N5),"")</f>
        <v>51000</v>
      </c>
      <c r="P5" s="8" t="s">
        <v>196</v>
      </c>
      <c r="Q5" s="9">
        <v>-3000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-33</v>
      </c>
      <c r="V5" s="54">
        <f>IF($O5="","",ROUND(($O5-$O$3)/1000,1)+(_xlfn.RANK.AVG($O5,($J5,$O5,$T5),1)-2)*20)</f>
        <v>36</v>
      </c>
      <c r="W5" s="55">
        <f>IF($T5="","",ROUND(($T5-$T$3)/1000,1)+(_xlfn.RANK.AVG($T5,($J5,$O5,$T5),1)-2)*20)</f>
        <v>-3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201</v>
      </c>
      <c r="AZ5" s="40" t="s">
        <v>198</v>
      </c>
      <c r="BA5" s="41" t="s">
        <v>82</v>
      </c>
      <c r="BB5" s="41" t="s">
        <v>79</v>
      </c>
      <c r="BC5" s="41" t="s">
        <v>79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199</v>
      </c>
      <c r="G6" s="9">
        <v>2600</v>
      </c>
      <c r="H6" s="9"/>
      <c r="I6" s="48">
        <v>0</v>
      </c>
      <c r="J6" s="21">
        <f t="shared" si="2"/>
        <v>24600</v>
      </c>
      <c r="K6" s="8" t="s">
        <v>200</v>
      </c>
      <c r="L6" s="9">
        <v>-2600</v>
      </c>
      <c r="M6" s="9"/>
      <c r="N6" s="48">
        <v>0</v>
      </c>
      <c r="O6" s="21">
        <f t="shared" si="3"/>
        <v>48400</v>
      </c>
      <c r="P6" s="8"/>
      <c r="Q6" s="9"/>
      <c r="R6" s="9"/>
      <c r="S6" s="48"/>
      <c r="T6" s="21">
        <f t="shared" si="4"/>
        <v>32000</v>
      </c>
      <c r="U6" s="53">
        <f>IF($J6="","",ROUND(($J6-$J$3)/1000,1)+(_xlfn.RANK.AVG($J6,($J6,$O6,$T6),1)-2)*20)</f>
        <v>-30.4</v>
      </c>
      <c r="V6" s="54">
        <f>IF($O6="","",ROUND(($O6-$O$3)/1000,1)+(_xlfn.RANK.AVG($O6,($J6,$O6,$T6),1)-2)*20)</f>
        <v>33.4</v>
      </c>
      <c r="W6" s="55">
        <f>IF($T6="","",ROUND(($T6-$T$3)/1000,1)+(_xlfn.RANK.AVG($T6,($J6,$O6,$T6),1)-2)*20)</f>
        <v>-3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198</v>
      </c>
      <c r="AF6" s="41" t="s">
        <v>206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わさび</v>
      </c>
      <c r="F7" s="8" t="s">
        <v>200</v>
      </c>
      <c r="G7" s="9">
        <v>-8000</v>
      </c>
      <c r="H7" s="9"/>
      <c r="I7" s="48">
        <v>0</v>
      </c>
      <c r="J7" s="21">
        <f t="shared" si="2"/>
        <v>16600</v>
      </c>
      <c r="K7" s="8" t="s">
        <v>199</v>
      </c>
      <c r="L7" s="9">
        <v>8000</v>
      </c>
      <c r="M7" s="9"/>
      <c r="N7" s="48">
        <v>0</v>
      </c>
      <c r="O7" s="21">
        <f t="shared" si="3"/>
        <v>56400</v>
      </c>
      <c r="P7" s="8"/>
      <c r="Q7" s="9"/>
      <c r="R7" s="9"/>
      <c r="S7" s="48"/>
      <c r="T7" s="21">
        <f t="shared" si="4"/>
        <v>32000</v>
      </c>
      <c r="U7" s="53">
        <f>IF($J7="","",ROUND(($J7-$J$3)/1000,1)+(_xlfn.RANK.AVG($J7,($J7,$O7,$T7),1)-2)*20)</f>
        <v>-38.4</v>
      </c>
      <c r="V7" s="54">
        <f>IF($O7="","",ROUND(($O7-$O$3)/1000,1)+(_xlfn.RANK.AVG($O7,($J7,$O7,$T7),1)-2)*20)</f>
        <v>41.4</v>
      </c>
      <c r="W7" s="55">
        <f>IF($T7="","",ROUND(($T7-$T$3)/1000,1)+(_xlfn.RANK.AVG($T7,($J7,$O7,$T7),1)-2)*20)</f>
        <v>-3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91</v>
      </c>
      <c r="BA7" s="41" t="s">
        <v>86</v>
      </c>
      <c r="BB7" s="41" t="s">
        <v>206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197</v>
      </c>
      <c r="G8" s="9">
        <v>18000</v>
      </c>
      <c r="H8" s="9">
        <v>1000</v>
      </c>
      <c r="I8" s="48">
        <v>0</v>
      </c>
      <c r="J8" s="21">
        <f t="shared" si="2"/>
        <v>35600</v>
      </c>
      <c r="K8" s="8" t="s">
        <v>196</v>
      </c>
      <c r="L8" s="9">
        <v>-9000</v>
      </c>
      <c r="M8" s="9">
        <v>-1000</v>
      </c>
      <c r="N8" s="48">
        <v>0</v>
      </c>
      <c r="O8" s="21">
        <f t="shared" si="3"/>
        <v>46400</v>
      </c>
      <c r="P8" s="8" t="s">
        <v>196</v>
      </c>
      <c r="Q8" s="9">
        <v>-9000</v>
      </c>
      <c r="R8" s="9"/>
      <c r="S8" s="48">
        <v>0</v>
      </c>
      <c r="T8" s="21">
        <f t="shared" si="4"/>
        <v>23000</v>
      </c>
      <c r="U8" s="53">
        <f>IF($J8="","",ROUND(($J8-$J$3)/1000,1)+(_xlfn.RANK.AVG($J8,($J8,$O8,$T8),1)-2)*20)</f>
        <v>0.6</v>
      </c>
      <c r="V8" s="54">
        <f>IF($O8="","",ROUND(($O8-$O$3)/1000,1)+(_xlfn.RANK.AVG($O8,($J8,$O8,$T8),1)-2)*20)</f>
        <v>31.4</v>
      </c>
      <c r="W8" s="55">
        <f>IF($T8="","",ROUND(($T8-$T$3)/1000,1)+(_xlfn.RANK.AVG($T8,($J8,$O8,$T8),1)-2)*20)</f>
        <v>-32</v>
      </c>
      <c r="Y8" s="8"/>
      <c r="Z8" s="34"/>
      <c r="AA8" s="26"/>
      <c r="AB8" s="26">
        <v>1</v>
      </c>
      <c r="AC8" s="26">
        <v>7</v>
      </c>
      <c r="AD8" s="30" t="s">
        <v>201</v>
      </c>
      <c r="AE8" s="40" t="s">
        <v>98</v>
      </c>
      <c r="AF8" s="41" t="s">
        <v>86</v>
      </c>
      <c r="AG8" s="41" t="s">
        <v>79</v>
      </c>
      <c r="AH8" s="41" t="s">
        <v>79</v>
      </c>
      <c r="AI8" s="41" t="s">
        <v>79</v>
      </c>
      <c r="AJ8" s="41" t="s">
        <v>206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IF($F$1="","",$F$1)</f>
        <v>りくと</v>
      </c>
      <c r="F9" s="8" t="s">
        <v>196</v>
      </c>
      <c r="G9" s="9">
        <v>-1300</v>
      </c>
      <c r="H9" s="9"/>
      <c r="I9" s="48">
        <v>-500</v>
      </c>
      <c r="J9" s="21">
        <f t="shared" si="2"/>
        <v>33800</v>
      </c>
      <c r="K9" s="8" t="s">
        <v>196</v>
      </c>
      <c r="L9" s="9">
        <v>-800</v>
      </c>
      <c r="M9" s="9">
        <v>-1000</v>
      </c>
      <c r="N9" s="48">
        <v>-500</v>
      </c>
      <c r="O9" s="21">
        <f t="shared" si="3"/>
        <v>44100</v>
      </c>
      <c r="P9" s="8" t="s">
        <v>197</v>
      </c>
      <c r="Q9" s="9">
        <v>2100</v>
      </c>
      <c r="R9" s="9">
        <v>1000</v>
      </c>
      <c r="S9" s="48">
        <v>1000</v>
      </c>
      <c r="T9" s="21">
        <f t="shared" si="4"/>
        <v>27100</v>
      </c>
      <c r="U9" s="53">
        <f>IF($J9="","",ROUND(($J9-$J$3)/1000,1)+(_xlfn.RANK.AVG($J9,($J9,$O9,$T9),1)-2)*20)</f>
        <v>-1.2</v>
      </c>
      <c r="V9" s="54">
        <f>IF($O9="","",ROUND(($O9-$O$3)/1000,1)+(_xlfn.RANK.AVG($O9,($J9,$O9,$T9),1)-2)*20)</f>
        <v>29.1</v>
      </c>
      <c r="W9" s="55">
        <f>IF($T9="","",ROUND(($T9-$T$3)/1000,1)+(_xlfn.RANK.AVG($T9,($J9,$O9,$T9),1)-2)*20)</f>
        <v>-27.9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204</v>
      </c>
      <c r="G10" s="9">
        <v>-3000</v>
      </c>
      <c r="H10" s="9"/>
      <c r="I10" s="48"/>
      <c r="J10" s="21">
        <f t="shared" si="2"/>
        <v>30800</v>
      </c>
      <c r="K10" s="8" t="s">
        <v>204</v>
      </c>
      <c r="L10" s="9">
        <v>1500</v>
      </c>
      <c r="M10" s="9"/>
      <c r="N10" s="48"/>
      <c r="O10" s="21">
        <f t="shared" si="3"/>
        <v>45600</v>
      </c>
      <c r="P10" s="8" t="s">
        <v>204</v>
      </c>
      <c r="Q10" s="9">
        <v>1500</v>
      </c>
      <c r="R10" s="9"/>
      <c r="S10" s="48"/>
      <c r="T10" s="21">
        <f t="shared" si="4"/>
        <v>28600</v>
      </c>
      <c r="U10" s="53">
        <f>IF($J10="","",ROUND(($J10-$J$3)/1000,1)+(_xlfn.RANK.AVG($J10,($J10,$O10,$T10),1)-2)*20)</f>
        <v>-4.2</v>
      </c>
      <c r="V10" s="54">
        <f>IF($O10="","",ROUND(($O10-$O$3)/1000,1)+(_xlfn.RANK.AVG($O10,($J10,$O10,$T10),1)-2)*20)</f>
        <v>30.6</v>
      </c>
      <c r="W10" s="55">
        <f>IF($T10="","",ROUND(($T10-$T$3)/1000,1)+(_xlfn.RANK.AVG($T10,($J10,$O10,$T10),1)-2)*20)</f>
        <v>-26.4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IF($K$1="","",$K$1)</f>
        <v>だいち</v>
      </c>
      <c r="F11" s="8" t="s">
        <v>204</v>
      </c>
      <c r="G11" s="9">
        <v>0</v>
      </c>
      <c r="H11" s="9"/>
      <c r="I11" s="48"/>
      <c r="J11" s="21">
        <f t="shared" si="2"/>
        <v>30800</v>
      </c>
      <c r="K11" s="8" t="s">
        <v>204</v>
      </c>
      <c r="L11" s="9">
        <v>0</v>
      </c>
      <c r="M11" s="9"/>
      <c r="N11" s="48"/>
      <c r="O11" s="21">
        <f t="shared" si="3"/>
        <v>45600</v>
      </c>
      <c r="P11" s="8" t="s">
        <v>204</v>
      </c>
      <c r="Q11" s="9">
        <v>0</v>
      </c>
      <c r="R11" s="9"/>
      <c r="S11" s="48"/>
      <c r="T11" s="21">
        <f t="shared" si="4"/>
        <v>28600</v>
      </c>
      <c r="U11" s="53">
        <f>IF($J11="","",ROUND(($J11-$J$3)/1000,1)+(_xlfn.RANK.AVG($J11,($J11,$O11,$T11),1)-2)*20)</f>
        <v>-4.2</v>
      </c>
      <c r="V11" s="54">
        <f>IF($O11="","",ROUND(($O11-$O$3)/1000,1)+(_xlfn.RANK.AVG($O11,($J11,$O11,$T11),1)-2)*20)</f>
        <v>30.6</v>
      </c>
      <c r="W11" s="55">
        <f>IF($T11="","",ROUND(($T11-$T$3)/1000,1)+(_xlfn.RANK.AVG($T11,($J11,$O11,$T11),1)-2)*20)</f>
        <v>-26.4</v>
      </c>
      <c r="Y11" s="8" t="s">
        <v>202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202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202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showInputMessage="1" showErrorMessage="1" sqref="K4:K30 P4:P30 F4:F30" xr:uid="{6C7FB10E-AFCE-48A0-818F-7E91607F2609}">
      <formula1>"ロン,ツモ,放銃,ツモ支払,流局,チョンボ"</formula1>
    </dataValidation>
    <dataValidation type="list" allowBlank="1" showInputMessage="1" showErrorMessage="1" sqref="E4:E30" xr:uid="{AAA6B91A-1437-4180-912E-C7416DC163E1}">
      <formula1>$U$2:$W$2</formula1>
    </dataValidation>
    <dataValidation type="list" allowBlank="1" showInputMessage="1" sqref="F1:T1" xr:uid="{4A27213D-7B92-40A8-808A-28259DA131E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5D09F-949B-49CB-9E08-611B3BE5A9A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わさび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5800</v>
      </c>
      <c r="M4" s="9"/>
      <c r="N4" s="48">
        <v>0</v>
      </c>
      <c r="O4" s="21">
        <f>IF(COUNTA($F4,$K4,$P4)&gt;0,O3+SUM(L4:N4),"")</f>
        <v>40800</v>
      </c>
      <c r="P4" s="8" t="s">
        <v>200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25.8</v>
      </c>
      <c r="W4" s="55">
        <f>IF($T4="","",ROUND(($T4-$T$3)/1000,1)+(_xlfn.RANK.AVG($T4,($J4,$O4,$T4),1)-2)*20)</f>
        <v>-25.8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79</v>
      </c>
      <c r="BA4" s="41" t="s">
        <v>86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199</v>
      </c>
      <c r="G5" s="9">
        <v>5200</v>
      </c>
      <c r="H5" s="9">
        <v>2000</v>
      </c>
      <c r="I5" s="48">
        <v>1000</v>
      </c>
      <c r="J5" s="21">
        <f t="shared" ref="J5:J30" si="2">IF(COUNTA($F5,$K5,$P5)&gt;0,J4+SUM(G5:I5),"")</f>
        <v>43200</v>
      </c>
      <c r="K5" s="8" t="s">
        <v>200</v>
      </c>
      <c r="L5" s="9">
        <v>-5200</v>
      </c>
      <c r="M5" s="9">
        <v>-1000</v>
      </c>
      <c r="N5" s="48">
        <v>-1000</v>
      </c>
      <c r="O5" s="21">
        <f t="shared" ref="O5:O30" si="3">IF(COUNTA($F5,$K5,$P5)&gt;0,O4+SUM(L5:N5),"")</f>
        <v>33600</v>
      </c>
      <c r="P5" s="8"/>
      <c r="Q5" s="9"/>
      <c r="R5" s="9">
        <v>-1000</v>
      </c>
      <c r="S5" s="48"/>
      <c r="T5" s="21">
        <f t="shared" ref="T5:T30" si="4">IF(COUNTA($F5,$K5,$P5)&gt;0,T4+SUM(Q5:S5),"")</f>
        <v>28200</v>
      </c>
      <c r="U5" s="53">
        <f>IF($J5="","",ROUND(($J5-$J$3)/1000,1)+(_xlfn.RANK.AVG($J5,($J5,$O5,$T5),1)-2)*20)</f>
        <v>28.2</v>
      </c>
      <c r="V5" s="54">
        <f>IF($O5="","",ROUND(($O5-$O$3)/1000,1)+(_xlfn.RANK.AVG($O5,($J5,$O5,$T5),1)-2)*20)</f>
        <v>-1.4</v>
      </c>
      <c r="W5" s="55">
        <f>IF($T5="","",ROUND(($T5-$T$3)/1000,1)+(_xlfn.RANK.AVG($T5,($J5,$O5,$T5),1)-2)*20)</f>
        <v>-26.8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198</v>
      </c>
      <c r="AF5" s="41" t="s">
        <v>82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わさび</v>
      </c>
      <c r="F6" s="8" t="s">
        <v>196</v>
      </c>
      <c r="G6" s="9">
        <v>-9000</v>
      </c>
      <c r="H6" s="9"/>
      <c r="I6" s="48">
        <v>0</v>
      </c>
      <c r="J6" s="21">
        <f t="shared" si="2"/>
        <v>34200</v>
      </c>
      <c r="K6" s="8" t="s">
        <v>196</v>
      </c>
      <c r="L6" s="9">
        <v>-9000</v>
      </c>
      <c r="M6" s="9"/>
      <c r="N6" s="48">
        <v>0</v>
      </c>
      <c r="O6" s="21">
        <f t="shared" si="3"/>
        <v>24600</v>
      </c>
      <c r="P6" s="8" t="s">
        <v>197</v>
      </c>
      <c r="Q6" s="9">
        <v>18000</v>
      </c>
      <c r="R6" s="9"/>
      <c r="S6" s="48">
        <v>0</v>
      </c>
      <c r="T6" s="21">
        <f t="shared" si="4"/>
        <v>46200</v>
      </c>
      <c r="U6" s="53">
        <f>IF($J6="","",ROUND(($J6-$J$3)/1000,1)+(_xlfn.RANK.AVG($J6,($J6,$O6,$T6),1)-2)*20)</f>
        <v>-0.8</v>
      </c>
      <c r="V6" s="54">
        <f>IF($O6="","",ROUND(($O6-$O$3)/1000,1)+(_xlfn.RANK.AVG($O6,($J6,$O6,$T6),1)-2)*20)</f>
        <v>-30.4</v>
      </c>
      <c r="W6" s="55">
        <f>IF($T6="","",ROUND(($T6-$T$3)/1000,1)+(_xlfn.RANK.AVG($T6,($J6,$O6,$T6),1)-2)*20)</f>
        <v>31.2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201</v>
      </c>
      <c r="BU6" s="40" t="s">
        <v>198</v>
      </c>
      <c r="BV6" s="41" t="s">
        <v>82</v>
      </c>
      <c r="BW6" s="41" t="s">
        <v>205</v>
      </c>
      <c r="BX6" s="41" t="s">
        <v>79</v>
      </c>
      <c r="BY6" s="41" t="s">
        <v>79</v>
      </c>
      <c r="BZ6" s="41" t="s">
        <v>79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IF($P$1="","",$P$1)</f>
        <v>わさび</v>
      </c>
      <c r="F7" s="8" t="s">
        <v>196</v>
      </c>
      <c r="G7" s="9">
        <v>-3900</v>
      </c>
      <c r="H7" s="9"/>
      <c r="I7" s="48">
        <v>-500</v>
      </c>
      <c r="J7" s="21">
        <f t="shared" si="2"/>
        <v>29800</v>
      </c>
      <c r="K7" s="8" t="s">
        <v>196</v>
      </c>
      <c r="L7" s="9">
        <v>-3900</v>
      </c>
      <c r="M7" s="9"/>
      <c r="N7" s="48">
        <v>-500</v>
      </c>
      <c r="O7" s="21">
        <f t="shared" si="3"/>
        <v>20200</v>
      </c>
      <c r="P7" s="8" t="s">
        <v>197</v>
      </c>
      <c r="Q7" s="9">
        <v>7800</v>
      </c>
      <c r="R7" s="9"/>
      <c r="S7" s="48">
        <v>1000</v>
      </c>
      <c r="T7" s="21">
        <f t="shared" si="4"/>
        <v>55000</v>
      </c>
      <c r="U7" s="53">
        <f>IF($J7="","",ROUND(($J7-$J$3)/1000,1)+(_xlfn.RANK.AVG($J7,($J7,$O7,$T7),1)-2)*20)</f>
        <v>-5.2</v>
      </c>
      <c r="V7" s="54">
        <f>IF($O7="","",ROUND(($O7-$O$3)/1000,1)+(_xlfn.RANK.AVG($O7,($J7,$O7,$T7),1)-2)*20)</f>
        <v>-34.799999999999997</v>
      </c>
      <c r="W7" s="55">
        <f>IF($T7="","",ROUND(($T7-$T$3)/1000,1)+(_xlfn.RANK.AVG($T7,($J7,$O7,$T7),1)-2)*20)</f>
        <v>40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IF($P$1="","",$P$1)</f>
        <v>わさび</v>
      </c>
      <c r="F8" s="8" t="s">
        <v>199</v>
      </c>
      <c r="G8" s="9">
        <v>1600</v>
      </c>
      <c r="H8" s="9"/>
      <c r="I8" s="48">
        <v>2000</v>
      </c>
      <c r="J8" s="21">
        <f t="shared" si="2"/>
        <v>33400</v>
      </c>
      <c r="K8" s="8" t="s">
        <v>200</v>
      </c>
      <c r="L8" s="9">
        <v>-1600</v>
      </c>
      <c r="M8" s="9"/>
      <c r="N8" s="48">
        <v>-2000</v>
      </c>
      <c r="O8" s="21">
        <f t="shared" si="3"/>
        <v>16600</v>
      </c>
      <c r="P8" s="8"/>
      <c r="Q8" s="9"/>
      <c r="R8" s="9"/>
      <c r="S8" s="48"/>
      <c r="T8" s="21">
        <f t="shared" si="4"/>
        <v>55000</v>
      </c>
      <c r="U8" s="53">
        <f>IF($J8="","",ROUND(($J8-$J$3)/1000,1)+(_xlfn.RANK.AVG($J8,($J8,$O8,$T8),1)-2)*20)</f>
        <v>-1.6</v>
      </c>
      <c r="V8" s="54">
        <f>IF($O8="","",ROUND(($O8-$O$3)/1000,1)+(_xlfn.RANK.AVG($O8,($J8,$O8,$T8),1)-2)*20)</f>
        <v>-38.4</v>
      </c>
      <c r="W8" s="55">
        <f>IF($T8="","",ROUND(($T8-$T$3)/1000,1)+(_xlfn.RANK.AVG($T8,($J8,$O8,$T8),1)-2)*20)</f>
        <v>40</v>
      </c>
      <c r="Y8" s="8"/>
      <c r="Z8" s="34"/>
      <c r="AA8" s="26"/>
      <c r="AB8" s="26"/>
      <c r="AC8" s="26">
        <v>2</v>
      </c>
      <c r="AD8" s="30">
        <v>25</v>
      </c>
      <c r="AE8" s="40" t="s">
        <v>101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IF($F$1="","",$F$1)</f>
        <v>りくと</v>
      </c>
      <c r="F9" s="8" t="s">
        <v>204</v>
      </c>
      <c r="G9" s="9">
        <v>-1500</v>
      </c>
      <c r="H9" s="9"/>
      <c r="I9" s="48"/>
      <c r="J9" s="21">
        <f t="shared" si="2"/>
        <v>31900</v>
      </c>
      <c r="K9" s="8" t="s">
        <v>204</v>
      </c>
      <c r="L9" s="9">
        <v>-1500</v>
      </c>
      <c r="M9" s="9"/>
      <c r="N9" s="48"/>
      <c r="O9" s="21">
        <f t="shared" si="3"/>
        <v>15100</v>
      </c>
      <c r="P9" s="8" t="s">
        <v>204</v>
      </c>
      <c r="Q9" s="9">
        <v>3000</v>
      </c>
      <c r="R9" s="9">
        <v>-1000</v>
      </c>
      <c r="S9" s="48"/>
      <c r="T9" s="21">
        <f t="shared" si="4"/>
        <v>57000</v>
      </c>
      <c r="U9" s="53">
        <f>IF($J9="","",ROUND(($J9-$J$3)/1000,1)+(_xlfn.RANK.AVG($J9,($J9,$O9,$T9),1)-2)*20)</f>
        <v>-3.1</v>
      </c>
      <c r="V9" s="54">
        <f>IF($O9="","",ROUND(($O9-$O$3)/1000,1)+(_xlfn.RANK.AVG($O9,($J9,$O9,$T9),1)-2)*20)</f>
        <v>-39.9</v>
      </c>
      <c r="W9" s="55">
        <f>IF($T9="","",ROUND(($T9-$T$3)/1000,1)+(_xlfn.RANK.AVG($T9,($J9,$O9,$T9),1)-2)*20)</f>
        <v>42</v>
      </c>
      <c r="Y9" s="8" t="s">
        <v>202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IF($K$1="","",$K$1)</f>
        <v>だいち</v>
      </c>
      <c r="F10" s="8" t="s">
        <v>204</v>
      </c>
      <c r="G10" s="9">
        <v>-1500</v>
      </c>
      <c r="H10" s="9"/>
      <c r="I10" s="48"/>
      <c r="J10" s="21">
        <f t="shared" si="2"/>
        <v>30400</v>
      </c>
      <c r="K10" s="8" t="s">
        <v>204</v>
      </c>
      <c r="L10" s="9">
        <v>3000</v>
      </c>
      <c r="M10" s="9"/>
      <c r="N10" s="48"/>
      <c r="O10" s="21">
        <f t="shared" si="3"/>
        <v>18100</v>
      </c>
      <c r="P10" s="8" t="s">
        <v>204</v>
      </c>
      <c r="Q10" s="9">
        <v>-1500</v>
      </c>
      <c r="R10" s="9"/>
      <c r="S10" s="48"/>
      <c r="T10" s="21">
        <f t="shared" si="4"/>
        <v>55500</v>
      </c>
      <c r="U10" s="53">
        <f>IF($J10="","",ROUND(($J10-$J$3)/1000,1)+(_xlfn.RANK.AVG($J10,($J10,$O10,$T10),1)-2)*20)</f>
        <v>-4.5999999999999996</v>
      </c>
      <c r="V10" s="54">
        <f>IF($O10="","",ROUND(($O10-$O$3)/1000,1)+(_xlfn.RANK.AVG($O10,($J10,$O10,$T10),1)-2)*20)</f>
        <v>-36.9</v>
      </c>
      <c r="W10" s="55">
        <f>IF($T10="","",ROUND(($T10-$T$3)/1000,1)+(_xlfn.RANK.AVG($T10,($J10,$O10,$T10),1)-2)*20)</f>
        <v>40.5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1</v>
      </c>
      <c r="E11" s="4" t="str">
        <f>IF($K$1="","",$K$1)</f>
        <v>だいち</v>
      </c>
      <c r="F11" s="8" t="s">
        <v>200</v>
      </c>
      <c r="G11" s="9">
        <v>-18000</v>
      </c>
      <c r="H11" s="9">
        <v>-1000</v>
      </c>
      <c r="I11" s="48">
        <v>-2000</v>
      </c>
      <c r="J11" s="21">
        <f t="shared" si="2"/>
        <v>9400</v>
      </c>
      <c r="K11" s="8" t="s">
        <v>199</v>
      </c>
      <c r="L11" s="9">
        <v>18000</v>
      </c>
      <c r="M11" s="9">
        <v>3000</v>
      </c>
      <c r="N11" s="48">
        <v>2000</v>
      </c>
      <c r="O11" s="21">
        <f t="shared" si="3"/>
        <v>41100</v>
      </c>
      <c r="P11" s="8"/>
      <c r="Q11" s="9"/>
      <c r="R11" s="9">
        <v>-1000</v>
      </c>
      <c r="S11" s="48"/>
      <c r="T11" s="21">
        <f t="shared" si="4"/>
        <v>54500</v>
      </c>
      <c r="U11" s="53">
        <f>IF($J11="","",ROUND(($J11-$J$3)/1000,1)+(_xlfn.RANK.AVG($J11,($J11,$O11,$T11),1)-2)*20)</f>
        <v>-45.6</v>
      </c>
      <c r="V11" s="54">
        <f>IF($O11="","",ROUND(($O11-$O$3)/1000,1)+(_xlfn.RANK.AVG($O11,($J11,$O11,$T11),1)-2)*20)</f>
        <v>6.1</v>
      </c>
      <c r="W11" s="55">
        <f>IF($T11="","",ROUND(($T11-$T$3)/1000,1)+(_xlfn.RANK.AVG($T11,($J11,$O11,$T11),1)-2)*20)</f>
        <v>39.5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201</v>
      </c>
      <c r="AZ11" s="40" t="s">
        <v>198</v>
      </c>
      <c r="BA11" s="41" t="s">
        <v>205</v>
      </c>
      <c r="BB11" s="41" t="s">
        <v>83</v>
      </c>
      <c r="BC11" s="41" t="s">
        <v>79</v>
      </c>
      <c r="BD11" s="41" t="s">
        <v>206</v>
      </c>
      <c r="BE11" s="41" t="s">
        <v>206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3</v>
      </c>
      <c r="D12" s="18">
        <f t="shared" si="1"/>
        <v>0</v>
      </c>
      <c r="E12" s="4" t="str">
        <f>IF($K$1="","",$K$1)</f>
        <v>だいち</v>
      </c>
      <c r="F12" s="8"/>
      <c r="G12" s="9"/>
      <c r="H12" s="9"/>
      <c r="I12" s="48"/>
      <c r="J12" s="21">
        <f t="shared" si="2"/>
        <v>9400</v>
      </c>
      <c r="K12" s="8" t="s">
        <v>199</v>
      </c>
      <c r="L12" s="9">
        <v>2900</v>
      </c>
      <c r="M12" s="9"/>
      <c r="N12" s="48">
        <v>3000</v>
      </c>
      <c r="O12" s="21">
        <f t="shared" si="3"/>
        <v>47000</v>
      </c>
      <c r="P12" s="8" t="s">
        <v>200</v>
      </c>
      <c r="Q12" s="9">
        <v>-2900</v>
      </c>
      <c r="R12" s="9"/>
      <c r="S12" s="48">
        <v>-3000</v>
      </c>
      <c r="T12" s="21">
        <f t="shared" si="4"/>
        <v>48600</v>
      </c>
      <c r="U12" s="53">
        <f>IF($J12="","",ROUND(($J12-$J$3)/1000,1)+(_xlfn.RANK.AVG($J12,($J12,$O12,$T12),1)-2)*20)</f>
        <v>-45.6</v>
      </c>
      <c r="V12" s="54">
        <f>IF($O12="","",ROUND(($O12-$O$3)/1000,1)+(_xlfn.RANK.AVG($O12,($J12,$O12,$T12),1)-2)*20)</f>
        <v>12</v>
      </c>
      <c r="W12" s="55">
        <f>IF($T12="","",ROUND(($T12-$T$3)/1000,1)+(_xlfn.RANK.AVG($T12,($J12,$O12,$T12),1)-2)*20)</f>
        <v>33.6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30</v>
      </c>
      <c r="AZ12" s="40" t="s">
        <v>86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4</v>
      </c>
      <c r="D13" s="18">
        <f t="shared" si="1"/>
        <v>0</v>
      </c>
      <c r="E13" s="4" t="str">
        <f>IF($K$1="","",$K$1)</f>
        <v>だいち</v>
      </c>
      <c r="F13" s="8" t="s">
        <v>196</v>
      </c>
      <c r="G13" s="9">
        <v>-6000</v>
      </c>
      <c r="H13" s="9"/>
      <c r="I13" s="48">
        <v>-2000</v>
      </c>
      <c r="J13" s="21">
        <f t="shared" si="2"/>
        <v>1400</v>
      </c>
      <c r="K13" s="8" t="s">
        <v>196</v>
      </c>
      <c r="L13" s="9">
        <v>-10000</v>
      </c>
      <c r="M13" s="9"/>
      <c r="N13" s="48">
        <v>-2000</v>
      </c>
      <c r="O13" s="21">
        <f t="shared" si="3"/>
        <v>35000</v>
      </c>
      <c r="P13" s="8" t="s">
        <v>197</v>
      </c>
      <c r="Q13" s="9">
        <v>16000</v>
      </c>
      <c r="R13" s="9"/>
      <c r="S13" s="48">
        <v>4000</v>
      </c>
      <c r="T13" s="21">
        <f t="shared" si="4"/>
        <v>68600</v>
      </c>
      <c r="U13" s="53">
        <f>IF($J13="","",ROUND(($J13-$J$3)/1000,1)+(_xlfn.RANK.AVG($J13,($J13,$O13,$T13),1)-2)*20)</f>
        <v>-53.6</v>
      </c>
      <c r="V13" s="54">
        <f>IF($O13="","",ROUND(($O13-$O$3)/1000,1)+(_xlfn.RANK.AVG($O13,($J13,$O13,$T13),1)-2)*20)</f>
        <v>0</v>
      </c>
      <c r="W13" s="55">
        <f>IF($T13="","",ROUND(($T13-$T$3)/1000,1)+(_xlfn.RANK.AVG($T13,($J13,$O13,$T13),1)-2)*20)</f>
        <v>53.6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8</v>
      </c>
      <c r="BT13" s="30" t="s">
        <v>201</v>
      </c>
      <c r="BU13" s="40" t="s">
        <v>198</v>
      </c>
      <c r="BV13" s="41" t="s">
        <v>82</v>
      </c>
      <c r="BW13" s="41" t="s">
        <v>206</v>
      </c>
      <c r="BX13" s="41" t="s">
        <v>206</v>
      </c>
      <c r="BY13" s="41" t="s">
        <v>80</v>
      </c>
      <c r="BZ13" s="41" t="s">
        <v>80</v>
      </c>
      <c r="CA13" s="41" t="s">
        <v>80</v>
      </c>
      <c r="CB13" s="41" t="s">
        <v>80</v>
      </c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IF($P$1="","",$P$1)</f>
        <v>わさび</v>
      </c>
      <c r="F14" s="8"/>
      <c r="G14" s="9"/>
      <c r="H14" s="9"/>
      <c r="I14" s="48"/>
      <c r="J14" s="21">
        <f t="shared" si="2"/>
        <v>1400</v>
      </c>
      <c r="K14" s="8" t="s">
        <v>199</v>
      </c>
      <c r="L14" s="9">
        <v>12000</v>
      </c>
      <c r="M14" s="9"/>
      <c r="N14" s="48">
        <v>0</v>
      </c>
      <c r="O14" s="21">
        <f t="shared" si="3"/>
        <v>47000</v>
      </c>
      <c r="P14" s="8" t="s">
        <v>200</v>
      </c>
      <c r="Q14" s="9">
        <v>-12000</v>
      </c>
      <c r="R14" s="9"/>
      <c r="S14" s="48">
        <v>0</v>
      </c>
      <c r="T14" s="21">
        <f t="shared" si="4"/>
        <v>56600</v>
      </c>
      <c r="U14" s="53">
        <f>IF($J14="","",ROUND(($J14-$J$3)/1000,1)+(_xlfn.RANK.AVG($J14,($J14,$O14,$T14),1)-2)*20)</f>
        <v>-53.6</v>
      </c>
      <c r="V14" s="54">
        <f>IF($O14="","",ROUND(($O14-$O$3)/1000,1)+(_xlfn.RANK.AVG($O14,($J14,$O14,$T14),1)-2)*20)</f>
        <v>12</v>
      </c>
      <c r="W14" s="55">
        <f>IF($T14="","",ROUND(($T14-$T$3)/1000,1)+(_xlfn.RANK.AVG($T14,($J14,$O14,$T14),1)-2)*20)</f>
        <v>41.6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7</v>
      </c>
      <c r="AY14" s="30" t="s">
        <v>201</v>
      </c>
      <c r="AZ14" s="40" t="s">
        <v>104</v>
      </c>
      <c r="BA14" s="41" t="s">
        <v>86</v>
      </c>
      <c r="BB14" s="41" t="s">
        <v>79</v>
      </c>
      <c r="BC14" s="41" t="s">
        <v>79</v>
      </c>
      <c r="BD14" s="41" t="s">
        <v>79</v>
      </c>
      <c r="BE14" s="41" t="s">
        <v>79</v>
      </c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IF($F$1="","",$F$1)</f>
        <v>りくと</v>
      </c>
      <c r="F15" s="8" t="s">
        <v>204</v>
      </c>
      <c r="G15" s="9">
        <v>0</v>
      </c>
      <c r="H15" s="9"/>
      <c r="I15" s="48"/>
      <c r="J15" s="21">
        <f t="shared" si="2"/>
        <v>1400</v>
      </c>
      <c r="K15" s="8" t="s">
        <v>204</v>
      </c>
      <c r="L15" s="9">
        <v>0</v>
      </c>
      <c r="M15" s="9"/>
      <c r="N15" s="48"/>
      <c r="O15" s="21">
        <f t="shared" si="3"/>
        <v>47000</v>
      </c>
      <c r="P15" s="8" t="s">
        <v>204</v>
      </c>
      <c r="Q15" s="9">
        <v>0</v>
      </c>
      <c r="R15" s="9"/>
      <c r="S15" s="48"/>
      <c r="T15" s="21">
        <f t="shared" si="4"/>
        <v>56600</v>
      </c>
      <c r="U15" s="53">
        <f>IF($J15="","",ROUND(($J15-$J$3)/1000,1)+(_xlfn.RANK.AVG($J15,($J15,$O15,$T15),1)-2)*20)</f>
        <v>-53.6</v>
      </c>
      <c r="V15" s="54">
        <f>IF($O15="","",ROUND(($O15-$O$3)/1000,1)+(_xlfn.RANK.AVG($O15,($J15,$O15,$T15),1)-2)*20)</f>
        <v>12</v>
      </c>
      <c r="W15" s="55">
        <f>IF($T15="","",ROUND(($T15-$T$3)/1000,1)+(_xlfn.RANK.AVG($T15,($J15,$O15,$T15),1)-2)*20)</f>
        <v>41.6</v>
      </c>
      <c r="Y15" s="8" t="s">
        <v>203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203</v>
      </c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203</v>
      </c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tr">
        <f>IF($F$1="","",$F$1)</f>
        <v>りくと</v>
      </c>
      <c r="F16" s="8" t="s">
        <v>199</v>
      </c>
      <c r="G16" s="9">
        <v>24000</v>
      </c>
      <c r="H16" s="9">
        <v>1000</v>
      </c>
      <c r="I16" s="48">
        <v>1000</v>
      </c>
      <c r="J16" s="21">
        <f t="shared" si="2"/>
        <v>27400</v>
      </c>
      <c r="K16" s="8" t="s">
        <v>200</v>
      </c>
      <c r="L16" s="9">
        <v>-24000</v>
      </c>
      <c r="M16" s="9">
        <v>-1000</v>
      </c>
      <c r="N16" s="48">
        <v>-1000</v>
      </c>
      <c r="O16" s="21">
        <f t="shared" si="3"/>
        <v>21000</v>
      </c>
      <c r="P16" s="8"/>
      <c r="Q16" s="9"/>
      <c r="R16" s="9"/>
      <c r="S16" s="48"/>
      <c r="T16" s="21">
        <f t="shared" si="4"/>
        <v>56600</v>
      </c>
      <c r="U16" s="53">
        <f>IF($J16="","",ROUND(($J16-$J$3)/1000,1)+(_xlfn.RANK.AVG($J16,($J16,$O16,$T16),1)-2)*20)</f>
        <v>-7.6</v>
      </c>
      <c r="V16" s="54">
        <f>IF($O16="","",ROUND(($O16-$O$3)/1000,1)+(_xlfn.RANK.AVG($O16,($J16,$O16,$T16),1)-2)*20)</f>
        <v>-34</v>
      </c>
      <c r="W16" s="55">
        <f>IF($T16="","",ROUND(($T16-$T$3)/1000,1)+(_xlfn.RANK.AVG($T16,($J16,$O16,$T16),1)-2)*20)</f>
        <v>41.6</v>
      </c>
      <c r="Y16" s="8"/>
      <c r="Z16" s="34"/>
      <c r="AA16" s="26">
        <v>1</v>
      </c>
      <c r="AB16" s="26"/>
      <c r="AC16" s="26">
        <v>8</v>
      </c>
      <c r="AD16" s="30" t="s">
        <v>201</v>
      </c>
      <c r="AE16" s="40" t="s">
        <v>198</v>
      </c>
      <c r="AF16" s="41" t="s">
        <v>101</v>
      </c>
      <c r="AG16" s="41" t="s">
        <v>104</v>
      </c>
      <c r="AH16" s="41" t="s">
        <v>79</v>
      </c>
      <c r="AI16" s="41" t="s">
        <v>79</v>
      </c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tr">
        <f>IF($F$1="","",$F$1)</f>
        <v>りくと</v>
      </c>
      <c r="F17" s="8" t="s">
        <v>197</v>
      </c>
      <c r="G17" s="9">
        <v>24000</v>
      </c>
      <c r="H17" s="9"/>
      <c r="I17" s="48">
        <v>2000</v>
      </c>
      <c r="J17" s="21">
        <f t="shared" si="2"/>
        <v>53400</v>
      </c>
      <c r="K17" s="8" t="s">
        <v>196</v>
      </c>
      <c r="L17" s="9">
        <v>-12000</v>
      </c>
      <c r="M17" s="9"/>
      <c r="N17" s="48">
        <v>-1000</v>
      </c>
      <c r="O17" s="21">
        <f t="shared" si="3"/>
        <v>8000</v>
      </c>
      <c r="P17" s="8" t="s">
        <v>196</v>
      </c>
      <c r="Q17" s="9">
        <v>-12000</v>
      </c>
      <c r="R17" s="9"/>
      <c r="S17" s="48">
        <v>-1000</v>
      </c>
      <c r="T17" s="21">
        <f t="shared" si="4"/>
        <v>43600</v>
      </c>
      <c r="U17" s="53">
        <f>IF($J17="","",ROUND(($J17-$J$3)/1000,1)+(_xlfn.RANK.AVG($J17,($J17,$O17,$T17),1)-2)*20)</f>
        <v>38.4</v>
      </c>
      <c r="V17" s="54">
        <f>IF($O17="","",ROUND(($O17-$O$3)/1000,1)+(_xlfn.RANK.AVG($O17,($J17,$O17,$T17),1)-2)*20)</f>
        <v>-47</v>
      </c>
      <c r="W17" s="55">
        <f>IF($T17="","",ROUND(($T17-$T$3)/1000,1)+(_xlfn.RANK.AVG($T17,($J17,$O17,$T17),1)-2)*20)</f>
        <v>8.6</v>
      </c>
      <c r="Y17" s="8"/>
      <c r="Z17" s="34"/>
      <c r="AA17" s="26">
        <v>1</v>
      </c>
      <c r="AB17" s="26"/>
      <c r="AC17" s="26">
        <v>8</v>
      </c>
      <c r="AD17" s="30" t="s">
        <v>201</v>
      </c>
      <c r="AE17" s="40" t="s">
        <v>198</v>
      </c>
      <c r="AF17" s="41" t="s">
        <v>82</v>
      </c>
      <c r="AG17" s="41" t="s">
        <v>101</v>
      </c>
      <c r="AH17" s="41" t="s">
        <v>93</v>
      </c>
      <c r="AI17" s="41" t="s">
        <v>79</v>
      </c>
      <c r="AJ17" s="41" t="s">
        <v>79</v>
      </c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6598E1B1-9DC6-44CD-886E-16A49AAC0FB2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allowBlank="1" showInputMessage="1" showErrorMessage="1" sqref="E4:E30" xr:uid="{DD56566C-4101-4998-8FEA-EDD95E838843}">
      <formula1>$U$2:$W$2</formula1>
    </dataValidation>
    <dataValidation type="list" showInputMessage="1" showErrorMessage="1" sqref="K4:K30 P4:P30 F4:F30" xr:uid="{985271C2-C8A6-48B3-BEBE-F8BF279CF38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24086-EB32-4C5A-B27A-FABD980B8E8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わさび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199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-28</v>
      </c>
      <c r="Y4" s="8"/>
      <c r="Z4" s="34"/>
      <c r="AA4" s="26">
        <v>1</v>
      </c>
      <c r="AB4" s="26"/>
      <c r="AC4" s="26">
        <v>5</v>
      </c>
      <c r="AD4" s="30" t="s">
        <v>201</v>
      </c>
      <c r="AE4" s="40" t="s">
        <v>198</v>
      </c>
      <c r="AF4" s="41" t="s">
        <v>205</v>
      </c>
      <c r="AG4" s="41" t="s">
        <v>206</v>
      </c>
      <c r="AH4" s="41" t="s">
        <v>206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わさび</v>
      </c>
      <c r="F5" s="8" t="s">
        <v>199</v>
      </c>
      <c r="G5" s="9">
        <v>3900</v>
      </c>
      <c r="H5" s="9"/>
      <c r="I5" s="48">
        <v>0</v>
      </c>
      <c r="J5" s="21">
        <f t="shared" ref="J5:J30" si="2">IF(COUNTA($F5,$K5,$P5)&gt;0,J4+SUM(G5:I5),"")</f>
        <v>46900</v>
      </c>
      <c r="K5" s="8" t="s">
        <v>200</v>
      </c>
      <c r="L5" s="9">
        <v>-3900</v>
      </c>
      <c r="M5" s="9"/>
      <c r="N5" s="48">
        <v>0</v>
      </c>
      <c r="O5" s="21">
        <f t="shared" ref="O5:O30" si="3">IF(COUNTA($F5,$K5,$P5)&gt;0,O4+SUM(L5:N5),"")</f>
        <v>31100</v>
      </c>
      <c r="P5" s="8"/>
      <c r="Q5" s="9"/>
      <c r="R5" s="9"/>
      <c r="S5" s="48"/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31.9</v>
      </c>
      <c r="V5" s="54">
        <f>IF($O5="","",ROUND(($O5-$O$3)/1000,1)+(_xlfn.RANK.AVG($O5,($J5,$O5,$T5),1)-2)*20)</f>
        <v>-3.9</v>
      </c>
      <c r="W5" s="55">
        <f>IF($T5="","",ROUND(($T5-$T$3)/1000,1)+(_xlfn.RANK.AVG($T5,($J5,$O5,$T5),1)-2)*20)</f>
        <v>-28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104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199</v>
      </c>
      <c r="G6" s="9">
        <v>5800</v>
      </c>
      <c r="H6" s="9">
        <v>1000</v>
      </c>
      <c r="I6" s="48">
        <v>0</v>
      </c>
      <c r="J6" s="21">
        <f t="shared" si="2"/>
        <v>53700</v>
      </c>
      <c r="K6" s="8"/>
      <c r="L6" s="9"/>
      <c r="M6" s="9">
        <v>-1000</v>
      </c>
      <c r="N6" s="48"/>
      <c r="O6" s="21">
        <f t="shared" si="3"/>
        <v>30100</v>
      </c>
      <c r="P6" s="8" t="s">
        <v>200</v>
      </c>
      <c r="Q6" s="9">
        <v>-5800</v>
      </c>
      <c r="R6" s="9"/>
      <c r="S6" s="48">
        <v>0</v>
      </c>
      <c r="T6" s="21">
        <f t="shared" si="4"/>
        <v>21200</v>
      </c>
      <c r="U6" s="53">
        <f>IF($J6="","",ROUND(($J6-$J$3)/1000,1)+(_xlfn.RANK.AVG($J6,($J6,$O6,$T6),1)-2)*20)</f>
        <v>38.700000000000003</v>
      </c>
      <c r="V6" s="54">
        <f>IF($O6="","",ROUND(($O6-$O$3)/1000,1)+(_xlfn.RANK.AVG($O6,($J6,$O6,$T6),1)-2)*20)</f>
        <v>-4.9000000000000004</v>
      </c>
      <c r="W6" s="55">
        <f>IF($T6="","",ROUND(($T6-$T$3)/1000,1)+(_xlfn.RANK.AVG($T6,($J6,$O6,$T6),1)-2)*20)</f>
        <v>-33.799999999999997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86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IF($F$1="","",$F$1)</f>
        <v>りくと</v>
      </c>
      <c r="F7" s="8" t="s">
        <v>196</v>
      </c>
      <c r="G7" s="9">
        <v>-5000</v>
      </c>
      <c r="H7" s="9"/>
      <c r="I7" s="48">
        <v>-500</v>
      </c>
      <c r="J7" s="21">
        <f t="shared" si="2"/>
        <v>48200</v>
      </c>
      <c r="K7" s="8" t="s">
        <v>196</v>
      </c>
      <c r="L7" s="9">
        <v>-3000</v>
      </c>
      <c r="M7" s="9"/>
      <c r="N7" s="48">
        <v>-500</v>
      </c>
      <c r="O7" s="21">
        <f t="shared" si="3"/>
        <v>26600</v>
      </c>
      <c r="P7" s="8" t="s">
        <v>197</v>
      </c>
      <c r="Q7" s="9">
        <v>8000</v>
      </c>
      <c r="R7" s="9"/>
      <c r="S7" s="48">
        <v>1000</v>
      </c>
      <c r="T7" s="21">
        <f t="shared" si="4"/>
        <v>30200</v>
      </c>
      <c r="U7" s="53">
        <f>IF($J7="","",ROUND(($J7-$J$3)/1000,1)+(_xlfn.RANK.AVG($J7,($J7,$O7,$T7),1)-2)*20)</f>
        <v>33.200000000000003</v>
      </c>
      <c r="V7" s="54">
        <f>IF($O7="","",ROUND(($O7-$O$3)/1000,1)+(_xlfn.RANK.AVG($O7,($J7,$O7,$T7),1)-2)*20)</f>
        <v>-28.4</v>
      </c>
      <c r="W7" s="55">
        <f>IF($T7="","",ROUND(($T7-$T$3)/1000,1)+(_xlfn.RANK.AVG($T7,($J7,$O7,$T7),1)-2)*20)</f>
        <v>-4.8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201</v>
      </c>
      <c r="BU7" s="40" t="s">
        <v>86</v>
      </c>
      <c r="BV7" s="41" t="s">
        <v>86</v>
      </c>
      <c r="BW7" s="41" t="s">
        <v>206</v>
      </c>
      <c r="BX7" s="41" t="s">
        <v>104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/>
      <c r="G8" s="9"/>
      <c r="H8" s="9"/>
      <c r="I8" s="48"/>
      <c r="J8" s="21">
        <f t="shared" si="2"/>
        <v>48200</v>
      </c>
      <c r="K8" s="8" t="s">
        <v>200</v>
      </c>
      <c r="L8" s="9">
        <v>-8000</v>
      </c>
      <c r="M8" s="9"/>
      <c r="N8" s="48">
        <v>0</v>
      </c>
      <c r="O8" s="21">
        <f t="shared" si="3"/>
        <v>18600</v>
      </c>
      <c r="P8" s="8" t="s">
        <v>199</v>
      </c>
      <c r="Q8" s="9">
        <v>8000</v>
      </c>
      <c r="R8" s="9"/>
      <c r="S8" s="48">
        <v>0</v>
      </c>
      <c r="T8" s="21">
        <f t="shared" si="4"/>
        <v>38200</v>
      </c>
      <c r="U8" s="53">
        <f>IF($J8="","",ROUND(($J8-$J$3)/1000,1)+(_xlfn.RANK.AVG($J8,($J8,$O8,$T8),1)-2)*20)</f>
        <v>33.200000000000003</v>
      </c>
      <c r="V8" s="54">
        <f>IF($O8="","",ROUND(($O8-$O$3)/1000,1)+(_xlfn.RANK.AVG($O8,($J8,$O8,$T8),1)-2)*20)</f>
        <v>-36.4</v>
      </c>
      <c r="W8" s="55">
        <f>IF($T8="","",ROUND(($T8-$T$3)/1000,1)+(_xlfn.RANK.AVG($T8,($J8,$O8,$T8),1)-2)*20)</f>
        <v>3.2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201</v>
      </c>
      <c r="BU8" s="40" t="s">
        <v>198</v>
      </c>
      <c r="BV8" s="41" t="s">
        <v>83</v>
      </c>
      <c r="BW8" s="41" t="s">
        <v>79</v>
      </c>
      <c r="BX8" s="41" t="s">
        <v>80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IF($P$1="","",$P$1)</f>
        <v>わさび</v>
      </c>
      <c r="F9" s="8" t="s">
        <v>204</v>
      </c>
      <c r="G9" s="9">
        <v>3000</v>
      </c>
      <c r="H9" s="9">
        <v>-1000</v>
      </c>
      <c r="I9" s="48"/>
      <c r="J9" s="21">
        <f t="shared" si="2"/>
        <v>50200</v>
      </c>
      <c r="K9" s="8" t="s">
        <v>204</v>
      </c>
      <c r="L9" s="9">
        <v>-1500</v>
      </c>
      <c r="M9" s="9"/>
      <c r="N9" s="48"/>
      <c r="O9" s="21">
        <f t="shared" si="3"/>
        <v>17100</v>
      </c>
      <c r="P9" s="8" t="s">
        <v>204</v>
      </c>
      <c r="Q9" s="9">
        <v>-1500</v>
      </c>
      <c r="R9" s="9"/>
      <c r="S9" s="48"/>
      <c r="T9" s="21">
        <f t="shared" si="4"/>
        <v>36700</v>
      </c>
      <c r="U9" s="53">
        <f>IF($J9="","",ROUND(($J9-$J$3)/1000,1)+(_xlfn.RANK.AVG($J9,($J9,$O9,$T9),1)-2)*20)</f>
        <v>35.200000000000003</v>
      </c>
      <c r="V9" s="54">
        <f>IF($O9="","",ROUND(($O9-$O$3)/1000,1)+(_xlfn.RANK.AVG($O9,($J9,$O9,$T9),1)-2)*20)</f>
        <v>-37.9</v>
      </c>
      <c r="W9" s="55">
        <f>IF($T9="","",ROUND(($T9-$T$3)/1000,1)+(_xlfn.RANK.AVG($T9,($J9,$O9,$T9),1)-2)*20)</f>
        <v>1.7</v>
      </c>
      <c r="Y9" s="8" t="s">
        <v>203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tr">
        <f>IF($F$1="","",$F$1)</f>
        <v>りくと</v>
      </c>
      <c r="F10" s="8" t="s">
        <v>200</v>
      </c>
      <c r="G10" s="9">
        <v>-5200</v>
      </c>
      <c r="H10" s="9">
        <v>-1000</v>
      </c>
      <c r="I10" s="48">
        <v>-1000</v>
      </c>
      <c r="J10" s="21">
        <f t="shared" si="2"/>
        <v>43000</v>
      </c>
      <c r="K10" s="8"/>
      <c r="L10" s="9"/>
      <c r="M10" s="9"/>
      <c r="N10" s="48"/>
      <c r="O10" s="21">
        <f t="shared" si="3"/>
        <v>17100</v>
      </c>
      <c r="P10" s="8" t="s">
        <v>199</v>
      </c>
      <c r="Q10" s="9">
        <v>5200</v>
      </c>
      <c r="R10" s="9">
        <v>2000</v>
      </c>
      <c r="S10" s="48">
        <v>1000</v>
      </c>
      <c r="T10" s="21">
        <f t="shared" si="4"/>
        <v>44900</v>
      </c>
      <c r="U10" s="53">
        <f>IF($J10="","",ROUND(($J10-$J$3)/1000,1)+(_xlfn.RANK.AVG($J10,($J10,$O10,$T10),1)-2)*20)</f>
        <v>8</v>
      </c>
      <c r="V10" s="54">
        <f>IF($O10="","",ROUND(($O10-$O$3)/1000,1)+(_xlfn.RANK.AVG($O10,($J10,$O10,$T10),1)-2)*20)</f>
        <v>-37.9</v>
      </c>
      <c r="W10" s="55">
        <f>IF($T10="","",ROUND(($T10-$T$3)/1000,1)+(_xlfn.RANK.AVG($T10,($J10,$O10,$T10),1)-2)*20)</f>
        <v>29.9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198</v>
      </c>
      <c r="BV10" s="41" t="s">
        <v>206</v>
      </c>
      <c r="BW10" s="41" t="s">
        <v>206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1844ACC2-DFF8-4F68-A912-42912E661420}">
      <formula1>"ロン,ツモ,放銃,ツモ支払,流局,チョンボ"</formula1>
    </dataValidation>
    <dataValidation type="list" allowBlank="1" showInputMessage="1" showErrorMessage="1" sqref="E4:E30" xr:uid="{713AA217-7B2F-4D4E-9B96-0E5EC07A5D47}">
      <formula1>$U$2:$W$2</formula1>
    </dataValidation>
    <dataValidation type="list" allowBlank="1" showInputMessage="1" sqref="F1:T1" xr:uid="{FAEA78F2-C7D3-4CA0-B129-CD3DECF95DC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77C0A-ED47-4897-B8F3-5293461DD9E9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わさび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わさび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199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 t="s">
        <v>200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22.9</v>
      </c>
      <c r="V4" s="54">
        <f>IF($O4="","",ROUND(($O4-$O$3)/1000,1)+(_xlfn.RANK.AVG($O4,($J4,$O4,$T4),1)-2)*20)</f>
        <v>-22.9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204</v>
      </c>
      <c r="G5" s="9">
        <v>-3000</v>
      </c>
      <c r="H5" s="9"/>
      <c r="I5" s="48"/>
      <c r="J5" s="21">
        <f t="shared" ref="J5:J30" si="2">IF(COUNTA($F5,$K5,$P5)&gt;0,J4+SUM(G5:I5),"")</f>
        <v>34900</v>
      </c>
      <c r="K5" s="8" t="s">
        <v>204</v>
      </c>
      <c r="L5" s="9">
        <v>1500</v>
      </c>
      <c r="M5" s="9">
        <v>-1000</v>
      </c>
      <c r="N5" s="48"/>
      <c r="O5" s="21">
        <f t="shared" ref="O5:O30" si="3">IF(COUNTA($F5,$K5,$P5)&gt;0,O4+SUM(L5:N5),"")</f>
        <v>32600</v>
      </c>
      <c r="P5" s="8" t="s">
        <v>204</v>
      </c>
      <c r="Q5" s="9">
        <v>1500</v>
      </c>
      <c r="R5" s="9">
        <v>-1000</v>
      </c>
      <c r="S5" s="48"/>
      <c r="T5" s="21">
        <f t="shared" ref="T5:T30" si="4">IF(COUNTA($F5,$K5,$P5)&gt;0,T4+SUM(Q5:S5),"")</f>
        <v>35500</v>
      </c>
      <c r="U5" s="53">
        <f>IF($J5="","",ROUND(($J5-$J$3)/1000,1)+(_xlfn.RANK.AVG($J5,($J5,$O5,$T5),1)-2)*20)</f>
        <v>-0.1</v>
      </c>
      <c r="V5" s="54">
        <f>IF($O5="","",ROUND(($O5-$O$3)/1000,1)+(_xlfn.RANK.AVG($O5,($J5,$O5,$T5),1)-2)*20)</f>
        <v>-22.4</v>
      </c>
      <c r="W5" s="55">
        <f>IF($T5="","",ROUND(($T5-$T$3)/1000,1)+(_xlfn.RANK.AVG($T5,($J5,$O5,$T5),1)-2)*20)</f>
        <v>20.5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tr">
        <f>IF($K$1="","",$K$1)</f>
        <v>だいち</v>
      </c>
      <c r="F6" s="8" t="s">
        <v>197</v>
      </c>
      <c r="G6" s="9">
        <v>3200</v>
      </c>
      <c r="H6" s="9">
        <v>2000</v>
      </c>
      <c r="I6" s="48">
        <v>2000</v>
      </c>
      <c r="J6" s="21">
        <f t="shared" si="2"/>
        <v>42100</v>
      </c>
      <c r="K6" s="8" t="s">
        <v>196</v>
      </c>
      <c r="L6" s="9">
        <v>-2000</v>
      </c>
      <c r="M6" s="9"/>
      <c r="N6" s="48">
        <v>-1000</v>
      </c>
      <c r="O6" s="21">
        <f t="shared" si="3"/>
        <v>29600</v>
      </c>
      <c r="P6" s="8" t="s">
        <v>196</v>
      </c>
      <c r="Q6" s="9">
        <v>-1200</v>
      </c>
      <c r="R6" s="9"/>
      <c r="S6" s="48">
        <v>-1000</v>
      </c>
      <c r="T6" s="21">
        <f t="shared" si="4"/>
        <v>33300</v>
      </c>
      <c r="U6" s="53">
        <f>IF($J6="","",ROUND(($J6-$J$3)/1000,1)+(_xlfn.RANK.AVG($J6,($J6,$O6,$T6),1)-2)*20)</f>
        <v>27.1</v>
      </c>
      <c r="V6" s="54">
        <f>IF($O6="","",ROUND(($O6-$O$3)/1000,1)+(_xlfn.RANK.AVG($O6,($J6,$O6,$T6),1)-2)*20)</f>
        <v>-25.4</v>
      </c>
      <c r="W6" s="55">
        <f>IF($T6="","",ROUND(($T6-$T$3)/1000,1)+(_xlfn.RANK.AVG($T6,($J6,$O6,$T6),1)-2)*20)</f>
        <v>-1.7</v>
      </c>
      <c r="Y6" s="8"/>
      <c r="Z6" s="34"/>
      <c r="AA6" s="26"/>
      <c r="AB6" s="26"/>
      <c r="AC6" s="26">
        <v>3</v>
      </c>
      <c r="AD6" s="30">
        <v>25</v>
      </c>
      <c r="AE6" s="40" t="s">
        <v>101</v>
      </c>
      <c r="AF6" s="41" t="s">
        <v>82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わさび</v>
      </c>
      <c r="F7" s="8" t="s">
        <v>196</v>
      </c>
      <c r="G7" s="9">
        <v>-4500</v>
      </c>
      <c r="H7" s="9"/>
      <c r="I7" s="48">
        <v>0</v>
      </c>
      <c r="J7" s="21">
        <f t="shared" si="2"/>
        <v>37600</v>
      </c>
      <c r="K7" s="8" t="s">
        <v>197</v>
      </c>
      <c r="L7" s="9">
        <v>12000</v>
      </c>
      <c r="M7" s="9">
        <v>1000</v>
      </c>
      <c r="N7" s="48">
        <v>0</v>
      </c>
      <c r="O7" s="21">
        <f t="shared" si="3"/>
        <v>42600</v>
      </c>
      <c r="P7" s="8" t="s">
        <v>196</v>
      </c>
      <c r="Q7" s="9">
        <v>-7500</v>
      </c>
      <c r="R7" s="9">
        <v>-1000</v>
      </c>
      <c r="S7" s="48">
        <v>0</v>
      </c>
      <c r="T7" s="21">
        <f t="shared" si="4"/>
        <v>24800</v>
      </c>
      <c r="U7" s="53">
        <f>IF($J7="","",ROUND(($J7-$J$3)/1000,1)+(_xlfn.RANK.AVG($J7,($J7,$O7,$T7),1)-2)*20)</f>
        <v>2.6</v>
      </c>
      <c r="V7" s="54">
        <f>IF($O7="","",ROUND(($O7-$O$3)/1000,1)+(_xlfn.RANK.AVG($O7,($J7,$O7,$T7),1)-2)*20)</f>
        <v>27.6</v>
      </c>
      <c r="W7" s="55">
        <f>IF($T7="","",ROUND(($T7-$T$3)/1000,1)+(_xlfn.RANK.AVG($T7,($J7,$O7,$T7),1)-2)*20)</f>
        <v>-30.2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201</v>
      </c>
      <c r="AZ7" s="40" t="s">
        <v>198</v>
      </c>
      <c r="BA7" s="41" t="s">
        <v>82</v>
      </c>
      <c r="BB7" s="41" t="s">
        <v>79</v>
      </c>
      <c r="BC7" s="41" t="s">
        <v>80</v>
      </c>
      <c r="BD7" s="41" t="s">
        <v>104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200</v>
      </c>
      <c r="G8" s="9">
        <v>-3900</v>
      </c>
      <c r="H8" s="9"/>
      <c r="I8" s="48">
        <v>0</v>
      </c>
      <c r="J8" s="21">
        <f t="shared" si="2"/>
        <v>33700</v>
      </c>
      <c r="K8" s="8"/>
      <c r="L8" s="9"/>
      <c r="M8" s="9"/>
      <c r="N8" s="48"/>
      <c r="O8" s="21">
        <f t="shared" si="3"/>
        <v>42600</v>
      </c>
      <c r="P8" s="8" t="s">
        <v>199</v>
      </c>
      <c r="Q8" s="9">
        <v>3900</v>
      </c>
      <c r="R8" s="9"/>
      <c r="S8" s="48">
        <v>0</v>
      </c>
      <c r="T8" s="21">
        <f t="shared" si="4"/>
        <v>28700</v>
      </c>
      <c r="U8" s="53">
        <f>IF($J8="","",ROUND(($J8-$J$3)/1000,1)+(_xlfn.RANK.AVG($J8,($J8,$O8,$T8),1)-2)*20)</f>
        <v>-1.3</v>
      </c>
      <c r="V8" s="54">
        <f>IF($O8="","",ROUND(($O8-$O$3)/1000,1)+(_xlfn.RANK.AVG($O8,($J8,$O8,$T8),1)-2)*20)</f>
        <v>27.6</v>
      </c>
      <c r="W8" s="55">
        <f>IF($T8="","",ROUND(($T8-$T$3)/1000,1)+(_xlfn.RANK.AVG($T8,($J8,$O8,$T8),1)-2)*20)</f>
        <v>-26.3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86</v>
      </c>
      <c r="BW8" s="41" t="s">
        <v>206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196</v>
      </c>
      <c r="G9" s="9">
        <v>-3900</v>
      </c>
      <c r="H9" s="9"/>
      <c r="I9" s="48">
        <v>0</v>
      </c>
      <c r="J9" s="21">
        <f t="shared" si="2"/>
        <v>29800</v>
      </c>
      <c r="K9" s="8" t="s">
        <v>197</v>
      </c>
      <c r="L9" s="9">
        <v>7800</v>
      </c>
      <c r="M9" s="9"/>
      <c r="N9" s="48">
        <v>0</v>
      </c>
      <c r="O9" s="21">
        <f t="shared" si="3"/>
        <v>50400</v>
      </c>
      <c r="P9" s="8" t="s">
        <v>196</v>
      </c>
      <c r="Q9" s="9">
        <v>-3900</v>
      </c>
      <c r="R9" s="9"/>
      <c r="S9" s="48">
        <v>0</v>
      </c>
      <c r="T9" s="21">
        <f t="shared" si="4"/>
        <v>24800</v>
      </c>
      <c r="U9" s="53">
        <f>IF($J9="","",ROUND(($J9-$J$3)/1000,1)+(_xlfn.RANK.AVG($J9,($J9,$O9,$T9),1)-2)*20)</f>
        <v>-5.2</v>
      </c>
      <c r="V9" s="54">
        <f>IF($O9="","",ROUND(($O9-$O$3)/1000,1)+(_xlfn.RANK.AVG($O9,($J9,$O9,$T9),1)-2)*20)</f>
        <v>35.4</v>
      </c>
      <c r="W9" s="55">
        <f>IF($T9="","",ROUND(($T9-$T$3)/1000,1)+(_xlfn.RANK.AVG($T9,($J9,$O9,$T9),1)-2)*20)</f>
        <v>-30.2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20</v>
      </c>
      <c r="AZ9" s="40" t="s">
        <v>198</v>
      </c>
      <c r="BA9" s="41" t="s">
        <v>82</v>
      </c>
      <c r="BB9" s="41" t="s">
        <v>205</v>
      </c>
      <c r="BC9" s="41" t="s">
        <v>83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200</v>
      </c>
      <c r="G10" s="9">
        <v>-8000</v>
      </c>
      <c r="H10" s="9">
        <v>-1000</v>
      </c>
      <c r="I10" s="48">
        <v>-1000</v>
      </c>
      <c r="J10" s="21">
        <f t="shared" si="2"/>
        <v>19800</v>
      </c>
      <c r="K10" s="8"/>
      <c r="L10" s="9"/>
      <c r="M10" s="9"/>
      <c r="N10" s="48"/>
      <c r="O10" s="21">
        <f t="shared" si="3"/>
        <v>50400</v>
      </c>
      <c r="P10" s="8" t="s">
        <v>199</v>
      </c>
      <c r="Q10" s="9">
        <v>8000</v>
      </c>
      <c r="R10" s="9">
        <v>1000</v>
      </c>
      <c r="S10" s="48">
        <v>1000</v>
      </c>
      <c r="T10" s="21">
        <f t="shared" si="4"/>
        <v>34800</v>
      </c>
      <c r="U10" s="53">
        <f>IF($J10="","",ROUND(($J10-$J$3)/1000,1)+(_xlfn.RANK.AVG($J10,($J10,$O10,$T10),1)-2)*20)</f>
        <v>-35.200000000000003</v>
      </c>
      <c r="V10" s="54">
        <f>IF($O10="","",ROUND(($O10-$O$3)/1000,1)+(_xlfn.RANK.AVG($O10,($J10,$O10,$T10),1)-2)*20)</f>
        <v>35.4</v>
      </c>
      <c r="W10" s="55">
        <f>IF($T10="","",ROUND(($T10-$T$3)/1000,1)+(_xlfn.RANK.AVG($T10,($J10,$O10,$T10),1)-2)*20)</f>
        <v>-0.2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198</v>
      </c>
      <c r="BV10" s="41" t="s">
        <v>86</v>
      </c>
      <c r="BW10" s="41" t="s">
        <v>206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わさび</v>
      </c>
      <c r="F11" s="8" t="s">
        <v>204</v>
      </c>
      <c r="G11" s="9">
        <v>1500</v>
      </c>
      <c r="H11" s="9">
        <v>-1000</v>
      </c>
      <c r="I11" s="48"/>
      <c r="J11" s="21">
        <f t="shared" si="2"/>
        <v>20300</v>
      </c>
      <c r="K11" s="8" t="s">
        <v>204</v>
      </c>
      <c r="L11" s="9">
        <v>-3000</v>
      </c>
      <c r="M11" s="9"/>
      <c r="N11" s="48"/>
      <c r="O11" s="21">
        <f t="shared" si="3"/>
        <v>47400</v>
      </c>
      <c r="P11" s="8" t="s">
        <v>204</v>
      </c>
      <c r="Q11" s="9">
        <v>1500</v>
      </c>
      <c r="R11" s="9"/>
      <c r="S11" s="48"/>
      <c r="T11" s="21">
        <f t="shared" si="4"/>
        <v>36300</v>
      </c>
      <c r="U11" s="53">
        <f>IF($J11="","",ROUND(($J11-$J$3)/1000,1)+(_xlfn.RANK.AVG($J11,($J11,$O11,$T11),1)-2)*20)</f>
        <v>-34.700000000000003</v>
      </c>
      <c r="V11" s="54">
        <f>IF($O11="","",ROUND(($O11-$O$3)/1000,1)+(_xlfn.RANK.AVG($O11,($J11,$O11,$T11),1)-2)*20)</f>
        <v>32.4</v>
      </c>
      <c r="W11" s="55">
        <f>IF($T11="","",ROUND(($T11-$T$3)/1000,1)+(_xlfn.RANK.AVG($T11,($J11,$O11,$T11),1)-2)*20)</f>
        <v>1.3</v>
      </c>
      <c r="Y11" s="8" t="s">
        <v>203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202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tr">
        <f>IF($P$1="","",$P$1)</f>
        <v>わさび</v>
      </c>
      <c r="F12" s="8" t="s">
        <v>196</v>
      </c>
      <c r="G12" s="9">
        <v>-9000</v>
      </c>
      <c r="H12" s="9"/>
      <c r="I12" s="48">
        <v>-500</v>
      </c>
      <c r="J12" s="21">
        <f t="shared" si="2"/>
        <v>10800</v>
      </c>
      <c r="K12" s="8" t="s">
        <v>196</v>
      </c>
      <c r="L12" s="9">
        <v>-9000</v>
      </c>
      <c r="M12" s="9"/>
      <c r="N12" s="48">
        <v>-500</v>
      </c>
      <c r="O12" s="21">
        <f t="shared" si="3"/>
        <v>37900</v>
      </c>
      <c r="P12" s="8" t="s">
        <v>197</v>
      </c>
      <c r="Q12" s="9">
        <v>18000</v>
      </c>
      <c r="R12" s="9">
        <v>1000</v>
      </c>
      <c r="S12" s="48">
        <v>1000</v>
      </c>
      <c r="T12" s="21">
        <f t="shared" si="4"/>
        <v>56300</v>
      </c>
      <c r="U12" s="53">
        <f>IF($J12="","",ROUND(($J12-$J$3)/1000,1)+(_xlfn.RANK.AVG($J12,($J12,$O12,$T12),1)-2)*20)</f>
        <v>-44.2</v>
      </c>
      <c r="V12" s="54">
        <f>IF($O12="","",ROUND(($O12-$O$3)/1000,1)+(_xlfn.RANK.AVG($O12,($J12,$O12,$T12),1)-2)*20)</f>
        <v>2.9</v>
      </c>
      <c r="W12" s="55">
        <f>IF($T12="","",ROUND(($T12-$T$3)/1000,1)+(_xlfn.RANK.AVG($T12,($J12,$O12,$T12),1)-2)*20)</f>
        <v>41.3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201</v>
      </c>
      <c r="BU12" s="40" t="s">
        <v>198</v>
      </c>
      <c r="BV12" s="41" t="s">
        <v>82</v>
      </c>
      <c r="BW12" s="41" t="s">
        <v>205</v>
      </c>
      <c r="BX12" s="41" t="s">
        <v>83</v>
      </c>
      <c r="BY12" s="41" t="s">
        <v>79</v>
      </c>
      <c r="BZ12" s="41" t="s">
        <v>80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5893F2A0-5058-47E0-A944-08628F91B696}">
      <formula1>$U$2:$W$2</formula1>
    </dataValidation>
    <dataValidation type="list" showInputMessage="1" showErrorMessage="1" sqref="K4:K30 P4:P30 F4:F30" xr:uid="{3BF691D7-AD9F-427B-9F69-741AC032A5C6}">
      <formula1>"ロン,ツモ,放銃,ツモ支払,流局,チョンボ"</formula1>
    </dataValidation>
    <dataValidation type="list" allowBlank="1" showInputMessage="1" sqref="F1:T1" xr:uid="{47129DBA-6E23-412E-9CA3-108C36FFCEC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6F47-57A9-4D1F-9FB7-E348AEF7B572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わさび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だいち</v>
      </c>
      <c r="W2" s="16" t="str">
        <f>$P$1</f>
        <v>わさび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204</v>
      </c>
      <c r="G4" s="9">
        <v>-1500</v>
      </c>
      <c r="H4" s="9"/>
      <c r="I4" s="48"/>
      <c r="J4" s="21">
        <f>IF(COUNTA($F4,$K4,$P4)&gt;0,J3+SUM(G4:I4),"")</f>
        <v>33500</v>
      </c>
      <c r="K4" s="8" t="s">
        <v>204</v>
      </c>
      <c r="L4" s="9">
        <v>-1500</v>
      </c>
      <c r="M4" s="9"/>
      <c r="N4" s="48"/>
      <c r="O4" s="21">
        <f>IF(COUNTA($F4,$K4,$P4)&gt;0,O3+SUM(L4:N4),"")</f>
        <v>33500</v>
      </c>
      <c r="P4" s="8" t="s">
        <v>204</v>
      </c>
      <c r="Q4" s="9">
        <v>3000</v>
      </c>
      <c r="R4" s="9"/>
      <c r="S4" s="48"/>
      <c r="T4" s="21">
        <f>IF(COUNTA($F4,$K4,$P4)&gt;0,T3+SUM(Q4:S4),"")</f>
        <v>38000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23</v>
      </c>
      <c r="Y4" s="8" t="s">
        <v>202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わさび</v>
      </c>
      <c r="F5" s="8"/>
      <c r="G5" s="9"/>
      <c r="H5" s="9"/>
      <c r="I5" s="48"/>
      <c r="J5" s="21">
        <f t="shared" ref="J5:J30" si="2">IF(COUNTA($F5,$K5,$P5)&gt;0,J4+SUM(G5:I5),"")</f>
        <v>33500</v>
      </c>
      <c r="K5" s="8" t="s">
        <v>200</v>
      </c>
      <c r="L5" s="9">
        <v>-2000</v>
      </c>
      <c r="M5" s="9">
        <v>-1000</v>
      </c>
      <c r="N5" s="48">
        <v>-1000</v>
      </c>
      <c r="O5" s="21">
        <f t="shared" ref="O5:O30" si="3">IF(COUNTA($F5,$K5,$P5)&gt;0,O4+SUM(L5:N5),"")</f>
        <v>29500</v>
      </c>
      <c r="P5" s="8" t="s">
        <v>199</v>
      </c>
      <c r="Q5" s="9">
        <v>2000</v>
      </c>
      <c r="R5" s="9">
        <v>1000</v>
      </c>
      <c r="S5" s="48">
        <v>1000</v>
      </c>
      <c r="T5" s="21">
        <f t="shared" ref="T5:T30" si="4">IF(COUNTA($F5,$K5,$P5)&gt;0,T4+SUM(Q5:S5),"")</f>
        <v>42000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-25.5</v>
      </c>
      <c r="W5" s="55">
        <f>IF($T5="","",ROUND(($T5-$T$3)/1000,1)+(_xlfn.RANK.AVG($T5,($J5,$O5,$T5),1)-2)*20)</f>
        <v>27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40</v>
      </c>
      <c r="BU5" s="40" t="s">
        <v>84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わさび</v>
      </c>
      <c r="F6" s="8" t="s">
        <v>196</v>
      </c>
      <c r="G6" s="9">
        <v>-9000</v>
      </c>
      <c r="H6" s="9">
        <v>-1000</v>
      </c>
      <c r="I6" s="48">
        <v>-1000</v>
      </c>
      <c r="J6" s="21">
        <f t="shared" si="2"/>
        <v>22500</v>
      </c>
      <c r="K6" s="8" t="s">
        <v>196</v>
      </c>
      <c r="L6" s="9">
        <v>-9000</v>
      </c>
      <c r="M6" s="9"/>
      <c r="N6" s="48">
        <v>-1000</v>
      </c>
      <c r="O6" s="21">
        <f t="shared" si="3"/>
        <v>19500</v>
      </c>
      <c r="P6" s="8" t="s">
        <v>197</v>
      </c>
      <c r="Q6" s="9">
        <v>18000</v>
      </c>
      <c r="R6" s="9">
        <v>1000</v>
      </c>
      <c r="S6" s="48">
        <v>2000</v>
      </c>
      <c r="T6" s="21">
        <f t="shared" si="4"/>
        <v>63000</v>
      </c>
      <c r="U6" s="53">
        <f>IF($J6="","",ROUND(($J6-$J$3)/1000,1)+(_xlfn.RANK.AVG($J6,($J6,$O6,$T6),1)-2)*20)</f>
        <v>-12.5</v>
      </c>
      <c r="V6" s="54">
        <f>IF($O6="","",ROUND(($O6-$O$3)/1000,1)+(_xlfn.RANK.AVG($O6,($J6,$O6,$T6),1)-2)*20)</f>
        <v>-35.5</v>
      </c>
      <c r="W6" s="55">
        <f>IF($T6="","",ROUND(($T6-$T$3)/1000,1)+(_xlfn.RANK.AVG($T6,($J6,$O6,$T6),1)-2)*20)</f>
        <v>48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7</v>
      </c>
      <c r="BT6" s="30" t="s">
        <v>201</v>
      </c>
      <c r="BU6" s="40" t="s">
        <v>198</v>
      </c>
      <c r="BV6" s="41" t="s">
        <v>82</v>
      </c>
      <c r="BW6" s="41" t="s">
        <v>93</v>
      </c>
      <c r="BX6" s="41" t="s">
        <v>102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IF($P$1="","",$P$1)</f>
        <v>わさび</v>
      </c>
      <c r="F7" s="8"/>
      <c r="G7" s="9"/>
      <c r="H7" s="9"/>
      <c r="I7" s="48"/>
      <c r="J7" s="21">
        <f t="shared" si="2"/>
        <v>22500</v>
      </c>
      <c r="K7" s="8" t="s">
        <v>199</v>
      </c>
      <c r="L7" s="9">
        <v>2000</v>
      </c>
      <c r="M7" s="9"/>
      <c r="N7" s="48">
        <v>3000</v>
      </c>
      <c r="O7" s="21">
        <f t="shared" si="3"/>
        <v>24500</v>
      </c>
      <c r="P7" s="8" t="s">
        <v>200</v>
      </c>
      <c r="Q7" s="9">
        <v>-2000</v>
      </c>
      <c r="R7" s="9"/>
      <c r="S7" s="48">
        <v>-3000</v>
      </c>
      <c r="T7" s="21">
        <f t="shared" si="4"/>
        <v>58000</v>
      </c>
      <c r="U7" s="53">
        <f>IF($J7="","",ROUND(($J7-$J$3)/1000,1)+(_xlfn.RANK.AVG($J7,($J7,$O7,$T7),1)-2)*20)</f>
        <v>-32.5</v>
      </c>
      <c r="V7" s="54">
        <f>IF($O7="","",ROUND(($O7-$O$3)/1000,1)+(_xlfn.RANK.AVG($O7,($J7,$O7,$T7),1)-2)*20)</f>
        <v>-10.5</v>
      </c>
      <c r="W7" s="55">
        <f>IF($T7="","",ROUND(($T7-$T$3)/1000,1)+(_xlfn.RANK.AVG($T7,($J7,$O7,$T7),1)-2)*20)</f>
        <v>43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196</v>
      </c>
      <c r="G8" s="9">
        <v>-3300</v>
      </c>
      <c r="H8" s="9"/>
      <c r="I8" s="48">
        <v>0</v>
      </c>
      <c r="J8" s="21">
        <f t="shared" si="2"/>
        <v>19200</v>
      </c>
      <c r="K8" s="8" t="s">
        <v>197</v>
      </c>
      <c r="L8" s="9">
        <v>5300</v>
      </c>
      <c r="M8" s="9"/>
      <c r="N8" s="48">
        <v>0</v>
      </c>
      <c r="O8" s="21">
        <f t="shared" si="3"/>
        <v>29800</v>
      </c>
      <c r="P8" s="8" t="s">
        <v>196</v>
      </c>
      <c r="Q8" s="9">
        <v>-2000</v>
      </c>
      <c r="R8" s="9"/>
      <c r="S8" s="48">
        <v>0</v>
      </c>
      <c r="T8" s="21">
        <f t="shared" si="4"/>
        <v>56000</v>
      </c>
      <c r="U8" s="53">
        <f>IF($J8="","",ROUND(($J8-$J$3)/1000,1)+(_xlfn.RANK.AVG($J8,($J8,$O8,$T8),1)-2)*20)</f>
        <v>-35.799999999999997</v>
      </c>
      <c r="V8" s="54">
        <f>IF($O8="","",ROUND(($O8-$O$3)/1000,1)+(_xlfn.RANK.AVG($O8,($J8,$O8,$T8),1)-2)*20)</f>
        <v>-5.2</v>
      </c>
      <c r="W8" s="55">
        <f>IF($T8="","",ROUND(($T8-$T$3)/1000,1)+(_xlfn.RANK.AVG($T8,($J8,$O8,$T8),1)-2)*20)</f>
        <v>41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20</v>
      </c>
      <c r="AZ8" s="40" t="s">
        <v>198</v>
      </c>
      <c r="BA8" s="41" t="s">
        <v>82</v>
      </c>
      <c r="BB8" s="41" t="s">
        <v>79</v>
      </c>
      <c r="BC8" s="41" t="s">
        <v>83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196</v>
      </c>
      <c r="G9" s="9">
        <v>-9000</v>
      </c>
      <c r="H9" s="9"/>
      <c r="I9" s="48">
        <v>0</v>
      </c>
      <c r="J9" s="21">
        <f t="shared" si="2"/>
        <v>10200</v>
      </c>
      <c r="K9" s="8" t="s">
        <v>197</v>
      </c>
      <c r="L9" s="9">
        <v>18000</v>
      </c>
      <c r="M9" s="9"/>
      <c r="N9" s="48">
        <v>0</v>
      </c>
      <c r="O9" s="21">
        <f t="shared" si="3"/>
        <v>47800</v>
      </c>
      <c r="P9" s="8" t="s">
        <v>196</v>
      </c>
      <c r="Q9" s="9">
        <v>-9000</v>
      </c>
      <c r="R9" s="9"/>
      <c r="S9" s="48">
        <v>0</v>
      </c>
      <c r="T9" s="21">
        <f t="shared" si="4"/>
        <v>47000</v>
      </c>
      <c r="U9" s="53">
        <f>IF($J9="","",ROUND(($J9-$J$3)/1000,1)+(_xlfn.RANK.AVG($J9,($J9,$O9,$T9),1)-2)*20)</f>
        <v>-44.8</v>
      </c>
      <c r="V9" s="54">
        <f>IF($O9="","",ROUND(($O9-$O$3)/1000,1)+(_xlfn.RANK.AVG($O9,($J9,$O9,$T9),1)-2)*20)</f>
        <v>32.799999999999997</v>
      </c>
      <c r="W9" s="55">
        <f>IF($T9="","",ROUND(($T9-$T$3)/1000,1)+(_xlfn.RANK.AVG($T9,($J9,$O9,$T9),1)-2)*20)</f>
        <v>12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6</v>
      </c>
      <c r="AY9" s="30" t="s">
        <v>201</v>
      </c>
      <c r="AZ9" s="40" t="s">
        <v>82</v>
      </c>
      <c r="BA9" s="41" t="s">
        <v>104</v>
      </c>
      <c r="BB9" s="41" t="s">
        <v>101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196</v>
      </c>
      <c r="G10" s="9">
        <v>-9000</v>
      </c>
      <c r="H10" s="9"/>
      <c r="I10" s="48">
        <v>-500</v>
      </c>
      <c r="J10" s="21">
        <f t="shared" si="2"/>
        <v>700</v>
      </c>
      <c r="K10" s="8" t="s">
        <v>197</v>
      </c>
      <c r="L10" s="9">
        <v>18000</v>
      </c>
      <c r="M10" s="9"/>
      <c r="N10" s="48">
        <v>1000</v>
      </c>
      <c r="O10" s="21">
        <f t="shared" si="3"/>
        <v>66800</v>
      </c>
      <c r="P10" s="8" t="s">
        <v>196</v>
      </c>
      <c r="Q10" s="9">
        <v>-9000</v>
      </c>
      <c r="R10" s="9"/>
      <c r="S10" s="48">
        <v>-500</v>
      </c>
      <c r="T10" s="21">
        <f t="shared" si="4"/>
        <v>37500</v>
      </c>
      <c r="U10" s="53">
        <f>IF($J10="","",ROUND(($J10-$J$3)/1000,1)+(_xlfn.RANK.AVG($J10,($J10,$O10,$T10),1)-2)*20)</f>
        <v>-54.3</v>
      </c>
      <c r="V10" s="54">
        <f>IF($O10="","",ROUND(($O10-$O$3)/1000,1)+(_xlfn.RANK.AVG($O10,($J10,$O10,$T10),1)-2)*20)</f>
        <v>51.8</v>
      </c>
      <c r="W10" s="55">
        <f>IF($T10="","",ROUND(($T10-$T$3)/1000,1)+(_xlfn.RANK.AVG($T10,($J10,$O10,$T10),1)-2)*20)</f>
        <v>2.5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7</v>
      </c>
      <c r="AY10" s="30" t="s">
        <v>201</v>
      </c>
      <c r="AZ10" s="40" t="s">
        <v>82</v>
      </c>
      <c r="BA10" s="41" t="s">
        <v>85</v>
      </c>
      <c r="BB10" s="41" t="s">
        <v>102</v>
      </c>
      <c r="BC10" s="41" t="s">
        <v>79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IF($K$1="","",$K$1)</f>
        <v>だいち</v>
      </c>
      <c r="F11" s="8" t="s">
        <v>204</v>
      </c>
      <c r="G11" s="9">
        <v>-1500</v>
      </c>
      <c r="H11" s="9"/>
      <c r="I11" s="48"/>
      <c r="J11" s="21">
        <f t="shared" si="2"/>
        <v>-800</v>
      </c>
      <c r="K11" s="8" t="s">
        <v>204</v>
      </c>
      <c r="L11" s="9">
        <v>3000</v>
      </c>
      <c r="M11" s="9"/>
      <c r="N11" s="48"/>
      <c r="O11" s="21">
        <f t="shared" si="3"/>
        <v>69800</v>
      </c>
      <c r="P11" s="8" t="s">
        <v>204</v>
      </c>
      <c r="Q11" s="9">
        <v>-1500</v>
      </c>
      <c r="R11" s="9"/>
      <c r="S11" s="48"/>
      <c r="T11" s="21">
        <f t="shared" si="4"/>
        <v>36000</v>
      </c>
      <c r="U11" s="53">
        <f>IF($J11="","",ROUND(($J11-$J$3)/1000,1)+(_xlfn.RANK.AVG($J11,($J11,$O11,$T11),1)-2)*20)</f>
        <v>-55.8</v>
      </c>
      <c r="V11" s="54">
        <f>IF($O11="","",ROUND(($O11-$O$3)/1000,1)+(_xlfn.RANK.AVG($O11,($J11,$O11,$T11),1)-2)*20)</f>
        <v>54.8</v>
      </c>
      <c r="W11" s="55">
        <f>IF($T11="","",ROUND(($T11-$T$3)/1000,1)+(_xlfn.RANK.AVG($T11,($J11,$O11,$T11),1)-2)*20)</f>
        <v>1</v>
      </c>
      <c r="Y11" s="8" t="s">
        <v>202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202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1FE0B307-8296-45D0-91F8-9B6AA9462A85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B621240B-2B9E-48B4-B9D1-CB9252EE9A52}">
      <formula1>"ロン,ツモ,放銃,ツモ支払,流局,チョンボ"</formula1>
    </dataValidation>
    <dataValidation type="list" allowBlank="1" showInputMessage="1" showErrorMessage="1" sqref="E4:E30" xr:uid="{066AC5FD-B040-4F8C-B7D0-7C4E5CA1A25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18EB2-8F2A-4BA6-A748-266E1A9ED7A1}">
  <sheetPr codeName="Sheet16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わさび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だいち</v>
      </c>
      <c r="W2" s="16" t="str">
        <f>$P$1</f>
        <v>わさび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204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204</v>
      </c>
      <c r="L4" s="9">
        <v>-3000</v>
      </c>
      <c r="M4" s="9"/>
      <c r="N4" s="48"/>
      <c r="O4" s="21">
        <f>IF(COUNTA($F4,$K4,$P4)&gt;0,O3+SUM(L4:N4),"")</f>
        <v>32000</v>
      </c>
      <c r="P4" s="8" t="s">
        <v>204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0.5</v>
      </c>
      <c r="V4" s="54">
        <f>IF($O4="","",ROUND(($O4-$O$3)/1000,1)+(_xlfn.RANK.AVG($O4,($J4,$O4,$T4),1)-2)*20)</f>
        <v>-23</v>
      </c>
      <c r="W4" s="55">
        <f>IF($T4="","",ROUND(($T4-$T$3)/1000,1)+(_xlfn.RANK.AVG($T4,($J4,$O4,$T4),1)-2)*20)</f>
        <v>21.5</v>
      </c>
      <c r="Y4" s="8" t="s">
        <v>203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IF($P$1="","",$P$1)</f>
        <v>わさび</v>
      </c>
      <c r="F5" s="8" t="s">
        <v>200</v>
      </c>
      <c r="G5" s="9">
        <v>-5800</v>
      </c>
      <c r="H5" s="9"/>
      <c r="I5" s="48">
        <v>-1000</v>
      </c>
      <c r="J5" s="21">
        <f t="shared" ref="J5:J30" si="2">IF(COUNTA($F5,$K5,$P5)&gt;0,J4+SUM(G5:I5),"")</f>
        <v>28700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199</v>
      </c>
      <c r="Q5" s="9">
        <v>5800</v>
      </c>
      <c r="R5" s="9">
        <v>1000</v>
      </c>
      <c r="S5" s="48">
        <v>1000</v>
      </c>
      <c r="T5" s="21">
        <f t="shared" ref="T5:T30" si="4">IF(COUNTA($F5,$K5,$P5)&gt;0,T4+SUM(Q5:S5),"")</f>
        <v>44300</v>
      </c>
      <c r="U5" s="53">
        <f>IF($J5="","",ROUND(($J5-$J$3)/1000,1)+(_xlfn.RANK.AVG($J5,($J5,$O5,$T5),1)-2)*20)</f>
        <v>-26.3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29.3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86</v>
      </c>
      <c r="BV5" s="41" t="s">
        <v>79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わさび</v>
      </c>
      <c r="F6" s="8" t="s">
        <v>199</v>
      </c>
      <c r="G6" s="9">
        <v>1300</v>
      </c>
      <c r="H6" s="9">
        <v>1000</v>
      </c>
      <c r="I6" s="48">
        <v>2000</v>
      </c>
      <c r="J6" s="21">
        <f t="shared" si="2"/>
        <v>33000</v>
      </c>
      <c r="K6" s="8"/>
      <c r="L6" s="9"/>
      <c r="M6" s="9">
        <v>-1000</v>
      </c>
      <c r="N6" s="48"/>
      <c r="O6" s="21">
        <f t="shared" si="3"/>
        <v>31000</v>
      </c>
      <c r="P6" s="8" t="s">
        <v>200</v>
      </c>
      <c r="Q6" s="9">
        <v>-1300</v>
      </c>
      <c r="R6" s="9"/>
      <c r="S6" s="48">
        <v>-2000</v>
      </c>
      <c r="T6" s="21">
        <f t="shared" si="4"/>
        <v>41000</v>
      </c>
      <c r="U6" s="53">
        <f>IF($J6="","",ROUND(($J6-$J$3)/1000,1)+(_xlfn.RANK.AVG($J6,($J6,$O6,$T6),1)-2)*20)</f>
        <v>-2</v>
      </c>
      <c r="V6" s="54">
        <f>IF($O6="","",ROUND(($O6-$O$3)/1000,1)+(_xlfn.RANK.AVG($O6,($J6,$O6,$T6),1)-2)*20)</f>
        <v>-24</v>
      </c>
      <c r="W6" s="55">
        <f>IF($T6="","",ROUND(($T6-$T$3)/1000,1)+(_xlfn.RANK.AVG($T6,($J6,$O6,$T6),1)-2)*20)</f>
        <v>26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198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199</v>
      </c>
      <c r="G7" s="9">
        <v>18000</v>
      </c>
      <c r="H7" s="9"/>
      <c r="I7" s="48">
        <v>0</v>
      </c>
      <c r="J7" s="21">
        <f t="shared" si="2"/>
        <v>51000</v>
      </c>
      <c r="K7" s="8" t="s">
        <v>200</v>
      </c>
      <c r="L7" s="9">
        <v>-18000</v>
      </c>
      <c r="M7" s="9"/>
      <c r="N7" s="48">
        <v>0</v>
      </c>
      <c r="O7" s="21">
        <f t="shared" si="3"/>
        <v>13000</v>
      </c>
      <c r="P7" s="8"/>
      <c r="Q7" s="9"/>
      <c r="R7" s="9"/>
      <c r="S7" s="48"/>
      <c r="T7" s="21">
        <f t="shared" si="4"/>
        <v>41000</v>
      </c>
      <c r="U7" s="53">
        <f>IF($J7="","",ROUND(($J7-$J$3)/1000,1)+(_xlfn.RANK.AVG($J7,($J7,$O7,$T7),1)-2)*20)</f>
        <v>36</v>
      </c>
      <c r="V7" s="54">
        <f>IF($O7="","",ROUND(($O7-$O$3)/1000,1)+(_xlfn.RANK.AVG($O7,($J7,$O7,$T7),1)-2)*20)</f>
        <v>-42</v>
      </c>
      <c r="W7" s="55">
        <f>IF($T7="","",ROUND(($T7-$T$3)/1000,1)+(_xlfn.RANK.AVG($T7,($J7,$O7,$T7),1)-2)*20)</f>
        <v>6</v>
      </c>
      <c r="Y7" s="8"/>
      <c r="Z7" s="34"/>
      <c r="AA7" s="26"/>
      <c r="AB7" s="26">
        <v>1</v>
      </c>
      <c r="AC7" s="26">
        <v>6</v>
      </c>
      <c r="AD7" s="30" t="s">
        <v>201</v>
      </c>
      <c r="AE7" s="40" t="s">
        <v>104</v>
      </c>
      <c r="AF7" s="41" t="s">
        <v>79</v>
      </c>
      <c r="AG7" s="41" t="s">
        <v>79</v>
      </c>
      <c r="AH7" s="41" t="s">
        <v>206</v>
      </c>
      <c r="AI7" s="41" t="s">
        <v>86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IF($F$1="","",$F$1)</f>
        <v>りくと</v>
      </c>
      <c r="F8" s="8" t="s">
        <v>196</v>
      </c>
      <c r="G8" s="9">
        <v>-20000</v>
      </c>
      <c r="H8" s="9"/>
      <c r="I8" s="48">
        <v>-500</v>
      </c>
      <c r="J8" s="21">
        <f t="shared" si="2"/>
        <v>30500</v>
      </c>
      <c r="K8" s="8" t="s">
        <v>197</v>
      </c>
      <c r="L8" s="9">
        <v>32000</v>
      </c>
      <c r="M8" s="9"/>
      <c r="N8" s="48">
        <v>1000</v>
      </c>
      <c r="O8" s="21">
        <f t="shared" si="3"/>
        <v>46000</v>
      </c>
      <c r="P8" s="8" t="s">
        <v>196</v>
      </c>
      <c r="Q8" s="9">
        <v>-12000</v>
      </c>
      <c r="R8" s="9"/>
      <c r="S8" s="48">
        <v>-500</v>
      </c>
      <c r="T8" s="21">
        <f t="shared" si="4"/>
        <v>28500</v>
      </c>
      <c r="U8" s="53">
        <f>IF($J8="","",ROUND(($J8-$J$3)/1000,1)+(_xlfn.RANK.AVG($J8,($J8,$O8,$T8),1)-2)*20)</f>
        <v>-4.5</v>
      </c>
      <c r="V8" s="54">
        <f>IF($O8="","",ROUND(($O8-$O$3)/1000,1)+(_xlfn.RANK.AVG($O8,($J8,$O8,$T8),1)-2)*20)</f>
        <v>31</v>
      </c>
      <c r="W8" s="55">
        <f>IF($T8="","",ROUND(($T8-$T$3)/1000,1)+(_xlfn.RANK.AVG($T8,($J8,$O8,$T8),1)-2)*20)</f>
        <v>-26.5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13</v>
      </c>
      <c r="AY8" s="30" t="s">
        <v>201</v>
      </c>
      <c r="AZ8" s="40" t="s">
        <v>108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199</v>
      </c>
      <c r="G9" s="9">
        <v>1000</v>
      </c>
      <c r="H9" s="9"/>
      <c r="I9" s="48">
        <v>0</v>
      </c>
      <c r="J9" s="21">
        <f t="shared" si="2"/>
        <v>31500</v>
      </c>
      <c r="K9" s="8"/>
      <c r="L9" s="9"/>
      <c r="M9" s="9"/>
      <c r="N9" s="48"/>
      <c r="O9" s="21">
        <f t="shared" si="3"/>
        <v>46000</v>
      </c>
      <c r="P9" s="8" t="s">
        <v>200</v>
      </c>
      <c r="Q9" s="9">
        <v>-1000</v>
      </c>
      <c r="R9" s="9"/>
      <c r="S9" s="48">
        <v>0</v>
      </c>
      <c r="T9" s="21">
        <f t="shared" si="4"/>
        <v>27500</v>
      </c>
      <c r="U9" s="53">
        <f>IF($J9="","",ROUND(($J9-$J$3)/1000,1)+(_xlfn.RANK.AVG($J9,($J9,$O9,$T9),1)-2)*20)</f>
        <v>-3.5</v>
      </c>
      <c r="V9" s="54">
        <f>IF($O9="","",ROUND(($O9-$O$3)/1000,1)+(_xlfn.RANK.AVG($O9,($J9,$O9,$T9),1)-2)*20)</f>
        <v>31</v>
      </c>
      <c r="W9" s="55">
        <f>IF($T9="","",ROUND(($T9-$T$3)/1000,1)+(_xlfn.RANK.AVG($T9,($J9,$O9,$T9),1)-2)*20)</f>
        <v>-27.5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わさび</v>
      </c>
      <c r="F10" s="8" t="s">
        <v>199</v>
      </c>
      <c r="G10" s="9">
        <v>16000</v>
      </c>
      <c r="H10" s="9"/>
      <c r="I10" s="48">
        <v>0</v>
      </c>
      <c r="J10" s="21">
        <f t="shared" si="2"/>
        <v>47500</v>
      </c>
      <c r="K10" s="8"/>
      <c r="L10" s="9"/>
      <c r="M10" s="9"/>
      <c r="N10" s="48"/>
      <c r="O10" s="21">
        <f t="shared" si="3"/>
        <v>46000</v>
      </c>
      <c r="P10" s="8" t="s">
        <v>200</v>
      </c>
      <c r="Q10" s="9">
        <v>-16000</v>
      </c>
      <c r="R10" s="9"/>
      <c r="S10" s="48">
        <v>0</v>
      </c>
      <c r="T10" s="21">
        <f t="shared" si="4"/>
        <v>11500</v>
      </c>
      <c r="U10" s="53">
        <f>IF($J10="","",ROUND(($J10-$J$3)/1000,1)+(_xlfn.RANK.AVG($J10,($J10,$O10,$T10),1)-2)*20)</f>
        <v>32.5</v>
      </c>
      <c r="V10" s="54">
        <f>IF($O10="","",ROUND(($O10-$O$3)/1000,1)+(_xlfn.RANK.AVG($O10,($J10,$O10,$T10),1)-2)*20)</f>
        <v>11</v>
      </c>
      <c r="W10" s="55">
        <f>IF($T10="","",ROUND(($T10-$T$3)/1000,1)+(_xlfn.RANK.AVG($T10,($J10,$O10,$T10),1)-2)*20)</f>
        <v>-43.5</v>
      </c>
      <c r="Y10" s="8"/>
      <c r="Z10" s="34"/>
      <c r="AA10" s="26"/>
      <c r="AB10" s="26">
        <v>1</v>
      </c>
      <c r="AC10" s="26">
        <v>8</v>
      </c>
      <c r="AD10" s="30" t="s">
        <v>201</v>
      </c>
      <c r="AE10" s="40" t="s">
        <v>104</v>
      </c>
      <c r="AF10" s="41" t="s">
        <v>98</v>
      </c>
      <c r="AG10" s="41" t="s">
        <v>206</v>
      </c>
      <c r="AH10" s="41" t="s">
        <v>79</v>
      </c>
      <c r="AI10" s="41" t="s">
        <v>79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りくと</v>
      </c>
      <c r="F11" s="8" t="s">
        <v>196</v>
      </c>
      <c r="G11" s="9">
        <v>-4800</v>
      </c>
      <c r="H11" s="9"/>
      <c r="I11" s="48">
        <v>0</v>
      </c>
      <c r="J11" s="21">
        <f t="shared" si="2"/>
        <v>42700</v>
      </c>
      <c r="K11" s="8" t="s">
        <v>197</v>
      </c>
      <c r="L11" s="9">
        <v>7700</v>
      </c>
      <c r="M11" s="9"/>
      <c r="N11" s="48">
        <v>0</v>
      </c>
      <c r="O11" s="21">
        <f t="shared" si="3"/>
        <v>53700</v>
      </c>
      <c r="P11" s="8" t="s">
        <v>196</v>
      </c>
      <c r="Q11" s="9">
        <v>-2900</v>
      </c>
      <c r="R11" s="9"/>
      <c r="S11" s="48">
        <v>0</v>
      </c>
      <c r="T11" s="21">
        <f t="shared" si="4"/>
        <v>8600</v>
      </c>
      <c r="U11" s="53">
        <f>IF($J11="","",ROUND(($J11-$J$3)/1000,1)+(_xlfn.RANK.AVG($J11,($J11,$O11,$T11),1)-2)*20)</f>
        <v>7.7</v>
      </c>
      <c r="V11" s="54">
        <f>IF($O11="","",ROUND(($O11-$O$3)/1000,1)+(_xlfn.RANK.AVG($O11,($J11,$O11,$T11),1)-2)*20)</f>
        <v>38.700000000000003</v>
      </c>
      <c r="W11" s="55">
        <f>IF($T11="","",ROUND(($T11-$T$3)/1000,1)+(_xlfn.RANK.AVG($T11,($J11,$O11,$T11),1)-2)*20)</f>
        <v>-46.4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30</v>
      </c>
      <c r="AZ11" s="40" t="s">
        <v>198</v>
      </c>
      <c r="BA11" s="41" t="s">
        <v>82</v>
      </c>
      <c r="BB11" s="41" t="s">
        <v>205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IF($K$1="","",$K$1)</f>
        <v>だいち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4A134523-F31E-4DFD-8ADF-0FFBD57AC6A0}">
      <formula1>$U$2:$W$2</formula1>
    </dataValidation>
    <dataValidation type="list" showInputMessage="1" showErrorMessage="1" sqref="K4:K30 P4:P30 F4:F30" xr:uid="{B4356D96-E01F-4998-8697-888FB5DF97D3}">
      <formula1>"ロン,ツモ,放銃,ツモ支払,流局,チョンボ"</formula1>
    </dataValidation>
    <dataValidation type="list" allowBlank="1" showInputMessage="1" sqref="F1:T1" xr:uid="{A2E9AED5-7D73-4EB7-AD7F-C52B15E86589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cp:lastPrinted>2018-10-03T09:15:05Z</cp:lastPrinted>
  <dcterms:created xsi:type="dcterms:W3CDTF">2018-10-02T11:54:05Z</dcterms:created>
  <dcterms:modified xsi:type="dcterms:W3CDTF">2026-01-02T10:37:59Z</dcterms:modified>
</cp:coreProperties>
</file>