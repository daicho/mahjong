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5C353EE5-C125-4F1D-BADB-6723EF007C19}" xr6:coauthVersionLast="47" xr6:coauthVersionMax="47" xr10:uidLastSave="{00000000-0000-0000-0000-000000000000}"/>
  <bookViews>
    <workbookView xWindow="-120" yWindow="-120" windowWidth="29040" windowHeight="15990" activeTab="11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0" r:id="rId12"/>
    <sheet name="役一覧" sheetId="15" state="hidden" r:id="rId13"/>
    <sheet name="点数表(親ロン)" sheetId="4" state="hidden" r:id="rId14"/>
    <sheet name="点数表(親ツモ)" sheetId="9" state="hidden" r:id="rId15"/>
    <sheet name="点数表(子→親)" sheetId="7" state="hidden" r:id="rId16"/>
    <sheet name="点数表(子ロン)" sheetId="3" state="hidden" r:id="rId17"/>
    <sheet name="点数表(子ツモ)" sheetId="10" state="hidden" r:id="rId18"/>
    <sheet name="点数表(子→子)" sheetId="5" state="hidden" r:id="rId19"/>
    <sheet name="点数表(親→子)" sheetId="6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30" l="1"/>
  <c r="D11" i="30" s="1"/>
  <c r="E10" i="30"/>
  <c r="E9" i="30"/>
  <c r="E8" i="30"/>
  <c r="E7" i="30"/>
  <c r="C7" i="30" s="1"/>
  <c r="E6" i="30"/>
  <c r="D6" i="30" s="1"/>
  <c r="E5" i="30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/>
  <c r="T14" i="30"/>
  <c r="W14" i="30" s="1"/>
  <c r="O14" i="30"/>
  <c r="V14" i="30" s="1"/>
  <c r="J14" i="30"/>
  <c r="U14" i="30" s="1"/>
  <c r="D14" i="30"/>
  <c r="C14" i="30"/>
  <c r="B14" i="30"/>
  <c r="A14" i="30"/>
  <c r="T13" i="30"/>
  <c r="W13" i="30" s="1"/>
  <c r="O13" i="30"/>
  <c r="V13" i="30" s="1"/>
  <c r="J13" i="30"/>
  <c r="U13" i="30" s="1"/>
  <c r="D13" i="30"/>
  <c r="C13" i="30"/>
  <c r="B13" i="30"/>
  <c r="A13" i="30"/>
  <c r="T12" i="30"/>
  <c r="W12" i="30" s="1"/>
  <c r="O12" i="30"/>
  <c r="V12" i="30" s="1"/>
  <c r="J12" i="30"/>
  <c r="U12" i="30" s="1"/>
  <c r="D12" i="30"/>
  <c r="C12" i="30"/>
  <c r="B12" i="30"/>
  <c r="A12" i="30"/>
  <c r="T11" i="30"/>
  <c r="W11" i="30" s="1"/>
  <c r="O11" i="30"/>
  <c r="V11" i="30" s="1"/>
  <c r="J11" i="30"/>
  <c r="U11" i="30" s="1"/>
  <c r="C11" i="30"/>
  <c r="B11" i="30"/>
  <c r="A11" i="30"/>
  <c r="T10" i="30"/>
  <c r="O10" i="30"/>
  <c r="J10" i="30"/>
  <c r="D10" i="30"/>
  <c r="C10" i="30"/>
  <c r="B10" i="30"/>
  <c r="A10" i="30" s="1"/>
  <c r="C9" i="30"/>
  <c r="D9" i="30"/>
  <c r="D8" i="30"/>
  <c r="D7" i="30"/>
  <c r="T4" i="30"/>
  <c r="T5" i="30" s="1"/>
  <c r="O4" i="30"/>
  <c r="O5" i="30" s="1"/>
  <c r="J4" i="30"/>
  <c r="J5" i="30" s="1"/>
  <c r="W3" i="30"/>
  <c r="V3" i="30"/>
  <c r="U3" i="30"/>
  <c r="W2" i="30"/>
  <c r="V2" i="30"/>
  <c r="U2" i="30"/>
  <c r="BO1" i="30"/>
  <c r="AT1" i="30"/>
  <c r="Y1" i="30"/>
  <c r="E9" i="29"/>
  <c r="E8" i="29"/>
  <c r="E7" i="29"/>
  <c r="A7" i="29" s="1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T12" i="29"/>
  <c r="W12" i="29" s="1"/>
  <c r="O12" i="29"/>
  <c r="V12" i="29" s="1"/>
  <c r="J12" i="29"/>
  <c r="U12" i="29" s="1"/>
  <c r="D12" i="29"/>
  <c r="C12" i="29"/>
  <c r="B12" i="29"/>
  <c r="A12" i="29"/>
  <c r="T11" i="29"/>
  <c r="W11" i="29" s="1"/>
  <c r="O11" i="29"/>
  <c r="V11" i="29" s="1"/>
  <c r="J11" i="29"/>
  <c r="U11" i="29" s="1"/>
  <c r="D11" i="29"/>
  <c r="C11" i="29"/>
  <c r="B11" i="29"/>
  <c r="A11" i="29"/>
  <c r="T10" i="29"/>
  <c r="W10" i="29" s="1"/>
  <c r="O10" i="29"/>
  <c r="V10" i="29" s="1"/>
  <c r="J10" i="29"/>
  <c r="U10" i="29" s="1"/>
  <c r="D10" i="29"/>
  <c r="C10" i="29"/>
  <c r="B10" i="29"/>
  <c r="A10" i="29" s="1"/>
  <c r="T9" i="29"/>
  <c r="O9" i="29"/>
  <c r="J9" i="29"/>
  <c r="U9" i="29" s="1"/>
  <c r="D9" i="29"/>
  <c r="C9" i="29"/>
  <c r="B9" i="29"/>
  <c r="A9" i="29"/>
  <c r="T8" i="29"/>
  <c r="O8" i="29"/>
  <c r="V8" i="29" s="1"/>
  <c r="J8" i="29"/>
  <c r="D8" i="29"/>
  <c r="C8" i="29"/>
  <c r="B8" i="29"/>
  <c r="A8" i="29" s="1"/>
  <c r="T7" i="29"/>
  <c r="O7" i="29"/>
  <c r="V7" i="29" s="1"/>
  <c r="J7" i="29"/>
  <c r="U7" i="29" s="1"/>
  <c r="B7" i="29"/>
  <c r="T6" i="29"/>
  <c r="O6" i="29"/>
  <c r="J6" i="29"/>
  <c r="D6" i="29"/>
  <c r="C6" i="29"/>
  <c r="B6" i="29"/>
  <c r="A6" i="29" s="1"/>
  <c r="O5" i="29"/>
  <c r="D5" i="29"/>
  <c r="T4" i="29"/>
  <c r="T5" i="29" s="1"/>
  <c r="O4" i="29"/>
  <c r="J4" i="29"/>
  <c r="W3" i="29"/>
  <c r="V3" i="29"/>
  <c r="U3" i="29"/>
  <c r="W2" i="29"/>
  <c r="V2" i="29"/>
  <c r="U2" i="29"/>
  <c r="BO1" i="29"/>
  <c r="AT1" i="29"/>
  <c r="Y1" i="29"/>
  <c r="E5" i="28"/>
  <c r="D5" i="28" s="1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D13" i="28"/>
  <c r="D8" i="28"/>
  <c r="C8" i="28"/>
  <c r="D7" i="28"/>
  <c r="J6" i="28"/>
  <c r="J7" i="28" s="1"/>
  <c r="J5" i="28"/>
  <c r="T4" i="28"/>
  <c r="T5" i="28" s="1"/>
  <c r="O4" i="28"/>
  <c r="O5" i="28" s="1"/>
  <c r="J4" i="28"/>
  <c r="W3" i="28"/>
  <c r="V3" i="28"/>
  <c r="U3" i="28"/>
  <c r="W2" i="28"/>
  <c r="V2" i="28"/>
  <c r="U2" i="28"/>
  <c r="BO1" i="28"/>
  <c r="AT1" i="28"/>
  <c r="Y1" i="28"/>
  <c r="E13" i="27"/>
  <c r="E12" i="27"/>
  <c r="C12" i="27" s="1"/>
  <c r="E11" i="27"/>
  <c r="E10" i="27"/>
  <c r="E9" i="27"/>
  <c r="E8" i="27"/>
  <c r="D8" i="27" s="1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D13" i="27"/>
  <c r="D14" i="27" s="1"/>
  <c r="D11" i="27"/>
  <c r="D10" i="27"/>
  <c r="D9" i="27"/>
  <c r="D7" i="27"/>
  <c r="C7" i="27"/>
  <c r="J5" i="27"/>
  <c r="C5" i="27"/>
  <c r="D5" i="27"/>
  <c r="D6" i="27" s="1"/>
  <c r="T4" i="27"/>
  <c r="T5" i="27" s="1"/>
  <c r="O4" i="27"/>
  <c r="O5" i="27" s="1"/>
  <c r="J4" i="27"/>
  <c r="W3" i="27"/>
  <c r="V3" i="27"/>
  <c r="U3" i="27"/>
  <c r="W2" i="27"/>
  <c r="V2" i="27"/>
  <c r="U2" i="27"/>
  <c r="BO1" i="27"/>
  <c r="AT1" i="27"/>
  <c r="Y1" i="27"/>
  <c r="W10" i="30" l="1"/>
  <c r="U10" i="30"/>
  <c r="V10" i="30"/>
  <c r="B5" i="30"/>
  <c r="A5" i="30" s="1"/>
  <c r="C5" i="30"/>
  <c r="D5" i="30"/>
  <c r="J6" i="30"/>
  <c r="U5" i="30"/>
  <c r="O6" i="30"/>
  <c r="V5" i="30"/>
  <c r="T6" i="30"/>
  <c r="W5" i="30"/>
  <c r="A6" i="30"/>
  <c r="C8" i="30"/>
  <c r="B6" i="30"/>
  <c r="B7" i="30" s="1"/>
  <c r="U4" i="30"/>
  <c r="C6" i="30"/>
  <c r="V4" i="30"/>
  <c r="W4" i="30"/>
  <c r="W9" i="29"/>
  <c r="V9" i="29"/>
  <c r="W8" i="29"/>
  <c r="U8" i="29"/>
  <c r="W7" i="29"/>
  <c r="D7" i="29"/>
  <c r="C7" i="29"/>
  <c r="W6" i="29"/>
  <c r="U6" i="29"/>
  <c r="V6" i="29"/>
  <c r="V4" i="29"/>
  <c r="U4" i="29"/>
  <c r="J5" i="29"/>
  <c r="U5" i="29" s="1"/>
  <c r="W4" i="29"/>
  <c r="B5" i="29"/>
  <c r="A5" i="29" s="1"/>
  <c r="C5" i="29"/>
  <c r="V5" i="28"/>
  <c r="U5" i="28"/>
  <c r="O6" i="28"/>
  <c r="T6" i="28"/>
  <c r="W5" i="28"/>
  <c r="J8" i="28"/>
  <c r="U4" i="28"/>
  <c r="C6" i="28"/>
  <c r="C7" i="28" s="1"/>
  <c r="V4" i="28"/>
  <c r="D6" i="28"/>
  <c r="C9" i="28"/>
  <c r="W4" i="28"/>
  <c r="D9" i="28"/>
  <c r="B5" i="28"/>
  <c r="C10" i="28"/>
  <c r="C11" i="28" s="1"/>
  <c r="C12" i="28" s="1"/>
  <c r="C5" i="28"/>
  <c r="D10" i="28"/>
  <c r="D11" i="28" s="1"/>
  <c r="D12" i="28" s="1"/>
  <c r="C13" i="28"/>
  <c r="U6" i="28"/>
  <c r="D12" i="27"/>
  <c r="C8" i="27"/>
  <c r="U5" i="27"/>
  <c r="C14" i="27"/>
  <c r="O6" i="27"/>
  <c r="V5" i="27"/>
  <c r="T6" i="27"/>
  <c r="W5" i="27"/>
  <c r="U4" i="27"/>
  <c r="V4" i="27"/>
  <c r="C9" i="27"/>
  <c r="W4" i="27"/>
  <c r="C6" i="27"/>
  <c r="J6" i="27"/>
  <c r="B5" i="27"/>
  <c r="A5" i="27" s="1"/>
  <c r="C10" i="27"/>
  <c r="C11" i="27" s="1"/>
  <c r="C13" i="27"/>
  <c r="B8" i="30" l="1"/>
  <c r="A7" i="30"/>
  <c r="T7" i="30"/>
  <c r="W6" i="30"/>
  <c r="O7" i="30"/>
  <c r="V6" i="30"/>
  <c r="J7" i="30"/>
  <c r="U6" i="30"/>
  <c r="V5" i="29"/>
  <c r="W5" i="29"/>
  <c r="A5" i="28"/>
  <c r="J9" i="28"/>
  <c r="T7" i="28"/>
  <c r="W6" i="28"/>
  <c r="B6" i="28"/>
  <c r="O7" i="28"/>
  <c r="V6" i="28"/>
  <c r="B6" i="27"/>
  <c r="T7" i="27"/>
  <c r="W6" i="27"/>
  <c r="U6" i="27"/>
  <c r="J7" i="27"/>
  <c r="V6" i="27"/>
  <c r="O7" i="27"/>
  <c r="E14" i="26"/>
  <c r="B14" i="26" s="1"/>
  <c r="A14" i="26" s="1"/>
  <c r="E13" i="26"/>
  <c r="D13" i="26" s="1"/>
  <c r="E12" i="26"/>
  <c r="B12" i="26" s="1"/>
  <c r="A12" i="26" s="1"/>
  <c r="E11" i="26"/>
  <c r="E10" i="26"/>
  <c r="E9" i="26"/>
  <c r="D9" i="26" s="1"/>
  <c r="E8" i="26"/>
  <c r="D8" i="26" s="1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 s="1"/>
  <c r="T14" i="26"/>
  <c r="O14" i="26"/>
  <c r="J14" i="26"/>
  <c r="D14" i="26"/>
  <c r="C14" i="26"/>
  <c r="T13" i="26"/>
  <c r="O13" i="26"/>
  <c r="J13" i="26"/>
  <c r="B13" i="26"/>
  <c r="T12" i="26"/>
  <c r="O12" i="26"/>
  <c r="J12" i="26"/>
  <c r="D12" i="26"/>
  <c r="C12" i="26"/>
  <c r="D11" i="26"/>
  <c r="C11" i="26"/>
  <c r="C10" i="26"/>
  <c r="D10" i="26"/>
  <c r="D6" i="26"/>
  <c r="B5" i="26"/>
  <c r="C5" i="26"/>
  <c r="T4" i="26"/>
  <c r="T5" i="26" s="1"/>
  <c r="O4" i="26"/>
  <c r="O5" i="26" s="1"/>
  <c r="J4" i="26"/>
  <c r="J5" i="26" s="1"/>
  <c r="W3" i="26"/>
  <c r="V3" i="26"/>
  <c r="U3" i="26"/>
  <c r="W2" i="26"/>
  <c r="V2" i="26"/>
  <c r="U2" i="26"/>
  <c r="BO1" i="26"/>
  <c r="AT1" i="26"/>
  <c r="Y1" i="26"/>
  <c r="E11" i="25"/>
  <c r="E10" i="25"/>
  <c r="E9" i="25"/>
  <c r="E8" i="25"/>
  <c r="E7" i="25"/>
  <c r="D7" i="25" s="1"/>
  <c r="E6" i="25"/>
  <c r="D6" i="25" s="1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D10" i="25"/>
  <c r="T5" i="25"/>
  <c r="T6" i="25" s="1"/>
  <c r="O5" i="25"/>
  <c r="O6" i="25" s="1"/>
  <c r="J5" i="25"/>
  <c r="J6" i="25" s="1"/>
  <c r="D5" i="25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D13" i="24"/>
  <c r="E12" i="24"/>
  <c r="B12" i="24" s="1"/>
  <c r="E11" i="24"/>
  <c r="E10" i="24"/>
  <c r="E9" i="24"/>
  <c r="E8" i="24"/>
  <c r="D8" i="24" s="1"/>
  <c r="E7" i="24"/>
  <c r="D7" i="24" s="1"/>
  <c r="E6" i="24"/>
  <c r="E5" i="24"/>
  <c r="A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C13" i="24"/>
  <c r="B13" i="24"/>
  <c r="A13" i="24"/>
  <c r="T12" i="24"/>
  <c r="O12" i="24"/>
  <c r="J12" i="24"/>
  <c r="D12" i="24"/>
  <c r="C12" i="24"/>
  <c r="D11" i="24"/>
  <c r="D10" i="24"/>
  <c r="C7" i="24"/>
  <c r="T6" i="24"/>
  <c r="T7" i="24" s="1"/>
  <c r="O6" i="24"/>
  <c r="O7" i="24" s="1"/>
  <c r="B6" i="24"/>
  <c r="D6" i="24"/>
  <c r="C6" i="24"/>
  <c r="T5" i="24"/>
  <c r="O5" i="24"/>
  <c r="D5" i="24"/>
  <c r="C5" i="24"/>
  <c r="B5" i="24"/>
  <c r="T4" i="24"/>
  <c r="O4" i="24"/>
  <c r="J4" i="24"/>
  <c r="W4" i="24" s="1"/>
  <c r="W3" i="24"/>
  <c r="V3" i="24"/>
  <c r="U3" i="24"/>
  <c r="W2" i="24"/>
  <c r="V2" i="24"/>
  <c r="U2" i="24"/>
  <c r="BO1" i="24"/>
  <c r="AT1" i="24"/>
  <c r="Y1" i="24"/>
  <c r="C12" i="23"/>
  <c r="E11" i="23"/>
  <c r="D11" i="23" s="1"/>
  <c r="E10" i="23"/>
  <c r="C10" i="23" s="1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T11" i="23"/>
  <c r="O11" i="23"/>
  <c r="J11" i="23"/>
  <c r="C11" i="23"/>
  <c r="B11" i="23"/>
  <c r="A11" i="23"/>
  <c r="T10" i="23"/>
  <c r="W10" i="23" s="1"/>
  <c r="O10" i="23"/>
  <c r="J10" i="23"/>
  <c r="D10" i="23"/>
  <c r="D9" i="23"/>
  <c r="D8" i="23"/>
  <c r="C8" i="23"/>
  <c r="J7" i="23"/>
  <c r="J8" i="23" s="1"/>
  <c r="D7" i="23"/>
  <c r="C7" i="23"/>
  <c r="J6" i="23"/>
  <c r="J5" i="23"/>
  <c r="D5" i="23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E9" i="22"/>
  <c r="E8" i="22"/>
  <c r="D8" i="22" s="1"/>
  <c r="E7" i="22"/>
  <c r="E6" i="22"/>
  <c r="E5" i="22"/>
  <c r="C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D12" i="22"/>
  <c r="C11" i="22"/>
  <c r="D11" i="22"/>
  <c r="D10" i="22"/>
  <c r="D7" i="22"/>
  <c r="C7" i="22"/>
  <c r="O6" i="22"/>
  <c r="O7" i="22" s="1"/>
  <c r="J6" i="22"/>
  <c r="J7" i="22" s="1"/>
  <c r="D6" i="22"/>
  <c r="C6" i="22"/>
  <c r="O5" i="22"/>
  <c r="J5" i="22"/>
  <c r="B6" i="22"/>
  <c r="B5" i="22"/>
  <c r="A5" i="22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B15" i="21"/>
  <c r="E14" i="21"/>
  <c r="D14" i="21" s="1"/>
  <c r="E13" i="21"/>
  <c r="A13" i="21" s="1"/>
  <c r="E12" i="21"/>
  <c r="B12" i="21" s="1"/>
  <c r="E11" i="21"/>
  <c r="E10" i="21"/>
  <c r="D10" i="21" s="1"/>
  <c r="E9" i="21"/>
  <c r="C9" i="21" s="1"/>
  <c r="E8" i="21"/>
  <c r="E7" i="21"/>
  <c r="E6" i="21"/>
  <c r="C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T14" i="21"/>
  <c r="O14" i="21"/>
  <c r="J14" i="21"/>
  <c r="U14" i="21" s="1"/>
  <c r="T13" i="21"/>
  <c r="O13" i="21"/>
  <c r="J13" i="21"/>
  <c r="U13" i="21" s="1"/>
  <c r="D13" i="21"/>
  <c r="C13" i="21"/>
  <c r="B13" i="21"/>
  <c r="T12" i="21"/>
  <c r="O12" i="21"/>
  <c r="J12" i="21"/>
  <c r="U12" i="21" s="1"/>
  <c r="D12" i="21"/>
  <c r="C12" i="21"/>
  <c r="D11" i="21"/>
  <c r="C10" i="21"/>
  <c r="D9" i="21"/>
  <c r="C7" i="21"/>
  <c r="D7" i="21"/>
  <c r="D6" i="21"/>
  <c r="B6" i="21"/>
  <c r="J5" i="21"/>
  <c r="J6" i="21" s="1"/>
  <c r="D5" i="21"/>
  <c r="C5" i="21"/>
  <c r="B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E11" i="20"/>
  <c r="E10" i="20"/>
  <c r="E9" i="20"/>
  <c r="E8" i="20"/>
  <c r="E7" i="20"/>
  <c r="D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C13" i="20"/>
  <c r="D13" i="20"/>
  <c r="D12" i="20"/>
  <c r="C12" i="20"/>
  <c r="D11" i="20"/>
  <c r="D9" i="20"/>
  <c r="D8" i="20"/>
  <c r="D7" i="20"/>
  <c r="J6" i="20"/>
  <c r="J7" i="20" s="1"/>
  <c r="J8" i="20" s="1"/>
  <c r="C5" i="20"/>
  <c r="T4" i="20"/>
  <c r="T5" i="20" s="1"/>
  <c r="T6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E13" i="19"/>
  <c r="E12" i="19"/>
  <c r="E11" i="19"/>
  <c r="E10" i="19"/>
  <c r="E9" i="19"/>
  <c r="E8" i="19"/>
  <c r="E7" i="19"/>
  <c r="E6" i="19"/>
  <c r="E5" i="19"/>
  <c r="W3" i="19"/>
  <c r="V3" i="19"/>
  <c r="U3" i="19"/>
  <c r="J8" i="30" l="1"/>
  <c r="U7" i="30"/>
  <c r="O8" i="30"/>
  <c r="V7" i="30"/>
  <c r="T8" i="30"/>
  <c r="W7" i="30"/>
  <c r="B9" i="30"/>
  <c r="A9" i="30" s="1"/>
  <c r="A8" i="30"/>
  <c r="A6" i="28"/>
  <c r="O8" i="28"/>
  <c r="V7" i="28"/>
  <c r="U7" i="28"/>
  <c r="B7" i="28"/>
  <c r="T8" i="28"/>
  <c r="W7" i="28"/>
  <c r="J10" i="28"/>
  <c r="O8" i="27"/>
  <c r="V7" i="27"/>
  <c r="J8" i="27"/>
  <c r="U7" i="27"/>
  <c r="T8" i="27"/>
  <c r="W7" i="27"/>
  <c r="B7" i="27"/>
  <c r="A6" i="27"/>
  <c r="U14" i="26"/>
  <c r="V14" i="26"/>
  <c r="W14" i="26"/>
  <c r="W13" i="26"/>
  <c r="U13" i="26"/>
  <c r="V13" i="26"/>
  <c r="A13" i="26"/>
  <c r="C13" i="26"/>
  <c r="U12" i="26"/>
  <c r="V12" i="26"/>
  <c r="W12" i="26"/>
  <c r="J6" i="26"/>
  <c r="U5" i="26"/>
  <c r="O6" i="26"/>
  <c r="V5" i="26"/>
  <c r="T6" i="26"/>
  <c r="W5" i="26"/>
  <c r="D5" i="26"/>
  <c r="B6" i="26"/>
  <c r="A6" i="26" s="1"/>
  <c r="U4" i="26"/>
  <c r="C6" i="26"/>
  <c r="V4" i="26"/>
  <c r="C9" i="26"/>
  <c r="W4" i="26"/>
  <c r="B7" i="26"/>
  <c r="B8" i="26" s="1"/>
  <c r="A5" i="26"/>
  <c r="C7" i="26"/>
  <c r="C8" i="26" s="1"/>
  <c r="D7" i="26"/>
  <c r="W4" i="25"/>
  <c r="U4" i="25"/>
  <c r="J7" i="25"/>
  <c r="U6" i="25"/>
  <c r="T7" i="25"/>
  <c r="W6" i="25"/>
  <c r="O7" i="25"/>
  <c r="V6" i="25"/>
  <c r="D8" i="25"/>
  <c r="D9" i="25" s="1"/>
  <c r="C11" i="25"/>
  <c r="C6" i="25"/>
  <c r="D11" i="25"/>
  <c r="C12" i="25"/>
  <c r="U5" i="25"/>
  <c r="C7" i="25"/>
  <c r="C8" i="25" s="1"/>
  <c r="C9" i="25" s="1"/>
  <c r="C10" i="25" s="1"/>
  <c r="B5" i="25"/>
  <c r="V5" i="25"/>
  <c r="C5" i="25"/>
  <c r="W5" i="25"/>
  <c r="U12" i="24"/>
  <c r="V12" i="24"/>
  <c r="W12" i="24"/>
  <c r="A12" i="24"/>
  <c r="A6" i="24"/>
  <c r="O8" i="24"/>
  <c r="T8" i="24"/>
  <c r="C10" i="24"/>
  <c r="C8" i="24"/>
  <c r="C9" i="24" s="1"/>
  <c r="C11" i="24"/>
  <c r="U4" i="24"/>
  <c r="J5" i="24"/>
  <c r="V4" i="24"/>
  <c r="B7" i="24"/>
  <c r="B8" i="24" s="1"/>
  <c r="D9" i="24"/>
  <c r="V11" i="23"/>
  <c r="B12" i="23"/>
  <c r="A12" i="23" s="1"/>
  <c r="U11" i="23"/>
  <c r="W11" i="23"/>
  <c r="U10" i="23"/>
  <c r="V10" i="23"/>
  <c r="B10" i="23"/>
  <c r="A10" i="23" s="1"/>
  <c r="U5" i="23"/>
  <c r="O6" i="23"/>
  <c r="V5" i="23"/>
  <c r="T6" i="23"/>
  <c r="W5" i="23"/>
  <c r="J9" i="23"/>
  <c r="B5" i="23"/>
  <c r="A5" i="23" s="1"/>
  <c r="C5" i="23"/>
  <c r="B6" i="23"/>
  <c r="B7" i="23" s="1"/>
  <c r="U4" i="23"/>
  <c r="C6" i="23"/>
  <c r="V4" i="23"/>
  <c r="D6" i="23"/>
  <c r="C9" i="23"/>
  <c r="W4" i="23"/>
  <c r="V4" i="22"/>
  <c r="U4" i="22"/>
  <c r="B7" i="22"/>
  <c r="A7" i="22" s="1"/>
  <c r="A6" i="22"/>
  <c r="W5" i="22"/>
  <c r="T6" i="22"/>
  <c r="V6" i="22" s="1"/>
  <c r="V5" i="22"/>
  <c r="U5" i="22"/>
  <c r="J8" i="22"/>
  <c r="O8" i="22"/>
  <c r="C10" i="22"/>
  <c r="W4" i="22"/>
  <c r="D9" i="22"/>
  <c r="C12" i="22"/>
  <c r="C13" i="22" s="1"/>
  <c r="C14" i="22" s="1"/>
  <c r="D5" i="22"/>
  <c r="U6" i="22"/>
  <c r="C8" i="22"/>
  <c r="C9" i="22" s="1"/>
  <c r="D13" i="22"/>
  <c r="D14" i="22" s="1"/>
  <c r="B8" i="22"/>
  <c r="B9" i="22" s="1"/>
  <c r="C15" i="21"/>
  <c r="D15" i="21"/>
  <c r="A15" i="21"/>
  <c r="W14" i="21"/>
  <c r="V14" i="21"/>
  <c r="B14" i="21"/>
  <c r="A14" i="21" s="1"/>
  <c r="C14" i="21"/>
  <c r="W13" i="21"/>
  <c r="V13" i="21"/>
  <c r="V12" i="21"/>
  <c r="W12" i="21"/>
  <c r="A12" i="21"/>
  <c r="A6" i="21"/>
  <c r="A5" i="21"/>
  <c r="U4" i="21"/>
  <c r="V4" i="21"/>
  <c r="W4" i="21"/>
  <c r="J7" i="21"/>
  <c r="T6" i="21"/>
  <c r="C8" i="21"/>
  <c r="D8" i="21"/>
  <c r="C11" i="21"/>
  <c r="O5" i="21"/>
  <c r="B7" i="21"/>
  <c r="W4" i="20"/>
  <c r="T7" i="20"/>
  <c r="C7" i="20"/>
  <c r="C8" i="20" s="1"/>
  <c r="C9" i="20" s="1"/>
  <c r="J9" i="20"/>
  <c r="U4" i="20"/>
  <c r="C6" i="20"/>
  <c r="V4" i="20"/>
  <c r="O5" i="20"/>
  <c r="W5" i="20" s="1"/>
  <c r="D6" i="20"/>
  <c r="B5" i="20"/>
  <c r="A5" i="20" s="1"/>
  <c r="C10" i="20"/>
  <c r="C11" i="20" s="1"/>
  <c r="D10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U10" i="19" s="1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T9" i="30" l="1"/>
  <c r="W8" i="30"/>
  <c r="O9" i="30"/>
  <c r="V8" i="30"/>
  <c r="J9" i="30"/>
  <c r="U9" i="30" s="1"/>
  <c r="U8" i="30"/>
  <c r="O9" i="28"/>
  <c r="V8" i="28"/>
  <c r="U8" i="28"/>
  <c r="J11" i="28"/>
  <c r="T9" i="28"/>
  <c r="W8" i="28"/>
  <c r="B8" i="28"/>
  <c r="A7" i="28"/>
  <c r="A8" i="28" s="1"/>
  <c r="T9" i="27"/>
  <c r="W8" i="27"/>
  <c r="B8" i="27"/>
  <c r="A7" i="27"/>
  <c r="J9" i="27"/>
  <c r="U8" i="27"/>
  <c r="O9" i="27"/>
  <c r="V8" i="27"/>
  <c r="B9" i="26"/>
  <c r="T7" i="26"/>
  <c r="W6" i="26"/>
  <c r="V6" i="26"/>
  <c r="O7" i="26"/>
  <c r="J7" i="26"/>
  <c r="U6" i="26"/>
  <c r="A7" i="26"/>
  <c r="A8" i="26" s="1"/>
  <c r="O8" i="25"/>
  <c r="V7" i="25"/>
  <c r="T8" i="25"/>
  <c r="W7" i="25"/>
  <c r="B6" i="25"/>
  <c r="J8" i="25"/>
  <c r="U7" i="25"/>
  <c r="A5" i="25"/>
  <c r="A7" i="24"/>
  <c r="B9" i="24"/>
  <c r="A9" i="24" s="1"/>
  <c r="U5" i="24"/>
  <c r="V5" i="24"/>
  <c r="J6" i="24"/>
  <c r="W5" i="24"/>
  <c r="T9" i="24"/>
  <c r="A8" i="24"/>
  <c r="O9" i="24"/>
  <c r="B8" i="23"/>
  <c r="T7" i="23"/>
  <c r="W6" i="23"/>
  <c r="A6" i="23"/>
  <c r="A7" i="23" s="1"/>
  <c r="V6" i="23"/>
  <c r="U6" i="23"/>
  <c r="O7" i="23"/>
  <c r="B10" i="22"/>
  <c r="A9" i="22"/>
  <c r="J9" i="22"/>
  <c r="T7" i="22"/>
  <c r="W6" i="22"/>
  <c r="O9" i="22"/>
  <c r="A8" i="22"/>
  <c r="V5" i="21"/>
  <c r="O6" i="21"/>
  <c r="U5" i="21"/>
  <c r="J8" i="21"/>
  <c r="A7" i="21"/>
  <c r="W5" i="21"/>
  <c r="T7" i="21"/>
  <c r="W6" i="21"/>
  <c r="B8" i="21"/>
  <c r="B6" i="20"/>
  <c r="U5" i="20"/>
  <c r="O6" i="20"/>
  <c r="V5" i="20"/>
  <c r="J10" i="20"/>
  <c r="T8" i="20"/>
  <c r="W13" i="19"/>
  <c r="V13" i="19"/>
  <c r="U12" i="19"/>
  <c r="V12" i="19"/>
  <c r="W12" i="19"/>
  <c r="V11" i="19"/>
  <c r="W11" i="19"/>
  <c r="W10" i="19"/>
  <c r="U9" i="19"/>
  <c r="V9" i="19"/>
  <c r="U8" i="19"/>
  <c r="W8" i="19"/>
  <c r="V8" i="19"/>
  <c r="V7" i="19"/>
  <c r="W7" i="19"/>
  <c r="W4" i="19"/>
  <c r="V6" i="19"/>
  <c r="W6" i="19"/>
  <c r="U4" i="19"/>
  <c r="V4" i="19"/>
  <c r="T5" i="19"/>
  <c r="J5" i="19"/>
  <c r="O5" i="19"/>
  <c r="V9" i="30" l="1"/>
  <c r="W9" i="30"/>
  <c r="O10" i="28"/>
  <c r="V9" i="28"/>
  <c r="U9" i="28"/>
  <c r="B9" i="28"/>
  <c r="T10" i="28"/>
  <c r="W9" i="28"/>
  <c r="J12" i="28"/>
  <c r="A8" i="27"/>
  <c r="B9" i="27"/>
  <c r="O10" i="27"/>
  <c r="V9" i="27"/>
  <c r="J10" i="27"/>
  <c r="U9" i="27"/>
  <c r="T10" i="27"/>
  <c r="W9" i="27"/>
  <c r="O8" i="26"/>
  <c r="V7" i="26"/>
  <c r="T8" i="26"/>
  <c r="W7" i="26"/>
  <c r="B10" i="26"/>
  <c r="A10" i="26"/>
  <c r="J8" i="26"/>
  <c r="U7" i="26"/>
  <c r="A9" i="26"/>
  <c r="B7" i="25"/>
  <c r="O9" i="25"/>
  <c r="V8" i="25"/>
  <c r="J9" i="25"/>
  <c r="U8" i="25"/>
  <c r="T9" i="25"/>
  <c r="W8" i="25"/>
  <c r="A6" i="25"/>
  <c r="T10" i="24"/>
  <c r="O10" i="24"/>
  <c r="U6" i="24"/>
  <c r="J7" i="24"/>
  <c r="V6" i="24"/>
  <c r="W6" i="24"/>
  <c r="B10" i="24"/>
  <c r="A10" i="24" s="1"/>
  <c r="T8" i="23"/>
  <c r="W7" i="23"/>
  <c r="O8" i="23"/>
  <c r="V7" i="23"/>
  <c r="U7" i="23"/>
  <c r="B9" i="23"/>
  <c r="A9" i="23" s="1"/>
  <c r="A8" i="23"/>
  <c r="J10" i="22"/>
  <c r="O10" i="22"/>
  <c r="T8" i="22"/>
  <c r="W7" i="22"/>
  <c r="V7" i="22"/>
  <c r="U7" i="22"/>
  <c r="B11" i="22"/>
  <c r="A10" i="22"/>
  <c r="B9" i="21"/>
  <c r="O7" i="21"/>
  <c r="V6" i="21"/>
  <c r="U6" i="21"/>
  <c r="J9" i="21"/>
  <c r="T8" i="21"/>
  <c r="A8" i="21"/>
  <c r="T9" i="20"/>
  <c r="B7" i="20"/>
  <c r="A7" i="20" s="1"/>
  <c r="J11" i="20"/>
  <c r="A6" i="20"/>
  <c r="V6" i="20"/>
  <c r="O7" i="20"/>
  <c r="U6" i="20"/>
  <c r="W6" i="20"/>
  <c r="V5" i="19"/>
  <c r="U5" i="19"/>
  <c r="W5" i="19"/>
  <c r="J13" i="28" l="1"/>
  <c r="O11" i="28"/>
  <c r="V10" i="28"/>
  <c r="U10" i="28"/>
  <c r="W10" i="28"/>
  <c r="T11" i="28"/>
  <c r="B10" i="28"/>
  <c r="A10" i="28" s="1"/>
  <c r="A9" i="28"/>
  <c r="T11" i="27"/>
  <c r="W10" i="27"/>
  <c r="J11" i="27"/>
  <c r="U10" i="27"/>
  <c r="B10" i="27"/>
  <c r="O11" i="27"/>
  <c r="V10" i="27"/>
  <c r="A9" i="27"/>
  <c r="B11" i="26"/>
  <c r="A11" i="26" s="1"/>
  <c r="T9" i="26"/>
  <c r="W8" i="26"/>
  <c r="J9" i="26"/>
  <c r="U8" i="26"/>
  <c r="V8" i="26"/>
  <c r="O9" i="26"/>
  <c r="T10" i="25"/>
  <c r="W9" i="25"/>
  <c r="J10" i="25"/>
  <c r="U9" i="25"/>
  <c r="O10" i="25"/>
  <c r="V9" i="25"/>
  <c r="B8" i="25"/>
  <c r="A8" i="25" s="1"/>
  <c r="A7" i="25"/>
  <c r="O11" i="24"/>
  <c r="T11" i="24"/>
  <c r="U7" i="24"/>
  <c r="J8" i="24"/>
  <c r="V7" i="24"/>
  <c r="W7" i="24"/>
  <c r="B11" i="24"/>
  <c r="A11" i="24" s="1"/>
  <c r="O9" i="23"/>
  <c r="V8" i="23"/>
  <c r="U8" i="23"/>
  <c r="T9" i="23"/>
  <c r="W8" i="23"/>
  <c r="O11" i="22"/>
  <c r="T9" i="22"/>
  <c r="W8" i="22"/>
  <c r="V8" i="22"/>
  <c r="U8" i="22"/>
  <c r="B12" i="22"/>
  <c r="A11" i="22"/>
  <c r="J11" i="22"/>
  <c r="J10" i="21"/>
  <c r="O8" i="21"/>
  <c r="W8" i="21" s="1"/>
  <c r="V7" i="21"/>
  <c r="U7" i="21"/>
  <c r="B10" i="21"/>
  <c r="A10" i="21" s="1"/>
  <c r="T9" i="21"/>
  <c r="W7" i="21"/>
  <c r="A9" i="21"/>
  <c r="V7" i="20"/>
  <c r="O8" i="20"/>
  <c r="U7" i="20"/>
  <c r="W7" i="20"/>
  <c r="T10" i="20"/>
  <c r="J12" i="20"/>
  <c r="B8" i="20"/>
  <c r="O12" i="28" l="1"/>
  <c r="V11" i="28"/>
  <c r="U11" i="28"/>
  <c r="T12" i="28"/>
  <c r="W11" i="28"/>
  <c r="B11" i="28"/>
  <c r="A11" i="28"/>
  <c r="A10" i="27"/>
  <c r="J12" i="27"/>
  <c r="U11" i="27"/>
  <c r="T12" i="27"/>
  <c r="W11" i="27"/>
  <c r="O12" i="27"/>
  <c r="V11" i="27"/>
  <c r="B11" i="27"/>
  <c r="A11" i="27" s="1"/>
  <c r="O10" i="26"/>
  <c r="V9" i="26"/>
  <c r="T10" i="26"/>
  <c r="W9" i="26"/>
  <c r="J10" i="26"/>
  <c r="U9" i="26"/>
  <c r="B9" i="25"/>
  <c r="A9" i="25" s="1"/>
  <c r="O11" i="25"/>
  <c r="V10" i="25"/>
  <c r="J11" i="25"/>
  <c r="U10" i="25"/>
  <c r="T11" i="25"/>
  <c r="W10" i="25"/>
  <c r="U8" i="24"/>
  <c r="J9" i="24"/>
  <c r="W8" i="24"/>
  <c r="V8" i="24"/>
  <c r="W9" i="23"/>
  <c r="V9" i="23"/>
  <c r="U9" i="23"/>
  <c r="B13" i="22"/>
  <c r="J12" i="22"/>
  <c r="A12" i="22"/>
  <c r="T10" i="22"/>
  <c r="W9" i="22"/>
  <c r="U9" i="22"/>
  <c r="V9" i="22"/>
  <c r="O12" i="22"/>
  <c r="B11" i="21"/>
  <c r="A11" i="21" s="1"/>
  <c r="T10" i="21"/>
  <c r="V8" i="21"/>
  <c r="O9" i="21"/>
  <c r="U8" i="21"/>
  <c r="J11" i="21"/>
  <c r="B9" i="20"/>
  <c r="O9" i="20"/>
  <c r="V8" i="20"/>
  <c r="U8" i="20"/>
  <c r="W8" i="20"/>
  <c r="A8" i="20"/>
  <c r="J13" i="20"/>
  <c r="T11" i="20"/>
  <c r="O13" i="28" l="1"/>
  <c r="V12" i="28"/>
  <c r="U12" i="28"/>
  <c r="B12" i="28"/>
  <c r="T13" i="28"/>
  <c r="W13" i="28" s="1"/>
  <c r="W12" i="28"/>
  <c r="T13" i="27"/>
  <c r="W12" i="27"/>
  <c r="J13" i="27"/>
  <c r="U12" i="27"/>
  <c r="B12" i="27"/>
  <c r="O13" i="27"/>
  <c r="V12" i="27"/>
  <c r="J11" i="26"/>
  <c r="U10" i="26"/>
  <c r="T11" i="26"/>
  <c r="W10" i="26"/>
  <c r="O11" i="26"/>
  <c r="V10" i="26"/>
  <c r="T12" i="25"/>
  <c r="W11" i="25"/>
  <c r="J12" i="25"/>
  <c r="U12" i="25" s="1"/>
  <c r="U11" i="25"/>
  <c r="O12" i="25"/>
  <c r="V12" i="25" s="1"/>
  <c r="V11" i="25"/>
  <c r="B10" i="25"/>
  <c r="J10" i="24"/>
  <c r="U9" i="24"/>
  <c r="V9" i="24"/>
  <c r="W9" i="24"/>
  <c r="T11" i="22"/>
  <c r="W10" i="22"/>
  <c r="U10" i="22"/>
  <c r="V10" i="22"/>
  <c r="O13" i="22"/>
  <c r="B14" i="22"/>
  <c r="A14" i="22" s="1"/>
  <c r="J13" i="22"/>
  <c r="A13" i="22"/>
  <c r="O10" i="21"/>
  <c r="V9" i="21"/>
  <c r="U9" i="21"/>
  <c r="W9" i="21"/>
  <c r="T11" i="21"/>
  <c r="W10" i="21"/>
  <c r="T12" i="20"/>
  <c r="B10" i="20"/>
  <c r="A9" i="20"/>
  <c r="O10" i="20"/>
  <c r="V9" i="20"/>
  <c r="U9" i="20"/>
  <c r="W9" i="20"/>
  <c r="V13" i="28" l="1"/>
  <c r="U13" i="28"/>
  <c r="B13" i="28"/>
  <c r="A13" i="28" s="1"/>
  <c r="A12" i="28"/>
  <c r="J14" i="27"/>
  <c r="U13" i="27"/>
  <c r="T14" i="27"/>
  <c r="W13" i="27"/>
  <c r="V13" i="27"/>
  <c r="O14" i="27"/>
  <c r="B13" i="27"/>
  <c r="A12" i="27"/>
  <c r="V11" i="26"/>
  <c r="W11" i="26"/>
  <c r="U11" i="26"/>
  <c r="B11" i="25"/>
  <c r="A11" i="25" s="1"/>
  <c r="A10" i="25"/>
  <c r="W12" i="25"/>
  <c r="J11" i="24"/>
  <c r="U10" i="24"/>
  <c r="V10" i="24"/>
  <c r="W10" i="24"/>
  <c r="T12" i="22"/>
  <c r="W11" i="22"/>
  <c r="U11" i="22"/>
  <c r="V11" i="22"/>
  <c r="O14" i="22"/>
  <c r="J14" i="22"/>
  <c r="O11" i="21"/>
  <c r="V10" i="21"/>
  <c r="U10" i="21"/>
  <c r="B11" i="20"/>
  <c r="T13" i="20"/>
  <c r="O11" i="20"/>
  <c r="V10" i="20"/>
  <c r="U10" i="20"/>
  <c r="W10" i="20"/>
  <c r="A10" i="20"/>
  <c r="W14" i="27" l="1"/>
  <c r="A13" i="27"/>
  <c r="U14" i="27"/>
  <c r="B14" i="27"/>
  <c r="A14" i="27" s="1"/>
  <c r="V14" i="27"/>
  <c r="B12" i="25"/>
  <c r="A12" i="25" s="1"/>
  <c r="U11" i="24"/>
  <c r="W11" i="24"/>
  <c r="V11" i="24"/>
  <c r="T13" i="22"/>
  <c r="W12" i="22"/>
  <c r="V12" i="22"/>
  <c r="U12" i="22"/>
  <c r="V11" i="21"/>
  <c r="U11" i="21"/>
  <c r="W11" i="21"/>
  <c r="B12" i="20"/>
  <c r="A12" i="20" s="1"/>
  <c r="A11" i="20"/>
  <c r="O12" i="20"/>
  <c r="V11" i="20"/>
  <c r="U11" i="20"/>
  <c r="W11" i="20"/>
  <c r="T14" i="22" l="1"/>
  <c r="W13" i="22"/>
  <c r="V13" i="22"/>
  <c r="U13" i="22"/>
  <c r="O13" i="20"/>
  <c r="V12" i="20"/>
  <c r="U12" i="20"/>
  <c r="W12" i="20"/>
  <c r="B13" i="20"/>
  <c r="A13" i="20" s="1"/>
  <c r="W14" i="22" l="1"/>
  <c r="V14" i="22"/>
  <c r="U14" i="22"/>
  <c r="V13" i="20"/>
  <c r="U13" i="20"/>
  <c r="W13" i="20"/>
</calcChain>
</file>

<file path=xl/sharedStrings.xml><?xml version="1.0" encoding="utf-8"?>
<sst xmlns="http://schemas.openxmlformats.org/spreadsheetml/2006/main" count="1677" uniqueCount="210">
  <si>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</si>
  <si>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</si>
  <si>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</si>
  <si>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</si>
  <si>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</si>
  <si>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</si>
  <si>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</si>
  <si>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</si>
  <si>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</si>
  <si>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</si>
  <si>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</si>
  <si>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</si>
  <si>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</si>
  <si>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</si>
  <si>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</si>
  <si>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</si>
  <si>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</si>
  <si>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</si>
  <si>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</si>
  <si>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</si>
  <si>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</si>
  <si>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</si>
  <si>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</si>
  <si>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</si>
  <si>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</si>
  <si>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</si>
  <si>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</si>
  <si>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</si>
  <si>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</si>
  <si>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</si>
  <si>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</si>
  <si>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</si>
  <si>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</si>
  <si>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</si>
  <si>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</si>
  <si>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</si>
  <si>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</si>
  <si>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</si>
  <si>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</si>
  <si>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</si>
  <si>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</si>
  <si>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</si>
  <si>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</si>
  <si>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</si>
  <si>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</si>
  <si>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</si>
  <si>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</si>
  <si>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</si>
  <si>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</si>
  <si>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</si>
  <si>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</si>
  <si>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</si>
  <si>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</si>
  <si>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</si>
  <si>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</si>
  <si>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</si>
  <si>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</si>
  <si>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</si>
  <si>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</si>
  <si>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</si>
  <si>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</si>
  <si>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</si>
  <si>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</si>
  <si>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</si>
  <si>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</si>
  <si>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</si>
  <si>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</si>
  <si>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</si>
  <si>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</si>
  <si>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</si>
  <si>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</si>
  <si>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</si>
  <si>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</si>
  <si>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</si>
  <si>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</si>
  <si>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</si>
  <si>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</si>
  <si>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</si>
  <si>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</si>
  <si>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</si>
  <si>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</si>
  <si>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</si>
  <si>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</si>
  <si>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</si>
  <si>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</si>
  <si>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</si>
  <si>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</si>
  <si>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</si>
  <si>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</si>
  <si>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</si>
  <si>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</si>
  <si>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</si>
  <si>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</si>
  <si>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</si>
  <si>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</si>
  <si>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</si>
  <si>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</si>
  <si>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</si>
  <si>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</si>
  <si>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</si>
  <si>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</si>
  <si>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</si>
  <si>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</si>
  <si>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</si>
  <si>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</si>
  <si>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</si>
  <si>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</si>
  <si>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</si>
  <si>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</si>
  <si>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</si>
  <si>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</si>
  <si>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</si>
  <si>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</si>
  <si>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</si>
  <si>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</si>
  <si>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</si>
  <si>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</si>
  <si>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</si>
  <si>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</si>
  <si>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</si>
  <si>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</si>
  <si>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</si>
  <si>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</si>
  <si>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</si>
  <si>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</si>
  <si>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</si>
  <si>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</si>
  <si>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</si>
  <si>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</si>
  <si>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</si>
  <si>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</si>
  <si>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</si>
  <si>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</si>
  <si>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</si>
  <si>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</si>
  <si>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</si>
  <si>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</si>
  <si>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</si>
  <si>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</si>
  <si>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</si>
  <si>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</si>
  <si>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</si>
  <si>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</si>
  <si>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</si>
  <si>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</si>
  <si>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</si>
  <si>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</si>
  <si>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</si>
  <si>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</si>
  <si>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</si>
  <si>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</si>
  <si>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</si>
  <si>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</si>
  <si>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</si>
  <si>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</si>
  <si>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</si>
  <si>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</si>
  <si>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</si>
  <si>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</si>
  <si>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</si>
  <si>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</si>
  <si>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</si>
  <si>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</si>
  <si>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</si>
  <si>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</si>
  <si>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</si>
  <si>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</si>
  <si>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</si>
  <si>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</si>
  <si>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</si>
  <si>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</si>
  <si>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</si>
  <si>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</si>
  <si>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</si>
  <si>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</si>
  <si>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</si>
  <si>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</si>
  <si>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</si>
  <si>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</si>
  <si>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</si>
  <si>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</si>
  <si>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</si>
  <si>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</si>
  <si>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</si>
  <si>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</si>
  <si>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</si>
  <si>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</si>
  <si>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</si>
  <si>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</si>
  <si>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</si>
  <si>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</si>
  <si>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</si>
  <si>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りくと</t>
  </si>
  <si>
    <t>りくと</t>
    <phoneticPr fontId="1"/>
  </si>
  <si>
    <t>だいち</t>
  </si>
  <si>
    <t>だいち</t>
    <phoneticPr fontId="1"/>
  </si>
  <si>
    <t>れんたろう</t>
  </si>
  <si>
    <t>れんたろう</t>
    <phoneticPr fontId="1"/>
  </si>
  <si>
    <t>放銃</t>
  </si>
  <si>
    <t>ロン</t>
  </si>
  <si>
    <t>01</t>
  </si>
  <si>
    <t>ツモ</t>
  </si>
  <si>
    <t>ツモ支払</t>
  </si>
  <si>
    <t>52</t>
  </si>
  <si>
    <t>N</t>
  </si>
  <si>
    <t>T</t>
  </si>
  <si>
    <t>流局</t>
    <phoneticPr fontId="1"/>
  </si>
  <si>
    <t>*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</si>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</sst>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199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200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199</v>
      </c>
      <c r="G5" s="9">
        <v>2600</v>
      </c>
      <c r="H5" s="9"/>
      <c r="I5" s="48">
        <v>1000</v>
      </c>
      <c r="J5" s="21">
        <f t="shared" ref="J5:J30" si="2">IF(COUNTA($F5,$K5,$P5)&gt;0,J4+SUM(G5:I5),"")</f>
        <v>38600</v>
      </c>
      <c r="K5" s="8" t="s">
        <v>198</v>
      </c>
      <c r="L5" s="9">
        <v>-2600</v>
      </c>
      <c r="M5" s="9"/>
      <c r="N5" s="48">
        <v>-1000</v>
      </c>
      <c r="O5" s="21">
        <f t="shared" ref="O5:O30" si="3">IF(COUNTA($F5,$K5,$P5)&gt;0,O4+SUM(L5:N5),"")</f>
        <v>29400</v>
      </c>
      <c r="P5" s="8"/>
      <c r="Q5" s="9"/>
      <c r="R5" s="9"/>
      <c r="S5" s="48"/>
      <c r="T5" s="21">
        <f t="shared" ref="T5:T30" si="4">IF(COUNTA($F5,$K5,$P5)&gt;0,T4+SUM(Q5:S5),"")</f>
        <v>37000</v>
      </c>
      <c r="U5" s="53">
        <f>IF($J5="","",ROUND(($J5-$J$3)/1000,1)+(_xlfn.RANK.AVG($J5,($J5,$O5,$T5),1)-2)*20)</f>
        <v>23.6</v>
      </c>
      <c r="V5" s="54">
        <f>IF($O5="","",ROUND(($O5-$O$3)/1000,1)+(_xlfn.RANK.AVG($O5,($J5,$O5,$T5),1)-2)*20)</f>
        <v>-25.6</v>
      </c>
      <c r="W5" s="55">
        <f>IF($T5="","",ROUND(($T5-$T$3)/1000,1)+(_xlfn.RANK.AVG($T5,($J5,$O5,$T5),1)-2)*20)</f>
        <v>2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200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11600</v>
      </c>
      <c r="H6" s="9"/>
      <c r="I6" s="48">
        <v>0</v>
      </c>
      <c r="J6" s="21">
        <f t="shared" si="2"/>
        <v>50200</v>
      </c>
      <c r="K6" s="8" t="s">
        <v>202</v>
      </c>
      <c r="L6" s="9">
        <v>-5800</v>
      </c>
      <c r="M6" s="9"/>
      <c r="N6" s="48">
        <v>0</v>
      </c>
      <c r="O6" s="21">
        <f t="shared" si="3"/>
        <v>23600</v>
      </c>
      <c r="P6" s="8" t="s">
        <v>202</v>
      </c>
      <c r="Q6" s="9">
        <v>-5800</v>
      </c>
      <c r="R6" s="9"/>
      <c r="S6" s="48">
        <v>0</v>
      </c>
      <c r="T6" s="21">
        <f t="shared" si="4"/>
        <v>31200</v>
      </c>
      <c r="U6" s="53">
        <f>IF($J6="","",ROUND(($J6-$J$3)/1000,1)+(_xlfn.RANK.AVG($J6,($J6,$O6,$T6),1)-2)*20)</f>
        <v>35.200000000000003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-3.8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200</v>
      </c>
      <c r="AF6" s="41" t="s">
        <v>82</v>
      </c>
      <c r="AG6" s="41" t="s">
        <v>203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199</v>
      </c>
      <c r="G7" s="9">
        <v>11600</v>
      </c>
      <c r="H7" s="9"/>
      <c r="I7" s="48">
        <v>1000</v>
      </c>
      <c r="J7" s="21">
        <f t="shared" si="2"/>
        <v>62800</v>
      </c>
      <c r="K7" s="8" t="s">
        <v>198</v>
      </c>
      <c r="L7" s="9">
        <v>-11600</v>
      </c>
      <c r="M7" s="9"/>
      <c r="N7" s="48">
        <v>-1000</v>
      </c>
      <c r="O7" s="21">
        <f t="shared" si="3"/>
        <v>11000</v>
      </c>
      <c r="P7" s="8"/>
      <c r="Q7" s="9"/>
      <c r="R7" s="9"/>
      <c r="S7" s="48"/>
      <c r="T7" s="21">
        <f t="shared" si="4"/>
        <v>31200</v>
      </c>
      <c r="U7" s="53">
        <f>IF($J7="","",ROUND(($J7-$J$3)/1000,1)+(_xlfn.RANK.AVG($J7,($J7,$O7,$T7),1)-2)*20)</f>
        <v>47.8</v>
      </c>
      <c r="V7" s="54">
        <f>IF($O7="","",ROUND(($O7-$O$3)/1000,1)+(_xlfn.RANK.AVG($O7,($J7,$O7,$T7),1)-2)*20)</f>
        <v>-44</v>
      </c>
      <c r="W7" s="55">
        <f>IF($T7="","",ROUND(($T7-$T$3)/1000,1)+(_xlfn.RANK.AVG($T7,($J7,$O7,$T7),1)-2)*20)</f>
        <v>-3.8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86</v>
      </c>
      <c r="AF7" s="41" t="s">
        <v>86</v>
      </c>
      <c r="AG7" s="41" t="s">
        <v>104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IF($F$1="","",$F$1)</f>
        <v>りくと</v>
      </c>
      <c r="F8" s="8" t="s">
        <v>206</v>
      </c>
      <c r="G8" s="9">
        <v>-3000</v>
      </c>
      <c r="H8" s="9"/>
      <c r="I8" s="48"/>
      <c r="J8" s="21">
        <f t="shared" si="2"/>
        <v>59800</v>
      </c>
      <c r="K8" s="8" t="s">
        <v>206</v>
      </c>
      <c r="L8" s="9">
        <v>1500</v>
      </c>
      <c r="M8" s="9">
        <v>-1000</v>
      </c>
      <c r="N8" s="48"/>
      <c r="O8" s="21">
        <f t="shared" si="3"/>
        <v>11500</v>
      </c>
      <c r="P8" s="8" t="s">
        <v>206</v>
      </c>
      <c r="Q8" s="9">
        <v>1500</v>
      </c>
      <c r="R8" s="9">
        <v>-1000</v>
      </c>
      <c r="S8" s="48"/>
      <c r="T8" s="21">
        <f t="shared" si="4"/>
        <v>31700</v>
      </c>
      <c r="U8" s="53">
        <f>IF($J8="","",ROUND(($J8-$J$3)/1000,1)+(_xlfn.RANK.AVG($J8,($J8,$O8,$T8),1)-2)*20)</f>
        <v>44.8</v>
      </c>
      <c r="V8" s="54">
        <f>IF($O8="","",ROUND(($O8-$O$3)/1000,1)+(_xlfn.RANK.AVG($O8,($J8,$O8,$T8),1)-2)*20)</f>
        <v>-43.5</v>
      </c>
      <c r="W8" s="55">
        <f>IF($T8="","",ROUND(($T8-$T$3)/1000,1)+(_xlfn.RANK.AVG($T8,($J8,$O8,$T8),1)-2)*20)</f>
        <v>-3.3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2</v>
      </c>
      <c r="E9" s="4" t="str">
        <f>IF($K$1="","",$K$1)</f>
        <v>だいち</v>
      </c>
      <c r="F9" s="8" t="s">
        <v>202</v>
      </c>
      <c r="G9" s="9">
        <v>-500</v>
      </c>
      <c r="H9" s="9"/>
      <c r="I9" s="48">
        <v>-1500</v>
      </c>
      <c r="J9" s="21">
        <f t="shared" si="2"/>
        <v>57800</v>
      </c>
      <c r="K9" s="8" t="s">
        <v>202</v>
      </c>
      <c r="L9" s="9">
        <v>-700</v>
      </c>
      <c r="M9" s="9"/>
      <c r="N9" s="48">
        <v>-1500</v>
      </c>
      <c r="O9" s="21">
        <f t="shared" si="3"/>
        <v>9300</v>
      </c>
      <c r="P9" s="8" t="s">
        <v>201</v>
      </c>
      <c r="Q9" s="9">
        <v>1200</v>
      </c>
      <c r="R9" s="9">
        <v>2000</v>
      </c>
      <c r="S9" s="48">
        <v>3000</v>
      </c>
      <c r="T9" s="21">
        <f t="shared" si="4"/>
        <v>37900</v>
      </c>
      <c r="U9" s="53">
        <f>IF($J9="","",ROUND(($J9-$J$3)/1000,1)+(_xlfn.RANK.AVG($J9,($J9,$O9,$T9),1)-2)*20)</f>
        <v>42.8</v>
      </c>
      <c r="V9" s="54">
        <f>IF($O9="","",ROUND(($O9-$O$3)/1000,1)+(_xlfn.RANK.AVG($O9,($J9,$O9,$T9),1)-2)*20)</f>
        <v>-45.7</v>
      </c>
      <c r="W9" s="55">
        <f>IF($T9="","",ROUND(($T9-$T$3)/1000,1)+(_xlfn.RANK.AVG($T9,($J9,$O9,$T9),1)-2)*20)</f>
        <v>2.9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-5800</v>
      </c>
      <c r="H10" s="9"/>
      <c r="I10" s="48">
        <v>0</v>
      </c>
      <c r="J10" s="21">
        <f t="shared" si="2"/>
        <v>52000</v>
      </c>
      <c r="K10" s="8" t="s">
        <v>202</v>
      </c>
      <c r="L10" s="9">
        <v>-5800</v>
      </c>
      <c r="M10" s="9">
        <v>-1000</v>
      </c>
      <c r="N10" s="48">
        <v>0</v>
      </c>
      <c r="O10" s="21">
        <f t="shared" si="3"/>
        <v>2500</v>
      </c>
      <c r="P10" s="8" t="s">
        <v>201</v>
      </c>
      <c r="Q10" s="9">
        <v>11600</v>
      </c>
      <c r="R10" s="9">
        <v>1000</v>
      </c>
      <c r="S10" s="48">
        <v>0</v>
      </c>
      <c r="T10" s="21">
        <f t="shared" si="4"/>
        <v>50500</v>
      </c>
      <c r="U10" s="53">
        <f>IF($J10="","",ROUND(($J10-$J$3)/1000,1)+(_xlfn.RANK.AVG($J10,($J10,$O10,$T10),1)-2)*20)</f>
        <v>37</v>
      </c>
      <c r="V10" s="54">
        <f>IF($O10="","",ROUND(($O10-$O$3)/1000,1)+(_xlfn.RANK.AVG($O10,($J10,$O10,$T10),1)-2)*20)</f>
        <v>-52.5</v>
      </c>
      <c r="W10" s="55">
        <f>IF($T10="","",ROUND(($T10-$T$3)/1000,1)+(_xlfn.RANK.AVG($T10,($J10,$O10,$T10),1)-2)*20)</f>
        <v>15.5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104</v>
      </c>
      <c r="BV10" s="41" t="s">
        <v>79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 t="s">
        <v>198</v>
      </c>
      <c r="G11" s="9">
        <v>-1300</v>
      </c>
      <c r="H11" s="9"/>
      <c r="I11" s="48">
        <v>-1000</v>
      </c>
      <c r="J11" s="21">
        <f t="shared" si="2"/>
        <v>49700</v>
      </c>
      <c r="K11" s="8" t="s">
        <v>199</v>
      </c>
      <c r="L11" s="9">
        <v>1300</v>
      </c>
      <c r="M11" s="9"/>
      <c r="N11" s="48">
        <v>1000</v>
      </c>
      <c r="O11" s="21">
        <f t="shared" si="3"/>
        <v>4800</v>
      </c>
      <c r="P11" s="8"/>
      <c r="Q11" s="9"/>
      <c r="R11" s="9"/>
      <c r="S11" s="48"/>
      <c r="T11" s="21">
        <f t="shared" si="4"/>
        <v>50500</v>
      </c>
      <c r="U11" s="53">
        <f>IF($J11="","",ROUND(($J11-$J$3)/1000,1)+(_xlfn.RANK.AVG($J11,($J11,$O11,$T11),1)-2)*20)</f>
        <v>14.7</v>
      </c>
      <c r="V11" s="54">
        <f>IF($O11="","",ROUND(($O11-$O$3)/1000,1)+(_xlfn.RANK.AVG($O11,($J11,$O11,$T11),1)-2)*20)</f>
        <v>-50.2</v>
      </c>
      <c r="W11" s="55">
        <f>IF($T11="","",ROUND(($T11-$T$3)/1000,1)+(_xlfn.RANK.AVG($T11,($J11,$O11,$T11),1)-2)*20)</f>
        <v>35.5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</v>
      </c>
      <c r="AY11" s="30">
        <v>40</v>
      </c>
      <c r="AZ11" s="40" t="s">
        <v>200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りくと</v>
      </c>
      <c r="F12" s="8" t="s">
        <v>202</v>
      </c>
      <c r="G12" s="9">
        <v>-2500</v>
      </c>
      <c r="H12" s="9"/>
      <c r="I12" s="48">
        <v>0</v>
      </c>
      <c r="J12" s="21">
        <f t="shared" si="2"/>
        <v>47200</v>
      </c>
      <c r="K12" s="8" t="s">
        <v>202</v>
      </c>
      <c r="L12" s="9">
        <v>-1500</v>
      </c>
      <c r="M12" s="9"/>
      <c r="N12" s="48">
        <v>0</v>
      </c>
      <c r="O12" s="21">
        <f t="shared" si="3"/>
        <v>3300</v>
      </c>
      <c r="P12" s="8" t="s">
        <v>201</v>
      </c>
      <c r="Q12" s="9">
        <v>4000</v>
      </c>
      <c r="R12" s="9"/>
      <c r="S12" s="48">
        <v>0</v>
      </c>
      <c r="T12" s="21">
        <f t="shared" si="4"/>
        <v>54500</v>
      </c>
      <c r="U12" s="53">
        <f>IF($J12="","",ROUND(($J12-$J$3)/1000,1)+(_xlfn.RANK.AVG($J12,($J12,$O12,$T12),1)-2)*20)</f>
        <v>12.2</v>
      </c>
      <c r="V12" s="54">
        <f>IF($O12="","",ROUND(($O12-$O$3)/1000,1)+(_xlfn.RANK.AVG($O12,($J12,$O12,$T12),1)-2)*20)</f>
        <v>-51.7</v>
      </c>
      <c r="W12" s="55">
        <f>IF($T12="","",ROUND(($T12-$T$3)/1000,1)+(_xlfn.RANK.AVG($T12,($J12,$O12,$T12),1)-2)*20)</f>
        <v>39.5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30</v>
      </c>
      <c r="BU12" s="40" t="s">
        <v>200</v>
      </c>
      <c r="BV12" s="41" t="s">
        <v>82</v>
      </c>
      <c r="BW12" s="41" t="s">
        <v>85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だいち</v>
      </c>
      <c r="F13" s="8" t="s">
        <v>199</v>
      </c>
      <c r="G13" s="9">
        <v>12000</v>
      </c>
      <c r="H13" s="9"/>
      <c r="I13" s="48">
        <v>0</v>
      </c>
      <c r="J13" s="21">
        <f t="shared" si="2"/>
        <v>59200</v>
      </c>
      <c r="K13" s="8" t="s">
        <v>198</v>
      </c>
      <c r="L13" s="9">
        <v>-12000</v>
      </c>
      <c r="M13" s="9"/>
      <c r="N13" s="48">
        <v>0</v>
      </c>
      <c r="O13" s="21">
        <f t="shared" si="3"/>
        <v>-8700</v>
      </c>
      <c r="P13" s="8"/>
      <c r="Q13" s="9"/>
      <c r="R13" s="9"/>
      <c r="S13" s="48"/>
      <c r="T13" s="21">
        <f t="shared" si="4"/>
        <v>54500</v>
      </c>
      <c r="U13" s="53">
        <f>IF($J13="","",ROUND(($J13-$J$3)/1000,1)+(_xlfn.RANK.AVG($J13,($J13,$O13,$T13),1)-2)*20)</f>
        <v>44.2</v>
      </c>
      <c r="V13" s="54">
        <f>IF($O13="","",ROUND(($O13-$O$3)/1000,1)+(_xlfn.RANK.AVG($O13,($J13,$O13,$T13),1)-2)*20)</f>
        <v>-63.7</v>
      </c>
      <c r="W13" s="55">
        <f>IF($T13="","",ROUND(($T13-$T$3)/1000,1)+(_xlfn.RANK.AVG($T13,($J13,$O13,$T13),1)-2)*20)</f>
        <v>19.5</v>
      </c>
      <c r="Y13" s="8"/>
      <c r="Z13" s="34"/>
      <c r="AA13" s="26"/>
      <c r="AB13" s="26">
        <v>1</v>
      </c>
      <c r="AC13" s="26">
        <v>6</v>
      </c>
      <c r="AD13" s="30" t="s">
        <v>207</v>
      </c>
      <c r="AE13" s="40" t="s">
        <v>86</v>
      </c>
      <c r="AF13" s="41" t="s">
        <v>99</v>
      </c>
      <c r="AG13" s="41" t="s">
        <v>93</v>
      </c>
      <c r="AH13" s="41" t="s">
        <v>86</v>
      </c>
      <c r="AI13" s="41" t="s">
        <v>86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C5A623D-D98C-479A-8213-5F58FFB385DA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41D0-8F0D-4770-95CF-D3A268301CF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202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202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31.6</v>
      </c>
      <c r="V4" s="54">
        <f>IF($O4="","",ROUND(($O4-$O$3)/1000,1)+(_xlfn.RANK.AVG($O4,($J4,$O4,$T4),1)-2)*20)</f>
        <v>-15.8</v>
      </c>
      <c r="W4" s="55">
        <f>IF($T4="","",ROUND(($T4-$T$3)/1000,1)+(_xlfn.RANK.AVG($T4,($J4,$O4,$T4),1)-2)*20)</f>
        <v>-15.8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200</v>
      </c>
      <c r="AF4" s="41" t="s">
        <v>82</v>
      </c>
      <c r="AG4" s="41" t="s">
        <v>80</v>
      </c>
      <c r="AH4" s="41" t="s">
        <v>82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198</v>
      </c>
      <c r="G5" s="9">
        <v>-1300</v>
      </c>
      <c r="H5" s="9"/>
      <c r="I5" s="48">
        <v>-1000</v>
      </c>
      <c r="J5" s="21">
        <f t="shared" ref="J5:J30" si="2">IF(COUNTA($F5,$K5,$P5)&gt;0,J4+SUM(G5:I5),"")</f>
        <v>44300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199</v>
      </c>
      <c r="Q5" s="9">
        <v>1300</v>
      </c>
      <c r="R5" s="9"/>
      <c r="S5" s="48">
        <v>1000</v>
      </c>
      <c r="T5" s="21">
        <f t="shared" ref="T5:T30" si="4">IF(COUNTA($F5,$K5,$P5)&gt;0,T4+SUM(Q5:S5),"")</f>
        <v>31500</v>
      </c>
      <c r="U5" s="53">
        <f>IF($J5="","",ROUND(($J5-$J$3)/1000,1)+(_xlfn.RANK.AVG($J5,($J5,$O5,$T5),1)-2)*20)</f>
        <v>29.3</v>
      </c>
      <c r="V5" s="54">
        <f>IF($O5="","",ROUND(($O5-$O$3)/1000,1)+(_xlfn.RANK.AVG($O5,($J5,$O5,$T5),1)-2)*20)</f>
        <v>-25.8</v>
      </c>
      <c r="W5" s="55">
        <f>IF($T5="","",ROUND(($T5-$T$3)/1000,1)+(_xlfn.RANK.AVG($T5,($J5,$O5,$T5),1)-2)*20)</f>
        <v>-3.5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</v>
      </c>
      <c r="BT5" s="30">
        <v>40</v>
      </c>
      <c r="BU5" s="40" t="s">
        <v>200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-7700</v>
      </c>
      <c r="H6" s="9"/>
      <c r="I6" s="48">
        <v>0</v>
      </c>
      <c r="J6" s="21">
        <f t="shared" si="2"/>
        <v>36600</v>
      </c>
      <c r="K6" s="8"/>
      <c r="L6" s="9"/>
      <c r="M6" s="9"/>
      <c r="N6" s="48"/>
      <c r="O6" s="21">
        <f t="shared" si="3"/>
        <v>29200</v>
      </c>
      <c r="P6" s="8" t="s">
        <v>199</v>
      </c>
      <c r="Q6" s="9">
        <v>7700</v>
      </c>
      <c r="R6" s="9"/>
      <c r="S6" s="48">
        <v>0</v>
      </c>
      <c r="T6" s="21">
        <f t="shared" si="4"/>
        <v>39200</v>
      </c>
      <c r="U6" s="53">
        <f>IF($J6="","",ROUND(($J6-$J$3)/1000,1)+(_xlfn.RANK.AVG($J6,($J6,$O6,$T6),1)-2)*20)</f>
        <v>1.6</v>
      </c>
      <c r="V6" s="54">
        <f>IF($O6="","",ROUND(($O6-$O$3)/1000,1)+(_xlfn.RANK.AVG($O6,($J6,$O6,$T6),1)-2)*20)</f>
        <v>-25.8</v>
      </c>
      <c r="W6" s="55">
        <f>IF($T6="","",ROUND(($T6-$T$3)/1000,1)+(_xlfn.RANK.AVG($T6,($J6,$O6,$T6),1)-2)*20)</f>
        <v>24.2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104</v>
      </c>
      <c r="BV6" s="41" t="s">
        <v>86</v>
      </c>
      <c r="BW6" s="41" t="s">
        <v>203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198</v>
      </c>
      <c r="G7" s="9">
        <v>-12000</v>
      </c>
      <c r="H7" s="9"/>
      <c r="I7" s="48">
        <v>0</v>
      </c>
      <c r="J7" s="21">
        <f t="shared" si="2"/>
        <v>24600</v>
      </c>
      <c r="K7" s="8"/>
      <c r="L7" s="9"/>
      <c r="M7" s="9"/>
      <c r="N7" s="48"/>
      <c r="O7" s="21">
        <f t="shared" si="3"/>
        <v>29200</v>
      </c>
      <c r="P7" s="8" t="s">
        <v>199</v>
      </c>
      <c r="Q7" s="9">
        <v>12000</v>
      </c>
      <c r="R7" s="9"/>
      <c r="S7" s="48">
        <v>0</v>
      </c>
      <c r="T7" s="21">
        <f t="shared" si="4"/>
        <v>51200</v>
      </c>
      <c r="U7" s="53">
        <f>IF($J7="","",ROUND(($J7-$J$3)/1000,1)+(_xlfn.RANK.AVG($J7,($J7,$O7,$T7),1)-2)*20)</f>
        <v>-30.4</v>
      </c>
      <c r="V7" s="54">
        <f>IF($O7="","",ROUND(($O7-$O$3)/1000,1)+(_xlfn.RANK.AVG($O7,($J7,$O7,$T7),1)-2)*20)</f>
        <v>-5.8</v>
      </c>
      <c r="W7" s="55">
        <f>IF($T7="","",ROUND(($T7-$T$3)/1000,1)+(_xlfn.RANK.AVG($T7,($J7,$O7,$T7),1)-2)*20)</f>
        <v>36.200000000000003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200</v>
      </c>
      <c r="BV7" s="41" t="s">
        <v>208</v>
      </c>
      <c r="BW7" s="41" t="s">
        <v>86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202</v>
      </c>
      <c r="G8" s="9">
        <v>-800</v>
      </c>
      <c r="H8" s="9"/>
      <c r="I8" s="48">
        <v>-500</v>
      </c>
      <c r="J8" s="21">
        <f t="shared" si="2"/>
        <v>23300</v>
      </c>
      <c r="K8" s="8" t="s">
        <v>201</v>
      </c>
      <c r="L8" s="9">
        <v>2100</v>
      </c>
      <c r="M8" s="9"/>
      <c r="N8" s="48">
        <v>1000</v>
      </c>
      <c r="O8" s="21">
        <f t="shared" si="3"/>
        <v>32300</v>
      </c>
      <c r="P8" s="8" t="s">
        <v>202</v>
      </c>
      <c r="Q8" s="9">
        <v>-1300</v>
      </c>
      <c r="R8" s="9"/>
      <c r="S8" s="48">
        <v>-500</v>
      </c>
      <c r="T8" s="21">
        <f t="shared" si="4"/>
        <v>49400</v>
      </c>
      <c r="U8" s="53">
        <f>IF($J8="","",ROUND(($J8-$J$3)/1000,1)+(_xlfn.RANK.AVG($J8,($J8,$O8,$T8),1)-2)*20)</f>
        <v>-31.7</v>
      </c>
      <c r="V8" s="54">
        <f>IF($O8="","",ROUND(($O8-$O$3)/1000,1)+(_xlfn.RANK.AVG($O8,($J8,$O8,$T8),1)-2)*20)</f>
        <v>-2.7</v>
      </c>
      <c r="W8" s="55">
        <f>IF($T8="","",ROUND(($T8-$T$3)/1000,1)+(_xlfn.RANK.AVG($T8,($J8,$O8,$T8),1)-2)*20)</f>
        <v>34.4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202</v>
      </c>
      <c r="G9" s="9">
        <v>-1300</v>
      </c>
      <c r="H9" s="9"/>
      <c r="I9" s="48">
        <v>0</v>
      </c>
      <c r="J9" s="21">
        <f t="shared" si="2"/>
        <v>22000</v>
      </c>
      <c r="K9" s="8" t="s">
        <v>202</v>
      </c>
      <c r="L9" s="9">
        <v>-800</v>
      </c>
      <c r="M9" s="9"/>
      <c r="N9" s="48">
        <v>0</v>
      </c>
      <c r="O9" s="21">
        <f t="shared" si="3"/>
        <v>31500</v>
      </c>
      <c r="P9" s="8" t="s">
        <v>201</v>
      </c>
      <c r="Q9" s="9">
        <v>2100</v>
      </c>
      <c r="R9" s="9"/>
      <c r="S9" s="48">
        <v>0</v>
      </c>
      <c r="T9" s="21">
        <f t="shared" si="4"/>
        <v>51500</v>
      </c>
      <c r="U9" s="53">
        <f>IF($J9="","",ROUND(($J9-$J$3)/1000,1)+(_xlfn.RANK.AVG($J9,($J9,$O9,$T9),1)-2)*20)</f>
        <v>-33</v>
      </c>
      <c r="V9" s="54">
        <f>IF($O9="","",ROUND(($O9-$O$3)/1000,1)+(_xlfn.RANK.AVG($O9,($J9,$O9,$T9),1)-2)*20)</f>
        <v>-3.5</v>
      </c>
      <c r="W9" s="55">
        <f>IF($T9="","",ROUND(($T9-$T$3)/1000,1)+(_xlfn.RANK.AVG($T9,($J9,$O9,$T9),1)-2)*20)</f>
        <v>36.5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199</v>
      </c>
      <c r="G10" s="9">
        <v>3900</v>
      </c>
      <c r="H10" s="9"/>
      <c r="I10" s="48">
        <v>0</v>
      </c>
      <c r="J10" s="21">
        <f t="shared" si="2"/>
        <v>25900</v>
      </c>
      <c r="K10" s="8"/>
      <c r="L10" s="9"/>
      <c r="M10" s="9"/>
      <c r="N10" s="48"/>
      <c r="O10" s="21">
        <f t="shared" si="3"/>
        <v>31500</v>
      </c>
      <c r="P10" s="8" t="s">
        <v>198</v>
      </c>
      <c r="Q10" s="9">
        <v>-3900</v>
      </c>
      <c r="R10" s="9"/>
      <c r="S10" s="48">
        <v>0</v>
      </c>
      <c r="T10" s="21">
        <f t="shared" si="4"/>
        <v>47600</v>
      </c>
      <c r="U10" s="53">
        <f>IF($J10="","",ROUND(($J10-$J$3)/1000,1)+(_xlfn.RANK.AVG($J10,($J10,$O10,$T10),1)-2)*20)</f>
        <v>-29.1</v>
      </c>
      <c r="V10" s="54">
        <f>IF($O10="","",ROUND(($O10-$O$3)/1000,1)+(_xlfn.RANK.AVG($O10,($J10,$O10,$T10),1)-2)*20)</f>
        <v>-3.5</v>
      </c>
      <c r="W10" s="55">
        <f>IF($T10="","",ROUND(($T10-$T$3)/1000,1)+(_xlfn.RANK.AVG($T10,($J10,$O10,$T10),1)-2)*20)</f>
        <v>32.6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86</v>
      </c>
      <c r="AG10" s="41" t="s">
        <v>93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206</v>
      </c>
      <c r="G11" s="9">
        <v>-1500</v>
      </c>
      <c r="H11" s="9"/>
      <c r="I11" s="48"/>
      <c r="J11" s="21">
        <f t="shared" si="2"/>
        <v>24400</v>
      </c>
      <c r="K11" s="8" t="s">
        <v>206</v>
      </c>
      <c r="L11" s="9">
        <v>-1500</v>
      </c>
      <c r="M11" s="9"/>
      <c r="N11" s="48"/>
      <c r="O11" s="21">
        <f t="shared" si="3"/>
        <v>30000</v>
      </c>
      <c r="P11" s="8" t="s">
        <v>206</v>
      </c>
      <c r="Q11" s="9">
        <v>3000</v>
      </c>
      <c r="R11" s="9"/>
      <c r="S11" s="48"/>
      <c r="T11" s="21">
        <f t="shared" si="4"/>
        <v>50600</v>
      </c>
      <c r="U11" s="53">
        <f>IF($J11="","",ROUND(($J11-$J$3)/1000,1)+(_xlfn.RANK.AVG($J11,($J11,$O11,$T11),1)-2)*20)</f>
        <v>-30.6</v>
      </c>
      <c r="V11" s="54">
        <f>IF($O11="","",ROUND(($O11-$O$3)/1000,1)+(_xlfn.RANK.AVG($O11,($J11,$O11,$T11),1)-2)*20)</f>
        <v>-5</v>
      </c>
      <c r="W11" s="55">
        <f>IF($T11="","",ROUND(($T11-$T$3)/1000,1)+(_xlfn.RANK.AVG($T11,($J11,$O11,$T11),1)-2)*20)</f>
        <v>35.6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qref="F1:T1" xr:uid="{F7C4AC4F-FDC8-4366-B17A-1296CBA4416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B096C284-B514-416E-8628-62F978837F5F}">
      <formula1>"ロン,ツモ,放銃,ツモ支払,流局,チョンボ"</formula1>
    </dataValidation>
    <dataValidation type="list" allowBlank="1" showInputMessage="1" showErrorMessage="1" sqref="E4:E30" xr:uid="{48A8FDB6-17D2-4021-A8B0-A7670575E15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FB1D6-AC72-4846-B68F-3EEC2632588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197</v>
      </c>
      <c r="F4" s="8" t="s">
        <v>201</v>
      </c>
      <c r="G4" s="9">
        <v>8000</v>
      </c>
      <c r="H4" s="9">
        <v>1000</v>
      </c>
      <c r="I4" s="48">
        <v>0</v>
      </c>
      <c r="J4" s="21">
        <f>IF(COUNTA($F4,$K4,$P4)&gt;0,J3+SUM(G4:I4),"")</f>
        <v>44000</v>
      </c>
      <c r="K4" s="8" t="s">
        <v>202</v>
      </c>
      <c r="L4" s="9">
        <v>-5000</v>
      </c>
      <c r="M4" s="9">
        <v>-1000</v>
      </c>
      <c r="N4" s="48">
        <v>0</v>
      </c>
      <c r="O4" s="21">
        <f>IF(COUNTA($F4,$K4,$P4)&gt;0,O3+SUM(L4:N4),"")</f>
        <v>29000</v>
      </c>
      <c r="P4" s="8" t="s">
        <v>202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29</v>
      </c>
      <c r="V4" s="54">
        <f>IF($O4="","",ROUND(($O4-$O$3)/1000,1)+(_xlfn.RANK.AVG($O4,($J4,$O4,$T4),1)-2)*20)</f>
        <v>-26</v>
      </c>
      <c r="W4" s="55">
        <f>IF($T4="","",ROUND(($T4-$T$3)/1000,1)+(_xlfn.RANK.AVG($T4,($J4,$O4,$T4),1)-2)*20)</f>
        <v>-3</v>
      </c>
      <c r="Y4" s="8"/>
      <c r="Z4" s="34"/>
      <c r="AA4" s="26">
        <v>1</v>
      </c>
      <c r="AB4" s="26"/>
      <c r="AC4" s="26">
        <v>5</v>
      </c>
      <c r="AD4" s="30" t="s">
        <v>207</v>
      </c>
      <c r="AE4" s="40" t="s">
        <v>200</v>
      </c>
      <c r="AF4" s="41" t="s">
        <v>82</v>
      </c>
      <c r="AG4" s="41" t="s">
        <v>83</v>
      </c>
      <c r="AH4" s="41" t="s">
        <v>79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りくと</v>
      </c>
      <c r="F5" s="8" t="s">
        <v>201</v>
      </c>
      <c r="G5" s="9">
        <v>8000</v>
      </c>
      <c r="H5" s="9"/>
      <c r="I5" s="48">
        <v>0</v>
      </c>
      <c r="J5" s="21">
        <f t="shared" ref="J5:J30" si="2">IF(COUNTA($F5,$K5,$P5)&gt;0,J4+SUM(G5:I5),"")</f>
        <v>52000</v>
      </c>
      <c r="K5" s="8" t="s">
        <v>202</v>
      </c>
      <c r="L5" s="9">
        <v>-3000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202</v>
      </c>
      <c r="Q5" s="9">
        <v>-5000</v>
      </c>
      <c r="R5" s="9"/>
      <c r="S5" s="48">
        <v>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37</v>
      </c>
      <c r="V5" s="54">
        <f>IF($O5="","",ROUND(($O5-$O$3)/1000,1)+(_xlfn.RANK.AVG($O5,($J5,$O5,$T5),1)-2)*20)</f>
        <v>-29</v>
      </c>
      <c r="W5" s="55">
        <f>IF($T5="","",ROUND(($T5-$T$3)/1000,1)+(_xlfn.RANK.AVG($T5,($J5,$O5,$T5),1)-2)*20)</f>
        <v>-8</v>
      </c>
      <c r="Y5" s="8"/>
      <c r="Z5" s="34"/>
      <c r="AA5" s="26">
        <v>1</v>
      </c>
      <c r="AB5" s="26"/>
      <c r="AC5" s="26">
        <v>5</v>
      </c>
      <c r="AD5" s="30" t="s">
        <v>207</v>
      </c>
      <c r="AE5" s="40" t="s">
        <v>200</v>
      </c>
      <c r="AF5" s="41" t="s">
        <v>82</v>
      </c>
      <c r="AG5" s="41" t="s">
        <v>86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199</v>
      </c>
      <c r="G6" s="9">
        <v>3900</v>
      </c>
      <c r="H6" s="9"/>
      <c r="I6" s="48">
        <v>0</v>
      </c>
      <c r="J6" s="21">
        <f t="shared" si="2"/>
        <v>55900</v>
      </c>
      <c r="K6" s="8" t="s">
        <v>198</v>
      </c>
      <c r="L6" s="9">
        <v>-3900</v>
      </c>
      <c r="M6" s="9"/>
      <c r="N6" s="48">
        <v>0</v>
      </c>
      <c r="O6" s="21">
        <f t="shared" si="3"/>
        <v>22100</v>
      </c>
      <c r="P6" s="8"/>
      <c r="Q6" s="9"/>
      <c r="R6" s="9"/>
      <c r="S6" s="48"/>
      <c r="T6" s="21">
        <f t="shared" si="4"/>
        <v>27000</v>
      </c>
      <c r="U6" s="53">
        <f>IF($J6="","",ROUND(($J6-$J$3)/1000,1)+(_xlfn.RANK.AVG($J6,($J6,$O6,$T6),1)-2)*20)</f>
        <v>40.9</v>
      </c>
      <c r="V6" s="54">
        <f>IF($O6="","",ROUND(($O6-$O$3)/1000,1)+(_xlfn.RANK.AVG($O6,($J6,$O6,$T6),1)-2)*20)</f>
        <v>-32.9</v>
      </c>
      <c r="W6" s="55">
        <f>IF($T6="","",ROUND(($T6-$T$3)/1000,1)+(_xlfn.RANK.AVG($T6,($J6,$O6,$T6),1)-2)*20)</f>
        <v>-8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200</v>
      </c>
      <c r="AF6" s="41" t="s">
        <v>203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206</v>
      </c>
      <c r="G7" s="9">
        <v>0</v>
      </c>
      <c r="H7" s="9"/>
      <c r="I7" s="48"/>
      <c r="J7" s="21">
        <f t="shared" si="2"/>
        <v>55900</v>
      </c>
      <c r="K7" s="8" t="s">
        <v>206</v>
      </c>
      <c r="L7" s="9">
        <v>0</v>
      </c>
      <c r="M7" s="9">
        <v>-1000</v>
      </c>
      <c r="N7" s="48"/>
      <c r="O7" s="21">
        <f t="shared" si="3"/>
        <v>21100</v>
      </c>
      <c r="P7" s="8" t="s">
        <v>206</v>
      </c>
      <c r="Q7" s="9">
        <v>0</v>
      </c>
      <c r="R7" s="9"/>
      <c r="S7" s="48"/>
      <c r="T7" s="21">
        <f t="shared" si="4"/>
        <v>27000</v>
      </c>
      <c r="U7" s="53">
        <f>IF($J7="","",ROUND(($J7-$J$3)/1000,1)+(_xlfn.RANK.AVG($J7,($J7,$O7,$T7),1)-2)*20)</f>
        <v>40.9</v>
      </c>
      <c r="V7" s="54">
        <f>IF($O7="","",ROUND(($O7-$O$3)/1000,1)+(_xlfn.RANK.AVG($O7,($J7,$O7,$T7),1)-2)*20)</f>
        <v>-33.9</v>
      </c>
      <c r="W7" s="55">
        <f>IF($T7="","",ROUND(($T7-$T$3)/1000,1)+(_xlfn.RANK.AVG($T7,($J7,$O7,$T7),1)-2)*20)</f>
        <v>-8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tr">
        <f>IF($F$1="","",$F$1)</f>
        <v>だいち</v>
      </c>
      <c r="F8" s="8" t="s">
        <v>206</v>
      </c>
      <c r="G8" s="9">
        <v>1500</v>
      </c>
      <c r="H8" s="9"/>
      <c r="I8" s="48"/>
      <c r="J8" s="21">
        <f t="shared" si="2"/>
        <v>57400</v>
      </c>
      <c r="K8" s="8" t="s">
        <v>206</v>
      </c>
      <c r="L8" s="9">
        <v>-3000</v>
      </c>
      <c r="M8" s="9"/>
      <c r="N8" s="48"/>
      <c r="O8" s="21">
        <f t="shared" si="3"/>
        <v>18100</v>
      </c>
      <c r="P8" s="8" t="s">
        <v>206</v>
      </c>
      <c r="Q8" s="9">
        <v>1500</v>
      </c>
      <c r="R8" s="9">
        <v>-1000</v>
      </c>
      <c r="S8" s="48"/>
      <c r="T8" s="21">
        <f t="shared" si="4"/>
        <v>27500</v>
      </c>
      <c r="U8" s="53">
        <f>IF($J8="","",ROUND(($J8-$J$3)/1000,1)+(_xlfn.RANK.AVG($J8,($J8,$O8,$T8),1)-2)*20)</f>
        <v>42.4</v>
      </c>
      <c r="V8" s="54">
        <f>IF($O8="","",ROUND(($O8-$O$3)/1000,1)+(_xlfn.RANK.AVG($O8,($J8,$O8,$T8),1)-2)*20)</f>
        <v>-36.9</v>
      </c>
      <c r="W8" s="55">
        <f>IF($T8="","",ROUND(($T8-$T$3)/1000,1)+(_xlfn.RANK.AVG($T8,($J8,$O8,$T8),1)-2)*20)</f>
        <v>-7.5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2</v>
      </c>
      <c r="E9" s="4" t="str">
        <f>IF($F$1="","",$F$1)</f>
        <v>だいち</v>
      </c>
      <c r="F9" s="8" t="s">
        <v>202</v>
      </c>
      <c r="G9" s="9">
        <v>-700</v>
      </c>
      <c r="H9" s="9"/>
      <c r="I9" s="48">
        <v>-1500</v>
      </c>
      <c r="J9" s="21">
        <f t="shared" si="2"/>
        <v>55200</v>
      </c>
      <c r="K9" s="8" t="s">
        <v>201</v>
      </c>
      <c r="L9" s="9">
        <v>1200</v>
      </c>
      <c r="M9" s="9">
        <v>2000</v>
      </c>
      <c r="N9" s="48">
        <v>3000</v>
      </c>
      <c r="O9" s="21">
        <f t="shared" si="3"/>
        <v>24300</v>
      </c>
      <c r="P9" s="8" t="s">
        <v>202</v>
      </c>
      <c r="Q9" s="9">
        <v>-500</v>
      </c>
      <c r="R9" s="9"/>
      <c r="S9" s="48">
        <v>-1500</v>
      </c>
      <c r="T9" s="21">
        <f t="shared" si="4"/>
        <v>25500</v>
      </c>
      <c r="U9" s="53">
        <f>IF($J9="","",ROUND(($J9-$J$3)/1000,1)+(_xlfn.RANK.AVG($J9,($J9,$O9,$T9),1)-2)*20)</f>
        <v>40.200000000000003</v>
      </c>
      <c r="V9" s="54">
        <f>IF($O9="","",ROUND(($O9-$O$3)/1000,1)+(_xlfn.RANK.AVG($O9,($J9,$O9,$T9),1)-2)*20)</f>
        <v>-30.7</v>
      </c>
      <c r="W9" s="55">
        <f>IF($T9="","",ROUND(($T9-$T$3)/1000,1)+(_xlfn.RANK.AVG($T9,($J9,$O9,$T9),1)-2)*20)</f>
        <v>-9.5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</v>
      </c>
      <c r="AY9" s="30">
        <v>30</v>
      </c>
      <c r="AZ9" s="40" t="s">
        <v>82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199</v>
      </c>
      <c r="G10" s="9">
        <v>2000</v>
      </c>
      <c r="H10" s="9"/>
      <c r="I10" s="48">
        <v>0</v>
      </c>
      <c r="J10" s="21">
        <f t="shared" si="2"/>
        <v>57200</v>
      </c>
      <c r="K10" s="8"/>
      <c r="L10" s="9"/>
      <c r="M10" s="9"/>
      <c r="N10" s="48"/>
      <c r="O10" s="21">
        <f t="shared" si="3"/>
        <v>24300</v>
      </c>
      <c r="P10" s="8" t="s">
        <v>198</v>
      </c>
      <c r="Q10" s="9">
        <v>-2000</v>
      </c>
      <c r="R10" s="9"/>
      <c r="S10" s="48">
        <v>0</v>
      </c>
      <c r="T10" s="21">
        <f t="shared" si="4"/>
        <v>23500</v>
      </c>
      <c r="U10" s="53">
        <f>IF($J10="","",ROUND(($J10-$J$3)/1000,1)+(_xlfn.RANK.AVG($J10,($J10,$O10,$T10),1)-2)*20)</f>
        <v>42.2</v>
      </c>
      <c r="V10" s="54">
        <f>IF($O10="","",ROUND(($O10-$O$3)/1000,1)+(_xlfn.RANK.AVG($O10,($J10,$O10,$T10),1)-2)*20)</f>
        <v>-10.7</v>
      </c>
      <c r="W10" s="55">
        <f>IF($T10="","",ROUND(($T10-$T$3)/1000,1)+(_xlfn.RANK.AVG($T10,($J10,$O10,$T10),1)-2)*20)</f>
        <v>-31.5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203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206</v>
      </c>
      <c r="G11" s="9">
        <v>0</v>
      </c>
      <c r="H11" s="9"/>
      <c r="I11" s="48"/>
      <c r="J11" s="21">
        <f t="shared" si="2"/>
        <v>57200</v>
      </c>
      <c r="K11" s="8" t="s">
        <v>206</v>
      </c>
      <c r="L11" s="9">
        <v>0</v>
      </c>
      <c r="M11" s="9">
        <v>-1000</v>
      </c>
      <c r="N11" s="48"/>
      <c r="O11" s="21">
        <f t="shared" si="3"/>
        <v>23300</v>
      </c>
      <c r="P11" s="8" t="s">
        <v>206</v>
      </c>
      <c r="Q11" s="9">
        <v>0</v>
      </c>
      <c r="R11" s="9"/>
      <c r="S11" s="48"/>
      <c r="T11" s="21">
        <f t="shared" si="4"/>
        <v>23500</v>
      </c>
      <c r="U11" s="53">
        <f>IF($J11="","",ROUND(($J11-$J$3)/1000,1)+(_xlfn.RANK.AVG($J11,($J11,$O11,$T11),1)-2)*20)</f>
        <v>42.2</v>
      </c>
      <c r="V11" s="54">
        <f>IF($O11="","",ROUND(($O11-$O$3)/1000,1)+(_xlfn.RANK.AVG($O11,($J11,$O11,$T11),1)-2)*20)</f>
        <v>-31.7</v>
      </c>
      <c r="W11" s="55">
        <f>IF($T11="","",ROUND(($T11-$T$3)/1000,1)+(_xlfn.RANK.AVG($T11,($J11,$O11,$T11),1)-2)*20)</f>
        <v>-11.5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tr">
        <f>IF($P$1="","",$P$1)</f>
        <v>りくと</v>
      </c>
      <c r="F12" s="8" t="s">
        <v>206</v>
      </c>
      <c r="G12" s="9">
        <v>-3000</v>
      </c>
      <c r="H12" s="9"/>
      <c r="I12" s="48"/>
      <c r="J12" s="21">
        <f t="shared" si="2"/>
        <v>54200</v>
      </c>
      <c r="K12" s="8" t="s">
        <v>206</v>
      </c>
      <c r="L12" s="9">
        <v>1500</v>
      </c>
      <c r="M12" s="9">
        <v>-1000</v>
      </c>
      <c r="N12" s="48"/>
      <c r="O12" s="21">
        <f t="shared" si="3"/>
        <v>23800</v>
      </c>
      <c r="P12" s="8" t="s">
        <v>206</v>
      </c>
      <c r="Q12" s="9">
        <v>1500</v>
      </c>
      <c r="R12" s="9"/>
      <c r="S12" s="48"/>
      <c r="T12" s="21">
        <f t="shared" si="4"/>
        <v>25000</v>
      </c>
      <c r="U12" s="53">
        <f>IF($J12="","",ROUND(($J12-$J$3)/1000,1)+(_xlfn.RANK.AVG($J12,($J12,$O12,$T12),1)-2)*20)</f>
        <v>39.200000000000003</v>
      </c>
      <c r="V12" s="54">
        <f>IF($O12="","",ROUND(($O12-$O$3)/1000,1)+(_xlfn.RANK.AVG($O12,($J12,$O12,$T12),1)-2)*20)</f>
        <v>-31.2</v>
      </c>
      <c r="W12" s="55">
        <f>IF($T12="","",ROUND(($T12-$T$3)/1000,1)+(_xlfn.RANK.AVG($T12,($J12,$O12,$T12),1)-2)*20)</f>
        <v>-10</v>
      </c>
      <c r="Y12" s="8" t="s">
        <v>204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2</v>
      </c>
      <c r="E13" s="4" t="str">
        <f>IF($P$1="","",$P$1)</f>
        <v>りくと</v>
      </c>
      <c r="F13" s="8" t="s">
        <v>206</v>
      </c>
      <c r="G13" s="9">
        <v>-1500</v>
      </c>
      <c r="H13" s="9"/>
      <c r="I13" s="48"/>
      <c r="J13" s="21">
        <f t="shared" si="2"/>
        <v>52700</v>
      </c>
      <c r="K13" s="8" t="s">
        <v>206</v>
      </c>
      <c r="L13" s="9">
        <v>3000</v>
      </c>
      <c r="M13" s="9">
        <v>-1000</v>
      </c>
      <c r="N13" s="48"/>
      <c r="O13" s="21">
        <f t="shared" si="3"/>
        <v>25800</v>
      </c>
      <c r="P13" s="8" t="s">
        <v>206</v>
      </c>
      <c r="Q13" s="9">
        <v>-1500</v>
      </c>
      <c r="R13" s="9"/>
      <c r="S13" s="48"/>
      <c r="T13" s="21">
        <f t="shared" si="4"/>
        <v>23500</v>
      </c>
      <c r="U13" s="53">
        <f>IF($J13="","",ROUND(($J13-$J$3)/1000,1)+(_xlfn.RANK.AVG($J13,($J13,$O13,$T13),1)-2)*20)</f>
        <v>37.700000000000003</v>
      </c>
      <c r="V13" s="54">
        <f>IF($O13="","",ROUND(($O13-$O$3)/1000,1)+(_xlfn.RANK.AVG($O13,($J13,$O13,$T13),1)-2)*20)</f>
        <v>-9.1999999999999993</v>
      </c>
      <c r="W13" s="55">
        <f>IF($T13="","",ROUND(($T13-$T$3)/1000,1)+(_xlfn.RANK.AVG($T13,($J13,$O13,$T13),1)-2)*20)</f>
        <v>-31.5</v>
      </c>
      <c r="Y13" s="8" t="s">
        <v>204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3</v>
      </c>
      <c r="E14" s="4" t="str">
        <f>IF($F$1="","",$F$1)</f>
        <v>だいち</v>
      </c>
      <c r="F14" s="8"/>
      <c r="G14" s="9"/>
      <c r="H14" s="9"/>
      <c r="I14" s="48"/>
      <c r="J14" s="21">
        <f t="shared" si="2"/>
        <v>52700</v>
      </c>
      <c r="K14" s="8" t="s">
        <v>198</v>
      </c>
      <c r="L14" s="9">
        <v>-1000</v>
      </c>
      <c r="M14" s="9"/>
      <c r="N14" s="48">
        <v>-3000</v>
      </c>
      <c r="O14" s="21">
        <f t="shared" si="3"/>
        <v>21800</v>
      </c>
      <c r="P14" s="8" t="s">
        <v>199</v>
      </c>
      <c r="Q14" s="9">
        <v>1000</v>
      </c>
      <c r="R14" s="9">
        <v>3000</v>
      </c>
      <c r="S14" s="48">
        <v>3000</v>
      </c>
      <c r="T14" s="21">
        <f t="shared" si="4"/>
        <v>30500</v>
      </c>
      <c r="U14" s="53">
        <f>IF($J14="","",ROUND(($J14-$J$3)/1000,1)+(_xlfn.RANK.AVG($J14,($J14,$O14,$T14),1)-2)*20)</f>
        <v>37.700000000000003</v>
      </c>
      <c r="V14" s="54">
        <f>IF($O14="","",ROUND(($O14-$O$3)/1000,1)+(_xlfn.RANK.AVG($O14,($J14,$O14,$T14),1)-2)*20)</f>
        <v>-33.200000000000003</v>
      </c>
      <c r="W14" s="55">
        <f>IF($T14="","",ROUND(($T14-$T$3)/1000,1)+(_xlfn.RANK.AVG($T14,($J14,$O14,$T14),1)-2)*20)</f>
        <v>-4.5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1</v>
      </c>
      <c r="BT14" s="30">
        <v>30</v>
      </c>
      <c r="BU14" s="40" t="s">
        <v>86</v>
      </c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D1AAF9F-4285-458E-BA35-F5316B32D699}">
      <formula1>$U$2:$W$2</formula1>
    </dataValidation>
    <dataValidation type="list" showInputMessage="1" showErrorMessage="1" sqref="K4:K30 P4:P30 F4:F30" xr:uid="{BABAD117-A428-4B64-9BD4-9364535C0208}">
      <formula1>"ロン,ツモ,放銃,ツモ支払,流局,チョンボ"</formula1>
    </dataValidation>
    <dataValidation type="list" allowBlank="1" showInputMessage="1" sqref="F1:T1" xr:uid="{C32B161A-ABA6-468F-91E5-27349B1709C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261AF-A06A-4F3C-8144-F74D50A3C5B1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197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199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6</v>
      </c>
      <c r="AD4" s="30" t="s">
        <v>207</v>
      </c>
      <c r="AE4" s="40" t="s">
        <v>200</v>
      </c>
      <c r="AF4" s="41" t="s">
        <v>208</v>
      </c>
      <c r="AG4" s="41" t="s">
        <v>104</v>
      </c>
      <c r="AH4" s="41" t="s">
        <v>203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りくと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59000</v>
      </c>
      <c r="K5" s="8" t="s">
        <v>202</v>
      </c>
      <c r="L5" s="9">
        <v>-4500</v>
      </c>
      <c r="M5" s="9"/>
      <c r="N5" s="48">
        <v>0</v>
      </c>
      <c r="O5" s="21">
        <f t="shared" ref="O5:O30" si="3">IF(COUNTA($F5,$K5,$P5)&gt;0,O4+SUM(L5:N5),"")</f>
        <v>18500</v>
      </c>
      <c r="P5" s="8" t="s">
        <v>202</v>
      </c>
      <c r="Q5" s="9">
        <v>-7500</v>
      </c>
      <c r="R5" s="9"/>
      <c r="S5" s="48">
        <v>0</v>
      </c>
      <c r="T5" s="21">
        <f t="shared" ref="T5:T30" si="4">IF(COUNTA($F5,$K5,$P5)&gt;0,T4+SUM(Q5:S5),"")</f>
        <v>27500</v>
      </c>
      <c r="U5" s="53">
        <f>IF($J5="","",ROUND(($J5-$J$3)/1000,1)+(_xlfn.RANK.AVG($J5,($J5,$O5,$T5),1)-2)*20)</f>
        <v>44</v>
      </c>
      <c r="V5" s="54">
        <f>IF($O5="","",ROUND(($O5-$O$3)/1000,1)+(_xlfn.RANK.AVG($O5,($J5,$O5,$T5),1)-2)*20)</f>
        <v>-36.5</v>
      </c>
      <c r="W5" s="55">
        <f>IF($T5="","",ROUND(($T5-$T$3)/1000,1)+(_xlfn.RANK.AVG($T5,($J5,$O5,$T5),1)-2)*20)</f>
        <v>-7.5</v>
      </c>
      <c r="Y5" s="8"/>
      <c r="Z5" s="34"/>
      <c r="AA5" s="26">
        <v>1</v>
      </c>
      <c r="AB5" s="26"/>
      <c r="AC5" s="26">
        <v>7</v>
      </c>
      <c r="AD5" s="30" t="s">
        <v>207</v>
      </c>
      <c r="AE5" s="40" t="s">
        <v>200</v>
      </c>
      <c r="AF5" s="41" t="s">
        <v>82</v>
      </c>
      <c r="AG5" s="41" t="s">
        <v>83</v>
      </c>
      <c r="AH5" s="41" t="s">
        <v>85</v>
      </c>
      <c r="AI5" s="41" t="s">
        <v>79</v>
      </c>
      <c r="AJ5" s="41" t="s">
        <v>80</v>
      </c>
      <c r="AK5" s="41" t="s">
        <v>203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れんたろう</v>
      </c>
      <c r="F6" s="8"/>
      <c r="G6" s="9"/>
      <c r="H6" s="9"/>
      <c r="I6" s="48"/>
      <c r="J6" s="21">
        <f t="shared" si="2"/>
        <v>59000</v>
      </c>
      <c r="K6" s="8" t="s">
        <v>199</v>
      </c>
      <c r="L6" s="9">
        <v>6400</v>
      </c>
      <c r="M6" s="9"/>
      <c r="N6" s="48">
        <v>0</v>
      </c>
      <c r="O6" s="21">
        <f t="shared" si="3"/>
        <v>24900</v>
      </c>
      <c r="P6" s="8" t="s">
        <v>198</v>
      </c>
      <c r="Q6" s="9">
        <v>-6400</v>
      </c>
      <c r="R6" s="9"/>
      <c r="S6" s="48">
        <v>0</v>
      </c>
      <c r="T6" s="21">
        <f t="shared" si="4"/>
        <v>21100</v>
      </c>
      <c r="U6" s="53">
        <f>IF($J6="","",ROUND(($J6-$J$3)/1000,1)+(_xlfn.RANK.AVG($J6,($J6,$O6,$T6),1)-2)*20)</f>
        <v>44</v>
      </c>
      <c r="V6" s="54">
        <f>IF($O6="","",ROUND(($O6-$O$3)/1000,1)+(_xlfn.RANK.AVG($O6,($J6,$O6,$T6),1)-2)*20)</f>
        <v>-10.1</v>
      </c>
      <c r="W6" s="55">
        <f>IF($T6="","",ROUND(($T6-$T$3)/1000,1)+(_xlfn.RANK.AVG($T6,($J6,$O6,$T6),1)-2)*20)</f>
        <v>-33.9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25</v>
      </c>
      <c r="AZ6" s="40" t="s">
        <v>200</v>
      </c>
      <c r="BA6" s="41" t="s">
        <v>208</v>
      </c>
      <c r="BB6" s="41" t="s">
        <v>101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201</v>
      </c>
      <c r="G7" s="9">
        <v>32000</v>
      </c>
      <c r="H7" s="9">
        <v>1000</v>
      </c>
      <c r="I7" s="48">
        <v>0</v>
      </c>
      <c r="J7" s="21">
        <f t="shared" si="2"/>
        <v>92000</v>
      </c>
      <c r="K7" s="8" t="s">
        <v>202</v>
      </c>
      <c r="L7" s="9">
        <v>-20000</v>
      </c>
      <c r="M7" s="9">
        <v>-1000</v>
      </c>
      <c r="N7" s="48">
        <v>0</v>
      </c>
      <c r="O7" s="21">
        <f t="shared" si="3"/>
        <v>3900</v>
      </c>
      <c r="P7" s="8" t="s">
        <v>202</v>
      </c>
      <c r="Q7" s="9">
        <v>-12000</v>
      </c>
      <c r="R7" s="9"/>
      <c r="S7" s="48">
        <v>0</v>
      </c>
      <c r="T7" s="21">
        <f t="shared" si="4"/>
        <v>9100</v>
      </c>
      <c r="U7" s="53">
        <f>IF($J7="","",ROUND(($J7-$J$3)/1000,1)+(_xlfn.RANK.AVG($J7,($J7,$O7,$T7),1)-2)*20)</f>
        <v>77</v>
      </c>
      <c r="V7" s="54">
        <f>IF($O7="","",ROUND(($O7-$O$3)/1000,1)+(_xlfn.RANK.AVG($O7,($J7,$O7,$T7),1)-2)*20)</f>
        <v>-51.1</v>
      </c>
      <c r="W7" s="55">
        <f>IF($T7="","",ROUND(($T7-$T$3)/1000,1)+(_xlfn.RANK.AVG($T7,($J7,$O7,$T7),1)-2)*20)</f>
        <v>-25.9</v>
      </c>
      <c r="Y7" s="8"/>
      <c r="Z7" s="34"/>
      <c r="AA7" s="26"/>
      <c r="AB7" s="26">
        <v>1</v>
      </c>
      <c r="AC7" s="26">
        <v>13</v>
      </c>
      <c r="AD7" s="30" t="s">
        <v>207</v>
      </c>
      <c r="AE7" s="40" t="s">
        <v>110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/>
      <c r="G8" s="9"/>
      <c r="H8" s="9"/>
      <c r="I8" s="48"/>
      <c r="J8" s="21">
        <f t="shared" si="2"/>
        <v>92000</v>
      </c>
      <c r="K8" s="8" t="s">
        <v>199</v>
      </c>
      <c r="L8" s="9">
        <v>8000</v>
      </c>
      <c r="M8" s="9">
        <v>1000</v>
      </c>
      <c r="N8" s="48">
        <v>0</v>
      </c>
      <c r="O8" s="21">
        <f t="shared" si="3"/>
        <v>12900</v>
      </c>
      <c r="P8" s="8" t="s">
        <v>198</v>
      </c>
      <c r="Q8" s="9">
        <v>-8000</v>
      </c>
      <c r="R8" s="9">
        <v>-1000</v>
      </c>
      <c r="S8" s="48">
        <v>0</v>
      </c>
      <c r="T8" s="21">
        <f t="shared" si="4"/>
        <v>100</v>
      </c>
      <c r="U8" s="53">
        <f>IF($J8="","",ROUND(($J8-$J$3)/1000,1)+(_xlfn.RANK.AVG($J8,($J8,$O8,$T8),1)-2)*20)</f>
        <v>77</v>
      </c>
      <c r="V8" s="54">
        <f>IF($O8="","",ROUND(($O8-$O$3)/1000,1)+(_xlfn.RANK.AVG($O8,($J8,$O8,$T8),1)-2)*20)</f>
        <v>-22.1</v>
      </c>
      <c r="W8" s="55">
        <f>IF($T8="","",ROUND(($T8-$T$3)/1000,1)+(_xlfn.RANK.AVG($T8,($J8,$O8,$T8),1)-2)*20)</f>
        <v>-54.9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207</v>
      </c>
      <c r="AZ8" s="40" t="s">
        <v>86</v>
      </c>
      <c r="BA8" s="41" t="s">
        <v>79</v>
      </c>
      <c r="BB8" s="41" t="s">
        <v>79</v>
      </c>
      <c r="BC8" s="41" t="s">
        <v>79</v>
      </c>
      <c r="BD8" s="41" t="s">
        <v>203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199</v>
      </c>
      <c r="G9" s="9">
        <v>18000</v>
      </c>
      <c r="H9" s="9"/>
      <c r="I9" s="48">
        <v>0</v>
      </c>
      <c r="J9" s="21">
        <f t="shared" si="2"/>
        <v>110000</v>
      </c>
      <c r="K9" s="8"/>
      <c r="L9" s="9"/>
      <c r="M9" s="9"/>
      <c r="N9" s="48"/>
      <c r="O9" s="21">
        <f t="shared" si="3"/>
        <v>12900</v>
      </c>
      <c r="P9" s="8" t="s">
        <v>198</v>
      </c>
      <c r="Q9" s="9">
        <v>-18000</v>
      </c>
      <c r="R9" s="9"/>
      <c r="S9" s="48">
        <v>0</v>
      </c>
      <c r="T9" s="21">
        <f t="shared" si="4"/>
        <v>-17900</v>
      </c>
      <c r="U9" s="53">
        <f>IF($J9="","",ROUND(($J9-$J$3)/1000,1)+(_xlfn.RANK.AVG($J9,($J9,$O9,$T9),1)-2)*20)</f>
        <v>95</v>
      </c>
      <c r="V9" s="54">
        <f>IF($O9="","",ROUND(($O9-$O$3)/1000,1)+(_xlfn.RANK.AVG($O9,($J9,$O9,$T9),1)-2)*20)</f>
        <v>-22.1</v>
      </c>
      <c r="W9" s="55">
        <f>IF($T9="","",ROUND(($T9-$T$3)/1000,1)+(_xlfn.RANK.AVG($T9,($J9,$O9,$T9),1)-2)*20)</f>
        <v>-72.900000000000006</v>
      </c>
      <c r="Y9" s="8"/>
      <c r="Z9" s="34"/>
      <c r="AA9" s="26">
        <v>1</v>
      </c>
      <c r="AB9" s="26"/>
      <c r="AC9" s="26">
        <v>6</v>
      </c>
      <c r="AD9" s="30" t="s">
        <v>207</v>
      </c>
      <c r="AE9" s="40" t="s">
        <v>200</v>
      </c>
      <c r="AF9" s="41" t="s">
        <v>208</v>
      </c>
      <c r="AG9" s="41" t="s">
        <v>203</v>
      </c>
      <c r="AH9" s="41" t="s">
        <v>203</v>
      </c>
      <c r="AI9" s="41" t="s">
        <v>79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E43AD2C8-8449-4A59-97D6-56FE9993542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2B78F0F9-9143-4C61-9571-5F8BA7455649}">
      <formula1>"ロン,ツモ,放銃,ツモ支払,流局,チョンボ"</formula1>
    </dataValidation>
    <dataValidation type="list" allowBlank="1" showInputMessage="1" showErrorMessage="1" sqref="E4:E30" xr:uid="{E74348C6-A43A-4EBB-BE83-03D2E52652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048BA-9B45-4CBA-AA5F-D8A4CDD8D2D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199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-27.7</v>
      </c>
      <c r="W4" s="55">
        <f>IF($T4="","",ROUND(($T4-$T$3)/1000,1)+(_xlfn.RANK.AVG($T4,($J4,$O4,$T4),1)-2)*20)</f>
        <v>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200</v>
      </c>
      <c r="BV4" s="41" t="s">
        <v>83</v>
      </c>
      <c r="BW4" s="41" t="s">
        <v>84</v>
      </c>
      <c r="BX4" s="41" t="s">
        <v>203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19300</v>
      </c>
      <c r="P5" s="8" t="s">
        <v>199</v>
      </c>
      <c r="Q5" s="9">
        <v>8000</v>
      </c>
      <c r="R5" s="9"/>
      <c r="S5" s="48">
        <v>0</v>
      </c>
      <c r="T5" s="21">
        <f t="shared" ref="T5:T30" si="4">IF(COUNTA($F5,$K5,$P5)&gt;0,T4+SUM(Q5:S5),"")</f>
        <v>50700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-35.700000000000003</v>
      </c>
      <c r="W5" s="55">
        <f>IF($T5="","",ROUND(($T5-$T$3)/1000,1)+(_xlfn.RANK.AVG($T5,($J5,$O5,$T5),1)-2)*20)</f>
        <v>35.700000000000003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207</v>
      </c>
      <c r="BU5" s="40" t="s">
        <v>200</v>
      </c>
      <c r="BV5" s="41" t="s">
        <v>208</v>
      </c>
      <c r="BW5" s="41" t="s">
        <v>79</v>
      </c>
      <c r="BX5" s="41" t="s">
        <v>79</v>
      </c>
      <c r="BY5" s="41" t="s">
        <v>203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/>
      <c r="G6" s="9"/>
      <c r="H6" s="9"/>
      <c r="I6" s="48"/>
      <c r="J6" s="21">
        <f t="shared" si="2"/>
        <v>35000</v>
      </c>
      <c r="K6" s="8" t="s">
        <v>198</v>
      </c>
      <c r="L6" s="9">
        <v>-11600</v>
      </c>
      <c r="M6" s="9"/>
      <c r="N6" s="48">
        <v>0</v>
      </c>
      <c r="O6" s="21">
        <f t="shared" si="3"/>
        <v>7700</v>
      </c>
      <c r="P6" s="8" t="s">
        <v>199</v>
      </c>
      <c r="Q6" s="9">
        <v>11600</v>
      </c>
      <c r="R6" s="9"/>
      <c r="S6" s="48">
        <v>0</v>
      </c>
      <c r="T6" s="21">
        <f t="shared" si="4"/>
        <v>62300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-47.3</v>
      </c>
      <c r="W6" s="55">
        <f>IF($T6="","",ROUND(($T6-$T$3)/1000,1)+(_xlfn.RANK.AVG($T6,($J6,$O6,$T6),1)-2)*20)</f>
        <v>47.3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79</v>
      </c>
      <c r="BW6" s="41" t="s">
        <v>79</v>
      </c>
      <c r="BX6" s="41" t="s">
        <v>203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りくと</v>
      </c>
      <c r="F7" s="8" t="s">
        <v>198</v>
      </c>
      <c r="G7" s="9">
        <v>-12000</v>
      </c>
      <c r="H7" s="9"/>
      <c r="I7" s="48">
        <v>-1000</v>
      </c>
      <c r="J7" s="21">
        <f t="shared" si="2"/>
        <v>22000</v>
      </c>
      <c r="K7" s="8"/>
      <c r="L7" s="9"/>
      <c r="M7" s="9">
        <v>-1000</v>
      </c>
      <c r="N7" s="48"/>
      <c r="O7" s="21">
        <f t="shared" si="3"/>
        <v>6700</v>
      </c>
      <c r="P7" s="8" t="s">
        <v>199</v>
      </c>
      <c r="Q7" s="9">
        <v>12000</v>
      </c>
      <c r="R7" s="9">
        <v>1000</v>
      </c>
      <c r="S7" s="48">
        <v>1000</v>
      </c>
      <c r="T7" s="21">
        <f t="shared" si="4"/>
        <v>76300</v>
      </c>
      <c r="U7" s="53">
        <f>IF($J7="","",ROUND(($J7-$J$3)/1000,1)+(_xlfn.RANK.AVG($J7,($J7,$O7,$T7),1)-2)*20)</f>
        <v>-13</v>
      </c>
      <c r="V7" s="54">
        <f>IF($O7="","",ROUND(($O7-$O$3)/1000,1)+(_xlfn.RANK.AVG($O7,($J7,$O7,$T7),1)-2)*20)</f>
        <v>-48.3</v>
      </c>
      <c r="W7" s="55">
        <f>IF($T7="","",ROUND(($T7-$T$3)/1000,1)+(_xlfn.RANK.AVG($T7,($J7,$O7,$T7),1)-2)*20)</f>
        <v>61.3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207</v>
      </c>
      <c r="BU7" s="40" t="s">
        <v>86</v>
      </c>
      <c r="BV7" s="41" t="s">
        <v>86</v>
      </c>
      <c r="BW7" s="41" t="s">
        <v>79</v>
      </c>
      <c r="BX7" s="41" t="s">
        <v>79</v>
      </c>
      <c r="BY7" s="41" t="s">
        <v>203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りくと</v>
      </c>
      <c r="F8" s="8" t="s">
        <v>206</v>
      </c>
      <c r="G8" s="9">
        <v>-1500</v>
      </c>
      <c r="H8" s="9"/>
      <c r="I8" s="48"/>
      <c r="J8" s="21">
        <f t="shared" si="2"/>
        <v>20500</v>
      </c>
      <c r="K8" s="8" t="s">
        <v>206</v>
      </c>
      <c r="L8" s="9">
        <v>3000</v>
      </c>
      <c r="M8" s="9">
        <v>-1000</v>
      </c>
      <c r="N8" s="48"/>
      <c r="O8" s="21">
        <f t="shared" si="3"/>
        <v>8700</v>
      </c>
      <c r="P8" s="8" t="s">
        <v>206</v>
      </c>
      <c r="Q8" s="9">
        <v>-1500</v>
      </c>
      <c r="R8" s="9"/>
      <c r="S8" s="48"/>
      <c r="T8" s="21">
        <f t="shared" si="4"/>
        <v>74800</v>
      </c>
      <c r="U8" s="53">
        <f>IF($J8="","",ROUND(($J8-$J$3)/1000,1)+(_xlfn.RANK.AVG($J8,($J8,$O8,$T8),1)-2)*20)</f>
        <v>-14.5</v>
      </c>
      <c r="V8" s="54">
        <f>IF($O8="","",ROUND(($O8-$O$3)/1000,1)+(_xlfn.RANK.AVG($O8,($J8,$O8,$T8),1)-2)*20)</f>
        <v>-46.3</v>
      </c>
      <c r="W8" s="55">
        <f>IF($T8="","",ROUND(($T8-$T$3)/1000,1)+(_xlfn.RANK.AVG($T8,($J8,$O8,$T8),1)-2)*20)</f>
        <v>59.8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1</v>
      </c>
      <c r="E9" s="4" t="str">
        <f>IF($F$1="","",$F$1)</f>
        <v>だいち</v>
      </c>
      <c r="F9" s="8" t="s">
        <v>202</v>
      </c>
      <c r="G9" s="9">
        <v>-7500</v>
      </c>
      <c r="H9" s="9"/>
      <c r="I9" s="48">
        <v>-1500</v>
      </c>
      <c r="J9" s="21">
        <f t="shared" si="2"/>
        <v>11500</v>
      </c>
      <c r="K9" s="8" t="s">
        <v>201</v>
      </c>
      <c r="L9" s="9">
        <v>12000</v>
      </c>
      <c r="M9" s="9">
        <v>1000</v>
      </c>
      <c r="N9" s="48">
        <v>3000</v>
      </c>
      <c r="O9" s="21">
        <f t="shared" si="3"/>
        <v>24700</v>
      </c>
      <c r="P9" s="8" t="s">
        <v>202</v>
      </c>
      <c r="Q9" s="9">
        <v>-4500</v>
      </c>
      <c r="R9" s="9"/>
      <c r="S9" s="48">
        <v>-1500</v>
      </c>
      <c r="T9" s="21">
        <f t="shared" si="4"/>
        <v>68800</v>
      </c>
      <c r="U9" s="53">
        <f>IF($J9="","",ROUND(($J9-$J$3)/1000,1)+(_xlfn.RANK.AVG($J9,($J9,$O9,$T9),1)-2)*20)</f>
        <v>-43.5</v>
      </c>
      <c r="V9" s="54">
        <f>IF($O9="","",ROUND(($O9-$O$3)/1000,1)+(_xlfn.RANK.AVG($O9,($J9,$O9,$T9),1)-2)*20)</f>
        <v>-10.3</v>
      </c>
      <c r="W9" s="55">
        <f>IF($T9="","",ROUND(($T9-$T$3)/1000,1)+(_xlfn.RANK.AVG($T9,($J9,$O9,$T9),1)-2)*20)</f>
        <v>53.8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207</v>
      </c>
      <c r="AZ9" s="40" t="s">
        <v>200</v>
      </c>
      <c r="BA9" s="41" t="s">
        <v>82</v>
      </c>
      <c r="BB9" s="41" t="s">
        <v>104</v>
      </c>
      <c r="BC9" s="41" t="s">
        <v>86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202</v>
      </c>
      <c r="G10" s="9">
        <v>-2900</v>
      </c>
      <c r="H10" s="9"/>
      <c r="I10" s="48">
        <v>0</v>
      </c>
      <c r="J10" s="21">
        <f t="shared" si="2"/>
        <v>8600</v>
      </c>
      <c r="K10" s="8" t="s">
        <v>202</v>
      </c>
      <c r="L10" s="9">
        <v>-4800</v>
      </c>
      <c r="M10" s="9"/>
      <c r="N10" s="48">
        <v>0</v>
      </c>
      <c r="O10" s="21">
        <f t="shared" si="3"/>
        <v>19900</v>
      </c>
      <c r="P10" s="8" t="s">
        <v>201</v>
      </c>
      <c r="Q10" s="9">
        <v>7700</v>
      </c>
      <c r="R10" s="9"/>
      <c r="S10" s="48">
        <v>0</v>
      </c>
      <c r="T10" s="21">
        <f t="shared" si="4"/>
        <v>76500</v>
      </c>
      <c r="U10" s="53">
        <f>IF($J10="","",ROUND(($J10-$J$3)/1000,1)+(_xlfn.RANK.AVG($J10,($J10,$O10,$T10),1)-2)*20)</f>
        <v>-46.4</v>
      </c>
      <c r="V10" s="54">
        <f>IF($O10="","",ROUND(($O10-$O$3)/1000,1)+(_xlfn.RANK.AVG($O10,($J10,$O10,$T10),1)-2)*20)</f>
        <v>-15.1</v>
      </c>
      <c r="W10" s="55">
        <f>IF($T10="","",ROUND(($T10-$T$3)/1000,1)+(_xlfn.RANK.AVG($T10,($J10,$O10,$T10),1)-2)*20)</f>
        <v>61.5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206</v>
      </c>
      <c r="G11" s="9">
        <v>3000</v>
      </c>
      <c r="H11" s="9">
        <v>-1000</v>
      </c>
      <c r="I11" s="48"/>
      <c r="J11" s="21">
        <f t="shared" si="2"/>
        <v>10600</v>
      </c>
      <c r="K11" s="8" t="s">
        <v>206</v>
      </c>
      <c r="L11" s="9">
        <v>-1500</v>
      </c>
      <c r="M11" s="9"/>
      <c r="N11" s="48"/>
      <c r="O11" s="21">
        <f t="shared" si="3"/>
        <v>18400</v>
      </c>
      <c r="P11" s="8" t="s">
        <v>206</v>
      </c>
      <c r="Q11" s="9">
        <v>-1500</v>
      </c>
      <c r="R11" s="9">
        <v>1000</v>
      </c>
      <c r="S11" s="48"/>
      <c r="T11" s="21">
        <f t="shared" si="4"/>
        <v>76000</v>
      </c>
      <c r="U11" s="53">
        <f>IF($J11="","",ROUND(($J11-$J$3)/1000,1)+(_xlfn.RANK.AVG($J11,($J11,$O11,$T11),1)-2)*20)</f>
        <v>-44.4</v>
      </c>
      <c r="V11" s="54">
        <f>IF($O11="","",ROUND(($O11-$O$3)/1000,1)+(_xlfn.RANK.AVG($O11,($J11,$O11,$T11),1)-2)*20)</f>
        <v>-16.600000000000001</v>
      </c>
      <c r="W11" s="55">
        <f>IF($T11="","",ROUND(($T11-$T$3)/1000,1)+(_xlfn.RANK.AVG($T11,($J11,$O11,$T11),1)-2)*20)</f>
        <v>61</v>
      </c>
      <c r="Y11" s="8" t="s">
        <v>205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442FD10-A031-41B9-A26A-0485797AB049}">
      <formula1>$U$2:$W$2</formula1>
    </dataValidation>
    <dataValidation type="list" showInputMessage="1" showErrorMessage="1" sqref="K4:K30 P4:P30 F4:F30" xr:uid="{9B8B66DF-2EAB-4246-B70D-222FD0C4FA98}">
      <formula1>"ロン,ツモ,放銃,ツモ支払,流局,チョンボ"</formula1>
    </dataValidation>
    <dataValidation type="list" allowBlank="1" showInputMessage="1" sqref="F1:T1" xr:uid="{082DB4FD-E124-4979-9EB0-39695F61CA2C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E135-E18D-407D-9B9A-1F35F7E0E372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197</v>
      </c>
      <c r="F4" s="8" t="s">
        <v>199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6</v>
      </c>
      <c r="AD4" s="30" t="s">
        <v>207</v>
      </c>
      <c r="AE4" s="40" t="s">
        <v>200</v>
      </c>
      <c r="AF4" s="41" t="s">
        <v>85</v>
      </c>
      <c r="AG4" s="41" t="s">
        <v>79</v>
      </c>
      <c r="AH4" s="41" t="s">
        <v>79</v>
      </c>
      <c r="AI4" s="41" t="s">
        <v>79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-8000</v>
      </c>
      <c r="H5" s="9"/>
      <c r="I5" s="48">
        <v>0</v>
      </c>
      <c r="J5" s="21">
        <f t="shared" ref="J5:J30" si="2">IF(COUNTA($F5,$K5,$P5)&gt;0,J4+SUM(G5:I5),"")</f>
        <v>40000</v>
      </c>
      <c r="K5" s="8" t="s">
        <v>199</v>
      </c>
      <c r="L5" s="9">
        <v>8000</v>
      </c>
      <c r="M5" s="9"/>
      <c r="N5" s="48">
        <v>0</v>
      </c>
      <c r="O5" s="21">
        <f t="shared" ref="O5:O30" si="3">IF(COUNTA($F5,$K5,$P5)&gt;0,O4+SUM(L5:N5),"")</f>
        <v>42000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5</v>
      </c>
      <c r="V5" s="54">
        <f>IF($O5="","",ROUND(($O5-$O$3)/1000,1)+(_xlfn.RANK.AVG($O5,($J5,$O5,$T5),1)-2)*20)</f>
        <v>27</v>
      </c>
      <c r="W5" s="55">
        <f>IF($T5="","",ROUND(($T5-$T$3)/1000,1)+(_xlfn.RANK.AVG($T5,($J5,$O5,$T5),1)-2)*20)</f>
        <v>-32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207</v>
      </c>
      <c r="AZ5" s="40" t="s">
        <v>200</v>
      </c>
      <c r="BA5" s="41" t="s">
        <v>208</v>
      </c>
      <c r="BB5" s="41" t="s">
        <v>83</v>
      </c>
      <c r="BC5" s="41" t="s">
        <v>203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りくと</v>
      </c>
      <c r="F6" s="8" t="s">
        <v>201</v>
      </c>
      <c r="G6" s="9">
        <v>16000</v>
      </c>
      <c r="H6" s="9">
        <v>1000</v>
      </c>
      <c r="I6" s="48">
        <v>0</v>
      </c>
      <c r="J6" s="21">
        <f t="shared" si="2"/>
        <v>57000</v>
      </c>
      <c r="K6" s="8" t="s">
        <v>202</v>
      </c>
      <c r="L6" s="9">
        <v>-10000</v>
      </c>
      <c r="M6" s="9"/>
      <c r="N6" s="48">
        <v>0</v>
      </c>
      <c r="O6" s="21">
        <f t="shared" si="3"/>
        <v>32000</v>
      </c>
      <c r="P6" s="8" t="s">
        <v>202</v>
      </c>
      <c r="Q6" s="9">
        <v>-6000</v>
      </c>
      <c r="R6" s="9">
        <v>-1000</v>
      </c>
      <c r="S6" s="48">
        <v>0</v>
      </c>
      <c r="T6" s="21">
        <f t="shared" si="4"/>
        <v>16000</v>
      </c>
      <c r="U6" s="53">
        <f>IF($J6="","",ROUND(($J6-$J$3)/1000,1)+(_xlfn.RANK.AVG($J6,($J6,$O6,$T6),1)-2)*20)</f>
        <v>42</v>
      </c>
      <c r="V6" s="54">
        <f>IF($O6="","",ROUND(($O6-$O$3)/1000,1)+(_xlfn.RANK.AVG($O6,($J6,$O6,$T6),1)-2)*20)</f>
        <v>-3</v>
      </c>
      <c r="W6" s="55">
        <f>IF($T6="","",ROUND(($T6-$T$3)/1000,1)+(_xlfn.RANK.AVG($T6,($J6,$O6,$T6),1)-2)*20)</f>
        <v>-39</v>
      </c>
      <c r="Y6" s="8"/>
      <c r="Z6" s="34"/>
      <c r="AA6" s="26">
        <v>1</v>
      </c>
      <c r="AB6" s="26"/>
      <c r="AC6" s="26">
        <v>8</v>
      </c>
      <c r="AD6" s="30" t="s">
        <v>207</v>
      </c>
      <c r="AE6" s="40" t="s">
        <v>200</v>
      </c>
      <c r="AF6" s="41" t="s">
        <v>82</v>
      </c>
      <c r="AG6" s="41" t="s">
        <v>104</v>
      </c>
      <c r="AH6" s="41" t="s">
        <v>96</v>
      </c>
      <c r="AI6" s="41" t="s">
        <v>203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206</v>
      </c>
      <c r="G7" s="9">
        <v>0</v>
      </c>
      <c r="H7" s="9"/>
      <c r="I7" s="48"/>
      <c r="J7" s="21">
        <f t="shared" si="2"/>
        <v>57000</v>
      </c>
      <c r="K7" s="8" t="s">
        <v>206</v>
      </c>
      <c r="L7" s="9">
        <v>0</v>
      </c>
      <c r="M7" s="9"/>
      <c r="N7" s="48"/>
      <c r="O7" s="21">
        <f t="shared" si="3"/>
        <v>32000</v>
      </c>
      <c r="P7" s="8" t="s">
        <v>206</v>
      </c>
      <c r="Q7" s="9">
        <v>0</v>
      </c>
      <c r="R7" s="9">
        <v>-1000</v>
      </c>
      <c r="S7" s="48"/>
      <c r="T7" s="21">
        <f t="shared" si="4"/>
        <v>15000</v>
      </c>
      <c r="U7" s="53">
        <f>IF($J7="","",ROUND(($J7-$J$3)/1000,1)+(_xlfn.RANK.AVG($J7,($J7,$O7,$T7),1)-2)*20)</f>
        <v>42</v>
      </c>
      <c r="V7" s="54">
        <f>IF($O7="","",ROUND(($O7-$O$3)/1000,1)+(_xlfn.RANK.AVG($O7,($J7,$O7,$T7),1)-2)*20)</f>
        <v>-3</v>
      </c>
      <c r="W7" s="55">
        <f>IF($T7="","",ROUND(($T7-$T$3)/1000,1)+(_xlfn.RANK.AVG($T7,($J7,$O7,$T7),1)-2)*20)</f>
        <v>-40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IF($P$1="","",$P$1)</f>
        <v>れんたろう</v>
      </c>
      <c r="F8" s="8" t="s">
        <v>206</v>
      </c>
      <c r="G8" s="9">
        <v>0</v>
      </c>
      <c r="H8" s="9"/>
      <c r="I8" s="48"/>
      <c r="J8" s="21">
        <f t="shared" si="2"/>
        <v>57000</v>
      </c>
      <c r="K8" s="8" t="s">
        <v>206</v>
      </c>
      <c r="L8" s="9">
        <v>0</v>
      </c>
      <c r="M8" s="9"/>
      <c r="N8" s="48"/>
      <c r="O8" s="21">
        <f t="shared" si="3"/>
        <v>32000</v>
      </c>
      <c r="P8" s="8" t="s">
        <v>206</v>
      </c>
      <c r="Q8" s="9">
        <v>0</v>
      </c>
      <c r="R8" s="9">
        <v>-1000</v>
      </c>
      <c r="S8" s="48"/>
      <c r="T8" s="21">
        <f t="shared" si="4"/>
        <v>14000</v>
      </c>
      <c r="U8" s="53">
        <f>IF($J8="","",ROUND(($J8-$J$3)/1000,1)+(_xlfn.RANK.AVG($J8,($J8,$O8,$T8),1)-2)*20)</f>
        <v>42</v>
      </c>
      <c r="V8" s="54">
        <f>IF($O8="","",ROUND(($O8-$O$3)/1000,1)+(_xlfn.RANK.AVG($O8,($J8,$O8,$T8),1)-2)*20)</f>
        <v>-3</v>
      </c>
      <c r="W8" s="55">
        <f>IF($T8="","",ROUND(($T8-$T$3)/1000,1)+(_xlfn.RANK.AVG($T8,($J8,$O8,$T8),1)-2)*20)</f>
        <v>-41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tr">
        <f>IF($P$1="","",$P$1)</f>
        <v>れんたろう</v>
      </c>
      <c r="F9" s="8" t="s">
        <v>202</v>
      </c>
      <c r="G9" s="9">
        <v>-9000</v>
      </c>
      <c r="H9" s="9"/>
      <c r="I9" s="48">
        <v>-1000</v>
      </c>
      <c r="J9" s="21">
        <f t="shared" si="2"/>
        <v>47000</v>
      </c>
      <c r="K9" s="8" t="s">
        <v>202</v>
      </c>
      <c r="L9" s="9">
        <v>-9000</v>
      </c>
      <c r="M9" s="9"/>
      <c r="N9" s="48">
        <v>-1000</v>
      </c>
      <c r="O9" s="21">
        <f t="shared" si="3"/>
        <v>22000</v>
      </c>
      <c r="P9" s="8" t="s">
        <v>201</v>
      </c>
      <c r="Q9" s="9">
        <v>18000</v>
      </c>
      <c r="R9" s="9">
        <v>2000</v>
      </c>
      <c r="S9" s="48">
        <v>2000</v>
      </c>
      <c r="T9" s="21">
        <f t="shared" si="4"/>
        <v>36000</v>
      </c>
      <c r="U9" s="53">
        <f>IF($J9="","",ROUND(($J9-$J$3)/1000,1)+(_xlfn.RANK.AVG($J9,($J9,$O9,$T9),1)-2)*20)</f>
        <v>32</v>
      </c>
      <c r="V9" s="54">
        <f>IF($O9="","",ROUND(($O9-$O$3)/1000,1)+(_xlfn.RANK.AVG($O9,($J9,$O9,$T9),1)-2)*20)</f>
        <v>-33</v>
      </c>
      <c r="W9" s="55">
        <f>IF($T9="","",ROUND(($T9-$T$3)/1000,1)+(_xlfn.RANK.AVG($T9,($J9,$O9,$T9),1)-2)*20)</f>
        <v>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207</v>
      </c>
      <c r="BU9" s="40" t="s">
        <v>104</v>
      </c>
      <c r="BV9" s="41" t="s">
        <v>96</v>
      </c>
      <c r="BW9" s="41" t="s">
        <v>98</v>
      </c>
      <c r="BX9" s="41" t="s">
        <v>86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-6000</v>
      </c>
      <c r="H10" s="9"/>
      <c r="I10" s="48">
        <v>-1500</v>
      </c>
      <c r="J10" s="21">
        <f t="shared" si="2"/>
        <v>39500</v>
      </c>
      <c r="K10" s="8" t="s">
        <v>201</v>
      </c>
      <c r="L10" s="9">
        <v>16000</v>
      </c>
      <c r="M10" s="9"/>
      <c r="N10" s="48">
        <v>3000</v>
      </c>
      <c r="O10" s="21">
        <f t="shared" si="3"/>
        <v>41000</v>
      </c>
      <c r="P10" s="8" t="s">
        <v>202</v>
      </c>
      <c r="Q10" s="9">
        <v>-10000</v>
      </c>
      <c r="R10" s="9"/>
      <c r="S10" s="48">
        <v>-1500</v>
      </c>
      <c r="T10" s="21">
        <f t="shared" si="4"/>
        <v>24500</v>
      </c>
      <c r="U10" s="53">
        <f>IF($J10="","",ROUND(($J10-$J$3)/1000,1)+(_xlfn.RANK.AVG($J10,($J10,$O10,$T10),1)-2)*20)</f>
        <v>4.5</v>
      </c>
      <c r="V10" s="54">
        <f>IF($O10="","",ROUND(($O10-$O$3)/1000,1)+(_xlfn.RANK.AVG($O10,($J10,$O10,$T10),1)-2)*20)</f>
        <v>26</v>
      </c>
      <c r="W10" s="55">
        <f>IF($T10="","",ROUND(($T10-$T$3)/1000,1)+(_xlfn.RANK.AVG($T10,($J10,$O10,$T10),1)-2)*20)</f>
        <v>-30.5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9</v>
      </c>
      <c r="AY10" s="30" t="s">
        <v>207</v>
      </c>
      <c r="AZ10" s="40" t="s">
        <v>86</v>
      </c>
      <c r="BA10" s="41" t="s">
        <v>86</v>
      </c>
      <c r="BB10" s="41" t="s">
        <v>86</v>
      </c>
      <c r="BC10" s="41" t="s">
        <v>104</v>
      </c>
      <c r="BD10" s="41" t="s">
        <v>79</v>
      </c>
      <c r="BE10" s="41" t="s">
        <v>79</v>
      </c>
      <c r="BF10" s="41" t="s">
        <v>79</v>
      </c>
      <c r="BG10" s="41" t="s">
        <v>203</v>
      </c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202</v>
      </c>
      <c r="G11" s="9">
        <v>-1700</v>
      </c>
      <c r="H11" s="9"/>
      <c r="I11" s="48">
        <v>0</v>
      </c>
      <c r="J11" s="21">
        <f t="shared" si="2"/>
        <v>37800</v>
      </c>
      <c r="K11" s="8" t="s">
        <v>201</v>
      </c>
      <c r="L11" s="9">
        <v>2800</v>
      </c>
      <c r="M11" s="9"/>
      <c r="N11" s="48">
        <v>0</v>
      </c>
      <c r="O11" s="21">
        <f t="shared" si="3"/>
        <v>43800</v>
      </c>
      <c r="P11" s="8" t="s">
        <v>202</v>
      </c>
      <c r="Q11" s="9">
        <v>-1100</v>
      </c>
      <c r="R11" s="9"/>
      <c r="S11" s="48">
        <v>0</v>
      </c>
      <c r="T11" s="21">
        <f t="shared" si="4"/>
        <v>23400</v>
      </c>
      <c r="U11" s="53">
        <f>IF($J11="","",ROUND(($J11-$J$3)/1000,1)+(_xlfn.RANK.AVG($J11,($J11,$O11,$T11),1)-2)*20)</f>
        <v>2.8</v>
      </c>
      <c r="V11" s="54">
        <f>IF($O11="","",ROUND(($O11-$O$3)/1000,1)+(_xlfn.RANK.AVG($O11,($J11,$O11,$T11),1)-2)*20)</f>
        <v>28.8</v>
      </c>
      <c r="W11" s="55">
        <f>IF($T11="","",ROUND(($T11-$T$3)/1000,1)+(_xlfn.RANK.AVG($T11,($J11,$O11,$T11),1)-2)*20)</f>
        <v>-31.6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20</v>
      </c>
      <c r="AZ11" s="40" t="s">
        <v>200</v>
      </c>
      <c r="BA11" s="41" t="s">
        <v>82</v>
      </c>
      <c r="BB11" s="41" t="s">
        <v>83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りくと</v>
      </c>
      <c r="F12" s="8" t="s">
        <v>206</v>
      </c>
      <c r="G12" s="9">
        <v>1500</v>
      </c>
      <c r="H12" s="9"/>
      <c r="I12" s="48"/>
      <c r="J12" s="21">
        <f t="shared" si="2"/>
        <v>39300</v>
      </c>
      <c r="K12" s="8" t="s">
        <v>206</v>
      </c>
      <c r="L12" s="9">
        <v>-3000</v>
      </c>
      <c r="M12" s="9"/>
      <c r="N12" s="48"/>
      <c r="O12" s="21">
        <f t="shared" si="3"/>
        <v>40800</v>
      </c>
      <c r="P12" s="8" t="s">
        <v>206</v>
      </c>
      <c r="Q12" s="9">
        <v>1500</v>
      </c>
      <c r="R12" s="9"/>
      <c r="S12" s="48"/>
      <c r="T12" s="21">
        <f t="shared" si="4"/>
        <v>24900</v>
      </c>
      <c r="U12" s="53">
        <f>IF($J12="","",ROUND(($J12-$J$3)/1000,1)+(_xlfn.RANK.AVG($J12,($J12,$O12,$T12),1)-2)*20)</f>
        <v>4.3</v>
      </c>
      <c r="V12" s="54">
        <f>IF($O12="","",ROUND(($O12-$O$3)/1000,1)+(_xlfn.RANK.AVG($O12,($J12,$O12,$T12),1)-2)*20)</f>
        <v>25.8</v>
      </c>
      <c r="W12" s="55">
        <f>IF($T12="","",ROUND(($T12-$T$3)/1000,1)+(_xlfn.RANK.AVG($T12,($J12,$O12,$T12),1)-2)*20)</f>
        <v>-30.1</v>
      </c>
      <c r="Y12" s="8" t="s">
        <v>205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C8CB89ED-215C-41F8-B51E-A4D655E683C6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5860719F-CCBA-412A-B25F-71CB6FCDB70E}">
      <formula1>"ロン,ツモ,放銃,ツモ支払,流局,チョンボ"</formula1>
    </dataValidation>
    <dataValidation type="list" allowBlank="1" showInputMessage="1" showErrorMessage="1" sqref="E4:E30" xr:uid="{A77E04BF-B92D-4449-A92B-EE4F7255BE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6DE14-B8C6-4199-BC93-590B2A95D28D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199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86</v>
      </c>
      <c r="BA4" s="41" t="s">
        <v>79</v>
      </c>
      <c r="BB4" s="41" t="s">
        <v>79</v>
      </c>
      <c r="BC4" s="41" t="s">
        <v>93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202</v>
      </c>
      <c r="G5" s="9">
        <v>-3000</v>
      </c>
      <c r="H5" s="9"/>
      <c r="I5" s="48">
        <v>0</v>
      </c>
      <c r="J5" s="21">
        <f t="shared" ref="J5:J30" si="2">IF(COUNTA($F5,$K5,$P5)&gt;0,J4+SUM(G5:I5),"")</f>
        <v>24300</v>
      </c>
      <c r="K5" s="8" t="s">
        <v>201</v>
      </c>
      <c r="L5" s="9">
        <v>6000</v>
      </c>
      <c r="M5" s="9"/>
      <c r="N5" s="48">
        <v>0</v>
      </c>
      <c r="O5" s="21">
        <f t="shared" ref="O5:O30" si="3">IF(COUNTA($F5,$K5,$P5)&gt;0,O4+SUM(L5:N5),"")</f>
        <v>48700</v>
      </c>
      <c r="P5" s="8" t="s">
        <v>202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-30.7</v>
      </c>
      <c r="V5" s="54">
        <f>IF($O5="","",ROUND(($O5-$O$3)/1000,1)+(_xlfn.RANK.AVG($O5,($J5,$O5,$T5),1)-2)*20)</f>
        <v>33.700000000000003</v>
      </c>
      <c r="W5" s="55">
        <f>IF($T5="","",ROUND(($T5-$T$3)/1000,1)+(_xlfn.RANK.AVG($T5,($J5,$O5,$T5),1)-2)*20)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200</v>
      </c>
      <c r="BA5" s="41" t="s">
        <v>82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りくと</v>
      </c>
      <c r="F6" s="8" t="s">
        <v>198</v>
      </c>
      <c r="G6" s="9">
        <v>-6400</v>
      </c>
      <c r="H6" s="9"/>
      <c r="I6" s="48">
        <v>-1000</v>
      </c>
      <c r="J6" s="21">
        <f t="shared" si="2"/>
        <v>16900</v>
      </c>
      <c r="K6" s="8"/>
      <c r="L6" s="9"/>
      <c r="M6" s="9"/>
      <c r="N6" s="48"/>
      <c r="O6" s="21">
        <f t="shared" si="3"/>
        <v>48700</v>
      </c>
      <c r="P6" s="8" t="s">
        <v>199</v>
      </c>
      <c r="Q6" s="9">
        <v>6400</v>
      </c>
      <c r="R6" s="9"/>
      <c r="S6" s="48">
        <v>1000</v>
      </c>
      <c r="T6" s="21">
        <f t="shared" si="4"/>
        <v>39400</v>
      </c>
      <c r="U6" s="53">
        <f>IF($J6="","",ROUND(($J6-$J$3)/1000,1)+(_xlfn.RANK.AVG($J6,($J6,$O6,$T6),1)-2)*20)</f>
        <v>-38.1</v>
      </c>
      <c r="V6" s="54">
        <f>IF($O6="","",ROUND(($O6-$O$3)/1000,1)+(_xlfn.RANK.AVG($O6,($J6,$O6,$T6),1)-2)*20)</f>
        <v>33.700000000000003</v>
      </c>
      <c r="W6" s="55">
        <f>IF($T6="","",ROUND(($T6-$T$3)/1000,1)+(_xlfn.RANK.AVG($T6,($J6,$O6,$T6),1)-2)*20)</f>
        <v>4.4000000000000004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101</v>
      </c>
      <c r="BV6" s="41" t="s">
        <v>100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16900</v>
      </c>
      <c r="K7" s="8" t="s">
        <v>198</v>
      </c>
      <c r="L7" s="9">
        <v>-3900</v>
      </c>
      <c r="M7" s="9"/>
      <c r="N7" s="48">
        <v>0</v>
      </c>
      <c r="O7" s="21">
        <f t="shared" si="3"/>
        <v>44800</v>
      </c>
      <c r="P7" s="8" t="s">
        <v>199</v>
      </c>
      <c r="Q7" s="9">
        <v>3900</v>
      </c>
      <c r="R7" s="9"/>
      <c r="S7" s="48">
        <v>0</v>
      </c>
      <c r="T7" s="21">
        <f t="shared" si="4"/>
        <v>43300</v>
      </c>
      <c r="U7" s="53">
        <f>IF($J7="","",ROUND(($J7-$J$3)/1000,1)+(_xlfn.RANK.AVG($J7,($J7,$O7,$T7),1)-2)*20)</f>
        <v>-38.1</v>
      </c>
      <c r="V7" s="54">
        <f>IF($O7="","",ROUND(($O7-$O$3)/1000,1)+(_xlfn.RANK.AVG($O7,($J7,$O7,$T7),1)-2)*20)</f>
        <v>29.8</v>
      </c>
      <c r="W7" s="55">
        <f>IF($T7="","",ROUND(($T7-$T$3)/1000,1)+(_xlfn.RANK.AVG($T7,($J7,$O7,$T7),1)-2)*20)</f>
        <v>8.3000000000000007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200</v>
      </c>
      <c r="BV7" s="41" t="s">
        <v>80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12000</v>
      </c>
      <c r="H8" s="9"/>
      <c r="I8" s="48">
        <v>1000</v>
      </c>
      <c r="J8" s="21">
        <f t="shared" si="2"/>
        <v>29900</v>
      </c>
      <c r="K8" s="8" t="s">
        <v>202</v>
      </c>
      <c r="L8" s="9">
        <v>-4500</v>
      </c>
      <c r="M8" s="9"/>
      <c r="N8" s="48">
        <v>-500</v>
      </c>
      <c r="O8" s="21">
        <f t="shared" si="3"/>
        <v>39800</v>
      </c>
      <c r="P8" s="8" t="s">
        <v>202</v>
      </c>
      <c r="Q8" s="9">
        <v>-7500</v>
      </c>
      <c r="R8" s="9"/>
      <c r="S8" s="48">
        <v>-500</v>
      </c>
      <c r="T8" s="21">
        <f t="shared" si="4"/>
        <v>35300</v>
      </c>
      <c r="U8" s="53">
        <f>IF($J8="","",ROUND(($J8-$J$3)/1000,1)+(_xlfn.RANK.AVG($J8,($J8,$O8,$T8),1)-2)*20)</f>
        <v>-25.1</v>
      </c>
      <c r="V8" s="54">
        <f>IF($O8="","",ROUND(($O8-$O$3)/1000,1)+(_xlfn.RANK.AVG($O8,($J8,$O8,$T8),1)-2)*20)</f>
        <v>24.8</v>
      </c>
      <c r="W8" s="55">
        <f>IF($T8="","",ROUND(($T8-$T$3)/1000,1)+(_xlfn.RANK.AVG($T8,($J8,$O8,$T8),1)-2)*20)</f>
        <v>0.3</v>
      </c>
      <c r="Y8" s="8"/>
      <c r="Z8" s="34"/>
      <c r="AA8" s="26">
        <v>1</v>
      </c>
      <c r="AB8" s="26"/>
      <c r="AC8" s="26">
        <v>6</v>
      </c>
      <c r="AD8" s="30" t="s">
        <v>207</v>
      </c>
      <c r="AE8" s="40" t="s">
        <v>200</v>
      </c>
      <c r="AF8" s="41" t="s">
        <v>82</v>
      </c>
      <c r="AG8" s="41" t="s">
        <v>208</v>
      </c>
      <c r="AH8" s="41" t="s">
        <v>83</v>
      </c>
      <c r="AI8" s="41" t="s">
        <v>203</v>
      </c>
      <c r="AJ8" s="41" t="s">
        <v>80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198</v>
      </c>
      <c r="G9" s="9">
        <v>-6400</v>
      </c>
      <c r="H9" s="9"/>
      <c r="I9" s="48">
        <v>0</v>
      </c>
      <c r="J9" s="21">
        <f t="shared" si="2"/>
        <v>23500</v>
      </c>
      <c r="K9" s="8"/>
      <c r="L9" s="9"/>
      <c r="M9" s="9"/>
      <c r="N9" s="48"/>
      <c r="O9" s="21">
        <f t="shared" si="3"/>
        <v>39800</v>
      </c>
      <c r="P9" s="8" t="s">
        <v>199</v>
      </c>
      <c r="Q9" s="9">
        <v>6400</v>
      </c>
      <c r="R9" s="9"/>
      <c r="S9" s="48">
        <v>0</v>
      </c>
      <c r="T9" s="21">
        <f t="shared" si="4"/>
        <v>41700</v>
      </c>
      <c r="U9" s="53">
        <f>IF($J9="","",ROUND(($J9-$J$3)/1000,1)+(_xlfn.RANK.AVG($J9,($J9,$O9,$T9),1)-2)*20)</f>
        <v>-31.5</v>
      </c>
      <c r="V9" s="54">
        <f>IF($O9="","",ROUND(($O9-$O$3)/1000,1)+(_xlfn.RANK.AVG($O9,($J9,$O9,$T9),1)-2)*20)</f>
        <v>4.8</v>
      </c>
      <c r="W9" s="55">
        <f>IF($T9="","",ROUND(($T9-$T$3)/1000,1)+(_xlfn.RANK.AVG($T9,($J9,$O9,$T9),1)-2)*20)</f>
        <v>26.7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25</v>
      </c>
      <c r="BU9" s="40" t="s">
        <v>101</v>
      </c>
      <c r="BV9" s="41" t="s">
        <v>79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202</v>
      </c>
      <c r="G10" s="9">
        <v>-1100</v>
      </c>
      <c r="H10" s="9"/>
      <c r="I10" s="48">
        <v>0</v>
      </c>
      <c r="J10" s="21">
        <f t="shared" si="2"/>
        <v>22400</v>
      </c>
      <c r="K10" s="8" t="s">
        <v>202</v>
      </c>
      <c r="L10" s="9">
        <v>-1700</v>
      </c>
      <c r="M10" s="9"/>
      <c r="N10" s="48">
        <v>0</v>
      </c>
      <c r="O10" s="21">
        <f t="shared" si="3"/>
        <v>38100</v>
      </c>
      <c r="P10" s="8" t="s">
        <v>201</v>
      </c>
      <c r="Q10" s="9">
        <v>2800</v>
      </c>
      <c r="R10" s="9"/>
      <c r="S10" s="48">
        <v>0</v>
      </c>
      <c r="T10" s="21">
        <f t="shared" si="4"/>
        <v>44500</v>
      </c>
      <c r="U10" s="53">
        <f>IF($J10="","",ROUND(($J10-$J$3)/1000,1)+(_xlfn.RANK.AVG($J10,($J10,$O10,$T10),1)-2)*20)</f>
        <v>-32.6</v>
      </c>
      <c r="V10" s="54">
        <f>IF($O10="","",ROUND(($O10-$O$3)/1000,1)+(_xlfn.RANK.AVG($O10,($J10,$O10,$T10),1)-2)*20)</f>
        <v>3.1</v>
      </c>
      <c r="W10" s="55">
        <f>IF($T10="","",ROUND(($T10-$T$3)/1000,1)+(_xlfn.RANK.AVG($T10,($J10,$O10,$T10),1)-2)*20)</f>
        <v>29.5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40</v>
      </c>
      <c r="BU10" s="40" t="s">
        <v>86</v>
      </c>
      <c r="BV10" s="41" t="s">
        <v>203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/>
      <c r="G11" s="9"/>
      <c r="H11" s="9"/>
      <c r="I11" s="48"/>
      <c r="J11" s="21">
        <f t="shared" si="2"/>
        <v>22400</v>
      </c>
      <c r="K11" s="8" t="s">
        <v>198</v>
      </c>
      <c r="L11" s="9">
        <v>-18000</v>
      </c>
      <c r="M11" s="9"/>
      <c r="N11" s="48">
        <v>0</v>
      </c>
      <c r="O11" s="21">
        <f t="shared" si="3"/>
        <v>20100</v>
      </c>
      <c r="P11" s="8" t="s">
        <v>199</v>
      </c>
      <c r="Q11" s="9">
        <v>18000</v>
      </c>
      <c r="R11" s="9"/>
      <c r="S11" s="48">
        <v>0</v>
      </c>
      <c r="T11" s="21">
        <f t="shared" si="4"/>
        <v>62500</v>
      </c>
      <c r="U11" s="53">
        <f>IF($J11="","",ROUND(($J11-$J$3)/1000,1)+(_xlfn.RANK.AVG($J11,($J11,$O11,$T11),1)-2)*20)</f>
        <v>-12.6</v>
      </c>
      <c r="V11" s="54">
        <f>IF($O11="","",ROUND(($O11-$O$3)/1000,1)+(_xlfn.RANK.AVG($O11,($J11,$O11,$T11),1)-2)*20)</f>
        <v>-34.9</v>
      </c>
      <c r="W11" s="55">
        <f>IF($T11="","",ROUND(($T11-$T$3)/1000,1)+(_xlfn.RANK.AVG($T11,($J11,$O11,$T11),1)-2)*20)</f>
        <v>47.5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7</v>
      </c>
      <c r="BT11" s="30" t="s">
        <v>207</v>
      </c>
      <c r="BU11" s="40" t="s">
        <v>104</v>
      </c>
      <c r="BV11" s="41" t="s">
        <v>92</v>
      </c>
      <c r="BW11" s="41" t="s">
        <v>86</v>
      </c>
      <c r="BX11" s="41" t="s">
        <v>203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D15C353E-8049-4D98-A179-8A5E96CDAB57}">
      <formula1>$U$2:$W$2</formula1>
    </dataValidation>
    <dataValidation type="list" showInputMessage="1" showErrorMessage="1" sqref="K4:K30 P4:P30 F4:F30" xr:uid="{837D974C-50AA-40C5-9C28-73327A653079}">
      <formula1>"ロン,ツモ,放銃,ツモ支払,流局,チョンボ"</formula1>
    </dataValidation>
    <dataValidation type="list" allowBlank="1" showInputMessage="1" sqref="F1:T1" xr:uid="{0E92FE72-638F-4E0E-BFA7-2BA0505F03B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236C1-5E0D-4AB4-8257-CBE8A5F8A887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197</v>
      </c>
      <c r="F4" s="8" t="s">
        <v>202</v>
      </c>
      <c r="G4" s="9">
        <v>-2000</v>
      </c>
      <c r="H4" s="9">
        <v>-1000</v>
      </c>
      <c r="I4" s="48">
        <v>0</v>
      </c>
      <c r="J4" s="21">
        <f>IF(COUNTA($F4,$K4,$P4)&gt;0,J3+SUM(G4:I4),"")</f>
        <v>32000</v>
      </c>
      <c r="K4" s="8" t="s">
        <v>201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202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25</v>
      </c>
      <c r="W4" s="55">
        <f>IF($T4="","",ROUND(($T4-$T$3)/1000,1)+(_xlfn.RANK.AVG($T4,($J4,$O4,$T4),1)-2)*20)</f>
        <v>-2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40</v>
      </c>
      <c r="AZ4" s="40" t="s">
        <v>98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206</v>
      </c>
      <c r="G5" s="9">
        <v>1500</v>
      </c>
      <c r="H5" s="9">
        <v>-1000</v>
      </c>
      <c r="I5" s="48"/>
      <c r="J5" s="21">
        <f t="shared" ref="J5:J30" si="2">IF(COUNTA($F5,$K5,$P5)&gt;0,J4+SUM(G5:I5),"")</f>
        <v>32500</v>
      </c>
      <c r="K5" s="8" t="s">
        <v>206</v>
      </c>
      <c r="L5" s="9">
        <v>1500</v>
      </c>
      <c r="M5" s="9"/>
      <c r="N5" s="48"/>
      <c r="O5" s="21">
        <f t="shared" ref="O5:O30" si="3">IF(COUNTA($F5,$K5,$P5)&gt;0,O4+SUM(L5:N5),"")</f>
        <v>41500</v>
      </c>
      <c r="P5" s="8" t="s">
        <v>206</v>
      </c>
      <c r="Q5" s="9">
        <v>-3000</v>
      </c>
      <c r="R5" s="9"/>
      <c r="S5" s="48"/>
      <c r="T5" s="21">
        <f t="shared" ref="T5:T30" si="4">IF(COUNTA($F5,$K5,$P5)&gt;0,T4+SUM(Q5:S5),"")</f>
        <v>30000</v>
      </c>
      <c r="U5" s="53">
        <f>IF($J5="","",ROUND(($J5-$J$3)/1000,1)+(_xlfn.RANK.AVG($J5,($J5,$O5,$T5),1)-2)*20)</f>
        <v>-2.5</v>
      </c>
      <c r="V5" s="54">
        <f>IF($O5="","",ROUND(($O5-$O$3)/1000,1)+(_xlfn.RANK.AVG($O5,($J5,$O5,$T5),1)-2)*20)</f>
        <v>26.5</v>
      </c>
      <c r="W5" s="55">
        <f>IF($T5="","",ROUND(($T5-$T$3)/1000,1)+(_xlfn.RANK.AVG($T5,($J5,$O5,$T5),1)-2)*20)</f>
        <v>-25</v>
      </c>
      <c r="Y5" s="8" t="s">
        <v>205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IF($K$1="","",$K$1)</f>
        <v>れんたろう</v>
      </c>
      <c r="F6" s="8" t="s">
        <v>201</v>
      </c>
      <c r="G6" s="9">
        <v>16000</v>
      </c>
      <c r="H6" s="9">
        <v>1000</v>
      </c>
      <c r="I6" s="48">
        <v>2000</v>
      </c>
      <c r="J6" s="21">
        <f t="shared" si="2"/>
        <v>51500</v>
      </c>
      <c r="K6" s="8" t="s">
        <v>202</v>
      </c>
      <c r="L6" s="9">
        <v>-10000</v>
      </c>
      <c r="M6" s="9"/>
      <c r="N6" s="48">
        <v>-1000</v>
      </c>
      <c r="O6" s="21">
        <f t="shared" si="3"/>
        <v>30500</v>
      </c>
      <c r="P6" s="8" t="s">
        <v>202</v>
      </c>
      <c r="Q6" s="9">
        <v>-6000</v>
      </c>
      <c r="R6" s="9"/>
      <c r="S6" s="48">
        <v>-1000</v>
      </c>
      <c r="T6" s="21">
        <f t="shared" si="4"/>
        <v>23000</v>
      </c>
      <c r="U6" s="53">
        <f>IF($J6="","",ROUND(($J6-$J$3)/1000,1)+(_xlfn.RANK.AVG($J6,($J6,$O6,$T6),1)-2)*20)</f>
        <v>36.5</v>
      </c>
      <c r="V6" s="54">
        <f>IF($O6="","",ROUND(($O6-$O$3)/1000,1)+(_xlfn.RANK.AVG($O6,($J6,$O6,$T6),1)-2)*20)</f>
        <v>-4.5</v>
      </c>
      <c r="W6" s="55">
        <f>IF($T6="","",ROUND(($T6-$T$3)/1000,1)+(_xlfn.RANK.AVG($T6,($J6,$O6,$T6),1)-2)*20)</f>
        <v>-32</v>
      </c>
      <c r="Y6" s="8"/>
      <c r="Z6" s="34"/>
      <c r="AA6" s="26">
        <v>1</v>
      </c>
      <c r="AB6" s="26"/>
      <c r="AC6" s="26">
        <v>8</v>
      </c>
      <c r="AD6" s="30" t="s">
        <v>207</v>
      </c>
      <c r="AE6" s="40" t="s">
        <v>200</v>
      </c>
      <c r="AF6" s="41" t="s">
        <v>82</v>
      </c>
      <c r="AG6" s="41" t="s">
        <v>203</v>
      </c>
      <c r="AH6" s="41" t="s">
        <v>79</v>
      </c>
      <c r="AI6" s="41" t="s">
        <v>79</v>
      </c>
      <c r="AJ6" s="41" t="s">
        <v>79</v>
      </c>
      <c r="AK6" s="41" t="s">
        <v>79</v>
      </c>
      <c r="AL6" s="41" t="s">
        <v>80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/>
      <c r="G7" s="9"/>
      <c r="H7" s="9"/>
      <c r="I7" s="48"/>
      <c r="J7" s="21">
        <f t="shared" si="2"/>
        <v>51500</v>
      </c>
      <c r="K7" s="8" t="s">
        <v>198</v>
      </c>
      <c r="L7" s="9">
        <v>-2900</v>
      </c>
      <c r="M7" s="9"/>
      <c r="N7" s="48">
        <v>0</v>
      </c>
      <c r="O7" s="21">
        <f t="shared" si="3"/>
        <v>27600</v>
      </c>
      <c r="P7" s="8" t="s">
        <v>199</v>
      </c>
      <c r="Q7" s="9">
        <v>2900</v>
      </c>
      <c r="R7" s="9"/>
      <c r="S7" s="48">
        <v>0</v>
      </c>
      <c r="T7" s="21">
        <f t="shared" si="4"/>
        <v>25900</v>
      </c>
      <c r="U7" s="53">
        <f>IF($J7="","",ROUND(($J7-$J$3)/1000,1)+(_xlfn.RANK.AVG($J7,($J7,$O7,$T7),1)-2)*20)</f>
        <v>36.5</v>
      </c>
      <c r="V7" s="54">
        <f>IF($O7="","",ROUND(($O7-$O$3)/1000,1)+(_xlfn.RANK.AVG($O7,($J7,$O7,$T7),1)-2)*20)</f>
        <v>-7.4</v>
      </c>
      <c r="W7" s="55">
        <f>IF($T7="","",ROUND(($T7-$T$3)/1000,1)+(_xlfn.RANK.AVG($T7,($J7,$O7,$T7),1)-2)*20)</f>
        <v>-29.1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 t="s">
        <v>202</v>
      </c>
      <c r="G8" s="9">
        <v>-4500</v>
      </c>
      <c r="H8" s="9">
        <v>-1000</v>
      </c>
      <c r="I8" s="48">
        <v>-500</v>
      </c>
      <c r="J8" s="21">
        <f t="shared" si="2"/>
        <v>45500</v>
      </c>
      <c r="K8" s="8" t="s">
        <v>201</v>
      </c>
      <c r="L8" s="9">
        <v>12000</v>
      </c>
      <c r="M8" s="9">
        <v>1000</v>
      </c>
      <c r="N8" s="48">
        <v>1000</v>
      </c>
      <c r="O8" s="21">
        <f t="shared" si="3"/>
        <v>41600</v>
      </c>
      <c r="P8" s="8" t="s">
        <v>202</v>
      </c>
      <c r="Q8" s="9">
        <v>-7500</v>
      </c>
      <c r="R8" s="9"/>
      <c r="S8" s="48">
        <v>-500</v>
      </c>
      <c r="T8" s="21">
        <f t="shared" si="4"/>
        <v>17900</v>
      </c>
      <c r="U8" s="53">
        <f>IF($J8="","",ROUND(($J8-$J$3)/1000,1)+(_xlfn.RANK.AVG($J8,($J8,$O8,$T8),1)-2)*20)</f>
        <v>30.5</v>
      </c>
      <c r="V8" s="54">
        <f>IF($O8="","",ROUND(($O8-$O$3)/1000,1)+(_xlfn.RANK.AVG($O8,($J8,$O8,$T8),1)-2)*20)</f>
        <v>6.6</v>
      </c>
      <c r="W8" s="55">
        <f>IF($T8="","",ROUND(($T8-$T$3)/1000,1)+(_xlfn.RANK.AVG($T8,($J8,$O8,$T8),1)-2)*20)</f>
        <v>-37.1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207</v>
      </c>
      <c r="AZ8" s="40" t="s">
        <v>200</v>
      </c>
      <c r="BA8" s="41" t="s">
        <v>82</v>
      </c>
      <c r="BB8" s="41" t="s">
        <v>83</v>
      </c>
      <c r="BC8" s="41" t="s">
        <v>79</v>
      </c>
      <c r="BD8" s="41" t="s">
        <v>203</v>
      </c>
      <c r="BE8" s="41" t="s">
        <v>203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>
        <v>-1000</v>
      </c>
      <c r="I9" s="48"/>
      <c r="J9" s="21">
        <f t="shared" si="2"/>
        <v>44500</v>
      </c>
      <c r="K9" s="8" t="s">
        <v>198</v>
      </c>
      <c r="L9" s="9">
        <v>-12000</v>
      </c>
      <c r="M9" s="9">
        <v>-1000</v>
      </c>
      <c r="N9" s="48">
        <v>0</v>
      </c>
      <c r="O9" s="21">
        <f t="shared" si="3"/>
        <v>28600</v>
      </c>
      <c r="P9" s="8" t="s">
        <v>199</v>
      </c>
      <c r="Q9" s="9">
        <v>12000</v>
      </c>
      <c r="R9" s="9">
        <v>2000</v>
      </c>
      <c r="S9" s="48">
        <v>0</v>
      </c>
      <c r="T9" s="21">
        <f t="shared" si="4"/>
        <v>31900</v>
      </c>
      <c r="U9" s="53">
        <f>IF($J9="","",ROUND(($J9-$J$3)/1000,1)+(_xlfn.RANK.AVG($J9,($J9,$O9,$T9),1)-2)*20)</f>
        <v>29.5</v>
      </c>
      <c r="V9" s="54">
        <f>IF($O9="","",ROUND(($O9-$O$3)/1000,1)+(_xlfn.RANK.AVG($O9,($J9,$O9,$T9),1)-2)*20)</f>
        <v>-26.4</v>
      </c>
      <c r="W9" s="55">
        <f>IF($T9="","",ROUND(($T9-$T$3)/1000,1)+(_xlfn.RANK.AVG($T9,($J9,$O9,$T9),1)-2)*20)</f>
        <v>-3.1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7</v>
      </c>
      <c r="BT9" s="30" t="s">
        <v>207</v>
      </c>
      <c r="BU9" s="40" t="s">
        <v>86</v>
      </c>
      <c r="BV9" s="41" t="s">
        <v>79</v>
      </c>
      <c r="BW9" s="41" t="s">
        <v>79</v>
      </c>
      <c r="BX9" s="41" t="s">
        <v>79</v>
      </c>
      <c r="BY9" s="41" t="s">
        <v>104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202</v>
      </c>
      <c r="G10" s="9">
        <v>-6000</v>
      </c>
      <c r="H10" s="9"/>
      <c r="I10" s="48">
        <v>0</v>
      </c>
      <c r="J10" s="21">
        <f t="shared" si="2"/>
        <v>38500</v>
      </c>
      <c r="K10" s="8" t="s">
        <v>201</v>
      </c>
      <c r="L10" s="9">
        <v>12000</v>
      </c>
      <c r="M10" s="9"/>
      <c r="N10" s="48">
        <v>0</v>
      </c>
      <c r="O10" s="21">
        <f t="shared" si="3"/>
        <v>40600</v>
      </c>
      <c r="P10" s="8" t="s">
        <v>202</v>
      </c>
      <c r="Q10" s="9">
        <v>-6000</v>
      </c>
      <c r="R10" s="9"/>
      <c r="S10" s="48">
        <v>0</v>
      </c>
      <c r="T10" s="21">
        <f t="shared" si="4"/>
        <v>25900</v>
      </c>
      <c r="U10" s="53">
        <f>IF($J10="","",ROUND(($J10-$J$3)/1000,1)+(_xlfn.RANK.AVG($J10,($J10,$O10,$T10),1)-2)*20)</f>
        <v>3.5</v>
      </c>
      <c r="V10" s="54">
        <f>IF($O10="","",ROUND(($O10-$O$3)/1000,1)+(_xlfn.RANK.AVG($O10,($J10,$O10,$T10),1)-2)*20)</f>
        <v>25.6</v>
      </c>
      <c r="W10" s="55">
        <f>IF($T10="","",ROUND(($T10-$T$3)/1000,1)+(_xlfn.RANK.AVG($T10,($J10,$O10,$T10),1)-2)*20)</f>
        <v>-29.1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207</v>
      </c>
      <c r="AZ10" s="40" t="s">
        <v>209</v>
      </c>
      <c r="BA10" s="41" t="s">
        <v>82</v>
      </c>
      <c r="BB10" s="41" t="s">
        <v>83</v>
      </c>
      <c r="BC10" s="41" t="s">
        <v>80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IF($K$1="","",$K$1)</f>
        <v>れんたろう</v>
      </c>
      <c r="F11" s="8" t="s">
        <v>199</v>
      </c>
      <c r="G11" s="9">
        <v>16000</v>
      </c>
      <c r="H11" s="9">
        <v>1000</v>
      </c>
      <c r="I11" s="48">
        <v>1000</v>
      </c>
      <c r="J11" s="21">
        <f t="shared" si="2"/>
        <v>56500</v>
      </c>
      <c r="K11" s="8" t="s">
        <v>198</v>
      </c>
      <c r="L11" s="9">
        <v>-16000</v>
      </c>
      <c r="M11" s="9">
        <v>-1000</v>
      </c>
      <c r="N11" s="48">
        <v>-1000</v>
      </c>
      <c r="O11" s="21">
        <f t="shared" si="3"/>
        <v>22600</v>
      </c>
      <c r="P11" s="8"/>
      <c r="Q11" s="9"/>
      <c r="R11" s="9"/>
      <c r="S11" s="48"/>
      <c r="T11" s="21">
        <f t="shared" si="4"/>
        <v>25900</v>
      </c>
      <c r="U11" s="53">
        <f>IF($J11="","",ROUND(($J11-$J$3)/1000,1)+(_xlfn.RANK.AVG($J11,($J11,$O11,$T11),1)-2)*20)</f>
        <v>41.5</v>
      </c>
      <c r="V11" s="54">
        <f>IF($O11="","",ROUND(($O11-$O$3)/1000,1)+(_xlfn.RANK.AVG($O11,($J11,$O11,$T11),1)-2)*20)</f>
        <v>-32.4</v>
      </c>
      <c r="W11" s="55">
        <f>IF($T11="","",ROUND(($T11-$T$3)/1000,1)+(_xlfn.RANK.AVG($T11,($J11,$O11,$T11),1)-2)*20)</f>
        <v>-9.1</v>
      </c>
      <c r="Y11" s="8"/>
      <c r="Z11" s="34"/>
      <c r="AA11" s="26">
        <v>1</v>
      </c>
      <c r="AB11" s="26"/>
      <c r="AC11" s="26">
        <v>8</v>
      </c>
      <c r="AD11" s="30" t="s">
        <v>207</v>
      </c>
      <c r="AE11" s="40" t="s">
        <v>200</v>
      </c>
      <c r="AF11" s="41" t="s">
        <v>83</v>
      </c>
      <c r="AG11" s="41" t="s">
        <v>85</v>
      </c>
      <c r="AH11" s="41" t="s">
        <v>84</v>
      </c>
      <c r="AI11" s="41" t="s">
        <v>79</v>
      </c>
      <c r="AJ11" s="41" t="s">
        <v>79</v>
      </c>
      <c r="AK11" s="41" t="s">
        <v>80</v>
      </c>
      <c r="AL11" s="41" t="s">
        <v>80</v>
      </c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 t="s">
        <v>206</v>
      </c>
      <c r="G12" s="9">
        <v>1500</v>
      </c>
      <c r="H12" s="9"/>
      <c r="I12" s="48"/>
      <c r="J12" s="21">
        <f t="shared" si="2"/>
        <v>58000</v>
      </c>
      <c r="K12" s="8" t="s">
        <v>206</v>
      </c>
      <c r="L12" s="9">
        <v>-3000</v>
      </c>
      <c r="M12" s="9"/>
      <c r="N12" s="48"/>
      <c r="O12" s="21">
        <f t="shared" si="3"/>
        <v>19600</v>
      </c>
      <c r="P12" s="8" t="s">
        <v>206</v>
      </c>
      <c r="Q12" s="9">
        <v>1500</v>
      </c>
      <c r="R12" s="9">
        <v>-1000</v>
      </c>
      <c r="S12" s="48"/>
      <c r="T12" s="21">
        <f t="shared" si="4"/>
        <v>26400</v>
      </c>
      <c r="U12" s="53">
        <f>IF($J12="","",ROUND(($J12-$J$3)/1000,1)+(_xlfn.RANK.AVG($J12,($J12,$O12,$T12),1)-2)*20)</f>
        <v>43</v>
      </c>
      <c r="V12" s="54">
        <f>IF($O12="","",ROUND(($O12-$O$3)/1000,1)+(_xlfn.RANK.AVG($O12,($J12,$O12,$T12),1)-2)*20)</f>
        <v>-35.4</v>
      </c>
      <c r="W12" s="55">
        <f>IF($T12="","",ROUND(($T12-$T$3)/1000,1)+(_xlfn.RANK.AVG($T12,($J12,$O12,$T12),1)-2)*20)</f>
        <v>-8.6</v>
      </c>
      <c r="Y12" s="8" t="s">
        <v>205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1</v>
      </c>
      <c r="E13" s="4" t="str">
        <f>IF($P$1="","",$P$1)</f>
        <v>りくと</v>
      </c>
      <c r="F13" s="8" t="s">
        <v>206</v>
      </c>
      <c r="G13" s="9">
        <v>-1500</v>
      </c>
      <c r="H13" s="9"/>
      <c r="I13" s="48"/>
      <c r="J13" s="21">
        <f t="shared" si="2"/>
        <v>56500</v>
      </c>
      <c r="K13" s="8" t="s">
        <v>206</v>
      </c>
      <c r="L13" s="9">
        <v>3000</v>
      </c>
      <c r="M13" s="9">
        <v>-1000</v>
      </c>
      <c r="N13" s="48"/>
      <c r="O13" s="21">
        <f t="shared" si="3"/>
        <v>21600</v>
      </c>
      <c r="P13" s="8" t="s">
        <v>206</v>
      </c>
      <c r="Q13" s="9">
        <v>-1500</v>
      </c>
      <c r="R13" s="9"/>
      <c r="S13" s="48"/>
      <c r="T13" s="21">
        <f t="shared" si="4"/>
        <v>24900</v>
      </c>
      <c r="U13" s="53">
        <f>IF($J13="","",ROUND(($J13-$J$3)/1000,1)+(_xlfn.RANK.AVG($J13,($J13,$O13,$T13),1)-2)*20)</f>
        <v>41.5</v>
      </c>
      <c r="V13" s="54">
        <f>IF($O13="","",ROUND(($O13-$O$3)/1000,1)+(_xlfn.RANK.AVG($O13,($J13,$O13,$T13),1)-2)*20)</f>
        <v>-33.4</v>
      </c>
      <c r="W13" s="55">
        <f>IF($T13="","",ROUND(($T13-$T$3)/1000,1)+(_xlfn.RANK.AVG($T13,($J13,$O13,$T13),1)-2)*20)</f>
        <v>-10.1</v>
      </c>
      <c r="Y13" s="8" t="s">
        <v>204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2</v>
      </c>
      <c r="E14" s="4" t="str">
        <f>IF($F$1="","",$F$1)</f>
        <v>だいち</v>
      </c>
      <c r="F14" s="8" t="s">
        <v>202</v>
      </c>
      <c r="G14" s="9">
        <v>-1300</v>
      </c>
      <c r="H14" s="9"/>
      <c r="I14" s="48">
        <v>-1000</v>
      </c>
      <c r="J14" s="21">
        <f t="shared" si="2"/>
        <v>54200</v>
      </c>
      <c r="K14" s="8" t="s">
        <v>202</v>
      </c>
      <c r="L14" s="9">
        <v>-800</v>
      </c>
      <c r="M14" s="9"/>
      <c r="N14" s="48">
        <v>-1000</v>
      </c>
      <c r="O14" s="21">
        <f t="shared" si="3"/>
        <v>19800</v>
      </c>
      <c r="P14" s="8" t="s">
        <v>201</v>
      </c>
      <c r="Q14" s="9">
        <v>2100</v>
      </c>
      <c r="R14" s="9">
        <v>2000</v>
      </c>
      <c r="S14" s="48">
        <v>2000</v>
      </c>
      <c r="T14" s="21">
        <f t="shared" si="4"/>
        <v>31000</v>
      </c>
      <c r="U14" s="53">
        <f>IF($J14="","",ROUND(($J14-$J$3)/1000,1)+(_xlfn.RANK.AVG($J14,($J14,$O14,$T14),1)-2)*20)</f>
        <v>39.200000000000003</v>
      </c>
      <c r="V14" s="54">
        <f>IF($O14="","",ROUND(($O14-$O$3)/1000,1)+(_xlfn.RANK.AVG($O14,($J14,$O14,$T14),1)-2)*20)</f>
        <v>-35.200000000000003</v>
      </c>
      <c r="W14" s="55">
        <f>IF($T14="","",ROUND(($T14-$T$3)/1000,1)+(_xlfn.RANK.AVG($T14,($J14,$O14,$T14),1)-2)*20)</f>
        <v>-4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2</v>
      </c>
      <c r="BT14" s="30">
        <v>30</v>
      </c>
      <c r="BU14" s="40" t="s">
        <v>82</v>
      </c>
      <c r="BV14" s="41" t="s">
        <v>86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A0080CEF-6783-45C1-B076-CA0C3486550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560B0D3B-759B-4019-9F33-F6237262A38D}">
      <formula1>"ロン,ツモ,放銃,ツモ支払,流局,チョンボ"</formula1>
    </dataValidation>
    <dataValidation type="list" allowBlank="1" showInputMessage="1" showErrorMessage="1" sqref="E4:E30" xr:uid="{BF05BFBD-52D5-445F-AC47-13E93FA9DD1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8AC0C-EDC6-4802-BE4F-7739B2D142D7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197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3200</v>
      </c>
      <c r="H4" s="9"/>
      <c r="I4" s="48">
        <v>0</v>
      </c>
      <c r="J4" s="21">
        <f>IF(COUNTA($F4,$K4,$P4)&gt;0,J3+SUM(G4:I4),"")</f>
        <v>38200</v>
      </c>
      <c r="K4" s="8" t="s">
        <v>198</v>
      </c>
      <c r="L4" s="9">
        <v>-3200</v>
      </c>
      <c r="M4" s="9"/>
      <c r="N4" s="48">
        <v>0</v>
      </c>
      <c r="O4" s="21">
        <f>IF(COUNTA($F4,$K4,$P4)&gt;0,O3+SUM(L4:N4),"")</f>
        <v>31800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23.2</v>
      </c>
      <c r="V4" s="54">
        <f>IF($O4="","",ROUND(($O4-$O$3)/1000,1)+(_xlfn.RANK.AVG($O4,($J4,$O4,$T4),1)-2)*20)</f>
        <v>-23.2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2</v>
      </c>
      <c r="AD4" s="30">
        <v>50</v>
      </c>
      <c r="AE4" s="40" t="s">
        <v>200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202</v>
      </c>
      <c r="G5" s="9">
        <v>-7500</v>
      </c>
      <c r="H5" s="9">
        <v>-1000</v>
      </c>
      <c r="I5" s="48">
        <v>0</v>
      </c>
      <c r="J5" s="21">
        <f t="shared" ref="J5:J30" si="2">IF(COUNTA($F5,$K5,$P5)&gt;0,J4+SUM(G5:I5),"")</f>
        <v>29700</v>
      </c>
      <c r="K5" s="8" t="s">
        <v>201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44800</v>
      </c>
      <c r="P5" s="8" t="s">
        <v>202</v>
      </c>
      <c r="Q5" s="9">
        <v>-4500</v>
      </c>
      <c r="R5" s="9"/>
      <c r="S5" s="48">
        <v>0</v>
      </c>
      <c r="T5" s="21">
        <f t="shared" ref="T5:T30" si="4">IF(COUNTA($F5,$K5,$P5)&gt;0,T4+SUM(Q5:S5),"")</f>
        <v>30500</v>
      </c>
      <c r="U5" s="53">
        <f>IF($J5="","",ROUND(($J5-$J$3)/1000,1)+(_xlfn.RANK.AVG($J5,($J5,$O5,$T5),1)-2)*20)</f>
        <v>-25.3</v>
      </c>
      <c r="V5" s="54">
        <f>IF($O5="","",ROUND(($O5-$O$3)/1000,1)+(_xlfn.RANK.AVG($O5,($J5,$O5,$T5),1)-2)*20)</f>
        <v>29.8</v>
      </c>
      <c r="W5" s="55">
        <f>IF($T5="","",ROUND(($T5-$T$3)/1000,1)+(_xlfn.RANK.AVG($T5,($J5,$O5,$T5),1)-2)*20)</f>
        <v>-4.5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207</v>
      </c>
      <c r="AZ5" s="40" t="s">
        <v>200</v>
      </c>
      <c r="BA5" s="41" t="s">
        <v>82</v>
      </c>
      <c r="BB5" s="41" t="s">
        <v>104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-9000</v>
      </c>
      <c r="H6" s="9"/>
      <c r="I6" s="48">
        <v>0</v>
      </c>
      <c r="J6" s="21">
        <f t="shared" si="2"/>
        <v>20700</v>
      </c>
      <c r="K6" s="8" t="s">
        <v>201</v>
      </c>
      <c r="L6" s="9">
        <v>18000</v>
      </c>
      <c r="M6" s="9"/>
      <c r="N6" s="48">
        <v>0</v>
      </c>
      <c r="O6" s="21">
        <f t="shared" si="3"/>
        <v>62800</v>
      </c>
      <c r="P6" s="8" t="s">
        <v>202</v>
      </c>
      <c r="Q6" s="9">
        <v>-9000</v>
      </c>
      <c r="R6" s="9"/>
      <c r="S6" s="48">
        <v>0</v>
      </c>
      <c r="T6" s="21">
        <f t="shared" si="4"/>
        <v>21500</v>
      </c>
      <c r="U6" s="53">
        <f>IF($J6="","",ROUND(($J6-$J$3)/1000,1)+(_xlfn.RANK.AVG($J6,($J6,$O6,$T6),1)-2)*20)</f>
        <v>-34.299999999999997</v>
      </c>
      <c r="V6" s="54">
        <f>IF($O6="","",ROUND(($O6-$O$3)/1000,1)+(_xlfn.RANK.AVG($O6,($J6,$O6,$T6),1)-2)*20)</f>
        <v>47.8</v>
      </c>
      <c r="W6" s="55">
        <f>IF($T6="","",ROUND(($T6-$T$3)/1000,1)+(_xlfn.RANK.AVG($T6,($J6,$O6,$T6),1)-2)*20)</f>
        <v>-13.5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207</v>
      </c>
      <c r="AZ6" s="40" t="s">
        <v>89</v>
      </c>
      <c r="BA6" s="41" t="s">
        <v>104</v>
      </c>
      <c r="BB6" s="41" t="s">
        <v>86</v>
      </c>
      <c r="BC6" s="41" t="s">
        <v>86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199</v>
      </c>
      <c r="G7" s="9">
        <v>12000</v>
      </c>
      <c r="H7" s="9"/>
      <c r="I7" s="48">
        <v>1000</v>
      </c>
      <c r="J7" s="21">
        <f t="shared" si="2"/>
        <v>33700</v>
      </c>
      <c r="K7" s="8"/>
      <c r="L7" s="9"/>
      <c r="M7" s="9"/>
      <c r="N7" s="48"/>
      <c r="O7" s="21">
        <f t="shared" si="3"/>
        <v>62800</v>
      </c>
      <c r="P7" s="8" t="s">
        <v>198</v>
      </c>
      <c r="Q7" s="9">
        <v>-12000</v>
      </c>
      <c r="R7" s="9"/>
      <c r="S7" s="48">
        <v>-1000</v>
      </c>
      <c r="T7" s="21">
        <f t="shared" si="4"/>
        <v>8500</v>
      </c>
      <c r="U7" s="53">
        <f>IF($J7="","",ROUND(($J7-$J$3)/1000,1)+(_xlfn.RANK.AVG($J7,($J7,$O7,$T7),1)-2)*20)</f>
        <v>-1.3</v>
      </c>
      <c r="V7" s="54">
        <f>IF($O7="","",ROUND(($O7-$O$3)/1000,1)+(_xlfn.RANK.AVG($O7,($J7,$O7,$T7),1)-2)*20)</f>
        <v>47.8</v>
      </c>
      <c r="W7" s="55">
        <f>IF($T7="","",ROUND(($T7-$T$3)/1000,1)+(_xlfn.RANK.AVG($T7,($J7,$O7,$T7),1)-2)*20)</f>
        <v>-46.5</v>
      </c>
      <c r="Y7" s="8"/>
      <c r="Z7" s="34"/>
      <c r="AA7" s="26">
        <v>1</v>
      </c>
      <c r="AB7" s="26"/>
      <c r="AC7" s="26">
        <v>6</v>
      </c>
      <c r="AD7" s="30" t="s">
        <v>207</v>
      </c>
      <c r="AE7" s="40" t="s">
        <v>200</v>
      </c>
      <c r="AF7" s="41" t="s">
        <v>208</v>
      </c>
      <c r="AG7" s="41" t="s">
        <v>86</v>
      </c>
      <c r="AH7" s="41" t="s">
        <v>79</v>
      </c>
      <c r="AI7" s="41" t="s">
        <v>79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202</v>
      </c>
      <c r="G8" s="9">
        <v>-6000</v>
      </c>
      <c r="H8" s="9"/>
      <c r="I8" s="48">
        <v>0</v>
      </c>
      <c r="J8" s="21">
        <f t="shared" si="2"/>
        <v>27700</v>
      </c>
      <c r="K8" s="8" t="s">
        <v>202</v>
      </c>
      <c r="L8" s="9">
        <v>-6000</v>
      </c>
      <c r="M8" s="9"/>
      <c r="N8" s="48">
        <v>0</v>
      </c>
      <c r="O8" s="21">
        <f t="shared" si="3"/>
        <v>56800</v>
      </c>
      <c r="P8" s="8" t="s">
        <v>201</v>
      </c>
      <c r="Q8" s="9">
        <v>12000</v>
      </c>
      <c r="R8" s="9"/>
      <c r="S8" s="48">
        <v>0</v>
      </c>
      <c r="T8" s="21">
        <f t="shared" si="4"/>
        <v>20500</v>
      </c>
      <c r="U8" s="53">
        <f>IF($J8="","",ROUND(($J8-$J$3)/1000,1)+(_xlfn.RANK.AVG($J8,($J8,$O8,$T8),1)-2)*20)</f>
        <v>-7.3</v>
      </c>
      <c r="V8" s="54">
        <f>IF($O8="","",ROUND(($O8-$O$3)/1000,1)+(_xlfn.RANK.AVG($O8,($J8,$O8,$T8),1)-2)*20)</f>
        <v>41.8</v>
      </c>
      <c r="W8" s="55">
        <f>IF($T8="","",ROUND(($T8-$T$3)/1000,1)+(_xlfn.RANK.AVG($T8,($J8,$O8,$T8),1)-2)*20)</f>
        <v>-34.5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207</v>
      </c>
      <c r="BU8" s="40" t="s">
        <v>104</v>
      </c>
      <c r="BV8" s="41" t="s">
        <v>86</v>
      </c>
      <c r="BW8" s="41" t="s">
        <v>203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IF($P$1="","",$P$1)</f>
        <v>りくと</v>
      </c>
      <c r="F9" s="8" t="s">
        <v>201</v>
      </c>
      <c r="G9" s="9">
        <v>8000</v>
      </c>
      <c r="H9" s="9"/>
      <c r="I9" s="48">
        <v>1000</v>
      </c>
      <c r="J9" s="21">
        <f t="shared" si="2"/>
        <v>36700</v>
      </c>
      <c r="K9" s="8" t="s">
        <v>202</v>
      </c>
      <c r="L9" s="9">
        <v>-3000</v>
      </c>
      <c r="M9" s="9"/>
      <c r="N9" s="48">
        <v>-500</v>
      </c>
      <c r="O9" s="21">
        <f t="shared" si="3"/>
        <v>53300</v>
      </c>
      <c r="P9" s="8" t="s">
        <v>202</v>
      </c>
      <c r="Q9" s="9">
        <v>-5000</v>
      </c>
      <c r="R9" s="9"/>
      <c r="S9" s="48">
        <v>-500</v>
      </c>
      <c r="T9" s="21">
        <f t="shared" si="4"/>
        <v>15000</v>
      </c>
      <c r="U9" s="53">
        <f>IF($J9="","",ROUND(($J9-$J$3)/1000,1)+(_xlfn.RANK.AVG($J9,($J9,$O9,$T9),1)-2)*20)</f>
        <v>1.7</v>
      </c>
      <c r="V9" s="54">
        <f>IF($O9="","",ROUND(($O9-$O$3)/1000,1)+(_xlfn.RANK.AVG($O9,($J9,$O9,$T9),1)-2)*20)</f>
        <v>38.299999999999997</v>
      </c>
      <c r="W9" s="55">
        <f>IF($T9="","",ROUND(($T9-$T$3)/1000,1)+(_xlfn.RANK.AVG($T9,($J9,$O9,$T9),1)-2)*20)</f>
        <v>-40</v>
      </c>
      <c r="Y9" s="8"/>
      <c r="Z9" s="34"/>
      <c r="AA9" s="26">
        <v>1</v>
      </c>
      <c r="AB9" s="26"/>
      <c r="AC9" s="26">
        <v>5</v>
      </c>
      <c r="AD9" s="30" t="s">
        <v>207</v>
      </c>
      <c r="AE9" s="40" t="s">
        <v>200</v>
      </c>
      <c r="AF9" s="41" t="s">
        <v>82</v>
      </c>
      <c r="AG9" s="41" t="s">
        <v>203</v>
      </c>
      <c r="AH9" s="41" t="s">
        <v>86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206</v>
      </c>
      <c r="G10" s="9">
        <v>3000</v>
      </c>
      <c r="H10" s="9">
        <v>-1000</v>
      </c>
      <c r="I10" s="48"/>
      <c r="J10" s="21">
        <f t="shared" si="2"/>
        <v>38700</v>
      </c>
      <c r="K10" s="8" t="s">
        <v>206</v>
      </c>
      <c r="L10" s="9">
        <v>-1500</v>
      </c>
      <c r="M10" s="9"/>
      <c r="N10" s="48"/>
      <c r="O10" s="21">
        <f t="shared" si="3"/>
        <v>51800</v>
      </c>
      <c r="P10" s="8" t="s">
        <v>206</v>
      </c>
      <c r="Q10" s="9">
        <v>-1500</v>
      </c>
      <c r="R10" s="9"/>
      <c r="S10" s="48"/>
      <c r="T10" s="21">
        <f t="shared" si="4"/>
        <v>13500</v>
      </c>
      <c r="U10" s="53">
        <f>IF($J10="","",ROUND(($J10-$J$3)/1000,1)+(_xlfn.RANK.AVG($J10,($J10,$O10,$T10),1)-2)*20)</f>
        <v>3.7</v>
      </c>
      <c r="V10" s="54">
        <f>IF($O10="","",ROUND(($O10-$O$3)/1000,1)+(_xlfn.RANK.AVG($O10,($J10,$O10,$T10),1)-2)*20)</f>
        <v>36.799999999999997</v>
      </c>
      <c r="W10" s="55">
        <f>IF($T10="","",ROUND(($T10-$T$3)/1000,1)+(_xlfn.RANK.AVG($T10,($J10,$O10,$T10),1)-2)*20)</f>
        <v>-41.5</v>
      </c>
      <c r="Y10" s="8" t="s">
        <v>205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IF($F$1="","",$F$1)</f>
        <v>れんたろう</v>
      </c>
      <c r="F11" s="8" t="s">
        <v>206</v>
      </c>
      <c r="G11" s="9">
        <v>1500</v>
      </c>
      <c r="H11" s="9">
        <v>-1000</v>
      </c>
      <c r="I11" s="48"/>
      <c r="J11" s="21">
        <f t="shared" si="2"/>
        <v>39200</v>
      </c>
      <c r="K11" s="8" t="s">
        <v>206</v>
      </c>
      <c r="L11" s="9">
        <v>-3000</v>
      </c>
      <c r="M11" s="9"/>
      <c r="N11" s="48"/>
      <c r="O11" s="21">
        <f t="shared" si="3"/>
        <v>48800</v>
      </c>
      <c r="P11" s="8" t="s">
        <v>206</v>
      </c>
      <c r="Q11" s="9">
        <v>1500</v>
      </c>
      <c r="R11" s="9"/>
      <c r="S11" s="48"/>
      <c r="T11" s="21">
        <f t="shared" si="4"/>
        <v>15000</v>
      </c>
      <c r="U11" s="53">
        <f>IF($J11="","",ROUND(($J11-$J$3)/1000,1)+(_xlfn.RANK.AVG($J11,($J11,$O11,$T11),1)-2)*20)</f>
        <v>4.2</v>
      </c>
      <c r="V11" s="54">
        <f>IF($O11="","",ROUND(($O11-$O$3)/1000,1)+(_xlfn.RANK.AVG($O11,($J11,$O11,$T11),1)-2)*20)</f>
        <v>33.799999999999997</v>
      </c>
      <c r="W11" s="55">
        <f>IF($T11="","",ROUND(($T11-$T$3)/1000,1)+(_xlfn.RANK.AVG($T11,($J11,$O11,$T11),1)-2)*20)</f>
        <v>-40</v>
      </c>
      <c r="Y11" s="8" t="s">
        <v>205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2</v>
      </c>
      <c r="E12" s="4" t="str">
        <f>IF($F$1="","",$F$1)</f>
        <v>れんたろう</v>
      </c>
      <c r="F12" s="8" t="s">
        <v>201</v>
      </c>
      <c r="G12" s="9">
        <v>7800</v>
      </c>
      <c r="H12" s="9">
        <v>6000</v>
      </c>
      <c r="I12" s="48">
        <v>2000</v>
      </c>
      <c r="J12" s="21">
        <f t="shared" si="2"/>
        <v>55000</v>
      </c>
      <c r="K12" s="8" t="s">
        <v>202</v>
      </c>
      <c r="L12" s="9">
        <v>-3900</v>
      </c>
      <c r="M12" s="9">
        <v>-2000</v>
      </c>
      <c r="N12" s="48">
        <v>-1000</v>
      </c>
      <c r="O12" s="21">
        <f t="shared" si="3"/>
        <v>41900</v>
      </c>
      <c r="P12" s="8" t="s">
        <v>202</v>
      </c>
      <c r="Q12" s="9">
        <v>-3900</v>
      </c>
      <c r="R12" s="9">
        <v>-2000</v>
      </c>
      <c r="S12" s="48">
        <v>-1000</v>
      </c>
      <c r="T12" s="21">
        <f t="shared" si="4"/>
        <v>8100</v>
      </c>
      <c r="U12" s="53">
        <f>IF($J12="","",ROUND(($J12-$J$3)/1000,1)+(_xlfn.RANK.AVG($J12,($J12,$O12,$T12),1)-2)*20)</f>
        <v>40</v>
      </c>
      <c r="V12" s="54">
        <f>IF($O12="","",ROUND(($O12-$O$3)/1000,1)+(_xlfn.RANK.AVG($O12,($J12,$O12,$T12),1)-2)*20)</f>
        <v>6.9</v>
      </c>
      <c r="W12" s="55">
        <f>IF($T12="","",ROUND(($T12-$T$3)/1000,1)+(_xlfn.RANK.AVG($T12,($J12,$O12,$T12),1)-2)*20)</f>
        <v>-46.9</v>
      </c>
      <c r="Y12" s="8"/>
      <c r="Z12" s="34"/>
      <c r="AA12" s="26">
        <v>1</v>
      </c>
      <c r="AB12" s="26"/>
      <c r="AC12" s="26">
        <v>4</v>
      </c>
      <c r="AD12" s="30">
        <v>20</v>
      </c>
      <c r="AE12" s="40" t="s">
        <v>200</v>
      </c>
      <c r="AF12" s="41" t="s">
        <v>82</v>
      </c>
      <c r="AG12" s="41" t="s">
        <v>83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IF($F$1="","",$F$1)</f>
        <v>れんたろう</v>
      </c>
      <c r="F13" s="8" t="s">
        <v>199</v>
      </c>
      <c r="G13" s="9">
        <v>48000</v>
      </c>
      <c r="H13" s="9"/>
      <c r="I13" s="48">
        <v>3000</v>
      </c>
      <c r="J13" s="21">
        <f t="shared" si="2"/>
        <v>106000</v>
      </c>
      <c r="K13" s="8" t="s">
        <v>198</v>
      </c>
      <c r="L13" s="9">
        <v>-48000</v>
      </c>
      <c r="M13" s="9"/>
      <c r="N13" s="48">
        <v>-3000</v>
      </c>
      <c r="O13" s="21">
        <f t="shared" si="3"/>
        <v>-9100</v>
      </c>
      <c r="P13" s="8"/>
      <c r="Q13" s="9"/>
      <c r="R13" s="9"/>
      <c r="S13" s="48"/>
      <c r="T13" s="21">
        <f t="shared" si="4"/>
        <v>8100</v>
      </c>
      <c r="U13" s="53">
        <f>IF($J13="","",ROUND(($J13-$J$3)/1000,1)+(_xlfn.RANK.AVG($J13,($J13,$O13,$T13),1)-2)*20)</f>
        <v>91</v>
      </c>
      <c r="V13" s="54">
        <f>IF($O13="","",ROUND(($O13-$O$3)/1000,1)+(_xlfn.RANK.AVG($O13,($J13,$O13,$T13),1)-2)*20)</f>
        <v>-64.099999999999994</v>
      </c>
      <c r="W13" s="55">
        <f>IF($T13="","",ROUND(($T13-$T$3)/1000,1)+(_xlfn.RANK.AVG($T13,($J13,$O13,$T13),1)-2)*20)</f>
        <v>-26.9</v>
      </c>
      <c r="Y13" s="8"/>
      <c r="Z13" s="34"/>
      <c r="AA13" s="26"/>
      <c r="AB13" s="26"/>
      <c r="AC13" s="26">
        <v>13</v>
      </c>
      <c r="AD13" s="30" t="s">
        <v>207</v>
      </c>
      <c r="AE13" s="40" t="s">
        <v>107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691CE7B3-B39E-4E3D-9EDC-4DD77634BD09}">
      <formula1>$U$2:$W$2</formula1>
    </dataValidation>
    <dataValidation type="list" showInputMessage="1" showErrorMessage="1" sqref="K4:K30 P4:P30 F4:F30" xr:uid="{26AF67D9-96A9-47CF-8F1A-622FEAE562E0}">
      <formula1>"ロン,ツモ,放銃,ツモ支払,流局,チョンボ"</formula1>
    </dataValidation>
    <dataValidation type="list" allowBlank="1" showInputMessage="1" sqref="F1:T1" xr:uid="{BD874421-11F7-496E-8FC2-542D73BD7DA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BC6FE-63A5-473A-8AB6-DD04042ACA26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32000</v>
      </c>
      <c r="M4" s="9"/>
      <c r="N4" s="48">
        <v>0</v>
      </c>
      <c r="O4" s="21">
        <f>IF(COUNTA($F4,$K4,$P4)&gt;0,O3+SUM(L4:N4),"")</f>
        <v>67000</v>
      </c>
      <c r="P4" s="8" t="s">
        <v>198</v>
      </c>
      <c r="Q4" s="9">
        <v>-32000</v>
      </c>
      <c r="R4" s="9"/>
      <c r="S4" s="48">
        <v>0</v>
      </c>
      <c r="T4" s="21">
        <f>IF(COUNTA($F4,$K4,$P4)&gt;0,T3+SUM(Q4:S4),"")</f>
        <v>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52</v>
      </c>
      <c r="W4" s="55">
        <f>IF($T4="","",ROUND(($T4-$T$3)/1000,1)+(_xlfn.RANK.AVG($T4,($J4,$O4,$T4),1)-2)*20)</f>
        <v>-52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13</v>
      </c>
      <c r="AY4" s="30" t="s">
        <v>207</v>
      </c>
      <c r="AZ4" s="40" t="s">
        <v>112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202</v>
      </c>
      <c r="G5" s="9">
        <v>-10000</v>
      </c>
      <c r="H5" s="9">
        <v>-1000</v>
      </c>
      <c r="I5" s="48">
        <v>0</v>
      </c>
      <c r="J5" s="21">
        <f t="shared" ref="J5:J30" si="2">IF(COUNTA($F5,$K5,$P5)&gt;0,J4+SUM(G5:I5),"")</f>
        <v>24000</v>
      </c>
      <c r="K5" s="8" t="s">
        <v>201</v>
      </c>
      <c r="L5" s="9">
        <v>16000</v>
      </c>
      <c r="M5" s="9">
        <v>2000</v>
      </c>
      <c r="N5" s="48">
        <v>0</v>
      </c>
      <c r="O5" s="21">
        <f t="shared" ref="O5:O30" si="3">IF(COUNTA($F5,$K5,$P5)&gt;0,O4+SUM(L5:N5),"")</f>
        <v>85000</v>
      </c>
      <c r="P5" s="8" t="s">
        <v>202</v>
      </c>
      <c r="Q5" s="9">
        <v>-6000</v>
      </c>
      <c r="R5" s="9">
        <v>-1000</v>
      </c>
      <c r="S5" s="48">
        <v>0</v>
      </c>
      <c r="T5" s="21">
        <f t="shared" ref="T5:T30" si="4">IF(COUNTA($F5,$K5,$P5)&gt;0,T4+SUM(Q5:S5),"")</f>
        <v>-4000</v>
      </c>
      <c r="U5" s="53">
        <f>IF($J5="","",ROUND(($J5-$J$3)/1000,1)+(_xlfn.RANK.AVG($J5,($J5,$O5,$T5),1)-2)*20)</f>
        <v>-11</v>
      </c>
      <c r="V5" s="54">
        <f>IF($O5="","",ROUND(($O5-$O$3)/1000,1)+(_xlfn.RANK.AVG($O5,($J5,$O5,$T5),1)-2)*20)</f>
        <v>70</v>
      </c>
      <c r="W5" s="55">
        <f>IF($T5="","",ROUND(($T5-$T$3)/1000,1)+(_xlfn.RANK.AVG($T5,($J5,$O5,$T5),1)-2)*20)</f>
        <v>-59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207</v>
      </c>
      <c r="AZ5" s="40" t="s">
        <v>200</v>
      </c>
      <c r="BA5" s="41" t="s">
        <v>82</v>
      </c>
      <c r="BB5" s="41" t="s">
        <v>83</v>
      </c>
      <c r="BC5" s="41" t="s">
        <v>92</v>
      </c>
      <c r="BD5" s="41" t="s">
        <v>79</v>
      </c>
      <c r="BE5" s="41" t="s">
        <v>80</v>
      </c>
      <c r="BF5" s="41" t="s">
        <v>80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C187E29-3508-4626-B3BE-92BDDECDDBE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E5F3DB5E-2F3E-4C32-9A79-1352BD7A0FB1}">
      <formula1>"ロン,ツモ,放銃,ツモ支払,流局,チョンボ"</formula1>
    </dataValidation>
    <dataValidation type="list" allowBlank="1" showInputMessage="1" showErrorMessage="1" sqref="E4:E30" xr:uid="{AAB48457-3A47-4BAF-84EE-92708C762D5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B80AD-A63B-49F3-B3E8-26313D0858B4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197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199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85</v>
      </c>
      <c r="BA4" s="41" t="s">
        <v>83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201</v>
      </c>
      <c r="G5" s="9">
        <v>16000</v>
      </c>
      <c r="H5" s="9"/>
      <c r="I5" s="48">
        <v>0</v>
      </c>
      <c r="J5" s="21">
        <f t="shared" ref="J5:J30" si="2">IF(COUNTA($F5,$K5,$P5)&gt;0,J4+SUM(G5:I5),"")</f>
        <v>49000</v>
      </c>
      <c r="K5" s="8" t="s">
        <v>202</v>
      </c>
      <c r="L5" s="9">
        <v>-10000</v>
      </c>
      <c r="M5" s="9"/>
      <c r="N5" s="48">
        <v>0</v>
      </c>
      <c r="O5" s="21">
        <f t="shared" ref="O5:O30" si="3">IF(COUNTA($F5,$K5,$P5)&gt;0,O4+SUM(L5:N5),"")</f>
        <v>27000</v>
      </c>
      <c r="P5" s="8" t="s">
        <v>202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34</v>
      </c>
      <c r="V5" s="54">
        <f>IF($O5="","",ROUND(($O5-$O$3)/1000,1)+(_xlfn.RANK.AVG($O5,($J5,$O5,$T5),1)-2)*20)</f>
        <v>-28</v>
      </c>
      <c r="W5" s="55">
        <f>IF($T5="","",ROUND(($T5-$T$3)/1000,1)+(_xlfn.RANK.AVG($T5,($J5,$O5,$T5),1)-2)*20)</f>
        <v>-6</v>
      </c>
      <c r="Y5" s="8"/>
      <c r="Z5" s="34"/>
      <c r="AA5" s="26">
        <v>1</v>
      </c>
      <c r="AB5" s="26"/>
      <c r="AC5" s="26">
        <v>9</v>
      </c>
      <c r="AD5" s="30" t="s">
        <v>207</v>
      </c>
      <c r="AE5" s="40" t="s">
        <v>200</v>
      </c>
      <c r="AF5" s="41" t="s">
        <v>82</v>
      </c>
      <c r="AG5" s="41" t="s">
        <v>208</v>
      </c>
      <c r="AH5" s="41" t="s">
        <v>96</v>
      </c>
      <c r="AI5" s="41" t="s">
        <v>86</v>
      </c>
      <c r="AJ5" s="41" t="s">
        <v>79</v>
      </c>
      <c r="AK5" s="41" t="s">
        <v>79</v>
      </c>
      <c r="AL5" s="41" t="s">
        <v>79</v>
      </c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202</v>
      </c>
      <c r="G6" s="9">
        <v>-4500</v>
      </c>
      <c r="H6" s="9"/>
      <c r="I6" s="48">
        <v>0</v>
      </c>
      <c r="J6" s="21">
        <f t="shared" si="2"/>
        <v>44500</v>
      </c>
      <c r="K6" s="8" t="s">
        <v>201</v>
      </c>
      <c r="L6" s="9">
        <v>12000</v>
      </c>
      <c r="M6" s="9"/>
      <c r="N6" s="48">
        <v>0</v>
      </c>
      <c r="O6" s="21">
        <f t="shared" si="3"/>
        <v>39000</v>
      </c>
      <c r="P6" s="8" t="s">
        <v>202</v>
      </c>
      <c r="Q6" s="9">
        <v>-7500</v>
      </c>
      <c r="R6" s="9"/>
      <c r="S6" s="48">
        <v>0</v>
      </c>
      <c r="T6" s="21">
        <f t="shared" si="4"/>
        <v>21500</v>
      </c>
      <c r="U6" s="53">
        <f>IF($J6="","",ROUND(($J6-$J$3)/1000,1)+(_xlfn.RANK.AVG($J6,($J6,$O6,$T6),1)-2)*20)</f>
        <v>29.5</v>
      </c>
      <c r="V6" s="54">
        <f>IF($O6="","",ROUND(($O6-$O$3)/1000,1)+(_xlfn.RANK.AVG($O6,($J6,$O6,$T6),1)-2)*20)</f>
        <v>4</v>
      </c>
      <c r="W6" s="55">
        <f>IF($T6="","",ROUND(($T6-$T$3)/1000,1)+(_xlfn.RANK.AVG($T6,($J6,$O6,$T6),1)-2)*20)</f>
        <v>-33.5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207</v>
      </c>
      <c r="AZ6" s="40" t="s">
        <v>200</v>
      </c>
      <c r="BA6" s="41" t="s">
        <v>82</v>
      </c>
      <c r="BB6" s="41" t="s">
        <v>86</v>
      </c>
      <c r="BC6" s="41" t="s">
        <v>79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/>
      <c r="G7" s="9"/>
      <c r="H7" s="9"/>
      <c r="I7" s="48"/>
      <c r="J7" s="21">
        <f t="shared" si="2"/>
        <v>44500</v>
      </c>
      <c r="K7" s="8" t="s">
        <v>198</v>
      </c>
      <c r="L7" s="9">
        <v>-1300</v>
      </c>
      <c r="M7" s="9"/>
      <c r="N7" s="48">
        <v>0</v>
      </c>
      <c r="O7" s="21">
        <f t="shared" si="3"/>
        <v>37700</v>
      </c>
      <c r="P7" s="8" t="s">
        <v>199</v>
      </c>
      <c r="Q7" s="9">
        <v>1300</v>
      </c>
      <c r="R7" s="9"/>
      <c r="S7" s="48">
        <v>0</v>
      </c>
      <c r="T7" s="21">
        <f t="shared" si="4"/>
        <v>22800</v>
      </c>
      <c r="U7" s="53">
        <f>IF($J7="","",ROUND(($J7-$J$3)/1000,1)+(_xlfn.RANK.AVG($J7,($J7,$O7,$T7),1)-2)*20)</f>
        <v>29.5</v>
      </c>
      <c r="V7" s="54">
        <f>IF($O7="","",ROUND(($O7-$O$3)/1000,1)+(_xlfn.RANK.AVG($O7,($J7,$O7,$T7),1)-2)*20)</f>
        <v>2.7</v>
      </c>
      <c r="W7" s="55">
        <f>IF($T7="","",ROUND(($T7-$T$3)/1000,1)+(_xlfn.RANK.AVG($T7,($J7,$O7,$T7),1)-2)*20)</f>
        <v>-32.200000000000003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 t="s">
        <v>202</v>
      </c>
      <c r="G8" s="9">
        <v>-4500</v>
      </c>
      <c r="H8" s="9"/>
      <c r="I8" s="48">
        <v>0</v>
      </c>
      <c r="J8" s="21">
        <f t="shared" si="2"/>
        <v>40000</v>
      </c>
      <c r="K8" s="8" t="s">
        <v>202</v>
      </c>
      <c r="L8" s="9">
        <v>-7500</v>
      </c>
      <c r="M8" s="9"/>
      <c r="N8" s="48">
        <v>0</v>
      </c>
      <c r="O8" s="21">
        <f t="shared" si="3"/>
        <v>30200</v>
      </c>
      <c r="P8" s="8" t="s">
        <v>201</v>
      </c>
      <c r="Q8" s="9">
        <v>12000</v>
      </c>
      <c r="R8" s="9"/>
      <c r="S8" s="48">
        <v>0</v>
      </c>
      <c r="T8" s="21">
        <f t="shared" si="4"/>
        <v>34800</v>
      </c>
      <c r="U8" s="53">
        <f>IF($J8="","",ROUND(($J8-$J$3)/1000,1)+(_xlfn.RANK.AVG($J8,($J8,$O8,$T8),1)-2)*20)</f>
        <v>25</v>
      </c>
      <c r="V8" s="54">
        <f>IF($O8="","",ROUND(($O8-$O$3)/1000,1)+(_xlfn.RANK.AVG($O8,($J8,$O8,$T8),1)-2)*20)</f>
        <v>-24.8</v>
      </c>
      <c r="W8" s="55">
        <f>IF($T8="","",ROUND(($T8-$T$3)/1000,1)+(_xlfn.RANK.AVG($T8,($J8,$O8,$T8),1)-2)*20)</f>
        <v>-0.2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207</v>
      </c>
      <c r="BU8" s="40" t="s">
        <v>200</v>
      </c>
      <c r="BV8" s="41" t="s">
        <v>82</v>
      </c>
      <c r="BW8" s="41" t="s">
        <v>84</v>
      </c>
      <c r="BX8" s="41" t="s">
        <v>104</v>
      </c>
      <c r="BY8" s="41" t="s">
        <v>86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りくと</v>
      </c>
      <c r="F9" s="8" t="s">
        <v>201</v>
      </c>
      <c r="G9" s="9">
        <v>2800</v>
      </c>
      <c r="H9" s="9">
        <v>1000</v>
      </c>
      <c r="I9" s="48">
        <v>0</v>
      </c>
      <c r="J9" s="21">
        <f t="shared" si="2"/>
        <v>43800</v>
      </c>
      <c r="K9" s="8" t="s">
        <v>202</v>
      </c>
      <c r="L9" s="9">
        <v>-1100</v>
      </c>
      <c r="M9" s="9"/>
      <c r="N9" s="48">
        <v>0</v>
      </c>
      <c r="O9" s="21">
        <f t="shared" si="3"/>
        <v>29100</v>
      </c>
      <c r="P9" s="8" t="s">
        <v>202</v>
      </c>
      <c r="Q9" s="9">
        <v>-1700</v>
      </c>
      <c r="R9" s="9">
        <v>-1000</v>
      </c>
      <c r="S9" s="48">
        <v>0</v>
      </c>
      <c r="T9" s="21">
        <f t="shared" si="4"/>
        <v>32100</v>
      </c>
      <c r="U9" s="53">
        <f>IF($J9="","",ROUND(($J9-$J$3)/1000,1)+(_xlfn.RANK.AVG($J9,($J9,$O9,$T9),1)-2)*20)</f>
        <v>28.8</v>
      </c>
      <c r="V9" s="54">
        <f>IF($O9="","",ROUND(($O9-$O$3)/1000,1)+(_xlfn.RANK.AVG($O9,($J9,$O9,$T9),1)-2)*20)</f>
        <v>-25.9</v>
      </c>
      <c r="W9" s="55">
        <f>IF($T9="","",ROUND(($T9-$T$3)/1000,1)+(_xlfn.RANK.AVG($T9,($J9,$O9,$T9),1)-2)*20)</f>
        <v>-2.9</v>
      </c>
      <c r="Y9" s="8"/>
      <c r="Z9" s="34"/>
      <c r="AA9" s="26"/>
      <c r="AB9" s="26"/>
      <c r="AC9" s="26">
        <v>3</v>
      </c>
      <c r="AD9" s="30">
        <v>20</v>
      </c>
      <c r="AE9" s="40" t="s">
        <v>200</v>
      </c>
      <c r="AF9" s="41" t="s">
        <v>83</v>
      </c>
      <c r="AG9" s="41" t="s">
        <v>203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55C82429-10ED-4C0E-B580-0EB47F1631C3}">
      <formula1>$U$2:$W$2</formula1>
    </dataValidation>
    <dataValidation type="list" showInputMessage="1" showErrorMessage="1" sqref="K4:K30 P4:P30 F4:F30" xr:uid="{6E20C613-BC93-43B6-8B92-29446F02C431}">
      <formula1>"ロン,ツモ,放銃,ツモ支払,流局,チョンボ"</formula1>
    </dataValidation>
    <dataValidation type="list" allowBlank="1" showInputMessage="1" sqref="F1:T1" xr:uid="{ED1E6196-16FC-4018-A501-FBE901E60B71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D103-B214-405A-9AA9-4F46360100B1}">
  <sheetPr codeName="Sheet2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197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206</v>
      </c>
      <c r="G4" s="9">
        <v>-1500</v>
      </c>
      <c r="H4" s="9"/>
      <c r="I4" s="48"/>
      <c r="J4" s="21">
        <f>IF(COUNTA($F4,$K4,$P4)&gt;0,J3+SUM(G4:I4),"")</f>
        <v>33500</v>
      </c>
      <c r="K4" s="8" t="s">
        <v>206</v>
      </c>
      <c r="L4" s="9">
        <v>3000</v>
      </c>
      <c r="M4" s="9"/>
      <c r="N4" s="48"/>
      <c r="O4" s="21">
        <f>IF(COUNTA($F4,$K4,$P4)&gt;0,O3+SUM(L4:N4),"")</f>
        <v>38000</v>
      </c>
      <c r="P4" s="8" t="s">
        <v>206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23</v>
      </c>
      <c r="W4" s="55">
        <f>IF($T4="","",ROUND(($T4-$T$3)/1000,1)+(_xlfn.RANK.AVG($T4,($J4,$O4,$T4),1)-2)*20)</f>
        <v>-11.5</v>
      </c>
      <c r="Y4" s="8" t="s">
        <v>204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199</v>
      </c>
      <c r="L5" s="9">
        <v>2900</v>
      </c>
      <c r="M5" s="9"/>
      <c r="N5" s="48">
        <v>1000</v>
      </c>
      <c r="O5" s="21">
        <f t="shared" ref="O5:O30" si="3">IF(COUNTA($F5,$K5,$P5)&gt;0,O4+SUM(L5:N5),"")</f>
        <v>41900</v>
      </c>
      <c r="P5" s="8" t="s">
        <v>198</v>
      </c>
      <c r="Q5" s="9">
        <v>-2900</v>
      </c>
      <c r="R5" s="9"/>
      <c r="S5" s="48">
        <v>-1000</v>
      </c>
      <c r="T5" s="21">
        <f t="shared" ref="T5:T30" si="4">IF(COUNTA($F5,$K5,$P5)&gt;0,T4+SUM(Q5:S5),"")</f>
        <v>29600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26.9</v>
      </c>
      <c r="W5" s="55">
        <f>IF($T5="","",ROUND(($T5-$T$3)/1000,1)+(_xlfn.RANK.AVG($T5,($J5,$O5,$T5),1)-2)*20)</f>
        <v>-25.4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 t="s">
        <v>198</v>
      </c>
      <c r="G6" s="9">
        <v>-18000</v>
      </c>
      <c r="H6" s="9">
        <v>-1000</v>
      </c>
      <c r="I6" s="48">
        <v>-2000</v>
      </c>
      <c r="J6" s="21">
        <f t="shared" si="2"/>
        <v>12500</v>
      </c>
      <c r="K6" s="8" t="s">
        <v>199</v>
      </c>
      <c r="L6" s="9">
        <v>18000</v>
      </c>
      <c r="M6" s="9">
        <v>1000</v>
      </c>
      <c r="N6" s="48">
        <v>2000</v>
      </c>
      <c r="O6" s="21">
        <f t="shared" si="3"/>
        <v>62900</v>
      </c>
      <c r="P6" s="8"/>
      <c r="Q6" s="9"/>
      <c r="R6" s="9"/>
      <c r="S6" s="48"/>
      <c r="T6" s="21">
        <f t="shared" si="4"/>
        <v>29600</v>
      </c>
      <c r="U6" s="53">
        <f>IF($J6="","",ROUND(($J6-$J$3)/1000,1)+(_xlfn.RANK.AVG($J6,($J6,$O6,$T6),1)-2)*20)</f>
        <v>-42.5</v>
      </c>
      <c r="V6" s="54">
        <f>IF($O6="","",ROUND(($O6-$O$3)/1000,1)+(_xlfn.RANK.AVG($O6,($J6,$O6,$T6),1)-2)*20)</f>
        <v>47.9</v>
      </c>
      <c r="W6" s="55">
        <f>IF($T6="","",ROUND(($T6-$T$3)/1000,1)+(_xlfn.RANK.AVG($T6,($J6,$O6,$T6),1)-2)*20)</f>
        <v>-5.4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7</v>
      </c>
      <c r="AY6" s="30" t="s">
        <v>207</v>
      </c>
      <c r="AZ6" s="40" t="s">
        <v>104</v>
      </c>
      <c r="BA6" s="41" t="s">
        <v>86</v>
      </c>
      <c r="BB6" s="41" t="s">
        <v>86</v>
      </c>
      <c r="BC6" s="41" t="s">
        <v>79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IF($K$1="","",$K$1)</f>
        <v>だいち</v>
      </c>
      <c r="F7" s="8"/>
      <c r="G7" s="9"/>
      <c r="H7" s="9"/>
      <c r="I7" s="48"/>
      <c r="J7" s="21">
        <f t="shared" si="2"/>
        <v>12500</v>
      </c>
      <c r="K7" s="8" t="s">
        <v>198</v>
      </c>
      <c r="L7" s="9">
        <v>-8000</v>
      </c>
      <c r="M7" s="9">
        <v>-1000</v>
      </c>
      <c r="N7" s="48">
        <v>-3000</v>
      </c>
      <c r="O7" s="21">
        <f t="shared" si="3"/>
        <v>50900</v>
      </c>
      <c r="P7" s="8" t="s">
        <v>199</v>
      </c>
      <c r="Q7" s="9">
        <v>8000</v>
      </c>
      <c r="R7" s="9">
        <v>1000</v>
      </c>
      <c r="S7" s="48">
        <v>3000</v>
      </c>
      <c r="T7" s="21">
        <f t="shared" si="4"/>
        <v>41600</v>
      </c>
      <c r="U7" s="53">
        <f>IF($J7="","",ROUND(($J7-$J$3)/1000,1)+(_xlfn.RANK.AVG($J7,($J7,$O7,$T7),1)-2)*20)</f>
        <v>-42.5</v>
      </c>
      <c r="V7" s="54">
        <f>IF($O7="","",ROUND(($O7-$O$3)/1000,1)+(_xlfn.RANK.AVG($O7,($J7,$O7,$T7),1)-2)*20)</f>
        <v>35.9</v>
      </c>
      <c r="W7" s="55">
        <f>IF($T7="","",ROUND(($T7-$T$3)/1000,1)+(_xlfn.RANK.AVG($T7,($J7,$O7,$T7),1)-2)*20)</f>
        <v>6.6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40</v>
      </c>
      <c r="BU7" s="40" t="s">
        <v>86</v>
      </c>
      <c r="BV7" s="41" t="s">
        <v>79</v>
      </c>
      <c r="BW7" s="41" t="s">
        <v>79</v>
      </c>
      <c r="BX7" s="41" t="s">
        <v>203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206</v>
      </c>
      <c r="G8" s="9">
        <v>1500</v>
      </c>
      <c r="H8" s="9">
        <v>-2000</v>
      </c>
      <c r="I8" s="48"/>
      <c r="J8" s="21">
        <f t="shared" si="2"/>
        <v>12000</v>
      </c>
      <c r="K8" s="8" t="s">
        <v>206</v>
      </c>
      <c r="L8" s="9">
        <v>-3000</v>
      </c>
      <c r="M8" s="9"/>
      <c r="N8" s="48"/>
      <c r="O8" s="21">
        <f t="shared" si="3"/>
        <v>47900</v>
      </c>
      <c r="P8" s="8" t="s">
        <v>206</v>
      </c>
      <c r="Q8" s="9">
        <v>1500</v>
      </c>
      <c r="R8" s="9"/>
      <c r="S8" s="48"/>
      <c r="T8" s="21">
        <f t="shared" si="4"/>
        <v>43100</v>
      </c>
      <c r="U8" s="53">
        <f>IF($J8="","",ROUND(($J8-$J$3)/1000,1)+(_xlfn.RANK.AVG($J8,($J8,$O8,$T8),1)-2)*20)</f>
        <v>-43</v>
      </c>
      <c r="V8" s="54">
        <f>IF($O8="","",ROUND(($O8-$O$3)/1000,1)+(_xlfn.RANK.AVG($O8,($J8,$O8,$T8),1)-2)*20)</f>
        <v>32.9</v>
      </c>
      <c r="W8" s="55">
        <f>IF($T8="","",ROUND(($T8-$T$3)/1000,1)+(_xlfn.RANK.AVG($T8,($J8,$O8,$T8),1)-2)*20)</f>
        <v>8.1</v>
      </c>
      <c r="Y8" s="8" t="s">
        <v>205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2</v>
      </c>
      <c r="E9" s="4" t="str">
        <f>IF($P$1="","",$P$1)</f>
        <v>りくと</v>
      </c>
      <c r="F9" s="8" t="s">
        <v>198</v>
      </c>
      <c r="G9" s="9">
        <v>-5200</v>
      </c>
      <c r="H9" s="9"/>
      <c r="I9" s="48">
        <v>-1000</v>
      </c>
      <c r="J9" s="21">
        <f t="shared" si="2"/>
        <v>5800</v>
      </c>
      <c r="K9" s="8" t="s">
        <v>199</v>
      </c>
      <c r="L9" s="9">
        <v>5200</v>
      </c>
      <c r="M9" s="9">
        <v>2000</v>
      </c>
      <c r="N9" s="48">
        <v>1000</v>
      </c>
      <c r="O9" s="21">
        <f t="shared" si="3"/>
        <v>56100</v>
      </c>
      <c r="P9" s="8"/>
      <c r="Q9" s="9"/>
      <c r="R9" s="9"/>
      <c r="S9" s="48"/>
      <c r="T9" s="21">
        <f t="shared" si="4"/>
        <v>43100</v>
      </c>
      <c r="U9" s="53">
        <f>IF($J9="","",ROUND(($J9-$J$3)/1000,1)+(_xlfn.RANK.AVG($J9,($J9,$O9,$T9),1)-2)*20)</f>
        <v>-49.2</v>
      </c>
      <c r="V9" s="54">
        <f>IF($O9="","",ROUND(($O9-$O$3)/1000,1)+(_xlfn.RANK.AVG($O9,($J9,$O9,$T9),1)-2)*20)</f>
        <v>41.1</v>
      </c>
      <c r="W9" s="55">
        <f>IF($T9="","",ROUND(($T9-$T$3)/1000,1)+(_xlfn.RANK.AVG($T9,($J9,$O9,$T9),1)-2)*20)</f>
        <v>8.1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200</v>
      </c>
      <c r="BA9" s="41" t="s">
        <v>208</v>
      </c>
      <c r="BB9" s="41" t="s">
        <v>84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198</v>
      </c>
      <c r="G10" s="9">
        <v>-8000</v>
      </c>
      <c r="H10" s="9">
        <v>-1000</v>
      </c>
      <c r="I10" s="48">
        <v>0</v>
      </c>
      <c r="J10" s="21">
        <f t="shared" si="2"/>
        <v>-3200</v>
      </c>
      <c r="K10" s="8"/>
      <c r="L10" s="9"/>
      <c r="M10" s="9"/>
      <c r="N10" s="48"/>
      <c r="O10" s="21">
        <f t="shared" si="3"/>
        <v>56100</v>
      </c>
      <c r="P10" s="8" t="s">
        <v>199</v>
      </c>
      <c r="Q10" s="9">
        <v>8000</v>
      </c>
      <c r="R10" s="9">
        <v>1000</v>
      </c>
      <c r="S10" s="48">
        <v>0</v>
      </c>
      <c r="T10" s="21">
        <f t="shared" si="4"/>
        <v>52100</v>
      </c>
      <c r="U10" s="53">
        <f>IF($J10="","",ROUND(($J10-$J$3)/1000,1)+(_xlfn.RANK.AVG($J10,($J10,$O10,$T10),1)-2)*20)</f>
        <v>-58.2</v>
      </c>
      <c r="V10" s="54">
        <f>IF($O10="","",ROUND(($O10-$O$3)/1000,1)+(_xlfn.RANK.AVG($O10,($J10,$O10,$T10),1)-2)*20)</f>
        <v>41.1</v>
      </c>
      <c r="W10" s="55">
        <f>IF($T10="","",ROUND(($T10-$T$3)/1000,1)+(_xlfn.RANK.AVG($T10,($J10,$O10,$T10),1)-2)*20)</f>
        <v>17.100000000000001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207</v>
      </c>
      <c r="BU10" s="40" t="s">
        <v>86</v>
      </c>
      <c r="BV10" s="41" t="s">
        <v>86</v>
      </c>
      <c r="BW10" s="41" t="s">
        <v>104</v>
      </c>
      <c r="BX10" s="41" t="s">
        <v>203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56560A6-4C26-4165-9E79-0DD68D0DE0E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42310357-4C38-4FA2-954F-974B849A50D9}">
      <formula1>"ロン,ツモ,放銃,ツモ支払,流局,チョンボ"</formula1>
    </dataValidation>
    <dataValidation type="list" allowBlank="1" showInputMessage="1" showErrorMessage="1" sqref="E4:E30" xr:uid="{4DCE1316-2E2E-42F6-B820-C3C4919C9C5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cp:lastPrinted>2018-10-03T09:15:05Z</cp:lastPrinted>
  <dcterms:created xsi:type="dcterms:W3CDTF">2018-10-02T11:54:05Z</dcterms:created>
  <dcterms:modified xsi:type="dcterms:W3CDTF">2024-08-13T12:06:17Z</dcterms:modified>
</cp:coreProperties>
</file>