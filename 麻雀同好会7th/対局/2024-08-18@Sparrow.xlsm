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DAA58A54-EB40-4FAE-8200-B5F640DF7F3B}" xr6:coauthVersionLast="47" xr6:coauthVersionMax="47" xr10:uidLastSave="{00000000-0000-0000-0000-000000000000}"/>
  <bookViews>
    <workbookView xWindow="-120" yWindow="-120" windowWidth="29040" windowHeight="15990" firstSheet="3" activeTab="1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0" r:id="rId12"/>
    <sheet name="Sheet13" sheetId="31" r:id="rId13"/>
    <sheet name="Sheet14" sheetId="32" r:id="rId14"/>
    <sheet name="Sheet15" sheetId="33" r:id="rId15"/>
    <sheet name="役一覧" sheetId="15" state="hidden" r:id="rId16"/>
    <sheet name="点数表(親ロン)" sheetId="4" state="hidden" r:id="rId17"/>
    <sheet name="点数表(親ツモ)" sheetId="9" state="hidden" r:id="rId18"/>
    <sheet name="点数表(子→親)" sheetId="7" state="hidden" r:id="rId19"/>
    <sheet name="点数表(子ロン)" sheetId="3" state="hidden" r:id="rId20"/>
    <sheet name="点数表(子ツモ)" sheetId="10" state="hidden" r:id="rId21"/>
    <sheet name="点数表(子→子)" sheetId="5" state="hidden" r:id="rId22"/>
    <sheet name="点数表(親→子)" sheetId="6" state="hidden" r:id="rId2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33" l="1"/>
  <c r="E10" i="33"/>
  <c r="E9" i="33"/>
  <c r="E8" i="33"/>
  <c r="E7" i="33"/>
  <c r="E6" i="33"/>
  <c r="E5" i="33"/>
  <c r="B5" i="33" s="1"/>
  <c r="T30" i="33"/>
  <c r="W30" i="33" s="1"/>
  <c r="O30" i="33"/>
  <c r="V30" i="33" s="1"/>
  <c r="J30" i="33"/>
  <c r="U30" i="33" s="1"/>
  <c r="D30" i="33"/>
  <c r="C30" i="33"/>
  <c r="B30" i="33"/>
  <c r="A30" i="33"/>
  <c r="T29" i="33"/>
  <c r="W29" i="33" s="1"/>
  <c r="O29" i="33"/>
  <c r="V29" i="33" s="1"/>
  <c r="J29" i="33"/>
  <c r="U29" i="33" s="1"/>
  <c r="D29" i="33"/>
  <c r="C29" i="33"/>
  <c r="B29" i="33"/>
  <c r="A29" i="33"/>
  <c r="T28" i="33"/>
  <c r="W28" i="33" s="1"/>
  <c r="O28" i="33"/>
  <c r="V28" i="33" s="1"/>
  <c r="J28" i="33"/>
  <c r="U28" i="33" s="1"/>
  <c r="D28" i="33"/>
  <c r="C28" i="33"/>
  <c r="B28" i="33"/>
  <c r="A28" i="33"/>
  <c r="T27" i="33"/>
  <c r="W27" i="33" s="1"/>
  <c r="O27" i="33"/>
  <c r="V27" i="33" s="1"/>
  <c r="J27" i="33"/>
  <c r="U27" i="33" s="1"/>
  <c r="D27" i="33"/>
  <c r="C27" i="33"/>
  <c r="B27" i="33"/>
  <c r="A27" i="33"/>
  <c r="T26" i="33"/>
  <c r="W26" i="33" s="1"/>
  <c r="O26" i="33"/>
  <c r="V26" i="33" s="1"/>
  <c r="J26" i="33"/>
  <c r="U26" i="33" s="1"/>
  <c r="D26" i="33"/>
  <c r="C26" i="33"/>
  <c r="B26" i="33"/>
  <c r="A26" i="33"/>
  <c r="T25" i="33"/>
  <c r="W25" i="33" s="1"/>
  <c r="O25" i="33"/>
  <c r="V25" i="33" s="1"/>
  <c r="J25" i="33"/>
  <c r="U25" i="33" s="1"/>
  <c r="D25" i="33"/>
  <c r="C25" i="33"/>
  <c r="B25" i="33"/>
  <c r="A25" i="33"/>
  <c r="T24" i="33"/>
  <c r="W24" i="33" s="1"/>
  <c r="O24" i="33"/>
  <c r="V24" i="33" s="1"/>
  <c r="J24" i="33"/>
  <c r="U24" i="33" s="1"/>
  <c r="D24" i="33"/>
  <c r="C24" i="33"/>
  <c r="B24" i="33"/>
  <c r="A24" i="33"/>
  <c r="T23" i="33"/>
  <c r="W23" i="33" s="1"/>
  <c r="O23" i="33"/>
  <c r="V23" i="33" s="1"/>
  <c r="J23" i="33"/>
  <c r="U23" i="33" s="1"/>
  <c r="D23" i="33"/>
  <c r="C23" i="33"/>
  <c r="B23" i="33"/>
  <c r="A23" i="33"/>
  <c r="T22" i="33"/>
  <c r="W22" i="33" s="1"/>
  <c r="O22" i="33"/>
  <c r="V22" i="33" s="1"/>
  <c r="J22" i="33"/>
  <c r="U22" i="33" s="1"/>
  <c r="D22" i="33"/>
  <c r="C22" i="33"/>
  <c r="B22" i="33"/>
  <c r="A22" i="33"/>
  <c r="T21" i="33"/>
  <c r="W21" i="33" s="1"/>
  <c r="O21" i="33"/>
  <c r="V21" i="33" s="1"/>
  <c r="J21" i="33"/>
  <c r="U21" i="33" s="1"/>
  <c r="D21" i="33"/>
  <c r="C21" i="33"/>
  <c r="B21" i="33"/>
  <c r="A21" i="33"/>
  <c r="T20" i="33"/>
  <c r="W20" i="33" s="1"/>
  <c r="O20" i="33"/>
  <c r="V20" i="33" s="1"/>
  <c r="J20" i="33"/>
  <c r="U20" i="33" s="1"/>
  <c r="D20" i="33"/>
  <c r="C20" i="33"/>
  <c r="B20" i="33"/>
  <c r="A20" i="33"/>
  <c r="T19" i="33"/>
  <c r="W19" i="33" s="1"/>
  <c r="O19" i="33"/>
  <c r="V19" i="33" s="1"/>
  <c r="J19" i="33"/>
  <c r="U19" i="33" s="1"/>
  <c r="D19" i="33"/>
  <c r="C19" i="33"/>
  <c r="B19" i="33"/>
  <c r="A19" i="33"/>
  <c r="T18" i="33"/>
  <c r="W18" i="33" s="1"/>
  <c r="O18" i="33"/>
  <c r="V18" i="33" s="1"/>
  <c r="J18" i="33"/>
  <c r="U18" i="33" s="1"/>
  <c r="D18" i="33"/>
  <c r="C18" i="33"/>
  <c r="B18" i="33"/>
  <c r="A18" i="33"/>
  <c r="T17" i="33"/>
  <c r="W17" i="33" s="1"/>
  <c r="O17" i="33"/>
  <c r="V17" i="33" s="1"/>
  <c r="J17" i="33"/>
  <c r="U17" i="33" s="1"/>
  <c r="D17" i="33"/>
  <c r="C17" i="33"/>
  <c r="B17" i="33"/>
  <c r="A17" i="33"/>
  <c r="T16" i="33"/>
  <c r="W16" i="33" s="1"/>
  <c r="O16" i="33"/>
  <c r="V16" i="33" s="1"/>
  <c r="J16" i="33"/>
  <c r="U16" i="33" s="1"/>
  <c r="D16" i="33"/>
  <c r="C16" i="33"/>
  <c r="B16" i="33"/>
  <c r="A16" i="33"/>
  <c r="T15" i="33"/>
  <c r="W15" i="33" s="1"/>
  <c r="O15" i="33"/>
  <c r="V15" i="33" s="1"/>
  <c r="J15" i="33"/>
  <c r="U15" i="33" s="1"/>
  <c r="D15" i="33"/>
  <c r="C15" i="33"/>
  <c r="B15" i="33"/>
  <c r="A15" i="33"/>
  <c r="T14" i="33"/>
  <c r="W14" i="33" s="1"/>
  <c r="O14" i="33"/>
  <c r="V14" i="33" s="1"/>
  <c r="J14" i="33"/>
  <c r="U14" i="33" s="1"/>
  <c r="D14" i="33"/>
  <c r="C14" i="33"/>
  <c r="B14" i="33"/>
  <c r="A14" i="33"/>
  <c r="T13" i="33"/>
  <c r="W13" i="33" s="1"/>
  <c r="O13" i="33"/>
  <c r="V13" i="33" s="1"/>
  <c r="J13" i="33"/>
  <c r="U13" i="33" s="1"/>
  <c r="D13" i="33"/>
  <c r="C13" i="33"/>
  <c r="B13" i="33"/>
  <c r="A13" i="33"/>
  <c r="D12" i="33"/>
  <c r="C11" i="33"/>
  <c r="D10" i="33"/>
  <c r="C8" i="33"/>
  <c r="C9" i="33" s="1"/>
  <c r="C10" i="33" s="1"/>
  <c r="D8" i="33"/>
  <c r="D7" i="33"/>
  <c r="O6" i="33"/>
  <c r="O7" i="33" s="1"/>
  <c r="O5" i="33"/>
  <c r="C5" i="33"/>
  <c r="T4" i="33"/>
  <c r="T5" i="33" s="1"/>
  <c r="O4" i="33"/>
  <c r="J4" i="33"/>
  <c r="W3" i="33"/>
  <c r="V3" i="33"/>
  <c r="U3" i="33"/>
  <c r="W2" i="33"/>
  <c r="V2" i="33"/>
  <c r="U2" i="33"/>
  <c r="BO1" i="33"/>
  <c r="AT1" i="33"/>
  <c r="Y1" i="33"/>
  <c r="D13" i="32"/>
  <c r="E12" i="32"/>
  <c r="C12" i="32" s="1"/>
  <c r="E11" i="32"/>
  <c r="E10" i="32"/>
  <c r="E9" i="32"/>
  <c r="A9" i="32" s="1"/>
  <c r="E8" i="32"/>
  <c r="D8" i="32" s="1"/>
  <c r="E7" i="32"/>
  <c r="E6" i="32"/>
  <c r="E5" i="32"/>
  <c r="T30" i="32"/>
  <c r="W30" i="32" s="1"/>
  <c r="O30" i="32"/>
  <c r="V30" i="32" s="1"/>
  <c r="J30" i="32"/>
  <c r="U30" i="32" s="1"/>
  <c r="D30" i="32"/>
  <c r="C30" i="32"/>
  <c r="B30" i="32"/>
  <c r="A30" i="32"/>
  <c r="T29" i="32"/>
  <c r="W29" i="32" s="1"/>
  <c r="O29" i="32"/>
  <c r="V29" i="32" s="1"/>
  <c r="J29" i="32"/>
  <c r="U29" i="32" s="1"/>
  <c r="D29" i="32"/>
  <c r="C29" i="32"/>
  <c r="B29" i="32"/>
  <c r="A29" i="32"/>
  <c r="T28" i="32"/>
  <c r="W28" i="32" s="1"/>
  <c r="O28" i="32"/>
  <c r="V28" i="32" s="1"/>
  <c r="J28" i="32"/>
  <c r="U28" i="32" s="1"/>
  <c r="D28" i="32"/>
  <c r="C28" i="32"/>
  <c r="B28" i="32"/>
  <c r="A28" i="32"/>
  <c r="T27" i="32"/>
  <c r="W27" i="32" s="1"/>
  <c r="O27" i="32"/>
  <c r="V27" i="32" s="1"/>
  <c r="J27" i="32"/>
  <c r="U27" i="32" s="1"/>
  <c r="D27" i="32"/>
  <c r="C27" i="32"/>
  <c r="B27" i="32"/>
  <c r="A27" i="32"/>
  <c r="T26" i="32"/>
  <c r="W26" i="32" s="1"/>
  <c r="O26" i="32"/>
  <c r="V26" i="32" s="1"/>
  <c r="J26" i="32"/>
  <c r="U26" i="32" s="1"/>
  <c r="D26" i="32"/>
  <c r="C26" i="32"/>
  <c r="B26" i="32"/>
  <c r="A26" i="32"/>
  <c r="T25" i="32"/>
  <c r="W25" i="32" s="1"/>
  <c r="O25" i="32"/>
  <c r="V25" i="32" s="1"/>
  <c r="J25" i="32"/>
  <c r="U25" i="32" s="1"/>
  <c r="D25" i="32"/>
  <c r="C25" i="32"/>
  <c r="B25" i="32"/>
  <c r="A25" i="32"/>
  <c r="T24" i="32"/>
  <c r="W24" i="32" s="1"/>
  <c r="O24" i="32"/>
  <c r="V24" i="32" s="1"/>
  <c r="J24" i="32"/>
  <c r="U24" i="32" s="1"/>
  <c r="D24" i="32"/>
  <c r="C24" i="32"/>
  <c r="B24" i="32"/>
  <c r="A24" i="32"/>
  <c r="T23" i="32"/>
  <c r="W23" i="32" s="1"/>
  <c r="O23" i="32"/>
  <c r="V23" i="32" s="1"/>
  <c r="J23" i="32"/>
  <c r="U23" i="32" s="1"/>
  <c r="D23" i="32"/>
  <c r="C23" i="32"/>
  <c r="B23" i="32"/>
  <c r="A23" i="32"/>
  <c r="T22" i="32"/>
  <c r="W22" i="32" s="1"/>
  <c r="O22" i="32"/>
  <c r="V22" i="32" s="1"/>
  <c r="J22" i="32"/>
  <c r="U22" i="32" s="1"/>
  <c r="D22" i="32"/>
  <c r="C22" i="32"/>
  <c r="B22" i="32"/>
  <c r="A22" i="32"/>
  <c r="T21" i="32"/>
  <c r="W21" i="32" s="1"/>
  <c r="O21" i="32"/>
  <c r="V21" i="32" s="1"/>
  <c r="J21" i="32"/>
  <c r="U21" i="32" s="1"/>
  <c r="D21" i="32"/>
  <c r="C21" i="32"/>
  <c r="B21" i="32"/>
  <c r="A21" i="32"/>
  <c r="T20" i="32"/>
  <c r="W20" i="32" s="1"/>
  <c r="O20" i="32"/>
  <c r="V20" i="32" s="1"/>
  <c r="J20" i="32"/>
  <c r="U20" i="32" s="1"/>
  <c r="D20" i="32"/>
  <c r="C20" i="32"/>
  <c r="B20" i="32"/>
  <c r="A20" i="32"/>
  <c r="T19" i="32"/>
  <c r="W19" i="32" s="1"/>
  <c r="O19" i="32"/>
  <c r="V19" i="32" s="1"/>
  <c r="J19" i="32"/>
  <c r="U19" i="32" s="1"/>
  <c r="D19" i="32"/>
  <c r="C19" i="32"/>
  <c r="B19" i="32"/>
  <c r="A19" i="32"/>
  <c r="T18" i="32"/>
  <c r="W18" i="32" s="1"/>
  <c r="O18" i="32"/>
  <c r="V18" i="32" s="1"/>
  <c r="J18" i="32"/>
  <c r="U18" i="32" s="1"/>
  <c r="D18" i="32"/>
  <c r="C18" i="32"/>
  <c r="B18" i="32"/>
  <c r="A18" i="32"/>
  <c r="T17" i="32"/>
  <c r="W17" i="32" s="1"/>
  <c r="O17" i="32"/>
  <c r="V17" i="32" s="1"/>
  <c r="J17" i="32"/>
  <c r="U17" i="32" s="1"/>
  <c r="D17" i="32"/>
  <c r="C17" i="32"/>
  <c r="B17" i="32"/>
  <c r="A17" i="32"/>
  <c r="T16" i="32"/>
  <c r="W16" i="32" s="1"/>
  <c r="O16" i="32"/>
  <c r="V16" i="32" s="1"/>
  <c r="J16" i="32"/>
  <c r="U16" i="32" s="1"/>
  <c r="D16" i="32"/>
  <c r="C16" i="32"/>
  <c r="B16" i="32"/>
  <c r="A16" i="32"/>
  <c r="T15" i="32"/>
  <c r="W15" i="32" s="1"/>
  <c r="O15" i="32"/>
  <c r="V15" i="32" s="1"/>
  <c r="J15" i="32"/>
  <c r="U15" i="32" s="1"/>
  <c r="D15" i="32"/>
  <c r="C15" i="32"/>
  <c r="B15" i="32"/>
  <c r="A15" i="32"/>
  <c r="T14" i="32"/>
  <c r="W14" i="32" s="1"/>
  <c r="O14" i="32"/>
  <c r="V14" i="32" s="1"/>
  <c r="J14" i="32"/>
  <c r="U14" i="32" s="1"/>
  <c r="D14" i="32"/>
  <c r="C14" i="32"/>
  <c r="B14" i="32"/>
  <c r="A14" i="32"/>
  <c r="T13" i="32"/>
  <c r="W13" i="32" s="1"/>
  <c r="O13" i="32"/>
  <c r="V13" i="32" s="1"/>
  <c r="J13" i="32"/>
  <c r="U13" i="32" s="1"/>
  <c r="C13" i="32"/>
  <c r="T12" i="32"/>
  <c r="O12" i="32"/>
  <c r="V12" i="32" s="1"/>
  <c r="J12" i="32"/>
  <c r="D12" i="32"/>
  <c r="B12" i="32"/>
  <c r="T11" i="32"/>
  <c r="O11" i="32"/>
  <c r="J11" i="32"/>
  <c r="D11" i="32"/>
  <c r="C11" i="32"/>
  <c r="B11" i="32"/>
  <c r="A11" i="32" s="1"/>
  <c r="T10" i="32"/>
  <c r="O10" i="32"/>
  <c r="J10" i="32"/>
  <c r="D10" i="32"/>
  <c r="C10" i="32"/>
  <c r="B10" i="32"/>
  <c r="A10" i="32"/>
  <c r="T9" i="32"/>
  <c r="O9" i="32"/>
  <c r="J9" i="32"/>
  <c r="D9" i="32"/>
  <c r="C9" i="32"/>
  <c r="B9" i="32"/>
  <c r="T8" i="32"/>
  <c r="O8" i="32"/>
  <c r="V8" i="32" s="1"/>
  <c r="J8" i="32"/>
  <c r="C8" i="32"/>
  <c r="T7" i="32"/>
  <c r="O7" i="32"/>
  <c r="J7" i="32"/>
  <c r="D7" i="32"/>
  <c r="C7" i="32"/>
  <c r="B7" i="32"/>
  <c r="A7" i="32" s="1"/>
  <c r="C6" i="32"/>
  <c r="D6" i="32"/>
  <c r="O5" i="32"/>
  <c r="O6" i="32" s="1"/>
  <c r="C5" i="32"/>
  <c r="T4" i="32"/>
  <c r="T5" i="32" s="1"/>
  <c r="O4" i="32"/>
  <c r="J4" i="32"/>
  <c r="J5" i="32" s="1"/>
  <c r="W3" i="32"/>
  <c r="V3" i="32"/>
  <c r="U3" i="32"/>
  <c r="W2" i="32"/>
  <c r="V2" i="32"/>
  <c r="U2" i="32"/>
  <c r="BO1" i="32"/>
  <c r="AT1" i="32"/>
  <c r="Y1" i="32"/>
  <c r="E6" i="31"/>
  <c r="D6" i="31" s="1"/>
  <c r="E5" i="31"/>
  <c r="D5" i="31" s="1"/>
  <c r="T30" i="3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T17" i="31"/>
  <c r="W17" i="31" s="1"/>
  <c r="O17" i="31"/>
  <c r="V17" i="31" s="1"/>
  <c r="J17" i="31"/>
  <c r="U17" i="31" s="1"/>
  <c r="D17" i="31"/>
  <c r="C17" i="31"/>
  <c r="B17" i="31"/>
  <c r="A17" i="31"/>
  <c r="T16" i="31"/>
  <c r="W16" i="31" s="1"/>
  <c r="O16" i="31"/>
  <c r="V16" i="31" s="1"/>
  <c r="J16" i="31"/>
  <c r="U16" i="31" s="1"/>
  <c r="D16" i="31"/>
  <c r="C16" i="31"/>
  <c r="B16" i="31"/>
  <c r="A16" i="31"/>
  <c r="T15" i="31"/>
  <c r="W15" i="31" s="1"/>
  <c r="O15" i="31"/>
  <c r="V15" i="31" s="1"/>
  <c r="J15" i="31"/>
  <c r="U15" i="31" s="1"/>
  <c r="D15" i="31"/>
  <c r="C15" i="31"/>
  <c r="B15" i="31"/>
  <c r="A15" i="31"/>
  <c r="T14" i="31"/>
  <c r="W14" i="31" s="1"/>
  <c r="O14" i="31"/>
  <c r="V14" i="31" s="1"/>
  <c r="J14" i="31"/>
  <c r="U14" i="31" s="1"/>
  <c r="D14" i="31"/>
  <c r="C14" i="31"/>
  <c r="B14" i="31"/>
  <c r="A14" i="31"/>
  <c r="D13" i="31"/>
  <c r="C13" i="31"/>
  <c r="D10" i="31"/>
  <c r="D9" i="31"/>
  <c r="C9" i="31"/>
  <c r="C10" i="31" s="1"/>
  <c r="D8" i="31"/>
  <c r="D7" i="31"/>
  <c r="T6" i="31"/>
  <c r="T7" i="31" s="1"/>
  <c r="B6" i="31"/>
  <c r="T5" i="31"/>
  <c r="O5" i="31"/>
  <c r="O6" i="31" s="1"/>
  <c r="T4" i="31"/>
  <c r="O4" i="31"/>
  <c r="J4" i="31"/>
  <c r="W3" i="31"/>
  <c r="V3" i="31"/>
  <c r="U3" i="31"/>
  <c r="W2" i="31"/>
  <c r="V2" i="31"/>
  <c r="U2" i="31"/>
  <c r="BO1" i="31"/>
  <c r="AT1" i="31"/>
  <c r="Y1" i="31"/>
  <c r="E13" i="30"/>
  <c r="E12" i="30"/>
  <c r="B12" i="30" s="1"/>
  <c r="A12" i="30" s="1"/>
  <c r="E11" i="30"/>
  <c r="B11" i="30" s="1"/>
  <c r="E10" i="30"/>
  <c r="C10" i="30" s="1"/>
  <c r="E9" i="30"/>
  <c r="E8" i="30"/>
  <c r="E7" i="30"/>
  <c r="D7" i="30" s="1"/>
  <c r="E6" i="30"/>
  <c r="E5" i="30"/>
  <c r="B5" i="30" s="1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/>
  <c r="T14" i="30"/>
  <c r="W14" i="30" s="1"/>
  <c r="O14" i="30"/>
  <c r="V14" i="30" s="1"/>
  <c r="J14" i="30"/>
  <c r="U14" i="30" s="1"/>
  <c r="D14" i="30"/>
  <c r="C14" i="30"/>
  <c r="B14" i="30"/>
  <c r="A14" i="30" s="1"/>
  <c r="T13" i="30"/>
  <c r="O13" i="30"/>
  <c r="V13" i="30" s="1"/>
  <c r="J13" i="30"/>
  <c r="D13" i="30"/>
  <c r="C13" i="30"/>
  <c r="B13" i="30"/>
  <c r="A13" i="30" s="1"/>
  <c r="T12" i="30"/>
  <c r="O12" i="30"/>
  <c r="V12" i="30" s="1"/>
  <c r="J12" i="30"/>
  <c r="D12" i="30"/>
  <c r="C12" i="30"/>
  <c r="T11" i="30"/>
  <c r="O11" i="30"/>
  <c r="J11" i="30"/>
  <c r="U11" i="30" s="1"/>
  <c r="D11" i="30"/>
  <c r="C11" i="30"/>
  <c r="D9" i="30"/>
  <c r="D6" i="30"/>
  <c r="C5" i="30"/>
  <c r="T4" i="30"/>
  <c r="T5" i="30" s="1"/>
  <c r="O4" i="30"/>
  <c r="O5" i="30" s="1"/>
  <c r="J4" i="30"/>
  <c r="J5" i="30" s="1"/>
  <c r="W3" i="30"/>
  <c r="V3" i="30"/>
  <c r="U3" i="30"/>
  <c r="W2" i="30"/>
  <c r="V2" i="30"/>
  <c r="U2" i="30"/>
  <c r="BO1" i="30"/>
  <c r="AT1" i="30"/>
  <c r="Y1" i="30"/>
  <c r="E10" i="29"/>
  <c r="E9" i="29"/>
  <c r="E8" i="29"/>
  <c r="D8" i="29" s="1"/>
  <c r="E7" i="29"/>
  <c r="E6" i="29"/>
  <c r="E5" i="29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C14" i="29"/>
  <c r="D13" i="29"/>
  <c r="C13" i="29"/>
  <c r="D12" i="29"/>
  <c r="D11" i="29"/>
  <c r="D9" i="29"/>
  <c r="C6" i="29"/>
  <c r="T5" i="29"/>
  <c r="T6" i="29" s="1"/>
  <c r="B5" i="29"/>
  <c r="A5" i="29" s="1"/>
  <c r="D5" i="29"/>
  <c r="C5" i="29"/>
  <c r="T4" i="29"/>
  <c r="O4" i="29"/>
  <c r="O5" i="29" s="1"/>
  <c r="J4" i="29"/>
  <c r="J5" i="29" s="1"/>
  <c r="W3" i="29"/>
  <c r="V3" i="29"/>
  <c r="U3" i="29"/>
  <c r="W2" i="29"/>
  <c r="V2" i="29"/>
  <c r="U2" i="29"/>
  <c r="BO1" i="29"/>
  <c r="AT1" i="29"/>
  <c r="Y1" i="29"/>
  <c r="E14" i="28"/>
  <c r="B14" i="28" s="1"/>
  <c r="A14" i="28" s="1"/>
  <c r="E13" i="28"/>
  <c r="D13" i="28" s="1"/>
  <c r="E12" i="28"/>
  <c r="E11" i="28"/>
  <c r="E10" i="28"/>
  <c r="C10" i="28" s="1"/>
  <c r="E9" i="28"/>
  <c r="E8" i="28"/>
  <c r="E7" i="28"/>
  <c r="E6" i="28"/>
  <c r="D6" i="28" s="1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 s="1"/>
  <c r="T14" i="28"/>
  <c r="O14" i="28"/>
  <c r="J14" i="28"/>
  <c r="D14" i="28"/>
  <c r="C14" i="28"/>
  <c r="T13" i="28"/>
  <c r="O13" i="28"/>
  <c r="J13" i="28"/>
  <c r="B13" i="28"/>
  <c r="D12" i="28"/>
  <c r="C11" i="28"/>
  <c r="D10" i="28"/>
  <c r="C9" i="28"/>
  <c r="D8" i="28"/>
  <c r="D7" i="28"/>
  <c r="O5" i="28"/>
  <c r="O6" i="28" s="1"/>
  <c r="D5" i="28"/>
  <c r="T4" i="28"/>
  <c r="T5" i="28" s="1"/>
  <c r="O4" i="28"/>
  <c r="J4" i="28"/>
  <c r="J5" i="28" s="1"/>
  <c r="W3" i="28"/>
  <c r="V3" i="28"/>
  <c r="U3" i="28"/>
  <c r="W2" i="28"/>
  <c r="V2" i="28"/>
  <c r="U2" i="28"/>
  <c r="BO1" i="28"/>
  <c r="AT1" i="28"/>
  <c r="Y1" i="28"/>
  <c r="E12" i="27"/>
  <c r="E11" i="27"/>
  <c r="E10" i="27"/>
  <c r="E9" i="27"/>
  <c r="C9" i="27" s="1"/>
  <c r="E8" i="27"/>
  <c r="D8" i="27" s="1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J12" i="27"/>
  <c r="D12" i="27"/>
  <c r="C12" i="27"/>
  <c r="B12" i="27"/>
  <c r="A12" i="27" s="1"/>
  <c r="T11" i="27"/>
  <c r="O11" i="27"/>
  <c r="V11" i="27" s="1"/>
  <c r="J11" i="27"/>
  <c r="U11" i="27" s="1"/>
  <c r="D11" i="27"/>
  <c r="C11" i="27"/>
  <c r="B11" i="27"/>
  <c r="A11" i="27"/>
  <c r="T10" i="27"/>
  <c r="O10" i="27"/>
  <c r="J10" i="27"/>
  <c r="D10" i="27"/>
  <c r="C10" i="27"/>
  <c r="B10" i="27"/>
  <c r="A10" i="27" s="1"/>
  <c r="T9" i="27"/>
  <c r="W9" i="27" s="1"/>
  <c r="O9" i="27"/>
  <c r="J9" i="27"/>
  <c r="D9" i="27"/>
  <c r="B9" i="27"/>
  <c r="A9" i="27"/>
  <c r="T8" i="27"/>
  <c r="W8" i="27" s="1"/>
  <c r="O8" i="27"/>
  <c r="J8" i="27"/>
  <c r="T7" i="27"/>
  <c r="W7" i="27" s="1"/>
  <c r="O7" i="27"/>
  <c r="J7" i="27"/>
  <c r="D7" i="27"/>
  <c r="C7" i="27"/>
  <c r="B7" i="27"/>
  <c r="A7" i="27" s="1"/>
  <c r="T6" i="27"/>
  <c r="O6" i="27"/>
  <c r="J6" i="27"/>
  <c r="D6" i="27"/>
  <c r="C6" i="27"/>
  <c r="B6" i="27"/>
  <c r="A6" i="27" s="1"/>
  <c r="T5" i="27"/>
  <c r="O5" i="27"/>
  <c r="J5" i="27"/>
  <c r="D5" i="27"/>
  <c r="C5" i="27"/>
  <c r="B5" i="27"/>
  <c r="A5" i="27" s="1"/>
  <c r="T4" i="27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T11" i="26"/>
  <c r="W11" i="26" s="1"/>
  <c r="O11" i="26"/>
  <c r="V11" i="26" s="1"/>
  <c r="J11" i="26"/>
  <c r="U11" i="26" s="1"/>
  <c r="D11" i="26"/>
  <c r="C11" i="26"/>
  <c r="B11" i="26"/>
  <c r="A11" i="26"/>
  <c r="D10" i="26"/>
  <c r="C10" i="26"/>
  <c r="C7" i="26"/>
  <c r="D7" i="26"/>
  <c r="O6" i="26"/>
  <c r="O7" i="26" s="1"/>
  <c r="D6" i="26"/>
  <c r="C6" i="26"/>
  <c r="O5" i="26"/>
  <c r="A5" i="26"/>
  <c r="C5" i="26"/>
  <c r="B5" i="26"/>
  <c r="T4" i="26"/>
  <c r="T5" i="26" s="1"/>
  <c r="O4" i="26"/>
  <c r="J4" i="26"/>
  <c r="W3" i="26"/>
  <c r="V3" i="26"/>
  <c r="U3" i="26"/>
  <c r="W2" i="26"/>
  <c r="V2" i="26"/>
  <c r="U2" i="26"/>
  <c r="BO1" i="26"/>
  <c r="AT1" i="26"/>
  <c r="Y1" i="26"/>
  <c r="D5" i="33" l="1"/>
  <c r="D6" i="33" s="1"/>
  <c r="V4" i="33"/>
  <c r="O8" i="33"/>
  <c r="T6" i="33"/>
  <c r="B6" i="33"/>
  <c r="B7" i="33" s="1"/>
  <c r="U4" i="33"/>
  <c r="J5" i="33"/>
  <c r="W5" i="33" s="1"/>
  <c r="C6" i="33"/>
  <c r="D11" i="33"/>
  <c r="W4" i="33"/>
  <c r="D9" i="33"/>
  <c r="C12" i="33"/>
  <c r="A5" i="33"/>
  <c r="A6" i="33" s="1"/>
  <c r="C7" i="33"/>
  <c r="B13" i="32"/>
  <c r="A13" i="32" s="1"/>
  <c r="W12" i="32"/>
  <c r="U12" i="32"/>
  <c r="A12" i="32"/>
  <c r="U11" i="32"/>
  <c r="V11" i="32"/>
  <c r="W11" i="32"/>
  <c r="U10" i="32"/>
  <c r="V10" i="32"/>
  <c r="W10" i="32"/>
  <c r="U9" i="32"/>
  <c r="V9" i="32"/>
  <c r="W9" i="32"/>
  <c r="W8" i="32"/>
  <c r="U8" i="32"/>
  <c r="B8" i="32"/>
  <c r="A8" i="32" s="1"/>
  <c r="U7" i="32"/>
  <c r="W7" i="32"/>
  <c r="V7" i="32"/>
  <c r="V4" i="32"/>
  <c r="J6" i="32"/>
  <c r="U5" i="32"/>
  <c r="T6" i="32"/>
  <c r="W6" i="32" s="1"/>
  <c r="W5" i="32"/>
  <c r="B6" i="32"/>
  <c r="V6" i="32"/>
  <c r="W4" i="32"/>
  <c r="B5" i="32"/>
  <c r="A5" i="32" s="1"/>
  <c r="V5" i="32"/>
  <c r="D5" i="32"/>
  <c r="U4" i="32"/>
  <c r="B5" i="31"/>
  <c r="A5" i="31" s="1"/>
  <c r="C5" i="31"/>
  <c r="V4" i="31"/>
  <c r="W4" i="31"/>
  <c r="O7" i="31"/>
  <c r="T8" i="31"/>
  <c r="C11" i="31"/>
  <c r="U4" i="31"/>
  <c r="J5" i="31"/>
  <c r="C6" i="31"/>
  <c r="D11" i="31"/>
  <c r="B7" i="31"/>
  <c r="A7" i="31" s="1"/>
  <c r="C12" i="31"/>
  <c r="C7" i="31"/>
  <c r="C8" i="31" s="1"/>
  <c r="D12" i="31"/>
  <c r="V5" i="31"/>
  <c r="A6" i="31"/>
  <c r="U13" i="30"/>
  <c r="W13" i="30"/>
  <c r="W12" i="30"/>
  <c r="U12" i="30"/>
  <c r="V11" i="30"/>
  <c r="W11" i="30"/>
  <c r="A11" i="30"/>
  <c r="D8" i="30"/>
  <c r="D5" i="30"/>
  <c r="A5" i="30"/>
  <c r="J6" i="30"/>
  <c r="U5" i="30"/>
  <c r="O6" i="30"/>
  <c r="V5" i="30"/>
  <c r="T6" i="30"/>
  <c r="W5" i="30"/>
  <c r="D10" i="30"/>
  <c r="B6" i="30"/>
  <c r="A6" i="30" s="1"/>
  <c r="U4" i="30"/>
  <c r="C6" i="30"/>
  <c r="C7" i="30" s="1"/>
  <c r="C8" i="30" s="1"/>
  <c r="V4" i="30"/>
  <c r="C9" i="30"/>
  <c r="W4" i="30"/>
  <c r="B7" i="30"/>
  <c r="B8" i="30" s="1"/>
  <c r="C8" i="29"/>
  <c r="C9" i="29" s="1"/>
  <c r="W4" i="29"/>
  <c r="T7" i="29"/>
  <c r="O6" i="29"/>
  <c r="V5" i="29"/>
  <c r="B8" i="29"/>
  <c r="J6" i="29"/>
  <c r="U5" i="29"/>
  <c r="V4" i="29"/>
  <c r="D6" i="29"/>
  <c r="D14" i="29"/>
  <c r="C7" i="29"/>
  <c r="B7" i="29"/>
  <c r="D7" i="29"/>
  <c r="C10" i="29"/>
  <c r="C11" i="29" s="1"/>
  <c r="C12" i="29" s="1"/>
  <c r="W5" i="29"/>
  <c r="D10" i="29"/>
  <c r="B6" i="29"/>
  <c r="A6" i="29" s="1"/>
  <c r="U4" i="29"/>
  <c r="W14" i="28"/>
  <c r="U14" i="28"/>
  <c r="V14" i="28"/>
  <c r="U13" i="28"/>
  <c r="W13" i="28"/>
  <c r="V13" i="28"/>
  <c r="A13" i="28"/>
  <c r="C13" i="28"/>
  <c r="O7" i="28"/>
  <c r="J6" i="28"/>
  <c r="U5" i="28"/>
  <c r="T6" i="28"/>
  <c r="W5" i="28"/>
  <c r="U4" i="28"/>
  <c r="C6" i="28"/>
  <c r="C7" i="28" s="1"/>
  <c r="C8" i="28" s="1"/>
  <c r="D11" i="28"/>
  <c r="V4" i="28"/>
  <c r="W4" i="28"/>
  <c r="D9" i="28"/>
  <c r="C12" i="28"/>
  <c r="B5" i="28"/>
  <c r="A5" i="28" s="1"/>
  <c r="V5" i="28"/>
  <c r="C5" i="28"/>
  <c r="V12" i="27"/>
  <c r="U12" i="27"/>
  <c r="W11" i="27"/>
  <c r="U10" i="27"/>
  <c r="V10" i="27"/>
  <c r="W10" i="27"/>
  <c r="U9" i="27"/>
  <c r="V9" i="27"/>
  <c r="V8" i="27"/>
  <c r="U8" i="27"/>
  <c r="B8" i="27"/>
  <c r="A8" i="27" s="1"/>
  <c r="C8" i="27"/>
  <c r="U7" i="27"/>
  <c r="V7" i="27"/>
  <c r="U6" i="27"/>
  <c r="V6" i="27"/>
  <c r="W6" i="27"/>
  <c r="V5" i="27"/>
  <c r="U5" i="27"/>
  <c r="W5" i="27"/>
  <c r="W4" i="27"/>
  <c r="U4" i="27"/>
  <c r="V4" i="27"/>
  <c r="V4" i="26"/>
  <c r="O8" i="26"/>
  <c r="W5" i="26"/>
  <c r="T6" i="26"/>
  <c r="A6" i="26"/>
  <c r="D5" i="26"/>
  <c r="C8" i="26"/>
  <c r="B6" i="26"/>
  <c r="A7" i="26" s="1"/>
  <c r="D8" i="26"/>
  <c r="U4" i="26"/>
  <c r="J5" i="26"/>
  <c r="C9" i="26"/>
  <c r="W4" i="26"/>
  <c r="B7" i="26"/>
  <c r="D9" i="26"/>
  <c r="A7" i="33" l="1"/>
  <c r="B8" i="33"/>
  <c r="T7" i="33"/>
  <c r="J6" i="33"/>
  <c r="U5" i="33"/>
  <c r="V5" i="33"/>
  <c r="O9" i="33"/>
  <c r="A6" i="32"/>
  <c r="U6" i="32"/>
  <c r="T9" i="31"/>
  <c r="W5" i="31"/>
  <c r="J6" i="31"/>
  <c r="U5" i="31"/>
  <c r="B8" i="31"/>
  <c r="O8" i="31"/>
  <c r="B9" i="30"/>
  <c r="T7" i="30"/>
  <c r="W6" i="30"/>
  <c r="A8" i="30"/>
  <c r="O7" i="30"/>
  <c r="V6" i="30"/>
  <c r="A7" i="30"/>
  <c r="U6" i="30"/>
  <c r="J7" i="30"/>
  <c r="A7" i="29"/>
  <c r="O7" i="29"/>
  <c r="V6" i="29"/>
  <c r="W6" i="29"/>
  <c r="A8" i="29"/>
  <c r="T8" i="29"/>
  <c r="W7" i="29"/>
  <c r="B9" i="29"/>
  <c r="J7" i="29"/>
  <c r="U6" i="29"/>
  <c r="J7" i="28"/>
  <c r="U6" i="28"/>
  <c r="B6" i="28"/>
  <c r="O8" i="28"/>
  <c r="T7" i="28"/>
  <c r="V7" i="28" s="1"/>
  <c r="W6" i="28"/>
  <c r="V6" i="28"/>
  <c r="A8" i="26"/>
  <c r="T7" i="26"/>
  <c r="J6" i="26"/>
  <c r="U5" i="26"/>
  <c r="V5" i="26"/>
  <c r="B8" i="26"/>
  <c r="O9" i="26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D10" i="25"/>
  <c r="D11" i="25" s="1"/>
  <c r="D7" i="25"/>
  <c r="C7" i="25"/>
  <c r="J6" i="25"/>
  <c r="J7" i="25" s="1"/>
  <c r="C6" i="25"/>
  <c r="T5" i="25"/>
  <c r="T6" i="25" s="1"/>
  <c r="J5" i="25"/>
  <c r="C5" i="25"/>
  <c r="D5" i="25"/>
  <c r="B5" i="25"/>
  <c r="A5" i="25"/>
  <c r="T4" i="25"/>
  <c r="O4" i="25"/>
  <c r="O5" i="25" s="1"/>
  <c r="J4" i="25"/>
  <c r="W3" i="25"/>
  <c r="V3" i="25"/>
  <c r="U3" i="25"/>
  <c r="W2" i="25"/>
  <c r="V2" i="25"/>
  <c r="U2" i="25"/>
  <c r="BO1" i="25"/>
  <c r="AT1" i="25"/>
  <c r="Y1" i="25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 s="1"/>
  <c r="T11" i="24"/>
  <c r="O11" i="24"/>
  <c r="J11" i="24"/>
  <c r="D11" i="24"/>
  <c r="C11" i="24"/>
  <c r="B11" i="24"/>
  <c r="A11" i="24"/>
  <c r="C10" i="24"/>
  <c r="D10" i="24"/>
  <c r="D9" i="24"/>
  <c r="D7" i="24"/>
  <c r="B5" i="24"/>
  <c r="C5" i="24"/>
  <c r="T4" i="24"/>
  <c r="T5" i="24" s="1"/>
  <c r="O4" i="24"/>
  <c r="O5" i="24" s="1"/>
  <c r="J4" i="24"/>
  <c r="J5" i="24" s="1"/>
  <c r="W3" i="24"/>
  <c r="V3" i="24"/>
  <c r="U3" i="24"/>
  <c r="W2" i="24"/>
  <c r="V2" i="24"/>
  <c r="U2" i="24"/>
  <c r="BO1" i="24"/>
  <c r="AT1" i="24"/>
  <c r="Y1" i="24"/>
  <c r="E10" i="23"/>
  <c r="E9" i="23"/>
  <c r="E8" i="23"/>
  <c r="E7" i="23"/>
  <c r="E6" i="23"/>
  <c r="E5" i="23"/>
  <c r="B5" i="23" s="1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C10" i="23"/>
  <c r="D9" i="23"/>
  <c r="C8" i="23"/>
  <c r="D7" i="23"/>
  <c r="D8" i="23" s="1"/>
  <c r="C7" i="23"/>
  <c r="D6" i="23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O10" i="22"/>
  <c r="J10" i="22"/>
  <c r="D10" i="22"/>
  <c r="C10" i="22"/>
  <c r="B10" i="22"/>
  <c r="A10" i="22" s="1"/>
  <c r="D8" i="22"/>
  <c r="D9" i="22" s="1"/>
  <c r="C7" i="22"/>
  <c r="D7" i="22"/>
  <c r="T6" i="22"/>
  <c r="T7" i="22" s="1"/>
  <c r="D6" i="22"/>
  <c r="T5" i="22"/>
  <c r="D5" i="22"/>
  <c r="C5" i="22"/>
  <c r="B5" i="22"/>
  <c r="A5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E9" i="21"/>
  <c r="E8" i="2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D9" i="21"/>
  <c r="C7" i="21"/>
  <c r="A5" i="21"/>
  <c r="D5" i="21"/>
  <c r="C5" i="21"/>
  <c r="B5" i="21"/>
  <c r="T4" i="21"/>
  <c r="T5" i="21" s="1"/>
  <c r="O4" i="21"/>
  <c r="O5" i="21" s="1"/>
  <c r="J4" i="21"/>
  <c r="J5" i="21" s="1"/>
  <c r="W3" i="21"/>
  <c r="V3" i="21"/>
  <c r="U3" i="21"/>
  <c r="W2" i="21"/>
  <c r="V2" i="21"/>
  <c r="U2" i="21"/>
  <c r="BO1" i="21"/>
  <c r="AT1" i="21"/>
  <c r="Y1" i="21"/>
  <c r="E9" i="20"/>
  <c r="E8" i="20"/>
  <c r="E7" i="20"/>
  <c r="D7" i="20" s="1"/>
  <c r="E6" i="20"/>
  <c r="E5" i="20"/>
  <c r="C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C12" i="20"/>
  <c r="D12" i="20"/>
  <c r="D11" i="20"/>
  <c r="C11" i="20"/>
  <c r="D10" i="20"/>
  <c r="C10" i="20"/>
  <c r="C8" i="20"/>
  <c r="O5" i="20"/>
  <c r="O6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B9" i="33" l="1"/>
  <c r="J7" i="33"/>
  <c r="U6" i="33"/>
  <c r="V6" i="33"/>
  <c r="W6" i="33"/>
  <c r="T8" i="33"/>
  <c r="W7" i="33"/>
  <c r="O10" i="33"/>
  <c r="A8" i="33"/>
  <c r="O9" i="31"/>
  <c r="B9" i="31"/>
  <c r="A8" i="31"/>
  <c r="J7" i="31"/>
  <c r="U6" i="31"/>
  <c r="V6" i="31"/>
  <c r="W6" i="31"/>
  <c r="T10" i="31"/>
  <c r="B10" i="30"/>
  <c r="A10" i="30" s="1"/>
  <c r="O8" i="30"/>
  <c r="V7" i="30"/>
  <c r="W7" i="30"/>
  <c r="T8" i="30"/>
  <c r="J8" i="30"/>
  <c r="U7" i="30"/>
  <c r="A9" i="30"/>
  <c r="B10" i="29"/>
  <c r="T9" i="29"/>
  <c r="O8" i="29"/>
  <c r="V7" i="29"/>
  <c r="J8" i="29"/>
  <c r="U7" i="29"/>
  <c r="A9" i="29"/>
  <c r="T8" i="28"/>
  <c r="W7" i="28"/>
  <c r="O9" i="28"/>
  <c r="B7" i="28"/>
  <c r="J8" i="28"/>
  <c r="U7" i="28"/>
  <c r="A6" i="28"/>
  <c r="O10" i="26"/>
  <c r="B9" i="26"/>
  <c r="A9" i="26" s="1"/>
  <c r="J7" i="26"/>
  <c r="U6" i="26"/>
  <c r="V6" i="26"/>
  <c r="W6" i="26"/>
  <c r="T8" i="26"/>
  <c r="W4" i="25"/>
  <c r="U4" i="25"/>
  <c r="T7" i="25"/>
  <c r="J8" i="25"/>
  <c r="U5" i="25"/>
  <c r="V5" i="25"/>
  <c r="O6" i="25"/>
  <c r="U6" i="25"/>
  <c r="C8" i="25"/>
  <c r="B6" i="25"/>
  <c r="D8" i="25"/>
  <c r="V4" i="25"/>
  <c r="D6" i="25"/>
  <c r="C9" i="25"/>
  <c r="C10" i="25" s="1"/>
  <c r="C11" i="25" s="1"/>
  <c r="D9" i="25"/>
  <c r="W5" i="25"/>
  <c r="U11" i="24"/>
  <c r="V11" i="24"/>
  <c r="W11" i="24"/>
  <c r="D8" i="24"/>
  <c r="J6" i="24"/>
  <c r="U5" i="24"/>
  <c r="O6" i="24"/>
  <c r="V5" i="24"/>
  <c r="T6" i="24"/>
  <c r="W5" i="24"/>
  <c r="D5" i="24"/>
  <c r="D6" i="24" s="1"/>
  <c r="B6" i="24"/>
  <c r="A6" i="24" s="1"/>
  <c r="U4" i="24"/>
  <c r="C6" i="24"/>
  <c r="V4" i="24"/>
  <c r="W4" i="24"/>
  <c r="A5" i="24"/>
  <c r="C7" i="24"/>
  <c r="C8" i="24" s="1"/>
  <c r="C9" i="24" s="1"/>
  <c r="C5" i="23"/>
  <c r="D5" i="23"/>
  <c r="U4" i="23"/>
  <c r="O6" i="23"/>
  <c r="T6" i="23"/>
  <c r="W5" i="23"/>
  <c r="A5" i="23"/>
  <c r="A6" i="23" s="1"/>
  <c r="B8" i="23"/>
  <c r="D10" i="23"/>
  <c r="B6" i="23"/>
  <c r="J5" i="23"/>
  <c r="V5" i="23" s="1"/>
  <c r="C6" i="23"/>
  <c r="V4" i="23"/>
  <c r="C9" i="23"/>
  <c r="W4" i="23"/>
  <c r="B7" i="23"/>
  <c r="V10" i="22"/>
  <c r="U10" i="22"/>
  <c r="W10" i="22"/>
  <c r="W4" i="22"/>
  <c r="O6" i="22"/>
  <c r="T8" i="22"/>
  <c r="C8" i="22"/>
  <c r="C9" i="22" s="1"/>
  <c r="B6" i="22"/>
  <c r="U4" i="22"/>
  <c r="J5" i="22"/>
  <c r="V5" i="22" s="1"/>
  <c r="C6" i="22"/>
  <c r="V4" i="22"/>
  <c r="D7" i="21"/>
  <c r="C6" i="21"/>
  <c r="O6" i="21"/>
  <c r="V5" i="21"/>
  <c r="J6" i="21"/>
  <c r="U5" i="21"/>
  <c r="C9" i="21"/>
  <c r="T6" i="21"/>
  <c r="W5" i="21"/>
  <c r="C8" i="21"/>
  <c r="B6" i="21"/>
  <c r="A6" i="21" s="1"/>
  <c r="D8" i="21"/>
  <c r="U4" i="21"/>
  <c r="V4" i="21"/>
  <c r="W4" i="21"/>
  <c r="B7" i="21"/>
  <c r="C6" i="20"/>
  <c r="D5" i="20"/>
  <c r="D6" i="20" s="1"/>
  <c r="U4" i="20"/>
  <c r="T6" i="20"/>
  <c r="O7" i="20"/>
  <c r="B6" i="20"/>
  <c r="D8" i="20"/>
  <c r="V4" i="20"/>
  <c r="C9" i="20"/>
  <c r="W4" i="20"/>
  <c r="D9" i="20"/>
  <c r="J5" i="20"/>
  <c r="C7" i="20"/>
  <c r="B5" i="20"/>
  <c r="A5" i="20" s="1"/>
  <c r="V5" i="20"/>
  <c r="W3" i="19"/>
  <c r="V3" i="19"/>
  <c r="U3" i="19"/>
  <c r="T9" i="33" l="1"/>
  <c r="U7" i="33"/>
  <c r="J8" i="33"/>
  <c r="W8" i="33" s="1"/>
  <c r="V7" i="33"/>
  <c r="B10" i="33"/>
  <c r="O11" i="33"/>
  <c r="A9" i="33"/>
  <c r="B10" i="31"/>
  <c r="U7" i="31"/>
  <c r="J8" i="31"/>
  <c r="W7" i="31"/>
  <c r="V7" i="31"/>
  <c r="A9" i="31"/>
  <c r="T11" i="31"/>
  <c r="O10" i="31"/>
  <c r="T9" i="30"/>
  <c r="W8" i="30"/>
  <c r="O9" i="30"/>
  <c r="V8" i="30"/>
  <c r="J9" i="30"/>
  <c r="U8" i="30"/>
  <c r="J9" i="29"/>
  <c r="U8" i="29"/>
  <c r="T10" i="29"/>
  <c r="W8" i="29"/>
  <c r="B11" i="29"/>
  <c r="A11" i="29" s="1"/>
  <c r="O9" i="29"/>
  <c r="V8" i="29"/>
  <c r="A10" i="29"/>
  <c r="B8" i="28"/>
  <c r="A7" i="28"/>
  <c r="J9" i="28"/>
  <c r="U8" i="28"/>
  <c r="V8" i="28"/>
  <c r="O10" i="28"/>
  <c r="T9" i="28"/>
  <c r="V9" i="28" s="1"/>
  <c r="W8" i="28"/>
  <c r="J8" i="26"/>
  <c r="U7" i="26"/>
  <c r="V7" i="26"/>
  <c r="B10" i="26"/>
  <c r="A10" i="26" s="1"/>
  <c r="W7" i="26"/>
  <c r="T9" i="26"/>
  <c r="W8" i="26"/>
  <c r="J9" i="25"/>
  <c r="A6" i="25"/>
  <c r="B7" i="25"/>
  <c r="O7" i="25"/>
  <c r="W7" i="25" s="1"/>
  <c r="V6" i="25"/>
  <c r="W6" i="25"/>
  <c r="T8" i="25"/>
  <c r="T7" i="24"/>
  <c r="W6" i="24"/>
  <c r="O7" i="24"/>
  <c r="V6" i="24"/>
  <c r="B7" i="24"/>
  <c r="A7" i="24" s="1"/>
  <c r="J7" i="24"/>
  <c r="U6" i="24"/>
  <c r="A7" i="23"/>
  <c r="B9" i="23"/>
  <c r="A8" i="23"/>
  <c r="T7" i="23"/>
  <c r="J6" i="23"/>
  <c r="W6" i="23" s="1"/>
  <c r="U5" i="23"/>
  <c r="O7" i="23"/>
  <c r="T9" i="22"/>
  <c r="A6" i="22"/>
  <c r="B7" i="22"/>
  <c r="J6" i="22"/>
  <c r="U5" i="22"/>
  <c r="W5" i="22"/>
  <c r="O7" i="22"/>
  <c r="A7" i="21"/>
  <c r="J7" i="21"/>
  <c r="U6" i="21"/>
  <c r="W6" i="21"/>
  <c r="T7" i="21"/>
  <c r="B8" i="21"/>
  <c r="O7" i="21"/>
  <c r="V6" i="21"/>
  <c r="O8" i="20"/>
  <c r="B7" i="20"/>
  <c r="A6" i="20"/>
  <c r="J6" i="20"/>
  <c r="U5" i="20"/>
  <c r="T7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33" l="1"/>
  <c r="O12" i="33"/>
  <c r="B11" i="33"/>
  <c r="A10" i="33"/>
  <c r="J9" i="33"/>
  <c r="U8" i="33"/>
  <c r="V8" i="33"/>
  <c r="T12" i="31"/>
  <c r="J9" i="31"/>
  <c r="U8" i="31"/>
  <c r="W8" i="31"/>
  <c r="V8" i="31"/>
  <c r="O11" i="31"/>
  <c r="B11" i="31"/>
  <c r="A10" i="31"/>
  <c r="T10" i="30"/>
  <c r="W9" i="30"/>
  <c r="J10" i="30"/>
  <c r="U9" i="30"/>
  <c r="O10" i="30"/>
  <c r="V10" i="30" s="1"/>
  <c r="V9" i="30"/>
  <c r="O10" i="29"/>
  <c r="V9" i="29"/>
  <c r="T11" i="29"/>
  <c r="B12" i="29"/>
  <c r="W9" i="29"/>
  <c r="J10" i="29"/>
  <c r="W10" i="29" s="1"/>
  <c r="U9" i="29"/>
  <c r="O11" i="28"/>
  <c r="J10" i="28"/>
  <c r="U9" i="28"/>
  <c r="B9" i="28"/>
  <c r="A9" i="28" s="1"/>
  <c r="T10" i="28"/>
  <c r="W9" i="28"/>
  <c r="A8" i="28"/>
  <c r="T10" i="26"/>
  <c r="W9" i="26"/>
  <c r="J9" i="26"/>
  <c r="U8" i="26"/>
  <c r="V8" i="26"/>
  <c r="B8" i="25"/>
  <c r="J10" i="25"/>
  <c r="O8" i="25"/>
  <c r="V7" i="25"/>
  <c r="U7" i="25"/>
  <c r="T9" i="25"/>
  <c r="A7" i="25"/>
  <c r="J8" i="24"/>
  <c r="U7" i="24"/>
  <c r="O8" i="24"/>
  <c r="V7" i="24"/>
  <c r="B8" i="24"/>
  <c r="T8" i="24"/>
  <c r="W7" i="24"/>
  <c r="O8" i="23"/>
  <c r="T8" i="23"/>
  <c r="B10" i="23"/>
  <c r="A10" i="23" s="1"/>
  <c r="U6" i="23"/>
  <c r="J7" i="23"/>
  <c r="V6" i="23"/>
  <c r="A9" i="23"/>
  <c r="B8" i="22"/>
  <c r="J7" i="22"/>
  <c r="U6" i="22"/>
  <c r="W6" i="22"/>
  <c r="V6" i="22"/>
  <c r="O8" i="22"/>
  <c r="A7" i="22"/>
  <c r="B9" i="21"/>
  <c r="A9" i="21" s="1"/>
  <c r="A8" i="21"/>
  <c r="O8" i="21"/>
  <c r="V7" i="21"/>
  <c r="T8" i="21"/>
  <c r="W7" i="21"/>
  <c r="J8" i="21"/>
  <c r="U7" i="21"/>
  <c r="T8" i="20"/>
  <c r="J7" i="20"/>
  <c r="U6" i="20"/>
  <c r="V6" i="20"/>
  <c r="O9" i="20"/>
  <c r="B8" i="20"/>
  <c r="W6" i="20"/>
  <c r="A7" i="20"/>
  <c r="U12" i="19"/>
  <c r="V12" i="19"/>
  <c r="W12" i="19"/>
  <c r="V10" i="19"/>
  <c r="W10" i="19"/>
  <c r="V9" i="19"/>
  <c r="W9" i="19"/>
  <c r="U8" i="19"/>
  <c r="V8" i="19"/>
  <c r="W7" i="19"/>
  <c r="C6" i="19"/>
  <c r="W4" i="19"/>
  <c r="V6" i="19"/>
  <c r="W6" i="19"/>
  <c r="U4" i="19"/>
  <c r="V4" i="19"/>
  <c r="T5" i="19"/>
  <c r="J5" i="19"/>
  <c r="O5" i="19"/>
  <c r="J10" i="33" l="1"/>
  <c r="U9" i="33"/>
  <c r="V9" i="33"/>
  <c r="B12" i="33"/>
  <c r="A12" i="33" s="1"/>
  <c r="A11" i="33"/>
  <c r="W9" i="33"/>
  <c r="W10" i="33"/>
  <c r="T11" i="33"/>
  <c r="J10" i="31"/>
  <c r="U9" i="31"/>
  <c r="W9" i="31"/>
  <c r="V9" i="31"/>
  <c r="O12" i="31"/>
  <c r="B12" i="31"/>
  <c r="A11" i="31"/>
  <c r="T13" i="31"/>
  <c r="W10" i="30"/>
  <c r="U10" i="30"/>
  <c r="B13" i="29"/>
  <c r="J11" i="29"/>
  <c r="U10" i="29"/>
  <c r="A12" i="29"/>
  <c r="T12" i="29"/>
  <c r="O11" i="29"/>
  <c r="V10" i="29"/>
  <c r="B10" i="28"/>
  <c r="J11" i="28"/>
  <c r="U10" i="28"/>
  <c r="V10" i="28"/>
  <c r="T11" i="28"/>
  <c r="W10" i="28"/>
  <c r="O12" i="28"/>
  <c r="J10" i="26"/>
  <c r="U9" i="26"/>
  <c r="V9" i="26"/>
  <c r="W10" i="26"/>
  <c r="T10" i="25"/>
  <c r="O9" i="25"/>
  <c r="V8" i="25"/>
  <c r="U8" i="25"/>
  <c r="J11" i="25"/>
  <c r="B9" i="25"/>
  <c r="W8" i="25"/>
  <c r="A8" i="25"/>
  <c r="B9" i="24"/>
  <c r="O9" i="24"/>
  <c r="V8" i="24"/>
  <c r="T9" i="24"/>
  <c r="W8" i="24"/>
  <c r="A8" i="24"/>
  <c r="J9" i="24"/>
  <c r="U8" i="24"/>
  <c r="J8" i="23"/>
  <c r="U7" i="23"/>
  <c r="W8" i="23"/>
  <c r="T9" i="23"/>
  <c r="W7" i="23"/>
  <c r="V7" i="23"/>
  <c r="O9" i="23"/>
  <c r="V8" i="23"/>
  <c r="J8" i="22"/>
  <c r="U7" i="22"/>
  <c r="W7" i="22"/>
  <c r="V8" i="22"/>
  <c r="O9" i="22"/>
  <c r="B9" i="22"/>
  <c r="A9" i="22" s="1"/>
  <c r="V7" i="22"/>
  <c r="A8" i="22"/>
  <c r="O9" i="21"/>
  <c r="V8" i="21"/>
  <c r="U8" i="21"/>
  <c r="J9" i="21"/>
  <c r="T9" i="21"/>
  <c r="W9" i="21" s="1"/>
  <c r="W8" i="21"/>
  <c r="U7" i="20"/>
  <c r="J8" i="20"/>
  <c r="W8" i="20" s="1"/>
  <c r="V7" i="20"/>
  <c r="W7" i="20"/>
  <c r="B9" i="20"/>
  <c r="O10" i="20"/>
  <c r="A8" i="20"/>
  <c r="T9" i="20"/>
  <c r="V5" i="19"/>
  <c r="U5" i="19"/>
  <c r="W5" i="19"/>
  <c r="T12" i="33" l="1"/>
  <c r="J11" i="33"/>
  <c r="U10" i="33"/>
  <c r="V10" i="33"/>
  <c r="B13" i="31"/>
  <c r="A13" i="31" s="1"/>
  <c r="A12" i="31"/>
  <c r="O13" i="31"/>
  <c r="J11" i="31"/>
  <c r="U10" i="31"/>
  <c r="W10" i="31"/>
  <c r="V10" i="31"/>
  <c r="V11" i="29"/>
  <c r="O12" i="29"/>
  <c r="T13" i="29"/>
  <c r="W11" i="29"/>
  <c r="B14" i="29"/>
  <c r="A14" i="29" s="1"/>
  <c r="J12" i="29"/>
  <c r="W12" i="29" s="1"/>
  <c r="U11" i="29"/>
  <c r="A13" i="29"/>
  <c r="T12" i="28"/>
  <c r="W11" i="28"/>
  <c r="J12" i="28"/>
  <c r="U12" i="28" s="1"/>
  <c r="U11" i="28"/>
  <c r="B11" i="28"/>
  <c r="A11" i="28" s="1"/>
  <c r="V11" i="28"/>
  <c r="A10" i="28"/>
  <c r="U10" i="26"/>
  <c r="V10" i="26"/>
  <c r="O10" i="25"/>
  <c r="V9" i="25"/>
  <c r="U9" i="25"/>
  <c r="B10" i="25"/>
  <c r="A10" i="25" s="1"/>
  <c r="W9" i="25"/>
  <c r="A9" i="25"/>
  <c r="T11" i="25"/>
  <c r="W10" i="25"/>
  <c r="J10" i="24"/>
  <c r="U9" i="24"/>
  <c r="O10" i="24"/>
  <c r="V9" i="24"/>
  <c r="T10" i="24"/>
  <c r="W10" i="24" s="1"/>
  <c r="W9" i="24"/>
  <c r="B10" i="24"/>
  <c r="A10" i="24" s="1"/>
  <c r="A9" i="24"/>
  <c r="O10" i="23"/>
  <c r="T10" i="23"/>
  <c r="J9" i="23"/>
  <c r="U8" i="23"/>
  <c r="J9" i="22"/>
  <c r="U8" i="22"/>
  <c r="W8" i="22"/>
  <c r="U9" i="21"/>
  <c r="V9" i="21"/>
  <c r="T10" i="20"/>
  <c r="W9" i="20"/>
  <c r="O11" i="20"/>
  <c r="B10" i="20"/>
  <c r="A9" i="20"/>
  <c r="J9" i="20"/>
  <c r="U8" i="20"/>
  <c r="V8" i="20"/>
  <c r="J12" i="33" l="1"/>
  <c r="U11" i="33"/>
  <c r="V11" i="33"/>
  <c r="W12" i="33"/>
  <c r="W11" i="33"/>
  <c r="U11" i="31"/>
  <c r="J12" i="31"/>
  <c r="W11" i="31"/>
  <c r="V11" i="31"/>
  <c r="J13" i="29"/>
  <c r="U12" i="29"/>
  <c r="T14" i="29"/>
  <c r="O13" i="29"/>
  <c r="V12" i="29"/>
  <c r="B12" i="28"/>
  <c r="A12" i="28" s="1"/>
  <c r="W12" i="28"/>
  <c r="V12" i="28"/>
  <c r="O11" i="25"/>
  <c r="V10" i="25"/>
  <c r="U10" i="25"/>
  <c r="B11" i="25"/>
  <c r="A11" i="25"/>
  <c r="W11" i="25"/>
  <c r="V10" i="24"/>
  <c r="U10" i="24"/>
  <c r="J10" i="23"/>
  <c r="U10" i="23" s="1"/>
  <c r="U9" i="23"/>
  <c r="V9" i="23"/>
  <c r="W9" i="23"/>
  <c r="W10" i="23"/>
  <c r="V10" i="23"/>
  <c r="U9" i="22"/>
  <c r="W9" i="22"/>
  <c r="V9" i="22"/>
  <c r="O12" i="20"/>
  <c r="T11" i="20"/>
  <c r="J10" i="20"/>
  <c r="U9" i="20"/>
  <c r="V9" i="20"/>
  <c r="A11" i="20"/>
  <c r="B11" i="20"/>
  <c r="A10" i="20"/>
  <c r="U12" i="33" l="1"/>
  <c r="V12" i="33"/>
  <c r="J13" i="31"/>
  <c r="U12" i="31"/>
  <c r="W12" i="31"/>
  <c r="V12" i="31"/>
  <c r="O14" i="29"/>
  <c r="V14" i="29" s="1"/>
  <c r="V13" i="29"/>
  <c r="W14" i="29"/>
  <c r="W13" i="29"/>
  <c r="J14" i="29"/>
  <c r="U13" i="29"/>
  <c r="V11" i="25"/>
  <c r="U11" i="25"/>
  <c r="T12" i="20"/>
  <c r="W11" i="20"/>
  <c r="J11" i="20"/>
  <c r="U10" i="20"/>
  <c r="V10" i="20"/>
  <c r="W10" i="20"/>
  <c r="B12" i="20"/>
  <c r="A12" i="20" s="1"/>
  <c r="U13" i="31" l="1"/>
  <c r="W13" i="31"/>
  <c r="V13" i="31"/>
  <c r="U14" i="29"/>
  <c r="U11" i="20"/>
  <c r="J12" i="20"/>
  <c r="V11" i="20"/>
  <c r="W12" i="20"/>
  <c r="U12" i="20" l="1"/>
  <c r="V12" i="20"/>
</calcChain>
</file>

<file path=xl/sharedStrings.xml><?xml version="1.0" encoding="utf-8"?>
<sst xmlns="http://schemas.openxmlformats.org/spreadsheetml/2006/main" count="1906" uniqueCount="208">
  <si>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</si>
  <si>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</si>
  <si>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</si>
  <si>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</si>
  <si>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</si>
  <si>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</si>
  <si>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</si>
  <si>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</si>
  <si>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</si>
  <si>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</si>
  <si>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</si>
  <si>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</si>
  <si>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</si>
  <si>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</si>
  <si>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</si>
  <si>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</si>
  <si>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</si>
  <si>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</si>
  <si>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</si>
  <si>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</si>
  <si>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</si>
  <si>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</si>
  <si>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</si>
  <si>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</si>
  <si>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</si>
  <si>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</si>
  <si>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</si>
  <si>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</si>
  <si>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</si>
  <si>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</si>
  <si>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</si>
  <si>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</si>
  <si>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</si>
  <si>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</si>
  <si>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</si>
  <si>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</si>
  <si>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</si>
  <si>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</si>
  <si>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</si>
  <si>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</si>
  <si>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</si>
  <si>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</si>
  <si>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</si>
  <si>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</si>
  <si>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</si>
  <si>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</si>
  <si>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</si>
  <si>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</si>
  <si>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</si>
  <si>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</si>
  <si>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</si>
  <si>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</si>
  <si>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</si>
  <si>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</si>
  <si>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</si>
  <si>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</si>
  <si>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</si>
  <si>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</si>
  <si>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</si>
  <si>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</si>
  <si>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</si>
  <si>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</si>
  <si>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</si>
  <si>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</si>
  <si>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</si>
  <si>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</si>
  <si>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</si>
  <si>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</si>
  <si>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</si>
  <si>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</si>
  <si>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</si>
  <si>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</si>
  <si>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</si>
  <si>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</si>
  <si>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</si>
  <si>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</si>
  <si>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</si>
  <si>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</si>
  <si>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</si>
  <si>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</si>
  <si>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</si>
  <si>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</si>
  <si>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</si>
  <si>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</si>
  <si>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</si>
  <si>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</si>
  <si>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</si>
  <si>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</si>
  <si>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</si>
  <si>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</si>
  <si>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</si>
  <si>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</si>
  <si>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</si>
  <si>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</si>
  <si>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</si>
  <si>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</si>
  <si>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</si>
  <si>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</si>
  <si>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</si>
  <si>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</si>
  <si>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</si>
  <si>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</si>
  <si>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</si>
  <si>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</si>
  <si>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</si>
  <si>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</si>
  <si>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</si>
  <si>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</si>
  <si>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</si>
  <si>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</si>
  <si>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</si>
  <si>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</si>
  <si>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</si>
  <si>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</si>
  <si>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</si>
  <si>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</si>
  <si>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</si>
  <si>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</si>
  <si>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</si>
  <si>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</si>
  <si>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</si>
  <si>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</si>
  <si>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</si>
  <si>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</si>
  <si>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</si>
  <si>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</si>
  <si>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</si>
  <si>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</si>
  <si>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</si>
  <si>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</si>
  <si>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</si>
  <si>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</si>
  <si>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</si>
  <si>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</si>
  <si>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</si>
  <si>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</si>
  <si>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</si>
  <si>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</si>
  <si>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</si>
  <si>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</si>
  <si>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</si>
  <si>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</si>
  <si>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</si>
  <si>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</si>
  <si>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</si>
  <si>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</si>
  <si>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</si>
  <si>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</si>
  <si>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</si>
  <si>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</si>
  <si>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</si>
  <si>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</si>
  <si>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</si>
  <si>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</si>
  <si>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</si>
  <si>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</si>
  <si>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</si>
  <si>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</si>
  <si>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</si>
  <si>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</si>
  <si>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</si>
  <si>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</si>
  <si>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</si>
  <si>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</si>
  <si>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</si>
  <si>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</si>
  <si>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</si>
  <si>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</si>
  <si>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</si>
  <si>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</si>
  <si>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</si>
  <si>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</si>
  <si>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</si>
  <si>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</si>
  <si>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</si>
  <si>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</si>
  <si>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</si>
  <si>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</si>
  <si>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</si>
  <si>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</si>
  <si>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</si>
  <si>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</si>
  <si>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</si>
  <si>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</si>
  <si>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</si>
  <si>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</si>
  <si>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</si>
  <si>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</si>
  <si>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</si>
  <si>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</si>
  <si>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</si>
  <si>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</si>
  <si>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れんたろう</t>
    <phoneticPr fontId="1"/>
  </si>
  <si>
    <t>ぱぱ</t>
    <phoneticPr fontId="1"/>
  </si>
  <si>
    <t>だいち</t>
  </si>
  <si>
    <t>だいち</t>
    <phoneticPr fontId="1"/>
  </si>
  <si>
    <t>ツモ支払</t>
  </si>
  <si>
    <t>ツモ</t>
  </si>
  <si>
    <t>01</t>
  </si>
  <si>
    <t>N</t>
  </si>
  <si>
    <t>T</t>
  </si>
  <si>
    <t>流局</t>
    <phoneticPr fontId="1"/>
  </si>
  <si>
    <t>放銃</t>
  </si>
  <si>
    <t>ロン</t>
  </si>
  <si>
    <t>*</t>
  </si>
  <si>
    <t>52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</si>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</sst>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7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ぱぱ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196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198</v>
      </c>
      <c r="BV4" s="41" t="s">
        <v>82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201</v>
      </c>
      <c r="G5" s="9">
        <v>-1500</v>
      </c>
      <c r="H5" s="9"/>
      <c r="I5" s="48"/>
      <c r="J5" s="21">
        <f t="shared" ref="J5:J30" si="2">IF(COUNTA($F5,$K5,$P5)&gt;0,J4+SUM(G5:I5),"")</f>
        <v>30500</v>
      </c>
      <c r="K5" s="8" t="s">
        <v>201</v>
      </c>
      <c r="L5" s="9">
        <v>3000</v>
      </c>
      <c r="M5" s="9"/>
      <c r="N5" s="48"/>
      <c r="O5" s="21">
        <f t="shared" ref="O5:O30" si="3">IF(COUNTA($F5,$K5,$P5)&gt;0,O4+SUM(L5:N5),"")</f>
        <v>35000</v>
      </c>
      <c r="P5" s="8" t="s">
        <v>201</v>
      </c>
      <c r="Q5" s="9">
        <v>-1500</v>
      </c>
      <c r="R5" s="9"/>
      <c r="S5" s="48"/>
      <c r="T5" s="21">
        <f t="shared" ref="T5:T30" si="4">IF(COUNTA($F5,$K5,$P5)&gt;0,T4+SUM(Q5:S5),"")</f>
        <v>39500</v>
      </c>
      <c r="U5" s="53">
        <f>IF($J5="","",ROUND(($J5-$J$3)/1000,1)+(_xlfn.RANK.AVG($J5,($J5,$O5,$T5),1)-2)*20)</f>
        <v>-24.5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24.5</v>
      </c>
      <c r="Y5" s="8" t="s">
        <v>199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202</v>
      </c>
      <c r="G6" s="9">
        <v>-8000</v>
      </c>
      <c r="H6" s="9"/>
      <c r="I6" s="48">
        <v>-2000</v>
      </c>
      <c r="J6" s="21">
        <f t="shared" si="2"/>
        <v>20500</v>
      </c>
      <c r="K6" s="8"/>
      <c r="L6" s="9"/>
      <c r="M6" s="9"/>
      <c r="N6" s="48"/>
      <c r="O6" s="21">
        <f t="shared" si="3"/>
        <v>35000</v>
      </c>
      <c r="P6" s="8" t="s">
        <v>203</v>
      </c>
      <c r="Q6" s="9">
        <v>8000</v>
      </c>
      <c r="R6" s="9"/>
      <c r="S6" s="48">
        <v>2000</v>
      </c>
      <c r="T6" s="21">
        <f t="shared" si="4"/>
        <v>49500</v>
      </c>
      <c r="U6" s="53">
        <f>IF($J6="","",ROUND(($J6-$J$3)/1000,1)+(_xlfn.RANK.AVG($J6,($J6,$O6,$T6),1)-2)*20)</f>
        <v>-34.5</v>
      </c>
      <c r="V6" s="54">
        <f>IF($O6="","",ROUND(($O6-$O$3)/1000,1)+(_xlfn.RANK.AVG($O6,($J6,$O6,$T6),1)-2)*20)</f>
        <v>0</v>
      </c>
      <c r="W6" s="55">
        <f>IF($T6="","",ROUND(($T6-$T$3)/1000,1)+(_xlfn.RANK.AVG($T6,($J6,$O6,$T6),1)-2)*20)</f>
        <v>34.5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204</v>
      </c>
      <c r="BU6" s="40" t="s">
        <v>198</v>
      </c>
      <c r="BV6" s="41" t="s">
        <v>104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197</v>
      </c>
      <c r="G7" s="9">
        <v>5300</v>
      </c>
      <c r="H7" s="9"/>
      <c r="I7" s="48">
        <v>0</v>
      </c>
      <c r="J7" s="21">
        <f t="shared" si="2"/>
        <v>25800</v>
      </c>
      <c r="K7" s="8" t="s">
        <v>196</v>
      </c>
      <c r="L7" s="9">
        <v>-3300</v>
      </c>
      <c r="M7" s="9"/>
      <c r="N7" s="48">
        <v>0</v>
      </c>
      <c r="O7" s="21">
        <f t="shared" si="3"/>
        <v>31700</v>
      </c>
      <c r="P7" s="8" t="s">
        <v>196</v>
      </c>
      <c r="Q7" s="9">
        <v>-2000</v>
      </c>
      <c r="R7" s="9"/>
      <c r="S7" s="48">
        <v>0</v>
      </c>
      <c r="T7" s="21">
        <f t="shared" si="4"/>
        <v>47500</v>
      </c>
      <c r="U7" s="53">
        <f>IF($J7="","",ROUND(($J7-$J$3)/1000,1)+(_xlfn.RANK.AVG($J7,($J7,$O7,$T7),1)-2)*20)</f>
        <v>-29.2</v>
      </c>
      <c r="V7" s="54">
        <f>IF($O7="","",ROUND(($O7-$O$3)/1000,1)+(_xlfn.RANK.AVG($O7,($J7,$O7,$T7),1)-2)*20)</f>
        <v>-3.3</v>
      </c>
      <c r="W7" s="55">
        <f>IF($T7="","",ROUND(($T7-$T$3)/1000,1)+(_xlfn.RANK.AVG($T7,($J7,$O7,$T7),1)-2)*20)</f>
        <v>32.5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198</v>
      </c>
      <c r="AF7" s="41" t="s">
        <v>82</v>
      </c>
      <c r="AG7" s="41" t="s">
        <v>83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/>
      <c r="G8" s="9"/>
      <c r="H8" s="9"/>
      <c r="I8" s="48"/>
      <c r="J8" s="21">
        <f t="shared" si="2"/>
        <v>25800</v>
      </c>
      <c r="K8" s="8" t="s">
        <v>202</v>
      </c>
      <c r="L8" s="9">
        <v>-12000</v>
      </c>
      <c r="M8" s="9">
        <v>-1000</v>
      </c>
      <c r="N8" s="48">
        <v>0</v>
      </c>
      <c r="O8" s="21">
        <f t="shared" si="3"/>
        <v>18700</v>
      </c>
      <c r="P8" s="8" t="s">
        <v>203</v>
      </c>
      <c r="Q8" s="9">
        <v>12000</v>
      </c>
      <c r="R8" s="9">
        <v>1000</v>
      </c>
      <c r="S8" s="48">
        <v>0</v>
      </c>
      <c r="T8" s="21">
        <f t="shared" si="4"/>
        <v>60500</v>
      </c>
      <c r="U8" s="53">
        <f>IF($J8="","",ROUND(($J8-$J$3)/1000,1)+(_xlfn.RANK.AVG($J8,($J8,$O8,$T8),1)-2)*20)</f>
        <v>-9.1999999999999993</v>
      </c>
      <c r="V8" s="54">
        <f>IF($O8="","",ROUND(($O8-$O$3)/1000,1)+(_xlfn.RANK.AVG($O8,($J8,$O8,$T8),1)-2)*20)</f>
        <v>-36.299999999999997</v>
      </c>
      <c r="W8" s="55">
        <f>IF($T8="","",ROUND(($T8-$T$3)/1000,1)+(_xlfn.RANK.AVG($T8,($J8,$O8,$T8),1)-2)*20)</f>
        <v>45.5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204</v>
      </c>
      <c r="BU8" s="40" t="s">
        <v>198</v>
      </c>
      <c r="BV8" s="41" t="s">
        <v>92</v>
      </c>
      <c r="BW8" s="41" t="s">
        <v>79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197</v>
      </c>
      <c r="G9" s="9">
        <v>7700</v>
      </c>
      <c r="H9" s="9"/>
      <c r="I9" s="48">
        <v>1000</v>
      </c>
      <c r="J9" s="21">
        <f t="shared" si="2"/>
        <v>34500</v>
      </c>
      <c r="K9" s="8" t="s">
        <v>196</v>
      </c>
      <c r="L9" s="9">
        <v>-2900</v>
      </c>
      <c r="M9" s="9"/>
      <c r="N9" s="48">
        <v>-500</v>
      </c>
      <c r="O9" s="21">
        <f t="shared" si="3"/>
        <v>15300</v>
      </c>
      <c r="P9" s="8" t="s">
        <v>196</v>
      </c>
      <c r="Q9" s="9">
        <v>-4800</v>
      </c>
      <c r="R9" s="9"/>
      <c r="S9" s="48">
        <v>-500</v>
      </c>
      <c r="T9" s="21">
        <f t="shared" si="4"/>
        <v>55200</v>
      </c>
      <c r="U9" s="53">
        <f>IF($J9="","",ROUND(($J9-$J$3)/1000,1)+(_xlfn.RANK.AVG($J9,($J9,$O9,$T9),1)-2)*20)</f>
        <v>-0.5</v>
      </c>
      <c r="V9" s="54">
        <f>IF($O9="","",ROUND(($O9-$O$3)/1000,1)+(_xlfn.RANK.AVG($O9,($J9,$O9,$T9),1)-2)*20)</f>
        <v>-39.700000000000003</v>
      </c>
      <c r="W9" s="55">
        <f>IF($T9="","",ROUND(($T9-$T$3)/1000,1)+(_xlfn.RANK.AVG($T9,($J9,$O9,$T9),1)-2)*20)</f>
        <v>40.200000000000003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198</v>
      </c>
      <c r="AF9" s="41" t="s">
        <v>82</v>
      </c>
      <c r="AG9" s="41" t="s">
        <v>205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196</v>
      </c>
      <c r="G10" s="9">
        <v>-5000</v>
      </c>
      <c r="H10" s="9"/>
      <c r="I10" s="48">
        <v>0</v>
      </c>
      <c r="J10" s="21">
        <f t="shared" si="2"/>
        <v>29500</v>
      </c>
      <c r="K10" s="8" t="s">
        <v>196</v>
      </c>
      <c r="L10" s="9">
        <v>-3000</v>
      </c>
      <c r="M10" s="9"/>
      <c r="N10" s="48">
        <v>0</v>
      </c>
      <c r="O10" s="21">
        <f t="shared" si="3"/>
        <v>12300</v>
      </c>
      <c r="P10" s="8" t="s">
        <v>197</v>
      </c>
      <c r="Q10" s="9">
        <v>8000</v>
      </c>
      <c r="R10" s="9"/>
      <c r="S10" s="48">
        <v>0</v>
      </c>
      <c r="T10" s="21">
        <f t="shared" si="4"/>
        <v>63200</v>
      </c>
      <c r="U10" s="53">
        <f>IF($J10="","",ROUND(($J10-$J$3)/1000,1)+(_xlfn.RANK.AVG($J10,($J10,$O10,$T10),1)-2)*20)</f>
        <v>-5.5</v>
      </c>
      <c r="V10" s="54">
        <f>IF($O10="","",ROUND(($O10-$O$3)/1000,1)+(_xlfn.RANK.AVG($O10,($J10,$O10,$T10),1)-2)*20)</f>
        <v>-42.7</v>
      </c>
      <c r="W10" s="55">
        <f>IF($T10="","",ROUND(($T10-$T$3)/1000,1)+(_xlfn.RANK.AVG($T10,($J10,$O10,$T10),1)-2)*20)</f>
        <v>48.2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204</v>
      </c>
      <c r="BU10" s="40" t="s">
        <v>198</v>
      </c>
      <c r="BV10" s="41" t="s">
        <v>82</v>
      </c>
      <c r="BW10" s="41" t="s">
        <v>205</v>
      </c>
      <c r="BX10" s="41" t="s">
        <v>80</v>
      </c>
      <c r="BY10" s="41" t="s">
        <v>79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ぱぱ</v>
      </c>
      <c r="F11" s="8"/>
      <c r="G11" s="9"/>
      <c r="H11" s="9"/>
      <c r="I11" s="48"/>
      <c r="J11" s="21">
        <f t="shared" si="2"/>
        <v>29500</v>
      </c>
      <c r="K11" s="8" t="s">
        <v>203</v>
      </c>
      <c r="L11" s="9">
        <v>12000</v>
      </c>
      <c r="M11" s="9"/>
      <c r="N11" s="48">
        <v>0</v>
      </c>
      <c r="O11" s="21">
        <f t="shared" si="3"/>
        <v>24300</v>
      </c>
      <c r="P11" s="8" t="s">
        <v>202</v>
      </c>
      <c r="Q11" s="9">
        <v>-12000</v>
      </c>
      <c r="R11" s="9"/>
      <c r="S11" s="48">
        <v>0</v>
      </c>
      <c r="T11" s="21">
        <f t="shared" si="4"/>
        <v>51200</v>
      </c>
      <c r="U11" s="53">
        <f>IF($J11="","",ROUND(($J11-$J$3)/1000,1)+(_xlfn.RANK.AVG($J11,($J11,$O11,$T11),1)-2)*20)</f>
        <v>-5.5</v>
      </c>
      <c r="V11" s="54">
        <f>IF($O11="","",ROUND(($O11-$O$3)/1000,1)+(_xlfn.RANK.AVG($O11,($J11,$O11,$T11),1)-2)*20)</f>
        <v>-30.7</v>
      </c>
      <c r="W11" s="55">
        <f>IF($T11="","",ROUND(($T11-$T$3)/1000,1)+(_xlfn.RANK.AVG($T11,($J11,$O11,$T11),1)-2)*20)</f>
        <v>36.200000000000003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4</v>
      </c>
      <c r="AY11" s="30">
        <v>40</v>
      </c>
      <c r="AZ11" s="40" t="s">
        <v>85</v>
      </c>
      <c r="BA11" s="41" t="s">
        <v>205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IF($K$1="","",$K$1)</f>
        <v>ぱぱ</v>
      </c>
      <c r="F12" s="8" t="s">
        <v>203</v>
      </c>
      <c r="G12" s="9">
        <v>32000</v>
      </c>
      <c r="H12" s="9"/>
      <c r="I12" s="48">
        <v>1000</v>
      </c>
      <c r="J12" s="21">
        <f t="shared" si="2"/>
        <v>62500</v>
      </c>
      <c r="K12" s="8" t="s">
        <v>202</v>
      </c>
      <c r="L12" s="9">
        <v>-32000</v>
      </c>
      <c r="M12" s="9"/>
      <c r="N12" s="48">
        <v>-1000</v>
      </c>
      <c r="O12" s="21">
        <f t="shared" si="3"/>
        <v>-8700</v>
      </c>
      <c r="P12" s="8"/>
      <c r="Q12" s="9"/>
      <c r="R12" s="9"/>
      <c r="S12" s="48"/>
      <c r="T12" s="21">
        <f t="shared" si="4"/>
        <v>51200</v>
      </c>
      <c r="U12" s="53">
        <f>IF($J12="","",ROUND(($J12-$J$3)/1000,1)+(_xlfn.RANK.AVG($J12,($J12,$O12,$T12),1)-2)*20)</f>
        <v>47.5</v>
      </c>
      <c r="V12" s="54">
        <f>IF($O12="","",ROUND(($O12-$O$3)/1000,1)+(_xlfn.RANK.AVG($O12,($J12,$O12,$T12),1)-2)*20)</f>
        <v>-63.7</v>
      </c>
      <c r="W12" s="55">
        <f>IF($T12="","",ROUND(($T12-$T$3)/1000,1)+(_xlfn.RANK.AVG($T12,($J12,$O12,$T12),1)-2)*20)</f>
        <v>16.2</v>
      </c>
      <c r="Y12" s="8"/>
      <c r="Z12" s="34"/>
      <c r="AA12" s="26"/>
      <c r="AB12" s="26"/>
      <c r="AC12" s="26">
        <v>13</v>
      </c>
      <c r="AD12" s="30" t="s">
        <v>204</v>
      </c>
      <c r="AE12" s="40" t="s">
        <v>107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74" priority="5">
      <formula>IF(G4&lt;&gt;"",SUM($G4:$I4,$L4:$N4,$Q4:$S4)-$D4*1000+$D5*1000)</formula>
    </cfRule>
  </conditionalFormatting>
  <conditionalFormatting sqref="F1:G1 I1:L1 S1:T1 N1:Q1">
    <cfRule type="duplicateValues" dxfId="73" priority="4"/>
  </conditionalFormatting>
  <conditionalFormatting sqref="H1">
    <cfRule type="duplicateValues" dxfId="72" priority="3"/>
  </conditionalFormatting>
  <conditionalFormatting sqref="R1">
    <cfRule type="duplicateValues" dxfId="71" priority="2"/>
  </conditionalFormatting>
  <conditionalFormatting sqref="M1">
    <cfRule type="duplicateValues" dxfId="7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D7F56E0-2E54-46A9-AB77-31FF44E1A26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84D41-198D-46D9-9D1A-7673AE0F7C8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ぱぱ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197</v>
      </c>
      <c r="L4" s="9">
        <v>7800</v>
      </c>
      <c r="M4" s="9"/>
      <c r="N4" s="48">
        <v>0</v>
      </c>
      <c r="O4" s="21">
        <f>IF(COUNTA($F4,$K4,$P4)&gt;0,O3+SUM(L4:N4),"")</f>
        <v>42800</v>
      </c>
      <c r="P4" s="8" t="s">
        <v>196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-13.9</v>
      </c>
      <c r="V4" s="54">
        <f>IF($O4="","",ROUND(($O4-$O$3)/1000,1)+(_xlfn.RANK.AVG($O4,($J4,$O4,$T4),1)-2)*20)</f>
        <v>27.8</v>
      </c>
      <c r="W4" s="55">
        <f>IF($T4="","",ROUND(($T4-$T$3)/1000,1)+(_xlfn.RANK.AVG($T4,($J4,$O4,$T4),1)-2)*20)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40</v>
      </c>
      <c r="AZ4" s="40" t="s">
        <v>86</v>
      </c>
      <c r="BA4" s="41" t="s">
        <v>104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201</v>
      </c>
      <c r="G5" s="9">
        <v>-1500</v>
      </c>
      <c r="H5" s="9"/>
      <c r="I5" s="48"/>
      <c r="J5" s="21">
        <f t="shared" ref="J5:J30" si="2">IF(COUNTA($F5,$K5,$P5)&gt;0,J4+SUM(G5:I5),"")</f>
        <v>29600</v>
      </c>
      <c r="K5" s="8" t="s">
        <v>201</v>
      </c>
      <c r="L5" s="9">
        <v>-1500</v>
      </c>
      <c r="M5" s="9"/>
      <c r="N5" s="48"/>
      <c r="O5" s="21">
        <f t="shared" ref="O5:O30" si="3">IF(COUNTA($F5,$K5,$P5)&gt;0,O4+SUM(L5:N5),"")</f>
        <v>41300</v>
      </c>
      <c r="P5" s="8" t="s">
        <v>201</v>
      </c>
      <c r="Q5" s="9">
        <v>3000</v>
      </c>
      <c r="R5" s="9">
        <v>-1000</v>
      </c>
      <c r="S5" s="48"/>
      <c r="T5" s="21">
        <f t="shared" ref="T5:T30" si="4">IF(COUNTA($F5,$K5,$P5)&gt;0,T4+SUM(Q5:S5),"")</f>
        <v>33100</v>
      </c>
      <c r="U5" s="53">
        <f>IF($J5="","",ROUND(($J5-$J$3)/1000,1)+(_xlfn.RANK.AVG($J5,($J5,$O5,$T5),1)-2)*20)</f>
        <v>-25.4</v>
      </c>
      <c r="V5" s="54">
        <f>IF($O5="","",ROUND(($O5-$O$3)/1000,1)+(_xlfn.RANK.AVG($O5,($J5,$O5,$T5),1)-2)*20)</f>
        <v>26.3</v>
      </c>
      <c r="W5" s="55">
        <f>IF($T5="","",ROUND(($T5-$T$3)/1000,1)+(_xlfn.RANK.AVG($T5,($J5,$O5,$T5),1)-2)*20)</f>
        <v>-1.9</v>
      </c>
      <c r="Y5" s="8" t="s">
        <v>199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199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IF($P$1="","",$P$1)</f>
        <v>だいち</v>
      </c>
      <c r="F6" s="8" t="s">
        <v>201</v>
      </c>
      <c r="G6" s="9">
        <v>0</v>
      </c>
      <c r="H6" s="9">
        <v>-1000</v>
      </c>
      <c r="I6" s="48"/>
      <c r="J6" s="21">
        <f t="shared" si="2"/>
        <v>28600</v>
      </c>
      <c r="K6" s="8" t="s">
        <v>201</v>
      </c>
      <c r="L6" s="9">
        <v>0</v>
      </c>
      <c r="M6" s="9"/>
      <c r="N6" s="48"/>
      <c r="O6" s="21">
        <f t="shared" si="3"/>
        <v>41300</v>
      </c>
      <c r="P6" s="8" t="s">
        <v>201</v>
      </c>
      <c r="Q6" s="9">
        <v>0</v>
      </c>
      <c r="R6" s="9"/>
      <c r="S6" s="48"/>
      <c r="T6" s="21">
        <f t="shared" si="4"/>
        <v>33100</v>
      </c>
      <c r="U6" s="53">
        <f>IF($J6="","",ROUND(($J6-$J$3)/1000,1)+(_xlfn.RANK.AVG($J6,($J6,$O6,$T6),1)-2)*20)</f>
        <v>-26.4</v>
      </c>
      <c r="V6" s="54">
        <f>IF($O6="","",ROUND(($O6-$O$3)/1000,1)+(_xlfn.RANK.AVG($O6,($J6,$O6,$T6),1)-2)*20)</f>
        <v>26.3</v>
      </c>
      <c r="W6" s="55">
        <f>IF($T6="","",ROUND(($T6-$T$3)/1000,1)+(_xlfn.RANK.AVG($T6,($J6,$O6,$T6),1)-2)*20)</f>
        <v>-1.9</v>
      </c>
      <c r="Y6" s="8" t="s">
        <v>200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2</v>
      </c>
      <c r="E7" s="4" t="str">
        <f>IF($P$1="","",$P$1)</f>
        <v>だいち</v>
      </c>
      <c r="F7" s="8" t="s">
        <v>196</v>
      </c>
      <c r="G7" s="9">
        <v>-12000</v>
      </c>
      <c r="H7" s="9"/>
      <c r="I7" s="48">
        <v>-1500</v>
      </c>
      <c r="J7" s="21">
        <f t="shared" si="2"/>
        <v>15100</v>
      </c>
      <c r="K7" s="8" t="s">
        <v>197</v>
      </c>
      <c r="L7" s="9">
        <v>32000</v>
      </c>
      <c r="M7" s="9">
        <v>3000</v>
      </c>
      <c r="N7" s="48">
        <v>3000</v>
      </c>
      <c r="O7" s="21">
        <f t="shared" si="3"/>
        <v>79300</v>
      </c>
      <c r="P7" s="8" t="s">
        <v>196</v>
      </c>
      <c r="Q7" s="9">
        <v>-20000</v>
      </c>
      <c r="R7" s="9">
        <v>-1000</v>
      </c>
      <c r="S7" s="48">
        <v>-1500</v>
      </c>
      <c r="T7" s="21">
        <f t="shared" si="4"/>
        <v>10600</v>
      </c>
      <c r="U7" s="53">
        <f>IF($J7="","",ROUND(($J7-$J$3)/1000,1)+(_xlfn.RANK.AVG($J7,($J7,$O7,$T7),1)-2)*20)</f>
        <v>-19.899999999999999</v>
      </c>
      <c r="V7" s="54">
        <f>IF($O7="","",ROUND(($O7-$O$3)/1000,1)+(_xlfn.RANK.AVG($O7,($J7,$O7,$T7),1)-2)*20)</f>
        <v>64.3</v>
      </c>
      <c r="W7" s="55">
        <f>IF($T7="","",ROUND(($T7-$T$3)/1000,1)+(_xlfn.RANK.AVG($T7,($J7,$O7,$T7),1)-2)*20)</f>
        <v>-44.4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13</v>
      </c>
      <c r="AY7" s="30" t="s">
        <v>204</v>
      </c>
      <c r="AZ7" s="40" t="s">
        <v>108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197</v>
      </c>
      <c r="G8" s="9">
        <v>11600</v>
      </c>
      <c r="H8" s="9"/>
      <c r="I8" s="48">
        <v>0</v>
      </c>
      <c r="J8" s="21">
        <f t="shared" si="2"/>
        <v>26700</v>
      </c>
      <c r="K8" s="8" t="s">
        <v>196</v>
      </c>
      <c r="L8" s="9">
        <v>-5800</v>
      </c>
      <c r="M8" s="9"/>
      <c r="N8" s="48">
        <v>0</v>
      </c>
      <c r="O8" s="21">
        <f t="shared" si="3"/>
        <v>73500</v>
      </c>
      <c r="P8" s="8" t="s">
        <v>196</v>
      </c>
      <c r="Q8" s="9">
        <v>-5800</v>
      </c>
      <c r="R8" s="9"/>
      <c r="S8" s="48">
        <v>0</v>
      </c>
      <c r="T8" s="21">
        <f t="shared" si="4"/>
        <v>4800</v>
      </c>
      <c r="U8" s="53">
        <f>IF($J8="","",ROUND(($J8-$J$3)/1000,1)+(_xlfn.RANK.AVG($J8,($J8,$O8,$T8),1)-2)*20)</f>
        <v>-8.3000000000000007</v>
      </c>
      <c r="V8" s="54">
        <f>IF($O8="","",ROUND(($O8-$O$3)/1000,1)+(_xlfn.RANK.AVG($O8,($J8,$O8,$T8),1)-2)*20)</f>
        <v>58.5</v>
      </c>
      <c r="W8" s="55">
        <f>IF($T8="","",ROUND(($T8-$T$3)/1000,1)+(_xlfn.RANK.AVG($T8,($J8,$O8,$T8),1)-2)*20)</f>
        <v>-50.2</v>
      </c>
      <c r="Y8" s="8"/>
      <c r="Z8" s="34"/>
      <c r="AA8" s="26"/>
      <c r="AB8" s="26">
        <v>1</v>
      </c>
      <c r="AC8" s="26">
        <v>4</v>
      </c>
      <c r="AD8" s="30">
        <v>30</v>
      </c>
      <c r="AE8" s="40" t="s">
        <v>86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203</v>
      </c>
      <c r="G9" s="9">
        <v>11600</v>
      </c>
      <c r="H9" s="9">
        <v>1000</v>
      </c>
      <c r="I9" s="48">
        <v>1000</v>
      </c>
      <c r="J9" s="21">
        <f t="shared" si="2"/>
        <v>40300</v>
      </c>
      <c r="K9" s="8"/>
      <c r="L9" s="9"/>
      <c r="M9" s="9"/>
      <c r="N9" s="48"/>
      <c r="O9" s="21">
        <f t="shared" si="3"/>
        <v>73500</v>
      </c>
      <c r="P9" s="8" t="s">
        <v>202</v>
      </c>
      <c r="Q9" s="9">
        <v>-11600</v>
      </c>
      <c r="R9" s="9">
        <v>-1000</v>
      </c>
      <c r="S9" s="48">
        <v>-1000</v>
      </c>
      <c r="T9" s="21">
        <f t="shared" si="4"/>
        <v>-8800</v>
      </c>
      <c r="U9" s="53">
        <f>IF($J9="","",ROUND(($J9-$J$3)/1000,1)+(_xlfn.RANK.AVG($J9,($J9,$O9,$T9),1)-2)*20)</f>
        <v>5.3</v>
      </c>
      <c r="V9" s="54">
        <f>IF($O9="","",ROUND(($O9-$O$3)/1000,1)+(_xlfn.RANK.AVG($O9,($J9,$O9,$T9),1)-2)*20)</f>
        <v>58.5</v>
      </c>
      <c r="W9" s="55">
        <f>IF($T9="","",ROUND(($T9-$T$3)/1000,1)+(_xlfn.RANK.AVG($T9,($J9,$O9,$T9),1)-2)*20)</f>
        <v>-63.8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198</v>
      </c>
      <c r="AF9" s="41" t="s">
        <v>206</v>
      </c>
      <c r="AG9" s="41" t="s">
        <v>83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69" priority="5">
      <formula>IF(G4&lt;&gt;"",SUM($G4:$I4,$L4:$N4,$Q4:$S4)-$D4*1000+$D5*1000)</formula>
    </cfRule>
  </conditionalFormatting>
  <conditionalFormatting sqref="F1:G1 I1:L1 S1:T1 N1:Q1">
    <cfRule type="duplicateValues" dxfId="68" priority="4"/>
  </conditionalFormatting>
  <conditionalFormatting sqref="H1">
    <cfRule type="duplicateValues" dxfId="67" priority="3"/>
  </conditionalFormatting>
  <conditionalFormatting sqref="R1">
    <cfRule type="duplicateValues" dxfId="66" priority="2"/>
  </conditionalFormatting>
  <conditionalFormatting sqref="M1">
    <cfRule type="duplicateValues" dxfId="65" priority="1"/>
  </conditionalFormatting>
  <dataValidations count="3">
    <dataValidation type="list" allowBlank="1" showInputMessage="1" sqref="F1:T1" xr:uid="{24C61839-9899-4621-98AB-B3DB0485435A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8C7CF356-5FB4-4525-87E9-FC2B06C3B4CE}">
      <formula1>"ロン,ツモ,放銃,ツモ支払,流局,チョンボ"</formula1>
    </dataValidation>
    <dataValidation type="list" allowBlank="1" showInputMessage="1" showErrorMessage="1" sqref="E4:E30" xr:uid="{6C39278B-0588-4B8A-9DD5-8D7A136B916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88E-AE25-4309-A1EA-C27AE926ABE7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ぱぱ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1300</v>
      </c>
      <c r="R4" s="9">
        <v>1000</v>
      </c>
      <c r="S4" s="48">
        <v>0</v>
      </c>
      <c r="T4" s="21">
        <f>IF(COUNTA($F4,$K4,$P4)&gt;0,T3+SUM(Q4:S4),"")</f>
        <v>37300</v>
      </c>
      <c r="U4" s="53">
        <f>IF($J4="","",ROUND(($J4-$J$3)/1000,1)+(_xlfn.RANK.AVG($J4,($J4,$O4,$T4),1)-2)*20)</f>
        <v>-22.3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198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203</v>
      </c>
      <c r="G5" s="9">
        <v>12000</v>
      </c>
      <c r="H5" s="9"/>
      <c r="I5" s="48">
        <v>0</v>
      </c>
      <c r="J5" s="21">
        <f t="shared" ref="J5:J30" si="2">IF(COUNTA($F5,$K5,$P5)&gt;0,J4+SUM(G5:I5),"")</f>
        <v>44700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25300</v>
      </c>
      <c r="U5" s="53">
        <f>IF($J5="","",ROUND(($J5-$J$3)/1000,1)+(_xlfn.RANK.AVG($J5,($J5,$O5,$T5),1)-2)*20)</f>
        <v>29.7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-29.7</v>
      </c>
      <c r="Y5" s="8"/>
      <c r="Z5" s="34"/>
      <c r="AA5" s="26"/>
      <c r="AB5" s="26">
        <v>1</v>
      </c>
      <c r="AC5" s="26">
        <v>6</v>
      </c>
      <c r="AD5" s="30" t="s">
        <v>204</v>
      </c>
      <c r="AE5" s="40" t="s">
        <v>86</v>
      </c>
      <c r="AF5" s="41" t="s">
        <v>98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れんたろう</v>
      </c>
      <c r="F6" s="8" t="s">
        <v>202</v>
      </c>
      <c r="G6" s="9">
        <v>-6400</v>
      </c>
      <c r="H6" s="9"/>
      <c r="I6" s="48">
        <v>0</v>
      </c>
      <c r="J6" s="21">
        <f t="shared" si="2"/>
        <v>38300</v>
      </c>
      <c r="K6" s="8"/>
      <c r="L6" s="9"/>
      <c r="M6" s="9"/>
      <c r="N6" s="48"/>
      <c r="O6" s="21">
        <f t="shared" si="3"/>
        <v>35000</v>
      </c>
      <c r="P6" s="8" t="s">
        <v>203</v>
      </c>
      <c r="Q6" s="9">
        <v>6400</v>
      </c>
      <c r="R6" s="9"/>
      <c r="S6" s="48">
        <v>0</v>
      </c>
      <c r="T6" s="21">
        <f t="shared" si="4"/>
        <v>31700</v>
      </c>
      <c r="U6" s="53">
        <f>IF($J6="","",ROUND(($J6-$J$3)/1000,1)+(_xlfn.RANK.AVG($J6,($J6,$O6,$T6),1)-2)*20)</f>
        <v>23.3</v>
      </c>
      <c r="V6" s="54">
        <f>IF($O6="","",ROUND(($O6-$O$3)/1000,1)+(_xlfn.RANK.AVG($O6,($J6,$O6,$T6),1)-2)*20)</f>
        <v>0</v>
      </c>
      <c r="W6" s="55">
        <f>IF($T6="","",ROUND(($T6-$T$3)/1000,1)+(_xlfn.RANK.AVG($T6,($J6,$O6,$T6),1)-2)*20)</f>
        <v>-23.3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25</v>
      </c>
      <c r="BU6" s="40" t="s">
        <v>101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ぱぱ</v>
      </c>
      <c r="F7" s="8" t="s">
        <v>203</v>
      </c>
      <c r="G7" s="9">
        <v>3900</v>
      </c>
      <c r="H7" s="9"/>
      <c r="I7" s="48">
        <v>0</v>
      </c>
      <c r="J7" s="21">
        <f t="shared" si="2"/>
        <v>42200</v>
      </c>
      <c r="K7" s="8"/>
      <c r="L7" s="9"/>
      <c r="M7" s="9"/>
      <c r="N7" s="48"/>
      <c r="O7" s="21">
        <f t="shared" si="3"/>
        <v>35000</v>
      </c>
      <c r="P7" s="8" t="s">
        <v>202</v>
      </c>
      <c r="Q7" s="9">
        <v>-3900</v>
      </c>
      <c r="R7" s="9"/>
      <c r="S7" s="48">
        <v>0</v>
      </c>
      <c r="T7" s="21">
        <f t="shared" si="4"/>
        <v>27800</v>
      </c>
      <c r="U7" s="53">
        <f>IF($J7="","",ROUND(($J7-$J$3)/1000,1)+(_xlfn.RANK.AVG($J7,($J7,$O7,$T7),1)-2)*20)</f>
        <v>27.2</v>
      </c>
      <c r="V7" s="54">
        <f>IF($O7="","",ROUND(($O7-$O$3)/1000,1)+(_xlfn.RANK.AVG($O7,($J7,$O7,$T7),1)-2)*20)</f>
        <v>0</v>
      </c>
      <c r="W7" s="55">
        <f>IF($T7="","",ROUND(($T7-$T$3)/1000,1)+(_xlfn.RANK.AVG($T7,($J7,$O7,$T7),1)-2)*20)</f>
        <v>-27.2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198</v>
      </c>
      <c r="AF7" s="41" t="s">
        <v>83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201</v>
      </c>
      <c r="G8" s="9">
        <v>1500</v>
      </c>
      <c r="H8" s="9"/>
      <c r="I8" s="48"/>
      <c r="J8" s="21">
        <f t="shared" si="2"/>
        <v>43700</v>
      </c>
      <c r="K8" s="8" t="s">
        <v>201</v>
      </c>
      <c r="L8" s="9">
        <v>1500</v>
      </c>
      <c r="M8" s="9"/>
      <c r="N8" s="48"/>
      <c r="O8" s="21">
        <f t="shared" si="3"/>
        <v>36500</v>
      </c>
      <c r="P8" s="8" t="s">
        <v>201</v>
      </c>
      <c r="Q8" s="9">
        <v>-3000</v>
      </c>
      <c r="R8" s="9"/>
      <c r="S8" s="48"/>
      <c r="T8" s="21">
        <f t="shared" si="4"/>
        <v>24800</v>
      </c>
      <c r="U8" s="53">
        <f>IF($J8="","",ROUND(($J8-$J$3)/1000,1)+(_xlfn.RANK.AVG($J8,($J8,$O8,$T8),1)-2)*20)</f>
        <v>28.7</v>
      </c>
      <c r="V8" s="54">
        <f>IF($O8="","",ROUND(($O8-$O$3)/1000,1)+(_xlfn.RANK.AVG($O8,($J8,$O8,$T8),1)-2)*20)</f>
        <v>1.5</v>
      </c>
      <c r="W8" s="55">
        <f>IF($T8="","",ROUND(($T8-$T$3)/1000,1)+(_xlfn.RANK.AVG($T8,($J8,$O8,$T8),1)-2)*20)</f>
        <v>-30.2</v>
      </c>
      <c r="Y8" s="8" t="s">
        <v>200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200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199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197</v>
      </c>
      <c r="G9" s="9">
        <v>1600</v>
      </c>
      <c r="H9" s="9">
        <v>2000</v>
      </c>
      <c r="I9" s="48">
        <v>1000</v>
      </c>
      <c r="J9" s="21">
        <f t="shared" si="2"/>
        <v>48300</v>
      </c>
      <c r="K9" s="8" t="s">
        <v>196</v>
      </c>
      <c r="L9" s="9">
        <v>-800</v>
      </c>
      <c r="M9" s="9"/>
      <c r="N9" s="48">
        <v>-500</v>
      </c>
      <c r="O9" s="21">
        <f t="shared" si="3"/>
        <v>35200</v>
      </c>
      <c r="P9" s="8" t="s">
        <v>196</v>
      </c>
      <c r="Q9" s="9">
        <v>-800</v>
      </c>
      <c r="R9" s="9">
        <v>-2000</v>
      </c>
      <c r="S9" s="48">
        <v>-500</v>
      </c>
      <c r="T9" s="21">
        <f t="shared" si="4"/>
        <v>21500</v>
      </c>
      <c r="U9" s="53">
        <f>IF($J9="","",ROUND(($J9-$J$3)/1000,1)+(_xlfn.RANK.AVG($J9,($J9,$O9,$T9),1)-2)*20)</f>
        <v>33.299999999999997</v>
      </c>
      <c r="V9" s="54">
        <f>IF($O9="","",ROUND(($O9-$O$3)/1000,1)+(_xlfn.RANK.AVG($O9,($J9,$O9,$T9),1)-2)*20)</f>
        <v>0.2</v>
      </c>
      <c r="W9" s="55">
        <f>IF($T9="","",ROUND(($T9-$T$3)/1000,1)+(_xlfn.RANK.AVG($T9,($J9,$O9,$T9),1)-2)*20)</f>
        <v>-33.5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64" priority="5">
      <formula>IF(G4&lt;&gt;"",SUM($G4:$I4,$L4:$N4,$Q4:$S4)-$D4*1000+$D5*1000)</formula>
    </cfRule>
  </conditionalFormatting>
  <conditionalFormatting sqref="F1:G1 I1:L1 S1:T1 N1:Q1">
    <cfRule type="duplicateValues" dxfId="63" priority="4"/>
  </conditionalFormatting>
  <conditionalFormatting sqref="H1">
    <cfRule type="duplicateValues" dxfId="62" priority="3"/>
  </conditionalFormatting>
  <conditionalFormatting sqref="R1">
    <cfRule type="duplicateValues" dxfId="61" priority="2"/>
  </conditionalFormatting>
  <conditionalFormatting sqref="M1">
    <cfRule type="duplicateValues" dxfId="60" priority="1"/>
  </conditionalFormatting>
  <dataValidations count="3">
    <dataValidation type="list" allowBlank="1" showInputMessage="1" showErrorMessage="1" sqref="E4:E30" xr:uid="{A4EA0DBD-494B-4B53-921D-679F7C7E824C}">
      <formula1>$U$2:$W$2</formula1>
    </dataValidation>
    <dataValidation type="list" showInputMessage="1" showErrorMessage="1" sqref="K4:K30 P4:P30 F4:F30" xr:uid="{BD33E540-6E74-4D75-B326-50804D4687A9}">
      <formula1>"ロン,ツモ,放銃,ツモ支払,流局,チョンボ"</formula1>
    </dataValidation>
    <dataValidation type="list" allowBlank="1" showInputMessage="1" sqref="F1:T1" xr:uid="{1D0761CE-8CF2-4CF4-921B-2E6B430996E3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3FF9E-1BE9-45DD-813F-1CAE818244E0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ぱぱ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196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IF($J4="","",ROUND(($J4-$J$3)/1000,1)+(_xlfn.RANK.AVG($J4,($J4,$O4,$T4),1)-2)*20)</f>
        <v>-30</v>
      </c>
      <c r="V4" s="54">
        <f>IF($O4="","",ROUND(($O4-$O$3)/1000,1)+(_xlfn.RANK.AVG($O4,($J4,$O4,$T4),1)-2)*20)</f>
        <v>36</v>
      </c>
      <c r="W4" s="55">
        <f>IF($T4="","",ROUND(($T4-$T$3)/1000,1)+(_xlfn.RANK.AVG($T4,($J4,$O4,$T4),1)-2)*20)</f>
        <v>-6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204</v>
      </c>
      <c r="AZ4" s="40" t="s">
        <v>198</v>
      </c>
      <c r="BA4" s="41" t="s">
        <v>82</v>
      </c>
      <c r="BB4" s="41" t="s">
        <v>79</v>
      </c>
      <c r="BC4" s="41" t="s">
        <v>79</v>
      </c>
      <c r="BD4" s="41" t="s">
        <v>79</v>
      </c>
      <c r="BE4" s="41" t="s">
        <v>205</v>
      </c>
      <c r="BF4" s="41" t="s">
        <v>80</v>
      </c>
      <c r="BG4" s="41" t="s">
        <v>80</v>
      </c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197</v>
      </c>
      <c r="G5" s="9">
        <v>16000</v>
      </c>
      <c r="H5" s="9">
        <v>1000</v>
      </c>
      <c r="I5" s="48">
        <v>0</v>
      </c>
      <c r="J5" s="21">
        <f t="shared" ref="J5:J30" si="2">IF(COUNTA($F5,$K5,$P5)&gt;0,J4+SUM(G5:I5),"")</f>
        <v>42000</v>
      </c>
      <c r="K5" s="8" t="s">
        <v>196</v>
      </c>
      <c r="L5" s="9">
        <v>-10000</v>
      </c>
      <c r="M5" s="9"/>
      <c r="N5" s="48">
        <v>0</v>
      </c>
      <c r="O5" s="21">
        <f t="shared" ref="O5:O30" si="3">IF(COUNTA($F5,$K5,$P5)&gt;0,O4+SUM(L5:N5),"")</f>
        <v>41000</v>
      </c>
      <c r="P5" s="8" t="s">
        <v>196</v>
      </c>
      <c r="Q5" s="9">
        <v>-6000</v>
      </c>
      <c r="R5" s="9">
        <v>-1000</v>
      </c>
      <c r="S5" s="48">
        <v>0</v>
      </c>
      <c r="T5" s="21">
        <f t="shared" ref="T5:T30" si="4">IF(COUNTA($F5,$K5,$P5)&gt;0,T4+SUM(Q5:S5),"")</f>
        <v>22000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6</v>
      </c>
      <c r="W5" s="55">
        <f>IF($T5="","",ROUND(($T5-$T$3)/1000,1)+(_xlfn.RANK.AVG($T5,($J5,$O5,$T5),1)-2)*20)</f>
        <v>-33</v>
      </c>
      <c r="Y5" s="8"/>
      <c r="Z5" s="34"/>
      <c r="AA5" s="26">
        <v>1</v>
      </c>
      <c r="AB5" s="26"/>
      <c r="AC5" s="26">
        <v>9</v>
      </c>
      <c r="AD5" s="30" t="s">
        <v>204</v>
      </c>
      <c r="AE5" s="40" t="s">
        <v>198</v>
      </c>
      <c r="AF5" s="41" t="s">
        <v>82</v>
      </c>
      <c r="AG5" s="41" t="s">
        <v>84</v>
      </c>
      <c r="AH5" s="41" t="s">
        <v>106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203</v>
      </c>
      <c r="G6" s="9">
        <v>8000</v>
      </c>
      <c r="H6" s="9"/>
      <c r="I6" s="48">
        <v>0</v>
      </c>
      <c r="J6" s="21">
        <f t="shared" si="2"/>
        <v>50000</v>
      </c>
      <c r="K6" s="8" t="s">
        <v>202</v>
      </c>
      <c r="L6" s="9">
        <v>-8000</v>
      </c>
      <c r="M6" s="9"/>
      <c r="N6" s="48">
        <v>0</v>
      </c>
      <c r="O6" s="21">
        <f t="shared" si="3"/>
        <v>33000</v>
      </c>
      <c r="P6" s="8"/>
      <c r="Q6" s="9"/>
      <c r="R6" s="9"/>
      <c r="S6" s="48"/>
      <c r="T6" s="21">
        <f t="shared" si="4"/>
        <v>22000</v>
      </c>
      <c r="U6" s="53">
        <f>IF($J6="","",ROUND(($J6-$J$3)/1000,1)+(_xlfn.RANK.AVG($J6,($J6,$O6,$T6),1)-2)*20)</f>
        <v>35</v>
      </c>
      <c r="V6" s="54">
        <f>IF($O6="","",ROUND(($O6-$O$3)/1000,1)+(_xlfn.RANK.AVG($O6,($J6,$O6,$T6),1)-2)*20)</f>
        <v>-2</v>
      </c>
      <c r="W6" s="55">
        <f>IF($T6="","",ROUND(($T6-$T$3)/1000,1)+(_xlfn.RANK.AVG($T6,($J6,$O6,$T6),1)-2)*20)</f>
        <v>-33</v>
      </c>
      <c r="Y6" s="8"/>
      <c r="Z6" s="34"/>
      <c r="AA6" s="26">
        <v>1</v>
      </c>
      <c r="AB6" s="26"/>
      <c r="AC6" s="26">
        <v>5</v>
      </c>
      <c r="AD6" s="30" t="s">
        <v>204</v>
      </c>
      <c r="AE6" s="40" t="s">
        <v>198</v>
      </c>
      <c r="AF6" s="41" t="s">
        <v>83</v>
      </c>
      <c r="AG6" s="41" t="s">
        <v>79</v>
      </c>
      <c r="AH6" s="41" t="s">
        <v>79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201</v>
      </c>
      <c r="G7" s="9">
        <v>-1500</v>
      </c>
      <c r="H7" s="9"/>
      <c r="I7" s="48"/>
      <c r="J7" s="21">
        <f t="shared" si="2"/>
        <v>48500</v>
      </c>
      <c r="K7" s="8" t="s">
        <v>201</v>
      </c>
      <c r="L7" s="9">
        <v>3000</v>
      </c>
      <c r="M7" s="9"/>
      <c r="N7" s="48"/>
      <c r="O7" s="21">
        <f t="shared" si="3"/>
        <v>36000</v>
      </c>
      <c r="P7" s="8" t="s">
        <v>201</v>
      </c>
      <c r="Q7" s="9">
        <v>-1500</v>
      </c>
      <c r="R7" s="9"/>
      <c r="S7" s="48"/>
      <c r="T7" s="21">
        <f t="shared" si="4"/>
        <v>20500</v>
      </c>
      <c r="U7" s="53">
        <f>IF($J7="","",ROUND(($J7-$J$3)/1000,1)+(_xlfn.RANK.AVG($J7,($J7,$O7,$T7),1)-2)*20)</f>
        <v>33.5</v>
      </c>
      <c r="V7" s="54">
        <f>IF($O7="","",ROUND(($O7-$O$3)/1000,1)+(_xlfn.RANK.AVG($O7,($J7,$O7,$T7),1)-2)*20)</f>
        <v>1</v>
      </c>
      <c r="W7" s="55">
        <f>IF($T7="","",ROUND(($T7-$T$3)/1000,1)+(_xlfn.RANK.AVG($T7,($J7,$O7,$T7),1)-2)*20)</f>
        <v>-34.5</v>
      </c>
      <c r="Y7" s="8" t="s">
        <v>199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IF($K$1="","",$K$1)</f>
        <v>ぱぱ</v>
      </c>
      <c r="F8" s="8" t="s">
        <v>196</v>
      </c>
      <c r="G8" s="9">
        <v>-5800</v>
      </c>
      <c r="H8" s="9"/>
      <c r="I8" s="48">
        <v>-500</v>
      </c>
      <c r="J8" s="21">
        <f t="shared" si="2"/>
        <v>42200</v>
      </c>
      <c r="K8" s="8" t="s">
        <v>197</v>
      </c>
      <c r="L8" s="9">
        <v>11600</v>
      </c>
      <c r="M8" s="9"/>
      <c r="N8" s="48">
        <v>1000</v>
      </c>
      <c r="O8" s="21">
        <f t="shared" si="3"/>
        <v>48600</v>
      </c>
      <c r="P8" s="8" t="s">
        <v>196</v>
      </c>
      <c r="Q8" s="9">
        <v>-5800</v>
      </c>
      <c r="R8" s="9"/>
      <c r="S8" s="48">
        <v>-500</v>
      </c>
      <c r="T8" s="21">
        <f t="shared" si="4"/>
        <v>14200</v>
      </c>
      <c r="U8" s="53">
        <f>IF($J8="","",ROUND(($J8-$J$3)/1000,1)+(_xlfn.RANK.AVG($J8,($J8,$O8,$T8),1)-2)*20)</f>
        <v>7.2</v>
      </c>
      <c r="V8" s="54">
        <f>IF($O8="","",ROUND(($O8-$O$3)/1000,1)+(_xlfn.RANK.AVG($O8,($J8,$O8,$T8),1)-2)*20)</f>
        <v>33.6</v>
      </c>
      <c r="W8" s="55">
        <f>IF($T8="","",ROUND(($T8-$T$3)/1000,1)+(_xlfn.RANK.AVG($T8,($J8,$O8,$T8),1)-2)*20)</f>
        <v>-40.799999999999997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30</v>
      </c>
      <c r="AZ8" s="40" t="s">
        <v>82</v>
      </c>
      <c r="BA8" s="41" t="s">
        <v>85</v>
      </c>
      <c r="BB8" s="41" t="s">
        <v>205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tr">
        <f>IF($K$1="","",$K$1)</f>
        <v>ぱぱ</v>
      </c>
      <c r="F9" s="8" t="s">
        <v>197</v>
      </c>
      <c r="G9" s="9">
        <v>12000</v>
      </c>
      <c r="H9" s="9"/>
      <c r="I9" s="48">
        <v>2000</v>
      </c>
      <c r="J9" s="21">
        <f t="shared" si="2"/>
        <v>56200</v>
      </c>
      <c r="K9" s="8" t="s">
        <v>196</v>
      </c>
      <c r="L9" s="9">
        <v>-7500</v>
      </c>
      <c r="M9" s="9"/>
      <c r="N9" s="48">
        <v>-1000</v>
      </c>
      <c r="O9" s="21">
        <f t="shared" si="3"/>
        <v>40100</v>
      </c>
      <c r="P9" s="8" t="s">
        <v>196</v>
      </c>
      <c r="Q9" s="9">
        <v>-4500</v>
      </c>
      <c r="R9" s="9"/>
      <c r="S9" s="48">
        <v>-1000</v>
      </c>
      <c r="T9" s="21">
        <f t="shared" si="4"/>
        <v>8700</v>
      </c>
      <c r="U9" s="53">
        <f>IF($J9="","",ROUND(($J9-$J$3)/1000,1)+(_xlfn.RANK.AVG($J9,($J9,$O9,$T9),1)-2)*20)</f>
        <v>41.2</v>
      </c>
      <c r="V9" s="54">
        <f>IF($O9="","",ROUND(($O9-$O$3)/1000,1)+(_xlfn.RANK.AVG($O9,($J9,$O9,$T9),1)-2)*20)</f>
        <v>5.0999999999999996</v>
      </c>
      <c r="W9" s="55">
        <f>IF($T9="","",ROUND(($T9-$T$3)/1000,1)+(_xlfn.RANK.AVG($T9,($J9,$O9,$T9),1)-2)*20)</f>
        <v>-46.3</v>
      </c>
      <c r="Y9" s="8"/>
      <c r="Z9" s="34"/>
      <c r="AA9" s="26">
        <v>1</v>
      </c>
      <c r="AB9" s="26"/>
      <c r="AC9" s="26">
        <v>6</v>
      </c>
      <c r="AD9" s="30" t="s">
        <v>204</v>
      </c>
      <c r="AE9" s="40" t="s">
        <v>198</v>
      </c>
      <c r="AF9" s="41" t="s">
        <v>82</v>
      </c>
      <c r="AG9" s="41" t="s">
        <v>84</v>
      </c>
      <c r="AH9" s="41" t="s">
        <v>79</v>
      </c>
      <c r="AI9" s="41" t="s">
        <v>79</v>
      </c>
      <c r="AJ9" s="41" t="s">
        <v>205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201</v>
      </c>
      <c r="G10" s="9">
        <v>-1500</v>
      </c>
      <c r="H10" s="9">
        <v>1000</v>
      </c>
      <c r="I10" s="48"/>
      <c r="J10" s="21">
        <f t="shared" si="2"/>
        <v>55700</v>
      </c>
      <c r="K10" s="8" t="s">
        <v>201</v>
      </c>
      <c r="L10" s="9">
        <v>3000</v>
      </c>
      <c r="M10" s="9">
        <v>-1000</v>
      </c>
      <c r="N10" s="48"/>
      <c r="O10" s="21">
        <f t="shared" si="3"/>
        <v>42100</v>
      </c>
      <c r="P10" s="8" t="s">
        <v>201</v>
      </c>
      <c r="Q10" s="9">
        <v>-1500</v>
      </c>
      <c r="R10" s="9"/>
      <c r="S10" s="48"/>
      <c r="T10" s="21">
        <f t="shared" si="4"/>
        <v>7200</v>
      </c>
      <c r="U10" s="53">
        <f>IF($J10="","",ROUND(($J10-$J$3)/1000,1)+(_xlfn.RANK.AVG($J10,($J10,$O10,$T10),1)-2)*20)</f>
        <v>40.700000000000003</v>
      </c>
      <c r="V10" s="54">
        <f>IF($O10="","",ROUND(($O10-$O$3)/1000,1)+(_xlfn.RANK.AVG($O10,($J10,$O10,$T10),1)-2)*20)</f>
        <v>7.1</v>
      </c>
      <c r="W10" s="55">
        <f>IF($T10="","",ROUND(($T10-$T$3)/1000,1)+(_xlfn.RANK.AVG($T10,($J10,$O10,$T10),1)-2)*20)</f>
        <v>-47.8</v>
      </c>
      <c r="Y10" s="8" t="s">
        <v>199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200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allowBlank="1" showInputMessage="1" sqref="F1:T1" xr:uid="{115E7935-EBE5-4374-8E81-7FE258A64B3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C6757241-37FE-417F-95E4-28CE4F0CEF19}">
      <formula1>"ロン,ツモ,放銃,ツモ支払,流局,チョンボ"</formula1>
    </dataValidation>
    <dataValidation type="list" allowBlank="1" showInputMessage="1" showErrorMessage="1" sqref="E4:E30" xr:uid="{0222DBFB-E37A-4D1B-98A6-0E4D887B68A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150B6-9AAF-4D22-828D-F02C6D024998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IF($J4="","",ROUND(($J4-$J$3)/1000,1)+(_xlfn.RANK.AVG($J4,($J4,$O4,$T4),1)-2)*20)</f>
        <v>-22.6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198</v>
      </c>
      <c r="BV4" s="41" t="s">
        <v>80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201</v>
      </c>
      <c r="G5" s="9">
        <v>1500</v>
      </c>
      <c r="H5" s="9">
        <v>-1000</v>
      </c>
      <c r="I5" s="48"/>
      <c r="J5" s="21">
        <f t="shared" ref="J5:J30" si="2">IF(COUNTA($F5,$K5,$P5)&gt;0,J4+SUM(G5:I5),"")</f>
        <v>32900</v>
      </c>
      <c r="K5" s="8" t="s">
        <v>201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201</v>
      </c>
      <c r="Q5" s="9">
        <v>-3000</v>
      </c>
      <c r="R5" s="9"/>
      <c r="S5" s="48"/>
      <c r="T5" s="21">
        <f t="shared" ref="T5:T30" si="4">IF(COUNTA($F5,$K5,$P5)&gt;0,T4+SUM(Q5:S5),"")</f>
        <v>34600</v>
      </c>
      <c r="U5" s="53">
        <f>IF($J5="","",ROUND(($J5-$J$3)/1000,1)+(_xlfn.RANK.AVG($J5,($J5,$O5,$T5),1)-2)*20)</f>
        <v>-22.1</v>
      </c>
      <c r="V5" s="54">
        <f>IF($O5="","",ROUND(($O5-$O$3)/1000,1)+(_xlfn.RANK.AVG($O5,($J5,$O5,$T5),1)-2)*20)</f>
        <v>21.5</v>
      </c>
      <c r="W5" s="55">
        <f>IF($T5="","",ROUND(($T5-$T$3)/1000,1)+(_xlfn.RANK.AVG($T5,($J5,$O5,$T5),1)-2)*20)</f>
        <v>-0.4</v>
      </c>
      <c r="Y5" s="8" t="s">
        <v>200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れんたろう</v>
      </c>
      <c r="F6" s="8" t="s">
        <v>197</v>
      </c>
      <c r="G6" s="9">
        <v>8000</v>
      </c>
      <c r="H6" s="9">
        <v>1000</v>
      </c>
      <c r="I6" s="48">
        <v>1000</v>
      </c>
      <c r="J6" s="21">
        <f t="shared" si="2"/>
        <v>42900</v>
      </c>
      <c r="K6" s="8" t="s">
        <v>196</v>
      </c>
      <c r="L6" s="9">
        <v>-5000</v>
      </c>
      <c r="M6" s="9"/>
      <c r="N6" s="48">
        <v>-500</v>
      </c>
      <c r="O6" s="21">
        <f t="shared" si="3"/>
        <v>31000</v>
      </c>
      <c r="P6" s="8" t="s">
        <v>196</v>
      </c>
      <c r="Q6" s="9">
        <v>-3000</v>
      </c>
      <c r="R6" s="9"/>
      <c r="S6" s="48">
        <v>-500</v>
      </c>
      <c r="T6" s="21">
        <f t="shared" si="4"/>
        <v>31100</v>
      </c>
      <c r="U6" s="53">
        <f>IF($J6="","",ROUND(($J6-$J$3)/1000,1)+(_xlfn.RANK.AVG($J6,($J6,$O6,$T6),1)-2)*20)</f>
        <v>27.9</v>
      </c>
      <c r="V6" s="54">
        <f>IF($O6="","",ROUND(($O6-$O$3)/1000,1)+(_xlfn.RANK.AVG($O6,($J6,$O6,$T6),1)-2)*20)</f>
        <v>-24</v>
      </c>
      <c r="W6" s="55">
        <f>IF($T6="","",ROUND(($T6-$T$3)/1000,1)+(_xlfn.RANK.AVG($T6,($J6,$O6,$T6),1)-2)*20)</f>
        <v>-3.9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198</v>
      </c>
      <c r="AF6" s="41" t="s">
        <v>82</v>
      </c>
      <c r="AG6" s="41" t="s">
        <v>206</v>
      </c>
      <c r="AH6" s="41" t="s">
        <v>86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201</v>
      </c>
      <c r="G7" s="9">
        <v>3000</v>
      </c>
      <c r="H7" s="9"/>
      <c r="I7" s="48"/>
      <c r="J7" s="21">
        <f t="shared" si="2"/>
        <v>45900</v>
      </c>
      <c r="K7" s="8" t="s">
        <v>201</v>
      </c>
      <c r="L7" s="9">
        <v>-1500</v>
      </c>
      <c r="M7" s="9"/>
      <c r="N7" s="48"/>
      <c r="O7" s="21">
        <f t="shared" si="3"/>
        <v>29500</v>
      </c>
      <c r="P7" s="8" t="s">
        <v>201</v>
      </c>
      <c r="Q7" s="9">
        <v>-1500</v>
      </c>
      <c r="R7" s="9"/>
      <c r="S7" s="48"/>
      <c r="T7" s="21">
        <f t="shared" si="4"/>
        <v>29600</v>
      </c>
      <c r="U7" s="53">
        <f>IF($J7="","",ROUND(($J7-$J$3)/1000,1)+(_xlfn.RANK.AVG($J7,($J7,$O7,$T7),1)-2)*20)</f>
        <v>30.9</v>
      </c>
      <c r="V7" s="54">
        <f>IF($O7="","",ROUND(($O7-$O$3)/1000,1)+(_xlfn.RANK.AVG($O7,($J7,$O7,$T7),1)-2)*20)</f>
        <v>-25.5</v>
      </c>
      <c r="W7" s="55">
        <f>IF($T7="","",ROUND(($T7-$T$3)/1000,1)+(_xlfn.RANK.AVG($T7,($J7,$O7,$T7),1)-2)*20)</f>
        <v>-5.4</v>
      </c>
      <c r="Y7" s="8" t="s">
        <v>200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ぱぱ</v>
      </c>
      <c r="F8" s="8" t="s">
        <v>203</v>
      </c>
      <c r="G8" s="9">
        <v>18000</v>
      </c>
      <c r="H8" s="9"/>
      <c r="I8" s="48">
        <v>1000</v>
      </c>
      <c r="J8" s="21">
        <f t="shared" si="2"/>
        <v>64900</v>
      </c>
      <c r="K8" s="8" t="s">
        <v>202</v>
      </c>
      <c r="L8" s="9">
        <v>-18000</v>
      </c>
      <c r="M8" s="9"/>
      <c r="N8" s="48">
        <v>-1000</v>
      </c>
      <c r="O8" s="21">
        <f t="shared" si="3"/>
        <v>10500</v>
      </c>
      <c r="P8" s="8"/>
      <c r="Q8" s="9"/>
      <c r="R8" s="9"/>
      <c r="S8" s="48"/>
      <c r="T8" s="21">
        <f t="shared" si="4"/>
        <v>29600</v>
      </c>
      <c r="U8" s="53">
        <f>IF($J8="","",ROUND(($J8-$J$3)/1000,1)+(_xlfn.RANK.AVG($J8,($J8,$O8,$T8),1)-2)*20)</f>
        <v>49.9</v>
      </c>
      <c r="V8" s="54">
        <f>IF($O8="","",ROUND(($O8-$O$3)/1000,1)+(_xlfn.RANK.AVG($O8,($J8,$O8,$T8),1)-2)*20)</f>
        <v>-44.5</v>
      </c>
      <c r="W8" s="55">
        <f>IF($T8="","",ROUND(($T8-$T$3)/1000,1)+(_xlfn.RANK.AVG($T8,($J8,$O8,$T8),1)-2)*20)</f>
        <v>-5.4</v>
      </c>
      <c r="Y8" s="8"/>
      <c r="Z8" s="34"/>
      <c r="AA8" s="26"/>
      <c r="AB8" s="26">
        <v>1</v>
      </c>
      <c r="AC8" s="26">
        <v>6</v>
      </c>
      <c r="AD8" s="30" t="s">
        <v>204</v>
      </c>
      <c r="AE8" s="40" t="s">
        <v>104</v>
      </c>
      <c r="AF8" s="41" t="s">
        <v>86</v>
      </c>
      <c r="AG8" s="41" t="s">
        <v>86</v>
      </c>
      <c r="AH8" s="41" t="s">
        <v>86</v>
      </c>
      <c r="AI8" s="41" t="s">
        <v>205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ぱぱ</v>
      </c>
      <c r="F9" s="8"/>
      <c r="G9" s="9"/>
      <c r="H9" s="9">
        <v>-1000</v>
      </c>
      <c r="I9" s="48"/>
      <c r="J9" s="21">
        <f t="shared" si="2"/>
        <v>63900</v>
      </c>
      <c r="K9" s="8" t="s">
        <v>202</v>
      </c>
      <c r="L9" s="9">
        <v>-8000</v>
      </c>
      <c r="M9" s="9"/>
      <c r="N9" s="48">
        <v>-2000</v>
      </c>
      <c r="O9" s="21">
        <f t="shared" si="3"/>
        <v>500</v>
      </c>
      <c r="P9" s="8" t="s">
        <v>203</v>
      </c>
      <c r="Q9" s="9">
        <v>8000</v>
      </c>
      <c r="R9" s="9">
        <v>1000</v>
      </c>
      <c r="S9" s="48">
        <v>2000</v>
      </c>
      <c r="T9" s="21">
        <f t="shared" si="4"/>
        <v>40600</v>
      </c>
      <c r="U9" s="53">
        <f>IF($J9="","",ROUND(($J9-$J$3)/1000,1)+(_xlfn.RANK.AVG($J9,($J9,$O9,$T9),1)-2)*20)</f>
        <v>48.9</v>
      </c>
      <c r="V9" s="54">
        <f>IF($O9="","",ROUND(($O9-$O$3)/1000,1)+(_xlfn.RANK.AVG($O9,($J9,$O9,$T9),1)-2)*20)</f>
        <v>-54.5</v>
      </c>
      <c r="W9" s="55">
        <f>IF($T9="","",ROUND(($T9-$T$3)/1000,1)+(_xlfn.RANK.AVG($T9,($J9,$O9,$T9),1)-2)*20)</f>
        <v>5.6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204</v>
      </c>
      <c r="BU9" s="40" t="s">
        <v>198</v>
      </c>
      <c r="BV9" s="41" t="s">
        <v>92</v>
      </c>
      <c r="BW9" s="41" t="s">
        <v>205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197</v>
      </c>
      <c r="G10" s="9">
        <v>16000</v>
      </c>
      <c r="H10" s="9"/>
      <c r="I10" s="48">
        <v>0</v>
      </c>
      <c r="J10" s="21">
        <f t="shared" si="2"/>
        <v>79900</v>
      </c>
      <c r="K10" s="8" t="s">
        <v>196</v>
      </c>
      <c r="L10" s="9">
        <v>-10000</v>
      </c>
      <c r="M10" s="9"/>
      <c r="N10" s="48">
        <v>0</v>
      </c>
      <c r="O10" s="21">
        <f t="shared" si="3"/>
        <v>-9500</v>
      </c>
      <c r="P10" s="8" t="s">
        <v>196</v>
      </c>
      <c r="Q10" s="9">
        <v>-6000</v>
      </c>
      <c r="R10" s="9"/>
      <c r="S10" s="48">
        <v>0</v>
      </c>
      <c r="T10" s="21">
        <f t="shared" si="4"/>
        <v>34600</v>
      </c>
      <c r="U10" s="53">
        <f>IF($J10="","",ROUND(($J10-$J$3)/1000,1)+(_xlfn.RANK.AVG($J10,($J10,$O10,$T10),1)-2)*20)</f>
        <v>64.900000000000006</v>
      </c>
      <c r="V10" s="54">
        <f>IF($O10="","",ROUND(($O10-$O$3)/1000,1)+(_xlfn.RANK.AVG($O10,($J10,$O10,$T10),1)-2)*20)</f>
        <v>-64.5</v>
      </c>
      <c r="W10" s="55">
        <f>IF($T10="","",ROUND(($T10-$T$3)/1000,1)+(_xlfn.RANK.AVG($T10,($J10,$O10,$T10),1)-2)*20)</f>
        <v>-0.4</v>
      </c>
      <c r="Y10" s="8"/>
      <c r="Z10" s="34"/>
      <c r="AA10" s="26">
        <v>1</v>
      </c>
      <c r="AB10" s="26"/>
      <c r="AC10" s="26">
        <v>9</v>
      </c>
      <c r="AD10" s="30" t="s">
        <v>204</v>
      </c>
      <c r="AE10" s="40" t="s">
        <v>198</v>
      </c>
      <c r="AF10" s="41" t="s">
        <v>82</v>
      </c>
      <c r="AG10" s="41" t="s">
        <v>79</v>
      </c>
      <c r="AH10" s="41" t="s">
        <v>79</v>
      </c>
      <c r="AI10" s="41" t="s">
        <v>79</v>
      </c>
      <c r="AJ10" s="41" t="s">
        <v>80</v>
      </c>
      <c r="AK10" s="41" t="s">
        <v>80</v>
      </c>
      <c r="AL10" s="41" t="s">
        <v>80</v>
      </c>
      <c r="AM10" s="41" t="s">
        <v>205</v>
      </c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4E71AAD2-85D5-4CE2-8540-E620A35013F6}">
      <formula1>$U$2:$W$2</formula1>
    </dataValidation>
    <dataValidation type="list" showInputMessage="1" showErrorMessage="1" sqref="K4:K30 P4:P30 F4:F30" xr:uid="{B29B1C2B-3980-41F7-A90B-CADAFAFA6DA5}">
      <formula1>"ロン,ツモ,放銃,ツモ支払,流局,チョンボ"</formula1>
    </dataValidation>
    <dataValidation type="list" allowBlank="1" showInputMessage="1" sqref="F1:T1" xr:uid="{04258431-1CA5-44D8-A6B8-17970477C5B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EF99-0DFB-4A57-84CF-2F18BFBE2D7D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196</v>
      </c>
      <c r="L4" s="9">
        <v>-4800</v>
      </c>
      <c r="M4" s="9">
        <v>-2000</v>
      </c>
      <c r="N4" s="48">
        <v>0</v>
      </c>
      <c r="O4" s="21">
        <f>IF(COUNTA($F4,$K4,$P4)&gt;0,O3+SUM(L4:N4),"")</f>
        <v>28200</v>
      </c>
      <c r="P4" s="8" t="s">
        <v>197</v>
      </c>
      <c r="Q4" s="9">
        <v>9600</v>
      </c>
      <c r="R4" s="9">
        <v>2000</v>
      </c>
      <c r="S4" s="48">
        <v>0</v>
      </c>
      <c r="T4" s="21">
        <f>IF(COUNTA($F4,$K4,$P4)&gt;0,T3+SUM(Q4:S4),"")</f>
        <v>46600</v>
      </c>
      <c r="U4" s="53">
        <f>IF($J4="","",ROUND(($J4-$J$3)/1000,1)+(_xlfn.RANK.AVG($J4,($J4,$O4,$T4),1)-2)*20)</f>
        <v>-4.8</v>
      </c>
      <c r="V4" s="54">
        <f>IF($O4="","",ROUND(($O4-$O$3)/1000,1)+(_xlfn.RANK.AVG($O4,($J4,$O4,$T4),1)-2)*20)</f>
        <v>-26.8</v>
      </c>
      <c r="W4" s="55">
        <f>IF($T4="","",ROUND(($T4-$T$3)/1000,1)+(_xlfn.RANK.AVG($T4,($J4,$O4,$T4),1)-2)*20)</f>
        <v>31.6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25</v>
      </c>
      <c r="BU4" s="40" t="s">
        <v>198</v>
      </c>
      <c r="BV4" s="41" t="s">
        <v>82</v>
      </c>
      <c r="BW4" s="41" t="s">
        <v>101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196</v>
      </c>
      <c r="G5" s="9">
        <v>-3000</v>
      </c>
      <c r="H5" s="9"/>
      <c r="I5" s="48">
        <v>-500</v>
      </c>
      <c r="J5" s="21">
        <f t="shared" ref="J5:J30" si="2">IF(COUNTA($F5,$K5,$P5)&gt;0,J4+SUM(G5:I5),"")</f>
        <v>26700</v>
      </c>
      <c r="K5" s="8" t="s">
        <v>197</v>
      </c>
      <c r="L5" s="9">
        <v>8000</v>
      </c>
      <c r="M5" s="9"/>
      <c r="N5" s="48">
        <v>1000</v>
      </c>
      <c r="O5" s="21">
        <f t="shared" ref="O5:O30" si="3">IF(COUNTA($F5,$K5,$P5)&gt;0,O4+SUM(L5:N5),"")</f>
        <v>37200</v>
      </c>
      <c r="P5" s="8" t="s">
        <v>196</v>
      </c>
      <c r="Q5" s="9">
        <v>-5000</v>
      </c>
      <c r="R5" s="9"/>
      <c r="S5" s="48">
        <v>-500</v>
      </c>
      <c r="T5" s="21">
        <f t="shared" ref="T5:T30" si="4">IF(COUNTA($F5,$K5,$P5)&gt;0,T4+SUM(Q5:S5),"")</f>
        <v>41100</v>
      </c>
      <c r="U5" s="53">
        <f>IF($J5="","",ROUND(($J5-$J$3)/1000,1)+(_xlfn.RANK.AVG($J5,($J5,$O5,$T5),1)-2)*20)</f>
        <v>-28.3</v>
      </c>
      <c r="V5" s="54">
        <f>IF($O5="","",ROUND(($O5-$O$3)/1000,1)+(_xlfn.RANK.AVG($O5,($J5,$O5,$T5),1)-2)*20)</f>
        <v>2.2000000000000002</v>
      </c>
      <c r="W5" s="55">
        <f>IF($T5="","",ROUND(($T5-$T$3)/1000,1)+(_xlfn.RANK.AVG($T5,($J5,$O5,$T5),1)-2)*20)</f>
        <v>26.1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204</v>
      </c>
      <c r="AZ5" s="40" t="s">
        <v>198</v>
      </c>
      <c r="BA5" s="41" t="s">
        <v>82</v>
      </c>
      <c r="BB5" s="41" t="s">
        <v>206</v>
      </c>
      <c r="BC5" s="41" t="s">
        <v>205</v>
      </c>
      <c r="BD5" s="41" t="s">
        <v>84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ぱぱ</v>
      </c>
      <c r="F6" s="8" t="s">
        <v>202</v>
      </c>
      <c r="G6" s="9">
        <v>-12000</v>
      </c>
      <c r="H6" s="9"/>
      <c r="I6" s="48">
        <v>0</v>
      </c>
      <c r="J6" s="21">
        <f t="shared" si="2"/>
        <v>14700</v>
      </c>
      <c r="K6" s="8" t="s">
        <v>203</v>
      </c>
      <c r="L6" s="9">
        <v>12000</v>
      </c>
      <c r="M6" s="9"/>
      <c r="N6" s="48">
        <v>0</v>
      </c>
      <c r="O6" s="21">
        <f t="shared" si="3"/>
        <v>49200</v>
      </c>
      <c r="P6" s="8"/>
      <c r="Q6" s="9"/>
      <c r="R6" s="9"/>
      <c r="S6" s="48"/>
      <c r="T6" s="21">
        <f t="shared" si="4"/>
        <v>41100</v>
      </c>
      <c r="U6" s="53">
        <f>IF($J6="","",ROUND(($J6-$J$3)/1000,1)+(_xlfn.RANK.AVG($J6,($J6,$O6,$T6),1)-2)*20)</f>
        <v>-40.299999999999997</v>
      </c>
      <c r="V6" s="54">
        <f>IF($O6="","",ROUND(($O6-$O$3)/1000,1)+(_xlfn.RANK.AVG($O6,($J6,$O6,$T6),1)-2)*20)</f>
        <v>34.200000000000003</v>
      </c>
      <c r="W6" s="55">
        <f>IF($T6="","",ROUND(($T6-$T$3)/1000,1)+(_xlfn.RANK.AVG($T6,($J6,$O6,$T6),1)-2)*20)</f>
        <v>6.1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204</v>
      </c>
      <c r="AZ6" s="40" t="s">
        <v>198</v>
      </c>
      <c r="BA6" s="41" t="s">
        <v>82</v>
      </c>
      <c r="BB6" s="41" t="s">
        <v>79</v>
      </c>
      <c r="BC6" s="41" t="s">
        <v>79</v>
      </c>
      <c r="BD6" s="41" t="s">
        <v>80</v>
      </c>
      <c r="BE6" s="41" t="s">
        <v>205</v>
      </c>
      <c r="BF6" s="41" t="s">
        <v>84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196</v>
      </c>
      <c r="G7" s="9">
        <v>-4500</v>
      </c>
      <c r="H7" s="9"/>
      <c r="I7" s="48">
        <v>0</v>
      </c>
      <c r="J7" s="21">
        <f t="shared" si="2"/>
        <v>10200</v>
      </c>
      <c r="K7" s="8" t="s">
        <v>196</v>
      </c>
      <c r="L7" s="9">
        <v>-7500</v>
      </c>
      <c r="M7" s="9"/>
      <c r="N7" s="48">
        <v>0</v>
      </c>
      <c r="O7" s="21">
        <f t="shared" si="3"/>
        <v>41700</v>
      </c>
      <c r="P7" s="8" t="s">
        <v>197</v>
      </c>
      <c r="Q7" s="9">
        <v>12000</v>
      </c>
      <c r="R7" s="9"/>
      <c r="S7" s="48">
        <v>0</v>
      </c>
      <c r="T7" s="21">
        <f t="shared" si="4"/>
        <v>53100</v>
      </c>
      <c r="U7" s="53">
        <f>IF($J7="","",ROUND(($J7-$J$3)/1000,1)+(_xlfn.RANK.AVG($J7,($J7,$O7,$T7),1)-2)*20)</f>
        <v>-44.8</v>
      </c>
      <c r="V7" s="54">
        <f>IF($O7="","",ROUND(($O7-$O$3)/1000,1)+(_xlfn.RANK.AVG($O7,($J7,$O7,$T7),1)-2)*20)</f>
        <v>6.7</v>
      </c>
      <c r="W7" s="55">
        <f>IF($T7="","",ROUND(($T7-$T$3)/1000,1)+(_xlfn.RANK.AVG($T7,($J7,$O7,$T7),1)-2)*20)</f>
        <v>38.1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204</v>
      </c>
      <c r="BU7" s="40" t="s">
        <v>198</v>
      </c>
      <c r="BV7" s="41" t="s">
        <v>82</v>
      </c>
      <c r="BW7" s="41" t="s">
        <v>84</v>
      </c>
      <c r="BX7" s="41" t="s">
        <v>83</v>
      </c>
      <c r="BY7" s="41" t="s">
        <v>79</v>
      </c>
      <c r="BZ7" s="41" t="s">
        <v>80</v>
      </c>
      <c r="CA7" s="41" t="s">
        <v>205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203</v>
      </c>
      <c r="G8" s="9">
        <v>12000</v>
      </c>
      <c r="H8" s="9">
        <v>1000</v>
      </c>
      <c r="I8" s="48">
        <v>0</v>
      </c>
      <c r="J8" s="21">
        <f t="shared" si="2"/>
        <v>23200</v>
      </c>
      <c r="K8" s="8"/>
      <c r="L8" s="9"/>
      <c r="M8" s="9">
        <v>-1000</v>
      </c>
      <c r="N8" s="48"/>
      <c r="O8" s="21">
        <f t="shared" si="3"/>
        <v>40700</v>
      </c>
      <c r="P8" s="8" t="s">
        <v>202</v>
      </c>
      <c r="Q8" s="9">
        <v>-12000</v>
      </c>
      <c r="R8" s="9"/>
      <c r="S8" s="48">
        <v>0</v>
      </c>
      <c r="T8" s="21">
        <f t="shared" si="4"/>
        <v>41100</v>
      </c>
      <c r="U8" s="53">
        <f>IF($J8="","",ROUND(($J8-$J$3)/1000,1)+(_xlfn.RANK.AVG($J8,($J8,$O8,$T8),1)-2)*20)</f>
        <v>-31.8</v>
      </c>
      <c r="V8" s="54">
        <f>IF($O8="","",ROUND(($O8-$O$3)/1000,1)+(_xlfn.RANK.AVG($O8,($J8,$O8,$T8),1)-2)*20)</f>
        <v>5.7</v>
      </c>
      <c r="W8" s="55">
        <f>IF($T8="","",ROUND(($T8-$T$3)/1000,1)+(_xlfn.RANK.AVG($T8,($J8,$O8,$T8),1)-2)*20)</f>
        <v>26.1</v>
      </c>
      <c r="Y8" s="8"/>
      <c r="Z8" s="34"/>
      <c r="AA8" s="26"/>
      <c r="AB8" s="26">
        <v>1</v>
      </c>
      <c r="AC8" s="26">
        <v>7</v>
      </c>
      <c r="AD8" s="30" t="s">
        <v>204</v>
      </c>
      <c r="AE8" s="40" t="s">
        <v>88</v>
      </c>
      <c r="AF8" s="41" t="s">
        <v>98</v>
      </c>
      <c r="AG8" s="41" t="s">
        <v>79</v>
      </c>
      <c r="AH8" s="41" t="s">
        <v>79</v>
      </c>
      <c r="AI8" s="41" t="s">
        <v>79</v>
      </c>
      <c r="AJ8" s="41" t="s">
        <v>86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ぱぱ</v>
      </c>
      <c r="F9" s="8" t="s">
        <v>203</v>
      </c>
      <c r="G9" s="9">
        <v>12000</v>
      </c>
      <c r="H9" s="9"/>
      <c r="I9" s="48">
        <v>0</v>
      </c>
      <c r="J9" s="21">
        <f t="shared" si="2"/>
        <v>35200</v>
      </c>
      <c r="K9" s="8" t="s">
        <v>202</v>
      </c>
      <c r="L9" s="9">
        <v>-12000</v>
      </c>
      <c r="M9" s="9"/>
      <c r="N9" s="48">
        <v>0</v>
      </c>
      <c r="O9" s="21">
        <f t="shared" si="3"/>
        <v>28700</v>
      </c>
      <c r="P9" s="8"/>
      <c r="Q9" s="9"/>
      <c r="R9" s="9"/>
      <c r="S9" s="48"/>
      <c r="T9" s="21">
        <f t="shared" si="4"/>
        <v>41100</v>
      </c>
      <c r="U9" s="53">
        <f>IF($J9="","",ROUND(($J9-$J$3)/1000,1)+(_xlfn.RANK.AVG($J9,($J9,$O9,$T9),1)-2)*20)</f>
        <v>0.2</v>
      </c>
      <c r="V9" s="54">
        <f>IF($O9="","",ROUND(($O9-$O$3)/1000,1)+(_xlfn.RANK.AVG($O9,($J9,$O9,$T9),1)-2)*20)</f>
        <v>-26.3</v>
      </c>
      <c r="W9" s="55">
        <f>IF($T9="","",ROUND(($T9-$T$3)/1000,1)+(_xlfn.RANK.AVG($T9,($J9,$O9,$T9),1)-2)*20)</f>
        <v>26.1</v>
      </c>
      <c r="Y9" s="8"/>
      <c r="Z9" s="34"/>
      <c r="AA9" s="26"/>
      <c r="AB9" s="26"/>
      <c r="AC9" s="26">
        <v>5</v>
      </c>
      <c r="AD9" s="30" t="s">
        <v>204</v>
      </c>
      <c r="AE9" s="40" t="s">
        <v>104</v>
      </c>
      <c r="AF9" s="41" t="s">
        <v>101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IF($F$1="","",$F$1)</f>
        <v>ぱぱ</v>
      </c>
      <c r="F10" s="8" t="s">
        <v>201</v>
      </c>
      <c r="G10" s="9">
        <v>-1500</v>
      </c>
      <c r="H10" s="9"/>
      <c r="I10" s="48"/>
      <c r="J10" s="21">
        <f t="shared" si="2"/>
        <v>33700</v>
      </c>
      <c r="K10" s="8" t="s">
        <v>201</v>
      </c>
      <c r="L10" s="9">
        <v>3000</v>
      </c>
      <c r="M10" s="9"/>
      <c r="N10" s="48"/>
      <c r="O10" s="21">
        <f t="shared" si="3"/>
        <v>31700</v>
      </c>
      <c r="P10" s="8" t="s">
        <v>201</v>
      </c>
      <c r="Q10" s="9">
        <v>-1500</v>
      </c>
      <c r="R10" s="9"/>
      <c r="S10" s="48"/>
      <c r="T10" s="21">
        <f t="shared" si="4"/>
        <v>39600</v>
      </c>
      <c r="U10" s="53">
        <f>IF($J10="","",ROUND(($J10-$J$3)/1000,1)+(_xlfn.RANK.AVG($J10,($J10,$O10,$T10),1)-2)*20)</f>
        <v>-1.3</v>
      </c>
      <c r="V10" s="54">
        <f>IF($O10="","",ROUND(($O10-$O$3)/1000,1)+(_xlfn.RANK.AVG($O10,($J10,$O10,$T10),1)-2)*20)</f>
        <v>-23.3</v>
      </c>
      <c r="W10" s="55">
        <f>IF($T10="","",ROUND(($T10-$T$3)/1000,1)+(_xlfn.RANK.AVG($T10,($J10,$O10,$T10),1)-2)*20)</f>
        <v>24.6</v>
      </c>
      <c r="Y10" s="8" t="s">
        <v>199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200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199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 t="s">
        <v>196</v>
      </c>
      <c r="G11" s="9">
        <v>-6000</v>
      </c>
      <c r="H11" s="9"/>
      <c r="I11" s="48">
        <v>-1000</v>
      </c>
      <c r="J11" s="21">
        <f t="shared" si="2"/>
        <v>26700</v>
      </c>
      <c r="K11" s="8" t="s">
        <v>197</v>
      </c>
      <c r="L11" s="9">
        <v>12000</v>
      </c>
      <c r="M11" s="9"/>
      <c r="N11" s="48">
        <v>2000</v>
      </c>
      <c r="O11" s="21">
        <f t="shared" si="3"/>
        <v>45700</v>
      </c>
      <c r="P11" s="8" t="s">
        <v>196</v>
      </c>
      <c r="Q11" s="9">
        <v>-6000</v>
      </c>
      <c r="R11" s="9"/>
      <c r="S11" s="48">
        <v>-1000</v>
      </c>
      <c r="T11" s="21">
        <f t="shared" si="4"/>
        <v>32600</v>
      </c>
      <c r="U11" s="53">
        <f>IF($J11="","",ROUND(($J11-$J$3)/1000,1)+(_xlfn.RANK.AVG($J11,($J11,$O11,$T11),1)-2)*20)</f>
        <v>-28.3</v>
      </c>
      <c r="V11" s="54">
        <f>IF($O11="","",ROUND(($O11-$O$3)/1000,1)+(_xlfn.RANK.AVG($O11,($J11,$O11,$T11),1)-2)*20)</f>
        <v>30.7</v>
      </c>
      <c r="W11" s="55">
        <f>IF($T11="","",ROUND(($T11-$T$3)/1000,1)+(_xlfn.RANK.AVG($T11,($J11,$O11,$T11),1)-2)*20)</f>
        <v>-2.4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40</v>
      </c>
      <c r="AZ11" s="40" t="s">
        <v>198</v>
      </c>
      <c r="BA11" s="41" t="s">
        <v>82</v>
      </c>
      <c r="BB11" s="41" t="s">
        <v>86</v>
      </c>
      <c r="BC11" s="41" t="s">
        <v>80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AAB0EE1A-4BE0-4C39-B47D-ADFC3E26DFDA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0F97B409-7950-4841-B7A5-91F64C5DEB41}">
      <formula1>"ロン,ツモ,放銃,ツモ支払,流局,チョンボ"</formula1>
    </dataValidation>
    <dataValidation type="list" allowBlank="1" showInputMessage="1" showErrorMessage="1" sqref="E4:E30" xr:uid="{16E6BD1B-17A4-4F72-B6FE-DBA13A9B671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C1AB-0859-46EE-847E-524472FBE9E0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-3000</v>
      </c>
      <c r="H4" s="9"/>
      <c r="I4" s="48"/>
      <c r="J4" s="21">
        <f>IF(COUNTA($F4,$K4,$P4)&gt;0,J3+SUM(G4:I4),"")</f>
        <v>32000</v>
      </c>
      <c r="K4" s="8" t="s">
        <v>201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201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10.5</v>
      </c>
      <c r="Y4" s="8" t="s">
        <v>199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200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IF($K$1="","",$K$1)</f>
        <v>れんたろう</v>
      </c>
      <c r="F5" s="8" t="s">
        <v>197</v>
      </c>
      <c r="G5" s="9">
        <v>5300</v>
      </c>
      <c r="H5" s="9">
        <v>2000</v>
      </c>
      <c r="I5" s="48">
        <v>1000</v>
      </c>
      <c r="J5" s="21">
        <f t="shared" ref="J5:J30" si="2">IF(COUNTA($F5,$K5,$P5)&gt;0,J4+SUM(G5:I5),"")</f>
        <v>40300</v>
      </c>
      <c r="K5" s="8" t="s">
        <v>196</v>
      </c>
      <c r="L5" s="9">
        <v>-3300</v>
      </c>
      <c r="M5" s="9"/>
      <c r="N5" s="48">
        <v>-500</v>
      </c>
      <c r="O5" s="21">
        <f t="shared" ref="O5:O30" si="3">IF(COUNTA($F5,$K5,$P5)&gt;0,O4+SUM(L5:N5),"")</f>
        <v>31700</v>
      </c>
      <c r="P5" s="8" t="s">
        <v>196</v>
      </c>
      <c r="Q5" s="9">
        <v>-2000</v>
      </c>
      <c r="R5" s="9"/>
      <c r="S5" s="48">
        <v>-500</v>
      </c>
      <c r="T5" s="21">
        <f t="shared" ref="T5:T30" si="4">IF(COUNTA($F5,$K5,$P5)&gt;0,T4+SUM(Q5:S5),"")</f>
        <v>33000</v>
      </c>
      <c r="U5" s="53">
        <f>IF($J5="","",ROUND(($J5-$J$3)/1000,1)+(_xlfn.RANK.AVG($J5,($J5,$O5,$T5),1)-2)*20)</f>
        <v>25.3</v>
      </c>
      <c r="V5" s="54">
        <f>IF($O5="","",ROUND(($O5-$O$3)/1000,1)+(_xlfn.RANK.AVG($O5,($J5,$O5,$T5),1)-2)*20)</f>
        <v>-23.3</v>
      </c>
      <c r="W5" s="55">
        <f>IF($T5="","",ROUND(($T5-$T$3)/1000,1)+(_xlfn.RANK.AVG($T5,($J5,$O5,$T5),1)-2)*20)</f>
        <v>-2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198</v>
      </c>
      <c r="AF5" s="41" t="s">
        <v>82</v>
      </c>
      <c r="AG5" s="41" t="s">
        <v>83</v>
      </c>
      <c r="AH5" s="41" t="s">
        <v>206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202</v>
      </c>
      <c r="G6" s="9">
        <v>-12000</v>
      </c>
      <c r="H6" s="9"/>
      <c r="I6" s="48">
        <v>0</v>
      </c>
      <c r="J6" s="21">
        <f t="shared" si="2"/>
        <v>28300</v>
      </c>
      <c r="K6" s="8"/>
      <c r="L6" s="9"/>
      <c r="M6" s="9"/>
      <c r="N6" s="48"/>
      <c r="O6" s="21">
        <f t="shared" si="3"/>
        <v>31700</v>
      </c>
      <c r="P6" s="8" t="s">
        <v>203</v>
      </c>
      <c r="Q6" s="9">
        <v>12000</v>
      </c>
      <c r="R6" s="9"/>
      <c r="S6" s="48">
        <v>0</v>
      </c>
      <c r="T6" s="21">
        <f t="shared" si="4"/>
        <v>45000</v>
      </c>
      <c r="U6" s="53">
        <f>IF($J6="","",ROUND(($J6-$J$3)/1000,1)+(_xlfn.RANK.AVG($J6,($J6,$O6,$T6),1)-2)*20)</f>
        <v>-26.7</v>
      </c>
      <c r="V6" s="54">
        <f>IF($O6="","",ROUND(($O6-$O$3)/1000,1)+(_xlfn.RANK.AVG($O6,($J6,$O6,$T6),1)-2)*20)</f>
        <v>-3.3</v>
      </c>
      <c r="W6" s="55">
        <f>IF($T6="","",ROUND(($T6-$T$3)/1000,1)+(_xlfn.RANK.AVG($T6,($J6,$O6,$T6),1)-2)*20)</f>
        <v>30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204</v>
      </c>
      <c r="BU6" s="40" t="s">
        <v>198</v>
      </c>
      <c r="BV6" s="41" t="s">
        <v>101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203</v>
      </c>
      <c r="G7" s="9">
        <v>12000</v>
      </c>
      <c r="H7" s="9">
        <v>3000</v>
      </c>
      <c r="I7" s="48">
        <v>1000</v>
      </c>
      <c r="J7" s="21">
        <f t="shared" si="2"/>
        <v>44300</v>
      </c>
      <c r="K7" s="8" t="s">
        <v>202</v>
      </c>
      <c r="L7" s="9">
        <v>-12000</v>
      </c>
      <c r="M7" s="9">
        <v>-1000</v>
      </c>
      <c r="N7" s="48">
        <v>-1000</v>
      </c>
      <c r="O7" s="21">
        <f t="shared" si="3"/>
        <v>17700</v>
      </c>
      <c r="P7" s="8"/>
      <c r="Q7" s="9"/>
      <c r="R7" s="9">
        <v>-2000</v>
      </c>
      <c r="S7" s="48"/>
      <c r="T7" s="21">
        <f t="shared" si="4"/>
        <v>43000</v>
      </c>
      <c r="U7" s="53">
        <f>IF($J7="","",ROUND(($J7-$J$3)/1000,1)+(_xlfn.RANK.AVG($J7,($J7,$O7,$T7),1)-2)*20)</f>
        <v>29.3</v>
      </c>
      <c r="V7" s="54">
        <f>IF($O7="","",ROUND(($O7-$O$3)/1000,1)+(_xlfn.RANK.AVG($O7,($J7,$O7,$T7),1)-2)*20)</f>
        <v>-37.299999999999997</v>
      </c>
      <c r="W7" s="55">
        <f>IF($T7="","",ROUND(($T7-$T$3)/1000,1)+(_xlfn.RANK.AVG($T7,($J7,$O7,$T7),1)-2)*20)</f>
        <v>8</v>
      </c>
      <c r="Y7" s="8"/>
      <c r="Z7" s="34"/>
      <c r="AA7" s="26">
        <v>1</v>
      </c>
      <c r="AB7" s="26"/>
      <c r="AC7" s="26">
        <v>6</v>
      </c>
      <c r="AD7" s="30" t="s">
        <v>204</v>
      </c>
      <c r="AE7" s="40" t="s">
        <v>207</v>
      </c>
      <c r="AF7" s="41" t="s">
        <v>86</v>
      </c>
      <c r="AG7" s="41" t="s">
        <v>79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ぱぱ</v>
      </c>
      <c r="F8" s="8" t="s">
        <v>201</v>
      </c>
      <c r="G8" s="9">
        <v>-1500</v>
      </c>
      <c r="H8" s="9"/>
      <c r="I8" s="48"/>
      <c r="J8" s="21">
        <f t="shared" si="2"/>
        <v>42800</v>
      </c>
      <c r="K8" s="8" t="s">
        <v>201</v>
      </c>
      <c r="L8" s="9">
        <v>-1500</v>
      </c>
      <c r="M8" s="9"/>
      <c r="N8" s="48"/>
      <c r="O8" s="21">
        <f t="shared" si="3"/>
        <v>16200</v>
      </c>
      <c r="P8" s="8" t="s">
        <v>201</v>
      </c>
      <c r="Q8" s="9">
        <v>3000</v>
      </c>
      <c r="R8" s="9">
        <v>-1000</v>
      </c>
      <c r="S8" s="48"/>
      <c r="T8" s="21">
        <f t="shared" si="4"/>
        <v>45000</v>
      </c>
      <c r="U8" s="53">
        <f>IF($J8="","",ROUND(($J8-$J$3)/1000,1)+(_xlfn.RANK.AVG($J8,($J8,$O8,$T8),1)-2)*20)</f>
        <v>7.8</v>
      </c>
      <c r="V8" s="54">
        <f>IF($O8="","",ROUND(($O8-$O$3)/1000,1)+(_xlfn.RANK.AVG($O8,($J8,$O8,$T8),1)-2)*20)</f>
        <v>-38.799999999999997</v>
      </c>
      <c r="W8" s="55">
        <f>IF($T8="","",ROUND(($T8-$T$3)/1000,1)+(_xlfn.RANK.AVG($T8,($J8,$O8,$T8),1)-2)*20)</f>
        <v>30</v>
      </c>
      <c r="Y8" s="8" t="s">
        <v>199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199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200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tr">
        <f>IF($K$1="","",$K$1)</f>
        <v>れんたろう</v>
      </c>
      <c r="F9" s="8" t="s">
        <v>197</v>
      </c>
      <c r="G9" s="9">
        <v>1500</v>
      </c>
      <c r="H9" s="9">
        <v>1000</v>
      </c>
      <c r="I9" s="48">
        <v>1000</v>
      </c>
      <c r="J9" s="21">
        <f t="shared" si="2"/>
        <v>46300</v>
      </c>
      <c r="K9" s="8" t="s">
        <v>196</v>
      </c>
      <c r="L9" s="9">
        <v>-900</v>
      </c>
      <c r="M9" s="9"/>
      <c r="N9" s="48">
        <v>-500</v>
      </c>
      <c r="O9" s="21">
        <f t="shared" si="3"/>
        <v>14800</v>
      </c>
      <c r="P9" s="8" t="s">
        <v>196</v>
      </c>
      <c r="Q9" s="9">
        <v>-600</v>
      </c>
      <c r="R9" s="9"/>
      <c r="S9" s="48">
        <v>-500</v>
      </c>
      <c r="T9" s="21">
        <f t="shared" si="4"/>
        <v>43900</v>
      </c>
      <c r="U9" s="53">
        <f>IF($J9="","",ROUND(($J9-$J$3)/1000,1)+(_xlfn.RANK.AVG($J9,($J9,$O9,$T9),1)-2)*20)</f>
        <v>31.3</v>
      </c>
      <c r="V9" s="54">
        <f>IF($O9="","",ROUND(($O9-$O$3)/1000,1)+(_xlfn.RANK.AVG($O9,($J9,$O9,$T9),1)-2)*20)</f>
        <v>-40.200000000000003</v>
      </c>
      <c r="W9" s="55">
        <f>IF($T9="","",ROUND(($T9-$T$3)/1000,1)+(_xlfn.RANK.AVG($T9,($J9,$O9,$T9),1)-2)*20)</f>
        <v>8.9</v>
      </c>
      <c r="Y9" s="8"/>
      <c r="Z9" s="34"/>
      <c r="AA9" s="26"/>
      <c r="AB9" s="26"/>
      <c r="AC9" s="26">
        <v>2</v>
      </c>
      <c r="AD9" s="30">
        <v>20</v>
      </c>
      <c r="AE9" s="40" t="s">
        <v>82</v>
      </c>
      <c r="AF9" s="41" t="s">
        <v>83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4000</v>
      </c>
      <c r="H10" s="9"/>
      <c r="I10" s="48">
        <v>0</v>
      </c>
      <c r="J10" s="21">
        <f t="shared" si="2"/>
        <v>50300</v>
      </c>
      <c r="K10" s="8" t="s">
        <v>196</v>
      </c>
      <c r="L10" s="9">
        <v>-1500</v>
      </c>
      <c r="M10" s="9"/>
      <c r="N10" s="48">
        <v>0</v>
      </c>
      <c r="O10" s="21">
        <f t="shared" si="3"/>
        <v>13300</v>
      </c>
      <c r="P10" s="8" t="s">
        <v>196</v>
      </c>
      <c r="Q10" s="9">
        <v>-2500</v>
      </c>
      <c r="R10" s="9"/>
      <c r="S10" s="48">
        <v>0</v>
      </c>
      <c r="T10" s="21">
        <f t="shared" si="4"/>
        <v>41400</v>
      </c>
      <c r="U10" s="53">
        <f>IF($J10="","",ROUND(($J10-$J$3)/1000,1)+(_xlfn.RANK.AVG($J10,($J10,$O10,$T10),1)-2)*20)</f>
        <v>35.299999999999997</v>
      </c>
      <c r="V10" s="54">
        <f>IF($O10="","",ROUND(($O10-$O$3)/1000,1)+(_xlfn.RANK.AVG($O10,($J10,$O10,$T10),1)-2)*20)</f>
        <v>-41.7</v>
      </c>
      <c r="W10" s="55">
        <f>IF($T10="","",ROUND(($T10-$T$3)/1000,1)+(_xlfn.RANK.AVG($T10,($J10,$O10,$T10),1)-2)*20)</f>
        <v>6.4</v>
      </c>
      <c r="Y10" s="8"/>
      <c r="Z10" s="34"/>
      <c r="AA10" s="26">
        <v>1</v>
      </c>
      <c r="AB10" s="26"/>
      <c r="AC10" s="26">
        <v>3</v>
      </c>
      <c r="AD10" s="30">
        <v>30</v>
      </c>
      <c r="AE10" s="40" t="s">
        <v>198</v>
      </c>
      <c r="AF10" s="41" t="s">
        <v>82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1FE749A5-53D9-43A3-A8DD-45991B00C427}">
      <formula1>$U$2:$W$2</formula1>
    </dataValidation>
    <dataValidation type="list" showInputMessage="1" showErrorMessage="1" sqref="K4:K30 P4:P30 F4:F30" xr:uid="{6E115370-935F-4713-B3EC-7941422CEED3}">
      <formula1>"ロン,ツモ,放銃,ツモ支払,流局,チョンボ"</formula1>
    </dataValidation>
    <dataValidation type="list" allowBlank="1" showInputMessage="1" sqref="F1:T1" xr:uid="{159A1B10-6737-4643-9215-66FFAD5981B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F825C-2056-4B48-BABD-8C81959D0029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202</v>
      </c>
      <c r="L4" s="9">
        <v>-48000</v>
      </c>
      <c r="M4" s="9"/>
      <c r="N4" s="48">
        <v>0</v>
      </c>
      <c r="O4" s="21">
        <f>IF(COUNTA($F4,$K4,$P4)&gt;0,O3+SUM(L4:N4),"")</f>
        <v>-13000</v>
      </c>
      <c r="P4" s="8" t="s">
        <v>203</v>
      </c>
      <c r="Q4" s="9">
        <v>48000</v>
      </c>
      <c r="R4" s="9"/>
      <c r="S4" s="48">
        <v>0</v>
      </c>
      <c r="T4" s="21">
        <f>IF(COUNTA($F4,$K4,$P4)&gt;0,T3+SUM(Q4:S4),"")</f>
        <v>83000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-68</v>
      </c>
      <c r="W4" s="55">
        <f>IF($T4="","",ROUND(($T4-$T$3)/1000,1)+(_xlfn.RANK.AVG($T4,($J4,$O4,$T4),1)-2)*20)</f>
        <v>68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13</v>
      </c>
      <c r="BT4" s="30" t="s">
        <v>204</v>
      </c>
      <c r="BU4" s="40" t="s">
        <v>107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61519530-A0FF-4F61-B29C-6B0833A5D9D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B86BC2A8-6B6E-4301-B6D9-B3C7119D349E}">
      <formula1>"ロン,ツモ,放銃,ツモ支払,流局,チョンボ"</formula1>
    </dataValidation>
    <dataValidation type="list" allowBlank="1" showInputMessage="1" showErrorMessage="1" sqref="E4:E30" xr:uid="{04C77927-075D-4505-93A5-5BAE1E938C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929FB-800F-43EC-B494-5F776231B3EA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196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196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IF($J4="","",ROUND(($J4-$J$3)/1000,1)+(_xlfn.RANK.AVG($J4,($J4,$O4,$T4),1)-2)*20)</f>
        <v>36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-30</v>
      </c>
      <c r="Y4" s="8"/>
      <c r="Z4" s="34"/>
      <c r="AA4" s="26">
        <v>1</v>
      </c>
      <c r="AB4" s="26"/>
      <c r="AC4" s="26">
        <v>9</v>
      </c>
      <c r="AD4" s="30" t="s">
        <v>204</v>
      </c>
      <c r="AE4" s="40" t="s">
        <v>198</v>
      </c>
      <c r="AF4" s="41" t="s">
        <v>82</v>
      </c>
      <c r="AG4" s="41" t="s">
        <v>106</v>
      </c>
      <c r="AH4" s="41" t="s">
        <v>84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 t="s">
        <v>196</v>
      </c>
      <c r="G5" s="9">
        <v>-2500</v>
      </c>
      <c r="H5" s="9"/>
      <c r="I5" s="48">
        <v>0</v>
      </c>
      <c r="J5" s="21">
        <f t="shared" ref="J5:J30" si="2">IF(COUNTA($F5,$K5,$P5)&gt;0,J4+SUM(G5:I5),"")</f>
        <v>48500</v>
      </c>
      <c r="K5" s="8" t="s">
        <v>197</v>
      </c>
      <c r="L5" s="9">
        <v>4000</v>
      </c>
      <c r="M5" s="9"/>
      <c r="N5" s="48">
        <v>0</v>
      </c>
      <c r="O5" s="21">
        <f t="shared" ref="O5:O30" si="3">IF(COUNTA($F5,$K5,$P5)&gt;0,O4+SUM(L5:N5),"")</f>
        <v>33000</v>
      </c>
      <c r="P5" s="8" t="s">
        <v>196</v>
      </c>
      <c r="Q5" s="9">
        <v>-1500</v>
      </c>
      <c r="R5" s="9"/>
      <c r="S5" s="48">
        <v>0</v>
      </c>
      <c r="T5" s="21">
        <f t="shared" ref="T5:T30" si="4">IF(COUNTA($F5,$K5,$P5)&gt;0,T4+SUM(Q5:S5),"")</f>
        <v>23500</v>
      </c>
      <c r="U5" s="53">
        <f>IF($J5="","",ROUND(($J5-$J$3)/1000,1)+(_xlfn.RANK.AVG($J5,($J5,$O5,$T5),1)-2)*20)</f>
        <v>33.5</v>
      </c>
      <c r="V5" s="54">
        <f>IF($O5="","",ROUND(($O5-$O$3)/1000,1)+(_xlfn.RANK.AVG($O5,($J5,$O5,$T5),1)-2)*20)</f>
        <v>-2</v>
      </c>
      <c r="W5" s="55">
        <f>IF($T5="","",ROUND(($T5-$T$3)/1000,1)+(_xlfn.RANK.AVG($T5,($J5,$O5,$T5),1)-2)*20)</f>
        <v>-31.5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82</v>
      </c>
      <c r="BA5" s="41" t="s">
        <v>207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201</v>
      </c>
      <c r="G6" s="9">
        <v>0</v>
      </c>
      <c r="H6" s="9"/>
      <c r="I6" s="48"/>
      <c r="J6" s="21">
        <f t="shared" si="2"/>
        <v>48500</v>
      </c>
      <c r="K6" s="8" t="s">
        <v>201</v>
      </c>
      <c r="L6" s="9">
        <v>0</v>
      </c>
      <c r="M6" s="9">
        <v>-1000</v>
      </c>
      <c r="N6" s="48"/>
      <c r="O6" s="21">
        <f t="shared" si="3"/>
        <v>32000</v>
      </c>
      <c r="P6" s="8" t="s">
        <v>201</v>
      </c>
      <c r="Q6" s="9">
        <v>0</v>
      </c>
      <c r="R6" s="9">
        <v>-2000</v>
      </c>
      <c r="S6" s="48"/>
      <c r="T6" s="21">
        <f t="shared" si="4"/>
        <v>21500</v>
      </c>
      <c r="U6" s="53">
        <f>IF($J6="","",ROUND(($J6-$J$3)/1000,1)+(_xlfn.RANK.AVG($J6,($J6,$O6,$T6),1)-2)*20)</f>
        <v>33.5</v>
      </c>
      <c r="V6" s="54">
        <f>IF($O6="","",ROUND(($O6-$O$3)/1000,1)+(_xlfn.RANK.AVG($O6,($J6,$O6,$T6),1)-2)*20)</f>
        <v>-3</v>
      </c>
      <c r="W6" s="55">
        <f>IF($T6="","",ROUND(($T6-$T$3)/1000,1)+(_xlfn.RANK.AVG($T6,($J6,$O6,$T6),1)-2)*20)</f>
        <v>-33.5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3</v>
      </c>
      <c r="E7" s="4" t="str">
        <f>IF($K$1="","",$K$1)</f>
        <v>れんたろう</v>
      </c>
      <c r="F7" s="8" t="s">
        <v>196</v>
      </c>
      <c r="G7" s="9">
        <v>-9000</v>
      </c>
      <c r="H7" s="9"/>
      <c r="I7" s="48">
        <v>-500</v>
      </c>
      <c r="J7" s="21">
        <f t="shared" si="2"/>
        <v>39000</v>
      </c>
      <c r="K7" s="8" t="s">
        <v>197</v>
      </c>
      <c r="L7" s="9">
        <v>18000</v>
      </c>
      <c r="M7" s="9">
        <v>3000</v>
      </c>
      <c r="N7" s="48">
        <v>1000</v>
      </c>
      <c r="O7" s="21">
        <f t="shared" si="3"/>
        <v>54000</v>
      </c>
      <c r="P7" s="8" t="s">
        <v>196</v>
      </c>
      <c r="Q7" s="9">
        <v>-9000</v>
      </c>
      <c r="R7" s="9"/>
      <c r="S7" s="48">
        <v>-500</v>
      </c>
      <c r="T7" s="21">
        <f t="shared" si="4"/>
        <v>12000</v>
      </c>
      <c r="U7" s="53">
        <f>IF($J7="","",ROUND(($J7-$J$3)/1000,1)+(_xlfn.RANK.AVG($J7,($J7,$O7,$T7),1)-2)*20)</f>
        <v>4</v>
      </c>
      <c r="V7" s="54">
        <f>IF($O7="","",ROUND(($O7-$O$3)/1000,1)+(_xlfn.RANK.AVG($O7,($J7,$O7,$T7),1)-2)*20)</f>
        <v>39</v>
      </c>
      <c r="W7" s="55">
        <f>IF($T7="","",ROUND(($T7-$T$3)/1000,1)+(_xlfn.RANK.AVG($T7,($J7,$O7,$T7),1)-2)*20)</f>
        <v>-43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204</v>
      </c>
      <c r="AZ7" s="40" t="s">
        <v>82</v>
      </c>
      <c r="BA7" s="41" t="s">
        <v>101</v>
      </c>
      <c r="BB7" s="41" t="s">
        <v>205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IF($K$1="","",$K$1)</f>
        <v>れんたろう</v>
      </c>
      <c r="F8" s="8" t="s">
        <v>202</v>
      </c>
      <c r="G8" s="9">
        <v>-16000</v>
      </c>
      <c r="H8" s="9"/>
      <c r="I8" s="48">
        <v>-2000</v>
      </c>
      <c r="J8" s="21">
        <f t="shared" si="2"/>
        <v>21000</v>
      </c>
      <c r="K8" s="8"/>
      <c r="L8" s="9"/>
      <c r="M8" s="9"/>
      <c r="N8" s="48"/>
      <c r="O8" s="21">
        <f t="shared" si="3"/>
        <v>54000</v>
      </c>
      <c r="P8" s="8" t="s">
        <v>203</v>
      </c>
      <c r="Q8" s="9">
        <v>16000</v>
      </c>
      <c r="R8" s="9"/>
      <c r="S8" s="48">
        <v>2000</v>
      </c>
      <c r="T8" s="21">
        <f t="shared" si="4"/>
        <v>30000</v>
      </c>
      <c r="U8" s="53">
        <f>IF($J8="","",ROUND(($J8-$J$3)/1000,1)+(_xlfn.RANK.AVG($J8,($J8,$O8,$T8),1)-2)*20)</f>
        <v>-34</v>
      </c>
      <c r="V8" s="54">
        <f>IF($O8="","",ROUND(($O8-$O$3)/1000,1)+(_xlfn.RANK.AVG($O8,($J8,$O8,$T8),1)-2)*20)</f>
        <v>39</v>
      </c>
      <c r="W8" s="55">
        <f>IF($T8="","",ROUND(($T8-$T$3)/1000,1)+(_xlfn.RANK.AVG($T8,($J8,$O8,$T8),1)-2)*20)</f>
        <v>-5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8</v>
      </c>
      <c r="BT8" s="30" t="s">
        <v>204</v>
      </c>
      <c r="BU8" s="40" t="s">
        <v>104</v>
      </c>
      <c r="BV8" s="41" t="s">
        <v>86</v>
      </c>
      <c r="BW8" s="41" t="s">
        <v>86</v>
      </c>
      <c r="BX8" s="41" t="s">
        <v>93</v>
      </c>
      <c r="BY8" s="41" t="s">
        <v>79</v>
      </c>
      <c r="BZ8" s="41" t="s">
        <v>79</v>
      </c>
      <c r="CA8" s="41" t="s">
        <v>79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21000</v>
      </c>
      <c r="K9" s="8" t="s">
        <v>202</v>
      </c>
      <c r="L9" s="9">
        <v>-12000</v>
      </c>
      <c r="M9" s="9"/>
      <c r="N9" s="48">
        <v>0</v>
      </c>
      <c r="O9" s="21">
        <f t="shared" si="3"/>
        <v>42000</v>
      </c>
      <c r="P9" s="8" t="s">
        <v>203</v>
      </c>
      <c r="Q9" s="9">
        <v>12000</v>
      </c>
      <c r="R9" s="9"/>
      <c r="S9" s="48">
        <v>0</v>
      </c>
      <c r="T9" s="21">
        <f t="shared" si="4"/>
        <v>42000</v>
      </c>
      <c r="U9" s="53">
        <f>IF($J9="","",ROUND(($J9-$J$3)/1000,1)+(_xlfn.RANK.AVG($J9,($J9,$O9,$T9),1)-2)*20)</f>
        <v>-34</v>
      </c>
      <c r="V9" s="54">
        <f>IF($O9="","",ROUND(($O9-$O$3)/1000,1)+(_xlfn.RANK.AVG($O9,($J9,$O9,$T9),1)-2)*20)</f>
        <v>17</v>
      </c>
      <c r="W9" s="55">
        <f>IF($T9="","",ROUND(($T9-$T$3)/1000,1)+(_xlfn.RANK.AVG($T9,($J9,$O9,$T9),1)-2)*20)</f>
        <v>17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204</v>
      </c>
      <c r="BU9" s="40" t="s">
        <v>198</v>
      </c>
      <c r="BV9" s="41" t="s">
        <v>101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IF($P$1="","",$P$1)</f>
        <v>だいち</v>
      </c>
      <c r="F10" s="8"/>
      <c r="G10" s="9"/>
      <c r="H10" s="9"/>
      <c r="I10" s="48"/>
      <c r="J10" s="21">
        <f t="shared" si="2"/>
        <v>21000</v>
      </c>
      <c r="K10" s="8" t="s">
        <v>203</v>
      </c>
      <c r="L10" s="9">
        <v>12000</v>
      </c>
      <c r="M10" s="9"/>
      <c r="N10" s="48">
        <v>1000</v>
      </c>
      <c r="O10" s="21">
        <f t="shared" si="3"/>
        <v>55000</v>
      </c>
      <c r="P10" s="8" t="s">
        <v>202</v>
      </c>
      <c r="Q10" s="9">
        <v>-12000</v>
      </c>
      <c r="R10" s="9"/>
      <c r="S10" s="48">
        <v>-1000</v>
      </c>
      <c r="T10" s="21">
        <f t="shared" si="4"/>
        <v>29000</v>
      </c>
      <c r="U10" s="53">
        <f>IF($J10="","",ROUND(($J10-$J$3)/1000,1)+(_xlfn.RANK.AVG($J10,($J10,$O10,$T10),1)-2)*20)</f>
        <v>-34</v>
      </c>
      <c r="V10" s="54">
        <f>IF($O10="","",ROUND(($O10-$O$3)/1000,1)+(_xlfn.RANK.AVG($O10,($J10,$O10,$T10),1)-2)*20)</f>
        <v>40</v>
      </c>
      <c r="W10" s="55">
        <f>IF($T10="","",ROUND(($T10-$T$3)/1000,1)+(_xlfn.RANK.AVG($T10,($J10,$O10,$T10),1)-2)*20)</f>
        <v>-6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204</v>
      </c>
      <c r="AZ10" s="40" t="s">
        <v>198</v>
      </c>
      <c r="BA10" s="41" t="s">
        <v>206</v>
      </c>
      <c r="BB10" s="41" t="s">
        <v>86</v>
      </c>
      <c r="BC10" s="41" t="s">
        <v>79</v>
      </c>
      <c r="BD10" s="41" t="s">
        <v>79</v>
      </c>
      <c r="BE10" s="41" t="s">
        <v>80</v>
      </c>
      <c r="BF10" s="41" t="s">
        <v>80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ぱぱ</v>
      </c>
      <c r="F11" s="8" t="s">
        <v>196</v>
      </c>
      <c r="G11" s="9">
        <v>-5000</v>
      </c>
      <c r="H11" s="9"/>
      <c r="I11" s="48">
        <v>0</v>
      </c>
      <c r="J11" s="21">
        <f t="shared" si="2"/>
        <v>16000</v>
      </c>
      <c r="K11" s="8" t="s">
        <v>197</v>
      </c>
      <c r="L11" s="9">
        <v>8000</v>
      </c>
      <c r="M11" s="9"/>
      <c r="N11" s="48">
        <v>0</v>
      </c>
      <c r="O11" s="21">
        <f t="shared" si="3"/>
        <v>63000</v>
      </c>
      <c r="P11" s="8" t="s">
        <v>196</v>
      </c>
      <c r="Q11" s="9">
        <v>-3000</v>
      </c>
      <c r="R11" s="9"/>
      <c r="S11" s="48">
        <v>0</v>
      </c>
      <c r="T11" s="21">
        <f t="shared" si="4"/>
        <v>26000</v>
      </c>
      <c r="U11" s="53">
        <f>IF($J11="","",ROUND(($J11-$J$3)/1000,1)+(_xlfn.RANK.AVG($J11,($J11,$O11,$T11),1)-2)*20)</f>
        <v>-39</v>
      </c>
      <c r="V11" s="54">
        <f>IF($O11="","",ROUND(($O11-$O$3)/1000,1)+(_xlfn.RANK.AVG($O11,($J11,$O11,$T11),1)-2)*20)</f>
        <v>48</v>
      </c>
      <c r="W11" s="55">
        <f>IF($T11="","",ROUND(($T11-$T$3)/1000,1)+(_xlfn.RANK.AVG($T11,($J11,$O11,$T11),1)-2)*20)</f>
        <v>-9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204</v>
      </c>
      <c r="AZ11" s="40" t="s">
        <v>104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れんたろう</v>
      </c>
      <c r="F12" s="8"/>
      <c r="G12" s="9"/>
      <c r="H12" s="9"/>
      <c r="I12" s="48"/>
      <c r="J12" s="21">
        <f t="shared" si="2"/>
        <v>16000</v>
      </c>
      <c r="K12" s="8" t="s">
        <v>203</v>
      </c>
      <c r="L12" s="9">
        <v>18000</v>
      </c>
      <c r="M12" s="9"/>
      <c r="N12" s="48">
        <v>0</v>
      </c>
      <c r="O12" s="21">
        <f t="shared" si="3"/>
        <v>81000</v>
      </c>
      <c r="P12" s="8" t="s">
        <v>202</v>
      </c>
      <c r="Q12" s="9">
        <v>-18000</v>
      </c>
      <c r="R12" s="9"/>
      <c r="S12" s="48">
        <v>0</v>
      </c>
      <c r="T12" s="21">
        <f t="shared" si="4"/>
        <v>8000</v>
      </c>
      <c r="U12" s="53">
        <f>IF($J12="","",ROUND(($J12-$J$3)/1000,1)+(_xlfn.RANK.AVG($J12,($J12,$O12,$T12),1)-2)*20)</f>
        <v>-19</v>
      </c>
      <c r="V12" s="54">
        <f>IF($O12="","",ROUND(($O12-$O$3)/1000,1)+(_xlfn.RANK.AVG($O12,($J12,$O12,$T12),1)-2)*20)</f>
        <v>66</v>
      </c>
      <c r="W12" s="55">
        <f>IF($T12="","",ROUND(($T12-$T$3)/1000,1)+(_xlfn.RANK.AVG($T12,($J12,$O12,$T12),1)-2)*20)</f>
        <v>-47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204</v>
      </c>
      <c r="AZ12" s="40" t="s">
        <v>104</v>
      </c>
      <c r="BA12" s="41" t="s">
        <v>86</v>
      </c>
      <c r="BB12" s="41" t="s">
        <v>79</v>
      </c>
      <c r="BC12" s="41" t="s">
        <v>79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9DA21419-365F-46AD-B7A0-A8726ACEDA0F}">
      <formula1>$U$2:$W$2</formula1>
    </dataValidation>
    <dataValidation type="list" showInputMessage="1" showErrorMessage="1" sqref="K4:K30 P4:P30 F4:F30" xr:uid="{9A516336-0448-4FCF-B207-9708B13D1062}">
      <formula1>"ロン,ツモ,放銃,ツモ支払,流局,チョンボ"</formula1>
    </dataValidation>
    <dataValidation type="list" allowBlank="1" showInputMessage="1" sqref="F1:T1" xr:uid="{2DFAE8FE-C413-4EE6-91F9-ECA553CD103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C97F-D450-49A4-B4FA-25F3C8B0884C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 t="s">
        <v>202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198</v>
      </c>
      <c r="BA4" s="41" t="s">
        <v>83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 t="s">
        <v>203</v>
      </c>
      <c r="G5" s="9">
        <v>12000</v>
      </c>
      <c r="H5" s="9"/>
      <c r="I5" s="48">
        <v>0</v>
      </c>
      <c r="J5" s="21">
        <f t="shared" ref="J5:J30" si="2">IF(COUNTA($F5,$K5,$P5)&gt;0,J4+SUM(G5:I5),"")</f>
        <v>47000</v>
      </c>
      <c r="K5" s="8"/>
      <c r="L5" s="9"/>
      <c r="M5" s="9"/>
      <c r="N5" s="48"/>
      <c r="O5" s="21">
        <f t="shared" ref="O5:O30" si="3">IF(COUNTA($F5,$K5,$P5)&gt;0,O4+SUM(L5:N5),"")</f>
        <v>37000</v>
      </c>
      <c r="P5" s="8" t="s">
        <v>202</v>
      </c>
      <c r="Q5" s="9">
        <v>-12000</v>
      </c>
      <c r="R5" s="9"/>
      <c r="S5" s="48">
        <v>0</v>
      </c>
      <c r="T5" s="21">
        <f t="shared" ref="T5:T30" si="4">IF(COUNTA($F5,$K5,$P5)&gt;0,T4+SUM(Q5:S5),"")</f>
        <v>21000</v>
      </c>
      <c r="U5" s="53">
        <f>IF($J5="","",ROUND(($J5-$J$3)/1000,1)+(_xlfn.RANK.AVG($J5,($J5,$O5,$T5),1)-2)*20)</f>
        <v>32</v>
      </c>
      <c r="V5" s="54">
        <f>IF($O5="","",ROUND(($O5-$O$3)/1000,1)+(_xlfn.RANK.AVG($O5,($J5,$O5,$T5),1)-2)*20)</f>
        <v>2</v>
      </c>
      <c r="W5" s="55">
        <f>IF($T5="","",ROUND(($T5-$T$3)/1000,1)+(_xlfn.RANK.AVG($T5,($J5,$O5,$T5),1)-2)*20)</f>
        <v>-34</v>
      </c>
      <c r="Y5" s="8"/>
      <c r="Z5" s="34"/>
      <c r="AA5" s="26">
        <v>1</v>
      </c>
      <c r="AB5" s="26"/>
      <c r="AC5" s="26">
        <v>5</v>
      </c>
      <c r="AD5" s="30" t="s">
        <v>204</v>
      </c>
      <c r="AE5" s="40" t="s">
        <v>198</v>
      </c>
      <c r="AF5" s="41" t="s">
        <v>92</v>
      </c>
      <c r="AG5" s="41" t="s">
        <v>83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ぱぱ</v>
      </c>
      <c r="F6" s="8"/>
      <c r="G6" s="9"/>
      <c r="H6" s="9"/>
      <c r="I6" s="48"/>
      <c r="J6" s="21">
        <f t="shared" si="2"/>
        <v>47000</v>
      </c>
      <c r="K6" s="8" t="s">
        <v>202</v>
      </c>
      <c r="L6" s="9">
        <v>-5200</v>
      </c>
      <c r="M6" s="9"/>
      <c r="N6" s="48">
        <v>-1000</v>
      </c>
      <c r="O6" s="21">
        <f t="shared" si="3"/>
        <v>30800</v>
      </c>
      <c r="P6" s="8" t="s">
        <v>203</v>
      </c>
      <c r="Q6" s="9">
        <v>5200</v>
      </c>
      <c r="R6" s="9"/>
      <c r="S6" s="48">
        <v>1000</v>
      </c>
      <c r="T6" s="21">
        <f t="shared" si="4"/>
        <v>27200</v>
      </c>
      <c r="U6" s="53">
        <f>IF($J6="","",ROUND(($J6-$J$3)/1000,1)+(_xlfn.RANK.AVG($J6,($J6,$O6,$T6),1)-2)*20)</f>
        <v>32</v>
      </c>
      <c r="V6" s="54">
        <f>IF($O6="","",ROUND(($O6-$O$3)/1000,1)+(_xlfn.RANK.AVG($O6,($J6,$O6,$T6),1)-2)*20)</f>
        <v>-4.2</v>
      </c>
      <c r="W6" s="55">
        <f>IF($T6="","",ROUND(($T6-$T$3)/1000,1)+(_xlfn.RANK.AVG($T6,($J6,$O6,$T6),1)-2)*20)</f>
        <v>-27.8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198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197</v>
      </c>
      <c r="G7" s="9">
        <v>5300</v>
      </c>
      <c r="H7" s="9"/>
      <c r="I7" s="48">
        <v>0</v>
      </c>
      <c r="J7" s="21">
        <f t="shared" si="2"/>
        <v>52300</v>
      </c>
      <c r="K7" s="8" t="s">
        <v>196</v>
      </c>
      <c r="L7" s="9">
        <v>-3300</v>
      </c>
      <c r="M7" s="9"/>
      <c r="N7" s="48">
        <v>0</v>
      </c>
      <c r="O7" s="21">
        <f t="shared" si="3"/>
        <v>27500</v>
      </c>
      <c r="P7" s="8" t="s">
        <v>196</v>
      </c>
      <c r="Q7" s="9">
        <v>-2000</v>
      </c>
      <c r="R7" s="9"/>
      <c r="S7" s="48">
        <v>0</v>
      </c>
      <c r="T7" s="21">
        <f t="shared" si="4"/>
        <v>25200</v>
      </c>
      <c r="U7" s="53">
        <f>IF($J7="","",ROUND(($J7-$J$3)/1000,1)+(_xlfn.RANK.AVG($J7,($J7,$O7,$T7),1)-2)*20)</f>
        <v>37.299999999999997</v>
      </c>
      <c r="V7" s="54">
        <f>IF($O7="","",ROUND(($O7-$O$3)/1000,1)+(_xlfn.RANK.AVG($O7,($J7,$O7,$T7),1)-2)*20)</f>
        <v>-7.5</v>
      </c>
      <c r="W7" s="55">
        <f>IF($T7="","",ROUND(($T7-$T$3)/1000,1)+(_xlfn.RANK.AVG($T7,($J7,$O7,$T7),1)-2)*20)</f>
        <v>-29.8</v>
      </c>
      <c r="Y7" s="8"/>
      <c r="Z7" s="34"/>
      <c r="AA7" s="26"/>
      <c r="AB7" s="26"/>
      <c r="AC7" s="26">
        <v>4</v>
      </c>
      <c r="AD7" s="30">
        <v>20</v>
      </c>
      <c r="AE7" s="40" t="s">
        <v>82</v>
      </c>
      <c r="AF7" s="41" t="s">
        <v>83</v>
      </c>
      <c r="AG7" s="41" t="s">
        <v>85</v>
      </c>
      <c r="AH7" s="41" t="s">
        <v>205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202</v>
      </c>
      <c r="G8" s="9">
        <v>-7700</v>
      </c>
      <c r="H8" s="9">
        <v>-1000</v>
      </c>
      <c r="I8" s="48">
        <v>0</v>
      </c>
      <c r="J8" s="21">
        <f t="shared" si="2"/>
        <v>43600</v>
      </c>
      <c r="K8" s="8"/>
      <c r="L8" s="9"/>
      <c r="M8" s="9"/>
      <c r="N8" s="48"/>
      <c r="O8" s="21">
        <f t="shared" si="3"/>
        <v>27500</v>
      </c>
      <c r="P8" s="8" t="s">
        <v>203</v>
      </c>
      <c r="Q8" s="9">
        <v>7700</v>
      </c>
      <c r="R8" s="9">
        <v>1000</v>
      </c>
      <c r="S8" s="48">
        <v>0</v>
      </c>
      <c r="T8" s="21">
        <f t="shared" si="4"/>
        <v>33900</v>
      </c>
      <c r="U8" s="53">
        <f>IF($J8="","",ROUND(($J8-$J$3)/1000,1)+(_xlfn.RANK.AVG($J8,($J8,$O8,$T8),1)-2)*20)</f>
        <v>28.6</v>
      </c>
      <c r="V8" s="54">
        <f>IF($O8="","",ROUND(($O8-$O$3)/1000,1)+(_xlfn.RANK.AVG($O8,($J8,$O8,$T8),1)-2)*20)</f>
        <v>-27.5</v>
      </c>
      <c r="W8" s="55">
        <f>IF($T8="","",ROUND(($T8-$T$3)/1000,1)+(_xlfn.RANK.AVG($T8,($J8,$O8,$T8),1)-2)*20)</f>
        <v>-1.1000000000000001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40</v>
      </c>
      <c r="BU8" s="40" t="s">
        <v>86</v>
      </c>
      <c r="BV8" s="41" t="s">
        <v>98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 t="s">
        <v>196</v>
      </c>
      <c r="G9" s="9">
        <v>-3000</v>
      </c>
      <c r="H9" s="9"/>
      <c r="I9" s="48">
        <v>-500</v>
      </c>
      <c r="J9" s="21">
        <f t="shared" si="2"/>
        <v>40100</v>
      </c>
      <c r="K9" s="8" t="s">
        <v>197</v>
      </c>
      <c r="L9" s="9">
        <v>8000</v>
      </c>
      <c r="M9" s="9"/>
      <c r="N9" s="48">
        <v>1000</v>
      </c>
      <c r="O9" s="21">
        <f t="shared" si="3"/>
        <v>36500</v>
      </c>
      <c r="P9" s="8" t="s">
        <v>196</v>
      </c>
      <c r="Q9" s="9">
        <v>-5000</v>
      </c>
      <c r="R9" s="9"/>
      <c r="S9" s="48">
        <v>-500</v>
      </c>
      <c r="T9" s="21">
        <f t="shared" si="4"/>
        <v>28400</v>
      </c>
      <c r="U9" s="53">
        <f>IF($J9="","",ROUND(($J9-$J$3)/1000,1)+(_xlfn.RANK.AVG($J9,($J9,$O9,$T9),1)-2)*20)</f>
        <v>25.1</v>
      </c>
      <c r="V9" s="54">
        <f>IF($O9="","",ROUND(($O9-$O$3)/1000,1)+(_xlfn.RANK.AVG($O9,($J9,$O9,$T9),1)-2)*20)</f>
        <v>1.5</v>
      </c>
      <c r="W9" s="55">
        <f>IF($T9="","",ROUND(($T9-$T$3)/1000,1)+(_xlfn.RANK.AVG($T9,($J9,$O9,$T9),1)-2)*20)</f>
        <v>-26.6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204</v>
      </c>
      <c r="AZ9" s="40" t="s">
        <v>198</v>
      </c>
      <c r="BA9" s="41" t="s">
        <v>82</v>
      </c>
      <c r="BB9" s="41" t="s">
        <v>79</v>
      </c>
      <c r="BC9" s="41" t="s">
        <v>80</v>
      </c>
      <c r="BD9" s="41" t="s">
        <v>205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ぱぱ</v>
      </c>
      <c r="F10" s="8" t="s">
        <v>197</v>
      </c>
      <c r="G10" s="9">
        <v>18000</v>
      </c>
      <c r="H10" s="9">
        <v>1000</v>
      </c>
      <c r="I10" s="48">
        <v>0</v>
      </c>
      <c r="J10" s="21">
        <f t="shared" si="2"/>
        <v>59100</v>
      </c>
      <c r="K10" s="8" t="s">
        <v>196</v>
      </c>
      <c r="L10" s="9">
        <v>-9000</v>
      </c>
      <c r="M10" s="9">
        <v>-1000</v>
      </c>
      <c r="N10" s="48">
        <v>0</v>
      </c>
      <c r="O10" s="21">
        <f t="shared" si="3"/>
        <v>26500</v>
      </c>
      <c r="P10" s="8" t="s">
        <v>196</v>
      </c>
      <c r="Q10" s="9">
        <v>-9000</v>
      </c>
      <c r="R10" s="9"/>
      <c r="S10" s="48">
        <v>0</v>
      </c>
      <c r="T10" s="21">
        <f t="shared" si="4"/>
        <v>19400</v>
      </c>
      <c r="U10" s="53">
        <f>IF($J10="","",ROUND(($J10-$J$3)/1000,1)+(_xlfn.RANK.AVG($J10,($J10,$O10,$T10),1)-2)*20)</f>
        <v>44.1</v>
      </c>
      <c r="V10" s="54">
        <f>IF($O10="","",ROUND(($O10-$O$3)/1000,1)+(_xlfn.RANK.AVG($O10,($J10,$O10,$T10),1)-2)*20)</f>
        <v>-8.5</v>
      </c>
      <c r="W10" s="55">
        <f>IF($T10="","",ROUND(($T10-$T$3)/1000,1)+(_xlfn.RANK.AVG($T10,($J10,$O10,$T10),1)-2)*20)</f>
        <v>-35.6</v>
      </c>
      <c r="Y10" s="8"/>
      <c r="Z10" s="34"/>
      <c r="AA10" s="26">
        <v>1</v>
      </c>
      <c r="AB10" s="26"/>
      <c r="AC10" s="26">
        <v>6</v>
      </c>
      <c r="AD10" s="30" t="s">
        <v>204</v>
      </c>
      <c r="AE10" s="40" t="s">
        <v>207</v>
      </c>
      <c r="AF10" s="41" t="s">
        <v>82</v>
      </c>
      <c r="AG10" s="41" t="s">
        <v>96</v>
      </c>
      <c r="AH10" s="41" t="s">
        <v>86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IF($F$1="","",$F$1)</f>
        <v>ぱぱ</v>
      </c>
      <c r="F11" s="8" t="s">
        <v>203</v>
      </c>
      <c r="G11" s="9">
        <v>12000</v>
      </c>
      <c r="H11" s="9"/>
      <c r="I11" s="48">
        <v>1000</v>
      </c>
      <c r="J11" s="21">
        <f t="shared" si="2"/>
        <v>72100</v>
      </c>
      <c r="K11" s="8" t="s">
        <v>202</v>
      </c>
      <c r="L11" s="9">
        <v>-12000</v>
      </c>
      <c r="M11" s="9"/>
      <c r="N11" s="48">
        <v>-1000</v>
      </c>
      <c r="O11" s="21">
        <f t="shared" si="3"/>
        <v>13500</v>
      </c>
      <c r="P11" s="8"/>
      <c r="Q11" s="9"/>
      <c r="R11" s="9"/>
      <c r="S11" s="48"/>
      <c r="T11" s="21">
        <f t="shared" si="4"/>
        <v>19400</v>
      </c>
      <c r="U11" s="53">
        <f>IF($J11="","",ROUND(($J11-$J$3)/1000,1)+(_xlfn.RANK.AVG($J11,($J11,$O11,$T11),1)-2)*20)</f>
        <v>57.1</v>
      </c>
      <c r="V11" s="54">
        <f>IF($O11="","",ROUND(($O11-$O$3)/1000,1)+(_xlfn.RANK.AVG($O11,($J11,$O11,$T11),1)-2)*20)</f>
        <v>-41.5</v>
      </c>
      <c r="W11" s="55">
        <f>IF($T11="","",ROUND(($T11-$T$3)/1000,1)+(_xlfn.RANK.AVG($T11,($J11,$O11,$T11),1)-2)*20)</f>
        <v>-15.6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198</v>
      </c>
      <c r="AF11" s="41" t="s">
        <v>86</v>
      </c>
      <c r="AG11" s="41" t="s">
        <v>93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IF($F$1="","",$F$1)</f>
        <v>ぱぱ</v>
      </c>
      <c r="F12" s="8" t="s">
        <v>196</v>
      </c>
      <c r="G12" s="9">
        <v>-4800</v>
      </c>
      <c r="H12" s="9">
        <v>-2000</v>
      </c>
      <c r="I12" s="48">
        <v>-1000</v>
      </c>
      <c r="J12" s="21">
        <f t="shared" si="2"/>
        <v>64300</v>
      </c>
      <c r="K12" s="8" t="s">
        <v>196</v>
      </c>
      <c r="L12" s="9">
        <v>-2900</v>
      </c>
      <c r="M12" s="9"/>
      <c r="N12" s="48">
        <v>-1000</v>
      </c>
      <c r="O12" s="21">
        <f t="shared" si="3"/>
        <v>9600</v>
      </c>
      <c r="P12" s="8" t="s">
        <v>197</v>
      </c>
      <c r="Q12" s="9">
        <v>7700</v>
      </c>
      <c r="R12" s="9">
        <v>2000</v>
      </c>
      <c r="S12" s="48">
        <v>2000</v>
      </c>
      <c r="T12" s="21">
        <f t="shared" si="4"/>
        <v>31100</v>
      </c>
      <c r="U12" s="53">
        <f>IF($J12="","",ROUND(($J12-$J$3)/1000,1)+(_xlfn.RANK.AVG($J12,($J12,$O12,$T12),1)-2)*20)</f>
        <v>49.3</v>
      </c>
      <c r="V12" s="54">
        <f>IF($O12="","",ROUND(($O12-$O$3)/1000,1)+(_xlfn.RANK.AVG($O12,($J12,$O12,$T12),1)-2)*20)</f>
        <v>-45.4</v>
      </c>
      <c r="W12" s="55">
        <f>IF($T12="","",ROUND(($T12-$T$3)/1000,1)+(_xlfn.RANK.AVG($T12,($J12,$O12,$T12),1)-2)*20)</f>
        <v>-3.9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207</v>
      </c>
      <c r="BV12" s="41" t="s">
        <v>82</v>
      </c>
      <c r="BW12" s="41" t="s">
        <v>80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れんたろう</v>
      </c>
      <c r="F13" s="8" t="s">
        <v>201</v>
      </c>
      <c r="G13" s="9">
        <v>-1500</v>
      </c>
      <c r="H13" s="9"/>
      <c r="I13" s="48"/>
      <c r="J13" s="21">
        <f t="shared" si="2"/>
        <v>62800</v>
      </c>
      <c r="K13" s="8" t="s">
        <v>201</v>
      </c>
      <c r="L13" s="9">
        <v>3000</v>
      </c>
      <c r="M13" s="9"/>
      <c r="N13" s="48"/>
      <c r="O13" s="21">
        <f t="shared" si="3"/>
        <v>12600</v>
      </c>
      <c r="P13" s="8" t="s">
        <v>201</v>
      </c>
      <c r="Q13" s="9">
        <v>-1500</v>
      </c>
      <c r="R13" s="9"/>
      <c r="S13" s="48"/>
      <c r="T13" s="21">
        <f t="shared" si="4"/>
        <v>29600</v>
      </c>
      <c r="U13" s="53">
        <f>IF($J13="","",ROUND(($J13-$J$3)/1000,1)+(_xlfn.RANK.AVG($J13,($J13,$O13,$T13),1)-2)*20)</f>
        <v>47.8</v>
      </c>
      <c r="V13" s="54">
        <f>IF($O13="","",ROUND(($O13-$O$3)/1000,1)+(_xlfn.RANK.AVG($O13,($J13,$O13,$T13),1)-2)*20)</f>
        <v>-42.4</v>
      </c>
      <c r="W13" s="55">
        <f>IF($T13="","",ROUND(($T13-$T$3)/1000,1)+(_xlfn.RANK.AVG($T13,($J13,$O13,$T13),1)-2)*20)</f>
        <v>-5.4</v>
      </c>
      <c r="Y13" s="8" t="s">
        <v>199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200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199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IF($K$1="","",$K$1)</f>
        <v>れんたろう</v>
      </c>
      <c r="F14" s="8" t="s">
        <v>203</v>
      </c>
      <c r="G14" s="9">
        <v>2600</v>
      </c>
      <c r="H14" s="9"/>
      <c r="I14" s="48">
        <v>1000</v>
      </c>
      <c r="J14" s="21">
        <f t="shared" si="2"/>
        <v>66400</v>
      </c>
      <c r="K14" s="8" t="s">
        <v>202</v>
      </c>
      <c r="L14" s="9">
        <v>-2600</v>
      </c>
      <c r="M14" s="9"/>
      <c r="N14" s="48">
        <v>-1000</v>
      </c>
      <c r="O14" s="21">
        <f t="shared" si="3"/>
        <v>9000</v>
      </c>
      <c r="P14" s="8"/>
      <c r="Q14" s="9"/>
      <c r="R14" s="9"/>
      <c r="S14" s="48"/>
      <c r="T14" s="21">
        <f t="shared" si="4"/>
        <v>29600</v>
      </c>
      <c r="U14" s="53">
        <f>IF($J14="","",ROUND(($J14-$J$3)/1000,1)+(_xlfn.RANK.AVG($J14,($J14,$O14,$T14),1)-2)*20)</f>
        <v>51.4</v>
      </c>
      <c r="V14" s="54">
        <f>IF($O14="","",ROUND(($O14-$O$3)/1000,1)+(_xlfn.RANK.AVG($O14,($J14,$O14,$T14),1)-2)*20)</f>
        <v>-46</v>
      </c>
      <c r="W14" s="55">
        <f>IF($T14="","",ROUND(($T14-$T$3)/1000,1)+(_xlfn.RANK.AVG($T14,($J14,$O14,$T14),1)-2)*20)</f>
        <v>-5.4</v>
      </c>
      <c r="Y14" s="8"/>
      <c r="Z14" s="34"/>
      <c r="AA14" s="26"/>
      <c r="AB14" s="26"/>
      <c r="AC14" s="26">
        <v>2</v>
      </c>
      <c r="AD14" s="30">
        <v>40</v>
      </c>
      <c r="AE14" s="40" t="s">
        <v>86</v>
      </c>
      <c r="AF14" s="41" t="s">
        <v>79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A70655F9-2383-4DDE-94E8-D68FC7293B7C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00F136D7-8891-4D7D-B324-2FFB46799ADF}">
      <formula1>"ロン,ツモ,放銃,ツモ支払,流局,チョンボ"</formula1>
    </dataValidation>
    <dataValidation type="list" allowBlank="1" showInputMessage="1" showErrorMessage="1" sqref="E4:E30" xr:uid="{5C63431D-73DC-4BF3-A1F9-458ED9558E7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FFCE2-F9A5-4491-A983-3E2F87007AD4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196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196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-19</v>
      </c>
      <c r="W4" s="55">
        <f>IF($T4="","",ROUND(($T4-$T$3)/1000,1)+(_xlfn.RANK.AVG($T4,($J4,$O4,$T4),1)-2)*20)</f>
        <v>-19</v>
      </c>
      <c r="Y4" s="8"/>
      <c r="Z4" s="34"/>
      <c r="AA4" s="26">
        <v>1</v>
      </c>
      <c r="AB4" s="26"/>
      <c r="AC4" s="26">
        <v>7</v>
      </c>
      <c r="AD4" s="30" t="s">
        <v>204</v>
      </c>
      <c r="AE4" s="40" t="s">
        <v>198</v>
      </c>
      <c r="AF4" s="41" t="s">
        <v>82</v>
      </c>
      <c r="AG4" s="41" t="s">
        <v>206</v>
      </c>
      <c r="AH4" s="41" t="s">
        <v>83</v>
      </c>
      <c r="AI4" s="41" t="s">
        <v>79</v>
      </c>
      <c r="AJ4" s="41" t="s">
        <v>80</v>
      </c>
      <c r="AK4" s="41" t="s">
        <v>205</v>
      </c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/>
      <c r="G5" s="9"/>
      <c r="H5" s="9"/>
      <c r="I5" s="48"/>
      <c r="J5" s="21">
        <f t="shared" ref="J5:J30" si="2">IF(COUNTA($F5,$K5,$P5)&gt;0,J4+SUM(G5:I5),"")</f>
        <v>53000</v>
      </c>
      <c r="K5" s="8" t="s">
        <v>202</v>
      </c>
      <c r="L5" s="9">
        <v>-5200</v>
      </c>
      <c r="M5" s="9"/>
      <c r="N5" s="48">
        <v>-1000</v>
      </c>
      <c r="O5" s="21">
        <f t="shared" ref="O5:O30" si="3">IF(COUNTA($F5,$K5,$P5)&gt;0,O4+SUM(L5:N5),"")</f>
        <v>19800</v>
      </c>
      <c r="P5" s="8" t="s">
        <v>203</v>
      </c>
      <c r="Q5" s="9">
        <v>5200</v>
      </c>
      <c r="R5" s="9"/>
      <c r="S5" s="48">
        <v>1000</v>
      </c>
      <c r="T5" s="21">
        <f t="shared" ref="T5:T30" si="4">IF(COUNTA($F5,$K5,$P5)&gt;0,T4+SUM(Q5:S5),"")</f>
        <v>32200</v>
      </c>
      <c r="U5" s="53">
        <f>IF($J5="","",ROUND(($J5-$J$3)/1000,1)+(_xlfn.RANK.AVG($J5,($J5,$O5,$T5),1)-2)*20)</f>
        <v>38</v>
      </c>
      <c r="V5" s="54">
        <f>IF($O5="","",ROUND(($O5-$O$3)/1000,1)+(_xlfn.RANK.AVG($O5,($J5,$O5,$T5),1)-2)*20)</f>
        <v>-35.200000000000003</v>
      </c>
      <c r="W5" s="55">
        <f>IF($T5="","",ROUND(($T5-$T$3)/1000,1)+(_xlfn.RANK.AVG($T5,($J5,$O5,$T5),1)-2)*20)</f>
        <v>-2.8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198</v>
      </c>
      <c r="BV5" s="41" t="s">
        <v>80</v>
      </c>
      <c r="BW5" s="41" t="s">
        <v>206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196</v>
      </c>
      <c r="G6" s="9">
        <v>-6000</v>
      </c>
      <c r="H6" s="9"/>
      <c r="I6" s="48">
        <v>0</v>
      </c>
      <c r="J6" s="21">
        <f t="shared" si="2"/>
        <v>47000</v>
      </c>
      <c r="K6" s="8" t="s">
        <v>197</v>
      </c>
      <c r="L6" s="9">
        <v>12000</v>
      </c>
      <c r="M6" s="9"/>
      <c r="N6" s="48">
        <v>0</v>
      </c>
      <c r="O6" s="21">
        <f t="shared" si="3"/>
        <v>31800</v>
      </c>
      <c r="P6" s="8" t="s">
        <v>196</v>
      </c>
      <c r="Q6" s="9">
        <v>-6000</v>
      </c>
      <c r="R6" s="9"/>
      <c r="S6" s="48">
        <v>0</v>
      </c>
      <c r="T6" s="21">
        <f t="shared" si="4"/>
        <v>26200</v>
      </c>
      <c r="U6" s="53">
        <f>IF($J6="","",ROUND(($J6-$J$3)/1000,1)+(_xlfn.RANK.AVG($J6,($J6,$O6,$T6),1)-2)*20)</f>
        <v>32</v>
      </c>
      <c r="V6" s="54">
        <f>IF($O6="","",ROUND(($O6-$O$3)/1000,1)+(_xlfn.RANK.AVG($O6,($J6,$O6,$T6),1)-2)*20)</f>
        <v>-3.2</v>
      </c>
      <c r="W6" s="55">
        <f>IF($T6="","",ROUND(($T6-$T$3)/1000,1)+(_xlfn.RANK.AVG($T6,($J6,$O6,$T6),1)-2)*20)</f>
        <v>-28.8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204</v>
      </c>
      <c r="AZ6" s="40" t="s">
        <v>198</v>
      </c>
      <c r="BA6" s="41" t="s">
        <v>82</v>
      </c>
      <c r="BB6" s="41" t="s">
        <v>80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れんたろう</v>
      </c>
      <c r="F7" s="8" t="s">
        <v>201</v>
      </c>
      <c r="G7" s="9">
        <v>1500</v>
      </c>
      <c r="H7" s="9"/>
      <c r="I7" s="48"/>
      <c r="J7" s="21">
        <f t="shared" si="2"/>
        <v>48500</v>
      </c>
      <c r="K7" s="8" t="s">
        <v>201</v>
      </c>
      <c r="L7" s="9">
        <v>1500</v>
      </c>
      <c r="M7" s="9"/>
      <c r="N7" s="48"/>
      <c r="O7" s="21">
        <f t="shared" si="3"/>
        <v>33300</v>
      </c>
      <c r="P7" s="8" t="s">
        <v>201</v>
      </c>
      <c r="Q7" s="9">
        <v>-3000</v>
      </c>
      <c r="R7" s="9"/>
      <c r="S7" s="48"/>
      <c r="T7" s="21">
        <f t="shared" si="4"/>
        <v>23200</v>
      </c>
      <c r="U7" s="53">
        <f>IF($J7="","",ROUND(($J7-$J$3)/1000,1)+(_xlfn.RANK.AVG($J7,($J7,$O7,$T7),1)-2)*20)</f>
        <v>33.5</v>
      </c>
      <c r="V7" s="54">
        <f>IF($O7="","",ROUND(($O7-$O$3)/1000,1)+(_xlfn.RANK.AVG($O7,($J7,$O7,$T7),1)-2)*20)</f>
        <v>-1.7</v>
      </c>
      <c r="W7" s="55">
        <f>IF($T7="","",ROUND(($T7-$T$3)/1000,1)+(_xlfn.RANK.AVG($T7,($J7,$O7,$T7),1)-2)*20)</f>
        <v>-31.8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IF($K$1="","",$K$1)</f>
        <v>れんたろう</v>
      </c>
      <c r="F8" s="8" t="s">
        <v>197</v>
      </c>
      <c r="G8" s="9">
        <v>3200</v>
      </c>
      <c r="H8" s="9">
        <v>1000</v>
      </c>
      <c r="I8" s="48">
        <v>2000</v>
      </c>
      <c r="J8" s="21">
        <f t="shared" si="2"/>
        <v>54700</v>
      </c>
      <c r="K8" s="8" t="s">
        <v>196</v>
      </c>
      <c r="L8" s="9">
        <v>-2000</v>
      </c>
      <c r="M8" s="9"/>
      <c r="N8" s="48">
        <v>-1000</v>
      </c>
      <c r="O8" s="21">
        <f t="shared" si="3"/>
        <v>30300</v>
      </c>
      <c r="P8" s="8" t="s">
        <v>196</v>
      </c>
      <c r="Q8" s="9">
        <v>-1200</v>
      </c>
      <c r="R8" s="9">
        <v>-1000</v>
      </c>
      <c r="S8" s="48">
        <v>-1000</v>
      </c>
      <c r="T8" s="21">
        <f t="shared" si="4"/>
        <v>20000</v>
      </c>
      <c r="U8" s="53">
        <f>IF($J8="","",ROUND(($J8-$J$3)/1000,1)+(_xlfn.RANK.AVG($J8,($J8,$O8,$T8),1)-2)*20)</f>
        <v>39.700000000000003</v>
      </c>
      <c r="V8" s="54">
        <f>IF($O8="","",ROUND(($O8-$O$3)/1000,1)+(_xlfn.RANK.AVG($O8,($J8,$O8,$T8),1)-2)*20)</f>
        <v>-4.7</v>
      </c>
      <c r="W8" s="55">
        <f>IF($T8="","",ROUND(($T8-$T$3)/1000,1)+(_xlfn.RANK.AVG($T8,($J8,$O8,$T8),1)-2)*20)</f>
        <v>-35</v>
      </c>
      <c r="Y8" s="8"/>
      <c r="Z8" s="34"/>
      <c r="AA8" s="26"/>
      <c r="AB8" s="26"/>
      <c r="AC8" s="26">
        <v>3</v>
      </c>
      <c r="AD8" s="30">
        <v>25</v>
      </c>
      <c r="AE8" s="40" t="s">
        <v>82</v>
      </c>
      <c r="AF8" s="41" t="s">
        <v>101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203</v>
      </c>
      <c r="G9" s="9">
        <v>8000</v>
      </c>
      <c r="H9" s="9">
        <v>1000</v>
      </c>
      <c r="I9" s="48">
        <v>0</v>
      </c>
      <c r="J9" s="21">
        <f t="shared" si="2"/>
        <v>63700</v>
      </c>
      <c r="K9" s="8"/>
      <c r="L9" s="9"/>
      <c r="M9" s="9"/>
      <c r="N9" s="48"/>
      <c r="O9" s="21">
        <f t="shared" si="3"/>
        <v>30300</v>
      </c>
      <c r="P9" s="8" t="s">
        <v>202</v>
      </c>
      <c r="Q9" s="9">
        <v>-8000</v>
      </c>
      <c r="R9" s="9">
        <v>-1000</v>
      </c>
      <c r="S9" s="48">
        <v>0</v>
      </c>
      <c r="T9" s="21">
        <f t="shared" si="4"/>
        <v>11000</v>
      </c>
      <c r="U9" s="53">
        <f>IF($J9="","",ROUND(($J9-$J$3)/1000,1)+(_xlfn.RANK.AVG($J9,($J9,$O9,$T9),1)-2)*20)</f>
        <v>48.7</v>
      </c>
      <c r="V9" s="54">
        <f>IF($O9="","",ROUND(($O9-$O$3)/1000,1)+(_xlfn.RANK.AVG($O9,($J9,$O9,$T9),1)-2)*20)</f>
        <v>-4.7</v>
      </c>
      <c r="W9" s="55">
        <f>IF($T9="","",ROUND(($T9-$T$3)/1000,1)+(_xlfn.RANK.AVG($T9,($J9,$O9,$T9),1)-2)*20)</f>
        <v>-44</v>
      </c>
      <c r="Y9" s="8"/>
      <c r="Z9" s="34"/>
      <c r="AA9" s="26">
        <v>1</v>
      </c>
      <c r="AB9" s="26"/>
      <c r="AC9" s="26">
        <v>5</v>
      </c>
      <c r="AD9" s="30" t="s">
        <v>204</v>
      </c>
      <c r="AE9" s="40" t="s">
        <v>198</v>
      </c>
      <c r="AF9" s="41" t="s">
        <v>86</v>
      </c>
      <c r="AG9" s="41" t="s">
        <v>79</v>
      </c>
      <c r="AH9" s="41" t="s">
        <v>80</v>
      </c>
      <c r="AI9" s="41" t="s">
        <v>205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ぱぱ</v>
      </c>
      <c r="F10" s="8"/>
      <c r="G10" s="9"/>
      <c r="H10" s="9"/>
      <c r="I10" s="48"/>
      <c r="J10" s="21">
        <f t="shared" si="2"/>
        <v>63700</v>
      </c>
      <c r="K10" s="8" t="s">
        <v>203</v>
      </c>
      <c r="L10" s="9">
        <v>12000</v>
      </c>
      <c r="M10" s="9"/>
      <c r="N10" s="48">
        <v>0</v>
      </c>
      <c r="O10" s="21">
        <f t="shared" si="3"/>
        <v>42300</v>
      </c>
      <c r="P10" s="8" t="s">
        <v>202</v>
      </c>
      <c r="Q10" s="9">
        <v>-12000</v>
      </c>
      <c r="R10" s="9"/>
      <c r="S10" s="48">
        <v>0</v>
      </c>
      <c r="T10" s="21">
        <f t="shared" si="4"/>
        <v>-1000</v>
      </c>
      <c r="U10" s="53">
        <f>IF($J10="","",ROUND(($J10-$J$3)/1000,1)+(_xlfn.RANK.AVG($J10,($J10,$O10,$T10),1)-2)*20)</f>
        <v>48.7</v>
      </c>
      <c r="V10" s="54">
        <f>IF($O10="","",ROUND(($O10-$O$3)/1000,1)+(_xlfn.RANK.AVG($O10,($J10,$O10,$T10),1)-2)*20)</f>
        <v>7.3</v>
      </c>
      <c r="W10" s="55">
        <f>IF($T10="","",ROUND(($T10-$T$3)/1000,1)+(_xlfn.RANK.AVG($T10,($J10,$O10,$T10),1)-2)*20)</f>
        <v>-56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204</v>
      </c>
      <c r="AZ10" s="40" t="s">
        <v>198</v>
      </c>
      <c r="BA10" s="41" t="s">
        <v>206</v>
      </c>
      <c r="BB10" s="41" t="s">
        <v>101</v>
      </c>
      <c r="BC10" s="41" t="s">
        <v>80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9BC5033B-115C-4E30-B3B0-797B4073DC1B}">
      <formula1>$U$2:$W$2</formula1>
    </dataValidation>
    <dataValidation type="list" showInputMessage="1" showErrorMessage="1" sqref="K4:K30 P4:P30 F4:F30" xr:uid="{A406239C-D573-448A-B0F7-25EA3AEBBC7D}">
      <formula1>"ロン,ツモ,放銃,ツモ支払,流局,チョンボ"</formula1>
    </dataValidation>
    <dataValidation type="list" allowBlank="1" showInputMessage="1" sqref="F1:T1" xr:uid="{C19F456A-8161-4071-865C-EFD6DAF26D82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2F2C-9EB7-4A1C-9966-A38AB65F7526}">
  <sheetPr codeName="Sheet2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2800</v>
      </c>
      <c r="H4" s="9"/>
      <c r="I4" s="48">
        <v>0</v>
      </c>
      <c r="J4" s="21">
        <f>IF(COUNTA($F4,$K4,$P4)&gt;0,J3+SUM(G4:I4),"")</f>
        <v>37800</v>
      </c>
      <c r="K4" s="8" t="s">
        <v>196</v>
      </c>
      <c r="L4" s="9">
        <v>-1700</v>
      </c>
      <c r="M4" s="9"/>
      <c r="N4" s="48">
        <v>0</v>
      </c>
      <c r="O4" s="21">
        <f>IF(COUNTA($F4,$K4,$P4)&gt;0,O3+SUM(L4:N4),"")</f>
        <v>33300</v>
      </c>
      <c r="P4" s="8" t="s">
        <v>196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IF($J4="","",ROUND(($J4-$J$3)/1000,1)+(_xlfn.RANK.AVG($J4,($J4,$O4,$T4),1)-2)*20)</f>
        <v>22.8</v>
      </c>
      <c r="V4" s="54">
        <f>IF($O4="","",ROUND(($O4-$O$3)/1000,1)+(_xlfn.RANK.AVG($O4,($J4,$O4,$T4),1)-2)*20)</f>
        <v>-21.7</v>
      </c>
      <c r="W4" s="55">
        <f>IF($T4="","",ROUND(($T4-$T$3)/1000,1)+(_xlfn.RANK.AVG($T4,($J4,$O4,$T4),1)-2)*20)</f>
        <v>-1.1000000000000001</v>
      </c>
      <c r="Y4" s="8"/>
      <c r="Z4" s="34"/>
      <c r="AA4" s="26"/>
      <c r="AB4" s="26"/>
      <c r="AC4" s="26">
        <v>3</v>
      </c>
      <c r="AD4" s="30">
        <v>20</v>
      </c>
      <c r="AE4" s="40" t="s">
        <v>82</v>
      </c>
      <c r="AF4" s="41" t="s">
        <v>83</v>
      </c>
      <c r="AG4" s="41" t="s">
        <v>205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/>
      <c r="G5" s="9"/>
      <c r="H5" s="9"/>
      <c r="I5" s="48"/>
      <c r="J5" s="21">
        <f t="shared" ref="J5:J30" si="2">IF(COUNTA($F5,$K5,$P5)&gt;0,J4+SUM(G5:I5),"")</f>
        <v>37800</v>
      </c>
      <c r="K5" s="8" t="s">
        <v>202</v>
      </c>
      <c r="L5" s="9">
        <v>-12000</v>
      </c>
      <c r="M5" s="9"/>
      <c r="N5" s="48">
        <v>0</v>
      </c>
      <c r="O5" s="21">
        <f t="shared" ref="O5:O30" si="3">IF(COUNTA($F5,$K5,$P5)&gt;0,O4+SUM(L5:N5),"")</f>
        <v>21300</v>
      </c>
      <c r="P5" s="8" t="s">
        <v>203</v>
      </c>
      <c r="Q5" s="9">
        <v>12000</v>
      </c>
      <c r="R5" s="9"/>
      <c r="S5" s="48">
        <v>0</v>
      </c>
      <c r="T5" s="21">
        <f t="shared" ref="T5:T30" si="4">IF(COUNTA($F5,$K5,$P5)&gt;0,T4+SUM(Q5:S5),"")</f>
        <v>45900</v>
      </c>
      <c r="U5" s="53">
        <f>IF($J5="","",ROUND(($J5-$J$3)/1000,1)+(_xlfn.RANK.AVG($J5,($J5,$O5,$T5),1)-2)*20)</f>
        <v>2.8</v>
      </c>
      <c r="V5" s="54">
        <f>IF($O5="","",ROUND(($O5-$O$3)/1000,1)+(_xlfn.RANK.AVG($O5,($J5,$O5,$T5),1)-2)*20)</f>
        <v>-33.700000000000003</v>
      </c>
      <c r="W5" s="55">
        <f>IF($T5="","",ROUND(($T5-$T$3)/1000,1)+(_xlfn.RANK.AVG($T5,($J5,$O5,$T5),1)-2)*20)</f>
        <v>30.9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204</v>
      </c>
      <c r="BU5" s="40" t="s">
        <v>198</v>
      </c>
      <c r="BV5" s="41" t="s">
        <v>86</v>
      </c>
      <c r="BW5" s="41" t="s">
        <v>205</v>
      </c>
      <c r="BX5" s="41" t="s">
        <v>205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だいち</v>
      </c>
      <c r="F6" s="8" t="s">
        <v>202</v>
      </c>
      <c r="G6" s="9">
        <v>-8000</v>
      </c>
      <c r="H6" s="9"/>
      <c r="I6" s="48">
        <v>-1000</v>
      </c>
      <c r="J6" s="21">
        <f t="shared" si="2"/>
        <v>28800</v>
      </c>
      <c r="K6" s="8" t="s">
        <v>203</v>
      </c>
      <c r="L6" s="9">
        <v>8000</v>
      </c>
      <c r="M6" s="9">
        <v>1000</v>
      </c>
      <c r="N6" s="48">
        <v>1000</v>
      </c>
      <c r="O6" s="21">
        <f t="shared" si="3"/>
        <v>31300</v>
      </c>
      <c r="P6" s="8"/>
      <c r="Q6" s="9"/>
      <c r="R6" s="9">
        <v>-1000</v>
      </c>
      <c r="S6" s="48"/>
      <c r="T6" s="21">
        <f t="shared" si="4"/>
        <v>44900</v>
      </c>
      <c r="U6" s="53">
        <f>IF($J6="","",ROUND(($J6-$J$3)/1000,1)+(_xlfn.RANK.AVG($J6,($J6,$O6,$T6),1)-2)*20)</f>
        <v>-26.2</v>
      </c>
      <c r="V6" s="54">
        <f>IF($O6="","",ROUND(($O6-$O$3)/1000,1)+(_xlfn.RANK.AVG($O6,($J6,$O6,$T6),1)-2)*20)</f>
        <v>-3.7</v>
      </c>
      <c r="W6" s="55">
        <f>IF($T6="","",ROUND(($T6-$T$3)/1000,1)+(_xlfn.RANK.AVG($T6,($J6,$O6,$T6),1)-2)*20)</f>
        <v>29.9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204</v>
      </c>
      <c r="AZ6" s="40" t="s">
        <v>106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ぱぱ</v>
      </c>
      <c r="F7" s="8" t="s">
        <v>203</v>
      </c>
      <c r="G7" s="9">
        <v>12000</v>
      </c>
      <c r="H7" s="9"/>
      <c r="I7" s="48">
        <v>0</v>
      </c>
      <c r="J7" s="21">
        <f t="shared" si="2"/>
        <v>40800</v>
      </c>
      <c r="K7" s="8" t="s">
        <v>202</v>
      </c>
      <c r="L7" s="9">
        <v>-12000</v>
      </c>
      <c r="M7" s="9"/>
      <c r="N7" s="48">
        <v>0</v>
      </c>
      <c r="O7" s="21">
        <f t="shared" si="3"/>
        <v>19300</v>
      </c>
      <c r="P7" s="8"/>
      <c r="Q7" s="9"/>
      <c r="R7" s="9"/>
      <c r="S7" s="48"/>
      <c r="T7" s="21">
        <f t="shared" si="4"/>
        <v>44900</v>
      </c>
      <c r="U7" s="53">
        <f>IF($J7="","",ROUND(($J7-$J$3)/1000,1)+(_xlfn.RANK.AVG($J7,($J7,$O7,$T7),1)-2)*20)</f>
        <v>5.8</v>
      </c>
      <c r="V7" s="54">
        <f>IF($O7="","",ROUND(($O7-$O$3)/1000,1)+(_xlfn.RANK.AVG($O7,($J7,$O7,$T7),1)-2)*20)</f>
        <v>-35.700000000000003</v>
      </c>
      <c r="W7" s="55">
        <f>IF($T7="","",ROUND(($T7-$T$3)/1000,1)+(_xlfn.RANK.AVG($T7,($J7,$O7,$T7),1)-2)*20)</f>
        <v>29.9</v>
      </c>
      <c r="Y7" s="8"/>
      <c r="Z7" s="34"/>
      <c r="AA7" s="26">
        <v>1</v>
      </c>
      <c r="AB7" s="26"/>
      <c r="AC7" s="26">
        <v>5</v>
      </c>
      <c r="AD7" s="30" t="s">
        <v>204</v>
      </c>
      <c r="AE7" s="40" t="s">
        <v>198</v>
      </c>
      <c r="AF7" s="41" t="s">
        <v>83</v>
      </c>
      <c r="AG7" s="41" t="s">
        <v>85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ぱぱ</v>
      </c>
      <c r="F8" s="8" t="s">
        <v>202</v>
      </c>
      <c r="G8" s="9">
        <v>-12000</v>
      </c>
      <c r="H8" s="9">
        <v>-1000</v>
      </c>
      <c r="I8" s="48">
        <v>-1000</v>
      </c>
      <c r="J8" s="21">
        <f t="shared" si="2"/>
        <v>26800</v>
      </c>
      <c r="K8" s="8"/>
      <c r="L8" s="9"/>
      <c r="M8" s="9"/>
      <c r="N8" s="48"/>
      <c r="O8" s="21">
        <f t="shared" si="3"/>
        <v>19300</v>
      </c>
      <c r="P8" s="8" t="s">
        <v>203</v>
      </c>
      <c r="Q8" s="9">
        <v>12000</v>
      </c>
      <c r="R8" s="9">
        <v>1000</v>
      </c>
      <c r="S8" s="48">
        <v>1000</v>
      </c>
      <c r="T8" s="21">
        <f t="shared" si="4"/>
        <v>58900</v>
      </c>
      <c r="U8" s="53">
        <f>IF($J8="","",ROUND(($J8-$J$3)/1000,1)+(_xlfn.RANK.AVG($J8,($J8,$O8,$T8),1)-2)*20)</f>
        <v>-8.1999999999999993</v>
      </c>
      <c r="V8" s="54">
        <f>IF($O8="","",ROUND(($O8-$O$3)/1000,1)+(_xlfn.RANK.AVG($O8,($J8,$O8,$T8),1)-2)*20)</f>
        <v>-35.700000000000003</v>
      </c>
      <c r="W8" s="55">
        <f>IF($T8="","",ROUND(($T8-$T$3)/1000,1)+(_xlfn.RANK.AVG($T8,($J8,$O8,$T8),1)-2)*20)</f>
        <v>43.9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204</v>
      </c>
      <c r="BU8" s="40" t="s">
        <v>207</v>
      </c>
      <c r="BV8" s="41" t="s">
        <v>206</v>
      </c>
      <c r="BW8" s="41" t="s">
        <v>104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202</v>
      </c>
      <c r="G9" s="9">
        <v>-9600</v>
      </c>
      <c r="H9" s="9"/>
      <c r="I9" s="48">
        <v>0</v>
      </c>
      <c r="J9" s="21">
        <f t="shared" si="2"/>
        <v>17200</v>
      </c>
      <c r="K9" s="8" t="s">
        <v>203</v>
      </c>
      <c r="L9" s="9">
        <v>9600</v>
      </c>
      <c r="M9" s="9"/>
      <c r="N9" s="48">
        <v>0</v>
      </c>
      <c r="O9" s="21">
        <f t="shared" si="3"/>
        <v>28900</v>
      </c>
      <c r="P9" s="8"/>
      <c r="Q9" s="9"/>
      <c r="R9" s="9"/>
      <c r="S9" s="48"/>
      <c r="T9" s="21">
        <f t="shared" si="4"/>
        <v>58900</v>
      </c>
      <c r="U9" s="53">
        <f>IF($J9="","",ROUND(($J9-$J$3)/1000,1)+(_xlfn.RANK.AVG($J9,($J9,$O9,$T9),1)-2)*20)</f>
        <v>-37.799999999999997</v>
      </c>
      <c r="V9" s="54">
        <f>IF($O9="","",ROUND(($O9-$O$3)/1000,1)+(_xlfn.RANK.AVG($O9,($J9,$O9,$T9),1)-2)*20)</f>
        <v>-6.1</v>
      </c>
      <c r="W9" s="55">
        <f>IF($T9="","",ROUND(($T9-$T$3)/1000,1)+(_xlfn.RANK.AVG($T9,($J9,$O9,$T9),1)-2)*20)</f>
        <v>43.9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25</v>
      </c>
      <c r="AZ9" s="40" t="s">
        <v>198</v>
      </c>
      <c r="BA9" s="41" t="s">
        <v>101</v>
      </c>
      <c r="BB9" s="41" t="s">
        <v>88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 t="s">
        <v>196</v>
      </c>
      <c r="G10" s="9">
        <v>-5800</v>
      </c>
      <c r="H10" s="9"/>
      <c r="I10" s="48">
        <v>-500</v>
      </c>
      <c r="J10" s="21">
        <f t="shared" si="2"/>
        <v>10900</v>
      </c>
      <c r="K10" s="8" t="s">
        <v>197</v>
      </c>
      <c r="L10" s="9">
        <v>11600</v>
      </c>
      <c r="M10" s="9"/>
      <c r="N10" s="48">
        <v>1000</v>
      </c>
      <c r="O10" s="21">
        <f t="shared" si="3"/>
        <v>41500</v>
      </c>
      <c r="P10" s="8" t="s">
        <v>196</v>
      </c>
      <c r="Q10" s="9">
        <v>-5800</v>
      </c>
      <c r="R10" s="9"/>
      <c r="S10" s="48">
        <v>-500</v>
      </c>
      <c r="T10" s="21">
        <f t="shared" si="4"/>
        <v>52600</v>
      </c>
      <c r="U10" s="53">
        <f>IF($J10="","",ROUND(($J10-$J$3)/1000,1)+(_xlfn.RANK.AVG($J10,($J10,$O10,$T10),1)-2)*20)</f>
        <v>-44.1</v>
      </c>
      <c r="V10" s="54">
        <f>IF($O10="","",ROUND(($O10-$O$3)/1000,1)+(_xlfn.RANK.AVG($O10,($J10,$O10,$T10),1)-2)*20)</f>
        <v>6.5</v>
      </c>
      <c r="W10" s="55">
        <f>IF($T10="","",ROUND(($T10-$T$3)/1000,1)+(_xlfn.RANK.AVG($T10,($J10,$O10,$T10),1)-2)*20)</f>
        <v>37.6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198</v>
      </c>
      <c r="BA10" s="41" t="s">
        <v>82</v>
      </c>
      <c r="BB10" s="41" t="s">
        <v>205</v>
      </c>
      <c r="BC10" s="41" t="s">
        <v>80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 t="s">
        <v>196</v>
      </c>
      <c r="G11" s="9">
        <v>-1100</v>
      </c>
      <c r="H11" s="9"/>
      <c r="I11" s="48">
        <v>-1000</v>
      </c>
      <c r="J11" s="21">
        <f t="shared" si="2"/>
        <v>8800</v>
      </c>
      <c r="K11" s="8" t="s">
        <v>196</v>
      </c>
      <c r="L11" s="9">
        <v>-1700</v>
      </c>
      <c r="M11" s="9">
        <v>-1000</v>
      </c>
      <c r="N11" s="48">
        <v>-1000</v>
      </c>
      <c r="O11" s="21">
        <f t="shared" si="3"/>
        <v>37800</v>
      </c>
      <c r="P11" s="8" t="s">
        <v>197</v>
      </c>
      <c r="Q11" s="9">
        <v>2800</v>
      </c>
      <c r="R11" s="9">
        <v>1000</v>
      </c>
      <c r="S11" s="48">
        <v>2000</v>
      </c>
      <c r="T11" s="21">
        <f t="shared" si="4"/>
        <v>58400</v>
      </c>
      <c r="U11" s="53">
        <f>IF($J11="","",ROUND(($J11-$J$3)/1000,1)+(_xlfn.RANK.AVG($J11,($J11,$O11,$T11),1)-2)*20)</f>
        <v>-46.2</v>
      </c>
      <c r="V11" s="54">
        <f>IF($O11="","",ROUND(($O11-$O$3)/1000,1)+(_xlfn.RANK.AVG($O11,($J11,$O11,$T11),1)-2)*20)</f>
        <v>2.8</v>
      </c>
      <c r="W11" s="55">
        <f>IF($T11="","",ROUND(($T11-$T$3)/1000,1)+(_xlfn.RANK.AVG($T11,($J11,$O11,$T11),1)-2)*20)</f>
        <v>43.4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3</v>
      </c>
      <c r="BT11" s="30">
        <v>20</v>
      </c>
      <c r="BU11" s="40" t="s">
        <v>198</v>
      </c>
      <c r="BV11" s="41" t="s">
        <v>83</v>
      </c>
      <c r="BW11" s="41" t="s">
        <v>205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203</v>
      </c>
      <c r="G12" s="9">
        <v>5200</v>
      </c>
      <c r="H12" s="9"/>
      <c r="I12" s="48">
        <v>0</v>
      </c>
      <c r="J12" s="21">
        <f t="shared" si="2"/>
        <v>14000</v>
      </c>
      <c r="K12" s="8"/>
      <c r="L12" s="9"/>
      <c r="M12" s="9"/>
      <c r="N12" s="48"/>
      <c r="O12" s="21">
        <f t="shared" si="3"/>
        <v>37800</v>
      </c>
      <c r="P12" s="8" t="s">
        <v>202</v>
      </c>
      <c r="Q12" s="9">
        <v>-5200</v>
      </c>
      <c r="R12" s="9"/>
      <c r="S12" s="48">
        <v>0</v>
      </c>
      <c r="T12" s="21">
        <f t="shared" si="4"/>
        <v>53200</v>
      </c>
      <c r="U12" s="53">
        <f>IF($J12="","",ROUND(($J12-$J$3)/1000,1)+(_xlfn.RANK.AVG($J12,($J12,$O12,$T12),1)-2)*20)</f>
        <v>-41</v>
      </c>
      <c r="V12" s="54">
        <f>IF($O12="","",ROUND(($O12-$O$3)/1000,1)+(_xlfn.RANK.AVG($O12,($J12,$O12,$T12),1)-2)*20)</f>
        <v>2.8</v>
      </c>
      <c r="W12" s="55">
        <f>IF($T12="","",ROUND(($T12-$T$3)/1000,1)+(_xlfn.RANK.AVG($T12,($J12,$O12,$T12),1)-2)*20)</f>
        <v>38.200000000000003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198</v>
      </c>
      <c r="AF12" s="41" t="s">
        <v>84</v>
      </c>
      <c r="AG12" s="41" t="s">
        <v>205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IF($F$1="","",$F$1)</f>
        <v>ぱぱ</v>
      </c>
      <c r="F13" s="8"/>
      <c r="G13" s="9"/>
      <c r="H13" s="9">
        <v>-2000</v>
      </c>
      <c r="I13" s="48"/>
      <c r="J13" s="21">
        <f t="shared" si="2"/>
        <v>12000</v>
      </c>
      <c r="K13" s="8" t="s">
        <v>203</v>
      </c>
      <c r="L13" s="9">
        <v>32000</v>
      </c>
      <c r="M13" s="9">
        <v>3000</v>
      </c>
      <c r="N13" s="48">
        <v>0</v>
      </c>
      <c r="O13" s="21">
        <f t="shared" si="3"/>
        <v>72800</v>
      </c>
      <c r="P13" s="8" t="s">
        <v>202</v>
      </c>
      <c r="Q13" s="9">
        <v>-32000</v>
      </c>
      <c r="R13" s="9">
        <v>-1000</v>
      </c>
      <c r="S13" s="48">
        <v>0</v>
      </c>
      <c r="T13" s="21">
        <f t="shared" si="4"/>
        <v>20200</v>
      </c>
      <c r="U13" s="53">
        <f>IF($J13="","",ROUND(($J13-$J$3)/1000,1)+(_xlfn.RANK.AVG($J13,($J13,$O13,$T13),1)-2)*20)</f>
        <v>-43</v>
      </c>
      <c r="V13" s="54">
        <f>IF($O13="","",ROUND(($O13-$O$3)/1000,1)+(_xlfn.RANK.AVG($O13,($J13,$O13,$T13),1)-2)*20)</f>
        <v>57.8</v>
      </c>
      <c r="W13" s="55">
        <f>IF($T13="","",ROUND(($T13-$T$3)/1000,1)+(_xlfn.RANK.AVG($T13,($J13,$O13,$T13),1)-2)*20)</f>
        <v>-14.8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13</v>
      </c>
      <c r="AY13" s="30" t="s">
        <v>204</v>
      </c>
      <c r="AZ13" s="40" t="s">
        <v>114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CC11D0FB-F73F-49B4-960E-8228A7DA2F0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3CC0AFCD-82A2-4D05-A141-E818520D1229}">
      <formula1>"ロン,ツモ,放銃,ツモ支払,流局,チョンボ"</formula1>
    </dataValidation>
    <dataValidation type="list" allowBlank="1" showInputMessage="1" showErrorMessage="1" sqref="E4:E30" xr:uid="{B08769C9-C26E-4476-8BA3-5BA7F9ABEEA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3639D-1EFF-48C8-B03A-EFB54F3BDFA2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196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197</v>
      </c>
      <c r="Q4" s="9">
        <v>18000</v>
      </c>
      <c r="R4" s="9"/>
      <c r="S4" s="48">
        <v>0</v>
      </c>
      <c r="T4" s="21">
        <f>IF(COUNTA($F4,$K4,$P4)&gt;0,T3+SUM(Q4:S4),"")</f>
        <v>53000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-19</v>
      </c>
      <c r="W4" s="55">
        <f>IF($T4="","",ROUND(($T4-$T$3)/1000,1)+(_xlfn.RANK.AVG($T4,($J4,$O4,$T4),1)-2)*20)</f>
        <v>38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204</v>
      </c>
      <c r="BU4" s="40" t="s">
        <v>198</v>
      </c>
      <c r="BV4" s="41" t="s">
        <v>82</v>
      </c>
      <c r="BW4" s="41" t="s">
        <v>83</v>
      </c>
      <c r="BX4" s="41" t="s">
        <v>84</v>
      </c>
      <c r="BY4" s="41" t="s">
        <v>205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/>
      <c r="G5" s="9"/>
      <c r="H5" s="9"/>
      <c r="I5" s="48"/>
      <c r="J5" s="21">
        <f t="shared" ref="J5:J30" si="2">IF(COUNTA($F5,$K5,$P5)&gt;0,J4+SUM(G5:I5),"")</f>
        <v>26000</v>
      </c>
      <c r="K5" s="8" t="s">
        <v>202</v>
      </c>
      <c r="L5" s="9">
        <v>-11600</v>
      </c>
      <c r="M5" s="9"/>
      <c r="N5" s="48">
        <v>-1000</v>
      </c>
      <c r="O5" s="21">
        <f t="shared" ref="O5:O30" si="3">IF(COUNTA($F5,$K5,$P5)&gt;0,O4+SUM(L5:N5),"")</f>
        <v>13400</v>
      </c>
      <c r="P5" s="8" t="s">
        <v>203</v>
      </c>
      <c r="Q5" s="9">
        <v>11600</v>
      </c>
      <c r="R5" s="9"/>
      <c r="S5" s="48">
        <v>1000</v>
      </c>
      <c r="T5" s="21">
        <f t="shared" ref="T5:T30" si="4">IF(COUNTA($F5,$K5,$P5)&gt;0,T4+SUM(Q5:S5),"")</f>
        <v>65600</v>
      </c>
      <c r="U5" s="53">
        <f>IF($J5="","",ROUND(($J5-$J$3)/1000,1)+(_xlfn.RANK.AVG($J5,($J5,$O5,$T5),1)-2)*20)</f>
        <v>-9</v>
      </c>
      <c r="V5" s="54">
        <f>IF($O5="","",ROUND(($O5-$O$3)/1000,1)+(_xlfn.RANK.AVG($O5,($J5,$O5,$T5),1)-2)*20)</f>
        <v>-41.6</v>
      </c>
      <c r="W5" s="55">
        <f>IF($T5="","",ROUND(($T5-$T$3)/1000,1)+(_xlfn.RANK.AVG($T5,($J5,$O5,$T5),1)-2)*20)</f>
        <v>50.6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30</v>
      </c>
      <c r="BU5" s="40" t="s">
        <v>83</v>
      </c>
      <c r="BV5" s="41" t="s">
        <v>85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だいち</v>
      </c>
      <c r="F6" s="8"/>
      <c r="G6" s="9"/>
      <c r="H6" s="9"/>
      <c r="I6" s="48"/>
      <c r="J6" s="21">
        <f t="shared" si="2"/>
        <v>26000</v>
      </c>
      <c r="K6" s="8" t="s">
        <v>202</v>
      </c>
      <c r="L6" s="9">
        <v>-12000</v>
      </c>
      <c r="M6" s="9"/>
      <c r="N6" s="48">
        <v>-2000</v>
      </c>
      <c r="O6" s="21">
        <f t="shared" si="3"/>
        <v>-600</v>
      </c>
      <c r="P6" s="8" t="s">
        <v>203</v>
      </c>
      <c r="Q6" s="9">
        <v>12000</v>
      </c>
      <c r="R6" s="9"/>
      <c r="S6" s="48">
        <v>2000</v>
      </c>
      <c r="T6" s="21">
        <f t="shared" si="4"/>
        <v>79600</v>
      </c>
      <c r="U6" s="53">
        <f>IF($J6="","",ROUND(($J6-$J$3)/1000,1)+(_xlfn.RANK.AVG($J6,($J6,$O6,$T6),1)-2)*20)</f>
        <v>-9</v>
      </c>
      <c r="V6" s="54">
        <f>IF($O6="","",ROUND(($O6-$O$3)/1000,1)+(_xlfn.RANK.AVG($O6,($J6,$O6,$T6),1)-2)*20)</f>
        <v>-55.6</v>
      </c>
      <c r="W6" s="55">
        <f>IF($T6="","",ROUND(($T6-$T$3)/1000,1)+(_xlfn.RANK.AVG($T6,($J6,$O6,$T6),1)-2)*20)</f>
        <v>64.599999999999994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40</v>
      </c>
      <c r="BU6" s="40" t="s">
        <v>92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0FCBDEE5-F427-496F-82FD-F70027E54597}">
      <formula1>$U$2:$W$2</formula1>
    </dataValidation>
    <dataValidation type="list" showInputMessage="1" showErrorMessage="1" sqref="K4:K30 P4:P30 F4:F30" xr:uid="{F0118C66-2E8C-479E-85B4-CC0D8F8586F9}">
      <formula1>"ロン,ツモ,放銃,ツモ支払,流局,チョンボ"</formula1>
    </dataValidation>
    <dataValidation type="list" allowBlank="1" showInputMessage="1" sqref="F1:T1" xr:uid="{F75F5E5D-8405-4DC5-BE5B-38AB851E475C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8F70D-683C-46F8-85B2-3F6502286110}">
  <sheetPr codeName="Sheet2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196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204</v>
      </c>
      <c r="BU4" s="40" t="s">
        <v>198</v>
      </c>
      <c r="BV4" s="41" t="s">
        <v>82</v>
      </c>
      <c r="BW4" s="41" t="s">
        <v>79</v>
      </c>
      <c r="BX4" s="41" t="s">
        <v>79</v>
      </c>
      <c r="BY4" s="41" t="s">
        <v>79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201</v>
      </c>
      <c r="G5" s="9">
        <v>1500</v>
      </c>
      <c r="H5" s="9">
        <v>-2000</v>
      </c>
      <c r="I5" s="48"/>
      <c r="J5" s="21">
        <f t="shared" ref="J5:J30" si="2">IF(COUNTA($F5,$K5,$P5)&gt;0,J4+SUM(G5:I5),"")</f>
        <v>28500</v>
      </c>
      <c r="K5" s="8" t="s">
        <v>201</v>
      </c>
      <c r="L5" s="9">
        <v>1500</v>
      </c>
      <c r="M5" s="9">
        <v>-1000</v>
      </c>
      <c r="N5" s="48"/>
      <c r="O5" s="21">
        <f t="shared" ref="O5:O30" si="3">IF(COUNTA($F5,$K5,$P5)&gt;0,O4+SUM(L5:N5),"")</f>
        <v>29500</v>
      </c>
      <c r="P5" s="8" t="s">
        <v>201</v>
      </c>
      <c r="Q5" s="9">
        <v>-3000</v>
      </c>
      <c r="R5" s="9"/>
      <c r="S5" s="48"/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-26.5</v>
      </c>
      <c r="V5" s="54">
        <f>IF($O5="","",ROUND(($O5-$O$3)/1000,1)+(_xlfn.RANK.AVG($O5,($J5,$O5,$T5),1)-2)*20)</f>
        <v>-5.5</v>
      </c>
      <c r="W5" s="55">
        <f>IF($T5="","",ROUND(($T5-$T$3)/1000,1)+(_xlfn.RANK.AVG($T5,($J5,$O5,$T5),1)-2)*20)</f>
        <v>29</v>
      </c>
      <c r="Y5" s="8" t="s">
        <v>200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199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3</v>
      </c>
      <c r="E6" s="4" t="str">
        <f>IF($F$1="","",$F$1)</f>
        <v>ぱぱ</v>
      </c>
      <c r="F6" s="8" t="s">
        <v>202</v>
      </c>
      <c r="G6" s="9">
        <v>-2600</v>
      </c>
      <c r="H6" s="9"/>
      <c r="I6" s="48">
        <v>-2000</v>
      </c>
      <c r="J6" s="21">
        <f t="shared" si="2"/>
        <v>23900</v>
      </c>
      <c r="K6" s="8" t="s">
        <v>203</v>
      </c>
      <c r="L6" s="9">
        <v>2600</v>
      </c>
      <c r="M6" s="9">
        <v>3000</v>
      </c>
      <c r="N6" s="48">
        <v>2000</v>
      </c>
      <c r="O6" s="21">
        <f t="shared" si="3"/>
        <v>37100</v>
      </c>
      <c r="P6" s="8"/>
      <c r="Q6" s="9"/>
      <c r="R6" s="9"/>
      <c r="S6" s="48"/>
      <c r="T6" s="21">
        <f t="shared" si="4"/>
        <v>44000</v>
      </c>
      <c r="U6" s="53">
        <f>IF($J6="","",ROUND(($J6-$J$3)/1000,1)+(_xlfn.RANK.AVG($J6,($J6,$O6,$T6),1)-2)*20)</f>
        <v>-31.1</v>
      </c>
      <c r="V6" s="54">
        <f>IF($O6="","",ROUND(($O6-$O$3)/1000,1)+(_xlfn.RANK.AVG($O6,($J6,$O6,$T6),1)-2)*20)</f>
        <v>2.1</v>
      </c>
      <c r="W6" s="55">
        <f>IF($T6="","",ROUND(($T6-$T$3)/1000,1)+(_xlfn.RANK.AVG($T6,($J6,$O6,$T6),1)-2)*20)</f>
        <v>29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198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197</v>
      </c>
      <c r="G7" s="9">
        <v>8000</v>
      </c>
      <c r="H7" s="9">
        <v>3000</v>
      </c>
      <c r="I7" s="48">
        <v>0</v>
      </c>
      <c r="J7" s="21">
        <f t="shared" si="2"/>
        <v>34900</v>
      </c>
      <c r="K7" s="8" t="s">
        <v>196</v>
      </c>
      <c r="L7" s="9">
        <v>-5000</v>
      </c>
      <c r="M7" s="9">
        <v>-1000</v>
      </c>
      <c r="N7" s="48">
        <v>0</v>
      </c>
      <c r="O7" s="21">
        <f t="shared" si="3"/>
        <v>31100</v>
      </c>
      <c r="P7" s="8" t="s">
        <v>196</v>
      </c>
      <c r="Q7" s="9">
        <v>-3000</v>
      </c>
      <c r="R7" s="9">
        <v>-2000</v>
      </c>
      <c r="S7" s="48">
        <v>0</v>
      </c>
      <c r="T7" s="21">
        <f t="shared" si="4"/>
        <v>39000</v>
      </c>
      <c r="U7" s="53">
        <f>IF($J7="","",ROUND(($J7-$J$3)/1000,1)+(_xlfn.RANK.AVG($J7,($J7,$O7,$T7),1)-2)*20)</f>
        <v>-0.1</v>
      </c>
      <c r="V7" s="54">
        <f>IF($O7="","",ROUND(($O7-$O$3)/1000,1)+(_xlfn.RANK.AVG($O7,($J7,$O7,$T7),1)-2)*20)</f>
        <v>-23.9</v>
      </c>
      <c r="W7" s="55">
        <f>IF($T7="","",ROUND(($T7-$T$3)/1000,1)+(_xlfn.RANK.AVG($T7,($J7,$O7,$T7),1)-2)*20)</f>
        <v>24</v>
      </c>
      <c r="Y7" s="8"/>
      <c r="Z7" s="34"/>
      <c r="AA7" s="26">
        <v>1</v>
      </c>
      <c r="AB7" s="26"/>
      <c r="AC7" s="26">
        <v>5</v>
      </c>
      <c r="AD7" s="30" t="s">
        <v>204</v>
      </c>
      <c r="AE7" s="40" t="s">
        <v>207</v>
      </c>
      <c r="AF7" s="41" t="s">
        <v>82</v>
      </c>
      <c r="AG7" s="41" t="s">
        <v>80</v>
      </c>
      <c r="AH7" s="41" t="s">
        <v>206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/>
      <c r="G8" s="9"/>
      <c r="H8" s="9"/>
      <c r="I8" s="48"/>
      <c r="J8" s="21">
        <f t="shared" si="2"/>
        <v>34900</v>
      </c>
      <c r="K8" s="8" t="s">
        <v>202</v>
      </c>
      <c r="L8" s="9">
        <v>-7700</v>
      </c>
      <c r="M8" s="9"/>
      <c r="N8" s="48">
        <v>0</v>
      </c>
      <c r="O8" s="21">
        <f t="shared" si="3"/>
        <v>23400</v>
      </c>
      <c r="P8" s="8" t="s">
        <v>203</v>
      </c>
      <c r="Q8" s="9">
        <v>7700</v>
      </c>
      <c r="R8" s="9"/>
      <c r="S8" s="48">
        <v>0</v>
      </c>
      <c r="T8" s="21">
        <f t="shared" si="4"/>
        <v>46700</v>
      </c>
      <c r="U8" s="53">
        <f>IF($J8="","",ROUND(($J8-$J$3)/1000,1)+(_xlfn.RANK.AVG($J8,($J8,$O8,$T8),1)-2)*20)</f>
        <v>-0.1</v>
      </c>
      <c r="V8" s="54">
        <f>IF($O8="","",ROUND(($O8-$O$3)/1000,1)+(_xlfn.RANK.AVG($O8,($J8,$O8,$T8),1)-2)*20)</f>
        <v>-31.6</v>
      </c>
      <c r="W8" s="55">
        <f>IF($T8="","",ROUND(($T8-$T$3)/1000,1)+(_xlfn.RANK.AVG($T8,($J8,$O8,$T8),1)-2)*20)</f>
        <v>31.7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198</v>
      </c>
      <c r="BV8" s="41" t="s">
        <v>206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IF($P$1="","",$P$1)</f>
        <v>だいち</v>
      </c>
      <c r="F9" s="8"/>
      <c r="G9" s="9"/>
      <c r="H9" s="9"/>
      <c r="I9" s="48"/>
      <c r="J9" s="21">
        <f t="shared" si="2"/>
        <v>34900</v>
      </c>
      <c r="K9" s="8" t="s">
        <v>202</v>
      </c>
      <c r="L9" s="9">
        <v>-7700</v>
      </c>
      <c r="M9" s="9"/>
      <c r="N9" s="48">
        <v>-1000</v>
      </c>
      <c r="O9" s="21">
        <f t="shared" si="3"/>
        <v>14700</v>
      </c>
      <c r="P9" s="8" t="s">
        <v>203</v>
      </c>
      <c r="Q9" s="9">
        <v>7700</v>
      </c>
      <c r="R9" s="9"/>
      <c r="S9" s="48">
        <v>1000</v>
      </c>
      <c r="T9" s="21">
        <f t="shared" si="4"/>
        <v>55400</v>
      </c>
      <c r="U9" s="53">
        <f>IF($J9="","",ROUND(($J9-$J$3)/1000,1)+(_xlfn.RANK.AVG($J9,($J9,$O9,$T9),1)-2)*20)</f>
        <v>-0.1</v>
      </c>
      <c r="V9" s="54">
        <f>IF($O9="","",ROUND(($O9-$O$3)/1000,1)+(_xlfn.RANK.AVG($O9,($J9,$O9,$T9),1)-2)*20)</f>
        <v>-40.299999999999997</v>
      </c>
      <c r="W9" s="55">
        <f>IF($T9="","",ROUND(($T9-$T$3)/1000,1)+(_xlfn.RANK.AVG($T9,($J9,$O9,$T9),1)-2)*20)</f>
        <v>40.4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40</v>
      </c>
      <c r="BU9" s="40" t="s">
        <v>104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tr">
        <f>IF($P$1="","",$P$1)</f>
        <v>だいち</v>
      </c>
      <c r="F10" s="8" t="s">
        <v>196</v>
      </c>
      <c r="G10" s="9">
        <v>-4500</v>
      </c>
      <c r="H10" s="9"/>
      <c r="I10" s="48">
        <v>-1000</v>
      </c>
      <c r="J10" s="21">
        <f t="shared" si="2"/>
        <v>29400</v>
      </c>
      <c r="K10" s="8" t="s">
        <v>197</v>
      </c>
      <c r="L10" s="9">
        <v>12000</v>
      </c>
      <c r="M10" s="9"/>
      <c r="N10" s="48">
        <v>2000</v>
      </c>
      <c r="O10" s="21">
        <f t="shared" si="3"/>
        <v>28700</v>
      </c>
      <c r="P10" s="8" t="s">
        <v>196</v>
      </c>
      <c r="Q10" s="9">
        <v>-7500</v>
      </c>
      <c r="R10" s="9"/>
      <c r="S10" s="48">
        <v>-1000</v>
      </c>
      <c r="T10" s="21">
        <f t="shared" si="4"/>
        <v>46900</v>
      </c>
      <c r="U10" s="53">
        <f>IF($J10="","",ROUND(($J10-$J$3)/1000,1)+(_xlfn.RANK.AVG($J10,($J10,$O10,$T10),1)-2)*20)</f>
        <v>-5.6</v>
      </c>
      <c r="V10" s="54">
        <f>IF($O10="","",ROUND(($O10-$O$3)/1000,1)+(_xlfn.RANK.AVG($O10,($J10,$O10,$T10),1)-2)*20)</f>
        <v>-26.3</v>
      </c>
      <c r="W10" s="55">
        <f>IF($T10="","",ROUND(($T10-$T$3)/1000,1)+(_xlfn.RANK.AVG($T10,($J10,$O10,$T10),1)-2)*20)</f>
        <v>31.9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204</v>
      </c>
      <c r="AZ10" s="40" t="s">
        <v>198</v>
      </c>
      <c r="BA10" s="41" t="s">
        <v>82</v>
      </c>
      <c r="BB10" s="41" t="s">
        <v>205</v>
      </c>
      <c r="BC10" s="41" t="s">
        <v>79</v>
      </c>
      <c r="BD10" s="41" t="s">
        <v>79</v>
      </c>
      <c r="BE10" s="41" t="s">
        <v>80</v>
      </c>
      <c r="BF10" s="41" t="s">
        <v>80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ぱぱ</v>
      </c>
      <c r="F11" s="8" t="s">
        <v>196</v>
      </c>
      <c r="G11" s="9">
        <v>-1700</v>
      </c>
      <c r="H11" s="9">
        <v>-1000</v>
      </c>
      <c r="I11" s="48">
        <v>0</v>
      </c>
      <c r="J11" s="21">
        <f t="shared" si="2"/>
        <v>26700</v>
      </c>
      <c r="K11" s="8" t="s">
        <v>196</v>
      </c>
      <c r="L11" s="9">
        <v>-1100</v>
      </c>
      <c r="M11" s="9"/>
      <c r="N11" s="48">
        <v>0</v>
      </c>
      <c r="O11" s="21">
        <f t="shared" si="3"/>
        <v>27600</v>
      </c>
      <c r="P11" s="8" t="s">
        <v>197</v>
      </c>
      <c r="Q11" s="9">
        <v>2800</v>
      </c>
      <c r="R11" s="9">
        <v>1000</v>
      </c>
      <c r="S11" s="48">
        <v>0</v>
      </c>
      <c r="T11" s="21">
        <f t="shared" si="4"/>
        <v>50700</v>
      </c>
      <c r="U11" s="53">
        <f>IF($J11="","",ROUND(($J11-$J$3)/1000,1)+(_xlfn.RANK.AVG($J11,($J11,$O11,$T11),1)-2)*20)</f>
        <v>-28.3</v>
      </c>
      <c r="V11" s="54">
        <f>IF($O11="","",ROUND(($O11-$O$3)/1000,1)+(_xlfn.RANK.AVG($O11,($J11,$O11,$T11),1)-2)*20)</f>
        <v>-7.4</v>
      </c>
      <c r="W11" s="55">
        <f>IF($T11="","",ROUND(($T11-$T$3)/1000,1)+(_xlfn.RANK.AVG($T11,($J11,$O11,$T11),1)-2)*20)</f>
        <v>35.700000000000003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2</v>
      </c>
      <c r="BT11" s="30">
        <v>40</v>
      </c>
      <c r="BU11" s="40" t="s">
        <v>198</v>
      </c>
      <c r="BV11" s="41" t="s">
        <v>82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IF($K$1="","",$K$1)</f>
        <v>れんたろう</v>
      </c>
      <c r="F12" s="8" t="s">
        <v>196</v>
      </c>
      <c r="G12" s="9">
        <v>-800</v>
      </c>
      <c r="H12" s="9"/>
      <c r="I12" s="48">
        <v>0</v>
      </c>
      <c r="J12" s="21">
        <f t="shared" si="2"/>
        <v>25900</v>
      </c>
      <c r="K12" s="8" t="s">
        <v>196</v>
      </c>
      <c r="L12" s="9">
        <v>-1300</v>
      </c>
      <c r="M12" s="9"/>
      <c r="N12" s="48">
        <v>0</v>
      </c>
      <c r="O12" s="21">
        <f t="shared" si="3"/>
        <v>26300</v>
      </c>
      <c r="P12" s="8" t="s">
        <v>197</v>
      </c>
      <c r="Q12" s="9">
        <v>2100</v>
      </c>
      <c r="R12" s="9"/>
      <c r="S12" s="48">
        <v>0</v>
      </c>
      <c r="T12" s="21">
        <f t="shared" si="4"/>
        <v>52800</v>
      </c>
      <c r="U12" s="53">
        <f>IF($J12="","",ROUND(($J12-$J$3)/1000,1)+(_xlfn.RANK.AVG($J12,($J12,$O12,$T12),1)-2)*20)</f>
        <v>-29.1</v>
      </c>
      <c r="V12" s="54">
        <f>IF($O12="","",ROUND(($O12-$O$3)/1000,1)+(_xlfn.RANK.AVG($O12,($J12,$O12,$T12),1)-2)*20)</f>
        <v>-8.6999999999999993</v>
      </c>
      <c r="W12" s="55">
        <f>IF($T12="","",ROUND(($T12-$T$3)/1000,1)+(_xlfn.RANK.AVG($T12,($J12,$O12,$T12),1)-2)*20)</f>
        <v>37.799999999999997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36125450-C6AD-4623-8A98-A96F4492B4CA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77DCD5F2-6BF4-4BF5-AAD1-121B3313E8AF}">
      <formula1>"ロン,ツモ,放銃,ツモ支払,流局,チョンボ"</formula1>
    </dataValidation>
    <dataValidation type="list" allowBlank="1" showInputMessage="1" showErrorMessage="1" sqref="E4:E30" xr:uid="{3BFFAD16-5062-4E6A-B530-1B4C265B7DC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6E271-3067-4547-A40D-CB952167CB1C}">
  <sheetPr codeName="Sheet2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3900</v>
      </c>
      <c r="R4" s="9"/>
      <c r="S4" s="48">
        <v>0</v>
      </c>
      <c r="T4" s="21">
        <f>IF(COUNTA($F4,$K4,$P4)&gt;0,T3+SUM(Q4:S4),"")</f>
        <v>38900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85</v>
      </c>
      <c r="BV4" s="41" t="s">
        <v>205</v>
      </c>
      <c r="BW4" s="41" t="s">
        <v>205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203</v>
      </c>
      <c r="G5" s="9">
        <v>8000</v>
      </c>
      <c r="H5" s="9"/>
      <c r="I5" s="48">
        <v>0</v>
      </c>
      <c r="J5" s="21">
        <f t="shared" ref="J5:J30" si="2">IF(COUNTA($F5,$K5,$P5)&gt;0,J4+SUM(G5:I5),"")</f>
        <v>39100</v>
      </c>
      <c r="K5" s="8" t="s">
        <v>202</v>
      </c>
      <c r="L5" s="9">
        <v>-8000</v>
      </c>
      <c r="M5" s="9"/>
      <c r="N5" s="48">
        <v>0</v>
      </c>
      <c r="O5" s="21">
        <f t="shared" ref="O5:O30" si="3">IF(COUNTA($F5,$K5,$P5)&gt;0,O4+SUM(L5:N5),"")</f>
        <v>27000</v>
      </c>
      <c r="P5" s="8"/>
      <c r="Q5" s="9"/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IF($J5="","",ROUND(($J5-$J$3)/1000,1)+(_xlfn.RANK.AVG($J5,($J5,$O5,$T5),1)-2)*20)</f>
        <v>24.1</v>
      </c>
      <c r="V5" s="54">
        <f>IF($O5="","",ROUND(($O5-$O$3)/1000,1)+(_xlfn.RANK.AVG($O5,($J5,$O5,$T5),1)-2)*20)</f>
        <v>-28</v>
      </c>
      <c r="W5" s="55">
        <f>IF($T5="","",ROUND(($T5-$T$3)/1000,1)+(_xlfn.RANK.AVG($T5,($J5,$O5,$T5),1)-2)*20)</f>
        <v>3.9</v>
      </c>
      <c r="Y5" s="8"/>
      <c r="Z5" s="34"/>
      <c r="AA5" s="26"/>
      <c r="AB5" s="26">
        <v>1</v>
      </c>
      <c r="AC5" s="26">
        <v>5</v>
      </c>
      <c r="AD5" s="30" t="s">
        <v>204</v>
      </c>
      <c r="AE5" s="40" t="s">
        <v>104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ぱぱ</v>
      </c>
      <c r="F6" s="8" t="s">
        <v>196</v>
      </c>
      <c r="G6" s="9">
        <v>-10000</v>
      </c>
      <c r="H6" s="9"/>
      <c r="I6" s="48">
        <v>0</v>
      </c>
      <c r="J6" s="21">
        <f t="shared" si="2"/>
        <v>29100</v>
      </c>
      <c r="K6" s="8" t="s">
        <v>197</v>
      </c>
      <c r="L6" s="9">
        <v>16000</v>
      </c>
      <c r="M6" s="9">
        <v>1000</v>
      </c>
      <c r="N6" s="48">
        <v>0</v>
      </c>
      <c r="O6" s="21">
        <f t="shared" si="3"/>
        <v>44000</v>
      </c>
      <c r="P6" s="8" t="s">
        <v>196</v>
      </c>
      <c r="Q6" s="9">
        <v>-6000</v>
      </c>
      <c r="R6" s="9">
        <v>-1000</v>
      </c>
      <c r="S6" s="48">
        <v>0</v>
      </c>
      <c r="T6" s="21">
        <f t="shared" si="4"/>
        <v>31900</v>
      </c>
      <c r="U6" s="53">
        <f>IF($J6="","",ROUND(($J6-$J$3)/1000,1)+(_xlfn.RANK.AVG($J6,($J6,$O6,$T6),1)-2)*20)</f>
        <v>-25.9</v>
      </c>
      <c r="V6" s="54">
        <f>IF($O6="","",ROUND(($O6-$O$3)/1000,1)+(_xlfn.RANK.AVG($O6,($J6,$O6,$T6),1)-2)*20)</f>
        <v>29</v>
      </c>
      <c r="W6" s="55">
        <f>IF($T6="","",ROUND(($T6-$T$3)/1000,1)+(_xlfn.RANK.AVG($T6,($J6,$O6,$T6),1)-2)*20)</f>
        <v>-3.1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204</v>
      </c>
      <c r="AZ6" s="40" t="s">
        <v>207</v>
      </c>
      <c r="BA6" s="41" t="s">
        <v>82</v>
      </c>
      <c r="BB6" s="41" t="s">
        <v>206</v>
      </c>
      <c r="BC6" s="41" t="s">
        <v>79</v>
      </c>
      <c r="BD6" s="41" t="s">
        <v>79</v>
      </c>
      <c r="BE6" s="41" t="s">
        <v>80</v>
      </c>
      <c r="BF6" s="41" t="s">
        <v>83</v>
      </c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203</v>
      </c>
      <c r="G7" s="9">
        <v>3900</v>
      </c>
      <c r="H7" s="9"/>
      <c r="I7" s="48">
        <v>0</v>
      </c>
      <c r="J7" s="21">
        <f t="shared" si="2"/>
        <v>33000</v>
      </c>
      <c r="K7" s="8"/>
      <c r="L7" s="9"/>
      <c r="M7" s="9"/>
      <c r="N7" s="48"/>
      <c r="O7" s="21">
        <f t="shared" si="3"/>
        <v>44000</v>
      </c>
      <c r="P7" s="8" t="s">
        <v>202</v>
      </c>
      <c r="Q7" s="9">
        <v>-3900</v>
      </c>
      <c r="R7" s="9"/>
      <c r="S7" s="48">
        <v>0</v>
      </c>
      <c r="T7" s="21">
        <f t="shared" si="4"/>
        <v>28000</v>
      </c>
      <c r="U7" s="53">
        <f>IF($J7="","",ROUND(($J7-$J$3)/1000,1)+(_xlfn.RANK.AVG($J7,($J7,$O7,$T7),1)-2)*20)</f>
        <v>-2</v>
      </c>
      <c r="V7" s="54">
        <f>IF($O7="","",ROUND(($O7-$O$3)/1000,1)+(_xlfn.RANK.AVG($O7,($J7,$O7,$T7),1)-2)*20)</f>
        <v>29</v>
      </c>
      <c r="W7" s="55">
        <f>IF($T7="","",ROUND(($T7-$T$3)/1000,1)+(_xlfn.RANK.AVG($T7,($J7,$O7,$T7),1)-2)*20)</f>
        <v>-27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198</v>
      </c>
      <c r="AF7" s="41" t="s">
        <v>83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202</v>
      </c>
      <c r="G8" s="9">
        <v>-5200</v>
      </c>
      <c r="H8" s="9"/>
      <c r="I8" s="48">
        <v>0</v>
      </c>
      <c r="J8" s="21">
        <f t="shared" si="2"/>
        <v>27800</v>
      </c>
      <c r="K8" s="8" t="s">
        <v>203</v>
      </c>
      <c r="L8" s="9">
        <v>5200</v>
      </c>
      <c r="M8" s="9"/>
      <c r="N8" s="48">
        <v>0</v>
      </c>
      <c r="O8" s="21">
        <f t="shared" si="3"/>
        <v>49200</v>
      </c>
      <c r="P8" s="8"/>
      <c r="Q8" s="9"/>
      <c r="R8" s="9"/>
      <c r="S8" s="48"/>
      <c r="T8" s="21">
        <f t="shared" si="4"/>
        <v>28000</v>
      </c>
      <c r="U8" s="53">
        <f>IF($J8="","",ROUND(($J8-$J$3)/1000,1)+(_xlfn.RANK.AVG($J8,($J8,$O8,$T8),1)-2)*20)</f>
        <v>-27.2</v>
      </c>
      <c r="V8" s="54">
        <f>IF($O8="","",ROUND(($O8-$O$3)/1000,1)+(_xlfn.RANK.AVG($O8,($J8,$O8,$T8),1)-2)*20)</f>
        <v>34.200000000000003</v>
      </c>
      <c r="W8" s="55">
        <f>IF($T8="","",ROUND(($T8-$T$3)/1000,1)+(_xlfn.RANK.AVG($T8,($J8,$O8,$T8),1)-2)*20)</f>
        <v>-7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198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ぱぱ</v>
      </c>
      <c r="F9" s="8" t="s">
        <v>203</v>
      </c>
      <c r="G9" s="9">
        <v>11600</v>
      </c>
      <c r="H9" s="9"/>
      <c r="I9" s="48">
        <v>0</v>
      </c>
      <c r="J9" s="21">
        <f t="shared" si="2"/>
        <v>39400</v>
      </c>
      <c r="K9" s="8"/>
      <c r="L9" s="9"/>
      <c r="M9" s="9"/>
      <c r="N9" s="48"/>
      <c r="O9" s="21">
        <f t="shared" si="3"/>
        <v>49200</v>
      </c>
      <c r="P9" s="8" t="s">
        <v>202</v>
      </c>
      <c r="Q9" s="9">
        <v>-11600</v>
      </c>
      <c r="R9" s="9"/>
      <c r="S9" s="48">
        <v>0</v>
      </c>
      <c r="T9" s="21">
        <f t="shared" si="4"/>
        <v>16400</v>
      </c>
      <c r="U9" s="53">
        <f>IF($J9="","",ROUND(($J9-$J$3)/1000,1)+(_xlfn.RANK.AVG($J9,($J9,$O9,$T9),1)-2)*20)</f>
        <v>4.4000000000000004</v>
      </c>
      <c r="V9" s="54">
        <f>IF($O9="","",ROUND(($O9-$O$3)/1000,1)+(_xlfn.RANK.AVG($O9,($J9,$O9,$T9),1)-2)*20)</f>
        <v>34.200000000000003</v>
      </c>
      <c r="W9" s="55">
        <f>IF($T9="","",ROUND(($T9-$T$3)/1000,1)+(_xlfn.RANK.AVG($T9,($J9,$O9,$T9),1)-2)*20)</f>
        <v>-38.6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IF($F$1="","",$F$1)</f>
        <v>ぱぱ</v>
      </c>
      <c r="F10" s="8" t="s">
        <v>197</v>
      </c>
      <c r="G10" s="9">
        <v>11600</v>
      </c>
      <c r="H10" s="9"/>
      <c r="I10" s="48">
        <v>1000</v>
      </c>
      <c r="J10" s="21">
        <f t="shared" si="2"/>
        <v>52000</v>
      </c>
      <c r="K10" s="8" t="s">
        <v>196</v>
      </c>
      <c r="L10" s="9">
        <v>-5800</v>
      </c>
      <c r="M10" s="9"/>
      <c r="N10" s="48">
        <v>-500</v>
      </c>
      <c r="O10" s="21">
        <f t="shared" si="3"/>
        <v>42900</v>
      </c>
      <c r="P10" s="8" t="s">
        <v>196</v>
      </c>
      <c r="Q10" s="9">
        <v>-5800</v>
      </c>
      <c r="R10" s="9"/>
      <c r="S10" s="48">
        <v>-500</v>
      </c>
      <c r="T10" s="21">
        <f t="shared" si="4"/>
        <v>10100</v>
      </c>
      <c r="U10" s="53">
        <f>IF($J10="","",ROUND(($J10-$J$3)/1000,1)+(_xlfn.RANK.AVG($J10,($J10,$O10,$T10),1)-2)*20)</f>
        <v>37</v>
      </c>
      <c r="V10" s="54">
        <f>IF($O10="","",ROUND(($O10-$O$3)/1000,1)+(_xlfn.RANK.AVG($O10,($J10,$O10,$T10),1)-2)*20)</f>
        <v>7.9</v>
      </c>
      <c r="W10" s="55">
        <f>IF($T10="","",ROUND(($T10-$T$3)/1000,1)+(_xlfn.RANK.AVG($T10,($J10,$O10,$T10),1)-2)*20)</f>
        <v>-44.9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198</v>
      </c>
      <c r="AF10" s="41" t="s">
        <v>82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IF($F$1="","",$F$1)</f>
        <v>ぱぱ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1432C57D-1A02-4C91-BDC5-737E4F47A1B4}">
      <formula1>$U$2:$W$2</formula1>
    </dataValidation>
    <dataValidation type="list" showInputMessage="1" showErrorMessage="1" sqref="K4:K30 P4:P30 F4:F30" xr:uid="{299914AC-D0EB-4C78-B171-612E05011AE7}">
      <formula1>"ロン,ツモ,放銃,ツモ支払,流局,チョンボ"</formula1>
    </dataValidation>
    <dataValidation type="list" allowBlank="1" showInputMessage="1" sqref="F1:T1" xr:uid="{957E4401-1ED9-4C9F-AC05-F12C582DD18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cp:lastPrinted>2018-10-03T09:15:05Z</cp:lastPrinted>
  <dcterms:created xsi:type="dcterms:W3CDTF">2018-10-02T11:54:05Z</dcterms:created>
  <dcterms:modified xsi:type="dcterms:W3CDTF">2024-08-18T11:19:25Z</dcterms:modified>
</cp:coreProperties>
</file>