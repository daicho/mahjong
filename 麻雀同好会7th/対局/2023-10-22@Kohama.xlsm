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94740E99-273A-4B9E-A03C-D9DEEFC99CB8}" xr6:coauthVersionLast="47" xr6:coauthVersionMax="47" xr10:uidLastSave="{00000000-0000-0000-0000-000000000000}"/>
  <bookViews>
    <workbookView xWindow="-120" yWindow="-120" windowWidth="29040" windowHeight="15990" activeTab="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役一覧" sheetId="15" state="hidden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9" l="1"/>
  <c r="E13" i="29"/>
  <c r="C13" i="29" s="1"/>
  <c r="E12" i="29"/>
  <c r="E11" i="29"/>
  <c r="E10" i="29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 s="1"/>
  <c r="T13" i="29"/>
  <c r="O13" i="29"/>
  <c r="V13" i="29" s="1"/>
  <c r="J13" i="29"/>
  <c r="D13" i="29"/>
  <c r="D12" i="29"/>
  <c r="D7" i="29"/>
  <c r="D6" i="29"/>
  <c r="O5" i="29"/>
  <c r="J5" i="29"/>
  <c r="J6" i="29" s="1"/>
  <c r="D5" i="29"/>
  <c r="B5" i="29"/>
  <c r="T4" i="29"/>
  <c r="T5" i="29" s="1"/>
  <c r="O4" i="29"/>
  <c r="V4" i="29" s="1"/>
  <c r="J4" i="29"/>
  <c r="W3" i="29"/>
  <c r="V3" i="29"/>
  <c r="U3" i="29"/>
  <c r="W2" i="29"/>
  <c r="V2" i="29"/>
  <c r="U2" i="29"/>
  <c r="BO1" i="29"/>
  <c r="AT1" i="29"/>
  <c r="Y1" i="29"/>
  <c r="C13" i="28"/>
  <c r="E12" i="28"/>
  <c r="A12" i="28" s="1"/>
  <c r="E11" i="28"/>
  <c r="B11" i="28" s="1"/>
  <c r="E10" i="28"/>
  <c r="C10" i="28" s="1"/>
  <c r="E9" i="28"/>
  <c r="D9" i="28" s="1"/>
  <c r="E8" i="28"/>
  <c r="B8" i="28" s="1"/>
  <c r="A8" i="28" s="1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B13" i="28"/>
  <c r="A13" i="28" s="1"/>
  <c r="T12" i="28"/>
  <c r="W12" i="28" s="1"/>
  <c r="O12" i="28"/>
  <c r="J12" i="28"/>
  <c r="D12" i="28"/>
  <c r="C12" i="28"/>
  <c r="B12" i="28"/>
  <c r="T11" i="28"/>
  <c r="O11" i="28"/>
  <c r="V11" i="28" s="1"/>
  <c r="J11" i="28"/>
  <c r="D11" i="28"/>
  <c r="T10" i="28"/>
  <c r="O10" i="28"/>
  <c r="J10" i="28"/>
  <c r="D10" i="28"/>
  <c r="T9" i="28"/>
  <c r="O9" i="28"/>
  <c r="J9" i="28"/>
  <c r="C9" i="28"/>
  <c r="B9" i="28"/>
  <c r="A9" i="28" s="1"/>
  <c r="T8" i="28"/>
  <c r="W8" i="28" s="1"/>
  <c r="O8" i="28"/>
  <c r="J8" i="28"/>
  <c r="D8" i="28"/>
  <c r="C8" i="28"/>
  <c r="T7" i="28"/>
  <c r="O7" i="28"/>
  <c r="J7" i="28"/>
  <c r="D7" i="28"/>
  <c r="C7" i="28"/>
  <c r="B7" i="28"/>
  <c r="A7" i="28" s="1"/>
  <c r="T5" i="28"/>
  <c r="T6" i="28" s="1"/>
  <c r="C5" i="28"/>
  <c r="D5" i="28"/>
  <c r="T4" i="28"/>
  <c r="O4" i="28"/>
  <c r="O5" i="28" s="1"/>
  <c r="J4" i="28"/>
  <c r="J5" i="28" s="1"/>
  <c r="W3" i="28"/>
  <c r="V3" i="28"/>
  <c r="U3" i="28"/>
  <c r="W2" i="28"/>
  <c r="V2" i="28"/>
  <c r="U2" i="28"/>
  <c r="BO1" i="28"/>
  <c r="AT1" i="28"/>
  <c r="Y1" i="28"/>
  <c r="E6" i="27"/>
  <c r="E5" i="27"/>
  <c r="C5" i="27" s="1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C14" i="27"/>
  <c r="D13" i="27"/>
  <c r="D12" i="27"/>
  <c r="C11" i="27"/>
  <c r="C12" i="27" s="1"/>
  <c r="C13" i="27" s="1"/>
  <c r="D10" i="27"/>
  <c r="D9" i="27"/>
  <c r="D8" i="27"/>
  <c r="B8" i="27"/>
  <c r="B6" i="27"/>
  <c r="B7" i="27" s="1"/>
  <c r="T5" i="27"/>
  <c r="T6" i="27" s="1"/>
  <c r="O5" i="27"/>
  <c r="O6" i="27" s="1"/>
  <c r="D5" i="27"/>
  <c r="T4" i="27"/>
  <c r="O4" i="27"/>
  <c r="J4" i="27"/>
  <c r="W3" i="27"/>
  <c r="V3" i="27"/>
  <c r="U3" i="27"/>
  <c r="W2" i="27"/>
  <c r="V2" i="27"/>
  <c r="U2" i="27"/>
  <c r="BO1" i="27"/>
  <c r="AT1" i="27"/>
  <c r="Y1" i="27"/>
  <c r="E14" i="26"/>
  <c r="E13" i="26"/>
  <c r="D12" i="26"/>
  <c r="E11" i="26"/>
  <c r="E10" i="26"/>
  <c r="E9" i="26"/>
  <c r="E8" i="26"/>
  <c r="C8" i="26" s="1"/>
  <c r="E7" i="26"/>
  <c r="E6" i="26"/>
  <c r="D6" i="26" s="1"/>
  <c r="D7" i="26" s="1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D15" i="26"/>
  <c r="D14" i="26"/>
  <c r="D11" i="26"/>
  <c r="C9" i="26"/>
  <c r="D8" i="26"/>
  <c r="J6" i="26"/>
  <c r="J7" i="26" s="1"/>
  <c r="J5" i="26"/>
  <c r="D5" i="26"/>
  <c r="T4" i="26"/>
  <c r="T5" i="26" s="1"/>
  <c r="O4" i="26"/>
  <c r="O5" i="26" s="1"/>
  <c r="J4" i="26"/>
  <c r="W3" i="26"/>
  <c r="V3" i="26"/>
  <c r="U3" i="26"/>
  <c r="W2" i="26"/>
  <c r="V2" i="26"/>
  <c r="U2" i="26"/>
  <c r="BO1" i="26"/>
  <c r="AT1" i="26"/>
  <c r="Y1" i="26"/>
  <c r="A16" i="25"/>
  <c r="E15" i="25"/>
  <c r="E14" i="25"/>
  <c r="E13" i="25"/>
  <c r="E12" i="25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T15" i="25"/>
  <c r="O15" i="25"/>
  <c r="V15" i="25" s="1"/>
  <c r="J15" i="25"/>
  <c r="D15" i="25"/>
  <c r="C15" i="25"/>
  <c r="B15" i="25"/>
  <c r="A15" i="25"/>
  <c r="C14" i="25"/>
  <c r="D11" i="25"/>
  <c r="C11" i="25"/>
  <c r="C12" i="25" s="1"/>
  <c r="D10" i="25"/>
  <c r="C10" i="25"/>
  <c r="D9" i="25"/>
  <c r="D8" i="25"/>
  <c r="C8" i="25"/>
  <c r="C9" i="25" s="1"/>
  <c r="D7" i="25"/>
  <c r="O5" i="25"/>
  <c r="D5" i="25"/>
  <c r="T4" i="25"/>
  <c r="T5" i="25" s="1"/>
  <c r="O4" i="25"/>
  <c r="J4" i="25"/>
  <c r="J5" i="25" s="1"/>
  <c r="W3" i="25"/>
  <c r="V3" i="25"/>
  <c r="U3" i="25"/>
  <c r="W2" i="25"/>
  <c r="V2" i="25"/>
  <c r="U2" i="25"/>
  <c r="BO1" i="25"/>
  <c r="AT1" i="25"/>
  <c r="Y1" i="25"/>
  <c r="D15" i="24"/>
  <c r="E14" i="24"/>
  <c r="B14" i="24" s="1"/>
  <c r="A14" i="24" s="1"/>
  <c r="E13" i="24"/>
  <c r="D13" i="24" s="1"/>
  <c r="E12" i="24"/>
  <c r="E11" i="24"/>
  <c r="E10" i="24"/>
  <c r="E9" i="24"/>
  <c r="E8" i="24"/>
  <c r="E7" i="24"/>
  <c r="D7" i="24" s="1"/>
  <c r="E6" i="24"/>
  <c r="E5" i="24"/>
  <c r="B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C15" i="24"/>
  <c r="B15" i="24"/>
  <c r="A15" i="24" s="1"/>
  <c r="T14" i="24"/>
  <c r="O14" i="24"/>
  <c r="J14" i="24"/>
  <c r="D14" i="24"/>
  <c r="C14" i="24"/>
  <c r="T13" i="24"/>
  <c r="O13" i="24"/>
  <c r="J13" i="24"/>
  <c r="D12" i="24"/>
  <c r="D10" i="24"/>
  <c r="C10" i="24"/>
  <c r="C8" i="24"/>
  <c r="D8" i="24"/>
  <c r="O6" i="24"/>
  <c r="O7" i="24" s="1"/>
  <c r="D6" i="24"/>
  <c r="O5" i="24"/>
  <c r="D5" i="24"/>
  <c r="C5" i="24"/>
  <c r="T4" i="24"/>
  <c r="T5" i="24" s="1"/>
  <c r="O4" i="24"/>
  <c r="J4" i="24"/>
  <c r="W3" i="24"/>
  <c r="V3" i="24"/>
  <c r="U3" i="24"/>
  <c r="W2" i="24"/>
  <c r="V2" i="24"/>
  <c r="U2" i="24"/>
  <c r="BO1" i="24"/>
  <c r="AT1" i="24"/>
  <c r="Y1" i="24"/>
  <c r="D13" i="23"/>
  <c r="E12" i="23"/>
  <c r="E11" i="23"/>
  <c r="D11" i="23" s="1"/>
  <c r="E10" i="23"/>
  <c r="E9" i="23"/>
  <c r="E8" i="23"/>
  <c r="E7" i="23"/>
  <c r="C7" i="23" s="1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C13" i="23"/>
  <c r="B13" i="23"/>
  <c r="A13" i="23" s="1"/>
  <c r="D12" i="23"/>
  <c r="D10" i="23"/>
  <c r="O6" i="23"/>
  <c r="O7" i="23" s="1"/>
  <c r="D6" i="23"/>
  <c r="C6" i="23"/>
  <c r="O5" i="23"/>
  <c r="J5" i="23"/>
  <c r="J6" i="23" s="1"/>
  <c r="D5" i="23"/>
  <c r="C5" i="23"/>
  <c r="B5" i="23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D13" i="22"/>
  <c r="E12" i="22"/>
  <c r="E11" i="22"/>
  <c r="C11" i="22" s="1"/>
  <c r="E10" i="22"/>
  <c r="E9" i="22"/>
  <c r="D9" i="22" s="1"/>
  <c r="E8" i="22"/>
  <c r="E7" i="22"/>
  <c r="E6" i="22"/>
  <c r="E5" i="22"/>
  <c r="D5" i="22" s="1"/>
  <c r="D6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C13" i="22"/>
  <c r="D10" i="22"/>
  <c r="C10" i="22"/>
  <c r="D8" i="22"/>
  <c r="T6" i="22"/>
  <c r="T7" i="22" s="1"/>
  <c r="B6" i="22"/>
  <c r="T5" i="22"/>
  <c r="O5" i="22"/>
  <c r="O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E13" i="21"/>
  <c r="E12" i="21"/>
  <c r="E11" i="21"/>
  <c r="D11" i="21" s="1"/>
  <c r="E10" i="21"/>
  <c r="E9" i="21"/>
  <c r="E8" i="21"/>
  <c r="D8" i="21" s="1"/>
  <c r="E7" i="21"/>
  <c r="E6" i="21"/>
  <c r="E5" i="21"/>
  <c r="D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D13" i="21"/>
  <c r="D12" i="21"/>
  <c r="D10" i="21"/>
  <c r="C10" i="21"/>
  <c r="D9" i="21"/>
  <c r="C8" i="21"/>
  <c r="O7" i="21"/>
  <c r="O8" i="21" s="1"/>
  <c r="O6" i="21"/>
  <c r="O5" i="21"/>
  <c r="J5" i="21"/>
  <c r="T4" i="21"/>
  <c r="O4" i="21"/>
  <c r="J4" i="21"/>
  <c r="W3" i="21"/>
  <c r="V3" i="21"/>
  <c r="U3" i="21"/>
  <c r="W2" i="21"/>
  <c r="V2" i="21"/>
  <c r="U2" i="21"/>
  <c r="BO1" i="21"/>
  <c r="AT1" i="21"/>
  <c r="Y1" i="21"/>
  <c r="E14" i="20"/>
  <c r="E13" i="20"/>
  <c r="E12" i="20"/>
  <c r="E11" i="20"/>
  <c r="E10" i="20"/>
  <c r="E9" i="20"/>
  <c r="E8" i="20"/>
  <c r="E7" i="20"/>
  <c r="U13" i="29" l="1"/>
  <c r="W13" i="29"/>
  <c r="B13" i="29"/>
  <c r="A13" i="29" s="1"/>
  <c r="V5" i="29"/>
  <c r="U4" i="29"/>
  <c r="J7" i="29"/>
  <c r="T6" i="29"/>
  <c r="W5" i="29"/>
  <c r="B7" i="29"/>
  <c r="O6" i="29"/>
  <c r="B6" i="29"/>
  <c r="D8" i="29"/>
  <c r="C11" i="29"/>
  <c r="D11" i="29"/>
  <c r="W4" i="29"/>
  <c r="D9" i="29"/>
  <c r="D10" i="29" s="1"/>
  <c r="C12" i="29"/>
  <c r="A5" i="29"/>
  <c r="U5" i="29"/>
  <c r="C5" i="29"/>
  <c r="C6" i="29" s="1"/>
  <c r="C7" i="29" s="1"/>
  <c r="C8" i="29" s="1"/>
  <c r="C9" i="29" s="1"/>
  <c r="C10" i="29" s="1"/>
  <c r="V12" i="28"/>
  <c r="U12" i="28"/>
  <c r="U11" i="28"/>
  <c r="W11" i="28"/>
  <c r="C11" i="28"/>
  <c r="A11" i="28"/>
  <c r="U10" i="28"/>
  <c r="V10" i="28"/>
  <c r="W10" i="28"/>
  <c r="B10" i="28"/>
  <c r="A10" i="28" s="1"/>
  <c r="W9" i="28"/>
  <c r="U9" i="28"/>
  <c r="V9" i="28"/>
  <c r="V8" i="28"/>
  <c r="U8" i="28"/>
  <c r="U7" i="28"/>
  <c r="V7" i="28"/>
  <c r="W7" i="28"/>
  <c r="W4" i="28"/>
  <c r="C6" i="28"/>
  <c r="J6" i="28"/>
  <c r="U5" i="28"/>
  <c r="O6" i="28"/>
  <c r="V6" i="28" s="1"/>
  <c r="V5" i="28"/>
  <c r="V4" i="28"/>
  <c r="D6" i="28"/>
  <c r="B5" i="28"/>
  <c r="A5" i="28"/>
  <c r="W5" i="28"/>
  <c r="B6" i="28"/>
  <c r="A6" i="28" s="1"/>
  <c r="U4" i="28"/>
  <c r="B5" i="27"/>
  <c r="A5" i="27" s="1"/>
  <c r="W4" i="27"/>
  <c r="V4" i="27"/>
  <c r="O7" i="27"/>
  <c r="T7" i="27"/>
  <c r="U4" i="27"/>
  <c r="J5" i="27"/>
  <c r="C6" i="27"/>
  <c r="C7" i="27" s="1"/>
  <c r="B9" i="27"/>
  <c r="D11" i="27"/>
  <c r="D14" i="27"/>
  <c r="D6" i="27"/>
  <c r="A7" i="27"/>
  <c r="A8" i="27" s="1"/>
  <c r="V5" i="27"/>
  <c r="D7" i="27"/>
  <c r="A6" i="27"/>
  <c r="C8" i="27"/>
  <c r="C9" i="27" s="1"/>
  <c r="C10" i="27" s="1"/>
  <c r="O6" i="26"/>
  <c r="V5" i="26"/>
  <c r="U5" i="26"/>
  <c r="T6" i="26"/>
  <c r="W5" i="26"/>
  <c r="J8" i="26"/>
  <c r="W4" i="26"/>
  <c r="D9" i="26"/>
  <c r="C12" i="26"/>
  <c r="B5" i="26"/>
  <c r="C10" i="26"/>
  <c r="C11" i="26" s="1"/>
  <c r="C5" i="26"/>
  <c r="D10" i="26"/>
  <c r="C13" i="26"/>
  <c r="U6" i="26"/>
  <c r="D13" i="26"/>
  <c r="U4" i="26"/>
  <c r="C6" i="26"/>
  <c r="C7" i="26" s="1"/>
  <c r="C14" i="26"/>
  <c r="C15" i="26" s="1"/>
  <c r="V4" i="26"/>
  <c r="U15" i="25"/>
  <c r="W15" i="25"/>
  <c r="J6" i="25"/>
  <c r="U5" i="25"/>
  <c r="T6" i="25"/>
  <c r="W5" i="25"/>
  <c r="V5" i="25"/>
  <c r="V4" i="25"/>
  <c r="D6" i="25"/>
  <c r="D14" i="25"/>
  <c r="C7" i="25"/>
  <c r="D12" i="25"/>
  <c r="W4" i="25"/>
  <c r="B5" i="25"/>
  <c r="B6" i="25" s="1"/>
  <c r="O6" i="25"/>
  <c r="C5" i="25"/>
  <c r="C6" i="25" s="1"/>
  <c r="C13" i="25"/>
  <c r="D13" i="25"/>
  <c r="U4" i="25"/>
  <c r="V14" i="24"/>
  <c r="U14" i="24"/>
  <c r="W14" i="24"/>
  <c r="U13" i="24"/>
  <c r="V13" i="24"/>
  <c r="W13" i="24"/>
  <c r="B13" i="24"/>
  <c r="A13" i="24" s="1"/>
  <c r="C13" i="24"/>
  <c r="V4" i="24"/>
  <c r="O8" i="24"/>
  <c r="T6" i="24"/>
  <c r="B6" i="24"/>
  <c r="C11" i="24"/>
  <c r="U4" i="24"/>
  <c r="J5" i="24"/>
  <c r="W5" i="24" s="1"/>
  <c r="C6" i="24"/>
  <c r="C7" i="24" s="1"/>
  <c r="D11" i="24"/>
  <c r="C9" i="24"/>
  <c r="W4" i="24"/>
  <c r="B7" i="24"/>
  <c r="B8" i="24" s="1"/>
  <c r="D9" i="24"/>
  <c r="C12" i="24"/>
  <c r="A5" i="24"/>
  <c r="D7" i="23"/>
  <c r="U4" i="23"/>
  <c r="V4" i="23"/>
  <c r="O8" i="23"/>
  <c r="C8" i="23"/>
  <c r="C9" i="23" s="1"/>
  <c r="C10" i="23" s="1"/>
  <c r="C11" i="23" s="1"/>
  <c r="C12" i="23" s="1"/>
  <c r="T6" i="23"/>
  <c r="W5" i="23"/>
  <c r="J7" i="23"/>
  <c r="V5" i="23"/>
  <c r="B6" i="23"/>
  <c r="A6" i="23" s="1"/>
  <c r="D8" i="23"/>
  <c r="W4" i="23"/>
  <c r="B7" i="23"/>
  <c r="B8" i="23" s="1"/>
  <c r="D9" i="23"/>
  <c r="A5" i="23"/>
  <c r="U5" i="23"/>
  <c r="C9" i="22"/>
  <c r="B5" i="22"/>
  <c r="C5" i="22"/>
  <c r="V4" i="22"/>
  <c r="W4" i="22"/>
  <c r="O7" i="22"/>
  <c r="T8" i="22"/>
  <c r="U4" i="22"/>
  <c r="J5" i="22"/>
  <c r="C6" i="22"/>
  <c r="D11" i="22"/>
  <c r="C12" i="22"/>
  <c r="B7" i="22"/>
  <c r="A5" i="22"/>
  <c r="A6" i="22" s="1"/>
  <c r="C7" i="22"/>
  <c r="D12" i="22"/>
  <c r="V5" i="22"/>
  <c r="D7" i="22"/>
  <c r="C8" i="22"/>
  <c r="C11" i="21"/>
  <c r="C12" i="21" s="1"/>
  <c r="V4" i="21"/>
  <c r="U4" i="21"/>
  <c r="O9" i="21"/>
  <c r="V5" i="21"/>
  <c r="D6" i="21"/>
  <c r="D7" i="21" s="1"/>
  <c r="C9" i="21"/>
  <c r="D14" i="21"/>
  <c r="W4" i="21"/>
  <c r="T5" i="21"/>
  <c r="U5" i="21"/>
  <c r="J6" i="21"/>
  <c r="C14" i="21"/>
  <c r="B5" i="21"/>
  <c r="C13" i="21"/>
  <c r="B6" i="21"/>
  <c r="C5" i="21"/>
  <c r="C6" i="21" s="1"/>
  <c r="C7" i="21" s="1"/>
  <c r="E6" i="20"/>
  <c r="E5" i="20"/>
  <c r="B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O14" i="20"/>
  <c r="J14" i="20"/>
  <c r="U14" i="20" s="1"/>
  <c r="D14" i="20"/>
  <c r="C14" i="20"/>
  <c r="B14" i="20"/>
  <c r="A14" i="20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/>
  <c r="T11" i="20"/>
  <c r="O11" i="20"/>
  <c r="J11" i="20"/>
  <c r="D11" i="20"/>
  <c r="C11" i="20"/>
  <c r="B11" i="20"/>
  <c r="A11" i="20"/>
  <c r="C10" i="20"/>
  <c r="D8" i="20"/>
  <c r="C8" i="20"/>
  <c r="D7" i="20"/>
  <c r="C6" i="20"/>
  <c r="C7" i="20" s="1"/>
  <c r="D6" i="20"/>
  <c r="T4" i="20"/>
  <c r="T5" i="20" s="1"/>
  <c r="O4" i="20"/>
  <c r="O5" i="20" s="1"/>
  <c r="J4" i="20"/>
  <c r="J5" i="20" s="1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T7" i="29" l="1"/>
  <c r="W6" i="29"/>
  <c r="A7" i="29"/>
  <c r="B8" i="29"/>
  <c r="O7" i="29"/>
  <c r="V6" i="29"/>
  <c r="U6" i="29"/>
  <c r="J8" i="29"/>
  <c r="A6" i="29"/>
  <c r="U6" i="28"/>
  <c r="W6" i="28"/>
  <c r="T8" i="27"/>
  <c r="O8" i="27"/>
  <c r="A9" i="27"/>
  <c r="B10" i="27"/>
  <c r="W5" i="27"/>
  <c r="J6" i="27"/>
  <c r="U5" i="27"/>
  <c r="A5" i="26"/>
  <c r="B6" i="26"/>
  <c r="T7" i="26"/>
  <c r="W6" i="26"/>
  <c r="J9" i="26"/>
  <c r="O7" i="26"/>
  <c r="V6" i="26"/>
  <c r="A5" i="25"/>
  <c r="B7" i="25"/>
  <c r="A6" i="25"/>
  <c r="V6" i="25"/>
  <c r="O7" i="25"/>
  <c r="T7" i="25"/>
  <c r="W6" i="25"/>
  <c r="J7" i="25"/>
  <c r="U6" i="25"/>
  <c r="B9" i="24"/>
  <c r="A7" i="24"/>
  <c r="A8" i="24"/>
  <c r="A9" i="24" s="1"/>
  <c r="T7" i="24"/>
  <c r="V5" i="24"/>
  <c r="J6" i="24"/>
  <c r="U5" i="24"/>
  <c r="A6" i="24"/>
  <c r="O9" i="24"/>
  <c r="B9" i="23"/>
  <c r="T7" i="23"/>
  <c r="W6" i="23"/>
  <c r="V6" i="23"/>
  <c r="U6" i="23"/>
  <c r="A7" i="23"/>
  <c r="A8" i="23" s="1"/>
  <c r="J8" i="23"/>
  <c r="O9" i="23"/>
  <c r="A7" i="22"/>
  <c r="T9" i="22"/>
  <c r="J6" i="22"/>
  <c r="U5" i="22"/>
  <c r="W5" i="22"/>
  <c r="O8" i="22"/>
  <c r="B8" i="22"/>
  <c r="A8" i="22" s="1"/>
  <c r="A6" i="21"/>
  <c r="A5" i="21"/>
  <c r="B7" i="21"/>
  <c r="A7" i="21" s="1"/>
  <c r="J7" i="21"/>
  <c r="W5" i="21"/>
  <c r="T6" i="21"/>
  <c r="V6" i="21" s="1"/>
  <c r="O10" i="21"/>
  <c r="V14" i="20"/>
  <c r="W14" i="20"/>
  <c r="V13" i="20"/>
  <c r="U13" i="20"/>
  <c r="W13" i="20"/>
  <c r="W12" i="20"/>
  <c r="U12" i="20"/>
  <c r="V12" i="20"/>
  <c r="W11" i="20"/>
  <c r="U11" i="20"/>
  <c r="V11" i="20"/>
  <c r="D5" i="20"/>
  <c r="C5" i="20"/>
  <c r="U5" i="20"/>
  <c r="J6" i="20"/>
  <c r="T6" i="20"/>
  <c r="W5" i="20"/>
  <c r="A5" i="20"/>
  <c r="O6" i="20"/>
  <c r="V5" i="20"/>
  <c r="D10" i="20"/>
  <c r="B6" i="20"/>
  <c r="B7" i="20" s="1"/>
  <c r="U4" i="20"/>
  <c r="C9" i="20"/>
  <c r="V4" i="20"/>
  <c r="W4" i="20"/>
  <c r="D9" i="20"/>
  <c r="W3" i="19"/>
  <c r="V3" i="19"/>
  <c r="U3" i="19"/>
  <c r="O8" i="29" l="1"/>
  <c r="V7" i="29"/>
  <c r="T8" i="29"/>
  <c r="W7" i="29"/>
  <c r="B9" i="29"/>
  <c r="A9" i="29" s="1"/>
  <c r="U7" i="29"/>
  <c r="U8" i="29"/>
  <c r="J9" i="29"/>
  <c r="A8" i="29"/>
  <c r="B11" i="27"/>
  <c r="O9" i="27"/>
  <c r="A10" i="27"/>
  <c r="J7" i="27"/>
  <c r="U6" i="27"/>
  <c r="V6" i="27"/>
  <c r="W6" i="27"/>
  <c r="T9" i="27"/>
  <c r="J10" i="26"/>
  <c r="B7" i="26"/>
  <c r="A7" i="26" s="1"/>
  <c r="O8" i="26"/>
  <c r="V7" i="26"/>
  <c r="U7" i="26"/>
  <c r="W7" i="26"/>
  <c r="T8" i="26"/>
  <c r="A6" i="26"/>
  <c r="J8" i="25"/>
  <c r="U7" i="25"/>
  <c r="B8" i="25"/>
  <c r="A8" i="25" s="1"/>
  <c r="T8" i="25"/>
  <c r="W7" i="25"/>
  <c r="O8" i="25"/>
  <c r="V7" i="25"/>
  <c r="A7" i="25"/>
  <c r="J7" i="24"/>
  <c r="U6" i="24"/>
  <c r="V6" i="24"/>
  <c r="O10" i="24"/>
  <c r="W6" i="24"/>
  <c r="T8" i="24"/>
  <c r="W7" i="24"/>
  <c r="B10" i="24"/>
  <c r="A9" i="23"/>
  <c r="T8" i="23"/>
  <c r="U8" i="23" s="1"/>
  <c r="W7" i="23"/>
  <c r="V7" i="23"/>
  <c r="O10" i="23"/>
  <c r="U7" i="23"/>
  <c r="J9" i="23"/>
  <c r="B10" i="23"/>
  <c r="O9" i="22"/>
  <c r="J7" i="22"/>
  <c r="U6" i="22"/>
  <c r="V6" i="22"/>
  <c r="W6" i="22"/>
  <c r="B9" i="22"/>
  <c r="A9" i="22" s="1"/>
  <c r="T10" i="22"/>
  <c r="O11" i="21"/>
  <c r="J8" i="21"/>
  <c r="W6" i="21"/>
  <c r="T7" i="21"/>
  <c r="V7" i="21" s="1"/>
  <c r="U6" i="21"/>
  <c r="B8" i="21"/>
  <c r="B8" i="20"/>
  <c r="A6" i="20"/>
  <c r="T7" i="20"/>
  <c r="W6" i="20"/>
  <c r="A7" i="20"/>
  <c r="O7" i="20"/>
  <c r="V6" i="20"/>
  <c r="J7" i="20"/>
  <c r="U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9" l="1"/>
  <c r="W8" i="29"/>
  <c r="B10" i="29"/>
  <c r="A10" i="29" s="1"/>
  <c r="J10" i="29"/>
  <c r="O9" i="29"/>
  <c r="V8" i="29"/>
  <c r="J8" i="27"/>
  <c r="U7" i="27"/>
  <c r="W7" i="27"/>
  <c r="V7" i="27"/>
  <c r="O10" i="27"/>
  <c r="T10" i="27"/>
  <c r="B12" i="27"/>
  <c r="A11" i="27"/>
  <c r="O9" i="26"/>
  <c r="V8" i="26"/>
  <c r="U8" i="26"/>
  <c r="B8" i="26"/>
  <c r="A8" i="26" s="1"/>
  <c r="J11" i="26"/>
  <c r="T9" i="26"/>
  <c r="W8" i="26"/>
  <c r="T9" i="25"/>
  <c r="W8" i="25"/>
  <c r="O9" i="25"/>
  <c r="V8" i="25"/>
  <c r="B9" i="25"/>
  <c r="J9" i="25"/>
  <c r="U8" i="25"/>
  <c r="O11" i="24"/>
  <c r="T9" i="24"/>
  <c r="B11" i="24"/>
  <c r="A10" i="24"/>
  <c r="U7" i="24"/>
  <c r="J8" i="24"/>
  <c r="W8" i="24" s="1"/>
  <c r="V7" i="24"/>
  <c r="J10" i="23"/>
  <c r="O11" i="23"/>
  <c r="B11" i="23"/>
  <c r="A10" i="23"/>
  <c r="T9" i="23"/>
  <c r="V9" i="23" s="1"/>
  <c r="W8" i="23"/>
  <c r="V8" i="23"/>
  <c r="B10" i="22"/>
  <c r="J8" i="22"/>
  <c r="U7" i="22"/>
  <c r="W7" i="22"/>
  <c r="V7" i="22"/>
  <c r="T11" i="22"/>
  <c r="O10" i="22"/>
  <c r="O12" i="21"/>
  <c r="J9" i="21"/>
  <c r="T8" i="21"/>
  <c r="V8" i="21" s="1"/>
  <c r="W7" i="21"/>
  <c r="B9" i="21"/>
  <c r="A8" i="21"/>
  <c r="U7" i="21"/>
  <c r="W7" i="20"/>
  <c r="T8" i="20"/>
  <c r="B9" i="20"/>
  <c r="A9" i="20" s="1"/>
  <c r="O8" i="20"/>
  <c r="V7" i="20"/>
  <c r="U7" i="20"/>
  <c r="J8" i="20"/>
  <c r="A8" i="20"/>
  <c r="V10" i="19"/>
  <c r="W10" i="19"/>
  <c r="V9" i="19"/>
  <c r="W9" i="19"/>
  <c r="U8" i="19"/>
  <c r="V8" i="19"/>
  <c r="W8" i="19"/>
  <c r="V7" i="19"/>
  <c r="W7" i="19"/>
  <c r="C6" i="19"/>
  <c r="W4" i="19"/>
  <c r="V6" i="19"/>
  <c r="W6" i="19"/>
  <c r="U4" i="19"/>
  <c r="V4" i="19"/>
  <c r="T5" i="19"/>
  <c r="J5" i="19"/>
  <c r="O5" i="19"/>
  <c r="O10" i="29" l="1"/>
  <c r="V9" i="29"/>
  <c r="U9" i="29"/>
  <c r="J11" i="29"/>
  <c r="B11" i="29"/>
  <c r="A11" i="29" s="1"/>
  <c r="T10" i="29"/>
  <c r="W9" i="29"/>
  <c r="O11" i="27"/>
  <c r="B13" i="27"/>
  <c r="A13" i="27" s="1"/>
  <c r="T11" i="27"/>
  <c r="A12" i="27"/>
  <c r="J9" i="27"/>
  <c r="U8" i="27"/>
  <c r="W8" i="27"/>
  <c r="V8" i="27"/>
  <c r="J12" i="26"/>
  <c r="T10" i="26"/>
  <c r="W9" i="26"/>
  <c r="B9" i="26"/>
  <c r="A9" i="26"/>
  <c r="O10" i="26"/>
  <c r="V9" i="26"/>
  <c r="U9" i="26"/>
  <c r="B10" i="25"/>
  <c r="A9" i="25"/>
  <c r="J10" i="25"/>
  <c r="U9" i="25"/>
  <c r="O10" i="25"/>
  <c r="V9" i="25"/>
  <c r="T10" i="25"/>
  <c r="W9" i="25"/>
  <c r="O12" i="24"/>
  <c r="B12" i="24"/>
  <c r="A12" i="24" s="1"/>
  <c r="T10" i="24"/>
  <c r="J9" i="24"/>
  <c r="U8" i="24"/>
  <c r="V8" i="24"/>
  <c r="A11" i="24"/>
  <c r="U9" i="23"/>
  <c r="O12" i="23"/>
  <c r="B12" i="23"/>
  <c r="A12" i="23" s="1"/>
  <c r="A11" i="23"/>
  <c r="T10" i="23"/>
  <c r="W9" i="23"/>
  <c r="J11" i="23"/>
  <c r="T12" i="22"/>
  <c r="B11" i="22"/>
  <c r="A11" i="22" s="1"/>
  <c r="J9" i="22"/>
  <c r="U8" i="22"/>
  <c r="W8" i="22"/>
  <c r="V8" i="22"/>
  <c r="O11" i="22"/>
  <c r="A10" i="22"/>
  <c r="O13" i="21"/>
  <c r="U8" i="21"/>
  <c r="B10" i="21"/>
  <c r="J10" i="21"/>
  <c r="A9" i="21"/>
  <c r="T9" i="21"/>
  <c r="V9" i="21" s="1"/>
  <c r="W8" i="21"/>
  <c r="J9" i="20"/>
  <c r="U8" i="20"/>
  <c r="O9" i="20"/>
  <c r="V8" i="20"/>
  <c r="B10" i="20"/>
  <c r="A10" i="20"/>
  <c r="W8" i="20"/>
  <c r="T9" i="20"/>
  <c r="V5" i="19"/>
  <c r="U5" i="19"/>
  <c r="W5" i="19"/>
  <c r="T11" i="29" l="1"/>
  <c r="W10" i="29"/>
  <c r="U10" i="29"/>
  <c r="J12" i="29"/>
  <c r="B12" i="29"/>
  <c r="A12" i="29" s="1"/>
  <c r="O11" i="29"/>
  <c r="V10" i="29"/>
  <c r="J10" i="27"/>
  <c r="U9" i="27"/>
  <c r="V9" i="27"/>
  <c r="W9" i="27"/>
  <c r="T12" i="27"/>
  <c r="B14" i="27"/>
  <c r="A14" i="27" s="1"/>
  <c r="O12" i="27"/>
  <c r="O11" i="26"/>
  <c r="V10" i="26"/>
  <c r="U10" i="26"/>
  <c r="B10" i="26"/>
  <c r="A10" i="26" s="1"/>
  <c r="T11" i="26"/>
  <c r="W10" i="26"/>
  <c r="J13" i="26"/>
  <c r="T11" i="25"/>
  <c r="W10" i="25"/>
  <c r="O11" i="25"/>
  <c r="V10" i="25"/>
  <c r="J11" i="25"/>
  <c r="U10" i="25"/>
  <c r="B11" i="25"/>
  <c r="A11" i="25" s="1"/>
  <c r="A10" i="25"/>
  <c r="J10" i="24"/>
  <c r="U9" i="24"/>
  <c r="V9" i="24"/>
  <c r="T11" i="24"/>
  <c r="W10" i="24"/>
  <c r="W9" i="24"/>
  <c r="T11" i="23"/>
  <c r="W10" i="23"/>
  <c r="V10" i="23"/>
  <c r="J12" i="23"/>
  <c r="U11" i="23"/>
  <c r="V11" i="23"/>
  <c r="U10" i="23"/>
  <c r="J10" i="22"/>
  <c r="U9" i="22"/>
  <c r="W9" i="22"/>
  <c r="V9" i="22"/>
  <c r="B12" i="22"/>
  <c r="O12" i="22"/>
  <c r="T13" i="22"/>
  <c r="U9" i="21"/>
  <c r="B11" i="21"/>
  <c r="A11" i="21" s="1"/>
  <c r="J11" i="21"/>
  <c r="A10" i="21"/>
  <c r="T10" i="21"/>
  <c r="U10" i="21" s="1"/>
  <c r="W9" i="21"/>
  <c r="O14" i="21"/>
  <c r="O10" i="20"/>
  <c r="V9" i="20"/>
  <c r="T10" i="20"/>
  <c r="W9" i="20"/>
  <c r="U9" i="20"/>
  <c r="J10" i="20"/>
  <c r="O12" i="29" l="1"/>
  <c r="V11" i="29"/>
  <c r="U11" i="29"/>
  <c r="T12" i="29"/>
  <c r="W12" i="29" s="1"/>
  <c r="W11" i="29"/>
  <c r="T13" i="27"/>
  <c r="O13" i="27"/>
  <c r="J11" i="27"/>
  <c r="U10" i="27"/>
  <c r="V10" i="27"/>
  <c r="W10" i="27"/>
  <c r="J14" i="26"/>
  <c r="T12" i="26"/>
  <c r="W11" i="26"/>
  <c r="B11" i="26"/>
  <c r="O12" i="26"/>
  <c r="V11" i="26"/>
  <c r="U11" i="26"/>
  <c r="J12" i="25"/>
  <c r="U11" i="25"/>
  <c r="O12" i="25"/>
  <c r="V11" i="25"/>
  <c r="B12" i="25"/>
  <c r="T12" i="25"/>
  <c r="W11" i="25"/>
  <c r="T12" i="24"/>
  <c r="J11" i="24"/>
  <c r="W11" i="24" s="1"/>
  <c r="U10" i="24"/>
  <c r="V10" i="24"/>
  <c r="T12" i="23"/>
  <c r="W11" i="23"/>
  <c r="B13" i="22"/>
  <c r="A12" i="22"/>
  <c r="O13" i="22"/>
  <c r="J11" i="22"/>
  <c r="U10" i="22"/>
  <c r="W10" i="22"/>
  <c r="V10" i="22"/>
  <c r="T11" i="21"/>
  <c r="W10" i="21"/>
  <c r="V10" i="21"/>
  <c r="J12" i="21"/>
  <c r="U11" i="21"/>
  <c r="V11" i="21"/>
  <c r="B12" i="21"/>
  <c r="U10" i="20"/>
  <c r="V10" i="20"/>
  <c r="W10" i="20"/>
  <c r="U12" i="29" l="1"/>
  <c r="V12" i="29"/>
  <c r="U11" i="27"/>
  <c r="J12" i="27"/>
  <c r="V11" i="27"/>
  <c r="W11" i="27"/>
  <c r="O14" i="27"/>
  <c r="T14" i="27"/>
  <c r="B12" i="26"/>
  <c r="A11" i="26"/>
  <c r="T13" i="26"/>
  <c r="W12" i="26"/>
  <c r="J15" i="26"/>
  <c r="O13" i="26"/>
  <c r="V12" i="26"/>
  <c r="U12" i="26"/>
  <c r="B13" i="25"/>
  <c r="W12" i="25"/>
  <c r="T13" i="25"/>
  <c r="A12" i="25"/>
  <c r="O13" i="25"/>
  <c r="V12" i="25"/>
  <c r="J13" i="25"/>
  <c r="U12" i="25"/>
  <c r="J12" i="24"/>
  <c r="W12" i="24" s="1"/>
  <c r="U11" i="24"/>
  <c r="V11" i="24"/>
  <c r="W12" i="23"/>
  <c r="V12" i="23"/>
  <c r="U12" i="23"/>
  <c r="A13" i="22"/>
  <c r="J12" i="22"/>
  <c r="U11" i="22"/>
  <c r="W11" i="22"/>
  <c r="V11" i="22"/>
  <c r="B13" i="21"/>
  <c r="A12" i="21"/>
  <c r="J13" i="21"/>
  <c r="W11" i="21"/>
  <c r="T12" i="21"/>
  <c r="J13" i="27" l="1"/>
  <c r="U12" i="27"/>
  <c r="V12" i="27"/>
  <c r="W12" i="27"/>
  <c r="B13" i="26"/>
  <c r="A13" i="26"/>
  <c r="O14" i="26"/>
  <c r="V13" i="26"/>
  <c r="U13" i="26"/>
  <c r="T14" i="26"/>
  <c r="W13" i="26"/>
  <c r="A12" i="26"/>
  <c r="J14" i="25"/>
  <c r="U13" i="25"/>
  <c r="O14" i="25"/>
  <c r="V13" i="25"/>
  <c r="T14" i="25"/>
  <c r="W14" i="25" s="1"/>
  <c r="W13" i="25"/>
  <c r="B14" i="25"/>
  <c r="A14" i="25"/>
  <c r="A13" i="25"/>
  <c r="U12" i="24"/>
  <c r="V12" i="24"/>
  <c r="J13" i="22"/>
  <c r="U12" i="22"/>
  <c r="W12" i="22"/>
  <c r="V12" i="22"/>
  <c r="A13" i="21"/>
  <c r="T13" i="21"/>
  <c r="W12" i="21"/>
  <c r="J14" i="21"/>
  <c r="U13" i="21"/>
  <c r="V13" i="21"/>
  <c r="V12" i="21"/>
  <c r="U12" i="21"/>
  <c r="B14" i="21"/>
  <c r="A14" i="21" s="1"/>
  <c r="J14" i="27" l="1"/>
  <c r="U13" i="27"/>
  <c r="V13" i="27"/>
  <c r="W13" i="27"/>
  <c r="T15" i="26"/>
  <c r="W15" i="26" s="1"/>
  <c r="W14" i="26"/>
  <c r="V14" i="26"/>
  <c r="O15" i="26"/>
  <c r="U14" i="26"/>
  <c r="B14" i="26"/>
  <c r="A14" i="26" s="1"/>
  <c r="V14" i="25"/>
  <c r="U14" i="25"/>
  <c r="U13" i="22"/>
  <c r="W13" i="22"/>
  <c r="V13" i="22"/>
  <c r="W13" i="21"/>
  <c r="T14" i="21"/>
  <c r="U14" i="27" l="1"/>
  <c r="W14" i="27"/>
  <c r="V14" i="27"/>
  <c r="V15" i="26"/>
  <c r="U15" i="26"/>
  <c r="B15" i="26"/>
  <c r="A15" i="26" s="1"/>
  <c r="W14" i="21"/>
  <c r="V14" i="21"/>
  <c r="U14" i="21"/>
</calcChain>
</file>

<file path=xl/sharedStrings.xml><?xml version="1.0" encoding="utf-8"?>
<sst xmlns="http://schemas.openxmlformats.org/spreadsheetml/2006/main" count="1661" uniqueCount="208">
  <si>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</si>
  <si>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</si>
  <si>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</si>
  <si>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</si>
  <si>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</si>
  <si>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</si>
  <si>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</si>
  <si>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</si>
  <si>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</si>
  <si>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</si>
  <si>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</si>
  <si>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</si>
  <si>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</si>
  <si>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</si>
  <si>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</si>
  <si>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</si>
  <si>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</si>
  <si>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</si>
  <si>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</si>
  <si>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</si>
  <si>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</si>
  <si>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</si>
  <si>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</si>
  <si>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</si>
  <si>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</si>
  <si>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</si>
  <si>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</si>
  <si>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</si>
  <si>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</si>
  <si>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</si>
  <si>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</si>
  <si>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</si>
  <si>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</si>
  <si>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</si>
  <si>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</si>
  <si>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</si>
  <si>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</si>
  <si>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</si>
  <si>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</si>
  <si>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</si>
  <si>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</si>
  <si>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</si>
  <si>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</si>
  <si>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</si>
  <si>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</si>
  <si>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</si>
  <si>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</si>
  <si>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</si>
  <si>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</si>
  <si>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</si>
  <si>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</si>
  <si>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</si>
  <si>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</si>
  <si>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</si>
  <si>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</si>
  <si>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</si>
  <si>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</si>
  <si>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</si>
  <si>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</si>
  <si>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</si>
  <si>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</si>
  <si>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</si>
  <si>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</si>
  <si>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</si>
  <si>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</si>
  <si>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</si>
  <si>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</si>
  <si>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</si>
  <si>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</si>
  <si>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</si>
  <si>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</si>
  <si>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</si>
  <si>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</si>
  <si>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</si>
  <si>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</si>
  <si>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</si>
  <si>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</si>
  <si>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</si>
  <si>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</si>
  <si>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</si>
  <si>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</si>
  <si>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</si>
  <si>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</si>
  <si>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</si>
  <si>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</si>
  <si>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</si>
  <si>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</si>
  <si>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</si>
  <si>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</si>
  <si>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</si>
  <si>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</si>
  <si>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</si>
  <si>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</si>
  <si>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</si>
  <si>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</si>
  <si>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</si>
  <si>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</si>
  <si>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</si>
  <si>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</si>
  <si>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</si>
  <si>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</si>
  <si>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</si>
  <si>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</si>
  <si>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</si>
  <si>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</si>
  <si>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</si>
  <si>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</si>
  <si>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</si>
  <si>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</si>
  <si>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</si>
  <si>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</si>
  <si>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</si>
  <si>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</si>
  <si>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</si>
  <si>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</si>
  <si>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</si>
  <si>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</si>
  <si>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</si>
  <si>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</si>
  <si>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</si>
  <si>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</si>
  <si>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</si>
  <si>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</si>
  <si>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</si>
  <si>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</si>
  <si>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</si>
  <si>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</si>
  <si>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</si>
  <si>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</si>
  <si>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</si>
  <si>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</si>
  <si>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</si>
  <si>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</si>
  <si>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</si>
  <si>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</si>
  <si>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</si>
  <si>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</si>
  <si>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</si>
  <si>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</si>
  <si>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</si>
  <si>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</si>
  <si>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</si>
  <si>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</si>
  <si>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</si>
  <si>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</si>
  <si>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</si>
  <si>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</si>
  <si>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</si>
  <si>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</si>
  <si>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</si>
  <si>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</si>
  <si>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</si>
  <si>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</si>
  <si>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</si>
  <si>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</si>
  <si>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</si>
  <si>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</si>
  <si>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</si>
  <si>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</si>
  <si>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</si>
  <si>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</si>
  <si>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</si>
  <si>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</si>
  <si>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</si>
  <si>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</si>
  <si>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</si>
  <si>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</si>
  <si>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</si>
  <si>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</si>
  <si>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</si>
  <si>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</si>
  <si>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</si>
  <si>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</si>
  <si>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</si>
  <si>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</si>
  <si>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</si>
  <si>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</si>
  <si>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</si>
  <si>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</si>
  <si>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</si>
  <si>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</si>
  <si>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</si>
  <si>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</si>
  <si>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</si>
  <si>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</si>
  <si>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</si>
  <si>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</si>
  <si>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</si>
  <si>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</si>
  <si>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</si>
  <si>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</si>
  <si>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</si>
  <si>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ただ</t>
  </si>
  <si>
    <t>ただ</t>
    <phoneticPr fontId="1"/>
  </si>
  <si>
    <t>だいち</t>
    <phoneticPr fontId="1"/>
  </si>
  <si>
    <t>れんたろう</t>
  </si>
  <si>
    <t>れんたろう</t>
    <phoneticPr fontId="1"/>
  </si>
  <si>
    <t>ロン</t>
  </si>
  <si>
    <t>放銃</t>
  </si>
  <si>
    <t>01</t>
  </si>
  <si>
    <t>02</t>
  </si>
  <si>
    <t>ツモ支払</t>
  </si>
  <si>
    <t>ツモ</t>
  </si>
  <si>
    <t>52</t>
  </si>
  <si>
    <t>*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</si>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</sst>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7700</v>
      </c>
      <c r="H4" s="9">
        <v>1000</v>
      </c>
      <c r="I4" s="48">
        <v>0</v>
      </c>
      <c r="J4" s="21">
        <f>IF(COUNTA($F4,$K4,$P4)&gt;0,J3+SUM(G4:I4),"")</f>
        <v>43700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198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28.7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-27.7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199</v>
      </c>
      <c r="AF4" s="41" t="s">
        <v>200</v>
      </c>
      <c r="AG4" s="41" t="s">
        <v>83</v>
      </c>
      <c r="AH4" s="41" t="s">
        <v>84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201</v>
      </c>
      <c r="G5" s="9">
        <v>-2500</v>
      </c>
      <c r="H5" s="9"/>
      <c r="I5" s="48">
        <v>0</v>
      </c>
      <c r="J5" s="21">
        <f t="shared" ref="J5:J30" si="2">IF(COUNTA($F5,$K5,$P5)&gt;0,J4+SUM(G5:I5),"")</f>
        <v>41200</v>
      </c>
      <c r="K5" s="8" t="s">
        <v>201</v>
      </c>
      <c r="L5" s="9">
        <v>-1500</v>
      </c>
      <c r="M5" s="9">
        <v>-1000</v>
      </c>
      <c r="N5" s="48">
        <v>0</v>
      </c>
      <c r="O5" s="21">
        <f t="shared" ref="O5:O30" si="3">IF(COUNTA($F5,$K5,$P5)&gt;0,O4+SUM(L5:N5),"")</f>
        <v>31500</v>
      </c>
      <c r="P5" s="8" t="s">
        <v>202</v>
      </c>
      <c r="Q5" s="9">
        <v>4000</v>
      </c>
      <c r="R5" s="9">
        <v>1000</v>
      </c>
      <c r="S5" s="48">
        <v>0</v>
      </c>
      <c r="T5" s="21">
        <f t="shared" ref="T5:T30" si="4">IF(COUNTA($F5,$K5,$P5)&gt;0,T4+SUM(Q5:S5),"")</f>
        <v>32300</v>
      </c>
      <c r="U5" s="53">
        <f>IF($J5="","",ROUND(($J5-$J$3)/1000,1)+(_xlfn.RANK.AVG($J5,($J5,$O5,$T5),1)-2)*20)</f>
        <v>26.2</v>
      </c>
      <c r="V5" s="54">
        <f>IF($O5="","",ROUND(($O5-$O$3)/1000,1)+(_xlfn.RANK.AVG($O5,($J5,$O5,$T5),1)-2)*20)</f>
        <v>-23.5</v>
      </c>
      <c r="W5" s="55">
        <f>IF($T5="","",ROUND(($T5-$T$3)/1000,1)+(_xlfn.RANK.AVG($T5,($J5,$O5,$T5),1)-2)*20)</f>
        <v>-2.7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199</v>
      </c>
      <c r="BV5" s="41" t="s">
        <v>82</v>
      </c>
      <c r="BW5" s="41" t="s">
        <v>203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198</v>
      </c>
      <c r="G6" s="9">
        <v>-3900</v>
      </c>
      <c r="H6" s="9"/>
      <c r="I6" s="48">
        <v>0</v>
      </c>
      <c r="J6" s="21">
        <f t="shared" si="2"/>
        <v>37300</v>
      </c>
      <c r="K6" s="8" t="s">
        <v>197</v>
      </c>
      <c r="L6" s="9">
        <v>3900</v>
      </c>
      <c r="M6" s="9"/>
      <c r="N6" s="48">
        <v>0</v>
      </c>
      <c r="O6" s="21">
        <f t="shared" si="3"/>
        <v>35400</v>
      </c>
      <c r="P6" s="8"/>
      <c r="Q6" s="9"/>
      <c r="R6" s="9"/>
      <c r="S6" s="48"/>
      <c r="T6" s="21">
        <f t="shared" si="4"/>
        <v>32300</v>
      </c>
      <c r="U6" s="53">
        <f>IF($J6="","",ROUND(($J6-$J$3)/1000,1)+(_xlfn.RANK.AVG($J6,($J6,$O6,$T6),1)-2)*20)</f>
        <v>22.3</v>
      </c>
      <c r="V6" s="54">
        <f>IF($O6="","",ROUND(($O6-$O$3)/1000,1)+(_xlfn.RANK.AVG($O6,($J6,$O6,$T6),1)-2)*20)</f>
        <v>0.4</v>
      </c>
      <c r="W6" s="55">
        <f>IF($T6="","",ROUND(($T6-$T$3)/1000,1)+(_xlfn.RANK.AVG($T6,($J6,$O6,$T6),1)-2)*20)</f>
        <v>-22.7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199</v>
      </c>
      <c r="BA6" s="41" t="s">
        <v>203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201</v>
      </c>
      <c r="G7" s="9">
        <v>-2000</v>
      </c>
      <c r="H7" s="9"/>
      <c r="I7" s="48">
        <v>-500</v>
      </c>
      <c r="J7" s="21">
        <f t="shared" si="2"/>
        <v>34800</v>
      </c>
      <c r="K7" s="8" t="s">
        <v>201</v>
      </c>
      <c r="L7" s="9">
        <v>-3300</v>
      </c>
      <c r="M7" s="9"/>
      <c r="N7" s="48">
        <v>-500</v>
      </c>
      <c r="O7" s="21">
        <f t="shared" si="3"/>
        <v>31600</v>
      </c>
      <c r="P7" s="8" t="s">
        <v>202</v>
      </c>
      <c r="Q7" s="9">
        <v>5300</v>
      </c>
      <c r="R7" s="9"/>
      <c r="S7" s="48">
        <v>1000</v>
      </c>
      <c r="T7" s="21">
        <f t="shared" si="4"/>
        <v>38600</v>
      </c>
      <c r="U7" s="53">
        <f>IF($J7="","",ROUND(($J7-$J$3)/1000,1)+(_xlfn.RANK.AVG($J7,($J7,$O7,$T7),1)-2)*20)</f>
        <v>-0.2</v>
      </c>
      <c r="V7" s="54">
        <f>IF($O7="","",ROUND(($O7-$O$3)/1000,1)+(_xlfn.RANK.AVG($O7,($J7,$O7,$T7),1)-2)*20)</f>
        <v>-23.4</v>
      </c>
      <c r="W7" s="55">
        <f>IF($T7="","",ROUND(($T7-$T$3)/1000,1)+(_xlfn.RANK.AVG($T7,($J7,$O7,$T7),1)-2)*20)</f>
        <v>23.6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199</v>
      </c>
      <c r="BV7" s="41" t="s">
        <v>82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197</v>
      </c>
      <c r="G8" s="9">
        <v>12000</v>
      </c>
      <c r="H8" s="9">
        <v>1000</v>
      </c>
      <c r="I8" s="48">
        <v>0</v>
      </c>
      <c r="J8" s="21">
        <f t="shared" si="2"/>
        <v>47800</v>
      </c>
      <c r="K8" s="8" t="s">
        <v>198</v>
      </c>
      <c r="L8" s="9">
        <v>-12000</v>
      </c>
      <c r="M8" s="9"/>
      <c r="N8" s="48">
        <v>0</v>
      </c>
      <c r="O8" s="21">
        <f t="shared" si="3"/>
        <v>19600</v>
      </c>
      <c r="P8" s="8"/>
      <c r="Q8" s="9"/>
      <c r="R8" s="9">
        <v>-1000</v>
      </c>
      <c r="S8" s="48"/>
      <c r="T8" s="21">
        <f t="shared" si="4"/>
        <v>37600</v>
      </c>
      <c r="U8" s="53">
        <f>IF($J8="","",ROUND(($J8-$J$3)/1000,1)+(_xlfn.RANK.AVG($J8,($J8,$O8,$T8),1)-2)*20)</f>
        <v>32.799999999999997</v>
      </c>
      <c r="V8" s="54">
        <f>IF($O8="","",ROUND(($O8-$O$3)/1000,1)+(_xlfn.RANK.AVG($O8,($J8,$O8,$T8),1)-2)*20)</f>
        <v>-35.4</v>
      </c>
      <c r="W8" s="55">
        <f>IF($T8="","",ROUND(($T8-$T$3)/1000,1)+(_xlfn.RANK.AVG($T8,($J8,$O8,$T8),1)-2)*20)</f>
        <v>2.6</v>
      </c>
      <c r="Y8" s="8"/>
      <c r="Z8" s="34"/>
      <c r="AA8" s="26"/>
      <c r="AB8" s="26"/>
      <c r="AC8" s="26">
        <v>7</v>
      </c>
      <c r="AD8" s="30" t="s">
        <v>204</v>
      </c>
      <c r="AE8" s="40" t="s">
        <v>104</v>
      </c>
      <c r="AF8" s="41" t="s">
        <v>101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201</v>
      </c>
      <c r="G9" s="9">
        <v>-3300</v>
      </c>
      <c r="H9" s="9"/>
      <c r="I9" s="48">
        <v>0</v>
      </c>
      <c r="J9" s="21">
        <f t="shared" si="2"/>
        <v>44500</v>
      </c>
      <c r="K9" s="8" t="s">
        <v>201</v>
      </c>
      <c r="L9" s="9">
        <v>-2000</v>
      </c>
      <c r="M9" s="9">
        <v>-1000</v>
      </c>
      <c r="N9" s="48">
        <v>0</v>
      </c>
      <c r="O9" s="21">
        <f t="shared" si="3"/>
        <v>16600</v>
      </c>
      <c r="P9" s="8" t="s">
        <v>202</v>
      </c>
      <c r="Q9" s="9">
        <v>5300</v>
      </c>
      <c r="R9" s="9">
        <v>1000</v>
      </c>
      <c r="S9" s="48">
        <v>0</v>
      </c>
      <c r="T9" s="21">
        <f t="shared" si="4"/>
        <v>43900</v>
      </c>
      <c r="U9" s="53">
        <f>IF($J9="","",ROUND(($J9-$J$3)/1000,1)+(_xlfn.RANK.AVG($J9,($J9,$O9,$T9),1)-2)*20)</f>
        <v>29.5</v>
      </c>
      <c r="V9" s="54">
        <f>IF($O9="","",ROUND(($O9-$O$3)/1000,1)+(_xlfn.RANK.AVG($O9,($J9,$O9,$T9),1)-2)*20)</f>
        <v>-38.4</v>
      </c>
      <c r="W9" s="55">
        <f>IF($T9="","",ROUND(($T9-$T$3)/1000,1)+(_xlfn.RANK.AVG($T9,($J9,$O9,$T9),1)-2)*20)</f>
        <v>8.9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20</v>
      </c>
      <c r="BU9" s="40" t="s">
        <v>199</v>
      </c>
      <c r="BV9" s="41" t="s">
        <v>82</v>
      </c>
      <c r="BW9" s="41" t="s">
        <v>83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197</v>
      </c>
      <c r="G10" s="9">
        <v>2000</v>
      </c>
      <c r="H10" s="9"/>
      <c r="I10" s="48">
        <v>0</v>
      </c>
      <c r="J10" s="21">
        <f t="shared" si="2"/>
        <v>46500</v>
      </c>
      <c r="K10" s="8" t="s">
        <v>198</v>
      </c>
      <c r="L10" s="9">
        <v>-2000</v>
      </c>
      <c r="M10" s="9"/>
      <c r="N10" s="48">
        <v>0</v>
      </c>
      <c r="O10" s="21">
        <f t="shared" si="3"/>
        <v>14600</v>
      </c>
      <c r="P10" s="8"/>
      <c r="Q10" s="9"/>
      <c r="R10" s="9"/>
      <c r="S10" s="48"/>
      <c r="T10" s="21">
        <f t="shared" si="4"/>
        <v>43900</v>
      </c>
      <c r="U10" s="53">
        <f>IF($J10="","",ROUND(($J10-$J$3)/1000,1)+(_xlfn.RANK.AVG($J10,($J10,$O10,$T10),1)-2)*20)</f>
        <v>31.5</v>
      </c>
      <c r="V10" s="54">
        <f>IF($O10="","",ROUND(($O10-$O$3)/1000,1)+(_xlfn.RANK.AVG($O10,($J10,$O10,$T10),1)-2)*20)</f>
        <v>-40.4</v>
      </c>
      <c r="W10" s="55">
        <f>IF($T10="","",ROUND(($T10-$T$3)/1000,1)+(_xlfn.RANK.AVG($T10,($J10,$O10,$T10),1)-2)*20)</f>
        <v>8.9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646EE39-61D6-47ED-862E-C1D96E395031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675E3-970E-446C-92E1-88AF7B95056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197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204</v>
      </c>
      <c r="BU4" s="40" t="s">
        <v>199</v>
      </c>
      <c r="BV4" s="41" t="s">
        <v>200</v>
      </c>
      <c r="BW4" s="41" t="s">
        <v>83</v>
      </c>
      <c r="BX4" s="41" t="s">
        <v>79</v>
      </c>
      <c r="BY4" s="41" t="s">
        <v>79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198</v>
      </c>
      <c r="G5" s="9">
        <v>-18000</v>
      </c>
      <c r="H5" s="9"/>
      <c r="I5" s="48">
        <v>0</v>
      </c>
      <c r="J5" s="21">
        <f t="shared" ref="J5:J30" si="2">IF(COUNTA($F5,$K5,$P5)&gt;0,J4+SUM(G5:I5),"")</f>
        <v>17000</v>
      </c>
      <c r="K5" s="8"/>
      <c r="L5" s="9"/>
      <c r="M5" s="9"/>
      <c r="N5" s="48"/>
      <c r="O5" s="21">
        <f t="shared" ref="O5:O30" si="3">IF(COUNTA($F5,$K5,$P5)&gt;0,O4+SUM(L5:N5),"")</f>
        <v>22000</v>
      </c>
      <c r="P5" s="8" t="s">
        <v>197</v>
      </c>
      <c r="Q5" s="9">
        <v>18000</v>
      </c>
      <c r="R5" s="9"/>
      <c r="S5" s="48">
        <v>0</v>
      </c>
      <c r="T5" s="21">
        <f t="shared" ref="T5:T30" si="4">IF(COUNTA($F5,$K5,$P5)&gt;0,T4+SUM(Q5:S5),"")</f>
        <v>66000</v>
      </c>
      <c r="U5" s="53">
        <f>IF($J5="","",ROUND(($J5-$J$3)/1000,1)+(_xlfn.RANK.AVG($J5,($J5,$O5,$T5),1)-2)*20)</f>
        <v>-38</v>
      </c>
      <c r="V5" s="54">
        <f>IF($O5="","",ROUND(($O5-$O$3)/1000,1)+(_xlfn.RANK.AVG($O5,($J5,$O5,$T5),1)-2)*20)</f>
        <v>-13</v>
      </c>
      <c r="W5" s="55">
        <f>IF($T5="","",ROUND(($T5-$T$3)/1000,1)+(_xlfn.RANK.AVG($T5,($J5,$O5,$T5),1)-2)*20)</f>
        <v>51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204</v>
      </c>
      <c r="BU5" s="40" t="s">
        <v>199</v>
      </c>
      <c r="BV5" s="41" t="s">
        <v>200</v>
      </c>
      <c r="BW5" s="41" t="s">
        <v>104</v>
      </c>
      <c r="BX5" s="41" t="s">
        <v>86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207</v>
      </c>
      <c r="G6" s="9">
        <v>-3000</v>
      </c>
      <c r="H6" s="9"/>
      <c r="I6" s="48"/>
      <c r="J6" s="21">
        <f t="shared" si="2"/>
        <v>14000</v>
      </c>
      <c r="K6" s="8" t="s">
        <v>207</v>
      </c>
      <c r="L6" s="9">
        <v>1500</v>
      </c>
      <c r="M6" s="9">
        <v>-1000</v>
      </c>
      <c r="N6" s="48"/>
      <c r="O6" s="21">
        <f t="shared" si="3"/>
        <v>22500</v>
      </c>
      <c r="P6" s="8" t="s">
        <v>207</v>
      </c>
      <c r="Q6" s="9">
        <v>1500</v>
      </c>
      <c r="R6" s="9">
        <v>-1000</v>
      </c>
      <c r="S6" s="48"/>
      <c r="T6" s="21">
        <f t="shared" si="4"/>
        <v>66500</v>
      </c>
      <c r="U6" s="53">
        <f>IF($J6="","",ROUND(($J6-$J$3)/1000,1)+(_xlfn.RANK.AVG($J6,($J6,$O6,$T6),1)-2)*20)</f>
        <v>-41</v>
      </c>
      <c r="V6" s="54">
        <f>IF($O6="","",ROUND(($O6-$O$3)/1000,1)+(_xlfn.RANK.AVG($O6,($J6,$O6,$T6),1)-2)*20)</f>
        <v>-12.5</v>
      </c>
      <c r="W6" s="55">
        <f>IF($T6="","",ROUND(($T6-$T$3)/1000,1)+(_xlfn.RANK.AVG($T6,($J6,$O6,$T6),1)-2)*20)</f>
        <v>51.5</v>
      </c>
      <c r="Y6" s="8" t="s">
        <v>205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206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tr">
        <f>IF($P$1="","",$P$1)</f>
        <v>れんたろう</v>
      </c>
      <c r="F7" s="8" t="s">
        <v>201</v>
      </c>
      <c r="G7" s="9">
        <v>-4500</v>
      </c>
      <c r="H7" s="9"/>
      <c r="I7" s="48">
        <v>-1000</v>
      </c>
      <c r="J7" s="21">
        <f t="shared" si="2"/>
        <v>8500</v>
      </c>
      <c r="K7" s="8" t="s">
        <v>202</v>
      </c>
      <c r="L7" s="9">
        <v>12000</v>
      </c>
      <c r="M7" s="9">
        <v>2000</v>
      </c>
      <c r="N7" s="48">
        <v>2000</v>
      </c>
      <c r="O7" s="21">
        <f t="shared" si="3"/>
        <v>38500</v>
      </c>
      <c r="P7" s="8" t="s">
        <v>201</v>
      </c>
      <c r="Q7" s="9">
        <v>-7500</v>
      </c>
      <c r="R7" s="9"/>
      <c r="S7" s="48">
        <v>-1000</v>
      </c>
      <c r="T7" s="21">
        <f t="shared" si="4"/>
        <v>58000</v>
      </c>
      <c r="U7" s="53">
        <f>IF($J7="","",ROUND(($J7-$J$3)/1000,1)+(_xlfn.RANK.AVG($J7,($J7,$O7,$T7),1)-2)*20)</f>
        <v>-46.5</v>
      </c>
      <c r="V7" s="54">
        <f>IF($O7="","",ROUND(($O7-$O$3)/1000,1)+(_xlfn.RANK.AVG($O7,($J7,$O7,$T7),1)-2)*20)</f>
        <v>3.5</v>
      </c>
      <c r="W7" s="55">
        <f>IF($T7="","",ROUND(($T7-$T$3)/1000,1)+(_xlfn.RANK.AVG($T7,($J7,$O7,$T7),1)-2)*20)</f>
        <v>43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204</v>
      </c>
      <c r="AZ7" s="40" t="s">
        <v>199</v>
      </c>
      <c r="BA7" s="41" t="s">
        <v>82</v>
      </c>
      <c r="BB7" s="41" t="s">
        <v>79</v>
      </c>
      <c r="BC7" s="41" t="s">
        <v>80</v>
      </c>
      <c r="BD7" s="41" t="s">
        <v>80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201</v>
      </c>
      <c r="G8" s="9">
        <v>-5000</v>
      </c>
      <c r="H8" s="9">
        <v>-1000</v>
      </c>
      <c r="I8" s="48">
        <v>0</v>
      </c>
      <c r="J8" s="21">
        <f t="shared" si="2"/>
        <v>2500</v>
      </c>
      <c r="K8" s="8" t="s">
        <v>201</v>
      </c>
      <c r="L8" s="9">
        <v>-3000</v>
      </c>
      <c r="M8" s="9"/>
      <c r="N8" s="48">
        <v>0</v>
      </c>
      <c r="O8" s="21">
        <f t="shared" si="3"/>
        <v>35500</v>
      </c>
      <c r="P8" s="8" t="s">
        <v>202</v>
      </c>
      <c r="Q8" s="9">
        <v>8000</v>
      </c>
      <c r="R8" s="9">
        <v>1000</v>
      </c>
      <c r="S8" s="48">
        <v>0</v>
      </c>
      <c r="T8" s="21">
        <f t="shared" si="4"/>
        <v>67000</v>
      </c>
      <c r="U8" s="53">
        <f>IF($J8="","",ROUND(($J8-$J$3)/1000,1)+(_xlfn.RANK.AVG($J8,($J8,$O8,$T8),1)-2)*20)</f>
        <v>-52.5</v>
      </c>
      <c r="V8" s="54">
        <f>IF($O8="","",ROUND(($O8-$O$3)/1000,1)+(_xlfn.RANK.AVG($O8,($J8,$O8,$T8),1)-2)*20)</f>
        <v>0.5</v>
      </c>
      <c r="W8" s="55">
        <f>IF($T8="","",ROUND(($T8-$T$3)/1000,1)+(_xlfn.RANK.AVG($T8,($J8,$O8,$T8),1)-2)*20)</f>
        <v>52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199</v>
      </c>
      <c r="BV8" s="41" t="s">
        <v>82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3200</v>
      </c>
      <c r="H9" s="9"/>
      <c r="I9" s="48">
        <v>0</v>
      </c>
      <c r="J9" s="21">
        <f t="shared" si="2"/>
        <v>5700</v>
      </c>
      <c r="K9" s="8" t="s">
        <v>198</v>
      </c>
      <c r="L9" s="9">
        <v>-3200</v>
      </c>
      <c r="M9" s="9"/>
      <c r="N9" s="48">
        <v>0</v>
      </c>
      <c r="O9" s="21">
        <f t="shared" si="3"/>
        <v>32300</v>
      </c>
      <c r="P9" s="8"/>
      <c r="Q9" s="9"/>
      <c r="R9" s="9"/>
      <c r="S9" s="48"/>
      <c r="T9" s="21">
        <f t="shared" si="4"/>
        <v>67000</v>
      </c>
      <c r="U9" s="53">
        <f>IF($J9="","",ROUND(($J9-$J$3)/1000,1)+(_xlfn.RANK.AVG($J9,($J9,$O9,$T9),1)-2)*20)</f>
        <v>-49.3</v>
      </c>
      <c r="V9" s="54">
        <f>IF($O9="","",ROUND(($O9-$O$3)/1000,1)+(_xlfn.RANK.AVG($O9,($J9,$O9,$T9),1)-2)*20)</f>
        <v>-2.7</v>
      </c>
      <c r="W9" s="55">
        <f>IF($T9="","",ROUND(($T9-$T$3)/1000,1)+(_xlfn.RANK.AVG($T9,($J9,$O9,$T9),1)-2)*20)</f>
        <v>52</v>
      </c>
      <c r="Y9" s="8"/>
      <c r="Z9" s="34"/>
      <c r="AA9" s="26"/>
      <c r="AB9" s="26"/>
      <c r="AC9" s="26">
        <v>3</v>
      </c>
      <c r="AD9" s="30">
        <v>25</v>
      </c>
      <c r="AE9" s="40" t="s">
        <v>101</v>
      </c>
      <c r="AF9" s="41" t="s">
        <v>203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201</v>
      </c>
      <c r="G10" s="9">
        <v>-3000</v>
      </c>
      <c r="H10" s="9"/>
      <c r="I10" s="48">
        <v>0</v>
      </c>
      <c r="J10" s="21">
        <f t="shared" si="2"/>
        <v>2700</v>
      </c>
      <c r="K10" s="8" t="s">
        <v>202</v>
      </c>
      <c r="L10" s="9">
        <v>8000</v>
      </c>
      <c r="M10" s="9"/>
      <c r="N10" s="48">
        <v>0</v>
      </c>
      <c r="O10" s="21">
        <f t="shared" si="3"/>
        <v>40300</v>
      </c>
      <c r="P10" s="8" t="s">
        <v>201</v>
      </c>
      <c r="Q10" s="9">
        <v>-5000</v>
      </c>
      <c r="R10" s="9"/>
      <c r="S10" s="48">
        <v>0</v>
      </c>
      <c r="T10" s="21">
        <f t="shared" si="4"/>
        <v>62000</v>
      </c>
      <c r="U10" s="53">
        <f>IF($J10="","",ROUND(($J10-$J$3)/1000,1)+(_xlfn.RANK.AVG($J10,($J10,$O10,$T10),1)-2)*20)</f>
        <v>-52.3</v>
      </c>
      <c r="V10" s="54">
        <f>IF($O10="","",ROUND(($O10-$O$3)/1000,1)+(_xlfn.RANK.AVG($O10,($J10,$O10,$T10),1)-2)*20)</f>
        <v>5.3</v>
      </c>
      <c r="W10" s="55">
        <f>IF($T10="","",ROUND(($T10-$T$3)/1000,1)+(_xlfn.RANK.AVG($T10,($J10,$O10,$T10),1)-2)*20)</f>
        <v>47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204</v>
      </c>
      <c r="AZ10" s="40" t="s">
        <v>199</v>
      </c>
      <c r="BA10" s="41" t="s">
        <v>82</v>
      </c>
      <c r="BB10" s="41" t="s">
        <v>79</v>
      </c>
      <c r="BC10" s="41" t="s">
        <v>79</v>
      </c>
      <c r="BD10" s="41" t="s">
        <v>203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 t="s">
        <v>202</v>
      </c>
      <c r="G11" s="9">
        <v>12000</v>
      </c>
      <c r="H11" s="9"/>
      <c r="I11" s="48">
        <v>0</v>
      </c>
      <c r="J11" s="21">
        <f t="shared" si="2"/>
        <v>14700</v>
      </c>
      <c r="K11" s="8" t="s">
        <v>201</v>
      </c>
      <c r="L11" s="9">
        <v>-6000</v>
      </c>
      <c r="M11" s="9"/>
      <c r="N11" s="48">
        <v>0</v>
      </c>
      <c r="O11" s="21">
        <f t="shared" si="3"/>
        <v>34300</v>
      </c>
      <c r="P11" s="8" t="s">
        <v>201</v>
      </c>
      <c r="Q11" s="9">
        <v>-6000</v>
      </c>
      <c r="R11" s="9"/>
      <c r="S11" s="48">
        <v>0</v>
      </c>
      <c r="T11" s="21">
        <f t="shared" si="4"/>
        <v>56000</v>
      </c>
      <c r="U11" s="53">
        <f>IF($J11="","",ROUND(($J11-$J$3)/1000,1)+(_xlfn.RANK.AVG($J11,($J11,$O11,$T11),1)-2)*20)</f>
        <v>-40.299999999999997</v>
      </c>
      <c r="V11" s="54">
        <f>IF($O11="","",ROUND(($O11-$O$3)/1000,1)+(_xlfn.RANK.AVG($O11,($J11,$O11,$T11),1)-2)*20)</f>
        <v>-0.7</v>
      </c>
      <c r="W11" s="55">
        <f>IF($T11="","",ROUND(($T11-$T$3)/1000,1)+(_xlfn.RANK.AVG($T11,($J11,$O11,$T11),1)-2)*20)</f>
        <v>41</v>
      </c>
      <c r="Y11" s="8"/>
      <c r="Z11" s="34"/>
      <c r="AA11" s="26"/>
      <c r="AB11" s="26">
        <v>1</v>
      </c>
      <c r="AC11" s="26">
        <v>4</v>
      </c>
      <c r="AD11" s="30">
        <v>40</v>
      </c>
      <c r="AE11" s="40" t="s">
        <v>104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IF($F$1="","",$F$1)</f>
        <v>ただ</v>
      </c>
      <c r="F12" s="8" t="s">
        <v>207</v>
      </c>
      <c r="G12" s="9">
        <v>1500</v>
      </c>
      <c r="H12" s="9"/>
      <c r="I12" s="48"/>
      <c r="J12" s="21">
        <f t="shared" si="2"/>
        <v>16200</v>
      </c>
      <c r="K12" s="8" t="s">
        <v>207</v>
      </c>
      <c r="L12" s="9">
        <v>-3000</v>
      </c>
      <c r="M12" s="9"/>
      <c r="N12" s="48"/>
      <c r="O12" s="21">
        <f t="shared" si="3"/>
        <v>31300</v>
      </c>
      <c r="P12" s="8" t="s">
        <v>207</v>
      </c>
      <c r="Q12" s="9">
        <v>1500</v>
      </c>
      <c r="R12" s="9"/>
      <c r="S12" s="48"/>
      <c r="T12" s="21">
        <f t="shared" si="4"/>
        <v>57500</v>
      </c>
      <c r="U12" s="53">
        <f>IF($J12="","",ROUND(($J12-$J$3)/1000,1)+(_xlfn.RANK.AVG($J12,($J12,$O12,$T12),1)-2)*20)</f>
        <v>-38.799999999999997</v>
      </c>
      <c r="V12" s="54">
        <f>IF($O12="","",ROUND(($O12-$O$3)/1000,1)+(_xlfn.RANK.AVG($O12,($J12,$O12,$T12),1)-2)*20)</f>
        <v>-3.7</v>
      </c>
      <c r="W12" s="55">
        <f>IF($T12="","",ROUND(($T12-$T$3)/1000,1)+(_xlfn.RANK.AVG($T12,($J12,$O12,$T12),1)-2)*20)</f>
        <v>42.5</v>
      </c>
      <c r="Y12" s="8" t="s">
        <v>206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206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tr">
        <f>IF($F$1="","",$F$1)</f>
        <v>ただ</v>
      </c>
      <c r="F13" s="8" t="s">
        <v>197</v>
      </c>
      <c r="G13" s="9">
        <v>12000</v>
      </c>
      <c r="H13" s="9"/>
      <c r="I13" s="48">
        <v>2000</v>
      </c>
      <c r="J13" s="21">
        <f t="shared" si="2"/>
        <v>30200</v>
      </c>
      <c r="K13" s="8"/>
      <c r="L13" s="9"/>
      <c r="M13" s="9"/>
      <c r="N13" s="48"/>
      <c r="O13" s="21">
        <f t="shared" si="3"/>
        <v>31300</v>
      </c>
      <c r="P13" s="8" t="s">
        <v>198</v>
      </c>
      <c r="Q13" s="9">
        <v>-12000</v>
      </c>
      <c r="R13" s="9"/>
      <c r="S13" s="48">
        <v>-2000</v>
      </c>
      <c r="T13" s="21">
        <f t="shared" si="4"/>
        <v>43500</v>
      </c>
      <c r="U13" s="53">
        <f>IF($J13="","",ROUND(($J13-$J$3)/1000,1)+(_xlfn.RANK.AVG($J13,($J13,$O13,$T13),1)-2)*20)</f>
        <v>-24.8</v>
      </c>
      <c r="V13" s="54">
        <f>IF($O13="","",ROUND(($O13-$O$3)/1000,1)+(_xlfn.RANK.AVG($O13,($J13,$O13,$T13),1)-2)*20)</f>
        <v>-3.7</v>
      </c>
      <c r="W13" s="55">
        <f>IF($T13="","",ROUND(($T13-$T$3)/1000,1)+(_xlfn.RANK.AVG($T13,($J13,$O13,$T13),1)-2)*20)</f>
        <v>28.5</v>
      </c>
      <c r="Y13" s="8"/>
      <c r="Z13" s="34"/>
      <c r="AA13" s="26">
        <v>1</v>
      </c>
      <c r="AB13" s="26"/>
      <c r="AC13" s="26">
        <v>4</v>
      </c>
      <c r="AD13" s="30">
        <v>40</v>
      </c>
      <c r="AE13" s="40" t="s">
        <v>199</v>
      </c>
      <c r="AF13" s="41" t="s">
        <v>82</v>
      </c>
      <c r="AG13" s="41" t="s">
        <v>84</v>
      </c>
      <c r="AH13" s="41" t="s">
        <v>80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0</v>
      </c>
      <c r="E14" s="4" t="str">
        <f>IF($F$1="","",$F$1)</f>
        <v>ただ</v>
      </c>
      <c r="F14" s="8" t="s">
        <v>197</v>
      </c>
      <c r="G14" s="9">
        <v>12000</v>
      </c>
      <c r="H14" s="9"/>
      <c r="I14" s="48">
        <v>3000</v>
      </c>
      <c r="J14" s="21">
        <f t="shared" si="2"/>
        <v>45200</v>
      </c>
      <c r="K14" s="8"/>
      <c r="L14" s="9"/>
      <c r="M14" s="9"/>
      <c r="N14" s="48"/>
      <c r="O14" s="21">
        <f t="shared" si="3"/>
        <v>31300</v>
      </c>
      <c r="P14" s="8" t="s">
        <v>198</v>
      </c>
      <c r="Q14" s="9">
        <v>-12000</v>
      </c>
      <c r="R14" s="9"/>
      <c r="S14" s="48">
        <v>-3000</v>
      </c>
      <c r="T14" s="21">
        <f t="shared" si="4"/>
        <v>28500</v>
      </c>
      <c r="U14" s="53">
        <f>IF($J14="","",ROUND(($J14-$J$3)/1000,1)+(_xlfn.RANK.AVG($J14,($J14,$O14,$T14),1)-2)*20)</f>
        <v>30.2</v>
      </c>
      <c r="V14" s="54">
        <f>IF($O14="","",ROUND(($O14-$O$3)/1000,1)+(_xlfn.RANK.AVG($O14,($J14,$O14,$T14),1)-2)*20)</f>
        <v>-3.7</v>
      </c>
      <c r="W14" s="55">
        <f>IF($T14="","",ROUND(($T14-$T$3)/1000,1)+(_xlfn.RANK.AVG($T14,($J14,$O14,$T14),1)-2)*20)</f>
        <v>-26.5</v>
      </c>
      <c r="Y14" s="8"/>
      <c r="Z14" s="34"/>
      <c r="AA14" s="26"/>
      <c r="AB14" s="26"/>
      <c r="AC14" s="26">
        <v>4</v>
      </c>
      <c r="AD14" s="30">
        <v>40</v>
      </c>
      <c r="AE14" s="40" t="s">
        <v>104</v>
      </c>
      <c r="AF14" s="41" t="s">
        <v>203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B9ACC965-FD3C-468F-9FFE-A35886E56090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D9753157-E60C-4AC6-A097-4B1F878B2C04}">
      <formula1>"ロン,ツモ,放銃,ツモ支払,流局,チョンボ"</formula1>
    </dataValidation>
    <dataValidation type="list" allowBlank="1" showInputMessage="1" showErrorMessage="1" sqref="E4:E30" xr:uid="{0314943E-92FF-4CB2-8652-0E21594C1E5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6C45A-7B7E-4724-8188-A8828F25FA3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202</v>
      </c>
      <c r="L4" s="9">
        <v>24000</v>
      </c>
      <c r="M4" s="9"/>
      <c r="N4" s="48">
        <v>0</v>
      </c>
      <c r="O4" s="21">
        <f>IF(COUNTA($F4,$K4,$P4)&gt;0,O3+SUM(L4:N4),"")</f>
        <v>59000</v>
      </c>
      <c r="P4" s="8" t="s">
        <v>201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44</v>
      </c>
      <c r="W4" s="55">
        <f>IF($T4="","",ROUND(($T4-$T$3)/1000,1)+(_xlfn.RANK.AVG($T4,($J4,$O4,$T4),1)-2)*20)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204</v>
      </c>
      <c r="AZ4" s="40" t="s">
        <v>199</v>
      </c>
      <c r="BA4" s="41" t="s">
        <v>82</v>
      </c>
      <c r="BB4" s="41" t="s">
        <v>104</v>
      </c>
      <c r="BC4" s="41" t="s">
        <v>101</v>
      </c>
      <c r="BD4" s="41" t="s">
        <v>203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207</v>
      </c>
      <c r="G5" s="9">
        <v>-3000</v>
      </c>
      <c r="H5" s="9"/>
      <c r="I5" s="48"/>
      <c r="J5" s="21">
        <f t="shared" ref="J5:J30" si="2">IF(COUNTA($F5,$K5,$P5)&gt;0,J4+SUM(G5:I5),"")</f>
        <v>20000</v>
      </c>
      <c r="K5" s="8" t="s">
        <v>207</v>
      </c>
      <c r="L5" s="9">
        <v>1500</v>
      </c>
      <c r="M5" s="9"/>
      <c r="N5" s="48"/>
      <c r="O5" s="21">
        <f t="shared" ref="O5:O30" si="3">IF(COUNTA($F5,$K5,$P5)&gt;0,O4+SUM(L5:N5),"")</f>
        <v>60500</v>
      </c>
      <c r="P5" s="8" t="s">
        <v>207</v>
      </c>
      <c r="Q5" s="9">
        <v>1500</v>
      </c>
      <c r="R5" s="9"/>
      <c r="S5" s="48"/>
      <c r="T5" s="21">
        <f t="shared" ref="T5:T30" si="4">IF(COUNTA($F5,$K5,$P5)&gt;0,T4+SUM(Q5:S5),"")</f>
        <v>24500</v>
      </c>
      <c r="U5" s="53">
        <f>IF($J5="","",ROUND(($J5-$J$3)/1000,1)+(_xlfn.RANK.AVG($J5,($J5,$O5,$T5),1)-2)*20)</f>
        <v>-35</v>
      </c>
      <c r="V5" s="54">
        <f>IF($O5="","",ROUND(($O5-$O$3)/1000,1)+(_xlfn.RANK.AVG($O5,($J5,$O5,$T5),1)-2)*20)</f>
        <v>45.5</v>
      </c>
      <c r="W5" s="55">
        <f>IF($T5="","",ROUND(($T5-$T$3)/1000,1)+(_xlfn.RANK.AVG($T5,($J5,$O5,$T5),1)-2)*20)</f>
        <v>-10.5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4000</v>
      </c>
      <c r="H6" s="9"/>
      <c r="I6" s="48">
        <v>2000</v>
      </c>
      <c r="J6" s="21">
        <f t="shared" si="2"/>
        <v>26000</v>
      </c>
      <c r="K6" s="8" t="s">
        <v>201</v>
      </c>
      <c r="L6" s="9">
        <v>-2500</v>
      </c>
      <c r="M6" s="9"/>
      <c r="N6" s="48">
        <v>-1000</v>
      </c>
      <c r="O6" s="21">
        <f t="shared" si="3"/>
        <v>57000</v>
      </c>
      <c r="P6" s="8" t="s">
        <v>201</v>
      </c>
      <c r="Q6" s="9">
        <v>-1500</v>
      </c>
      <c r="R6" s="9"/>
      <c r="S6" s="48">
        <v>-1000</v>
      </c>
      <c r="T6" s="21">
        <f t="shared" si="4"/>
        <v>22000</v>
      </c>
      <c r="U6" s="53">
        <f>IF($J6="","",ROUND(($J6-$J$3)/1000,1)+(_xlfn.RANK.AVG($J6,($J6,$O6,$T6),1)-2)*20)</f>
        <v>-9</v>
      </c>
      <c r="V6" s="54">
        <f>IF($O6="","",ROUND(($O6-$O$3)/1000,1)+(_xlfn.RANK.AVG($O6,($J6,$O6,$T6),1)-2)*20)</f>
        <v>42</v>
      </c>
      <c r="W6" s="55">
        <f>IF($T6="","",ROUND(($T6-$T$3)/1000,1)+(_xlfn.RANK.AVG($T6,($J6,$O6,$T6),1)-2)*20)</f>
        <v>-33</v>
      </c>
      <c r="Y6" s="8"/>
      <c r="Z6" s="34"/>
      <c r="AA6" s="26"/>
      <c r="AB6" s="26"/>
      <c r="AC6" s="26">
        <v>3</v>
      </c>
      <c r="AD6" s="30">
        <v>30</v>
      </c>
      <c r="AE6" s="40" t="s">
        <v>82</v>
      </c>
      <c r="AF6" s="41" t="s">
        <v>203</v>
      </c>
      <c r="AG6" s="41" t="s">
        <v>203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-2000</v>
      </c>
      <c r="H7" s="9"/>
      <c r="I7" s="48">
        <v>0</v>
      </c>
      <c r="J7" s="21">
        <f t="shared" si="2"/>
        <v>24000</v>
      </c>
      <c r="K7" s="8" t="s">
        <v>202</v>
      </c>
      <c r="L7" s="9">
        <v>5300</v>
      </c>
      <c r="M7" s="9">
        <v>1000</v>
      </c>
      <c r="N7" s="48">
        <v>0</v>
      </c>
      <c r="O7" s="21">
        <f t="shared" si="3"/>
        <v>63300</v>
      </c>
      <c r="P7" s="8" t="s">
        <v>201</v>
      </c>
      <c r="Q7" s="9">
        <v>-3300</v>
      </c>
      <c r="R7" s="9">
        <v>-1000</v>
      </c>
      <c r="S7" s="48">
        <v>0</v>
      </c>
      <c r="T7" s="21">
        <f t="shared" si="4"/>
        <v>17700</v>
      </c>
      <c r="U7" s="53">
        <f>IF($J7="","",ROUND(($J7-$J$3)/1000,1)+(_xlfn.RANK.AVG($J7,($J7,$O7,$T7),1)-2)*20)</f>
        <v>-11</v>
      </c>
      <c r="V7" s="54">
        <f>IF($O7="","",ROUND(($O7-$O$3)/1000,1)+(_xlfn.RANK.AVG($O7,($J7,$O7,$T7),1)-2)*20)</f>
        <v>48.3</v>
      </c>
      <c r="W7" s="55">
        <f>IF($T7="","",ROUND(($T7-$T$3)/1000,1)+(_xlfn.RANK.AVG($T7,($J7,$O7,$T7),1)-2)*20)</f>
        <v>-37.299999999999997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40</v>
      </c>
      <c r="AZ7" s="40" t="s">
        <v>86</v>
      </c>
      <c r="BA7" s="41" t="s">
        <v>86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198</v>
      </c>
      <c r="G8" s="9">
        <v>-8000</v>
      </c>
      <c r="H8" s="9">
        <v>-1000</v>
      </c>
      <c r="I8" s="48">
        <v>0</v>
      </c>
      <c r="J8" s="21">
        <f t="shared" si="2"/>
        <v>15000</v>
      </c>
      <c r="K8" s="8"/>
      <c r="L8" s="9"/>
      <c r="M8" s="9">
        <v>-1000</v>
      </c>
      <c r="N8" s="48"/>
      <c r="O8" s="21">
        <f t="shared" si="3"/>
        <v>62300</v>
      </c>
      <c r="P8" s="8" t="s">
        <v>197</v>
      </c>
      <c r="Q8" s="9">
        <v>8000</v>
      </c>
      <c r="R8" s="9">
        <v>2000</v>
      </c>
      <c r="S8" s="48">
        <v>0</v>
      </c>
      <c r="T8" s="21">
        <f t="shared" si="4"/>
        <v>27700</v>
      </c>
      <c r="U8" s="53">
        <f>IF($J8="","",ROUND(($J8-$J$3)/1000,1)+(_xlfn.RANK.AVG($J8,($J8,$O8,$T8),1)-2)*20)</f>
        <v>-40</v>
      </c>
      <c r="V8" s="54">
        <f>IF($O8="","",ROUND(($O8-$O$3)/1000,1)+(_xlfn.RANK.AVG($O8,($J8,$O8,$T8),1)-2)*20)</f>
        <v>47.3</v>
      </c>
      <c r="W8" s="55">
        <f>IF($T8="","",ROUND(($T8-$T$3)/1000,1)+(_xlfn.RANK.AVG($T8,($J8,$O8,$T8),1)-2)*20)</f>
        <v>-7.3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85</v>
      </c>
      <c r="BV8" s="41" t="s">
        <v>79</v>
      </c>
      <c r="BW8" s="41" t="s">
        <v>79</v>
      </c>
      <c r="BX8" s="41" t="s">
        <v>203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202</v>
      </c>
      <c r="G9" s="9">
        <v>7700</v>
      </c>
      <c r="H9" s="9">
        <v>1000</v>
      </c>
      <c r="I9" s="48">
        <v>0</v>
      </c>
      <c r="J9" s="21">
        <f t="shared" si="2"/>
        <v>23700</v>
      </c>
      <c r="K9" s="8" t="s">
        <v>201</v>
      </c>
      <c r="L9" s="9">
        <v>-4800</v>
      </c>
      <c r="M9" s="9">
        <v>-1000</v>
      </c>
      <c r="N9" s="48">
        <v>0</v>
      </c>
      <c r="O9" s="21">
        <f t="shared" si="3"/>
        <v>56500</v>
      </c>
      <c r="P9" s="8" t="s">
        <v>201</v>
      </c>
      <c r="Q9" s="9">
        <v>-2900</v>
      </c>
      <c r="R9" s="9"/>
      <c r="S9" s="48">
        <v>0</v>
      </c>
      <c r="T9" s="21">
        <f t="shared" si="4"/>
        <v>24800</v>
      </c>
      <c r="U9" s="53">
        <f>IF($J9="","",ROUND(($J9-$J$3)/1000,1)+(_xlfn.RANK.AVG($J9,($J9,$O9,$T9),1)-2)*20)</f>
        <v>-31.3</v>
      </c>
      <c r="V9" s="54">
        <f>IF($O9="","",ROUND(($O9-$O$3)/1000,1)+(_xlfn.RANK.AVG($O9,($J9,$O9,$T9),1)-2)*20)</f>
        <v>41.5</v>
      </c>
      <c r="W9" s="55">
        <f>IF($T9="","",ROUND(($T9-$T$3)/1000,1)+(_xlfn.RANK.AVG($T9,($J9,$O9,$T9),1)-2)*20)</f>
        <v>-10.199999999999999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199</v>
      </c>
      <c r="AF9" s="41" t="s">
        <v>82</v>
      </c>
      <c r="AG9" s="41" t="s">
        <v>84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207</v>
      </c>
      <c r="G10" s="9">
        <v>0</v>
      </c>
      <c r="H10" s="9"/>
      <c r="I10" s="48"/>
      <c r="J10" s="21">
        <f t="shared" si="2"/>
        <v>23700</v>
      </c>
      <c r="K10" s="8" t="s">
        <v>207</v>
      </c>
      <c r="L10" s="9">
        <v>0</v>
      </c>
      <c r="M10" s="9">
        <v>-1000</v>
      </c>
      <c r="N10" s="48"/>
      <c r="O10" s="21">
        <f t="shared" si="3"/>
        <v>55500</v>
      </c>
      <c r="P10" s="8" t="s">
        <v>207</v>
      </c>
      <c r="Q10" s="9">
        <v>0</v>
      </c>
      <c r="R10" s="9">
        <v>-1000</v>
      </c>
      <c r="S10" s="48"/>
      <c r="T10" s="21">
        <f t="shared" si="4"/>
        <v>23800</v>
      </c>
      <c r="U10" s="53">
        <f>IF($J10="","",ROUND(($J10-$J$3)/1000,1)+(_xlfn.RANK.AVG($J10,($J10,$O10,$T10),1)-2)*20)</f>
        <v>-31.3</v>
      </c>
      <c r="V10" s="54">
        <f>IF($O10="","",ROUND(($O10-$O$3)/1000,1)+(_xlfn.RANK.AVG($O10,($J10,$O10,$T10),1)-2)*20)</f>
        <v>40.5</v>
      </c>
      <c r="W10" s="55">
        <f>IF($T10="","",ROUND(($T10-$T$3)/1000,1)+(_xlfn.RANK.AVG($T10,($J10,$O10,$T10),1)-2)*20)</f>
        <v>-11.2</v>
      </c>
      <c r="Y10" s="8" t="s">
        <v>206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2</v>
      </c>
      <c r="E11" s="4" t="str">
        <f>IF($P$1="","",$P$1)</f>
        <v>れんたろう</v>
      </c>
      <c r="F11" s="8" t="s">
        <v>201</v>
      </c>
      <c r="G11" s="9">
        <v>-12000</v>
      </c>
      <c r="H11" s="9"/>
      <c r="I11" s="48">
        <v>-500</v>
      </c>
      <c r="J11" s="21">
        <f t="shared" si="2"/>
        <v>11200</v>
      </c>
      <c r="K11" s="8" t="s">
        <v>201</v>
      </c>
      <c r="L11" s="9">
        <v>-12000</v>
      </c>
      <c r="M11" s="9"/>
      <c r="N11" s="48">
        <v>-500</v>
      </c>
      <c r="O11" s="21">
        <f t="shared" si="3"/>
        <v>43000</v>
      </c>
      <c r="P11" s="8" t="s">
        <v>202</v>
      </c>
      <c r="Q11" s="9">
        <v>24000</v>
      </c>
      <c r="R11" s="9">
        <v>2000</v>
      </c>
      <c r="S11" s="48">
        <v>1000</v>
      </c>
      <c r="T11" s="21">
        <f t="shared" si="4"/>
        <v>50800</v>
      </c>
      <c r="U11" s="53">
        <f>IF($J11="","",ROUND(($J11-$J$3)/1000,1)+(_xlfn.RANK.AVG($J11,($J11,$O11,$T11),1)-2)*20)</f>
        <v>-43.8</v>
      </c>
      <c r="V11" s="54">
        <f>IF($O11="","",ROUND(($O11-$O$3)/1000,1)+(_xlfn.RANK.AVG($O11,($J11,$O11,$T11),1)-2)*20)</f>
        <v>8</v>
      </c>
      <c r="W11" s="55">
        <f>IF($T11="","",ROUND(($T11-$T$3)/1000,1)+(_xlfn.RANK.AVG($T11,($J11,$O11,$T11),1)-2)*20)</f>
        <v>35.799999999999997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8</v>
      </c>
      <c r="BT11" s="30" t="s">
        <v>204</v>
      </c>
      <c r="BU11" s="40" t="s">
        <v>199</v>
      </c>
      <c r="BV11" s="41" t="s">
        <v>82</v>
      </c>
      <c r="BW11" s="41" t="s">
        <v>86</v>
      </c>
      <c r="BX11" s="41" t="s">
        <v>79</v>
      </c>
      <c r="BY11" s="41" t="s">
        <v>203</v>
      </c>
      <c r="BZ11" s="41" t="s">
        <v>80</v>
      </c>
      <c r="CA11" s="41" t="s">
        <v>80</v>
      </c>
      <c r="CB11" s="41" t="s">
        <v>80</v>
      </c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IF($P$1="","",$P$1)</f>
        <v>れんたろう</v>
      </c>
      <c r="F12" s="8" t="s">
        <v>202</v>
      </c>
      <c r="G12" s="9">
        <v>8000</v>
      </c>
      <c r="H12" s="9"/>
      <c r="I12" s="48">
        <v>2000</v>
      </c>
      <c r="J12" s="21">
        <f t="shared" si="2"/>
        <v>21200</v>
      </c>
      <c r="K12" s="8" t="s">
        <v>201</v>
      </c>
      <c r="L12" s="9">
        <v>-3000</v>
      </c>
      <c r="M12" s="9"/>
      <c r="N12" s="48">
        <v>-1000</v>
      </c>
      <c r="O12" s="21">
        <f t="shared" si="3"/>
        <v>39000</v>
      </c>
      <c r="P12" s="8" t="s">
        <v>201</v>
      </c>
      <c r="Q12" s="9">
        <v>-5000</v>
      </c>
      <c r="R12" s="9"/>
      <c r="S12" s="48">
        <v>-1000</v>
      </c>
      <c r="T12" s="21">
        <f t="shared" si="4"/>
        <v>44800</v>
      </c>
      <c r="U12" s="53">
        <f>IF($J12="","",ROUND(($J12-$J$3)/1000,1)+(_xlfn.RANK.AVG($J12,($J12,$O12,$T12),1)-2)*20)</f>
        <v>-33.799999999999997</v>
      </c>
      <c r="V12" s="54">
        <f>IF($O12="","",ROUND(($O12-$O$3)/1000,1)+(_xlfn.RANK.AVG($O12,($J12,$O12,$T12),1)-2)*20)</f>
        <v>4</v>
      </c>
      <c r="W12" s="55">
        <f>IF($T12="","",ROUND(($T12-$T$3)/1000,1)+(_xlfn.RANK.AVG($T12,($J12,$O12,$T12),1)-2)*20)</f>
        <v>29.8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98</v>
      </c>
      <c r="AF12" s="41" t="s">
        <v>86</v>
      </c>
      <c r="AG12" s="41" t="s">
        <v>86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IF($F$1="","",$F$1)</f>
        <v>ただ</v>
      </c>
      <c r="F13" s="8"/>
      <c r="G13" s="9"/>
      <c r="H13" s="9"/>
      <c r="I13" s="48"/>
      <c r="J13" s="21">
        <f t="shared" si="2"/>
        <v>21200</v>
      </c>
      <c r="K13" s="8" t="s">
        <v>197</v>
      </c>
      <c r="L13" s="9">
        <v>3200</v>
      </c>
      <c r="M13" s="9"/>
      <c r="N13" s="48">
        <v>0</v>
      </c>
      <c r="O13" s="21">
        <f t="shared" si="3"/>
        <v>42200</v>
      </c>
      <c r="P13" s="8" t="s">
        <v>198</v>
      </c>
      <c r="Q13" s="9">
        <v>-3200</v>
      </c>
      <c r="R13" s="9"/>
      <c r="S13" s="48">
        <v>0</v>
      </c>
      <c r="T13" s="21">
        <f t="shared" si="4"/>
        <v>41600</v>
      </c>
      <c r="U13" s="53">
        <f>IF($J13="","",ROUND(($J13-$J$3)/1000,1)+(_xlfn.RANK.AVG($J13,($J13,$O13,$T13),1)-2)*20)</f>
        <v>-33.799999999999997</v>
      </c>
      <c r="V13" s="54">
        <f>IF($O13="","",ROUND(($O13-$O$3)/1000,1)+(_xlfn.RANK.AVG($O13,($J13,$O13,$T13),1)-2)*20)</f>
        <v>27.2</v>
      </c>
      <c r="W13" s="55">
        <f>IF($T13="","",ROUND(($T13-$T$3)/1000,1)+(_xlfn.RANK.AVG($T13,($J13,$O13,$T13),1)-2)*20)</f>
        <v>6.6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50</v>
      </c>
      <c r="AZ13" s="40" t="s">
        <v>199</v>
      </c>
      <c r="BA13" s="41" t="s">
        <v>86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B64AAD10-8A7C-4D6A-9DE0-6E51393DDC0E}">
      <formula1>$U$2:$W$2</formula1>
    </dataValidation>
    <dataValidation type="list" showInputMessage="1" showErrorMessage="1" sqref="K4:K30 P4:P30 F4:F30" xr:uid="{50259B01-A08F-4195-B592-226F8892BA7D}">
      <formula1>"ロン,ツモ,放銃,ツモ支払,流局,チョンボ"</formula1>
    </dataValidation>
    <dataValidation type="list" allowBlank="1" showInputMessage="1" sqref="F1:T1" xr:uid="{359A295E-704D-487A-ADD2-2470C4B5A8D4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157C-9489-4A89-B4EC-1A155BD9933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-5200</v>
      </c>
      <c r="H4" s="9">
        <v>-1000</v>
      </c>
      <c r="I4" s="48">
        <v>0</v>
      </c>
      <c r="J4" s="21">
        <f>IF(COUNTA($F4,$K4,$P4)&gt;0,J3+SUM(G4:I4),"")</f>
        <v>28800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5200</v>
      </c>
      <c r="R4" s="9">
        <v>1000</v>
      </c>
      <c r="S4" s="48">
        <v>0</v>
      </c>
      <c r="T4" s="21">
        <f>IF(COUNTA($F4,$K4,$P4)&gt;0,T3+SUM(Q4:S4),"")</f>
        <v>41200</v>
      </c>
      <c r="U4" s="53">
        <f>IF($J4="","",ROUND(($J4-$J$3)/1000,1)+(_xlfn.RANK.AVG($J4,($J4,$O4,$T4),1)-2)*20)</f>
        <v>-26.2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26.2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199</v>
      </c>
      <c r="BV4" s="41" t="s">
        <v>86</v>
      </c>
      <c r="BW4" s="41" t="s">
        <v>84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8000</v>
      </c>
      <c r="H5" s="9"/>
      <c r="I5" s="48">
        <v>0</v>
      </c>
      <c r="J5" s="21">
        <f t="shared" ref="J5:J30" si="2">IF(COUNTA($F5,$K5,$P5)&gt;0,J4+SUM(G5:I5),"")</f>
        <v>36800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27000</v>
      </c>
      <c r="P5" s="8"/>
      <c r="Q5" s="9"/>
      <c r="R5" s="9"/>
      <c r="S5" s="48"/>
      <c r="T5" s="21">
        <f t="shared" ref="T5:T30" si="4">IF(COUNTA($F5,$K5,$P5)&gt;0,T4+SUM(Q5:S5),"")</f>
        <v>41200</v>
      </c>
      <c r="U5" s="53">
        <f>IF($J5="","",ROUND(($J5-$J$3)/1000,1)+(_xlfn.RANK.AVG($J5,($J5,$O5,$T5),1)-2)*20)</f>
        <v>1.8</v>
      </c>
      <c r="V5" s="54">
        <f>IF($O5="","",ROUND(($O5-$O$3)/1000,1)+(_xlfn.RANK.AVG($O5,($J5,$O5,$T5),1)-2)*20)</f>
        <v>-28</v>
      </c>
      <c r="W5" s="55">
        <f>IF($T5="","",ROUND(($T5-$T$3)/1000,1)+(_xlfn.RANK.AVG($T5,($J5,$O5,$T5),1)-2)*20)</f>
        <v>26.2</v>
      </c>
      <c r="Y5" s="8"/>
      <c r="Z5" s="34"/>
      <c r="AA5" s="26"/>
      <c r="AB5" s="26">
        <v>1</v>
      </c>
      <c r="AC5" s="26">
        <v>5</v>
      </c>
      <c r="AD5" s="30" t="s">
        <v>204</v>
      </c>
      <c r="AE5" s="40" t="s">
        <v>86</v>
      </c>
      <c r="AF5" s="41" t="s">
        <v>79</v>
      </c>
      <c r="AG5" s="41" t="s">
        <v>79</v>
      </c>
      <c r="AH5" s="41" t="s">
        <v>79</v>
      </c>
      <c r="AI5" s="41" t="s">
        <v>203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201</v>
      </c>
      <c r="G6" s="9">
        <v>-1500</v>
      </c>
      <c r="H6" s="9"/>
      <c r="I6" s="48">
        <v>0</v>
      </c>
      <c r="J6" s="21">
        <f t="shared" si="2"/>
        <v>35300</v>
      </c>
      <c r="K6" s="8" t="s">
        <v>202</v>
      </c>
      <c r="L6" s="9">
        <v>4000</v>
      </c>
      <c r="M6" s="9">
        <v>1000</v>
      </c>
      <c r="N6" s="48">
        <v>0</v>
      </c>
      <c r="O6" s="21">
        <f t="shared" si="3"/>
        <v>32000</v>
      </c>
      <c r="P6" s="8" t="s">
        <v>201</v>
      </c>
      <c r="Q6" s="9">
        <v>-2500</v>
      </c>
      <c r="R6" s="9">
        <v>-1000</v>
      </c>
      <c r="S6" s="48">
        <v>0</v>
      </c>
      <c r="T6" s="21">
        <f t="shared" si="4"/>
        <v>37700</v>
      </c>
      <c r="U6" s="53">
        <f>IF($J6="","",ROUND(($J6-$J$3)/1000,1)+(_xlfn.RANK.AVG($J6,($J6,$O6,$T6),1)-2)*20)</f>
        <v>0.3</v>
      </c>
      <c r="V6" s="54">
        <f>IF($O6="","",ROUND(($O6-$O$3)/1000,1)+(_xlfn.RANK.AVG($O6,($J6,$O6,$T6),1)-2)*20)</f>
        <v>-23</v>
      </c>
      <c r="W6" s="55">
        <f>IF($T6="","",ROUND(($T6-$T$3)/1000,1)+(_xlfn.RANK.AVG($T6,($J6,$O6,$T6),1)-2)*20)</f>
        <v>22.7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199</v>
      </c>
      <c r="BA6" s="41" t="s">
        <v>82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197</v>
      </c>
      <c r="G7" s="9">
        <v>12000</v>
      </c>
      <c r="H7" s="9">
        <v>3000</v>
      </c>
      <c r="I7" s="48">
        <v>0</v>
      </c>
      <c r="J7" s="21">
        <f t="shared" si="2"/>
        <v>50300</v>
      </c>
      <c r="K7" s="8"/>
      <c r="L7" s="9"/>
      <c r="M7" s="9">
        <v>-1000</v>
      </c>
      <c r="N7" s="48"/>
      <c r="O7" s="21">
        <f t="shared" si="3"/>
        <v>31000</v>
      </c>
      <c r="P7" s="8" t="s">
        <v>198</v>
      </c>
      <c r="Q7" s="9">
        <v>-12000</v>
      </c>
      <c r="R7" s="9">
        <v>-2000</v>
      </c>
      <c r="S7" s="48">
        <v>0</v>
      </c>
      <c r="T7" s="21">
        <f t="shared" si="4"/>
        <v>23700</v>
      </c>
      <c r="U7" s="53">
        <f>IF($J7="","",ROUND(($J7-$J$3)/1000,1)+(_xlfn.RANK.AVG($J7,($J7,$O7,$T7),1)-2)*20)</f>
        <v>35.299999999999997</v>
      </c>
      <c r="V7" s="54">
        <f>IF($O7="","",ROUND(($O7-$O$3)/1000,1)+(_xlfn.RANK.AVG($O7,($J7,$O7,$T7),1)-2)*20)</f>
        <v>-4</v>
      </c>
      <c r="W7" s="55">
        <f>IF($T7="","",ROUND(($T7-$T$3)/1000,1)+(_xlfn.RANK.AVG($T7,($J7,$O7,$T7),1)-2)*20)</f>
        <v>-31.3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199</v>
      </c>
      <c r="AF7" s="41" t="s">
        <v>86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5800</v>
      </c>
      <c r="H8" s="9">
        <v>1000</v>
      </c>
      <c r="I8" s="48">
        <v>1000</v>
      </c>
      <c r="J8" s="21">
        <f t="shared" si="2"/>
        <v>58100</v>
      </c>
      <c r="K8" s="8" t="s">
        <v>198</v>
      </c>
      <c r="L8" s="9">
        <v>-5800</v>
      </c>
      <c r="M8" s="9">
        <v>-1000</v>
      </c>
      <c r="N8" s="48">
        <v>-1000</v>
      </c>
      <c r="O8" s="21">
        <f t="shared" si="3"/>
        <v>23200</v>
      </c>
      <c r="P8" s="8"/>
      <c r="Q8" s="9"/>
      <c r="R8" s="9"/>
      <c r="S8" s="48"/>
      <c r="T8" s="21">
        <f t="shared" si="4"/>
        <v>23700</v>
      </c>
      <c r="U8" s="53">
        <f>IF($J8="","",ROUND(($J8-$J$3)/1000,1)+(_xlfn.RANK.AVG($J8,($J8,$O8,$T8),1)-2)*20)</f>
        <v>43.1</v>
      </c>
      <c r="V8" s="54">
        <f>IF($O8="","",ROUND(($O8-$O$3)/1000,1)+(_xlfn.RANK.AVG($O8,($J8,$O8,$T8),1)-2)*20)</f>
        <v>-31.8</v>
      </c>
      <c r="W8" s="55">
        <f>IF($T8="","",ROUND(($T8-$T$3)/1000,1)+(_xlfn.RANK.AVG($T8,($J8,$O8,$T8),1)-2)*20)</f>
        <v>-11.3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203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197</v>
      </c>
      <c r="G9" s="9">
        <v>5800</v>
      </c>
      <c r="H9" s="9"/>
      <c r="I9" s="48">
        <v>2000</v>
      </c>
      <c r="J9" s="21">
        <f t="shared" si="2"/>
        <v>65900</v>
      </c>
      <c r="K9" s="8" t="s">
        <v>198</v>
      </c>
      <c r="L9" s="9">
        <v>-5800</v>
      </c>
      <c r="M9" s="9"/>
      <c r="N9" s="48">
        <v>-2000</v>
      </c>
      <c r="O9" s="21">
        <f t="shared" si="3"/>
        <v>15400</v>
      </c>
      <c r="P9" s="8"/>
      <c r="Q9" s="9"/>
      <c r="R9" s="9"/>
      <c r="S9" s="48"/>
      <c r="T9" s="21">
        <f t="shared" si="4"/>
        <v>23700</v>
      </c>
      <c r="U9" s="53">
        <f>IF($J9="","",ROUND(($J9-$J$3)/1000,1)+(_xlfn.RANK.AVG($J9,($J9,$O9,$T9),1)-2)*20)</f>
        <v>50.9</v>
      </c>
      <c r="V9" s="54">
        <f>IF($O9="","",ROUND(($O9-$O$3)/1000,1)+(_xlfn.RANK.AVG($O9,($J9,$O9,$T9),1)-2)*20)</f>
        <v>-39.6</v>
      </c>
      <c r="W9" s="55">
        <f>IF($T9="","",ROUND(($T9-$T$3)/1000,1)+(_xlfn.RANK.AVG($T9,($J9,$O9,$T9),1)-2)*20)</f>
        <v>-11.3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tr">
        <f>IF($F$1="","",$F$1)</f>
        <v>ただ</v>
      </c>
      <c r="F10" s="8" t="s">
        <v>207</v>
      </c>
      <c r="G10" s="9">
        <v>1500</v>
      </c>
      <c r="H10" s="9"/>
      <c r="I10" s="48"/>
      <c r="J10" s="21">
        <f t="shared" si="2"/>
        <v>67400</v>
      </c>
      <c r="K10" s="8" t="s">
        <v>207</v>
      </c>
      <c r="L10" s="9">
        <v>-3000</v>
      </c>
      <c r="M10" s="9"/>
      <c r="N10" s="48"/>
      <c r="O10" s="21">
        <f t="shared" si="3"/>
        <v>12400</v>
      </c>
      <c r="P10" s="8" t="s">
        <v>207</v>
      </c>
      <c r="Q10" s="9">
        <v>1500</v>
      </c>
      <c r="R10" s="9"/>
      <c r="S10" s="48"/>
      <c r="T10" s="21">
        <f t="shared" si="4"/>
        <v>25200</v>
      </c>
      <c r="U10" s="53">
        <f>IF($J10="","",ROUND(($J10-$J$3)/1000,1)+(_xlfn.RANK.AVG($J10,($J10,$O10,$T10),1)-2)*20)</f>
        <v>52.4</v>
      </c>
      <c r="V10" s="54">
        <f>IF($O10="","",ROUND(($O10-$O$3)/1000,1)+(_xlfn.RANK.AVG($O10,($J10,$O10,$T10),1)-2)*20)</f>
        <v>-42.6</v>
      </c>
      <c r="W10" s="55">
        <f>IF($T10="","",ROUND(($T10-$T$3)/1000,1)+(_xlfn.RANK.AVG($T10,($J10,$O10,$T10),1)-2)*20)</f>
        <v>-9.8000000000000007</v>
      </c>
      <c r="Y10" s="8" t="s">
        <v>206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tr">
        <f>IF($F$1="","",$F$1)</f>
        <v>ただ</v>
      </c>
      <c r="F11" s="8" t="s">
        <v>202</v>
      </c>
      <c r="G11" s="9">
        <v>12000</v>
      </c>
      <c r="H11" s="9"/>
      <c r="I11" s="48">
        <v>4000</v>
      </c>
      <c r="J11" s="21">
        <f t="shared" si="2"/>
        <v>83400</v>
      </c>
      <c r="K11" s="8" t="s">
        <v>201</v>
      </c>
      <c r="L11" s="9">
        <v>-6000</v>
      </c>
      <c r="M11" s="9"/>
      <c r="N11" s="48">
        <v>-2000</v>
      </c>
      <c r="O11" s="21">
        <f t="shared" si="3"/>
        <v>4400</v>
      </c>
      <c r="P11" s="8" t="s">
        <v>201</v>
      </c>
      <c r="Q11" s="9">
        <v>-6000</v>
      </c>
      <c r="R11" s="9"/>
      <c r="S11" s="48">
        <v>-2000</v>
      </c>
      <c r="T11" s="21">
        <f t="shared" si="4"/>
        <v>17200</v>
      </c>
      <c r="U11" s="53">
        <f>IF($J11="","",ROUND(($J11-$J$3)/1000,1)+(_xlfn.RANK.AVG($J11,($J11,$O11,$T11),1)-2)*20)</f>
        <v>68.400000000000006</v>
      </c>
      <c r="V11" s="54">
        <f>IF($O11="","",ROUND(($O11-$O$3)/1000,1)+(_xlfn.RANK.AVG($O11,($J11,$O11,$T11),1)-2)*20)</f>
        <v>-50.6</v>
      </c>
      <c r="W11" s="55">
        <f>IF($T11="","",ROUND(($T11-$T$3)/1000,1)+(_xlfn.RANK.AVG($T11,($J11,$O11,$T11),1)-2)*20)</f>
        <v>-17.8</v>
      </c>
      <c r="Y11" s="8"/>
      <c r="Z11" s="34"/>
      <c r="AA11" s="26">
        <v>1</v>
      </c>
      <c r="AB11" s="26"/>
      <c r="AC11" s="26">
        <v>5</v>
      </c>
      <c r="AD11" s="30" t="s">
        <v>204</v>
      </c>
      <c r="AE11" s="40" t="s">
        <v>199</v>
      </c>
      <c r="AF11" s="41" t="s">
        <v>82</v>
      </c>
      <c r="AG11" s="41" t="s">
        <v>102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5</v>
      </c>
      <c r="D12" s="18">
        <f t="shared" si="1"/>
        <v>0</v>
      </c>
      <c r="E12" s="4" t="str">
        <f>IF($F$1="","",$F$1)</f>
        <v>ただ</v>
      </c>
      <c r="F12" s="8"/>
      <c r="G12" s="9"/>
      <c r="H12" s="9"/>
      <c r="I12" s="48"/>
      <c r="J12" s="21">
        <f t="shared" si="2"/>
        <v>83400</v>
      </c>
      <c r="K12" s="8" t="s">
        <v>197</v>
      </c>
      <c r="L12" s="9">
        <v>12000</v>
      </c>
      <c r="M12" s="9">
        <v>1000</v>
      </c>
      <c r="N12" s="48">
        <v>5000</v>
      </c>
      <c r="O12" s="21">
        <f t="shared" si="3"/>
        <v>22400</v>
      </c>
      <c r="P12" s="8" t="s">
        <v>198</v>
      </c>
      <c r="Q12" s="9">
        <v>-12000</v>
      </c>
      <c r="R12" s="9">
        <v>-1000</v>
      </c>
      <c r="S12" s="48">
        <v>-5000</v>
      </c>
      <c r="T12" s="21">
        <f t="shared" si="4"/>
        <v>-800</v>
      </c>
      <c r="U12" s="53">
        <f>IF($J12="","",ROUND(($J12-$J$3)/1000,1)+(_xlfn.RANK.AVG($J12,($J12,$O12,$T12),1)-2)*20)</f>
        <v>68.400000000000006</v>
      </c>
      <c r="V12" s="54">
        <f>IF($O12="","",ROUND(($O12-$O$3)/1000,1)+(_xlfn.RANK.AVG($O12,($J12,$O12,$T12),1)-2)*20)</f>
        <v>-12.6</v>
      </c>
      <c r="W12" s="55">
        <f>IF($T12="","",ROUND(($T12-$T$3)/1000,1)+(_xlfn.RANK.AVG($T12,($J12,$O12,$T12),1)-2)*20)</f>
        <v>-55.8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204</v>
      </c>
      <c r="AZ12" s="40" t="s">
        <v>199</v>
      </c>
      <c r="BA12" s="41" t="s">
        <v>96</v>
      </c>
      <c r="BB12" s="41" t="s">
        <v>86</v>
      </c>
      <c r="BC12" s="41" t="s">
        <v>203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930A0AFF-E2B4-4531-B02B-2A9784CB9DDA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61B113AD-261C-48BF-9648-51DC31E6538D}">
      <formula1>"ロン,ツモ,放銃,ツモ支払,流局,チョンボ"</formula1>
    </dataValidation>
    <dataValidation type="list" allowBlank="1" showInputMessage="1" showErrorMessage="1" sqref="E4:E30" xr:uid="{E77D70CF-E8CC-45E8-96E8-5301349A8AA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FC5D-227E-49DB-995B-5C10B09B1F65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-3000</v>
      </c>
      <c r="R4" s="9">
        <v>-1000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IF($J4="","",ROUND(($J4-$J$3)/1000,1)+(_xlfn.RANK.AVG($J4,($J4,$O4,$T4),1)-2)*20)</f>
        <v>27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-24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201</v>
      </c>
      <c r="G5" s="9">
        <v>-7500</v>
      </c>
      <c r="H5" s="9"/>
      <c r="I5" s="48">
        <v>-500</v>
      </c>
      <c r="J5" s="21">
        <f t="shared" ref="J5:J30" si="2">IF(COUNTA($F5,$K5,$P5)&gt;0,J4+SUM(G5:I5),"")</f>
        <v>34000</v>
      </c>
      <c r="K5" s="8" t="s">
        <v>202</v>
      </c>
      <c r="L5" s="9">
        <v>12000</v>
      </c>
      <c r="M5" s="9"/>
      <c r="N5" s="48">
        <v>1000</v>
      </c>
      <c r="O5" s="21">
        <f t="shared" ref="O5:O30" si="3">IF(COUNTA($F5,$K5,$P5)&gt;0,O4+SUM(L5:N5),"")</f>
        <v>45000</v>
      </c>
      <c r="P5" s="8" t="s">
        <v>201</v>
      </c>
      <c r="Q5" s="9">
        <v>-4500</v>
      </c>
      <c r="R5" s="9"/>
      <c r="S5" s="48">
        <v>-500</v>
      </c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30</v>
      </c>
      <c r="W5" s="55">
        <f>IF($T5="","",ROUND(($T5-$T$3)/1000,1)+(_xlfn.RANK.AVG($T5,($J5,$O5,$T5),1)-2)*20)</f>
        <v>-29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204</v>
      </c>
      <c r="AZ5" s="40" t="s">
        <v>199</v>
      </c>
      <c r="BA5" s="41" t="s">
        <v>82</v>
      </c>
      <c r="BB5" s="41" t="s">
        <v>83</v>
      </c>
      <c r="BC5" s="41" t="s">
        <v>203</v>
      </c>
      <c r="BD5" s="41" t="s">
        <v>80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201</v>
      </c>
      <c r="G6" s="9">
        <v>-9000</v>
      </c>
      <c r="H6" s="9"/>
      <c r="I6" s="48">
        <v>0</v>
      </c>
      <c r="J6" s="21">
        <f t="shared" si="2"/>
        <v>25000</v>
      </c>
      <c r="K6" s="8" t="s">
        <v>202</v>
      </c>
      <c r="L6" s="9">
        <v>18000</v>
      </c>
      <c r="M6" s="9">
        <v>1000</v>
      </c>
      <c r="N6" s="48">
        <v>0</v>
      </c>
      <c r="O6" s="21">
        <f t="shared" si="3"/>
        <v>64000</v>
      </c>
      <c r="P6" s="8" t="s">
        <v>201</v>
      </c>
      <c r="Q6" s="9">
        <v>-9000</v>
      </c>
      <c r="R6" s="9">
        <v>-1000</v>
      </c>
      <c r="S6" s="48">
        <v>0</v>
      </c>
      <c r="T6" s="21">
        <f t="shared" si="4"/>
        <v>16000</v>
      </c>
      <c r="U6" s="53">
        <f>IF($J6="","",ROUND(($J6-$J$3)/1000,1)+(_xlfn.RANK.AVG($J6,($J6,$O6,$T6),1)-2)*20)</f>
        <v>-10</v>
      </c>
      <c r="V6" s="54">
        <f>IF($O6="","",ROUND(($O6-$O$3)/1000,1)+(_xlfn.RANK.AVG($O6,($J6,$O6,$T6),1)-2)*20)</f>
        <v>49</v>
      </c>
      <c r="W6" s="55">
        <f>IF($T6="","",ROUND(($T6-$T$3)/1000,1)+(_xlfn.RANK.AVG($T6,($J6,$O6,$T6),1)-2)*20)</f>
        <v>-39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204</v>
      </c>
      <c r="AZ6" s="40" t="s">
        <v>199</v>
      </c>
      <c r="BA6" s="41" t="s">
        <v>82</v>
      </c>
      <c r="BB6" s="41" t="s">
        <v>200</v>
      </c>
      <c r="BC6" s="41" t="s">
        <v>80</v>
      </c>
      <c r="BD6" s="41" t="s">
        <v>80</v>
      </c>
      <c r="BE6" s="41" t="s">
        <v>80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201</v>
      </c>
      <c r="G7" s="9">
        <v>-4500</v>
      </c>
      <c r="H7" s="9"/>
      <c r="I7" s="48">
        <v>-500</v>
      </c>
      <c r="J7" s="21">
        <f t="shared" si="2"/>
        <v>20000</v>
      </c>
      <c r="K7" s="8" t="s">
        <v>201</v>
      </c>
      <c r="L7" s="9">
        <v>-7500</v>
      </c>
      <c r="M7" s="9"/>
      <c r="N7" s="48">
        <v>-500</v>
      </c>
      <c r="O7" s="21">
        <f t="shared" si="3"/>
        <v>56000</v>
      </c>
      <c r="P7" s="8" t="s">
        <v>202</v>
      </c>
      <c r="Q7" s="9">
        <v>12000</v>
      </c>
      <c r="R7" s="9"/>
      <c r="S7" s="48">
        <v>1000</v>
      </c>
      <c r="T7" s="21">
        <f t="shared" si="4"/>
        <v>29000</v>
      </c>
      <c r="U7" s="53">
        <f>IF($J7="","",ROUND(($J7-$J$3)/1000,1)+(_xlfn.RANK.AVG($J7,($J7,$O7,$T7),1)-2)*20)</f>
        <v>-35</v>
      </c>
      <c r="V7" s="54">
        <f>IF($O7="","",ROUND(($O7-$O$3)/1000,1)+(_xlfn.RANK.AVG($O7,($J7,$O7,$T7),1)-2)*20)</f>
        <v>41</v>
      </c>
      <c r="W7" s="55">
        <f>IF($T7="","",ROUND(($T7-$T$3)/1000,1)+(_xlfn.RANK.AVG($T7,($J7,$O7,$T7),1)-2)*20)</f>
        <v>-6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204</v>
      </c>
      <c r="BU7" s="40" t="s">
        <v>199</v>
      </c>
      <c r="BV7" s="41" t="s">
        <v>82</v>
      </c>
      <c r="BW7" s="41" t="s">
        <v>83</v>
      </c>
      <c r="BX7" s="41" t="s">
        <v>203</v>
      </c>
      <c r="BY7" s="41" t="s">
        <v>203</v>
      </c>
      <c r="BZ7" s="41" t="s">
        <v>80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20000</v>
      </c>
      <c r="K8" s="8" t="s">
        <v>197</v>
      </c>
      <c r="L8" s="9">
        <v>8000</v>
      </c>
      <c r="M8" s="9"/>
      <c r="N8" s="48">
        <v>0</v>
      </c>
      <c r="O8" s="21">
        <f t="shared" si="3"/>
        <v>64000</v>
      </c>
      <c r="P8" s="8" t="s">
        <v>198</v>
      </c>
      <c r="Q8" s="9">
        <v>-8000</v>
      </c>
      <c r="R8" s="9"/>
      <c r="S8" s="48">
        <v>0</v>
      </c>
      <c r="T8" s="21">
        <f t="shared" si="4"/>
        <v>21000</v>
      </c>
      <c r="U8" s="53">
        <f>IF($J8="","",ROUND(($J8-$J$3)/1000,1)+(_xlfn.RANK.AVG($J8,($J8,$O8,$T8),1)-2)*20)</f>
        <v>-35</v>
      </c>
      <c r="V8" s="54">
        <f>IF($O8="","",ROUND(($O8-$O$3)/1000,1)+(_xlfn.RANK.AVG($O8,($J8,$O8,$T8),1)-2)*20)</f>
        <v>49</v>
      </c>
      <c r="W8" s="55">
        <f>IF($T8="","",ROUND(($T8-$T$3)/1000,1)+(_xlfn.RANK.AVG($T8,($J8,$O8,$T8),1)-2)*20)</f>
        <v>-14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199</v>
      </c>
      <c r="BA8" s="41" t="s">
        <v>203</v>
      </c>
      <c r="BB8" s="41" t="s">
        <v>203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201</v>
      </c>
      <c r="G9" s="9">
        <v>-5000</v>
      </c>
      <c r="H9" s="9"/>
      <c r="I9" s="48">
        <v>0</v>
      </c>
      <c r="J9" s="21">
        <f t="shared" si="2"/>
        <v>15000</v>
      </c>
      <c r="K9" s="8" t="s">
        <v>202</v>
      </c>
      <c r="L9" s="9">
        <v>8000</v>
      </c>
      <c r="M9" s="9"/>
      <c r="N9" s="48">
        <v>0</v>
      </c>
      <c r="O9" s="21">
        <f t="shared" si="3"/>
        <v>72000</v>
      </c>
      <c r="P9" s="8" t="s">
        <v>201</v>
      </c>
      <c r="Q9" s="9">
        <v>-3000</v>
      </c>
      <c r="R9" s="9"/>
      <c r="S9" s="48">
        <v>0</v>
      </c>
      <c r="T9" s="21">
        <f t="shared" si="4"/>
        <v>18000</v>
      </c>
      <c r="U9" s="53">
        <f>IF($J9="","",ROUND(($J9-$J$3)/1000,1)+(_xlfn.RANK.AVG($J9,($J9,$O9,$T9),1)-2)*20)</f>
        <v>-40</v>
      </c>
      <c r="V9" s="54">
        <f>IF($O9="","",ROUND(($O9-$O$3)/1000,1)+(_xlfn.RANK.AVG($O9,($J9,$O9,$T9),1)-2)*20)</f>
        <v>57</v>
      </c>
      <c r="W9" s="55">
        <f>IF($T9="","",ROUND(($T9-$T$3)/1000,1)+(_xlfn.RANK.AVG($T9,($J9,$O9,$T9),1)-2)*20)</f>
        <v>-17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204</v>
      </c>
      <c r="AZ9" s="40" t="s">
        <v>199</v>
      </c>
      <c r="BA9" s="41" t="s">
        <v>82</v>
      </c>
      <c r="BB9" s="41" t="s">
        <v>85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197</v>
      </c>
      <c r="G10" s="9">
        <v>12000</v>
      </c>
      <c r="H10" s="9">
        <v>1000</v>
      </c>
      <c r="I10" s="48">
        <v>0</v>
      </c>
      <c r="J10" s="21">
        <f t="shared" si="2"/>
        <v>28000</v>
      </c>
      <c r="K10" s="8" t="s">
        <v>198</v>
      </c>
      <c r="L10" s="9">
        <v>-12000</v>
      </c>
      <c r="M10" s="9">
        <v>-1000</v>
      </c>
      <c r="N10" s="48">
        <v>0</v>
      </c>
      <c r="O10" s="21">
        <f t="shared" si="3"/>
        <v>59000</v>
      </c>
      <c r="P10" s="8"/>
      <c r="Q10" s="9"/>
      <c r="R10" s="9"/>
      <c r="S10" s="48"/>
      <c r="T10" s="21">
        <f t="shared" si="4"/>
        <v>18000</v>
      </c>
      <c r="U10" s="53">
        <f>IF($J10="","",ROUND(($J10-$J$3)/1000,1)+(_xlfn.RANK.AVG($J10,($J10,$O10,$T10),1)-2)*20)</f>
        <v>-7</v>
      </c>
      <c r="V10" s="54">
        <f>IF($O10="","",ROUND(($O10-$O$3)/1000,1)+(_xlfn.RANK.AVG($O10,($J10,$O10,$T10),1)-2)*20)</f>
        <v>44</v>
      </c>
      <c r="W10" s="55">
        <f>IF($T10="","",ROUND(($T10-$T$3)/1000,1)+(_xlfn.RANK.AVG($T10,($J10,$O10,$T10),1)-2)*20)</f>
        <v>-37</v>
      </c>
      <c r="Y10" s="8"/>
      <c r="Z10" s="34"/>
      <c r="AA10" s="26"/>
      <c r="AB10" s="26">
        <v>1</v>
      </c>
      <c r="AC10" s="26">
        <v>6</v>
      </c>
      <c r="AD10" s="30" t="s">
        <v>204</v>
      </c>
      <c r="AE10" s="40" t="s">
        <v>86</v>
      </c>
      <c r="AF10" s="41" t="s">
        <v>86</v>
      </c>
      <c r="AG10" s="41" t="s">
        <v>203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201</v>
      </c>
      <c r="G11" s="9">
        <v>-5800</v>
      </c>
      <c r="H11" s="9"/>
      <c r="I11" s="48">
        <v>0</v>
      </c>
      <c r="J11" s="21">
        <f t="shared" si="2"/>
        <v>22200</v>
      </c>
      <c r="K11" s="8" t="s">
        <v>201</v>
      </c>
      <c r="L11" s="9">
        <v>-5800</v>
      </c>
      <c r="M11" s="9"/>
      <c r="N11" s="48">
        <v>0</v>
      </c>
      <c r="O11" s="21">
        <f t="shared" si="3"/>
        <v>53200</v>
      </c>
      <c r="P11" s="8" t="s">
        <v>202</v>
      </c>
      <c r="Q11" s="9">
        <v>11600</v>
      </c>
      <c r="R11" s="9"/>
      <c r="S11" s="48">
        <v>0</v>
      </c>
      <c r="T11" s="21">
        <f t="shared" si="4"/>
        <v>29600</v>
      </c>
      <c r="U11" s="53">
        <f>IF($J11="","",ROUND(($J11-$J$3)/1000,1)+(_xlfn.RANK.AVG($J11,($J11,$O11,$T11),1)-2)*20)</f>
        <v>-32.799999999999997</v>
      </c>
      <c r="V11" s="54">
        <f>IF($O11="","",ROUND(($O11-$O$3)/1000,1)+(_xlfn.RANK.AVG($O11,($J11,$O11,$T11),1)-2)*20)</f>
        <v>38.200000000000003</v>
      </c>
      <c r="W11" s="55">
        <f>IF($T11="","",ROUND(($T11-$T$3)/1000,1)+(_xlfn.RANK.AVG($T11,($J11,$O11,$T11),1)-2)*20)</f>
        <v>-5.4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199</v>
      </c>
      <c r="BV11" s="41" t="s">
        <v>82</v>
      </c>
      <c r="BW11" s="41" t="s">
        <v>84</v>
      </c>
      <c r="BX11" s="41" t="s">
        <v>203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れんたろう</v>
      </c>
      <c r="F12" s="8" t="s">
        <v>201</v>
      </c>
      <c r="G12" s="9">
        <v>-12000</v>
      </c>
      <c r="H12" s="9"/>
      <c r="I12" s="48">
        <v>-500</v>
      </c>
      <c r="J12" s="21">
        <f t="shared" si="2"/>
        <v>9700</v>
      </c>
      <c r="K12" s="8" t="s">
        <v>201</v>
      </c>
      <c r="L12" s="9">
        <v>-12000</v>
      </c>
      <c r="M12" s="9">
        <v>-1000</v>
      </c>
      <c r="N12" s="48">
        <v>-500</v>
      </c>
      <c r="O12" s="21">
        <f t="shared" si="3"/>
        <v>39700</v>
      </c>
      <c r="P12" s="8" t="s">
        <v>202</v>
      </c>
      <c r="Q12" s="9">
        <v>24000</v>
      </c>
      <c r="R12" s="9">
        <v>1000</v>
      </c>
      <c r="S12" s="48">
        <v>1000</v>
      </c>
      <c r="T12" s="21">
        <f t="shared" si="4"/>
        <v>55600</v>
      </c>
      <c r="U12" s="53">
        <f>IF($J12="","",ROUND(($J12-$J$3)/1000,1)+(_xlfn.RANK.AVG($J12,($J12,$O12,$T12),1)-2)*20)</f>
        <v>-45.3</v>
      </c>
      <c r="V12" s="54">
        <f>IF($O12="","",ROUND(($O12-$O$3)/1000,1)+(_xlfn.RANK.AVG($O12,($J12,$O12,$T12),1)-2)*20)</f>
        <v>4.7</v>
      </c>
      <c r="W12" s="55">
        <f>IF($T12="","",ROUND(($T12-$T$3)/1000,1)+(_xlfn.RANK.AVG($T12,($J12,$O12,$T12),1)-2)*20)</f>
        <v>40.6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8</v>
      </c>
      <c r="BT12" s="30" t="s">
        <v>204</v>
      </c>
      <c r="BU12" s="40" t="s">
        <v>199</v>
      </c>
      <c r="BV12" s="41" t="s">
        <v>82</v>
      </c>
      <c r="BW12" s="41" t="s">
        <v>83</v>
      </c>
      <c r="BX12" s="41" t="s">
        <v>203</v>
      </c>
      <c r="BY12" s="41" t="s">
        <v>203</v>
      </c>
      <c r="BZ12" s="41" t="s">
        <v>79</v>
      </c>
      <c r="CA12" s="41" t="s">
        <v>86</v>
      </c>
      <c r="CB12" s="41" t="s">
        <v>87</v>
      </c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5E35155E-BB35-4B17-B9C3-C7D6A456CEDD}">
      <formula1>$U$2:$W$2</formula1>
    </dataValidation>
    <dataValidation type="list" showInputMessage="1" showErrorMessage="1" sqref="K4:K30 P4:P30 F4:F30" xr:uid="{AFF4D22C-03BC-4F9B-A638-E345509ADCEE}">
      <formula1>"ロン,ツモ,放銃,ツモ支払,流局,チョンボ"</formula1>
    </dataValidation>
    <dataValidation type="list" allowBlank="1" showInputMessage="1" sqref="F1:T1" xr:uid="{33A97E6D-89F8-4AE5-8963-72E3061F05B1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0B086-C1E3-4EA4-B66E-E45CEE116368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 t="s">
        <v>198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2900</v>
      </c>
      <c r="R4" s="9"/>
      <c r="S4" s="48">
        <v>0</v>
      </c>
      <c r="T4" s="21">
        <f>IF(COUNTA($F4,$K4,$P4)&gt;0,T3+SUM(Q4:S4),"")</f>
        <v>37900</v>
      </c>
      <c r="U4" s="53">
        <f>IF($J4="","",ROUND(($J4-$J$3)/1000,1)+(_xlfn.RANK.AVG($J4,($J4,$O4,$T4),1)-2)*20)</f>
        <v>-22.9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201</v>
      </c>
      <c r="G5" s="9">
        <v>-5800</v>
      </c>
      <c r="H5" s="9"/>
      <c r="I5" s="48">
        <v>-500</v>
      </c>
      <c r="J5" s="21">
        <f t="shared" ref="J5:J30" si="2">IF(COUNTA($F5,$K5,$P5)&gt;0,J4+SUM(G5:I5),"")</f>
        <v>25800</v>
      </c>
      <c r="K5" s="8" t="s">
        <v>201</v>
      </c>
      <c r="L5" s="9">
        <v>-5800</v>
      </c>
      <c r="M5" s="9">
        <v>-1000</v>
      </c>
      <c r="N5" s="48">
        <v>-500</v>
      </c>
      <c r="O5" s="21">
        <f t="shared" ref="O5:O30" si="3">IF(COUNTA($F5,$K5,$P5)&gt;0,O4+SUM(L5:N5),"")</f>
        <v>27700</v>
      </c>
      <c r="P5" s="8" t="s">
        <v>202</v>
      </c>
      <c r="Q5" s="9">
        <v>11600</v>
      </c>
      <c r="R5" s="9">
        <v>1000</v>
      </c>
      <c r="S5" s="48">
        <v>1000</v>
      </c>
      <c r="T5" s="21">
        <f t="shared" ref="T5:T30" si="4">IF(COUNTA($F5,$K5,$P5)&gt;0,T4+SUM(Q5:S5),"")</f>
        <v>51500</v>
      </c>
      <c r="U5" s="53">
        <f>IF($J5="","",ROUND(($J5-$J$3)/1000,1)+(_xlfn.RANK.AVG($J5,($J5,$O5,$T5),1)-2)*20)</f>
        <v>-29.2</v>
      </c>
      <c r="V5" s="54">
        <f>IF($O5="","",ROUND(($O5-$O$3)/1000,1)+(_xlfn.RANK.AVG($O5,($J5,$O5,$T5),1)-2)*20)</f>
        <v>-7.3</v>
      </c>
      <c r="W5" s="55">
        <f>IF($T5="","",ROUND(($T5-$T$3)/1000,1)+(_xlfn.RANK.AVG($T5,($J5,$O5,$T5),1)-2)*20)</f>
        <v>36.5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86</v>
      </c>
      <c r="BW5" s="41" t="s">
        <v>104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れんたろう</v>
      </c>
      <c r="F6" s="8" t="s">
        <v>201</v>
      </c>
      <c r="G6" s="9">
        <v>-4500</v>
      </c>
      <c r="H6" s="9"/>
      <c r="I6" s="48">
        <v>-1000</v>
      </c>
      <c r="J6" s="21">
        <f t="shared" si="2"/>
        <v>20300</v>
      </c>
      <c r="K6" s="8" t="s">
        <v>202</v>
      </c>
      <c r="L6" s="9">
        <v>12000</v>
      </c>
      <c r="M6" s="9"/>
      <c r="N6" s="48">
        <v>2000</v>
      </c>
      <c r="O6" s="21">
        <f t="shared" si="3"/>
        <v>41700</v>
      </c>
      <c r="P6" s="8" t="s">
        <v>201</v>
      </c>
      <c r="Q6" s="9">
        <v>-7500</v>
      </c>
      <c r="R6" s="9"/>
      <c r="S6" s="48">
        <v>-1000</v>
      </c>
      <c r="T6" s="21">
        <f t="shared" si="4"/>
        <v>43000</v>
      </c>
      <c r="U6" s="53">
        <f>IF($J6="","",ROUND(($J6-$J$3)/1000,1)+(_xlfn.RANK.AVG($J6,($J6,$O6,$T6),1)-2)*20)</f>
        <v>-34.700000000000003</v>
      </c>
      <c r="V6" s="54">
        <f>IF($O6="","",ROUND(($O6-$O$3)/1000,1)+(_xlfn.RANK.AVG($O6,($J6,$O6,$T6),1)-2)*20)</f>
        <v>6.7</v>
      </c>
      <c r="W6" s="55">
        <f>IF($T6="","",ROUND(($T6-$T$3)/1000,1)+(_xlfn.RANK.AVG($T6,($J6,$O6,$T6),1)-2)*20)</f>
        <v>28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204</v>
      </c>
      <c r="AZ6" s="40" t="s">
        <v>199</v>
      </c>
      <c r="BA6" s="41" t="s">
        <v>82</v>
      </c>
      <c r="BB6" s="41" t="s">
        <v>83</v>
      </c>
      <c r="BC6" s="41" t="s">
        <v>79</v>
      </c>
      <c r="BD6" s="41" t="s">
        <v>80</v>
      </c>
      <c r="BE6" s="41" t="s">
        <v>84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/>
      <c r="G7" s="9"/>
      <c r="H7" s="9"/>
      <c r="I7" s="48"/>
      <c r="J7" s="21">
        <f t="shared" si="2"/>
        <v>20300</v>
      </c>
      <c r="K7" s="8" t="s">
        <v>198</v>
      </c>
      <c r="L7" s="9">
        <v>-2000</v>
      </c>
      <c r="M7" s="9"/>
      <c r="N7" s="48">
        <v>0</v>
      </c>
      <c r="O7" s="21">
        <f t="shared" si="3"/>
        <v>39700</v>
      </c>
      <c r="P7" s="8" t="s">
        <v>197</v>
      </c>
      <c r="Q7" s="9">
        <v>2000</v>
      </c>
      <c r="R7" s="9"/>
      <c r="S7" s="48">
        <v>0</v>
      </c>
      <c r="T7" s="21">
        <f t="shared" si="4"/>
        <v>45000</v>
      </c>
      <c r="U7" s="53">
        <f>IF($J7="","",ROUND(($J7-$J$3)/1000,1)+(_xlfn.RANK.AVG($J7,($J7,$O7,$T7),1)-2)*20)</f>
        <v>-34.700000000000003</v>
      </c>
      <c r="V7" s="54">
        <f>IF($O7="","",ROUND(($O7-$O$3)/1000,1)+(_xlfn.RANK.AVG($O7,($J7,$O7,$T7),1)-2)*20)</f>
        <v>4.7</v>
      </c>
      <c r="W7" s="55">
        <f>IF($T7="","",ROUND(($T7-$T$3)/1000,1)+(_xlfn.RANK.AVG($T7,($J7,$O7,$T7),1)-2)*20)</f>
        <v>30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30</v>
      </c>
      <c r="BU7" s="40" t="s">
        <v>83</v>
      </c>
      <c r="BV7" s="41" t="s">
        <v>199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198</v>
      </c>
      <c r="G8" s="9">
        <v>-12000</v>
      </c>
      <c r="H8" s="9">
        <v>-1000</v>
      </c>
      <c r="I8" s="48">
        <v>0</v>
      </c>
      <c r="J8" s="21">
        <f t="shared" si="2"/>
        <v>7300</v>
      </c>
      <c r="K8" s="8" t="s">
        <v>197</v>
      </c>
      <c r="L8" s="9">
        <v>12000</v>
      </c>
      <c r="M8" s="9">
        <v>2000</v>
      </c>
      <c r="N8" s="48">
        <v>0</v>
      </c>
      <c r="O8" s="21">
        <f t="shared" si="3"/>
        <v>53700</v>
      </c>
      <c r="P8" s="8"/>
      <c r="Q8" s="9"/>
      <c r="R8" s="9">
        <v>-1000</v>
      </c>
      <c r="S8" s="48"/>
      <c r="T8" s="21">
        <f t="shared" si="4"/>
        <v>44000</v>
      </c>
      <c r="U8" s="53">
        <f>IF($J8="","",ROUND(($J8-$J$3)/1000,1)+(_xlfn.RANK.AVG($J8,($J8,$O8,$T8),1)-2)*20)</f>
        <v>-47.7</v>
      </c>
      <c r="V8" s="54">
        <f>IF($O8="","",ROUND(($O8-$O$3)/1000,1)+(_xlfn.RANK.AVG($O8,($J8,$O8,$T8),1)-2)*20)</f>
        <v>38.700000000000003</v>
      </c>
      <c r="W8" s="55">
        <f>IF($T8="","",ROUND(($T8-$T$3)/1000,1)+(_xlfn.RANK.AVG($T8,($J8,$O8,$T8),1)-2)*20)</f>
        <v>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204</v>
      </c>
      <c r="AZ8" s="40" t="s">
        <v>199</v>
      </c>
      <c r="BA8" s="41" t="s">
        <v>200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3900</v>
      </c>
      <c r="H9" s="9"/>
      <c r="I9" s="48">
        <v>1000</v>
      </c>
      <c r="J9" s="21">
        <f t="shared" si="2"/>
        <v>12200</v>
      </c>
      <c r="K9" s="8" t="s">
        <v>198</v>
      </c>
      <c r="L9" s="9">
        <v>-3900</v>
      </c>
      <c r="M9" s="9"/>
      <c r="N9" s="48">
        <v>-1000</v>
      </c>
      <c r="O9" s="21">
        <f t="shared" si="3"/>
        <v>48800</v>
      </c>
      <c r="P9" s="8"/>
      <c r="Q9" s="9"/>
      <c r="R9" s="9"/>
      <c r="S9" s="48"/>
      <c r="T9" s="21">
        <f t="shared" si="4"/>
        <v>44000</v>
      </c>
      <c r="U9" s="53">
        <f>IF($J9="","",ROUND(($J9-$J$3)/1000,1)+(_xlfn.RANK.AVG($J9,($J9,$O9,$T9),1)-2)*20)</f>
        <v>-42.8</v>
      </c>
      <c r="V9" s="54">
        <f>IF($O9="","",ROUND(($O9-$O$3)/1000,1)+(_xlfn.RANK.AVG($O9,($J9,$O9,$T9),1)-2)*20)</f>
        <v>33.799999999999997</v>
      </c>
      <c r="W9" s="55">
        <f>IF($T9="","",ROUND(($T9-$T$3)/1000,1)+(_xlfn.RANK.AVG($T9,($J9,$O9,$T9),1)-2)*20)</f>
        <v>9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104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8000</v>
      </c>
      <c r="H10" s="9">
        <v>1000</v>
      </c>
      <c r="I10" s="48">
        <v>0</v>
      </c>
      <c r="J10" s="21">
        <f t="shared" si="2"/>
        <v>21200</v>
      </c>
      <c r="K10" s="8" t="s">
        <v>201</v>
      </c>
      <c r="L10" s="9">
        <v>-3000</v>
      </c>
      <c r="M10" s="9">
        <v>-1000</v>
      </c>
      <c r="N10" s="48">
        <v>0</v>
      </c>
      <c r="O10" s="21">
        <f t="shared" si="3"/>
        <v>44800</v>
      </c>
      <c r="P10" s="8" t="s">
        <v>201</v>
      </c>
      <c r="Q10" s="9">
        <v>-5000</v>
      </c>
      <c r="R10" s="9"/>
      <c r="S10" s="48">
        <v>0</v>
      </c>
      <c r="T10" s="21">
        <f t="shared" si="4"/>
        <v>39000</v>
      </c>
      <c r="U10" s="53">
        <f>IF($J10="","",ROUND(($J10-$J$3)/1000,1)+(_xlfn.RANK.AVG($J10,($J10,$O10,$T10),1)-2)*20)</f>
        <v>-33.799999999999997</v>
      </c>
      <c r="V10" s="54">
        <f>IF($O10="","",ROUND(($O10-$O$3)/1000,1)+(_xlfn.RANK.AVG($O10,($J10,$O10,$T10),1)-2)*20)</f>
        <v>29.8</v>
      </c>
      <c r="W10" s="55">
        <f>IF($T10="","",ROUND(($T10-$T$3)/1000,1)+(_xlfn.RANK.AVG($T10,($J10,$O10,$T10),1)-2)*20)</f>
        <v>4</v>
      </c>
      <c r="Y10" s="8"/>
      <c r="Z10" s="34"/>
      <c r="AA10" s="26">
        <v>1</v>
      </c>
      <c r="AB10" s="26"/>
      <c r="AC10" s="26">
        <v>5</v>
      </c>
      <c r="AD10" s="30" t="s">
        <v>204</v>
      </c>
      <c r="AE10" s="40" t="s">
        <v>199</v>
      </c>
      <c r="AF10" s="41" t="s">
        <v>82</v>
      </c>
      <c r="AG10" s="41" t="s">
        <v>200</v>
      </c>
      <c r="AH10" s="41" t="s">
        <v>203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 t="s">
        <v>197</v>
      </c>
      <c r="G11" s="9">
        <v>2900</v>
      </c>
      <c r="H11" s="9"/>
      <c r="I11" s="48">
        <v>0</v>
      </c>
      <c r="J11" s="21">
        <f t="shared" si="2"/>
        <v>24100</v>
      </c>
      <c r="K11" s="8" t="s">
        <v>198</v>
      </c>
      <c r="L11" s="9">
        <v>-2900</v>
      </c>
      <c r="M11" s="9"/>
      <c r="N11" s="48">
        <v>0</v>
      </c>
      <c r="O11" s="21">
        <f t="shared" si="3"/>
        <v>41900</v>
      </c>
      <c r="P11" s="8"/>
      <c r="Q11" s="9"/>
      <c r="R11" s="9"/>
      <c r="S11" s="48"/>
      <c r="T11" s="21">
        <f t="shared" si="4"/>
        <v>39000</v>
      </c>
      <c r="U11" s="53">
        <f>IF($J11="","",ROUND(($J11-$J$3)/1000,1)+(_xlfn.RANK.AVG($J11,($J11,$O11,$T11),1)-2)*20)</f>
        <v>-30.9</v>
      </c>
      <c r="V11" s="54">
        <f>IF($O11="","",ROUND(($O11-$O$3)/1000,1)+(_xlfn.RANK.AVG($O11,($J11,$O11,$T11),1)-2)*20)</f>
        <v>26.9</v>
      </c>
      <c r="W11" s="55">
        <f>IF($T11="","",ROUND(($T11-$T$3)/1000,1)+(_xlfn.RANK.AVG($T11,($J11,$O11,$T11),1)-2)*20)</f>
        <v>4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85</v>
      </c>
      <c r="AF11" s="41" t="s">
        <v>203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IF($F$1="","",$F$1)</f>
        <v>ただ</v>
      </c>
      <c r="F12" s="8" t="s">
        <v>202</v>
      </c>
      <c r="G12" s="9">
        <v>4800</v>
      </c>
      <c r="H12" s="9">
        <v>1000</v>
      </c>
      <c r="I12" s="48">
        <v>1000</v>
      </c>
      <c r="J12" s="21">
        <f t="shared" si="2"/>
        <v>30900</v>
      </c>
      <c r="K12" s="8" t="s">
        <v>201</v>
      </c>
      <c r="L12" s="9">
        <v>-2400</v>
      </c>
      <c r="M12" s="9">
        <v>-1000</v>
      </c>
      <c r="N12" s="48">
        <v>-500</v>
      </c>
      <c r="O12" s="21">
        <f t="shared" si="3"/>
        <v>38000</v>
      </c>
      <c r="P12" s="8" t="s">
        <v>201</v>
      </c>
      <c r="Q12" s="9">
        <v>-2400</v>
      </c>
      <c r="R12" s="9"/>
      <c r="S12" s="48">
        <v>-500</v>
      </c>
      <c r="T12" s="21">
        <f t="shared" si="4"/>
        <v>36100</v>
      </c>
      <c r="U12" s="53">
        <f>IF($J12="","",ROUND(($J12-$J$3)/1000,1)+(_xlfn.RANK.AVG($J12,($J12,$O12,$T12),1)-2)*20)</f>
        <v>-24.1</v>
      </c>
      <c r="V12" s="54">
        <f>IF($O12="","",ROUND(($O12-$O$3)/1000,1)+(_xlfn.RANK.AVG($O12,($J12,$O12,$T12),1)-2)*20)</f>
        <v>23</v>
      </c>
      <c r="W12" s="55">
        <f>IF($T12="","",ROUND(($T12-$T$3)/1000,1)+(_xlfn.RANK.AVG($T12,($J12,$O12,$T12),1)-2)*20)</f>
        <v>1.1000000000000001</v>
      </c>
      <c r="Y12" s="8"/>
      <c r="Z12" s="34"/>
      <c r="AA12" s="26"/>
      <c r="AB12" s="26"/>
      <c r="AC12" s="26">
        <v>3</v>
      </c>
      <c r="AD12" s="30">
        <v>25</v>
      </c>
      <c r="AE12" s="40" t="s">
        <v>82</v>
      </c>
      <c r="AF12" s="41" t="s">
        <v>101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IF($F$1="","",$F$1)</f>
        <v>ただ</v>
      </c>
      <c r="F13" s="8" t="s">
        <v>198</v>
      </c>
      <c r="G13" s="9">
        <v>-12000</v>
      </c>
      <c r="H13" s="9"/>
      <c r="I13" s="48">
        <v>-2000</v>
      </c>
      <c r="J13" s="21">
        <f t="shared" si="2"/>
        <v>16900</v>
      </c>
      <c r="K13" s="8"/>
      <c r="L13" s="9"/>
      <c r="M13" s="9">
        <v>-1000</v>
      </c>
      <c r="N13" s="48"/>
      <c r="O13" s="21">
        <f t="shared" si="3"/>
        <v>37000</v>
      </c>
      <c r="P13" s="8" t="s">
        <v>197</v>
      </c>
      <c r="Q13" s="9">
        <v>12000</v>
      </c>
      <c r="R13" s="9">
        <v>1000</v>
      </c>
      <c r="S13" s="48">
        <v>2000</v>
      </c>
      <c r="T13" s="21">
        <f t="shared" si="4"/>
        <v>51100</v>
      </c>
      <c r="U13" s="53">
        <f>IF($J13="","",ROUND(($J13-$J$3)/1000,1)+(_xlfn.RANK.AVG($J13,($J13,$O13,$T13),1)-2)*20)</f>
        <v>-38.1</v>
      </c>
      <c r="V13" s="54">
        <f>IF($O13="","",ROUND(($O13-$O$3)/1000,1)+(_xlfn.RANK.AVG($O13,($J13,$O13,$T13),1)-2)*20)</f>
        <v>2</v>
      </c>
      <c r="W13" s="55">
        <f>IF($T13="","",ROUND(($T13-$T$3)/1000,1)+(_xlfn.RANK.AVG($T13,($J13,$O13,$T13),1)-2)*20)</f>
        <v>36.1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204</v>
      </c>
      <c r="BU13" s="40" t="s">
        <v>199</v>
      </c>
      <c r="BV13" s="41" t="s">
        <v>96</v>
      </c>
      <c r="BW13" s="41" t="s">
        <v>98</v>
      </c>
      <c r="BX13" s="41" t="s">
        <v>86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IF($K$1="","",$K$1)</f>
        <v>だいち</v>
      </c>
      <c r="F14" s="8" t="s">
        <v>197</v>
      </c>
      <c r="G14" s="9">
        <v>8000</v>
      </c>
      <c r="H14" s="9"/>
      <c r="I14" s="48">
        <v>0</v>
      </c>
      <c r="J14" s="21">
        <f t="shared" si="2"/>
        <v>24900</v>
      </c>
      <c r="K14" s="8" t="s">
        <v>198</v>
      </c>
      <c r="L14" s="9">
        <v>-8000</v>
      </c>
      <c r="M14" s="9"/>
      <c r="N14" s="48">
        <v>0</v>
      </c>
      <c r="O14" s="21">
        <f t="shared" si="3"/>
        <v>29000</v>
      </c>
      <c r="P14" s="8"/>
      <c r="Q14" s="9"/>
      <c r="R14" s="9"/>
      <c r="S14" s="48"/>
      <c r="T14" s="21">
        <f t="shared" si="4"/>
        <v>51100</v>
      </c>
      <c r="U14" s="53">
        <f>IF($J14="","",ROUND(($J14-$J$3)/1000,1)+(_xlfn.RANK.AVG($J14,($J14,$O14,$T14),1)-2)*20)</f>
        <v>-30.1</v>
      </c>
      <c r="V14" s="54">
        <f>IF($O14="","",ROUND(($O14-$O$3)/1000,1)+(_xlfn.RANK.AVG($O14,($J14,$O14,$T14),1)-2)*20)</f>
        <v>-6</v>
      </c>
      <c r="W14" s="55">
        <f>IF($T14="","",ROUND(($T14-$T$3)/1000,1)+(_xlfn.RANK.AVG($T14,($J14,$O14,$T14),1)-2)*20)</f>
        <v>36.1</v>
      </c>
      <c r="Y14" s="8"/>
      <c r="Z14" s="34"/>
      <c r="AA14" s="26"/>
      <c r="AB14" s="26"/>
      <c r="AC14" s="26">
        <v>5</v>
      </c>
      <c r="AD14" s="30" t="s">
        <v>204</v>
      </c>
      <c r="AE14" s="40" t="s">
        <v>85</v>
      </c>
      <c r="AF14" s="41" t="s">
        <v>79</v>
      </c>
      <c r="AG14" s="41" t="s">
        <v>79</v>
      </c>
      <c r="AH14" s="41" t="s">
        <v>79</v>
      </c>
      <c r="AI14" s="41" t="s">
        <v>203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D7A210BF-93F3-4FD0-825F-86D0005994B3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5047B63E-1D47-4F4C-B251-F88887F67E48}">
      <formula1>"ロン,ツモ,放銃,ツモ支払,流局,チョンボ"</formula1>
    </dataValidation>
    <dataValidation type="list" allowBlank="1" showInputMessage="1" showErrorMessage="1" sqref="E4:E30" xr:uid="{9A9A6849-E528-4CB7-AAA1-700B4F7536B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BB71-B960-4991-B088-7AE4A867B56F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197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83</v>
      </c>
      <c r="BB4" s="41" t="s">
        <v>203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201</v>
      </c>
      <c r="G5" s="9">
        <v>-2900</v>
      </c>
      <c r="H5" s="9"/>
      <c r="I5" s="48">
        <v>0</v>
      </c>
      <c r="J5" s="21">
        <f t="shared" ref="J5:J30" si="2">IF(COUNTA($F5,$K5,$P5)&gt;0,J4+SUM(G5:I5),"")</f>
        <v>28200</v>
      </c>
      <c r="K5" s="8" t="s">
        <v>201</v>
      </c>
      <c r="L5" s="9">
        <v>-4800</v>
      </c>
      <c r="M5" s="9"/>
      <c r="N5" s="48">
        <v>0</v>
      </c>
      <c r="O5" s="21">
        <f t="shared" ref="O5:O30" si="3">IF(COUNTA($F5,$K5,$P5)&gt;0,O4+SUM(L5:N5),"")</f>
        <v>34100</v>
      </c>
      <c r="P5" s="8" t="s">
        <v>202</v>
      </c>
      <c r="Q5" s="9">
        <v>7700</v>
      </c>
      <c r="R5" s="9"/>
      <c r="S5" s="48">
        <v>0</v>
      </c>
      <c r="T5" s="21">
        <f t="shared" ref="T5:T30" si="4">IF(COUNTA($F5,$K5,$P5)&gt;0,T4+SUM(Q5:S5),"")</f>
        <v>42700</v>
      </c>
      <c r="U5" s="53">
        <f>IF($J5="","",ROUND(($J5-$J$3)/1000,1)+(_xlfn.RANK.AVG($J5,($J5,$O5,$T5),1)-2)*20)</f>
        <v>-26.8</v>
      </c>
      <c r="V5" s="54">
        <f>IF($O5="","",ROUND(($O5-$O$3)/1000,1)+(_xlfn.RANK.AVG($O5,($J5,$O5,$T5),1)-2)*20)</f>
        <v>-0.9</v>
      </c>
      <c r="W5" s="55">
        <f>IF($T5="","",ROUND(($T5-$T$3)/1000,1)+(_xlfn.RANK.AVG($T5,($J5,$O5,$T5),1)-2)*20)</f>
        <v>27.7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199</v>
      </c>
      <c r="BV5" s="41" t="s">
        <v>82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207</v>
      </c>
      <c r="G6" s="9">
        <v>1500</v>
      </c>
      <c r="H6" s="9">
        <v>-1000</v>
      </c>
      <c r="I6" s="48"/>
      <c r="J6" s="21">
        <f t="shared" si="2"/>
        <v>28700</v>
      </c>
      <c r="K6" s="8" t="s">
        <v>207</v>
      </c>
      <c r="L6" s="9">
        <v>-3000</v>
      </c>
      <c r="M6" s="9"/>
      <c r="N6" s="48"/>
      <c r="O6" s="21">
        <f t="shared" si="3"/>
        <v>31100</v>
      </c>
      <c r="P6" s="8" t="s">
        <v>207</v>
      </c>
      <c r="Q6" s="9">
        <v>1500</v>
      </c>
      <c r="R6" s="9">
        <v>-1000</v>
      </c>
      <c r="S6" s="48"/>
      <c r="T6" s="21">
        <f t="shared" si="4"/>
        <v>43200</v>
      </c>
      <c r="U6" s="53">
        <f>IF($J6="","",ROUND(($J6-$J$3)/1000,1)+(_xlfn.RANK.AVG($J6,($J6,$O6,$T6),1)-2)*20)</f>
        <v>-26.3</v>
      </c>
      <c r="V6" s="54">
        <f>IF($O6="","",ROUND(($O6-$O$3)/1000,1)+(_xlfn.RANK.AVG($O6,($J6,$O6,$T6),1)-2)*20)</f>
        <v>-3.9</v>
      </c>
      <c r="W6" s="55">
        <f>IF($T6="","",ROUND(($T6-$T$3)/1000,1)+(_xlfn.RANK.AVG($T6,($J6,$O6,$T6),1)-2)*20)</f>
        <v>28.2</v>
      </c>
      <c r="Y6" s="8" t="s">
        <v>206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2</v>
      </c>
      <c r="E7" s="4" t="str">
        <f>IF($P$1="","",$P$1)</f>
        <v>れんたろう</v>
      </c>
      <c r="F7" s="8" t="s">
        <v>201</v>
      </c>
      <c r="G7" s="9">
        <v>-2400</v>
      </c>
      <c r="H7" s="9">
        <v>-1000</v>
      </c>
      <c r="I7" s="48">
        <v>-500</v>
      </c>
      <c r="J7" s="21">
        <f t="shared" si="2"/>
        <v>24800</v>
      </c>
      <c r="K7" s="8" t="s">
        <v>202</v>
      </c>
      <c r="L7" s="9">
        <v>6400</v>
      </c>
      <c r="M7" s="9">
        <v>3000</v>
      </c>
      <c r="N7" s="48">
        <v>1000</v>
      </c>
      <c r="O7" s="21">
        <f t="shared" si="3"/>
        <v>41500</v>
      </c>
      <c r="P7" s="8" t="s">
        <v>201</v>
      </c>
      <c r="Q7" s="9">
        <v>-4000</v>
      </c>
      <c r="R7" s="9"/>
      <c r="S7" s="48">
        <v>-500</v>
      </c>
      <c r="T7" s="21">
        <f t="shared" si="4"/>
        <v>38700</v>
      </c>
      <c r="U7" s="53">
        <f>IF($J7="","",ROUND(($J7-$J$3)/1000,1)+(_xlfn.RANK.AVG($J7,($J7,$O7,$T7),1)-2)*20)</f>
        <v>-30.2</v>
      </c>
      <c r="V7" s="54">
        <f>IF($O7="","",ROUND(($O7-$O$3)/1000,1)+(_xlfn.RANK.AVG($O7,($J7,$O7,$T7),1)-2)*20)</f>
        <v>26.5</v>
      </c>
      <c r="W7" s="55">
        <f>IF($T7="","",ROUND(($T7-$T$3)/1000,1)+(_xlfn.RANK.AVG($T7,($J7,$O7,$T7),1)-2)*20)</f>
        <v>3.7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25</v>
      </c>
      <c r="AZ7" s="40" t="s">
        <v>199</v>
      </c>
      <c r="BA7" s="41" t="s">
        <v>82</v>
      </c>
      <c r="BB7" s="41" t="s">
        <v>101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5800</v>
      </c>
      <c r="H8" s="9">
        <v>1000</v>
      </c>
      <c r="I8" s="48">
        <v>0</v>
      </c>
      <c r="J8" s="21">
        <f t="shared" si="2"/>
        <v>31600</v>
      </c>
      <c r="K8" s="8" t="s">
        <v>198</v>
      </c>
      <c r="L8" s="9">
        <v>-5800</v>
      </c>
      <c r="M8" s="9">
        <v>-1000</v>
      </c>
      <c r="N8" s="48">
        <v>0</v>
      </c>
      <c r="O8" s="21">
        <f t="shared" si="3"/>
        <v>34700</v>
      </c>
      <c r="P8" s="8"/>
      <c r="Q8" s="9"/>
      <c r="R8" s="9"/>
      <c r="S8" s="48"/>
      <c r="T8" s="21">
        <f t="shared" si="4"/>
        <v>38700</v>
      </c>
      <c r="U8" s="53">
        <f>IF($J8="","",ROUND(($J8-$J$3)/1000,1)+(_xlfn.RANK.AVG($J8,($J8,$O8,$T8),1)-2)*20)</f>
        <v>-23.4</v>
      </c>
      <c r="V8" s="54">
        <f>IF($O8="","",ROUND(($O8-$O$3)/1000,1)+(_xlfn.RANK.AVG($O8,($J8,$O8,$T8),1)-2)*20)</f>
        <v>-0.3</v>
      </c>
      <c r="W8" s="55">
        <f>IF($T8="","",ROUND(($T8-$T$3)/1000,1)+(_xlfn.RANK.AVG($T8,($J8,$O8,$T8),1)-2)*20)</f>
        <v>23.7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ただ</v>
      </c>
      <c r="F9" s="8" t="s">
        <v>202</v>
      </c>
      <c r="G9" s="9">
        <v>12000</v>
      </c>
      <c r="H9" s="9">
        <v>1000</v>
      </c>
      <c r="I9" s="48">
        <v>1000</v>
      </c>
      <c r="J9" s="21">
        <f t="shared" si="2"/>
        <v>45600</v>
      </c>
      <c r="K9" s="8" t="s">
        <v>201</v>
      </c>
      <c r="L9" s="9">
        <v>-6000</v>
      </c>
      <c r="M9" s="9"/>
      <c r="N9" s="48">
        <v>-500</v>
      </c>
      <c r="O9" s="21">
        <f t="shared" si="3"/>
        <v>28200</v>
      </c>
      <c r="P9" s="8" t="s">
        <v>201</v>
      </c>
      <c r="Q9" s="9">
        <v>-6000</v>
      </c>
      <c r="R9" s="9">
        <v>-1000</v>
      </c>
      <c r="S9" s="48">
        <v>-500</v>
      </c>
      <c r="T9" s="21">
        <f t="shared" si="4"/>
        <v>31200</v>
      </c>
      <c r="U9" s="53">
        <f>IF($J9="","",ROUND(($J9-$J$3)/1000,1)+(_xlfn.RANK.AVG($J9,($J9,$O9,$T9),1)-2)*20)</f>
        <v>30.6</v>
      </c>
      <c r="V9" s="54">
        <f>IF($O9="","",ROUND(($O9-$O$3)/1000,1)+(_xlfn.RANK.AVG($O9,($J9,$O9,$T9),1)-2)*20)</f>
        <v>-26.8</v>
      </c>
      <c r="W9" s="55">
        <f>IF($T9="","",ROUND(($T9-$T$3)/1000,1)+(_xlfn.RANK.AVG($T9,($J9,$O9,$T9),1)-2)*20)</f>
        <v>-3.8</v>
      </c>
      <c r="Y9" s="8"/>
      <c r="Z9" s="34"/>
      <c r="AA9" s="26"/>
      <c r="AB9" s="26">
        <v>1</v>
      </c>
      <c r="AC9" s="26">
        <v>5</v>
      </c>
      <c r="AD9" s="30" t="s">
        <v>204</v>
      </c>
      <c r="AE9" s="40" t="s">
        <v>86</v>
      </c>
      <c r="AF9" s="41" t="s">
        <v>79</v>
      </c>
      <c r="AG9" s="41" t="s">
        <v>79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ただ</v>
      </c>
      <c r="F10" s="8" t="s">
        <v>197</v>
      </c>
      <c r="G10" s="9">
        <v>5800</v>
      </c>
      <c r="H10" s="9"/>
      <c r="I10" s="48">
        <v>2000</v>
      </c>
      <c r="J10" s="21">
        <f t="shared" si="2"/>
        <v>53400</v>
      </c>
      <c r="K10" s="8" t="s">
        <v>198</v>
      </c>
      <c r="L10" s="9">
        <v>-5800</v>
      </c>
      <c r="M10" s="9"/>
      <c r="N10" s="48">
        <v>-2000</v>
      </c>
      <c r="O10" s="21">
        <f t="shared" si="3"/>
        <v>20400</v>
      </c>
      <c r="P10" s="8"/>
      <c r="Q10" s="9"/>
      <c r="R10" s="9"/>
      <c r="S10" s="48"/>
      <c r="T10" s="21">
        <f t="shared" si="4"/>
        <v>31200</v>
      </c>
      <c r="U10" s="53">
        <f>IF($J10="","",ROUND(($J10-$J$3)/1000,1)+(_xlfn.RANK.AVG($J10,($J10,$O10,$T10),1)-2)*20)</f>
        <v>38.4</v>
      </c>
      <c r="V10" s="54">
        <f>IF($O10="","",ROUND(($O10-$O$3)/1000,1)+(_xlfn.RANK.AVG($O10,($J10,$O10,$T10),1)-2)*20)</f>
        <v>-34.6</v>
      </c>
      <c r="W10" s="55">
        <f>IF($T10="","",ROUND(($T10-$T$3)/1000,1)+(_xlfn.RANK.AVG($T10,($J10,$O10,$T10),1)-2)*20)</f>
        <v>-3.8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85</v>
      </c>
      <c r="AF10" s="41" t="s">
        <v>79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ただ</v>
      </c>
      <c r="F11" s="8" t="s">
        <v>202</v>
      </c>
      <c r="G11" s="9">
        <v>6000</v>
      </c>
      <c r="H11" s="9"/>
      <c r="I11" s="48">
        <v>3000</v>
      </c>
      <c r="J11" s="21">
        <f t="shared" si="2"/>
        <v>62400</v>
      </c>
      <c r="K11" s="8" t="s">
        <v>201</v>
      </c>
      <c r="L11" s="9">
        <v>-3000</v>
      </c>
      <c r="M11" s="9"/>
      <c r="N11" s="48">
        <v>-1500</v>
      </c>
      <c r="O11" s="21">
        <f t="shared" si="3"/>
        <v>15900</v>
      </c>
      <c r="P11" s="8" t="s">
        <v>201</v>
      </c>
      <c r="Q11" s="9">
        <v>-3000</v>
      </c>
      <c r="R11" s="9"/>
      <c r="S11" s="48">
        <v>-1500</v>
      </c>
      <c r="T11" s="21">
        <f t="shared" si="4"/>
        <v>26700</v>
      </c>
      <c r="U11" s="53">
        <f>IF($J11="","",ROUND(($J11-$J$3)/1000,1)+(_xlfn.RANK.AVG($J11,($J11,$O11,$T11),1)-2)*20)</f>
        <v>47.4</v>
      </c>
      <c r="V11" s="54">
        <f>IF($O11="","",ROUND(($O11-$O$3)/1000,1)+(_xlfn.RANK.AVG($O11,($J11,$O11,$T11),1)-2)*20)</f>
        <v>-39.1</v>
      </c>
      <c r="W11" s="55">
        <f>IF($T11="","",ROUND(($T11-$T$3)/1000,1)+(_xlfn.RANK.AVG($T11,($J11,$O11,$T11),1)-2)*20)</f>
        <v>-8.3000000000000007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199</v>
      </c>
      <c r="AF11" s="41" t="s">
        <v>82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0</v>
      </c>
      <c r="E12" s="4" t="str">
        <f>IF($F$1="","",$F$1)</f>
        <v>ただ</v>
      </c>
      <c r="F12" s="8" t="s">
        <v>201</v>
      </c>
      <c r="G12" s="9">
        <v>-900</v>
      </c>
      <c r="H12" s="9"/>
      <c r="I12" s="48">
        <v>-2000</v>
      </c>
      <c r="J12" s="21">
        <f t="shared" si="2"/>
        <v>59500</v>
      </c>
      <c r="K12" s="8" t="s">
        <v>202</v>
      </c>
      <c r="L12" s="9">
        <v>1500</v>
      </c>
      <c r="M12" s="9">
        <v>1000</v>
      </c>
      <c r="N12" s="48">
        <v>4000</v>
      </c>
      <c r="O12" s="21">
        <f t="shared" si="3"/>
        <v>22400</v>
      </c>
      <c r="P12" s="8" t="s">
        <v>201</v>
      </c>
      <c r="Q12" s="9">
        <v>-600</v>
      </c>
      <c r="R12" s="9">
        <v>-1000</v>
      </c>
      <c r="S12" s="48">
        <v>-2000</v>
      </c>
      <c r="T12" s="21">
        <f t="shared" si="4"/>
        <v>23100</v>
      </c>
      <c r="U12" s="53">
        <f>IF($J12="","",ROUND(($J12-$J$3)/1000,1)+(_xlfn.RANK.AVG($J12,($J12,$O12,$T12),1)-2)*20)</f>
        <v>44.5</v>
      </c>
      <c r="V12" s="54">
        <f>IF($O12="","",ROUND(($O12-$O$3)/1000,1)+(_xlfn.RANK.AVG($O12,($J12,$O12,$T12),1)-2)*20)</f>
        <v>-32.6</v>
      </c>
      <c r="W12" s="55">
        <f>IF($T12="","",ROUND(($T12-$T$3)/1000,1)+(_xlfn.RANK.AVG($T12,($J12,$O12,$T12),1)-2)*20)</f>
        <v>-11.9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40</v>
      </c>
      <c r="AZ12" s="40" t="s">
        <v>82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だいち</v>
      </c>
      <c r="F13" s="8" t="s">
        <v>201</v>
      </c>
      <c r="G13" s="9">
        <v>-4500</v>
      </c>
      <c r="H13" s="9"/>
      <c r="I13" s="48">
        <v>0</v>
      </c>
      <c r="J13" s="21">
        <f t="shared" si="2"/>
        <v>55000</v>
      </c>
      <c r="K13" s="8" t="s">
        <v>201</v>
      </c>
      <c r="L13" s="9">
        <v>-7500</v>
      </c>
      <c r="M13" s="9"/>
      <c r="N13" s="48">
        <v>0</v>
      </c>
      <c r="O13" s="21">
        <f t="shared" si="3"/>
        <v>14900</v>
      </c>
      <c r="P13" s="8" t="s">
        <v>202</v>
      </c>
      <c r="Q13" s="9">
        <v>12000</v>
      </c>
      <c r="R13" s="9"/>
      <c r="S13" s="48">
        <v>0</v>
      </c>
      <c r="T13" s="21">
        <f t="shared" si="4"/>
        <v>35100</v>
      </c>
      <c r="U13" s="53">
        <f>IF($J13="","",ROUND(($J13-$J$3)/1000,1)+(_xlfn.RANK.AVG($J13,($J13,$O13,$T13),1)-2)*20)</f>
        <v>40</v>
      </c>
      <c r="V13" s="54">
        <f>IF($O13="","",ROUND(($O13-$O$3)/1000,1)+(_xlfn.RANK.AVG($O13,($J13,$O13,$T13),1)-2)*20)</f>
        <v>-40.1</v>
      </c>
      <c r="W13" s="55">
        <f>IF($T13="","",ROUND(($T13-$T$3)/1000,1)+(_xlfn.RANK.AVG($T13,($J13,$O13,$T13),1)-2)*20)</f>
        <v>0.1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204</v>
      </c>
      <c r="BU13" s="40" t="s">
        <v>199</v>
      </c>
      <c r="BV13" s="41" t="s">
        <v>82</v>
      </c>
      <c r="BW13" s="41" t="s">
        <v>83</v>
      </c>
      <c r="BX13" s="41" t="s">
        <v>84</v>
      </c>
      <c r="BY13" s="41" t="s">
        <v>203</v>
      </c>
      <c r="BZ13" s="41" t="s">
        <v>80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れんたろう</v>
      </c>
      <c r="F14" s="8" t="s">
        <v>201</v>
      </c>
      <c r="G14" s="9">
        <v>-6000</v>
      </c>
      <c r="H14" s="9"/>
      <c r="I14" s="48">
        <v>0</v>
      </c>
      <c r="J14" s="21">
        <f t="shared" si="2"/>
        <v>49000</v>
      </c>
      <c r="K14" s="8" t="s">
        <v>201</v>
      </c>
      <c r="L14" s="9">
        <v>-6000</v>
      </c>
      <c r="M14" s="9"/>
      <c r="N14" s="48">
        <v>0</v>
      </c>
      <c r="O14" s="21">
        <f t="shared" si="3"/>
        <v>8900</v>
      </c>
      <c r="P14" s="8" t="s">
        <v>202</v>
      </c>
      <c r="Q14" s="9">
        <v>12000</v>
      </c>
      <c r="R14" s="9"/>
      <c r="S14" s="48">
        <v>0</v>
      </c>
      <c r="T14" s="21">
        <f t="shared" si="4"/>
        <v>47100</v>
      </c>
      <c r="U14" s="53">
        <f>IF($J14="","",ROUND(($J14-$J$3)/1000,1)+(_xlfn.RANK.AVG($J14,($J14,$O14,$T14),1)-2)*20)</f>
        <v>34</v>
      </c>
      <c r="V14" s="54">
        <f>IF($O14="","",ROUND(($O14-$O$3)/1000,1)+(_xlfn.RANK.AVG($O14,($J14,$O14,$T14),1)-2)*20)</f>
        <v>-46.1</v>
      </c>
      <c r="W14" s="55">
        <f>IF($T14="","",ROUND(($T14-$T$3)/1000,1)+(_xlfn.RANK.AVG($T14,($J14,$O14,$T14),1)-2)*20)</f>
        <v>12.1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204</v>
      </c>
      <c r="BU14" s="40" t="s">
        <v>199</v>
      </c>
      <c r="BV14" s="41" t="s">
        <v>82</v>
      </c>
      <c r="BW14" s="41" t="s">
        <v>79</v>
      </c>
      <c r="BX14" s="41" t="s">
        <v>80</v>
      </c>
      <c r="BY14" s="41" t="s">
        <v>203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tr">
        <f>IF($P$1="","",$P$1)</f>
        <v>れんたろう</v>
      </c>
      <c r="F15" s="8"/>
      <c r="G15" s="9"/>
      <c r="H15" s="9"/>
      <c r="I15" s="48"/>
      <c r="J15" s="21">
        <f t="shared" si="2"/>
        <v>49000</v>
      </c>
      <c r="K15" s="8" t="s">
        <v>197</v>
      </c>
      <c r="L15" s="9">
        <v>12000</v>
      </c>
      <c r="M15" s="9"/>
      <c r="N15" s="48">
        <v>1000</v>
      </c>
      <c r="O15" s="21">
        <f t="shared" si="3"/>
        <v>21900</v>
      </c>
      <c r="P15" s="8" t="s">
        <v>198</v>
      </c>
      <c r="Q15" s="9">
        <v>-12000</v>
      </c>
      <c r="R15" s="9"/>
      <c r="S15" s="48">
        <v>-1000</v>
      </c>
      <c r="T15" s="21">
        <f t="shared" si="4"/>
        <v>34100</v>
      </c>
      <c r="U15" s="53">
        <f>IF($J15="","",ROUND(($J15-$J$3)/1000,1)+(_xlfn.RANK.AVG($J15,($J15,$O15,$T15),1)-2)*20)</f>
        <v>34</v>
      </c>
      <c r="V15" s="54">
        <f>IF($O15="","",ROUND(($O15-$O$3)/1000,1)+(_xlfn.RANK.AVG($O15,($J15,$O15,$T15),1)-2)*20)</f>
        <v>-33.1</v>
      </c>
      <c r="W15" s="55">
        <f>IF($T15="","",ROUND(($T15-$T$3)/1000,1)+(_xlfn.RANK.AVG($T15,($J15,$O15,$T15),1)-2)*20)</f>
        <v>-0.9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6</v>
      </c>
      <c r="AY15" s="30" t="s">
        <v>204</v>
      </c>
      <c r="AZ15" s="40" t="s">
        <v>199</v>
      </c>
      <c r="BA15" s="41" t="s">
        <v>104</v>
      </c>
      <c r="BB15" s="41" t="s">
        <v>101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19790106-D478-4E46-B52A-3A85732FDB4E}">
      <formula1>$U$2:$W$2</formula1>
    </dataValidation>
    <dataValidation type="list" showInputMessage="1" showErrorMessage="1" sqref="K4:K30 P4:P30 F4:F30" xr:uid="{E9D24E3F-F184-4EDE-BFB6-9D84578501BE}">
      <formula1>"ロン,ツモ,放銃,ツモ支払,流局,チョンボ"</formula1>
    </dataValidation>
    <dataValidation type="list" allowBlank="1" showInputMessage="1" sqref="F1:T1" xr:uid="{584D5D05-4BB5-4CF8-A0D9-C65C8DF68B6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D2D6-6682-474D-8838-B79390565BF6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 t="s">
        <v>197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83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198</v>
      </c>
      <c r="G5" s="9">
        <v>-1300</v>
      </c>
      <c r="H5" s="9"/>
      <c r="I5" s="48">
        <v>0</v>
      </c>
      <c r="J5" s="21">
        <f t="shared" ref="J5:J30" si="2">IF(COUNTA($F5,$K5,$P5)&gt;0,J4+SUM(G5:I5),"")</f>
        <v>37600</v>
      </c>
      <c r="K5" s="8"/>
      <c r="L5" s="9"/>
      <c r="M5" s="9"/>
      <c r="N5" s="48"/>
      <c r="O5" s="21">
        <f t="shared" ref="O5:O30" si="3">IF(COUNTA($F5,$K5,$P5)&gt;0,O4+SUM(L5:N5),"")</f>
        <v>31100</v>
      </c>
      <c r="P5" s="8" t="s">
        <v>197</v>
      </c>
      <c r="Q5" s="9">
        <v>1300</v>
      </c>
      <c r="R5" s="9"/>
      <c r="S5" s="48">
        <v>0</v>
      </c>
      <c r="T5" s="21">
        <f t="shared" ref="T5:T30" si="4">IF(COUNTA($F5,$K5,$P5)&gt;0,T4+SUM(Q5:S5),"")</f>
        <v>36300</v>
      </c>
      <c r="U5" s="53">
        <f>IF($J5="","",ROUND(($J5-$J$3)/1000,1)+(_xlfn.RANK.AVG($J5,($J5,$O5,$T5),1)-2)*20)</f>
        <v>22.6</v>
      </c>
      <c r="V5" s="54">
        <f>IF($O5="","",ROUND(($O5-$O$3)/1000,1)+(_xlfn.RANK.AVG($O5,($J5,$O5,$T5),1)-2)*20)</f>
        <v>-23.9</v>
      </c>
      <c r="W5" s="55">
        <f>IF($T5="","",ROUND(($T5-$T$3)/1000,1)+(_xlfn.RANK.AVG($T5,($J5,$O5,$T5),1)-2)*20)</f>
        <v>1.3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37600</v>
      </c>
      <c r="K6" s="8" t="s">
        <v>197</v>
      </c>
      <c r="L6" s="9">
        <v>18000</v>
      </c>
      <c r="M6" s="9"/>
      <c r="N6" s="48">
        <v>0</v>
      </c>
      <c r="O6" s="21">
        <f t="shared" si="3"/>
        <v>49100</v>
      </c>
      <c r="P6" s="8" t="s">
        <v>198</v>
      </c>
      <c r="Q6" s="9">
        <v>-18000</v>
      </c>
      <c r="R6" s="9"/>
      <c r="S6" s="48">
        <v>0</v>
      </c>
      <c r="T6" s="21">
        <f t="shared" si="4"/>
        <v>18300</v>
      </c>
      <c r="U6" s="53">
        <f>IF($J6="","",ROUND(($J6-$J$3)/1000,1)+(_xlfn.RANK.AVG($J6,($J6,$O6,$T6),1)-2)*20)</f>
        <v>2.6</v>
      </c>
      <c r="V6" s="54">
        <f>IF($O6="","",ROUND(($O6-$O$3)/1000,1)+(_xlfn.RANK.AVG($O6,($J6,$O6,$T6),1)-2)*20)</f>
        <v>34.1</v>
      </c>
      <c r="W6" s="55">
        <f>IF($T6="","",ROUND(($T6-$T$3)/1000,1)+(_xlfn.RANK.AVG($T6,($J6,$O6,$T6),1)-2)*20)</f>
        <v>-36.700000000000003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7</v>
      </c>
      <c r="AY6" s="30" t="s">
        <v>204</v>
      </c>
      <c r="AZ6" s="40" t="s">
        <v>98</v>
      </c>
      <c r="BA6" s="41" t="s">
        <v>86</v>
      </c>
      <c r="BB6" s="41" t="s">
        <v>86</v>
      </c>
      <c r="BC6" s="41" t="s">
        <v>79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198</v>
      </c>
      <c r="G7" s="9">
        <v>-5200</v>
      </c>
      <c r="H7" s="9"/>
      <c r="I7" s="48">
        <v>-1000</v>
      </c>
      <c r="J7" s="21">
        <f t="shared" si="2"/>
        <v>31400</v>
      </c>
      <c r="K7" s="8"/>
      <c r="L7" s="9"/>
      <c r="M7" s="9">
        <v>-1000</v>
      </c>
      <c r="N7" s="48"/>
      <c r="O7" s="21">
        <f t="shared" si="3"/>
        <v>48100</v>
      </c>
      <c r="P7" s="8" t="s">
        <v>197</v>
      </c>
      <c r="Q7" s="9">
        <v>5200</v>
      </c>
      <c r="R7" s="9">
        <v>1000</v>
      </c>
      <c r="S7" s="48">
        <v>1000</v>
      </c>
      <c r="T7" s="21">
        <f t="shared" si="4"/>
        <v>25500</v>
      </c>
      <c r="U7" s="53">
        <f>IF($J7="","",ROUND(($J7-$J$3)/1000,1)+(_xlfn.RANK.AVG($J7,($J7,$O7,$T7),1)-2)*20)</f>
        <v>-3.6</v>
      </c>
      <c r="V7" s="54">
        <f>IF($O7="","",ROUND(($O7-$O$3)/1000,1)+(_xlfn.RANK.AVG($O7,($J7,$O7,$T7),1)-2)*20)</f>
        <v>33.1</v>
      </c>
      <c r="W7" s="55">
        <f>IF($T7="","",ROUND(($T7-$T$3)/1000,1)+(_xlfn.RANK.AVG($T7,($J7,$O7,$T7),1)-2)*20)</f>
        <v>-29.5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199</v>
      </c>
      <c r="BV7" s="41" t="s">
        <v>86</v>
      </c>
      <c r="BW7" s="41" t="s">
        <v>203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-6000</v>
      </c>
      <c r="H8" s="9"/>
      <c r="I8" s="48">
        <v>0</v>
      </c>
      <c r="J8" s="21">
        <f t="shared" si="2"/>
        <v>25400</v>
      </c>
      <c r="K8" s="8" t="s">
        <v>201</v>
      </c>
      <c r="L8" s="9">
        <v>-6000</v>
      </c>
      <c r="M8" s="9"/>
      <c r="N8" s="48">
        <v>0</v>
      </c>
      <c r="O8" s="21">
        <f t="shared" si="3"/>
        <v>42100</v>
      </c>
      <c r="P8" s="8" t="s">
        <v>202</v>
      </c>
      <c r="Q8" s="9">
        <v>12000</v>
      </c>
      <c r="R8" s="9"/>
      <c r="S8" s="48">
        <v>0</v>
      </c>
      <c r="T8" s="21">
        <f t="shared" si="4"/>
        <v>37500</v>
      </c>
      <c r="U8" s="53">
        <f>IF($J8="","",ROUND(($J8-$J$3)/1000,1)+(_xlfn.RANK.AVG($J8,($J8,$O8,$T8),1)-2)*20)</f>
        <v>-29.6</v>
      </c>
      <c r="V8" s="54">
        <f>IF($O8="","",ROUND(($O8-$O$3)/1000,1)+(_xlfn.RANK.AVG($O8,($J8,$O8,$T8),1)-2)*20)</f>
        <v>27.1</v>
      </c>
      <c r="W8" s="55">
        <f>IF($T8="","",ROUND(($T8-$T$3)/1000,1)+(_xlfn.RANK.AVG($T8,($J8,$O8,$T8),1)-2)*20)</f>
        <v>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204</v>
      </c>
      <c r="BU8" s="40" t="s">
        <v>199</v>
      </c>
      <c r="BV8" s="41" t="s">
        <v>82</v>
      </c>
      <c r="BW8" s="41" t="s">
        <v>83</v>
      </c>
      <c r="BX8" s="41" t="s">
        <v>84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 t="s">
        <v>201</v>
      </c>
      <c r="G9" s="9">
        <v>-3000</v>
      </c>
      <c r="H9" s="9"/>
      <c r="I9" s="48">
        <v>-500</v>
      </c>
      <c r="J9" s="21">
        <f t="shared" si="2"/>
        <v>21900</v>
      </c>
      <c r="K9" s="8" t="s">
        <v>201</v>
      </c>
      <c r="L9" s="9">
        <v>-3000</v>
      </c>
      <c r="M9" s="9"/>
      <c r="N9" s="48">
        <v>-500</v>
      </c>
      <c r="O9" s="21">
        <f t="shared" si="3"/>
        <v>38600</v>
      </c>
      <c r="P9" s="8" t="s">
        <v>202</v>
      </c>
      <c r="Q9" s="9">
        <v>6000</v>
      </c>
      <c r="R9" s="9"/>
      <c r="S9" s="48">
        <v>1000</v>
      </c>
      <c r="T9" s="21">
        <f t="shared" si="4"/>
        <v>44500</v>
      </c>
      <c r="U9" s="53">
        <f>IF($J9="","",ROUND(($J9-$J$3)/1000,1)+(_xlfn.RANK.AVG($J9,($J9,$O9,$T9),1)-2)*20)</f>
        <v>-33.1</v>
      </c>
      <c r="V9" s="54">
        <f>IF($O9="","",ROUND(($O9-$O$3)/1000,1)+(_xlfn.RANK.AVG($O9,($J9,$O9,$T9),1)-2)*20)</f>
        <v>3.6</v>
      </c>
      <c r="W9" s="55">
        <f>IF($T9="","",ROUND(($T9-$T$3)/1000,1)+(_xlfn.RANK.AVG($T9,($J9,$O9,$T9),1)-2)*20)</f>
        <v>29.5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199</v>
      </c>
      <c r="BV9" s="41" t="s">
        <v>82</v>
      </c>
      <c r="BW9" s="41" t="s">
        <v>203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1200</v>
      </c>
      <c r="H10" s="9">
        <v>1000</v>
      </c>
      <c r="I10" s="48">
        <v>2000</v>
      </c>
      <c r="J10" s="21">
        <f t="shared" si="2"/>
        <v>26100</v>
      </c>
      <c r="K10" s="8" t="s">
        <v>201</v>
      </c>
      <c r="L10" s="9">
        <v>-500</v>
      </c>
      <c r="M10" s="9">
        <v>-1000</v>
      </c>
      <c r="N10" s="48">
        <v>-1000</v>
      </c>
      <c r="O10" s="21">
        <f t="shared" si="3"/>
        <v>36100</v>
      </c>
      <c r="P10" s="8" t="s">
        <v>201</v>
      </c>
      <c r="Q10" s="9">
        <v>-700</v>
      </c>
      <c r="R10" s="9"/>
      <c r="S10" s="48">
        <v>-1000</v>
      </c>
      <c r="T10" s="21">
        <f t="shared" si="4"/>
        <v>42800</v>
      </c>
      <c r="U10" s="53">
        <f>IF($J10="","",ROUND(($J10-$J$3)/1000,1)+(_xlfn.RANK.AVG($J10,($J10,$O10,$T10),1)-2)*20)</f>
        <v>-28.9</v>
      </c>
      <c r="V10" s="54">
        <f>IF($O10="","",ROUND(($O10-$O$3)/1000,1)+(_xlfn.RANK.AVG($O10,($J10,$O10,$T10),1)-2)*20)</f>
        <v>1.1000000000000001</v>
      </c>
      <c r="W10" s="55">
        <f>IF($T10="","",ROUND(($T10-$T$3)/1000,1)+(_xlfn.RANK.AVG($T10,($J10,$O10,$T10),1)-2)*20)</f>
        <v>27.8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 t="s">
        <v>197</v>
      </c>
      <c r="G11" s="9">
        <v>5800</v>
      </c>
      <c r="H11" s="9"/>
      <c r="I11" s="48"/>
      <c r="J11" s="21">
        <f t="shared" si="2"/>
        <v>31900</v>
      </c>
      <c r="K11" s="8" t="s">
        <v>198</v>
      </c>
      <c r="L11" s="9">
        <v>-11000</v>
      </c>
      <c r="M11" s="9"/>
      <c r="N11" s="48">
        <v>0</v>
      </c>
      <c r="O11" s="21">
        <f t="shared" si="3"/>
        <v>25100</v>
      </c>
      <c r="P11" s="8" t="s">
        <v>197</v>
      </c>
      <c r="Q11" s="9">
        <v>5200</v>
      </c>
      <c r="R11" s="9"/>
      <c r="S11" s="48">
        <v>0</v>
      </c>
      <c r="T11" s="21">
        <f t="shared" si="4"/>
        <v>48000</v>
      </c>
      <c r="U11" s="53">
        <f>IF($J11="","",ROUND(($J11-$J$3)/1000,1)+(_xlfn.RANK.AVG($J11,($J11,$O11,$T11),1)-2)*20)</f>
        <v>-3.1</v>
      </c>
      <c r="V11" s="54">
        <f>IF($O11="","",ROUND(($O11-$O$3)/1000,1)+(_xlfn.RANK.AVG($O11,($J11,$O11,$T11),1)-2)*20)</f>
        <v>-29.9</v>
      </c>
      <c r="W11" s="55">
        <f>IF($T11="","",ROUND(($T11-$T$3)/1000,1)+(_xlfn.RANK.AVG($T11,($J11,$O11,$T11),1)-2)*20)</f>
        <v>33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79</v>
      </c>
      <c r="AG11" s="41" t="s">
        <v>203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199</v>
      </c>
      <c r="BV11" s="41" t="s">
        <v>79</v>
      </c>
      <c r="BW11" s="41" t="s">
        <v>80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197</v>
      </c>
      <c r="G12" s="9">
        <v>3900</v>
      </c>
      <c r="H12" s="9">
        <v>1000</v>
      </c>
      <c r="I12" s="48">
        <v>1000</v>
      </c>
      <c r="J12" s="21">
        <f t="shared" si="2"/>
        <v>37800</v>
      </c>
      <c r="K12" s="8"/>
      <c r="L12" s="9"/>
      <c r="M12" s="9"/>
      <c r="N12" s="48"/>
      <c r="O12" s="21">
        <f t="shared" si="3"/>
        <v>25100</v>
      </c>
      <c r="P12" s="8" t="s">
        <v>198</v>
      </c>
      <c r="Q12" s="9">
        <v>-3900</v>
      </c>
      <c r="R12" s="9">
        <v>-1000</v>
      </c>
      <c r="S12" s="48">
        <v>-1000</v>
      </c>
      <c r="T12" s="21">
        <f t="shared" si="4"/>
        <v>42100</v>
      </c>
      <c r="U12" s="53">
        <f>IF($J12="","",ROUND(($J12-$J$3)/1000,1)+(_xlfn.RANK.AVG($J12,($J12,$O12,$T12),1)-2)*20)</f>
        <v>2.8</v>
      </c>
      <c r="V12" s="54">
        <f>IF($O12="","",ROUND(($O12-$O$3)/1000,1)+(_xlfn.RANK.AVG($O12,($J12,$O12,$T12),1)-2)*20)</f>
        <v>-29.9</v>
      </c>
      <c r="W12" s="55">
        <f>IF($T12="","",ROUND(($T12-$T$3)/1000,1)+(_xlfn.RANK.AVG($T12,($J12,$O12,$T12),1)-2)*20)</f>
        <v>27.1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199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IF($F$1="","",$F$1)</f>
        <v>ただ</v>
      </c>
      <c r="F13" s="8" t="s">
        <v>198</v>
      </c>
      <c r="G13" s="9">
        <v>-12000</v>
      </c>
      <c r="H13" s="9"/>
      <c r="I13" s="48">
        <v>-2000</v>
      </c>
      <c r="J13" s="21">
        <f t="shared" si="2"/>
        <v>23800</v>
      </c>
      <c r="K13" s="8" t="s">
        <v>197</v>
      </c>
      <c r="L13" s="9">
        <v>12000</v>
      </c>
      <c r="M13" s="9"/>
      <c r="N13" s="48">
        <v>2000</v>
      </c>
      <c r="O13" s="21">
        <f t="shared" si="3"/>
        <v>39100</v>
      </c>
      <c r="P13" s="8"/>
      <c r="Q13" s="9"/>
      <c r="R13" s="9"/>
      <c r="S13" s="48"/>
      <c r="T13" s="21">
        <f t="shared" si="4"/>
        <v>42100</v>
      </c>
      <c r="U13" s="53">
        <f>IF($J13="","",ROUND(($J13-$J$3)/1000,1)+(_xlfn.RANK.AVG($J13,($J13,$O13,$T13),1)-2)*20)</f>
        <v>-31.2</v>
      </c>
      <c r="V13" s="54">
        <f>IF($O13="","",ROUND(($O13-$O$3)/1000,1)+(_xlfn.RANK.AVG($O13,($J13,$O13,$T13),1)-2)*20)</f>
        <v>4.0999999999999996</v>
      </c>
      <c r="W13" s="55">
        <f>IF($T13="","",ROUND(($T13-$T$3)/1000,1)+(_xlfn.RANK.AVG($T13,($J13,$O13,$T13),1)-2)*20)</f>
        <v>27.1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204</v>
      </c>
      <c r="AZ13" s="40" t="s">
        <v>199</v>
      </c>
      <c r="BA13" s="41" t="s">
        <v>104</v>
      </c>
      <c r="BB13" s="41" t="s">
        <v>86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IF($K$1="","",$K$1)</f>
        <v>だいち</v>
      </c>
      <c r="F14" s="8" t="s">
        <v>201</v>
      </c>
      <c r="G14" s="9">
        <v>-800</v>
      </c>
      <c r="H14" s="9"/>
      <c r="I14" s="48">
        <v>0</v>
      </c>
      <c r="J14" s="21">
        <f t="shared" si="2"/>
        <v>23000</v>
      </c>
      <c r="K14" s="8" t="s">
        <v>201</v>
      </c>
      <c r="L14" s="9">
        <v>-1300</v>
      </c>
      <c r="M14" s="9"/>
      <c r="N14" s="48">
        <v>0</v>
      </c>
      <c r="O14" s="21">
        <f t="shared" si="3"/>
        <v>37800</v>
      </c>
      <c r="P14" s="8" t="s">
        <v>202</v>
      </c>
      <c r="Q14" s="9">
        <v>2100</v>
      </c>
      <c r="R14" s="9"/>
      <c r="S14" s="48">
        <v>0</v>
      </c>
      <c r="T14" s="21">
        <f t="shared" si="4"/>
        <v>44200</v>
      </c>
      <c r="U14" s="53">
        <f>IF($J14="","",ROUND(($J14-$J$3)/1000,1)+(_xlfn.RANK.AVG($J14,($J14,$O14,$T14),1)-2)*20)</f>
        <v>-32</v>
      </c>
      <c r="V14" s="54">
        <f>IF($O14="","",ROUND(($O14-$O$3)/1000,1)+(_xlfn.RANK.AVG($O14,($J14,$O14,$T14),1)-2)*20)</f>
        <v>2.8</v>
      </c>
      <c r="W14" s="55">
        <f>IF($T14="","",ROUND(($T14-$T$3)/1000,1)+(_xlfn.RANK.AVG($T14,($J14,$O14,$T14),1)-2)*20)</f>
        <v>29.2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2</v>
      </c>
      <c r="BT14" s="30">
        <v>30</v>
      </c>
      <c r="BU14" s="40" t="s">
        <v>82</v>
      </c>
      <c r="BV14" s="41" t="s">
        <v>79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97506B1D-5A46-4E03-85CA-0D1B4A1FAFA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A66E7E6B-878C-4E05-A3BD-73AE86FE5D6A}">
      <formula1>"ロン,ツモ,放銃,ツモ支払,流局,チョンボ"</formula1>
    </dataValidation>
    <dataValidation type="list" allowBlank="1" showInputMessage="1" showErrorMessage="1" sqref="E4:E30" xr:uid="{2A187A6B-BE22-4A30-ABB8-5E464951181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FD341-8D7D-4843-BD55-7D6F5B1277CE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-9600</v>
      </c>
      <c r="M4" s="9">
        <v>-1000</v>
      </c>
      <c r="N4" s="48">
        <v>0</v>
      </c>
      <c r="O4" s="21">
        <f>IF(COUNTA($F4,$K4,$P4)&gt;0,O3+SUM(L4:N4),"")</f>
        <v>24400</v>
      </c>
      <c r="P4" s="8" t="s">
        <v>197</v>
      </c>
      <c r="Q4" s="9">
        <v>9600</v>
      </c>
      <c r="R4" s="9">
        <v>1000</v>
      </c>
      <c r="S4" s="48">
        <v>0</v>
      </c>
      <c r="T4" s="21">
        <f>IF(COUNTA($F4,$K4,$P4)&gt;0,T3+SUM(Q4:S4),"")</f>
        <v>45600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-30.6</v>
      </c>
      <c r="W4" s="55">
        <f>IF($T4="","",ROUND(($T4-$T$3)/1000,1)+(_xlfn.RANK.AVG($T4,($J4,$O4,$T4),1)-2)*20)</f>
        <v>30.6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199</v>
      </c>
      <c r="BV4" s="41" t="s">
        <v>203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198</v>
      </c>
      <c r="L5" s="9">
        <v>-18000</v>
      </c>
      <c r="M5" s="9"/>
      <c r="N5" s="48">
        <v>-1000</v>
      </c>
      <c r="O5" s="21">
        <f t="shared" ref="O5:O30" si="3">IF(COUNTA($F5,$K5,$P5)&gt;0,O4+SUM(L5:N5),"")</f>
        <v>5400</v>
      </c>
      <c r="P5" s="8" t="s">
        <v>197</v>
      </c>
      <c r="Q5" s="9">
        <v>18000</v>
      </c>
      <c r="R5" s="9"/>
      <c r="S5" s="48">
        <v>1000</v>
      </c>
      <c r="T5" s="21">
        <f t="shared" ref="T5:T30" si="4">IF(COUNTA($F5,$K5,$P5)&gt;0,T4+SUM(Q5:S5),"")</f>
        <v>64600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-49.6</v>
      </c>
      <c r="W5" s="55">
        <f>IF($T5="","",ROUND(($T5-$T$3)/1000,1)+(_xlfn.RANK.AVG($T5,($J5,$O5,$T5),1)-2)*20)</f>
        <v>49.6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204</v>
      </c>
      <c r="BU5" s="40" t="s">
        <v>199</v>
      </c>
      <c r="BV5" s="41" t="s">
        <v>101</v>
      </c>
      <c r="BW5" s="41" t="s">
        <v>79</v>
      </c>
      <c r="BX5" s="41" t="s">
        <v>79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れんたろう</v>
      </c>
      <c r="F6" s="8" t="s">
        <v>197</v>
      </c>
      <c r="G6" s="9">
        <v>5200</v>
      </c>
      <c r="H6" s="9"/>
      <c r="I6" s="48">
        <v>2000</v>
      </c>
      <c r="J6" s="21">
        <f t="shared" si="2"/>
        <v>42200</v>
      </c>
      <c r="K6" s="8" t="s">
        <v>198</v>
      </c>
      <c r="L6" s="9">
        <v>-5200</v>
      </c>
      <c r="M6" s="9"/>
      <c r="N6" s="48">
        <v>-2000</v>
      </c>
      <c r="O6" s="21">
        <f t="shared" si="3"/>
        <v>-1800</v>
      </c>
      <c r="P6" s="8"/>
      <c r="Q6" s="9"/>
      <c r="R6" s="9"/>
      <c r="S6" s="48"/>
      <c r="T6" s="21">
        <f t="shared" si="4"/>
        <v>64600</v>
      </c>
      <c r="U6" s="53">
        <f>IF($J6="","",ROUND(($J6-$J$3)/1000,1)+(_xlfn.RANK.AVG($J6,($J6,$O6,$T6),1)-2)*20)</f>
        <v>7.2</v>
      </c>
      <c r="V6" s="54">
        <f>IF($O6="","",ROUND(($O6-$O$3)/1000,1)+(_xlfn.RANK.AVG($O6,($J6,$O6,$T6),1)-2)*20)</f>
        <v>-56.8</v>
      </c>
      <c r="W6" s="55">
        <f>IF($T6="","",ROUND(($T6-$T$3)/1000,1)+(_xlfn.RANK.AVG($T6,($J6,$O6,$T6),1)-2)*20)</f>
        <v>49.6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199</v>
      </c>
      <c r="AF6" s="41" t="s">
        <v>79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F659651B-B9BF-4235-989F-4E52F88C2DB4}">
      <formula1>$U$2:$W$2</formula1>
    </dataValidation>
    <dataValidation type="list" showInputMessage="1" showErrorMessage="1" sqref="K4:K30 P4:P30 F4:F30" xr:uid="{B2DCAA59-2E76-43DE-A36A-DC0F137949FC}">
      <formula1>"ロン,ツモ,放銃,ツモ支払,流局,チョンボ"</formula1>
    </dataValidation>
    <dataValidation type="list" allowBlank="1" showInputMessage="1" sqref="F1:T1" xr:uid="{9C41D8CF-D085-4A24-8848-A7340A648D4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E9ED5-F20B-4683-A5C0-EA5F16B6F8B4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 t="s">
        <v>198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197</v>
      </c>
      <c r="L4" s="9">
        <v>5200</v>
      </c>
      <c r="M4" s="9">
        <v>1000</v>
      </c>
      <c r="N4" s="48">
        <v>0</v>
      </c>
      <c r="O4" s="21">
        <f>IF(COUNTA($F4,$K4,$P4)&gt;0,O3+SUM(L4:N4),"")</f>
        <v>41200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-25.2</v>
      </c>
      <c r="V4" s="54">
        <f>IF($O4="","",ROUND(($O4-$O$3)/1000,1)+(_xlfn.RANK.AVG($O4,($J4,$O4,$T4),1)-2)*20)</f>
        <v>26.2</v>
      </c>
      <c r="W4" s="55">
        <f>IF($T4="","",ROUND(($T4-$T$3)/1000,1)+(_xlfn.RANK.AVG($T4,($J4,$O4,$T4),1)-2)*20)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86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202</v>
      </c>
      <c r="G5" s="9">
        <v>3000</v>
      </c>
      <c r="H5" s="9"/>
      <c r="I5" s="48">
        <v>0</v>
      </c>
      <c r="J5" s="21">
        <f t="shared" ref="J5:J30" si="2">IF(COUNTA($F5,$K5,$P5)&gt;0,J4+SUM(G5:I5),"")</f>
        <v>32800</v>
      </c>
      <c r="K5" s="8" t="s">
        <v>201</v>
      </c>
      <c r="L5" s="9">
        <v>-1500</v>
      </c>
      <c r="M5" s="9"/>
      <c r="N5" s="48">
        <v>0</v>
      </c>
      <c r="O5" s="21">
        <f t="shared" ref="O5:O30" si="3">IF(COUNTA($F5,$K5,$P5)&gt;0,O4+SUM(L5:N5),"")</f>
        <v>39700</v>
      </c>
      <c r="P5" s="8" t="s">
        <v>201</v>
      </c>
      <c r="Q5" s="9">
        <v>-1500</v>
      </c>
      <c r="R5" s="9"/>
      <c r="S5" s="48">
        <v>0</v>
      </c>
      <c r="T5" s="21">
        <f t="shared" ref="T5:T30" si="4">IF(COUNTA($F5,$K5,$P5)&gt;0,T4+SUM(Q5:S5),"")</f>
        <v>32500</v>
      </c>
      <c r="U5" s="53">
        <f>IF($J5="","",ROUND(($J5-$J$3)/1000,1)+(_xlfn.RANK.AVG($J5,($J5,$O5,$T5),1)-2)*20)</f>
        <v>-2.2000000000000002</v>
      </c>
      <c r="V5" s="54">
        <f>IF($O5="","",ROUND(($O5-$O$3)/1000,1)+(_xlfn.RANK.AVG($O5,($J5,$O5,$T5),1)-2)*20)</f>
        <v>24.7</v>
      </c>
      <c r="W5" s="55">
        <f>IF($T5="","",ROUND(($T5-$T$3)/1000,1)+(_xlfn.RANK.AVG($T5,($J5,$O5,$T5),1)-2)*20)</f>
        <v>-22.5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ただ</v>
      </c>
      <c r="F6" s="8" t="s">
        <v>202</v>
      </c>
      <c r="G6" s="9">
        <v>18000</v>
      </c>
      <c r="H6" s="9">
        <v>1000</v>
      </c>
      <c r="I6" s="48">
        <v>1000</v>
      </c>
      <c r="J6" s="21">
        <f t="shared" si="2"/>
        <v>52800</v>
      </c>
      <c r="K6" s="8" t="s">
        <v>201</v>
      </c>
      <c r="L6" s="9">
        <v>-9000</v>
      </c>
      <c r="M6" s="9"/>
      <c r="N6" s="48">
        <v>-500</v>
      </c>
      <c r="O6" s="21">
        <f t="shared" si="3"/>
        <v>30200</v>
      </c>
      <c r="P6" s="8" t="s">
        <v>201</v>
      </c>
      <c r="Q6" s="9">
        <v>-9000</v>
      </c>
      <c r="R6" s="9">
        <v>-1000</v>
      </c>
      <c r="S6" s="48">
        <v>-500</v>
      </c>
      <c r="T6" s="21">
        <f t="shared" si="4"/>
        <v>22000</v>
      </c>
      <c r="U6" s="53">
        <f>IF($J6="","",ROUND(($J6-$J$3)/1000,1)+(_xlfn.RANK.AVG($J6,($J6,$O6,$T6),1)-2)*20)</f>
        <v>37.799999999999997</v>
      </c>
      <c r="V6" s="54">
        <f>IF($O6="","",ROUND(($O6-$O$3)/1000,1)+(_xlfn.RANK.AVG($O6,($J6,$O6,$T6),1)-2)*20)</f>
        <v>-4.8</v>
      </c>
      <c r="W6" s="55">
        <f>IF($T6="","",ROUND(($T6-$T$3)/1000,1)+(_xlfn.RANK.AVG($T6,($J6,$O6,$T6),1)-2)*20)</f>
        <v>-33</v>
      </c>
      <c r="Y6" s="8"/>
      <c r="Z6" s="34"/>
      <c r="AA6" s="26">
        <v>1</v>
      </c>
      <c r="AB6" s="26"/>
      <c r="AC6" s="26">
        <v>7</v>
      </c>
      <c r="AD6" s="30" t="s">
        <v>204</v>
      </c>
      <c r="AE6" s="40" t="s">
        <v>199</v>
      </c>
      <c r="AF6" s="41" t="s">
        <v>82</v>
      </c>
      <c r="AG6" s="41" t="s">
        <v>200</v>
      </c>
      <c r="AH6" s="41" t="s">
        <v>79</v>
      </c>
      <c r="AI6" s="41" t="s">
        <v>79</v>
      </c>
      <c r="AJ6" s="41" t="s">
        <v>79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ただ</v>
      </c>
      <c r="F7" s="8" t="s">
        <v>207</v>
      </c>
      <c r="G7" s="9">
        <v>0</v>
      </c>
      <c r="H7" s="9"/>
      <c r="I7" s="48"/>
      <c r="J7" s="21">
        <f t="shared" si="2"/>
        <v>52800</v>
      </c>
      <c r="K7" s="8" t="s">
        <v>207</v>
      </c>
      <c r="L7" s="9">
        <v>0</v>
      </c>
      <c r="M7" s="9"/>
      <c r="N7" s="48"/>
      <c r="O7" s="21">
        <f t="shared" si="3"/>
        <v>30200</v>
      </c>
      <c r="P7" s="8" t="s">
        <v>207</v>
      </c>
      <c r="Q7" s="9">
        <v>0</v>
      </c>
      <c r="R7" s="9"/>
      <c r="S7" s="48"/>
      <c r="T7" s="21">
        <f t="shared" si="4"/>
        <v>22000</v>
      </c>
      <c r="U7" s="53">
        <f>IF($J7="","",ROUND(($J7-$J$3)/1000,1)+(_xlfn.RANK.AVG($J7,($J7,$O7,$T7),1)-2)*20)</f>
        <v>37.799999999999997</v>
      </c>
      <c r="V7" s="54">
        <f>IF($O7="","",ROUND(($O7-$O$3)/1000,1)+(_xlfn.RANK.AVG($O7,($J7,$O7,$T7),1)-2)*20)</f>
        <v>-4.8</v>
      </c>
      <c r="W7" s="55">
        <f>IF($T7="","",ROUND(($T7-$T$3)/1000,1)+(_xlfn.RANK.AVG($T7,($J7,$O7,$T7),1)-2)*20)</f>
        <v>-33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3900</v>
      </c>
      <c r="H8" s="9"/>
      <c r="I8" s="48">
        <v>3000</v>
      </c>
      <c r="J8" s="21">
        <f t="shared" si="2"/>
        <v>59700</v>
      </c>
      <c r="K8" s="8"/>
      <c r="L8" s="9"/>
      <c r="M8" s="9"/>
      <c r="N8" s="48"/>
      <c r="O8" s="21">
        <f t="shared" si="3"/>
        <v>30200</v>
      </c>
      <c r="P8" s="8" t="s">
        <v>198</v>
      </c>
      <c r="Q8" s="9">
        <v>-3900</v>
      </c>
      <c r="R8" s="9"/>
      <c r="S8" s="48">
        <v>-3000</v>
      </c>
      <c r="T8" s="21">
        <f t="shared" si="4"/>
        <v>15100</v>
      </c>
      <c r="U8" s="53">
        <f>IF($J8="","",ROUND(($J8-$J$3)/1000,1)+(_xlfn.RANK.AVG($J8,($J8,$O8,$T8),1)-2)*20)</f>
        <v>44.7</v>
      </c>
      <c r="V8" s="54">
        <f>IF($O8="","",ROUND(($O8-$O$3)/1000,1)+(_xlfn.RANK.AVG($O8,($J8,$O8,$T8),1)-2)*20)</f>
        <v>-4.8</v>
      </c>
      <c r="W8" s="55">
        <f>IF($T8="","",ROUND(($T8-$T$3)/1000,1)+(_xlfn.RANK.AVG($T8,($J8,$O8,$T8),1)-2)*20)</f>
        <v>-39.9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199</v>
      </c>
      <c r="AF8" s="41" t="s">
        <v>80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tr">
        <f>IF($F$1="","",$F$1)</f>
        <v>ただ</v>
      </c>
      <c r="F9" s="8" t="s">
        <v>207</v>
      </c>
      <c r="G9" s="9">
        <v>0</v>
      </c>
      <c r="H9" s="9"/>
      <c r="I9" s="48"/>
      <c r="J9" s="21">
        <f t="shared" si="2"/>
        <v>59700</v>
      </c>
      <c r="K9" s="8" t="s">
        <v>207</v>
      </c>
      <c r="L9" s="9">
        <v>0</v>
      </c>
      <c r="M9" s="9"/>
      <c r="N9" s="48"/>
      <c r="O9" s="21">
        <f t="shared" si="3"/>
        <v>30200</v>
      </c>
      <c r="P9" s="8" t="s">
        <v>207</v>
      </c>
      <c r="Q9" s="9">
        <v>0</v>
      </c>
      <c r="R9" s="9"/>
      <c r="S9" s="48"/>
      <c r="T9" s="21">
        <f t="shared" si="4"/>
        <v>15100</v>
      </c>
      <c r="U9" s="53">
        <f>IF($J9="","",ROUND(($J9-$J$3)/1000,1)+(_xlfn.RANK.AVG($J9,($J9,$O9,$T9),1)-2)*20)</f>
        <v>44.7</v>
      </c>
      <c r="V9" s="54">
        <f>IF($O9="","",ROUND(($O9-$O$3)/1000,1)+(_xlfn.RANK.AVG($O9,($J9,$O9,$T9),1)-2)*20)</f>
        <v>-4.8</v>
      </c>
      <c r="W9" s="55">
        <f>IF($T9="","",ROUND(($T9-$T$3)/1000,1)+(_xlfn.RANK.AVG($T9,($J9,$O9,$T9),1)-2)*20)</f>
        <v>-39.9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tr">
        <f>IF($K$1="","",$K$1)</f>
        <v>だいち</v>
      </c>
      <c r="F10" s="8" t="s">
        <v>197</v>
      </c>
      <c r="G10" s="9">
        <v>2000</v>
      </c>
      <c r="H10" s="9"/>
      <c r="I10" s="48">
        <v>5000</v>
      </c>
      <c r="J10" s="21">
        <f t="shared" si="2"/>
        <v>66700</v>
      </c>
      <c r="K10" s="8"/>
      <c r="L10" s="9"/>
      <c r="M10" s="9"/>
      <c r="N10" s="48"/>
      <c r="O10" s="21">
        <f t="shared" si="3"/>
        <v>30200</v>
      </c>
      <c r="P10" s="8" t="s">
        <v>198</v>
      </c>
      <c r="Q10" s="9">
        <v>-2000</v>
      </c>
      <c r="R10" s="9"/>
      <c r="S10" s="48">
        <v>-5000</v>
      </c>
      <c r="T10" s="21">
        <f t="shared" si="4"/>
        <v>8100</v>
      </c>
      <c r="U10" s="53">
        <f>IF($J10="","",ROUND(($J10-$J$3)/1000,1)+(_xlfn.RANK.AVG($J10,($J10,$O10,$T10),1)-2)*20)</f>
        <v>51.7</v>
      </c>
      <c r="V10" s="54">
        <f>IF($O10="","",ROUND(($O10-$O$3)/1000,1)+(_xlfn.RANK.AVG($O10,($J10,$O10,$T10),1)-2)*20)</f>
        <v>-4.8</v>
      </c>
      <c r="W10" s="55">
        <f>IF($T10="","",ROUND(($T10-$T$3)/1000,1)+(_xlfn.RANK.AVG($T10,($J10,$O10,$T10),1)-2)*20)</f>
        <v>-46.9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203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197</v>
      </c>
      <c r="G11" s="9">
        <v>2600</v>
      </c>
      <c r="H11" s="9">
        <v>2000</v>
      </c>
      <c r="I11" s="48">
        <v>0</v>
      </c>
      <c r="J11" s="21">
        <f t="shared" si="2"/>
        <v>71300</v>
      </c>
      <c r="K11" s="8" t="s">
        <v>198</v>
      </c>
      <c r="L11" s="9">
        <v>-2600</v>
      </c>
      <c r="M11" s="9">
        <v>-1000</v>
      </c>
      <c r="N11" s="48">
        <v>0</v>
      </c>
      <c r="O11" s="21">
        <f t="shared" si="3"/>
        <v>26600</v>
      </c>
      <c r="P11" s="8"/>
      <c r="Q11" s="9"/>
      <c r="R11" s="9">
        <v>-1000</v>
      </c>
      <c r="S11" s="48"/>
      <c r="T11" s="21">
        <f t="shared" si="4"/>
        <v>7100</v>
      </c>
      <c r="U11" s="53">
        <f>IF($J11="","",ROUND(($J11-$J$3)/1000,1)+(_xlfn.RANK.AVG($J11,($J11,$O11,$T11),1)-2)*20)</f>
        <v>56.3</v>
      </c>
      <c r="V11" s="54">
        <f>IF($O11="","",ROUND(($O11-$O$3)/1000,1)+(_xlfn.RANK.AVG($O11,($J11,$O11,$T11),1)-2)*20)</f>
        <v>-8.4</v>
      </c>
      <c r="W11" s="55">
        <f>IF($T11="","",ROUND(($T11-$T$3)/1000,1)+(_xlfn.RANK.AVG($T11,($J11,$O11,$T11),1)-2)*20)</f>
        <v>-47.9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199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ただ</v>
      </c>
      <c r="F12" s="8" t="s">
        <v>201</v>
      </c>
      <c r="G12" s="9">
        <v>-20000</v>
      </c>
      <c r="H12" s="9"/>
      <c r="I12" s="48">
        <v>0</v>
      </c>
      <c r="J12" s="21">
        <f t="shared" si="2"/>
        <v>51300</v>
      </c>
      <c r="K12" s="8" t="s">
        <v>202</v>
      </c>
      <c r="L12" s="9">
        <v>32000</v>
      </c>
      <c r="M12" s="9"/>
      <c r="N12" s="48">
        <v>0</v>
      </c>
      <c r="O12" s="21">
        <f t="shared" si="3"/>
        <v>58600</v>
      </c>
      <c r="P12" s="8" t="s">
        <v>201</v>
      </c>
      <c r="Q12" s="9">
        <v>-12000</v>
      </c>
      <c r="R12" s="9"/>
      <c r="S12" s="48">
        <v>0</v>
      </c>
      <c r="T12" s="21">
        <f t="shared" si="4"/>
        <v>-4900</v>
      </c>
      <c r="U12" s="53">
        <f>IF($J12="","",ROUND(($J12-$J$3)/1000,1)+(_xlfn.RANK.AVG($J12,($J12,$O12,$T12),1)-2)*20)</f>
        <v>16.3</v>
      </c>
      <c r="V12" s="54">
        <f>IF($O12="","",ROUND(($O12-$O$3)/1000,1)+(_xlfn.RANK.AVG($O12,($J12,$O12,$T12),1)-2)*20)</f>
        <v>43.6</v>
      </c>
      <c r="W12" s="55">
        <f>IF($T12="","",ROUND(($T12-$T$3)/1000,1)+(_xlfn.RANK.AVG($T12,($J12,$O12,$T12),1)-2)*20)</f>
        <v>-59.9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13</v>
      </c>
      <c r="AY12" s="30" t="s">
        <v>204</v>
      </c>
      <c r="AZ12" s="40" t="s">
        <v>108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A53FFB4-0C72-4EAE-9210-65FCB9622204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36B17A8E-76AB-46AE-BF83-7A5F34973361}">
      <formula1>"ロン,ツモ,放銃,ツモ支払,流局,チョンボ"</formula1>
    </dataValidation>
    <dataValidation type="list" allowBlank="1" showInputMessage="1" showErrorMessage="1" sqref="E4:E30" xr:uid="{1E312F87-A317-4FCB-B9B0-262B3E13FAC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3045-AF70-44A1-ACB1-A67AA8327330}">
  <sheetPr codeName="Sheet2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26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-13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82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198</v>
      </c>
      <c r="G5" s="9">
        <v>-7700</v>
      </c>
      <c r="H5" s="9"/>
      <c r="I5" s="48">
        <v>-1000</v>
      </c>
      <c r="J5" s="21">
        <f t="shared" ref="J5:J30" si="2">IF(COUNTA($F5,$K5,$P5)&gt;0,J4+SUM(G5:I5),"")</f>
        <v>32300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197</v>
      </c>
      <c r="Q5" s="9">
        <v>7700</v>
      </c>
      <c r="R5" s="9"/>
      <c r="S5" s="48">
        <v>1000</v>
      </c>
      <c r="T5" s="21">
        <f t="shared" ref="T5:T30" si="4">IF(COUNTA($F5,$K5,$P5)&gt;0,T4+SUM(Q5:S5),"")</f>
        <v>40700</v>
      </c>
      <c r="U5" s="53">
        <f>IF($J5="","",ROUND(($J5-$J$3)/1000,1)+(_xlfn.RANK.AVG($J5,($J5,$O5,$T5),1)-2)*20)</f>
        <v>-2.7</v>
      </c>
      <c r="V5" s="54">
        <f>IF($O5="","",ROUND(($O5-$O$3)/1000,1)+(_xlfn.RANK.AVG($O5,($J5,$O5,$T5),1)-2)*20)</f>
        <v>-23</v>
      </c>
      <c r="W5" s="55">
        <f>IF($T5="","",ROUND(($T5-$T$3)/1000,1)+(_xlfn.RANK.AVG($T5,($J5,$O5,$T5),1)-2)*20)</f>
        <v>25.7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199</v>
      </c>
      <c r="BV5" s="41" t="s">
        <v>83</v>
      </c>
      <c r="BW5" s="41" t="s">
        <v>84</v>
      </c>
      <c r="BX5" s="41" t="s">
        <v>200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32300</v>
      </c>
      <c r="K6" s="8" t="s">
        <v>198</v>
      </c>
      <c r="L6" s="9">
        <v>-3900</v>
      </c>
      <c r="M6" s="9">
        <v>-1000</v>
      </c>
      <c r="N6" s="48">
        <v>0</v>
      </c>
      <c r="O6" s="21">
        <f t="shared" si="3"/>
        <v>27100</v>
      </c>
      <c r="P6" s="8" t="s">
        <v>197</v>
      </c>
      <c r="Q6" s="9">
        <v>3900</v>
      </c>
      <c r="R6" s="9">
        <v>1000</v>
      </c>
      <c r="S6" s="48">
        <v>0</v>
      </c>
      <c r="T6" s="21">
        <f t="shared" si="4"/>
        <v>45600</v>
      </c>
      <c r="U6" s="53">
        <f>IF($J6="","",ROUND(($J6-$J$3)/1000,1)+(_xlfn.RANK.AVG($J6,($J6,$O6,$T6),1)-2)*20)</f>
        <v>-2.7</v>
      </c>
      <c r="V6" s="54">
        <f>IF($O6="","",ROUND(($O6-$O$3)/1000,1)+(_xlfn.RANK.AVG($O6,($J6,$O6,$T6),1)-2)*20)</f>
        <v>-27.9</v>
      </c>
      <c r="W6" s="55">
        <f>IF($T6="","",ROUND(($T6-$T$3)/1000,1)+(_xlfn.RANK.AVG($T6,($J6,$O6,$T6),1)-2)*20)</f>
        <v>30.6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199</v>
      </c>
      <c r="BV6" s="41" t="s">
        <v>83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32300</v>
      </c>
      <c r="K7" s="8" t="s">
        <v>198</v>
      </c>
      <c r="L7" s="9">
        <v>-3900</v>
      </c>
      <c r="M7" s="9"/>
      <c r="N7" s="48">
        <v>0</v>
      </c>
      <c r="O7" s="21">
        <f t="shared" si="3"/>
        <v>23200</v>
      </c>
      <c r="P7" s="8" t="s">
        <v>197</v>
      </c>
      <c r="Q7" s="9">
        <v>3900</v>
      </c>
      <c r="R7" s="9"/>
      <c r="S7" s="48">
        <v>0</v>
      </c>
      <c r="T7" s="21">
        <f t="shared" si="4"/>
        <v>49500</v>
      </c>
      <c r="U7" s="53">
        <f>IF($J7="","",ROUND(($J7-$J$3)/1000,1)+(_xlfn.RANK.AVG($J7,($J7,$O7,$T7),1)-2)*20)</f>
        <v>-2.7</v>
      </c>
      <c r="V7" s="54">
        <f>IF($O7="","",ROUND(($O7-$O$3)/1000,1)+(_xlfn.RANK.AVG($O7,($J7,$O7,$T7),1)-2)*20)</f>
        <v>-31.8</v>
      </c>
      <c r="W7" s="55">
        <f>IF($T7="","",ROUND(($T7-$T$3)/1000,1)+(_xlfn.RANK.AVG($T7,($J7,$O7,$T7),1)-2)*20)</f>
        <v>34.5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40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32300</v>
      </c>
      <c r="K8" s="8" t="s">
        <v>197</v>
      </c>
      <c r="L8" s="9">
        <v>2000</v>
      </c>
      <c r="M8" s="9"/>
      <c r="N8" s="48">
        <v>1000</v>
      </c>
      <c r="O8" s="21">
        <f t="shared" si="3"/>
        <v>26200</v>
      </c>
      <c r="P8" s="8" t="s">
        <v>198</v>
      </c>
      <c r="Q8" s="9">
        <v>-2000</v>
      </c>
      <c r="R8" s="9"/>
      <c r="S8" s="48">
        <v>-1000</v>
      </c>
      <c r="T8" s="21">
        <f t="shared" si="4"/>
        <v>46500</v>
      </c>
      <c r="U8" s="53">
        <f>IF($J8="","",ROUND(($J8-$J$3)/1000,1)+(_xlfn.RANK.AVG($J8,($J8,$O8,$T8),1)-2)*20)</f>
        <v>-2.7</v>
      </c>
      <c r="V8" s="54">
        <f>IF($O8="","",ROUND(($O8-$O$3)/1000,1)+(_xlfn.RANK.AVG($O8,($J8,$O8,$T8),1)-2)*20)</f>
        <v>-28.8</v>
      </c>
      <c r="W8" s="55">
        <f>IF($T8="","",ROUND(($T8-$T$3)/1000,1)+(_xlfn.RANK.AVG($T8,($J8,$O8,$T8),1)-2)*20)</f>
        <v>31.5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202</v>
      </c>
      <c r="G9" s="9">
        <v>11600</v>
      </c>
      <c r="H9" s="9"/>
      <c r="I9" s="48">
        <v>0</v>
      </c>
      <c r="J9" s="21">
        <f t="shared" si="2"/>
        <v>43900</v>
      </c>
      <c r="K9" s="8" t="s">
        <v>201</v>
      </c>
      <c r="L9" s="9">
        <v>-5800</v>
      </c>
      <c r="M9" s="9"/>
      <c r="N9" s="48">
        <v>0</v>
      </c>
      <c r="O9" s="21">
        <f t="shared" si="3"/>
        <v>20400</v>
      </c>
      <c r="P9" s="8" t="s">
        <v>201</v>
      </c>
      <c r="Q9" s="9">
        <v>-5800</v>
      </c>
      <c r="R9" s="9"/>
      <c r="S9" s="48">
        <v>0</v>
      </c>
      <c r="T9" s="21">
        <f t="shared" si="4"/>
        <v>40700</v>
      </c>
      <c r="U9" s="53">
        <f>IF($J9="","",ROUND(($J9-$J$3)/1000,1)+(_xlfn.RANK.AVG($J9,($J9,$O9,$T9),1)-2)*20)</f>
        <v>28.9</v>
      </c>
      <c r="V9" s="54">
        <f>IF($O9="","",ROUND(($O9-$O$3)/1000,1)+(_xlfn.RANK.AVG($O9,($J9,$O9,$T9),1)-2)*20)</f>
        <v>-34.6</v>
      </c>
      <c r="W9" s="55">
        <f>IF($T9="","",ROUND(($T9-$T$3)/1000,1)+(_xlfn.RANK.AVG($T9,($J9,$O9,$T9),1)-2)*20)</f>
        <v>5.7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ただ</v>
      </c>
      <c r="F10" s="8" t="s">
        <v>207</v>
      </c>
      <c r="G10" s="9">
        <v>3000</v>
      </c>
      <c r="H10" s="9">
        <v>-1000</v>
      </c>
      <c r="I10" s="48"/>
      <c r="J10" s="21">
        <f t="shared" si="2"/>
        <v>45900</v>
      </c>
      <c r="K10" s="8" t="s">
        <v>207</v>
      </c>
      <c r="L10" s="9">
        <v>-1500</v>
      </c>
      <c r="M10" s="9"/>
      <c r="N10" s="48"/>
      <c r="O10" s="21">
        <f t="shared" si="3"/>
        <v>18900</v>
      </c>
      <c r="P10" s="8" t="s">
        <v>207</v>
      </c>
      <c r="Q10" s="9">
        <v>-1500</v>
      </c>
      <c r="R10" s="9"/>
      <c r="S10" s="48"/>
      <c r="T10" s="21">
        <f t="shared" si="4"/>
        <v>39200</v>
      </c>
      <c r="U10" s="53">
        <f>IF($J10="","",ROUND(($J10-$J$3)/1000,1)+(_xlfn.RANK.AVG($J10,($J10,$O10,$T10),1)-2)*20)</f>
        <v>30.9</v>
      </c>
      <c r="V10" s="54">
        <f>IF($O10="","",ROUND(($O10-$O$3)/1000,1)+(_xlfn.RANK.AVG($O10,($J10,$O10,$T10),1)-2)*20)</f>
        <v>-36.1</v>
      </c>
      <c r="W10" s="55">
        <f>IF($T10="","",ROUND(($T10-$T$3)/1000,1)+(_xlfn.RANK.AVG($T10,($J10,$O10,$T10),1)-2)*20)</f>
        <v>4.2</v>
      </c>
      <c r="Y10" s="8" t="s">
        <v>206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1</v>
      </c>
      <c r="E11" s="4" t="str">
        <f>IF($F$1="","",$F$1)</f>
        <v>ただ</v>
      </c>
      <c r="F11" s="8" t="s">
        <v>207</v>
      </c>
      <c r="G11" s="9">
        <v>-3000</v>
      </c>
      <c r="H11" s="9"/>
      <c r="I11" s="48"/>
      <c r="J11" s="21">
        <f t="shared" si="2"/>
        <v>42900</v>
      </c>
      <c r="K11" s="8" t="s">
        <v>207</v>
      </c>
      <c r="L11" s="9">
        <v>1500</v>
      </c>
      <c r="M11" s="9">
        <v>-1000</v>
      </c>
      <c r="N11" s="48"/>
      <c r="O11" s="21">
        <f t="shared" si="3"/>
        <v>19400</v>
      </c>
      <c r="P11" s="8" t="s">
        <v>207</v>
      </c>
      <c r="Q11" s="9">
        <v>1500</v>
      </c>
      <c r="R11" s="9"/>
      <c r="S11" s="48"/>
      <c r="T11" s="21">
        <f t="shared" si="4"/>
        <v>40700</v>
      </c>
      <c r="U11" s="53">
        <f>IF($J11="","",ROUND(($J11-$J$3)/1000,1)+(_xlfn.RANK.AVG($J11,($J11,$O11,$T11),1)-2)*20)</f>
        <v>27.9</v>
      </c>
      <c r="V11" s="54">
        <f>IF($O11="","",ROUND(($O11-$O$3)/1000,1)+(_xlfn.RANK.AVG($O11,($J11,$O11,$T11),1)-2)*20)</f>
        <v>-35.6</v>
      </c>
      <c r="W11" s="55">
        <f>IF($T11="","",ROUND(($T11-$T$3)/1000,1)+(_xlfn.RANK.AVG($T11,($J11,$O11,$T11),1)-2)*20)</f>
        <v>5.7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2</v>
      </c>
      <c r="E12" s="4" t="str">
        <f>IF($K$1="","",$K$1)</f>
        <v>だいち</v>
      </c>
      <c r="F12" s="8" t="s">
        <v>198</v>
      </c>
      <c r="G12" s="9">
        <v>-7700</v>
      </c>
      <c r="H12" s="9"/>
      <c r="I12" s="48">
        <v>-3000</v>
      </c>
      <c r="J12" s="21">
        <f t="shared" si="2"/>
        <v>32200</v>
      </c>
      <c r="K12" s="8"/>
      <c r="L12" s="9"/>
      <c r="M12" s="9"/>
      <c r="N12" s="48"/>
      <c r="O12" s="21">
        <f t="shared" si="3"/>
        <v>19400</v>
      </c>
      <c r="P12" s="8" t="s">
        <v>197</v>
      </c>
      <c r="Q12" s="9">
        <v>7700</v>
      </c>
      <c r="R12" s="9">
        <v>2000</v>
      </c>
      <c r="S12" s="48">
        <v>3000</v>
      </c>
      <c r="T12" s="21">
        <f t="shared" si="4"/>
        <v>53400</v>
      </c>
      <c r="U12" s="53">
        <f>IF($J12="","",ROUND(($J12-$J$3)/1000,1)+(_xlfn.RANK.AVG($J12,($J12,$O12,$T12),1)-2)*20)</f>
        <v>-2.8</v>
      </c>
      <c r="V12" s="54">
        <f>IF($O12="","",ROUND(($O12-$O$3)/1000,1)+(_xlfn.RANK.AVG($O12,($J12,$O12,$T12),1)-2)*20)</f>
        <v>-35.6</v>
      </c>
      <c r="W12" s="55">
        <f>IF($T12="","",ROUND(($T12-$T$3)/1000,1)+(_xlfn.RANK.AVG($T12,($J12,$O12,$T12),1)-2)*20)</f>
        <v>38.4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199</v>
      </c>
      <c r="BV12" s="41" t="s">
        <v>83</v>
      </c>
      <c r="BW12" s="41" t="s">
        <v>203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198</v>
      </c>
      <c r="G13" s="9">
        <v>-8000</v>
      </c>
      <c r="H13" s="9"/>
      <c r="I13" s="48">
        <v>0</v>
      </c>
      <c r="J13" s="21">
        <f t="shared" si="2"/>
        <v>24200</v>
      </c>
      <c r="K13" s="8" t="s">
        <v>197</v>
      </c>
      <c r="L13" s="9">
        <v>8000</v>
      </c>
      <c r="M13" s="9"/>
      <c r="N13" s="48">
        <v>0</v>
      </c>
      <c r="O13" s="21">
        <f t="shared" si="3"/>
        <v>27400</v>
      </c>
      <c r="P13" s="8"/>
      <c r="Q13" s="9"/>
      <c r="R13" s="9"/>
      <c r="S13" s="48"/>
      <c r="T13" s="21">
        <f t="shared" si="4"/>
        <v>53400</v>
      </c>
      <c r="U13" s="53">
        <f>IF($J13="","",ROUND(($J13-$J$3)/1000,1)+(_xlfn.RANK.AVG($J13,($J13,$O13,$T13),1)-2)*20)</f>
        <v>-30.8</v>
      </c>
      <c r="V13" s="54">
        <f>IF($O13="","",ROUND(($O13-$O$3)/1000,1)+(_xlfn.RANK.AVG($O13,($J13,$O13,$T13),1)-2)*20)</f>
        <v>-7.6</v>
      </c>
      <c r="W13" s="55">
        <f>IF($T13="","",ROUND(($T13-$T$3)/1000,1)+(_xlfn.RANK.AVG($T13,($J13,$O13,$T13),1)-2)*20)</f>
        <v>38.4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204</v>
      </c>
      <c r="AZ13" s="40" t="s">
        <v>199</v>
      </c>
      <c r="BA13" s="41" t="s">
        <v>83</v>
      </c>
      <c r="BB13" s="41" t="s">
        <v>203</v>
      </c>
      <c r="BC13" s="41" t="s">
        <v>80</v>
      </c>
      <c r="BD13" s="41" t="s">
        <v>80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ただ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62FA0E3-FFDA-4466-8589-4B2A8D4CD63E}">
      <formula1>$U$2:$W$2</formula1>
    </dataValidation>
    <dataValidation type="list" showInputMessage="1" showErrorMessage="1" sqref="K4:K30 P4:P30 F4:F30" xr:uid="{E6B9C29F-1340-451F-A592-B05E8FCCF5BF}">
      <formula1>"ロン,ツモ,放銃,ツモ支払,流局,チョンボ"</formula1>
    </dataValidation>
    <dataValidation type="list" allowBlank="1" showInputMessage="1" sqref="F1:T1" xr:uid="{3E742D67-4764-4D32-884F-FA665EB7B61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2023-10-22T11:57:05Z</dcterms:modified>
</cp:coreProperties>
</file>