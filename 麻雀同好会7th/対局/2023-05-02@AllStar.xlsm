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5CEFC0D8-D9AE-48AE-850A-97C85AF6BB47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6" r:id="rId7"/>
    <sheet name="Sheet8" sheetId="27" r:id="rId8"/>
    <sheet name="Sheet9" sheetId="28" r:id="rId9"/>
    <sheet name="役一覧" sheetId="15" state="hidden" r:id="rId10"/>
    <sheet name="点数表(親ロン)" sheetId="4" state="hidden" r:id="rId11"/>
    <sheet name="点数表(親ツモ)" sheetId="9" state="hidden" r:id="rId12"/>
    <sheet name="点数表(子→親)" sheetId="7" state="hidden" r:id="rId13"/>
    <sheet name="点数表(子ロン)" sheetId="3" state="hidden" r:id="rId14"/>
    <sheet name="点数表(子ツモ)" sheetId="10" state="hidden" r:id="rId15"/>
    <sheet name="点数表(子→子)" sheetId="5" state="hidden" r:id="rId16"/>
    <sheet name="点数表(親→子)" sheetId="6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28" l="1"/>
  <c r="E15" i="28"/>
  <c r="E14" i="28"/>
  <c r="D14" i="28" s="1"/>
  <c r="E13" i="28"/>
  <c r="E12" i="28"/>
  <c r="C12" i="28" s="1"/>
  <c r="E11" i="28"/>
  <c r="E10" i="28"/>
  <c r="E9" i="28"/>
  <c r="E8" i="28"/>
  <c r="B8" i="28" s="1"/>
  <c r="E7" i="28"/>
  <c r="D7" i="28" s="1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O16" i="28"/>
  <c r="J16" i="28"/>
  <c r="U16" i="28" s="1"/>
  <c r="D16" i="28"/>
  <c r="C16" i="28"/>
  <c r="B16" i="28"/>
  <c r="A16" i="28" s="1"/>
  <c r="T15" i="28"/>
  <c r="O15" i="28"/>
  <c r="J15" i="28"/>
  <c r="D15" i="28"/>
  <c r="C15" i="28"/>
  <c r="B15" i="28"/>
  <c r="A15" i="28"/>
  <c r="T14" i="28"/>
  <c r="O14" i="28"/>
  <c r="J14" i="28"/>
  <c r="T13" i="28"/>
  <c r="O13" i="28"/>
  <c r="J13" i="28"/>
  <c r="D13" i="28"/>
  <c r="C13" i="28"/>
  <c r="B13" i="28"/>
  <c r="A13" i="28" s="1"/>
  <c r="T12" i="28"/>
  <c r="W12" i="28" s="1"/>
  <c r="O12" i="28"/>
  <c r="J12" i="28"/>
  <c r="D12" i="28"/>
  <c r="T11" i="28"/>
  <c r="O11" i="28"/>
  <c r="J11" i="28"/>
  <c r="U11" i="28" s="1"/>
  <c r="D11" i="28"/>
  <c r="C11" i="28"/>
  <c r="B11" i="28"/>
  <c r="A11" i="28"/>
  <c r="T10" i="28"/>
  <c r="O10" i="28"/>
  <c r="V10" i="28" s="1"/>
  <c r="J10" i="28"/>
  <c r="D10" i="28"/>
  <c r="C10" i="28"/>
  <c r="B10" i="28"/>
  <c r="A10" i="28"/>
  <c r="D9" i="28"/>
  <c r="D8" i="28"/>
  <c r="B6" i="28"/>
  <c r="D5" i="28"/>
  <c r="B5" i="28"/>
  <c r="A5" i="28" s="1"/>
  <c r="T4" i="28"/>
  <c r="T5" i="28" s="1"/>
  <c r="O4" i="28"/>
  <c r="O5" i="28" s="1"/>
  <c r="J4" i="28"/>
  <c r="J5" i="28" s="1"/>
  <c r="W3" i="28"/>
  <c r="V3" i="28"/>
  <c r="U3" i="28"/>
  <c r="W2" i="28"/>
  <c r="V2" i="28"/>
  <c r="U2" i="28"/>
  <c r="BO1" i="28"/>
  <c r="AT1" i="28"/>
  <c r="Y1" i="28"/>
  <c r="E9" i="27"/>
  <c r="E8" i="27"/>
  <c r="E7" i="27"/>
  <c r="E6" i="27"/>
  <c r="E5" i="27"/>
  <c r="W16" i="28" l="1"/>
  <c r="V16" i="28"/>
  <c r="U15" i="28"/>
  <c r="W15" i="28"/>
  <c r="V15" i="28"/>
  <c r="V14" i="28"/>
  <c r="U14" i="28"/>
  <c r="W14" i="28"/>
  <c r="B14" i="28"/>
  <c r="C14" i="28"/>
  <c r="A14" i="28"/>
  <c r="V13" i="28"/>
  <c r="U13" i="28"/>
  <c r="W13" i="28"/>
  <c r="U12" i="28"/>
  <c r="V12" i="28"/>
  <c r="B12" i="28"/>
  <c r="A12" i="28" s="1"/>
  <c r="V11" i="28"/>
  <c r="W11" i="28"/>
  <c r="U10" i="28"/>
  <c r="W10" i="28"/>
  <c r="B7" i="28"/>
  <c r="U5" i="28"/>
  <c r="J6" i="28"/>
  <c r="V5" i="28"/>
  <c r="O6" i="28"/>
  <c r="T6" i="28"/>
  <c r="W5" i="28"/>
  <c r="C5" i="28"/>
  <c r="C6" i="28" s="1"/>
  <c r="C7" i="28" s="1"/>
  <c r="C8" i="28" s="1"/>
  <c r="A6" i="28"/>
  <c r="A7" i="28" s="1"/>
  <c r="A8" i="28" s="1"/>
  <c r="U4" i="28"/>
  <c r="B9" i="28"/>
  <c r="V4" i="28"/>
  <c r="D6" i="28"/>
  <c r="C9" i="28"/>
  <c r="W4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T11" i="27"/>
  <c r="W11" i="27" s="1"/>
  <c r="O11" i="27"/>
  <c r="V11" i="27" s="1"/>
  <c r="J11" i="27"/>
  <c r="U11" i="27" s="1"/>
  <c r="D11" i="27"/>
  <c r="C11" i="27"/>
  <c r="B11" i="27"/>
  <c r="A11" i="27"/>
  <c r="D10" i="27"/>
  <c r="C10" i="27"/>
  <c r="C8" i="27"/>
  <c r="D8" i="27"/>
  <c r="O7" i="27"/>
  <c r="O8" i="27" s="1"/>
  <c r="D7" i="27"/>
  <c r="C7" i="27"/>
  <c r="O6" i="27"/>
  <c r="J6" i="27"/>
  <c r="O5" i="27"/>
  <c r="J5" i="27"/>
  <c r="T4" i="27"/>
  <c r="T5" i="27" s="1"/>
  <c r="O4" i="27"/>
  <c r="J4" i="27"/>
  <c r="W3" i="27"/>
  <c r="V3" i="27"/>
  <c r="U3" i="27"/>
  <c r="W2" i="27"/>
  <c r="V2" i="27"/>
  <c r="U2" i="27"/>
  <c r="BO1" i="27"/>
  <c r="AT1" i="27"/>
  <c r="Y1" i="27"/>
  <c r="A11" i="26"/>
  <c r="E10" i="26"/>
  <c r="E9" i="26"/>
  <c r="C9" i="26" s="1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/>
  <c r="T11" i="26"/>
  <c r="W11" i="26" s="1"/>
  <c r="O11" i="26"/>
  <c r="V11" i="26" s="1"/>
  <c r="J11" i="26"/>
  <c r="U11" i="26" s="1"/>
  <c r="D11" i="26"/>
  <c r="C11" i="26"/>
  <c r="B11" i="26"/>
  <c r="T10" i="26"/>
  <c r="O10" i="26"/>
  <c r="J10" i="26"/>
  <c r="U10" i="26" s="1"/>
  <c r="D10" i="26"/>
  <c r="C10" i="26"/>
  <c r="B10" i="26"/>
  <c r="A10" i="26" s="1"/>
  <c r="T9" i="26"/>
  <c r="O9" i="26"/>
  <c r="J9" i="26"/>
  <c r="D9" i="26"/>
  <c r="T8" i="26"/>
  <c r="W8" i="26" s="1"/>
  <c r="O8" i="26"/>
  <c r="V8" i="26" s="1"/>
  <c r="J8" i="26"/>
  <c r="D8" i="26"/>
  <c r="C8" i="26"/>
  <c r="B8" i="26"/>
  <c r="A8" i="26" s="1"/>
  <c r="T7" i="26"/>
  <c r="O7" i="26"/>
  <c r="J7" i="26"/>
  <c r="U7" i="26" s="1"/>
  <c r="D7" i="26"/>
  <c r="C7" i="26"/>
  <c r="B7" i="26"/>
  <c r="A7" i="26" s="1"/>
  <c r="D6" i="26"/>
  <c r="O5" i="26"/>
  <c r="O6" i="26" s="1"/>
  <c r="J5" i="26"/>
  <c r="J6" i="26" s="1"/>
  <c r="D5" i="26"/>
  <c r="T4" i="26"/>
  <c r="O4" i="26"/>
  <c r="J4" i="26"/>
  <c r="W3" i="26"/>
  <c r="V3" i="26"/>
  <c r="U3" i="26"/>
  <c r="W2" i="26"/>
  <c r="V2" i="26"/>
  <c r="U2" i="26"/>
  <c r="BO1" i="26"/>
  <c r="AT1" i="26"/>
  <c r="Y1" i="26"/>
  <c r="A9" i="28" l="1"/>
  <c r="T7" i="28"/>
  <c r="W6" i="28"/>
  <c r="O7" i="28"/>
  <c r="V6" i="28"/>
  <c r="U6" i="28"/>
  <c r="J7" i="28"/>
  <c r="V4" i="27"/>
  <c r="U5" i="27"/>
  <c r="T6" i="27"/>
  <c r="W5" i="27"/>
  <c r="C6" i="27"/>
  <c r="V5" i="27"/>
  <c r="O9" i="27"/>
  <c r="V6" i="27"/>
  <c r="B5" i="27"/>
  <c r="A5" i="27" s="1"/>
  <c r="C5" i="27"/>
  <c r="D5" i="27"/>
  <c r="D6" i="27" s="1"/>
  <c r="U6" i="27"/>
  <c r="J7" i="27"/>
  <c r="U4" i="27"/>
  <c r="B6" i="27"/>
  <c r="B7" i="27" s="1"/>
  <c r="C9" i="27"/>
  <c r="W4" i="27"/>
  <c r="D9" i="27"/>
  <c r="V10" i="26"/>
  <c r="W10" i="26"/>
  <c r="W9" i="26"/>
  <c r="U9" i="26"/>
  <c r="V9" i="26"/>
  <c r="A9" i="26"/>
  <c r="B9" i="26"/>
  <c r="U8" i="26"/>
  <c r="V7" i="26"/>
  <c r="W7" i="26"/>
  <c r="U4" i="26"/>
  <c r="V4" i="26"/>
  <c r="W4" i="26"/>
  <c r="C6" i="26"/>
  <c r="T5" i="26"/>
  <c r="U5" i="26" s="1"/>
  <c r="B5" i="26"/>
  <c r="C5" i="26"/>
  <c r="T8" i="28" l="1"/>
  <c r="W7" i="28"/>
  <c r="J8" i="28"/>
  <c r="U7" i="28"/>
  <c r="O8" i="28"/>
  <c r="V7" i="28"/>
  <c r="B8" i="27"/>
  <c r="J8" i="27"/>
  <c r="O10" i="27"/>
  <c r="A6" i="27"/>
  <c r="A7" i="27" s="1"/>
  <c r="A8" i="27" s="1"/>
  <c r="T7" i="27"/>
  <c r="U7" i="27" s="1"/>
  <c r="W6" i="27"/>
  <c r="B6" i="26"/>
  <c r="A6" i="26" s="1"/>
  <c r="A5" i="26"/>
  <c r="T6" i="26"/>
  <c r="W5" i="26"/>
  <c r="V5" i="26"/>
  <c r="C7" i="24"/>
  <c r="E6" i="24"/>
  <c r="E5" i="24"/>
  <c r="A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/>
  <c r="D10" i="24"/>
  <c r="D8" i="24"/>
  <c r="D7" i="24"/>
  <c r="O6" i="24"/>
  <c r="O7" i="24" s="1"/>
  <c r="J6" i="24"/>
  <c r="J7" i="24" s="1"/>
  <c r="D6" i="24"/>
  <c r="C6" i="24"/>
  <c r="O5" i="24"/>
  <c r="J5" i="24"/>
  <c r="B6" i="24"/>
  <c r="C5" i="24"/>
  <c r="B5" i="24"/>
  <c r="T4" i="24"/>
  <c r="T5" i="24" s="1"/>
  <c r="O4" i="24"/>
  <c r="J4" i="24"/>
  <c r="W3" i="24"/>
  <c r="V3" i="24"/>
  <c r="U3" i="24"/>
  <c r="W2" i="24"/>
  <c r="V2" i="24"/>
  <c r="U2" i="24"/>
  <c r="BO1" i="24"/>
  <c r="AT1" i="24"/>
  <c r="Y1" i="24"/>
  <c r="E10" i="23"/>
  <c r="E9" i="23"/>
  <c r="E8" i="23"/>
  <c r="E7" i="23"/>
  <c r="E6" i="23"/>
  <c r="E5" i="23"/>
  <c r="O9" i="28" l="1"/>
  <c r="V8" i="28"/>
  <c r="U8" i="28"/>
  <c r="J9" i="28"/>
  <c r="W8" i="28"/>
  <c r="T9" i="28"/>
  <c r="W9" i="28" s="1"/>
  <c r="J9" i="27"/>
  <c r="B9" i="27"/>
  <c r="A9" i="27" s="1"/>
  <c r="T8" i="27"/>
  <c r="W7" i="27"/>
  <c r="V7" i="27"/>
  <c r="W6" i="26"/>
  <c r="U6" i="26"/>
  <c r="V6" i="26"/>
  <c r="U4" i="24"/>
  <c r="V4" i="24"/>
  <c r="O8" i="24"/>
  <c r="B7" i="24"/>
  <c r="D9" i="24"/>
  <c r="A6" i="24"/>
  <c r="A7" i="24" s="1"/>
  <c r="V5" i="24"/>
  <c r="U5" i="24"/>
  <c r="T6" i="24"/>
  <c r="W5" i="24"/>
  <c r="J8" i="24"/>
  <c r="B8" i="24"/>
  <c r="B9" i="24" s="1"/>
  <c r="D5" i="24"/>
  <c r="U6" i="24"/>
  <c r="C8" i="24"/>
  <c r="V6" i="24"/>
  <c r="C10" i="24"/>
  <c r="C9" i="24"/>
  <c r="W4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2" i="23"/>
  <c r="D10" i="23"/>
  <c r="D7" i="23"/>
  <c r="D8" i="23" s="1"/>
  <c r="D9" i="23" s="1"/>
  <c r="T6" i="23"/>
  <c r="T7" i="23" s="1"/>
  <c r="T5" i="23"/>
  <c r="B5" i="23"/>
  <c r="D5" i="23"/>
  <c r="C5" i="23"/>
  <c r="T4" i="23"/>
  <c r="O4" i="23"/>
  <c r="O5" i="23" s="1"/>
  <c r="J4" i="23"/>
  <c r="W3" i="23"/>
  <c r="V3" i="23"/>
  <c r="U3" i="23"/>
  <c r="W2" i="23"/>
  <c r="V2" i="23"/>
  <c r="U2" i="23"/>
  <c r="BO1" i="23"/>
  <c r="AT1" i="23"/>
  <c r="Y1" i="23"/>
  <c r="C13" i="22"/>
  <c r="E12" i="22"/>
  <c r="E11" i="22"/>
  <c r="D11" i="22" s="1"/>
  <c r="E10" i="22"/>
  <c r="E9" i="22"/>
  <c r="E8" i="22"/>
  <c r="E7" i="22"/>
  <c r="D7" i="22" s="1"/>
  <c r="E6" i="22"/>
  <c r="E5" i="22"/>
  <c r="C5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D12" i="22"/>
  <c r="C12" i="22"/>
  <c r="D10" i="22"/>
  <c r="C9" i="22"/>
  <c r="D9" i="22"/>
  <c r="D8" i="22"/>
  <c r="C8" i="22"/>
  <c r="J7" i="22"/>
  <c r="J8" i="22" s="1"/>
  <c r="J6" i="22"/>
  <c r="T5" i="22"/>
  <c r="T6" i="22" s="1"/>
  <c r="J5" i="22"/>
  <c r="D5" i="22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E13" i="21"/>
  <c r="C13" i="21" s="1"/>
  <c r="E12" i="21"/>
  <c r="E11" i="21"/>
  <c r="E10" i="21"/>
  <c r="E9" i="21"/>
  <c r="E8" i="21"/>
  <c r="E7" i="21"/>
  <c r="E6" i="21"/>
  <c r="E5" i="21"/>
  <c r="C5" i="21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D12" i="21"/>
  <c r="C12" i="21"/>
  <c r="D10" i="21"/>
  <c r="D11" i="21" s="1"/>
  <c r="D9" i="21"/>
  <c r="D8" i="21"/>
  <c r="J7" i="21"/>
  <c r="J8" i="21" s="1"/>
  <c r="D7" i="21"/>
  <c r="J6" i="21"/>
  <c r="C7" i="21"/>
  <c r="C8" i="21" s="1"/>
  <c r="T5" i="21"/>
  <c r="T6" i="21" s="1"/>
  <c r="J5" i="21"/>
  <c r="D5" i="2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B14" i="20"/>
  <c r="A14" i="20" s="1"/>
  <c r="E13" i="20"/>
  <c r="E12" i="20"/>
  <c r="E11" i="20"/>
  <c r="E10" i="20"/>
  <c r="E9" i="20"/>
  <c r="E8" i="20"/>
  <c r="E7" i="20"/>
  <c r="D7" i="20" s="1"/>
  <c r="E6" i="20"/>
  <c r="E5" i="20"/>
  <c r="C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D11" i="20"/>
  <c r="D10" i="20"/>
  <c r="C9" i="20"/>
  <c r="C10" i="20" s="1"/>
  <c r="D9" i="20"/>
  <c r="C7" i="20"/>
  <c r="C6" i="20"/>
  <c r="T5" i="20"/>
  <c r="T6" i="20" s="1"/>
  <c r="J5" i="20"/>
  <c r="J6" i="20" s="1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V9" i="28" l="1"/>
  <c r="U9" i="28"/>
  <c r="T9" i="27"/>
  <c r="W8" i="27"/>
  <c r="B10" i="27"/>
  <c r="A10" i="27" s="1"/>
  <c r="V8" i="27"/>
  <c r="U9" i="27"/>
  <c r="J10" i="27"/>
  <c r="V9" i="27"/>
  <c r="U8" i="27"/>
  <c r="B10" i="24"/>
  <c r="A8" i="24"/>
  <c r="A9" i="24" s="1"/>
  <c r="J9" i="24"/>
  <c r="W6" i="24"/>
  <c r="T7" i="24"/>
  <c r="O9" i="24"/>
  <c r="W4" i="23"/>
  <c r="T8" i="23"/>
  <c r="O6" i="23"/>
  <c r="B6" i="23"/>
  <c r="A6" i="23" s="1"/>
  <c r="C11" i="23"/>
  <c r="U4" i="23"/>
  <c r="J5" i="23"/>
  <c r="V5" i="23" s="1"/>
  <c r="C6" i="23"/>
  <c r="C7" i="23" s="1"/>
  <c r="C8" i="23" s="1"/>
  <c r="C9" i="23" s="1"/>
  <c r="D11" i="23"/>
  <c r="V4" i="23"/>
  <c r="D6" i="23"/>
  <c r="B7" i="23"/>
  <c r="B8" i="23"/>
  <c r="A5" i="23"/>
  <c r="C10" i="23"/>
  <c r="C7" i="22"/>
  <c r="W4" i="22"/>
  <c r="O6" i="22"/>
  <c r="W6" i="22" s="1"/>
  <c r="V5" i="22"/>
  <c r="U5" i="22"/>
  <c r="J9" i="22"/>
  <c r="T7" i="22"/>
  <c r="B6" i="22"/>
  <c r="A6" i="22" s="1"/>
  <c r="C11" i="22"/>
  <c r="U4" i="22"/>
  <c r="C6" i="22"/>
  <c r="V4" i="22"/>
  <c r="D6" i="22"/>
  <c r="B7" i="22"/>
  <c r="B8" i="22" s="1"/>
  <c r="B5" i="22"/>
  <c r="A5" i="22" s="1"/>
  <c r="C10" i="22"/>
  <c r="W5" i="22"/>
  <c r="W4" i="21"/>
  <c r="T7" i="21"/>
  <c r="C9" i="21"/>
  <c r="C10" i="21" s="1"/>
  <c r="C11" i="21" s="1"/>
  <c r="O6" i="21"/>
  <c r="W6" i="21" s="1"/>
  <c r="V5" i="21"/>
  <c r="U5" i="21"/>
  <c r="J9" i="21"/>
  <c r="B6" i="21"/>
  <c r="U4" i="21"/>
  <c r="C6" i="21"/>
  <c r="V4" i="21"/>
  <c r="D6" i="21"/>
  <c r="B5" i="21"/>
  <c r="A5" i="21" s="1"/>
  <c r="W5" i="21"/>
  <c r="U13" i="20"/>
  <c r="W13" i="20"/>
  <c r="V13" i="20"/>
  <c r="U12" i="20"/>
  <c r="V12" i="20"/>
  <c r="W12" i="20"/>
  <c r="W4" i="20"/>
  <c r="U4" i="20"/>
  <c r="T7" i="20"/>
  <c r="O6" i="20"/>
  <c r="V5" i="20"/>
  <c r="J7" i="20"/>
  <c r="U6" i="20"/>
  <c r="D5" i="20"/>
  <c r="C8" i="20"/>
  <c r="B6" i="20"/>
  <c r="B7" i="20" s="1"/>
  <c r="D8" i="20"/>
  <c r="C11" i="20"/>
  <c r="V4" i="20"/>
  <c r="D6" i="20"/>
  <c r="U5" i="20"/>
  <c r="W5" i="20"/>
  <c r="W3" i="19"/>
  <c r="V3" i="19"/>
  <c r="U3" i="19"/>
  <c r="V10" i="27" l="1"/>
  <c r="T10" i="27"/>
  <c r="W10" i="27" s="1"/>
  <c r="W9" i="27"/>
  <c r="A10" i="24"/>
  <c r="J10" i="24"/>
  <c r="O10" i="24"/>
  <c r="W7" i="24"/>
  <c r="T8" i="24"/>
  <c r="V7" i="24"/>
  <c r="U7" i="24"/>
  <c r="B9" i="23"/>
  <c r="O7" i="23"/>
  <c r="J6" i="23"/>
  <c r="U5" i="23"/>
  <c r="W5" i="23"/>
  <c r="T9" i="23"/>
  <c r="A7" i="23"/>
  <c r="A8" i="23" s="1"/>
  <c r="B9" i="22"/>
  <c r="T8" i="22"/>
  <c r="A7" i="22"/>
  <c r="A8" i="22" s="1"/>
  <c r="O7" i="22"/>
  <c r="W7" i="22" s="1"/>
  <c r="V6" i="22"/>
  <c r="U6" i="22"/>
  <c r="J10" i="22"/>
  <c r="A6" i="21"/>
  <c r="J10" i="21"/>
  <c r="B7" i="21"/>
  <c r="V6" i="21"/>
  <c r="U6" i="21"/>
  <c r="O7" i="21"/>
  <c r="T8" i="21"/>
  <c r="B8" i="20"/>
  <c r="A6" i="20"/>
  <c r="A7" i="20" s="1"/>
  <c r="O7" i="20"/>
  <c r="U7" i="20" s="1"/>
  <c r="V6" i="20"/>
  <c r="J8" i="20"/>
  <c r="T8" i="20"/>
  <c r="W7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V7" i="19" s="1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0" i="27" l="1"/>
  <c r="T9" i="24"/>
  <c r="W8" i="24"/>
  <c r="V8" i="24"/>
  <c r="U8" i="24"/>
  <c r="U6" i="23"/>
  <c r="J7" i="23"/>
  <c r="W6" i="23"/>
  <c r="V6" i="23"/>
  <c r="O8" i="23"/>
  <c r="V7" i="23"/>
  <c r="B10" i="23"/>
  <c r="A10" i="23" s="1"/>
  <c r="T10" i="23"/>
  <c r="A9" i="23"/>
  <c r="T9" i="22"/>
  <c r="B10" i="22"/>
  <c r="O8" i="22"/>
  <c r="V7" i="22"/>
  <c r="U7" i="22"/>
  <c r="J11" i="22"/>
  <c r="A9" i="22"/>
  <c r="O8" i="21"/>
  <c r="V7" i="21"/>
  <c r="U7" i="21"/>
  <c r="J11" i="21"/>
  <c r="B8" i="21"/>
  <c r="A8" i="21" s="1"/>
  <c r="W7" i="21"/>
  <c r="T9" i="21"/>
  <c r="W8" i="21"/>
  <c r="A7" i="21"/>
  <c r="J9" i="20"/>
  <c r="O8" i="20"/>
  <c r="W8" i="20" s="1"/>
  <c r="V7" i="20"/>
  <c r="B9" i="20"/>
  <c r="T9" i="20"/>
  <c r="A8" i="20"/>
  <c r="V11" i="19"/>
  <c r="W11" i="19"/>
  <c r="U10" i="19"/>
  <c r="V10" i="19"/>
  <c r="W10" i="19"/>
  <c r="U9" i="19"/>
  <c r="V9" i="19"/>
  <c r="W9" i="19"/>
  <c r="W8" i="19"/>
  <c r="U8" i="19"/>
  <c r="V8" i="19"/>
  <c r="U7" i="19"/>
  <c r="W7" i="19"/>
  <c r="U6" i="19"/>
  <c r="C6" i="19"/>
  <c r="W4" i="19"/>
  <c r="V6" i="19"/>
  <c r="W6" i="19"/>
  <c r="U4" i="19"/>
  <c r="V4" i="19"/>
  <c r="T5" i="19"/>
  <c r="J5" i="19"/>
  <c r="O5" i="19"/>
  <c r="T10" i="24" l="1"/>
  <c r="W9" i="24"/>
  <c r="U9" i="24"/>
  <c r="V9" i="24"/>
  <c r="O9" i="23"/>
  <c r="J8" i="23"/>
  <c r="V8" i="23" s="1"/>
  <c r="U7" i="23"/>
  <c r="W7" i="23"/>
  <c r="B11" i="23"/>
  <c r="A11" i="23" s="1"/>
  <c r="T11" i="23"/>
  <c r="O9" i="22"/>
  <c r="V8" i="22"/>
  <c r="U8" i="22"/>
  <c r="B11" i="22"/>
  <c r="A11" i="22" s="1"/>
  <c r="A10" i="22"/>
  <c r="W8" i="22"/>
  <c r="J12" i="22"/>
  <c r="T10" i="22"/>
  <c r="W9" i="22"/>
  <c r="B9" i="21"/>
  <c r="J12" i="21"/>
  <c r="T10" i="21"/>
  <c r="O9" i="21"/>
  <c r="W9" i="21" s="1"/>
  <c r="V8" i="21"/>
  <c r="U8" i="21"/>
  <c r="U8" i="20"/>
  <c r="T10" i="20"/>
  <c r="B10" i="20"/>
  <c r="A10" i="20" s="1"/>
  <c r="A9" i="20"/>
  <c r="O9" i="20"/>
  <c r="U9" i="20" s="1"/>
  <c r="V8" i="20"/>
  <c r="J10" i="20"/>
  <c r="V5" i="19"/>
  <c r="U5" i="19"/>
  <c r="W5" i="19"/>
  <c r="W10" i="24" l="1"/>
  <c r="V10" i="24"/>
  <c r="U10" i="24"/>
  <c r="O10" i="23"/>
  <c r="T12" i="23"/>
  <c r="B12" i="23"/>
  <c r="A12" i="23" s="1"/>
  <c r="J9" i="23"/>
  <c r="U8" i="23"/>
  <c r="W8" i="23"/>
  <c r="O10" i="22"/>
  <c r="V9" i="22"/>
  <c r="U9" i="22"/>
  <c r="J13" i="22"/>
  <c r="T11" i="22"/>
  <c r="W10" i="22"/>
  <c r="B12" i="22"/>
  <c r="T11" i="21"/>
  <c r="O10" i="21"/>
  <c r="V9" i="21"/>
  <c r="U9" i="21"/>
  <c r="J13" i="21"/>
  <c r="B10" i="21"/>
  <c r="A10" i="21" s="1"/>
  <c r="A9" i="21"/>
  <c r="W9" i="20"/>
  <c r="T11" i="20"/>
  <c r="J11" i="20"/>
  <c r="O10" i="20"/>
  <c r="U10" i="20" s="1"/>
  <c r="V9" i="20"/>
  <c r="B11" i="20"/>
  <c r="A11" i="20" s="1"/>
  <c r="J10" i="23" l="1"/>
  <c r="U9" i="23"/>
  <c r="W9" i="23"/>
  <c r="V9" i="23"/>
  <c r="O11" i="23"/>
  <c r="T12" i="22"/>
  <c r="B13" i="22"/>
  <c r="A13" i="22" s="1"/>
  <c r="A12" i="22"/>
  <c r="O11" i="22"/>
  <c r="W11" i="22" s="1"/>
  <c r="V10" i="22"/>
  <c r="U10" i="22"/>
  <c r="V10" i="21"/>
  <c r="O11" i="21"/>
  <c r="W11" i="21" s="1"/>
  <c r="U10" i="21"/>
  <c r="W10" i="21"/>
  <c r="B11" i="21"/>
  <c r="A11" i="21" s="1"/>
  <c r="T12" i="21"/>
  <c r="W10" i="20"/>
  <c r="O11" i="20"/>
  <c r="V10" i="20"/>
  <c r="U11" i="20"/>
  <c r="J11" i="23" l="1"/>
  <c r="U10" i="23"/>
  <c r="W10" i="23"/>
  <c r="V10" i="23"/>
  <c r="V11" i="23"/>
  <c r="O12" i="23"/>
  <c r="O12" i="22"/>
  <c r="W12" i="22" s="1"/>
  <c r="V11" i="22"/>
  <c r="U11" i="22"/>
  <c r="T13" i="22"/>
  <c r="T13" i="21"/>
  <c r="O12" i="21"/>
  <c r="V11" i="21"/>
  <c r="U11" i="21"/>
  <c r="B12" i="21"/>
  <c r="A12" i="21" s="1"/>
  <c r="V11" i="20"/>
  <c r="W11" i="20"/>
  <c r="U11" i="23" l="1"/>
  <c r="J12" i="23"/>
  <c r="W11" i="23"/>
  <c r="O13" i="22"/>
  <c r="V12" i="22"/>
  <c r="U12" i="22"/>
  <c r="B13" i="21"/>
  <c r="A13" i="21" s="1"/>
  <c r="O13" i="21"/>
  <c r="W13" i="21" s="1"/>
  <c r="V12" i="21"/>
  <c r="U12" i="21"/>
  <c r="W12" i="21"/>
  <c r="U12" i="23" l="1"/>
  <c r="W12" i="23"/>
  <c r="V12" i="23"/>
  <c r="V13" i="22"/>
  <c r="U13" i="22"/>
  <c r="W13" i="22"/>
  <c r="V13" i="21"/>
  <c r="U13" i="21"/>
</calcChain>
</file>

<file path=xl/sharedStrings.xml><?xml version="1.0" encoding="utf-8"?>
<sst xmlns="http://schemas.openxmlformats.org/spreadsheetml/2006/main" count="1381" uniqueCount="208">
  <si>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</si>
  <si>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</si>
  <si>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</si>
  <si>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</si>
  <si>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</si>
  <si>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</si>
  <si>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</si>
  <si>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</si>
  <si>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</si>
  <si>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</si>
  <si>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</si>
  <si>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</si>
  <si>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</si>
  <si>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</si>
  <si>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</si>
  <si>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</si>
  <si>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</si>
  <si>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</si>
  <si>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</si>
  <si>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</si>
  <si>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</si>
  <si>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</si>
  <si>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</si>
  <si>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</si>
  <si>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</si>
  <si>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</si>
  <si>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</si>
  <si>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</si>
  <si>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</si>
  <si>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</si>
  <si>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</si>
  <si>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</si>
  <si>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</si>
  <si>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</si>
  <si>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</si>
  <si>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</si>
  <si>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</si>
  <si>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</si>
  <si>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</si>
  <si>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</si>
  <si>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</si>
  <si>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</si>
  <si>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</si>
  <si>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</si>
  <si>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</si>
  <si>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</si>
  <si>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</si>
  <si>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</si>
  <si>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</si>
  <si>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</si>
  <si>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</si>
  <si>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</si>
  <si>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</si>
  <si>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</si>
  <si>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</si>
  <si>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</si>
  <si>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</si>
  <si>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</si>
  <si>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</si>
  <si>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</si>
  <si>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</si>
  <si>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</si>
  <si>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</si>
  <si>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</si>
  <si>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</si>
  <si>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</si>
  <si>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</si>
  <si>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</si>
  <si>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</si>
  <si>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</si>
  <si>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</si>
  <si>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</si>
  <si>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</si>
  <si>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</si>
  <si>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</si>
  <si>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</si>
  <si>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</si>
  <si>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</si>
  <si>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</si>
  <si>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</si>
  <si>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</si>
  <si>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</si>
  <si>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</si>
  <si>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</si>
  <si>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</si>
  <si>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</si>
  <si>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</si>
  <si>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</si>
  <si>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</si>
  <si>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</si>
  <si>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</si>
  <si>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</si>
  <si>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</si>
  <si>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</si>
  <si>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</si>
  <si>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</si>
  <si>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</si>
  <si>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</si>
  <si>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</si>
  <si>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</si>
  <si>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</si>
  <si>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</si>
  <si>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</si>
  <si>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</si>
  <si>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</si>
  <si>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</si>
  <si>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</si>
  <si>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</si>
  <si>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</si>
  <si>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</si>
  <si>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</si>
  <si>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</si>
  <si>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</si>
  <si>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</si>
  <si>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</si>
  <si>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</si>
  <si>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</si>
  <si>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</si>
  <si>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</si>
  <si>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</si>
  <si>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</si>
  <si>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</si>
  <si>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</si>
  <si>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</si>
  <si>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</si>
  <si>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</si>
  <si>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</si>
  <si>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</si>
  <si>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</si>
  <si>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</si>
  <si>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</si>
  <si>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</si>
  <si>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</si>
  <si>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</si>
  <si>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</si>
  <si>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</si>
  <si>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</si>
  <si>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</si>
  <si>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</si>
  <si>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</si>
  <si>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</si>
  <si>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</si>
  <si>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</si>
  <si>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</si>
  <si>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</si>
  <si>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</si>
  <si>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</si>
  <si>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</si>
  <si>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</si>
  <si>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</si>
  <si>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</si>
  <si>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</si>
  <si>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</si>
  <si>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</si>
  <si>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</si>
  <si>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</si>
  <si>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</si>
  <si>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</si>
  <si>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</si>
  <si>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</si>
  <si>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</si>
  <si>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</si>
  <si>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</si>
  <si>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</si>
  <si>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</si>
  <si>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</si>
  <si>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</si>
  <si>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</si>
  <si>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</si>
  <si>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</si>
  <si>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</si>
  <si>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</si>
  <si>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</si>
  <si>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</si>
  <si>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</si>
  <si>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</si>
  <si>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</si>
  <si>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</si>
  <si>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</si>
  <si>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</si>
  <si>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</si>
  <si>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</si>
  <si>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</si>
  <si>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</si>
  <si>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</si>
  <si>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</si>
  <si>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</si>
  <si>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</si>
  <si>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</si>
  <si>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</si>
  <si>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</si>
  <si>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</si>
  <si>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りくと</t>
    <phoneticPr fontId="1"/>
  </si>
  <si>
    <t>だいち</t>
    <phoneticPr fontId="1"/>
  </si>
  <si>
    <t>わさび</t>
  </si>
  <si>
    <t>わさび</t>
    <phoneticPr fontId="1"/>
  </si>
  <si>
    <t>放銃</t>
  </si>
  <si>
    <t>ロン</t>
  </si>
  <si>
    <t>01</t>
  </si>
  <si>
    <t>02</t>
  </si>
  <si>
    <t>52</t>
  </si>
  <si>
    <t>*</t>
  </si>
  <si>
    <t>ツモ支払</t>
  </si>
  <si>
    <t>ツモ</t>
  </si>
  <si>
    <t>T</t>
  </si>
  <si>
    <t>流局</t>
    <phoneticPr fontId="1"/>
  </si>
  <si>
    <t>N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</si>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</sst>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わさび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 t="s">
        <v>197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-25.2</v>
      </c>
      <c r="V4" s="54">
        <f>IF($O4="","",ROUND(($O4-$O$3)/1000,1)+(_xlfn.RANK.AVG($O4,($J4,$O4,$T4),1)-2)*20)</f>
        <v>25.2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198</v>
      </c>
      <c r="BA4" s="41" t="s">
        <v>199</v>
      </c>
      <c r="BB4" s="41" t="s">
        <v>200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/>
      <c r="G5" s="9"/>
      <c r="H5" s="9">
        <v>-1000</v>
      </c>
      <c r="I5" s="48"/>
      <c r="J5" s="21">
        <f t="shared" ref="J5:J30" si="2">IF(COUNTA($F5,$K5,$P5)&gt;0,J4+SUM(G5:I5),"")</f>
        <v>28800</v>
      </c>
      <c r="K5" s="8" t="s">
        <v>197</v>
      </c>
      <c r="L5" s="9">
        <v>8000</v>
      </c>
      <c r="M5" s="9">
        <v>2000</v>
      </c>
      <c r="N5" s="48">
        <v>0</v>
      </c>
      <c r="O5" s="21">
        <f t="shared" ref="O5:O30" si="3">IF(COUNTA($F5,$K5,$P5)&gt;0,O4+SUM(L5:N5),"")</f>
        <v>50200</v>
      </c>
      <c r="P5" s="8" t="s">
        <v>196</v>
      </c>
      <c r="Q5" s="9">
        <v>-8000</v>
      </c>
      <c r="R5" s="9">
        <v>-1000</v>
      </c>
      <c r="S5" s="48">
        <v>0</v>
      </c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-6.2</v>
      </c>
      <c r="V5" s="54">
        <f>IF($O5="","",ROUND(($O5-$O$3)/1000,1)+(_xlfn.RANK.AVG($O5,($J5,$O5,$T5),1)-2)*20)</f>
        <v>35.200000000000003</v>
      </c>
      <c r="W5" s="55">
        <f>IF($T5="","",ROUND(($T5-$T$3)/1000,1)+(_xlfn.RANK.AVG($T5,($J5,$O5,$T5),1)-2)*20)</f>
        <v>-29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201</v>
      </c>
      <c r="AZ5" s="40" t="s">
        <v>198</v>
      </c>
      <c r="BA5" s="41" t="s">
        <v>101</v>
      </c>
      <c r="BB5" s="41" t="s">
        <v>200</v>
      </c>
      <c r="BC5" s="41" t="s">
        <v>200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-1100</v>
      </c>
      <c r="H6" s="9"/>
      <c r="I6" s="48">
        <v>0</v>
      </c>
      <c r="J6" s="21">
        <f t="shared" si="2"/>
        <v>27700</v>
      </c>
      <c r="K6" s="8" t="s">
        <v>202</v>
      </c>
      <c r="L6" s="9">
        <v>-1700</v>
      </c>
      <c r="M6" s="9">
        <v>-1000</v>
      </c>
      <c r="N6" s="48">
        <v>0</v>
      </c>
      <c r="O6" s="21">
        <f t="shared" si="3"/>
        <v>47500</v>
      </c>
      <c r="P6" s="8" t="s">
        <v>203</v>
      </c>
      <c r="Q6" s="9">
        <v>2800</v>
      </c>
      <c r="R6" s="9">
        <v>1000</v>
      </c>
      <c r="S6" s="48">
        <v>0</v>
      </c>
      <c r="T6" s="21">
        <f t="shared" si="4"/>
        <v>29800</v>
      </c>
      <c r="U6" s="53">
        <f>IF($J6="","",ROUND(($J6-$J$3)/1000,1)+(_xlfn.RANK.AVG($J6,($J6,$O6,$T6),1)-2)*20)</f>
        <v>-27.3</v>
      </c>
      <c r="V6" s="54">
        <f>IF($O6="","",ROUND(($O6-$O$3)/1000,1)+(_xlfn.RANK.AVG($O6,($J6,$O6,$T6),1)-2)*20)</f>
        <v>32.5</v>
      </c>
      <c r="W6" s="55">
        <f>IF($T6="","",ROUND(($T6-$T$3)/1000,1)+(_xlfn.RANK.AVG($T6,($J6,$O6,$T6),1)-2)*20)</f>
        <v>-5.2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20</v>
      </c>
      <c r="BU6" s="40" t="s">
        <v>82</v>
      </c>
      <c r="BV6" s="41" t="s">
        <v>85</v>
      </c>
      <c r="BW6" s="41" t="s">
        <v>83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わさび</v>
      </c>
      <c r="F7" s="8" t="s">
        <v>196</v>
      </c>
      <c r="G7" s="9">
        <v>-11600</v>
      </c>
      <c r="H7" s="9"/>
      <c r="I7" s="48">
        <v>0</v>
      </c>
      <c r="J7" s="21">
        <f t="shared" si="2"/>
        <v>16100</v>
      </c>
      <c r="K7" s="8"/>
      <c r="L7" s="9"/>
      <c r="M7" s="9"/>
      <c r="N7" s="48"/>
      <c r="O7" s="21">
        <f t="shared" si="3"/>
        <v>47500</v>
      </c>
      <c r="P7" s="8" t="s">
        <v>197</v>
      </c>
      <c r="Q7" s="9">
        <v>11600</v>
      </c>
      <c r="R7" s="9"/>
      <c r="S7" s="48">
        <v>0</v>
      </c>
      <c r="T7" s="21">
        <f t="shared" si="4"/>
        <v>41400</v>
      </c>
      <c r="U7" s="53">
        <f>IF($J7="","",ROUND(($J7-$J$3)/1000,1)+(_xlfn.RANK.AVG($J7,($J7,$O7,$T7),1)-2)*20)</f>
        <v>-38.9</v>
      </c>
      <c r="V7" s="54">
        <f>IF($O7="","",ROUND(($O7-$O$3)/1000,1)+(_xlfn.RANK.AVG($O7,($J7,$O7,$T7),1)-2)*20)</f>
        <v>32.5</v>
      </c>
      <c r="W7" s="55">
        <f>IF($T7="","",ROUND(($T7-$T$3)/1000,1)+(_xlfn.RANK.AVG($T7,($J7,$O7,$T7),1)-2)*20)</f>
        <v>6.4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198</v>
      </c>
      <c r="BV7" s="41" t="s">
        <v>83</v>
      </c>
      <c r="BW7" s="41" t="s">
        <v>199</v>
      </c>
      <c r="BX7" s="41" t="s">
        <v>200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IF($P$1="","",$P$1)</f>
        <v>わさび</v>
      </c>
      <c r="F8" s="8" t="s">
        <v>203</v>
      </c>
      <c r="G8" s="9">
        <v>2100</v>
      </c>
      <c r="H8" s="9"/>
      <c r="I8" s="48">
        <v>1000</v>
      </c>
      <c r="J8" s="21">
        <f t="shared" si="2"/>
        <v>19200</v>
      </c>
      <c r="K8" s="8" t="s">
        <v>202</v>
      </c>
      <c r="L8" s="9">
        <v>-800</v>
      </c>
      <c r="M8" s="9"/>
      <c r="N8" s="48">
        <v>-500</v>
      </c>
      <c r="O8" s="21">
        <f t="shared" si="3"/>
        <v>46200</v>
      </c>
      <c r="P8" s="8" t="s">
        <v>202</v>
      </c>
      <c r="Q8" s="9">
        <v>-1300</v>
      </c>
      <c r="R8" s="9"/>
      <c r="S8" s="48">
        <v>-500</v>
      </c>
      <c r="T8" s="21">
        <f t="shared" si="4"/>
        <v>39600</v>
      </c>
      <c r="U8" s="53">
        <f>IF($J8="","",ROUND(($J8-$J$3)/1000,1)+(_xlfn.RANK.AVG($J8,($J8,$O8,$T8),1)-2)*20)</f>
        <v>-35.799999999999997</v>
      </c>
      <c r="V8" s="54">
        <f>IF($O8="","",ROUND(($O8-$O$3)/1000,1)+(_xlfn.RANK.AVG($O8,($J8,$O8,$T8),1)-2)*20)</f>
        <v>31.2</v>
      </c>
      <c r="W8" s="55">
        <f>IF($T8="","",ROUND(($T8-$T$3)/1000,1)+(_xlfn.RANK.AVG($T8,($J8,$O8,$T8),1)-2)*20)</f>
        <v>4.5999999999999996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200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 t="s">
        <v>203</v>
      </c>
      <c r="G9" s="9">
        <v>7800</v>
      </c>
      <c r="H9" s="9">
        <v>1000</v>
      </c>
      <c r="I9" s="48">
        <v>0</v>
      </c>
      <c r="J9" s="21">
        <f t="shared" si="2"/>
        <v>28000</v>
      </c>
      <c r="K9" s="8" t="s">
        <v>202</v>
      </c>
      <c r="L9" s="9">
        <v>-3900</v>
      </c>
      <c r="M9" s="9">
        <v>-1000</v>
      </c>
      <c r="N9" s="48">
        <v>0</v>
      </c>
      <c r="O9" s="21">
        <f t="shared" si="3"/>
        <v>41300</v>
      </c>
      <c r="P9" s="8" t="s">
        <v>202</v>
      </c>
      <c r="Q9" s="9">
        <v>-3900</v>
      </c>
      <c r="R9" s="9"/>
      <c r="S9" s="48">
        <v>0</v>
      </c>
      <c r="T9" s="21">
        <f t="shared" si="4"/>
        <v>35700</v>
      </c>
      <c r="U9" s="53">
        <f>IF($J9="","",ROUND(($J9-$J$3)/1000,1)+(_xlfn.RANK.AVG($J9,($J9,$O9,$T9),1)-2)*20)</f>
        <v>-27</v>
      </c>
      <c r="V9" s="54">
        <f>IF($O9="","",ROUND(($O9-$O$3)/1000,1)+(_xlfn.RANK.AVG($O9,($J9,$O9,$T9),1)-2)*20)</f>
        <v>26.3</v>
      </c>
      <c r="W9" s="55">
        <f>IF($T9="","",ROUND(($T9-$T$3)/1000,1)+(_xlfn.RANK.AVG($T9,($J9,$O9,$T9),1)-2)*20)</f>
        <v>0.7</v>
      </c>
      <c r="Y9" s="8"/>
      <c r="Z9" s="34"/>
      <c r="AA9" s="26">
        <v>1</v>
      </c>
      <c r="AB9" s="26"/>
      <c r="AC9" s="26">
        <v>4</v>
      </c>
      <c r="AD9" s="30">
        <v>20</v>
      </c>
      <c r="AE9" s="40" t="s">
        <v>198</v>
      </c>
      <c r="AF9" s="41" t="s">
        <v>82</v>
      </c>
      <c r="AG9" s="41" t="s">
        <v>83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IF($F$1="","",$F$1)</f>
        <v>りくと</v>
      </c>
      <c r="F10" s="8"/>
      <c r="G10" s="9"/>
      <c r="H10" s="9"/>
      <c r="I10" s="48"/>
      <c r="J10" s="21">
        <f t="shared" si="2"/>
        <v>28000</v>
      </c>
      <c r="K10" s="8" t="s">
        <v>197</v>
      </c>
      <c r="L10" s="9">
        <v>8000</v>
      </c>
      <c r="M10" s="9"/>
      <c r="N10" s="48">
        <v>1000</v>
      </c>
      <c r="O10" s="21">
        <f t="shared" si="3"/>
        <v>50300</v>
      </c>
      <c r="P10" s="8" t="s">
        <v>196</v>
      </c>
      <c r="Q10" s="9">
        <v>-8000</v>
      </c>
      <c r="R10" s="9"/>
      <c r="S10" s="48">
        <v>-1000</v>
      </c>
      <c r="T10" s="21">
        <f t="shared" si="4"/>
        <v>26700</v>
      </c>
      <c r="U10" s="53">
        <f>IF($J10="","",ROUND(($J10-$J$3)/1000,1)+(_xlfn.RANK.AVG($J10,($J10,$O10,$T10),1)-2)*20)</f>
        <v>-7</v>
      </c>
      <c r="V10" s="54">
        <f>IF($O10="","",ROUND(($O10-$O$3)/1000,1)+(_xlfn.RANK.AVG($O10,($J10,$O10,$T10),1)-2)*20)</f>
        <v>35.299999999999997</v>
      </c>
      <c r="W10" s="55">
        <f>IF($T10="","",ROUND(($T10-$T$3)/1000,1)+(_xlfn.RANK.AVG($T10,($J10,$O10,$T10),1)-2)*20)</f>
        <v>-28.3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201</v>
      </c>
      <c r="AZ10" s="40" t="s">
        <v>198</v>
      </c>
      <c r="BA10" s="41" t="s">
        <v>101</v>
      </c>
      <c r="BB10" s="41" t="s">
        <v>80</v>
      </c>
      <c r="BC10" s="41" t="s">
        <v>80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197</v>
      </c>
      <c r="G11" s="9">
        <v>12000</v>
      </c>
      <c r="H11" s="9"/>
      <c r="I11" s="48">
        <v>0</v>
      </c>
      <c r="J11" s="21">
        <f t="shared" si="2"/>
        <v>40000</v>
      </c>
      <c r="K11" s="8"/>
      <c r="L11" s="9"/>
      <c r="M11" s="9"/>
      <c r="N11" s="48"/>
      <c r="O11" s="21">
        <f t="shared" si="3"/>
        <v>50300</v>
      </c>
      <c r="P11" s="8" t="s">
        <v>196</v>
      </c>
      <c r="Q11" s="9">
        <v>-12000</v>
      </c>
      <c r="R11" s="9"/>
      <c r="S11" s="48">
        <v>0</v>
      </c>
      <c r="T11" s="21">
        <f t="shared" si="4"/>
        <v>14700</v>
      </c>
      <c r="U11" s="53">
        <f>IF($J11="","",ROUND(($J11-$J$3)/1000,1)+(_xlfn.RANK.AVG($J11,($J11,$O11,$T11),1)-2)*20)</f>
        <v>5</v>
      </c>
      <c r="V11" s="54">
        <f>IF($O11="","",ROUND(($O11-$O$3)/1000,1)+(_xlfn.RANK.AVG($O11,($J11,$O11,$T11),1)-2)*20)</f>
        <v>35.299999999999997</v>
      </c>
      <c r="W11" s="55">
        <f>IF($T11="","",ROUND(($T11-$T$3)/1000,1)+(_xlfn.RANK.AVG($T11,($J11,$O11,$T11),1)-2)*20)</f>
        <v>-40.299999999999997</v>
      </c>
      <c r="Y11" s="8"/>
      <c r="Z11" s="34"/>
      <c r="AA11" s="26">
        <v>1</v>
      </c>
      <c r="AB11" s="26"/>
      <c r="AC11" s="26">
        <v>7</v>
      </c>
      <c r="AD11" s="30" t="s">
        <v>201</v>
      </c>
      <c r="AE11" s="40" t="s">
        <v>198</v>
      </c>
      <c r="AF11" s="41" t="s">
        <v>199</v>
      </c>
      <c r="AG11" s="41" t="s">
        <v>85</v>
      </c>
      <c r="AH11" s="41" t="s">
        <v>80</v>
      </c>
      <c r="AI11" s="41" t="s">
        <v>80</v>
      </c>
      <c r="AJ11" s="41" t="s">
        <v>80</v>
      </c>
      <c r="AK11" s="41" t="s">
        <v>200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58B1F65-558A-457D-9D61-9ED51A519B4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0B2F9-3F41-4DAE-9CFF-D80FEE1868E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5200</v>
      </c>
      <c r="H4" s="9"/>
      <c r="I4" s="48">
        <v>0</v>
      </c>
      <c r="J4" s="21">
        <f>IF(COUNTA($F4,$K4,$P4)&gt;0,J3+SUM(G4:I4),"")</f>
        <v>40200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IF($J4="","",ROUND(($J4-$J$3)/1000,1)+(_xlfn.RANK.AVG($J4,($J4,$O4,$T4),1)-2)*20)</f>
        <v>25.2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-25.2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198</v>
      </c>
      <c r="AF4" s="41" t="s">
        <v>199</v>
      </c>
      <c r="AG4" s="41" t="s">
        <v>84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205</v>
      </c>
      <c r="G5" s="9">
        <v>0</v>
      </c>
      <c r="H5" s="9"/>
      <c r="I5" s="48"/>
      <c r="J5" s="21">
        <f t="shared" ref="J5:J30" si="2">IF(COUNTA($F5,$K5,$P5)&gt;0,J4+SUM(G5:I5),"")</f>
        <v>40200</v>
      </c>
      <c r="K5" s="8" t="s">
        <v>205</v>
      </c>
      <c r="L5" s="9">
        <v>0</v>
      </c>
      <c r="M5" s="9">
        <v>-1000</v>
      </c>
      <c r="N5" s="48"/>
      <c r="O5" s="21">
        <f t="shared" ref="O5:O30" si="3">IF(COUNTA($F5,$K5,$P5)&gt;0,O4+SUM(L5:N5),"")</f>
        <v>34000</v>
      </c>
      <c r="P5" s="8" t="s">
        <v>205</v>
      </c>
      <c r="Q5" s="9">
        <v>0</v>
      </c>
      <c r="R5" s="9">
        <v>-1000</v>
      </c>
      <c r="S5" s="48"/>
      <c r="T5" s="21">
        <f t="shared" ref="T5:T30" si="4">IF(COUNTA($F5,$K5,$P5)&gt;0,T4+SUM(Q5:S5),"")</f>
        <v>28800</v>
      </c>
      <c r="U5" s="53">
        <f>IF($J5="","",ROUND(($J5-$J$3)/1000,1)+(_xlfn.RANK.AVG($J5,($J5,$O5,$T5),1)-2)*20)</f>
        <v>25.2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-26.2</v>
      </c>
      <c r="Y5" s="8" t="s">
        <v>204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IF($F$1="","",$F$1)</f>
        <v>りくと</v>
      </c>
      <c r="F6" s="8" t="s">
        <v>202</v>
      </c>
      <c r="G6" s="9">
        <v>-4800</v>
      </c>
      <c r="H6" s="9">
        <v>-1000</v>
      </c>
      <c r="I6" s="48">
        <v>-500</v>
      </c>
      <c r="J6" s="21">
        <f t="shared" si="2"/>
        <v>33900</v>
      </c>
      <c r="K6" s="8" t="s">
        <v>202</v>
      </c>
      <c r="L6" s="9">
        <v>-2900</v>
      </c>
      <c r="M6" s="9"/>
      <c r="N6" s="48">
        <v>-500</v>
      </c>
      <c r="O6" s="21">
        <f t="shared" si="3"/>
        <v>30600</v>
      </c>
      <c r="P6" s="8" t="s">
        <v>203</v>
      </c>
      <c r="Q6" s="9">
        <v>7700</v>
      </c>
      <c r="R6" s="9">
        <v>3000</v>
      </c>
      <c r="S6" s="48">
        <v>1000</v>
      </c>
      <c r="T6" s="21">
        <f t="shared" si="4"/>
        <v>40500</v>
      </c>
      <c r="U6" s="53">
        <f>IF($J6="","",ROUND(($J6-$J$3)/1000,1)+(_xlfn.RANK.AVG($J6,($J6,$O6,$T6),1)-2)*20)</f>
        <v>-1.1000000000000001</v>
      </c>
      <c r="V6" s="54">
        <f>IF($O6="","",ROUND(($O6-$O$3)/1000,1)+(_xlfn.RANK.AVG($O6,($J6,$O6,$T6),1)-2)*20)</f>
        <v>-24.4</v>
      </c>
      <c r="W6" s="55">
        <f>IF($T6="","",ROUND(($T6-$T$3)/1000,1)+(_xlfn.RANK.AVG($T6,($J6,$O6,$T6),1)-2)*20)</f>
        <v>25.5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198</v>
      </c>
      <c r="BV6" s="41" t="s">
        <v>82</v>
      </c>
      <c r="BW6" s="41" t="s">
        <v>84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196</v>
      </c>
      <c r="G7" s="9">
        <v>-12000</v>
      </c>
      <c r="H7" s="9"/>
      <c r="I7" s="48">
        <v>0</v>
      </c>
      <c r="J7" s="21">
        <f t="shared" si="2"/>
        <v>21900</v>
      </c>
      <c r="K7" s="8" t="s">
        <v>197</v>
      </c>
      <c r="L7" s="9">
        <v>12000</v>
      </c>
      <c r="M7" s="9"/>
      <c r="N7" s="48">
        <v>0</v>
      </c>
      <c r="O7" s="21">
        <f t="shared" si="3"/>
        <v>42600</v>
      </c>
      <c r="P7" s="8"/>
      <c r="Q7" s="9"/>
      <c r="R7" s="9"/>
      <c r="S7" s="48"/>
      <c r="T7" s="21">
        <f t="shared" si="4"/>
        <v>40500</v>
      </c>
      <c r="U7" s="53">
        <f>IF($J7="","",ROUND(($J7-$J$3)/1000,1)+(_xlfn.RANK.AVG($J7,($J7,$O7,$T7),1)-2)*20)</f>
        <v>-33.1</v>
      </c>
      <c r="V7" s="54">
        <f>IF($O7="","",ROUND(($O7-$O$3)/1000,1)+(_xlfn.RANK.AVG($O7,($J7,$O7,$T7),1)-2)*20)</f>
        <v>27.6</v>
      </c>
      <c r="W7" s="55">
        <f>IF($T7="","",ROUND(($T7-$T$3)/1000,1)+(_xlfn.RANK.AVG($T7,($J7,$O7,$T7),1)-2)*20)</f>
        <v>5.5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198</v>
      </c>
      <c r="BA7" s="41" t="s">
        <v>84</v>
      </c>
      <c r="BB7" s="41" t="s">
        <v>200</v>
      </c>
      <c r="BC7" s="41" t="s">
        <v>200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IF($K$1="","",$K$1)</f>
        <v>だいち</v>
      </c>
      <c r="F8" s="8"/>
      <c r="G8" s="9"/>
      <c r="H8" s="9"/>
      <c r="I8" s="48"/>
      <c r="J8" s="21">
        <f t="shared" si="2"/>
        <v>21900</v>
      </c>
      <c r="K8" s="8" t="s">
        <v>197</v>
      </c>
      <c r="L8" s="9">
        <v>24000</v>
      </c>
      <c r="M8" s="9"/>
      <c r="N8" s="48">
        <v>1000</v>
      </c>
      <c r="O8" s="21">
        <f t="shared" si="3"/>
        <v>67600</v>
      </c>
      <c r="P8" s="8" t="s">
        <v>196</v>
      </c>
      <c r="Q8" s="9">
        <v>-24000</v>
      </c>
      <c r="R8" s="9"/>
      <c r="S8" s="48">
        <v>-1000</v>
      </c>
      <c r="T8" s="21">
        <f t="shared" si="4"/>
        <v>15500</v>
      </c>
      <c r="U8" s="53">
        <f>IF($J8="","",ROUND(($J8-$J$3)/1000,1)+(_xlfn.RANK.AVG($J8,($J8,$O8,$T8),1)-2)*20)</f>
        <v>-13.1</v>
      </c>
      <c r="V8" s="54">
        <f>IF($O8="","",ROUND(($O8-$O$3)/1000,1)+(_xlfn.RANK.AVG($O8,($J8,$O8,$T8),1)-2)*20)</f>
        <v>52.6</v>
      </c>
      <c r="W8" s="55">
        <f>IF($T8="","",ROUND(($T8-$T$3)/1000,1)+(_xlfn.RANK.AVG($T8,($J8,$O8,$T8),1)-2)*20)</f>
        <v>-39.5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8</v>
      </c>
      <c r="AY8" s="30" t="s">
        <v>201</v>
      </c>
      <c r="AZ8" s="40" t="s">
        <v>198</v>
      </c>
      <c r="BA8" s="41" t="s">
        <v>199</v>
      </c>
      <c r="BB8" s="41" t="s">
        <v>86</v>
      </c>
      <c r="BC8" s="41" t="s">
        <v>104</v>
      </c>
      <c r="BD8" s="41" t="s">
        <v>92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IF($K$1="","",$K$1)</f>
        <v>だいち</v>
      </c>
      <c r="F9" s="8" t="s">
        <v>205</v>
      </c>
      <c r="G9" s="9">
        <v>0</v>
      </c>
      <c r="H9" s="9"/>
      <c r="I9" s="48"/>
      <c r="J9" s="21">
        <f t="shared" si="2"/>
        <v>21900</v>
      </c>
      <c r="K9" s="8" t="s">
        <v>205</v>
      </c>
      <c r="L9" s="9">
        <v>0</v>
      </c>
      <c r="M9" s="9"/>
      <c r="N9" s="48"/>
      <c r="O9" s="21">
        <f t="shared" si="3"/>
        <v>67600</v>
      </c>
      <c r="P9" s="8" t="s">
        <v>205</v>
      </c>
      <c r="Q9" s="9">
        <v>0</v>
      </c>
      <c r="R9" s="9"/>
      <c r="S9" s="48"/>
      <c r="T9" s="21">
        <f t="shared" si="4"/>
        <v>15500</v>
      </c>
      <c r="U9" s="53">
        <f>IF($J9="","",ROUND(($J9-$J$3)/1000,1)+(_xlfn.RANK.AVG($J9,($J9,$O9,$T9),1)-2)*20)</f>
        <v>-13.1</v>
      </c>
      <c r="V9" s="54">
        <f>IF($O9="","",ROUND(($O9-$O$3)/1000,1)+(_xlfn.RANK.AVG($O9,($J9,$O9,$T9),1)-2)*20)</f>
        <v>52.6</v>
      </c>
      <c r="W9" s="55">
        <f>IF($T9="","",ROUND(($T9-$T$3)/1000,1)+(_xlfn.RANK.AVG($T9,($J9,$O9,$T9),1)-2)*20)</f>
        <v>-39.5</v>
      </c>
      <c r="Y9" s="8" t="s">
        <v>204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IF($K$1="","",$K$1)</f>
        <v>だいち</v>
      </c>
      <c r="F10" s="8" t="s">
        <v>205</v>
      </c>
      <c r="G10" s="9">
        <v>3000</v>
      </c>
      <c r="H10" s="9">
        <v>-1000</v>
      </c>
      <c r="I10" s="48"/>
      <c r="J10" s="21">
        <f t="shared" si="2"/>
        <v>23900</v>
      </c>
      <c r="K10" s="8" t="s">
        <v>205</v>
      </c>
      <c r="L10" s="9">
        <v>-1500</v>
      </c>
      <c r="M10" s="9"/>
      <c r="N10" s="48"/>
      <c r="O10" s="21">
        <f t="shared" si="3"/>
        <v>66100</v>
      </c>
      <c r="P10" s="8" t="s">
        <v>205</v>
      </c>
      <c r="Q10" s="9">
        <v>-1500</v>
      </c>
      <c r="R10" s="9"/>
      <c r="S10" s="48"/>
      <c r="T10" s="21">
        <f t="shared" si="4"/>
        <v>14000</v>
      </c>
      <c r="U10" s="53">
        <f>IF($J10="","",ROUND(($J10-$J$3)/1000,1)+(_xlfn.RANK.AVG($J10,($J10,$O10,$T10),1)-2)*20)</f>
        <v>-11.1</v>
      </c>
      <c r="V10" s="54">
        <f>IF($O10="","",ROUND(($O10-$O$3)/1000,1)+(_xlfn.RANK.AVG($O10,($J10,$O10,$T10),1)-2)*20)</f>
        <v>51.1</v>
      </c>
      <c r="W10" s="55">
        <f>IF($T10="","",ROUND(($T10-$T$3)/1000,1)+(_xlfn.RANK.AVG($T10,($J10,$O10,$T10),1)-2)*20)</f>
        <v>-41</v>
      </c>
      <c r="Y10" s="8" t="s">
        <v>204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4</v>
      </c>
      <c r="D11" s="18">
        <f t="shared" si="1"/>
        <v>1</v>
      </c>
      <c r="E11" s="4" t="str">
        <f>IF($P$1="","",$P$1)</f>
        <v>わさび</v>
      </c>
      <c r="F11" s="8" t="s">
        <v>196</v>
      </c>
      <c r="G11" s="9">
        <v>-12000</v>
      </c>
      <c r="H11" s="9">
        <v>-1000</v>
      </c>
      <c r="I11" s="48">
        <v>-4000</v>
      </c>
      <c r="J11" s="21">
        <f t="shared" si="2"/>
        <v>6900</v>
      </c>
      <c r="K11" s="8" t="s">
        <v>197</v>
      </c>
      <c r="L11" s="9">
        <v>12000</v>
      </c>
      <c r="M11" s="9">
        <v>2000</v>
      </c>
      <c r="N11" s="48">
        <v>4000</v>
      </c>
      <c r="O11" s="21">
        <f t="shared" si="3"/>
        <v>84100</v>
      </c>
      <c r="P11" s="8"/>
      <c r="Q11" s="9"/>
      <c r="R11" s="9"/>
      <c r="S11" s="48"/>
      <c r="T11" s="21">
        <f t="shared" si="4"/>
        <v>14000</v>
      </c>
      <c r="U11" s="53">
        <f>IF($J11="","",ROUND(($J11-$J$3)/1000,1)+(_xlfn.RANK.AVG($J11,($J11,$O11,$T11),1)-2)*20)</f>
        <v>-48.1</v>
      </c>
      <c r="V11" s="54">
        <f>IF($O11="","",ROUND(($O11-$O$3)/1000,1)+(_xlfn.RANK.AVG($O11,($J11,$O11,$T11),1)-2)*20)</f>
        <v>69.099999999999994</v>
      </c>
      <c r="W11" s="55">
        <f>IF($T11="","",ROUND(($T11-$T$3)/1000,1)+(_xlfn.RANK.AVG($T11,($J11,$O11,$T11),1)-2)*20)</f>
        <v>-21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201</v>
      </c>
      <c r="AZ11" s="40" t="s">
        <v>198</v>
      </c>
      <c r="BA11" s="41" t="s">
        <v>101</v>
      </c>
      <c r="BB11" s="41" t="s">
        <v>104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IF($F$1="","",$F$1)</f>
        <v>りくと</v>
      </c>
      <c r="F12" s="8" t="s">
        <v>202</v>
      </c>
      <c r="G12" s="9">
        <v>-5000</v>
      </c>
      <c r="H12" s="9"/>
      <c r="I12" s="48">
        <v>0</v>
      </c>
      <c r="J12" s="21">
        <f t="shared" si="2"/>
        <v>1900</v>
      </c>
      <c r="K12" s="8" t="s">
        <v>203</v>
      </c>
      <c r="L12" s="9">
        <v>8000</v>
      </c>
      <c r="M12" s="9"/>
      <c r="N12" s="48">
        <v>0</v>
      </c>
      <c r="O12" s="21">
        <f t="shared" si="3"/>
        <v>92100</v>
      </c>
      <c r="P12" s="8" t="s">
        <v>202</v>
      </c>
      <c r="Q12" s="9">
        <v>-3000</v>
      </c>
      <c r="R12" s="9"/>
      <c r="S12" s="48">
        <v>0</v>
      </c>
      <c r="T12" s="21">
        <f t="shared" si="4"/>
        <v>11000</v>
      </c>
      <c r="U12" s="53">
        <f>IF($J12="","",ROUND(($J12-$J$3)/1000,1)+(_xlfn.RANK.AVG($J12,($J12,$O12,$T12),1)-2)*20)</f>
        <v>-53.1</v>
      </c>
      <c r="V12" s="54">
        <f>IF($O12="","",ROUND(($O12-$O$3)/1000,1)+(_xlfn.RANK.AVG($O12,($J12,$O12,$T12),1)-2)*20)</f>
        <v>77.099999999999994</v>
      </c>
      <c r="W12" s="55">
        <f>IF($T12="","",ROUND(($T12-$T$3)/1000,1)+(_xlfn.RANK.AVG($T12,($J12,$O12,$T12),1)-2)*20)</f>
        <v>-24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201</v>
      </c>
      <c r="AZ12" s="40" t="s">
        <v>198</v>
      </c>
      <c r="BA12" s="41" t="s">
        <v>82</v>
      </c>
      <c r="BB12" s="41" t="s">
        <v>200</v>
      </c>
      <c r="BC12" s="41" t="s">
        <v>200</v>
      </c>
      <c r="BD12" s="41" t="s">
        <v>80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IF($K$1="","",$K$1)</f>
        <v>だいち</v>
      </c>
      <c r="F13" s="8" t="s">
        <v>202</v>
      </c>
      <c r="G13" s="9">
        <v>-1100</v>
      </c>
      <c r="H13" s="9"/>
      <c r="I13" s="48">
        <v>0</v>
      </c>
      <c r="J13" s="21">
        <f t="shared" si="2"/>
        <v>800</v>
      </c>
      <c r="K13" s="8" t="s">
        <v>202</v>
      </c>
      <c r="L13" s="9">
        <v>-1700</v>
      </c>
      <c r="M13" s="9"/>
      <c r="N13" s="48">
        <v>0</v>
      </c>
      <c r="O13" s="21">
        <f t="shared" si="3"/>
        <v>90400</v>
      </c>
      <c r="P13" s="8" t="s">
        <v>203</v>
      </c>
      <c r="Q13" s="9">
        <v>2800</v>
      </c>
      <c r="R13" s="9"/>
      <c r="S13" s="48">
        <v>0</v>
      </c>
      <c r="T13" s="21">
        <f t="shared" si="4"/>
        <v>13800</v>
      </c>
      <c r="U13" s="53">
        <f>IF($J13="","",ROUND(($J13-$J$3)/1000,1)+(_xlfn.RANK.AVG($J13,($J13,$O13,$T13),1)-2)*20)</f>
        <v>-54.2</v>
      </c>
      <c r="V13" s="54">
        <f>IF($O13="","",ROUND(($O13-$O$3)/1000,1)+(_xlfn.RANK.AVG($O13,($J13,$O13,$T13),1)-2)*20)</f>
        <v>75.400000000000006</v>
      </c>
      <c r="W13" s="55">
        <f>IF($T13="","",ROUND(($T13-$T$3)/1000,1)+(_xlfn.RANK.AVG($T13,($J13,$O13,$T13),1)-2)*20)</f>
        <v>-21.2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2</v>
      </c>
      <c r="BT13" s="30">
        <v>40</v>
      </c>
      <c r="BU13" s="40" t="s">
        <v>198</v>
      </c>
      <c r="BV13" s="41" t="s">
        <v>82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5415AA37-8369-4D32-983F-E7FA2B0E47BB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52644288-6F4D-4E03-B339-E3DBD41C2871}">
      <formula1>"ロン,ツモ,放銃,ツモ支払,流局,チョンボ"</formula1>
    </dataValidation>
    <dataValidation type="list" allowBlank="1" showInputMessage="1" showErrorMessage="1" sqref="E4:E30" xr:uid="{5589212F-3C75-455F-A3C5-5D672706D2D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15BB-1D2C-4CEA-9CE9-95A12B849A1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203</v>
      </c>
      <c r="L4" s="9">
        <v>7800</v>
      </c>
      <c r="M4" s="9"/>
      <c r="N4" s="48">
        <v>0</v>
      </c>
      <c r="O4" s="21">
        <f>IF(COUNTA($F4,$K4,$P4)&gt;0,O3+SUM(L4:N4),"")</f>
        <v>42800</v>
      </c>
      <c r="P4" s="8" t="s">
        <v>202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-13.9</v>
      </c>
      <c r="V4" s="54">
        <f>IF($O4="","",ROUND(($O4-$O$3)/1000,1)+(_xlfn.RANK.AVG($O4,($J4,$O4,$T4),1)-2)*20)</f>
        <v>27.8</v>
      </c>
      <c r="W4" s="55">
        <f>IF($T4="","",ROUND(($T4-$T$3)/1000,1)+(_xlfn.RANK.AVG($T4,($J4,$O4,$T4),1)-2)*20)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198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202</v>
      </c>
      <c r="G5" s="9">
        <v>-3000</v>
      </c>
      <c r="H5" s="9">
        <v>-1000</v>
      </c>
      <c r="I5" s="48">
        <v>-500</v>
      </c>
      <c r="J5" s="21">
        <f t="shared" ref="J5:J30" si="2">IF(COUNTA($F5,$K5,$P5)&gt;0,J4+SUM(G5:I5),"")</f>
        <v>26600</v>
      </c>
      <c r="K5" s="8" t="s">
        <v>203</v>
      </c>
      <c r="L5" s="9">
        <v>6000</v>
      </c>
      <c r="M5" s="9">
        <v>2000</v>
      </c>
      <c r="N5" s="48">
        <v>1000</v>
      </c>
      <c r="O5" s="21">
        <f t="shared" ref="O5:O30" si="3">IF(COUNTA($F5,$K5,$P5)&gt;0,O4+SUM(L5:N5),"")</f>
        <v>51800</v>
      </c>
      <c r="P5" s="8" t="s">
        <v>202</v>
      </c>
      <c r="Q5" s="9">
        <v>-3000</v>
      </c>
      <c r="R5" s="9">
        <v>-1000</v>
      </c>
      <c r="S5" s="48">
        <v>-500</v>
      </c>
      <c r="T5" s="21">
        <f t="shared" ref="T5:T30" si="4">IF(COUNTA($F5,$K5,$P5)&gt;0,T4+SUM(Q5:S5),"")</f>
        <v>26600</v>
      </c>
      <c r="U5" s="53">
        <f>IF($J5="","",ROUND(($J5-$J$3)/1000,1)+(_xlfn.RANK.AVG($J5,($J5,$O5,$T5),1)-2)*20)</f>
        <v>-18.399999999999999</v>
      </c>
      <c r="V5" s="54">
        <f>IF($O5="","",ROUND(($O5-$O$3)/1000,1)+(_xlfn.RANK.AVG($O5,($J5,$O5,$T5),1)-2)*20)</f>
        <v>36.799999999999997</v>
      </c>
      <c r="W5" s="55">
        <f>IF($T5="","",ROUND(($T5-$T$3)/1000,1)+(_xlfn.RANK.AVG($T5,($J5,$O5,$T5),1)-2)*20)</f>
        <v>-18.399999999999999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86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-3000</v>
      </c>
      <c r="H6" s="9"/>
      <c r="I6" s="48">
        <v>-1000</v>
      </c>
      <c r="J6" s="21">
        <f t="shared" si="2"/>
        <v>22600</v>
      </c>
      <c r="K6" s="8" t="s">
        <v>202</v>
      </c>
      <c r="L6" s="9">
        <v>-5000</v>
      </c>
      <c r="M6" s="9"/>
      <c r="N6" s="48">
        <v>-1000</v>
      </c>
      <c r="O6" s="21">
        <f t="shared" si="3"/>
        <v>45800</v>
      </c>
      <c r="P6" s="8" t="s">
        <v>203</v>
      </c>
      <c r="Q6" s="9">
        <v>8000</v>
      </c>
      <c r="R6" s="9"/>
      <c r="S6" s="48">
        <v>2000</v>
      </c>
      <c r="T6" s="21">
        <f t="shared" si="4"/>
        <v>36600</v>
      </c>
      <c r="U6" s="53">
        <f>IF($J6="","",ROUND(($J6-$J$3)/1000,1)+(_xlfn.RANK.AVG($J6,($J6,$O6,$T6),1)-2)*20)</f>
        <v>-32.4</v>
      </c>
      <c r="V6" s="54">
        <f>IF($O6="","",ROUND(($O6-$O$3)/1000,1)+(_xlfn.RANK.AVG($O6,($J6,$O6,$T6),1)-2)*20)</f>
        <v>30.8</v>
      </c>
      <c r="W6" s="55">
        <f>IF($T6="","",ROUND(($T6-$T$3)/1000,1)+(_xlfn.RANK.AVG($T6,($J6,$O6,$T6),1)-2)*20)</f>
        <v>1.6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201</v>
      </c>
      <c r="BU6" s="40" t="s">
        <v>198</v>
      </c>
      <c r="BV6" s="41" t="s">
        <v>82</v>
      </c>
      <c r="BW6" s="41" t="s">
        <v>85</v>
      </c>
      <c r="BX6" s="41" t="s">
        <v>200</v>
      </c>
      <c r="BY6" s="41" t="s">
        <v>80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IF($P$1="","",$P$1)</f>
        <v>わさび</v>
      </c>
      <c r="F7" s="8" t="s">
        <v>197</v>
      </c>
      <c r="G7" s="9">
        <v>12000</v>
      </c>
      <c r="H7" s="9"/>
      <c r="I7" s="48">
        <v>0</v>
      </c>
      <c r="J7" s="21">
        <f t="shared" si="2"/>
        <v>34600</v>
      </c>
      <c r="K7" s="8"/>
      <c r="L7" s="9"/>
      <c r="M7" s="9"/>
      <c r="N7" s="48"/>
      <c r="O7" s="21">
        <f t="shared" si="3"/>
        <v>45800</v>
      </c>
      <c r="P7" s="8" t="s">
        <v>196</v>
      </c>
      <c r="Q7" s="9">
        <v>-12000</v>
      </c>
      <c r="R7" s="9"/>
      <c r="S7" s="48">
        <v>0</v>
      </c>
      <c r="T7" s="21">
        <f t="shared" si="4"/>
        <v>24600</v>
      </c>
      <c r="U7" s="53">
        <f>IF($J7="","",ROUND(($J7-$J$3)/1000,1)+(_xlfn.RANK.AVG($J7,($J7,$O7,$T7),1)-2)*20)</f>
        <v>-0.4</v>
      </c>
      <c r="V7" s="54">
        <f>IF($O7="","",ROUND(($O7-$O$3)/1000,1)+(_xlfn.RANK.AVG($O7,($J7,$O7,$T7),1)-2)*20)</f>
        <v>30.8</v>
      </c>
      <c r="W7" s="55">
        <f>IF($T7="","",ROUND(($T7-$T$3)/1000,1)+(_xlfn.RANK.AVG($T7,($J7,$O7,$T7),1)-2)*20)</f>
        <v>-30.4</v>
      </c>
      <c r="Y7" s="8"/>
      <c r="Z7" s="34"/>
      <c r="AA7" s="26">
        <v>1</v>
      </c>
      <c r="AB7" s="26"/>
      <c r="AC7" s="26">
        <v>6</v>
      </c>
      <c r="AD7" s="30" t="s">
        <v>201</v>
      </c>
      <c r="AE7" s="40" t="s">
        <v>198</v>
      </c>
      <c r="AF7" s="41" t="s">
        <v>83</v>
      </c>
      <c r="AG7" s="41" t="s">
        <v>84</v>
      </c>
      <c r="AH7" s="41" t="s">
        <v>80</v>
      </c>
      <c r="AI7" s="41" t="s">
        <v>79</v>
      </c>
      <c r="AJ7" s="41" t="s">
        <v>200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/>
      <c r="G8" s="9"/>
      <c r="H8" s="9"/>
      <c r="I8" s="48"/>
      <c r="J8" s="21">
        <f t="shared" si="2"/>
        <v>34600</v>
      </c>
      <c r="K8" s="8" t="s">
        <v>196</v>
      </c>
      <c r="L8" s="9">
        <v>-1300</v>
      </c>
      <c r="M8" s="9"/>
      <c r="N8" s="48">
        <v>0</v>
      </c>
      <c r="O8" s="21">
        <f t="shared" si="3"/>
        <v>44500</v>
      </c>
      <c r="P8" s="8" t="s">
        <v>197</v>
      </c>
      <c r="Q8" s="9">
        <v>1300</v>
      </c>
      <c r="R8" s="9"/>
      <c r="S8" s="48">
        <v>0</v>
      </c>
      <c r="T8" s="21">
        <f t="shared" si="4"/>
        <v>25900</v>
      </c>
      <c r="U8" s="53">
        <f>IF($J8="","",ROUND(($J8-$J$3)/1000,1)+(_xlfn.RANK.AVG($J8,($J8,$O8,$T8),1)-2)*20)</f>
        <v>-0.4</v>
      </c>
      <c r="V8" s="54">
        <f>IF($O8="","",ROUND(($O8-$O$3)/1000,1)+(_xlfn.RANK.AVG($O8,($J8,$O8,$T8),1)-2)*20)</f>
        <v>29.5</v>
      </c>
      <c r="W8" s="55">
        <f>IF($T8="","",ROUND(($T8-$T$3)/1000,1)+(_xlfn.RANK.AVG($T8,($J8,$O8,$T8),1)-2)*20)</f>
        <v>-29.1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</v>
      </c>
      <c r="BT8" s="30">
        <v>40</v>
      </c>
      <c r="BU8" s="40" t="s">
        <v>198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196</v>
      </c>
      <c r="G9" s="9">
        <v>-12000</v>
      </c>
      <c r="H9" s="9"/>
      <c r="I9" s="48">
        <v>0</v>
      </c>
      <c r="J9" s="21">
        <f t="shared" si="2"/>
        <v>22600</v>
      </c>
      <c r="K9" s="8" t="s">
        <v>197</v>
      </c>
      <c r="L9" s="9">
        <v>12000</v>
      </c>
      <c r="M9" s="9"/>
      <c r="N9" s="48">
        <v>0</v>
      </c>
      <c r="O9" s="21">
        <f t="shared" si="3"/>
        <v>56500</v>
      </c>
      <c r="P9" s="8"/>
      <c r="Q9" s="9"/>
      <c r="R9" s="9"/>
      <c r="S9" s="48"/>
      <c r="T9" s="21">
        <f t="shared" si="4"/>
        <v>25900</v>
      </c>
      <c r="U9" s="53">
        <f>IF($J9="","",ROUND(($J9-$J$3)/1000,1)+(_xlfn.RANK.AVG($J9,($J9,$O9,$T9),1)-2)*20)</f>
        <v>-32.4</v>
      </c>
      <c r="V9" s="54">
        <f>IF($O9="","",ROUND(($O9-$O$3)/1000,1)+(_xlfn.RANK.AVG($O9,($J9,$O9,$T9),1)-2)*20)</f>
        <v>41.5</v>
      </c>
      <c r="W9" s="55">
        <f>IF($T9="","",ROUND(($T9-$T$3)/1000,1)+(_xlfn.RANK.AVG($T9,($J9,$O9,$T9),1)-2)*20)</f>
        <v>-9.1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201</v>
      </c>
      <c r="AZ9" s="40" t="s">
        <v>86</v>
      </c>
      <c r="BA9" s="41" t="s">
        <v>79</v>
      </c>
      <c r="BB9" s="41" t="s">
        <v>79</v>
      </c>
      <c r="BC9" s="41" t="s">
        <v>79</v>
      </c>
      <c r="BD9" s="41" t="s">
        <v>200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197</v>
      </c>
      <c r="G10" s="9">
        <v>3900</v>
      </c>
      <c r="H10" s="9">
        <v>1000</v>
      </c>
      <c r="I10" s="48">
        <v>1000</v>
      </c>
      <c r="J10" s="21">
        <f t="shared" si="2"/>
        <v>28500</v>
      </c>
      <c r="K10" s="8"/>
      <c r="L10" s="9"/>
      <c r="M10" s="9">
        <v>-1000</v>
      </c>
      <c r="N10" s="48"/>
      <c r="O10" s="21">
        <f t="shared" si="3"/>
        <v>55500</v>
      </c>
      <c r="P10" s="8" t="s">
        <v>196</v>
      </c>
      <c r="Q10" s="9">
        <v>-3900</v>
      </c>
      <c r="R10" s="9"/>
      <c r="S10" s="48">
        <v>-1000</v>
      </c>
      <c r="T10" s="21">
        <f t="shared" si="4"/>
        <v>21000</v>
      </c>
      <c r="U10" s="53">
        <f>IF($J10="","",ROUND(($J10-$J$3)/1000,1)+(_xlfn.RANK.AVG($J10,($J10,$O10,$T10),1)-2)*20)</f>
        <v>-6.5</v>
      </c>
      <c r="V10" s="54">
        <f>IF($O10="","",ROUND(($O10-$O$3)/1000,1)+(_xlfn.RANK.AVG($O10,($J10,$O10,$T10),1)-2)*20)</f>
        <v>40.5</v>
      </c>
      <c r="W10" s="55">
        <f>IF($T10="","",ROUND(($T10-$T$3)/1000,1)+(_xlfn.RANK.AVG($T10,($J10,$O10,$T10),1)-2)*20)</f>
        <v>-34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79</v>
      </c>
      <c r="AG10" s="41" t="s">
        <v>200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IF($P$1="","",$P$1)</f>
        <v>わさび</v>
      </c>
      <c r="F11" s="8" t="s">
        <v>202</v>
      </c>
      <c r="G11" s="9">
        <v>-3000</v>
      </c>
      <c r="H11" s="9"/>
      <c r="I11" s="48">
        <v>0</v>
      </c>
      <c r="J11" s="21">
        <f t="shared" si="2"/>
        <v>25500</v>
      </c>
      <c r="K11" s="8" t="s">
        <v>203</v>
      </c>
      <c r="L11" s="9">
        <v>8000</v>
      </c>
      <c r="M11" s="9">
        <v>1000</v>
      </c>
      <c r="N11" s="48">
        <v>0</v>
      </c>
      <c r="O11" s="21">
        <f t="shared" si="3"/>
        <v>64500</v>
      </c>
      <c r="P11" s="8" t="s">
        <v>202</v>
      </c>
      <c r="Q11" s="9">
        <v>-5000</v>
      </c>
      <c r="R11" s="9">
        <v>-1000</v>
      </c>
      <c r="S11" s="48">
        <v>0</v>
      </c>
      <c r="T11" s="21">
        <f t="shared" si="4"/>
        <v>15000</v>
      </c>
      <c r="U11" s="53">
        <f>IF($J11="","",ROUND(($J11-$J$3)/1000,1)+(_xlfn.RANK.AVG($J11,($J11,$O11,$T11),1)-2)*20)</f>
        <v>-9.5</v>
      </c>
      <c r="V11" s="54">
        <f>IF($O11="","",ROUND(($O11-$O$3)/1000,1)+(_xlfn.RANK.AVG($O11,($J11,$O11,$T11),1)-2)*20)</f>
        <v>49.5</v>
      </c>
      <c r="W11" s="55">
        <f>IF($T11="","",ROUND(($T11-$T$3)/1000,1)+(_xlfn.RANK.AVG($T11,($J11,$O11,$T11),1)-2)*20)</f>
        <v>-40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50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IF($F$1="","",$F$1)</f>
        <v>りくと</v>
      </c>
      <c r="F12" s="8" t="s">
        <v>205</v>
      </c>
      <c r="G12" s="9">
        <v>0</v>
      </c>
      <c r="H12" s="9"/>
      <c r="I12" s="48"/>
      <c r="J12" s="21">
        <f t="shared" si="2"/>
        <v>25500</v>
      </c>
      <c r="K12" s="8" t="s">
        <v>205</v>
      </c>
      <c r="L12" s="9">
        <v>0</v>
      </c>
      <c r="M12" s="9">
        <v>-1000</v>
      </c>
      <c r="N12" s="48"/>
      <c r="O12" s="21">
        <f t="shared" si="3"/>
        <v>63500</v>
      </c>
      <c r="P12" s="8" t="s">
        <v>205</v>
      </c>
      <c r="Q12" s="9">
        <v>0</v>
      </c>
      <c r="R12" s="9">
        <v>-1000</v>
      </c>
      <c r="S12" s="48"/>
      <c r="T12" s="21">
        <f t="shared" si="4"/>
        <v>14000</v>
      </c>
      <c r="U12" s="53">
        <f>IF($J12="","",ROUND(($J12-$J$3)/1000,1)+(_xlfn.RANK.AVG($J12,($J12,$O12,$T12),1)-2)*20)</f>
        <v>-9.5</v>
      </c>
      <c r="V12" s="54">
        <f>IF($O12="","",ROUND(($O12-$O$3)/1000,1)+(_xlfn.RANK.AVG($O12,($J12,$O12,$T12),1)-2)*20)</f>
        <v>48.5</v>
      </c>
      <c r="W12" s="55">
        <f>IF($T12="","",ROUND(($T12-$T$3)/1000,1)+(_xlfn.RANK.AVG($T12,($J12,$O12,$T12),1)-2)*20)</f>
        <v>-41</v>
      </c>
      <c r="Y12" s="8" t="s">
        <v>204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2</v>
      </c>
      <c r="E13" s="4" t="str">
        <f>IF($F$1="","",$F$1)</f>
        <v>りくと</v>
      </c>
      <c r="F13" s="8" t="s">
        <v>205</v>
      </c>
      <c r="G13" s="9">
        <v>-3000</v>
      </c>
      <c r="H13" s="9"/>
      <c r="I13" s="48"/>
      <c r="J13" s="21">
        <f t="shared" si="2"/>
        <v>22500</v>
      </c>
      <c r="K13" s="8" t="s">
        <v>205</v>
      </c>
      <c r="L13" s="9">
        <v>1500</v>
      </c>
      <c r="M13" s="9">
        <v>3000</v>
      </c>
      <c r="N13" s="48"/>
      <c r="O13" s="21">
        <f t="shared" si="3"/>
        <v>68000</v>
      </c>
      <c r="P13" s="8" t="s">
        <v>205</v>
      </c>
      <c r="Q13" s="9">
        <v>1500</v>
      </c>
      <c r="R13" s="9">
        <v>-1000</v>
      </c>
      <c r="S13" s="48"/>
      <c r="T13" s="21">
        <f t="shared" si="4"/>
        <v>14500</v>
      </c>
      <c r="U13" s="53">
        <f>IF($J13="","",ROUND(($J13-$J$3)/1000,1)+(_xlfn.RANK.AVG($J13,($J13,$O13,$T13),1)-2)*20)</f>
        <v>-12.5</v>
      </c>
      <c r="V13" s="54">
        <f>IF($O13="","",ROUND(($O13-$O$3)/1000,1)+(_xlfn.RANK.AVG($O13,($J13,$O13,$T13),1)-2)*20)</f>
        <v>53</v>
      </c>
      <c r="W13" s="55">
        <f>IF($T13="","",ROUND(($T13-$T$3)/1000,1)+(_xlfn.RANK.AVG($T13,($J13,$O13,$T13),1)-2)*20)</f>
        <v>-40.5</v>
      </c>
      <c r="Y13" s="8" t="s">
        <v>206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204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0F733B05-56B5-4388-BDC0-FAFB772CD877}">
      <formula1>$U$2:$W$2</formula1>
    </dataValidation>
    <dataValidation type="list" showInputMessage="1" showErrorMessage="1" sqref="K4:K30 P4:P30 F4:F30" xr:uid="{3A930FCF-5999-4CAF-8457-D88522CC415E}">
      <formula1>"ロン,ツモ,放銃,ツモ支払,流局,チョンボ"</formula1>
    </dataValidation>
    <dataValidation type="list" allowBlank="1" showInputMessage="1" sqref="F1:T1" xr:uid="{B1036755-678E-4A4E-801F-A300F1F519A2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C286E-5BDA-4E0C-9A43-18B6159B186D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50</v>
      </c>
      <c r="BU4" s="40" t="s">
        <v>104</v>
      </c>
      <c r="BV4" s="41" t="s">
        <v>86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わさび</v>
      </c>
      <c r="F5" s="8"/>
      <c r="G5" s="9"/>
      <c r="H5" s="9"/>
      <c r="I5" s="48"/>
      <c r="J5" s="21">
        <f t="shared" ref="J5:J30" si="2">IF(COUNTA($F5,$K5,$P5)&gt;0,J4+SUM(G5:I5),"")</f>
        <v>27000</v>
      </c>
      <c r="K5" s="8" t="s">
        <v>197</v>
      </c>
      <c r="L5" s="9">
        <v>7700</v>
      </c>
      <c r="M5" s="9"/>
      <c r="N5" s="48">
        <v>0</v>
      </c>
      <c r="O5" s="21">
        <f t="shared" ref="O5:O30" si="3">IF(COUNTA($F5,$K5,$P5)&gt;0,O4+SUM(L5:N5),"")</f>
        <v>42700</v>
      </c>
      <c r="P5" s="8" t="s">
        <v>196</v>
      </c>
      <c r="Q5" s="9">
        <v>-7700</v>
      </c>
      <c r="R5" s="9"/>
      <c r="S5" s="48">
        <v>0</v>
      </c>
      <c r="T5" s="21">
        <f t="shared" ref="T5:T30" si="4">IF(COUNTA($F5,$K5,$P5)&gt;0,T4+SUM(Q5:S5),"")</f>
        <v>35300</v>
      </c>
      <c r="U5" s="53">
        <f>IF($J5="","",ROUND(($J5-$J$3)/1000,1)+(_xlfn.RANK.AVG($J5,($J5,$O5,$T5),1)-2)*20)</f>
        <v>-28</v>
      </c>
      <c r="V5" s="54">
        <f>IF($O5="","",ROUND(($O5-$O$3)/1000,1)+(_xlfn.RANK.AVG($O5,($J5,$O5,$T5),1)-2)*20)</f>
        <v>27.7</v>
      </c>
      <c r="W5" s="55">
        <f>IF($T5="","",ROUND(($T5-$T$3)/1000,1)+(_xlfn.RANK.AVG($T5,($J5,$O5,$T5),1)-2)*20)</f>
        <v>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198</v>
      </c>
      <c r="BA5" s="41" t="s">
        <v>85</v>
      </c>
      <c r="BB5" s="41" t="s">
        <v>83</v>
      </c>
      <c r="BC5" s="41" t="s">
        <v>200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203</v>
      </c>
      <c r="G6" s="9">
        <v>3000</v>
      </c>
      <c r="H6" s="9"/>
      <c r="I6" s="48">
        <v>0</v>
      </c>
      <c r="J6" s="21">
        <f t="shared" si="2"/>
        <v>30000</v>
      </c>
      <c r="K6" s="8" t="s">
        <v>202</v>
      </c>
      <c r="L6" s="9">
        <v>-1500</v>
      </c>
      <c r="M6" s="9"/>
      <c r="N6" s="48">
        <v>0</v>
      </c>
      <c r="O6" s="21">
        <f t="shared" si="3"/>
        <v>41200</v>
      </c>
      <c r="P6" s="8" t="s">
        <v>202</v>
      </c>
      <c r="Q6" s="9">
        <v>-1500</v>
      </c>
      <c r="R6" s="9"/>
      <c r="S6" s="48">
        <v>0</v>
      </c>
      <c r="T6" s="21">
        <f t="shared" si="4"/>
        <v>33800</v>
      </c>
      <c r="U6" s="53">
        <f>IF($J6="","",ROUND(($J6-$J$3)/1000,1)+(_xlfn.RANK.AVG($J6,($J6,$O6,$T6),1)-2)*20)</f>
        <v>-25</v>
      </c>
      <c r="V6" s="54">
        <f>IF($O6="","",ROUND(($O6-$O$3)/1000,1)+(_xlfn.RANK.AVG($O6,($J6,$O6,$T6),1)-2)*20)</f>
        <v>26.2</v>
      </c>
      <c r="W6" s="55">
        <f>IF($T6="","",ROUND(($T6-$T$3)/1000,1)+(_xlfn.RANK.AVG($T6,($J6,$O6,$T6),1)-2)*20)</f>
        <v>-1.2</v>
      </c>
      <c r="Y6" s="8"/>
      <c r="Z6" s="34"/>
      <c r="AA6" s="26"/>
      <c r="AB6" s="26"/>
      <c r="AC6" s="26">
        <v>2</v>
      </c>
      <c r="AD6" s="30">
        <v>30</v>
      </c>
      <c r="AE6" s="40" t="s">
        <v>82</v>
      </c>
      <c r="AF6" s="41" t="s">
        <v>86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IF($F$1="","",$F$1)</f>
        <v>りくと</v>
      </c>
      <c r="F7" s="8" t="s">
        <v>205</v>
      </c>
      <c r="G7" s="9">
        <v>3000</v>
      </c>
      <c r="H7" s="9"/>
      <c r="I7" s="48"/>
      <c r="J7" s="21">
        <f t="shared" si="2"/>
        <v>33000</v>
      </c>
      <c r="K7" s="8" t="s">
        <v>205</v>
      </c>
      <c r="L7" s="9">
        <v>-1500</v>
      </c>
      <c r="M7" s="9"/>
      <c r="N7" s="48"/>
      <c r="O7" s="21">
        <f t="shared" si="3"/>
        <v>39700</v>
      </c>
      <c r="P7" s="8" t="s">
        <v>205</v>
      </c>
      <c r="Q7" s="9">
        <v>-1500</v>
      </c>
      <c r="R7" s="9"/>
      <c r="S7" s="48"/>
      <c r="T7" s="21">
        <f t="shared" si="4"/>
        <v>32300</v>
      </c>
      <c r="U7" s="53">
        <f>IF($J7="","",ROUND(($J7-$J$3)/1000,1)+(_xlfn.RANK.AVG($J7,($J7,$O7,$T7),1)-2)*20)</f>
        <v>-2</v>
      </c>
      <c r="V7" s="54">
        <f>IF($O7="","",ROUND(($O7-$O$3)/1000,1)+(_xlfn.RANK.AVG($O7,($J7,$O7,$T7),1)-2)*20)</f>
        <v>24.7</v>
      </c>
      <c r="W7" s="55">
        <f>IF($T7="","",ROUND(($T7-$T$3)/1000,1)+(_xlfn.RANK.AVG($T7,($J7,$O7,$T7),1)-2)*20)</f>
        <v>-22.7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IF($F$1="","",$F$1)</f>
        <v>りくと</v>
      </c>
      <c r="F8" s="8" t="s">
        <v>205</v>
      </c>
      <c r="G8" s="9">
        <v>0</v>
      </c>
      <c r="H8" s="9"/>
      <c r="I8" s="48"/>
      <c r="J8" s="21">
        <f t="shared" si="2"/>
        <v>33000</v>
      </c>
      <c r="K8" s="8" t="s">
        <v>205</v>
      </c>
      <c r="L8" s="9">
        <v>0</v>
      </c>
      <c r="M8" s="9">
        <v>-1000</v>
      </c>
      <c r="N8" s="48"/>
      <c r="O8" s="21">
        <f t="shared" si="3"/>
        <v>38700</v>
      </c>
      <c r="P8" s="8" t="s">
        <v>205</v>
      </c>
      <c r="Q8" s="9">
        <v>0</v>
      </c>
      <c r="R8" s="9">
        <v>-1000</v>
      </c>
      <c r="S8" s="48"/>
      <c r="T8" s="21">
        <f t="shared" si="4"/>
        <v>31300</v>
      </c>
      <c r="U8" s="53">
        <f>IF($J8="","",ROUND(($J8-$J$3)/1000,1)+(_xlfn.RANK.AVG($J8,($J8,$O8,$T8),1)-2)*20)</f>
        <v>-2</v>
      </c>
      <c r="V8" s="54">
        <f>IF($O8="","",ROUND(($O8-$O$3)/1000,1)+(_xlfn.RANK.AVG($O8,($J8,$O8,$T8),1)-2)*20)</f>
        <v>23.7</v>
      </c>
      <c r="W8" s="55">
        <f>IF($T8="","",ROUND(($T8-$T$3)/1000,1)+(_xlfn.RANK.AVG($T8,($J8,$O8,$T8),1)-2)*20)</f>
        <v>-23.7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2</v>
      </c>
      <c r="E9" s="4" t="str">
        <f>IF($F$1="","",$F$1)</f>
        <v>りくと</v>
      </c>
      <c r="F9" s="8"/>
      <c r="G9" s="9"/>
      <c r="H9" s="9"/>
      <c r="I9" s="48"/>
      <c r="J9" s="21">
        <f t="shared" si="2"/>
        <v>33000</v>
      </c>
      <c r="K9" s="8" t="s">
        <v>197</v>
      </c>
      <c r="L9" s="9">
        <v>8000</v>
      </c>
      <c r="M9" s="9">
        <v>2000</v>
      </c>
      <c r="N9" s="48">
        <v>3000</v>
      </c>
      <c r="O9" s="21">
        <f t="shared" si="3"/>
        <v>51700</v>
      </c>
      <c r="P9" s="8" t="s">
        <v>196</v>
      </c>
      <c r="Q9" s="9">
        <v>-8000</v>
      </c>
      <c r="R9" s="9"/>
      <c r="S9" s="48">
        <v>-3000</v>
      </c>
      <c r="T9" s="21">
        <f t="shared" si="4"/>
        <v>20300</v>
      </c>
      <c r="U9" s="53">
        <f>IF($J9="","",ROUND(($J9-$J$3)/1000,1)+(_xlfn.RANK.AVG($J9,($J9,$O9,$T9),1)-2)*20)</f>
        <v>-2</v>
      </c>
      <c r="V9" s="54">
        <f>IF($O9="","",ROUND(($O9-$O$3)/1000,1)+(_xlfn.RANK.AVG($O9,($J9,$O9,$T9),1)-2)*20)</f>
        <v>36.700000000000003</v>
      </c>
      <c r="W9" s="55">
        <f>IF($T9="","",ROUND(($T9-$T$3)/1000,1)+(_xlfn.RANK.AVG($T9,($J9,$O9,$T9),1)-2)*20)</f>
        <v>-34.700000000000003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198</v>
      </c>
      <c r="BA9" s="41" t="s">
        <v>86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203</v>
      </c>
      <c r="G10" s="9">
        <v>2100</v>
      </c>
      <c r="H10" s="9"/>
      <c r="I10" s="48">
        <v>0</v>
      </c>
      <c r="J10" s="21">
        <f t="shared" si="2"/>
        <v>35100</v>
      </c>
      <c r="K10" s="8" t="s">
        <v>202</v>
      </c>
      <c r="L10" s="9">
        <v>-1300</v>
      </c>
      <c r="M10" s="9"/>
      <c r="N10" s="48">
        <v>0</v>
      </c>
      <c r="O10" s="21">
        <f t="shared" si="3"/>
        <v>50400</v>
      </c>
      <c r="P10" s="8" t="s">
        <v>202</v>
      </c>
      <c r="Q10" s="9">
        <v>-800</v>
      </c>
      <c r="R10" s="9"/>
      <c r="S10" s="48">
        <v>0</v>
      </c>
      <c r="T10" s="21">
        <f t="shared" si="4"/>
        <v>19500</v>
      </c>
      <c r="U10" s="53">
        <f>IF($J10="","",ROUND(($J10-$J$3)/1000,1)+(_xlfn.RANK.AVG($J10,($J10,$O10,$T10),1)-2)*20)</f>
        <v>0.1</v>
      </c>
      <c r="V10" s="54">
        <f>IF($O10="","",ROUND(($O10-$O$3)/1000,1)+(_xlfn.RANK.AVG($O10,($J10,$O10,$T10),1)-2)*20)</f>
        <v>35.4</v>
      </c>
      <c r="W10" s="55">
        <f>IF($T10="","",ROUND(($T10-$T$3)/1000,1)+(_xlfn.RANK.AVG($T10,($J10,$O10,$T10),1)-2)*20)</f>
        <v>-35.5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IF($P$1="","",$P$1)</f>
        <v>わさび</v>
      </c>
      <c r="F11" s="8" t="s">
        <v>203</v>
      </c>
      <c r="G11" s="9">
        <v>12000</v>
      </c>
      <c r="H11" s="9"/>
      <c r="I11" s="48">
        <v>0</v>
      </c>
      <c r="J11" s="21">
        <f t="shared" si="2"/>
        <v>47100</v>
      </c>
      <c r="K11" s="8" t="s">
        <v>202</v>
      </c>
      <c r="L11" s="9">
        <v>-4500</v>
      </c>
      <c r="M11" s="9"/>
      <c r="N11" s="48">
        <v>0</v>
      </c>
      <c r="O11" s="21">
        <f t="shared" si="3"/>
        <v>45900</v>
      </c>
      <c r="P11" s="8" t="s">
        <v>202</v>
      </c>
      <c r="Q11" s="9">
        <v>-7500</v>
      </c>
      <c r="R11" s="9"/>
      <c r="S11" s="48">
        <v>0</v>
      </c>
      <c r="T11" s="21">
        <f t="shared" si="4"/>
        <v>12000</v>
      </c>
      <c r="U11" s="53">
        <f>IF($J11="","",ROUND(($J11-$J$3)/1000,1)+(_xlfn.RANK.AVG($J11,($J11,$O11,$T11),1)-2)*20)</f>
        <v>32.1</v>
      </c>
      <c r="V11" s="54">
        <f>IF($O11="","",ROUND(($O11-$O$3)/1000,1)+(_xlfn.RANK.AVG($O11,($J11,$O11,$T11),1)-2)*20)</f>
        <v>10.9</v>
      </c>
      <c r="W11" s="55">
        <f>IF($T11="","",ROUND(($T11-$T$3)/1000,1)+(_xlfn.RANK.AVG($T11,($J11,$O11,$T11),1)-2)*20)</f>
        <v>-43</v>
      </c>
      <c r="Y11" s="8"/>
      <c r="Z11" s="34"/>
      <c r="AA11" s="26">
        <v>1</v>
      </c>
      <c r="AB11" s="26"/>
      <c r="AC11" s="26">
        <v>7</v>
      </c>
      <c r="AD11" s="30" t="s">
        <v>201</v>
      </c>
      <c r="AE11" s="40" t="s">
        <v>198</v>
      </c>
      <c r="AF11" s="41" t="s">
        <v>82</v>
      </c>
      <c r="AG11" s="41" t="s">
        <v>86</v>
      </c>
      <c r="AH11" s="41" t="s">
        <v>79</v>
      </c>
      <c r="AI11" s="41" t="s">
        <v>200</v>
      </c>
      <c r="AJ11" s="41" t="s">
        <v>80</v>
      </c>
      <c r="AK11" s="41" t="s">
        <v>80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IF($F$1="","",$F$1)</f>
        <v>りくと</v>
      </c>
      <c r="F12" s="8"/>
      <c r="G12" s="9"/>
      <c r="H12" s="9"/>
      <c r="I12" s="48"/>
      <c r="J12" s="21">
        <f t="shared" si="2"/>
        <v>47100</v>
      </c>
      <c r="K12" s="8" t="s">
        <v>197</v>
      </c>
      <c r="L12" s="9">
        <v>2000</v>
      </c>
      <c r="M12" s="9">
        <v>1000</v>
      </c>
      <c r="N12" s="48">
        <v>0</v>
      </c>
      <c r="O12" s="21">
        <f t="shared" si="3"/>
        <v>48900</v>
      </c>
      <c r="P12" s="8" t="s">
        <v>196</v>
      </c>
      <c r="Q12" s="9">
        <v>-2000</v>
      </c>
      <c r="R12" s="9">
        <v>-1000</v>
      </c>
      <c r="S12" s="48">
        <v>0</v>
      </c>
      <c r="T12" s="21">
        <f t="shared" si="4"/>
        <v>9000</v>
      </c>
      <c r="U12" s="53">
        <f>IF($J12="","",ROUND(($J12-$J$3)/1000,1)+(_xlfn.RANK.AVG($J12,($J12,$O12,$T12),1)-2)*20)</f>
        <v>12.1</v>
      </c>
      <c r="V12" s="54">
        <f>IF($O12="","",ROUND(($O12-$O$3)/1000,1)+(_xlfn.RANK.AVG($O12,($J12,$O12,$T12),1)-2)*20)</f>
        <v>33.9</v>
      </c>
      <c r="W12" s="55">
        <f>IF($T12="","",ROUND(($T12-$T$3)/1000,1)+(_xlfn.RANK.AVG($T12,($J12,$O12,$T12),1)-2)*20)</f>
        <v>-46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86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5FEB8859-E1F2-4A07-B6BA-B88BDC9A4A3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B46384C1-C53D-45E6-A8CD-E7E6B0333A68}">
      <formula1>"ロン,ツモ,放銃,ツモ支払,流局,チョンボ"</formula1>
    </dataValidation>
    <dataValidation type="list" allowBlank="1" showInputMessage="1" showErrorMessage="1" sqref="E4:E30" xr:uid="{926C86E8-36D4-4562-B7D1-D7725126C6F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1CDA9-2344-48F8-A11B-3A5D45808229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196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5</v>
      </c>
      <c r="AD4" s="30" t="s">
        <v>201</v>
      </c>
      <c r="AE4" s="40" t="s">
        <v>198</v>
      </c>
      <c r="AF4" s="41" t="s">
        <v>83</v>
      </c>
      <c r="AG4" s="41" t="s">
        <v>85</v>
      </c>
      <c r="AH4" s="41" t="s">
        <v>84</v>
      </c>
      <c r="AI4" s="41" t="s">
        <v>200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202</v>
      </c>
      <c r="G5" s="9">
        <v>-7500</v>
      </c>
      <c r="H5" s="9"/>
      <c r="I5" s="48">
        <v>-500</v>
      </c>
      <c r="J5" s="21">
        <f t="shared" ref="J5:J30" si="2">IF(COUNTA($F5,$K5,$P5)&gt;0,J4+SUM(G5:I5),"")</f>
        <v>39000</v>
      </c>
      <c r="K5" s="8" t="s">
        <v>203</v>
      </c>
      <c r="L5" s="9">
        <v>12000</v>
      </c>
      <c r="M5" s="9"/>
      <c r="N5" s="48">
        <v>1000</v>
      </c>
      <c r="O5" s="21">
        <f t="shared" ref="O5:O30" si="3">IF(COUNTA($F5,$K5,$P5)&gt;0,O4+SUM(L5:N5),"")</f>
        <v>36000</v>
      </c>
      <c r="P5" s="8" t="s">
        <v>202</v>
      </c>
      <c r="Q5" s="9">
        <v>-4500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IF($J5="","",ROUND(($J5-$J$3)/1000,1)+(_xlfn.RANK.AVG($J5,($J5,$O5,$T5),1)-2)*20)</f>
        <v>24</v>
      </c>
      <c r="V5" s="54">
        <f>IF($O5="","",ROUND(($O5-$O$3)/1000,1)+(_xlfn.RANK.AVG($O5,($J5,$O5,$T5),1)-2)*20)</f>
        <v>1</v>
      </c>
      <c r="W5" s="55">
        <f>IF($T5="","",ROUND(($T5-$T$3)/1000,1)+(_xlfn.RANK.AVG($T5,($J5,$O5,$T5),1)-2)*20)</f>
        <v>-25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201</v>
      </c>
      <c r="AZ5" s="40" t="s">
        <v>198</v>
      </c>
      <c r="BA5" s="41" t="s">
        <v>82</v>
      </c>
      <c r="BB5" s="41" t="s">
        <v>83</v>
      </c>
      <c r="BC5" s="41" t="s">
        <v>84</v>
      </c>
      <c r="BD5" s="41" t="s">
        <v>79</v>
      </c>
      <c r="BE5" s="41" t="s">
        <v>80</v>
      </c>
      <c r="BF5" s="41" t="s">
        <v>80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-3000</v>
      </c>
      <c r="H6" s="9">
        <v>-1000</v>
      </c>
      <c r="I6" s="48">
        <v>0</v>
      </c>
      <c r="J6" s="21">
        <f t="shared" si="2"/>
        <v>35000</v>
      </c>
      <c r="K6" s="8" t="s">
        <v>202</v>
      </c>
      <c r="L6" s="9">
        <v>-5000</v>
      </c>
      <c r="M6" s="9"/>
      <c r="N6" s="48">
        <v>0</v>
      </c>
      <c r="O6" s="21">
        <f t="shared" si="3"/>
        <v>31000</v>
      </c>
      <c r="P6" s="8" t="s">
        <v>203</v>
      </c>
      <c r="Q6" s="9">
        <v>8000</v>
      </c>
      <c r="R6" s="9">
        <v>1000</v>
      </c>
      <c r="S6" s="48">
        <v>0</v>
      </c>
      <c r="T6" s="21">
        <f t="shared" si="4"/>
        <v>39000</v>
      </c>
      <c r="U6" s="53">
        <f>IF($J6="","",ROUND(($J6-$J$3)/1000,1)+(_xlfn.RANK.AVG($J6,($J6,$O6,$T6),1)-2)*20)</f>
        <v>0</v>
      </c>
      <c r="V6" s="54">
        <f>IF($O6="","",ROUND(($O6-$O$3)/1000,1)+(_xlfn.RANK.AVG($O6,($J6,$O6,$T6),1)-2)*20)</f>
        <v>-24</v>
      </c>
      <c r="W6" s="55">
        <f>IF($T6="","",ROUND(($T6-$T$3)/1000,1)+(_xlfn.RANK.AVG($T6,($J6,$O6,$T6),1)-2)*20)</f>
        <v>24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201</v>
      </c>
      <c r="BU6" s="40" t="s">
        <v>198</v>
      </c>
      <c r="BV6" s="41" t="s">
        <v>82</v>
      </c>
      <c r="BW6" s="41" t="s">
        <v>84</v>
      </c>
      <c r="BX6" s="41" t="s">
        <v>80</v>
      </c>
      <c r="BY6" s="41" t="s">
        <v>80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わさび</v>
      </c>
      <c r="F7" s="8" t="s">
        <v>197</v>
      </c>
      <c r="G7" s="9">
        <v>8000</v>
      </c>
      <c r="H7" s="9"/>
      <c r="I7" s="48">
        <v>0</v>
      </c>
      <c r="J7" s="21">
        <f t="shared" si="2"/>
        <v>43000</v>
      </c>
      <c r="K7" s="8"/>
      <c r="L7" s="9"/>
      <c r="M7" s="9"/>
      <c r="N7" s="48"/>
      <c r="O7" s="21">
        <f t="shared" si="3"/>
        <v>31000</v>
      </c>
      <c r="P7" s="8" t="s">
        <v>196</v>
      </c>
      <c r="Q7" s="9">
        <v>-8000</v>
      </c>
      <c r="R7" s="9"/>
      <c r="S7" s="48">
        <v>0</v>
      </c>
      <c r="T7" s="21">
        <f t="shared" si="4"/>
        <v>31000</v>
      </c>
      <c r="U7" s="53">
        <f>IF($J7="","",ROUND(($J7-$J$3)/1000,1)+(_xlfn.RANK.AVG($J7,($J7,$O7,$T7),1)-2)*20)</f>
        <v>28</v>
      </c>
      <c r="V7" s="54">
        <f>IF($O7="","",ROUND(($O7-$O$3)/1000,1)+(_xlfn.RANK.AVG($O7,($J7,$O7,$T7),1)-2)*20)</f>
        <v>-14</v>
      </c>
      <c r="W7" s="55">
        <f>IF($T7="","",ROUND(($T7-$T$3)/1000,1)+(_xlfn.RANK.AVG($T7,($J7,$O7,$T7),1)-2)*20)</f>
        <v>-14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198</v>
      </c>
      <c r="AF7" s="41" t="s">
        <v>199</v>
      </c>
      <c r="AG7" s="41" t="s">
        <v>86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205</v>
      </c>
      <c r="G8" s="9">
        <v>-1500</v>
      </c>
      <c r="H8" s="9"/>
      <c r="I8" s="48"/>
      <c r="J8" s="21">
        <f t="shared" si="2"/>
        <v>41500</v>
      </c>
      <c r="K8" s="8" t="s">
        <v>205</v>
      </c>
      <c r="L8" s="9">
        <v>3000</v>
      </c>
      <c r="M8" s="9">
        <v>-1000</v>
      </c>
      <c r="N8" s="48"/>
      <c r="O8" s="21">
        <f t="shared" si="3"/>
        <v>33000</v>
      </c>
      <c r="P8" s="8" t="s">
        <v>205</v>
      </c>
      <c r="Q8" s="9">
        <v>-1500</v>
      </c>
      <c r="R8" s="9"/>
      <c r="S8" s="48"/>
      <c r="T8" s="21">
        <f t="shared" si="4"/>
        <v>29500</v>
      </c>
      <c r="U8" s="53">
        <f>IF($J8="","",ROUND(($J8-$J$3)/1000,1)+(_xlfn.RANK.AVG($J8,($J8,$O8,$T8),1)-2)*20)</f>
        <v>26.5</v>
      </c>
      <c r="V8" s="54">
        <f>IF($O8="","",ROUND(($O8-$O$3)/1000,1)+(_xlfn.RANK.AVG($O8,($J8,$O8,$T8),1)-2)*20)</f>
        <v>-2</v>
      </c>
      <c r="W8" s="55">
        <f>IF($T8="","",ROUND(($T8-$T$3)/1000,1)+(_xlfn.RANK.AVG($T8,($J8,$O8,$T8),1)-2)*20)</f>
        <v>-25.5</v>
      </c>
      <c r="Y8" s="8" t="s">
        <v>206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IF($K$1="","",$K$1)</f>
        <v>だいち</v>
      </c>
      <c r="F9" s="8" t="s">
        <v>202</v>
      </c>
      <c r="G9" s="9">
        <v>-800</v>
      </c>
      <c r="H9" s="9"/>
      <c r="I9" s="48">
        <v>-500</v>
      </c>
      <c r="J9" s="21">
        <f t="shared" si="2"/>
        <v>40200</v>
      </c>
      <c r="K9" s="8" t="s">
        <v>202</v>
      </c>
      <c r="L9" s="9">
        <v>-1300</v>
      </c>
      <c r="M9" s="9">
        <v>-1000</v>
      </c>
      <c r="N9" s="48">
        <v>-500</v>
      </c>
      <c r="O9" s="21">
        <f t="shared" si="3"/>
        <v>30200</v>
      </c>
      <c r="P9" s="8" t="s">
        <v>203</v>
      </c>
      <c r="Q9" s="9">
        <v>2100</v>
      </c>
      <c r="R9" s="9">
        <v>2000</v>
      </c>
      <c r="S9" s="48">
        <v>1000</v>
      </c>
      <c r="T9" s="21">
        <f t="shared" si="4"/>
        <v>34600</v>
      </c>
      <c r="U9" s="53">
        <f>IF($J9="","",ROUND(($J9-$J$3)/1000,1)+(_xlfn.RANK.AVG($J9,($J9,$O9,$T9),1)-2)*20)</f>
        <v>25.2</v>
      </c>
      <c r="V9" s="54">
        <f>IF($O9="","",ROUND(($O9-$O$3)/1000,1)+(_xlfn.RANK.AVG($O9,($J9,$O9,$T9),1)-2)*20)</f>
        <v>-24.8</v>
      </c>
      <c r="W9" s="55">
        <f>IF($T9="","",ROUND(($T9-$T$3)/1000,1)+(_xlfn.RANK.AVG($T9,($J9,$O9,$T9),1)-2)*20)</f>
        <v>-0.4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82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わさび</v>
      </c>
      <c r="F10" s="8" t="s">
        <v>202</v>
      </c>
      <c r="G10" s="9">
        <v>-6000</v>
      </c>
      <c r="H10" s="9">
        <v>-1000</v>
      </c>
      <c r="I10" s="48">
        <v>0</v>
      </c>
      <c r="J10" s="21">
        <f t="shared" si="2"/>
        <v>33200</v>
      </c>
      <c r="K10" s="8" t="s">
        <v>202</v>
      </c>
      <c r="L10" s="9">
        <v>-6000</v>
      </c>
      <c r="M10" s="9"/>
      <c r="N10" s="48">
        <v>0</v>
      </c>
      <c r="O10" s="21">
        <f t="shared" si="3"/>
        <v>24200</v>
      </c>
      <c r="P10" s="8" t="s">
        <v>203</v>
      </c>
      <c r="Q10" s="9">
        <v>12000</v>
      </c>
      <c r="R10" s="9">
        <v>1000</v>
      </c>
      <c r="S10" s="48">
        <v>0</v>
      </c>
      <c r="T10" s="21">
        <f t="shared" si="4"/>
        <v>47600</v>
      </c>
      <c r="U10" s="53">
        <f>IF($J10="","",ROUND(($J10-$J$3)/1000,1)+(_xlfn.RANK.AVG($J10,($J10,$O10,$T10),1)-2)*20)</f>
        <v>-1.8</v>
      </c>
      <c r="V10" s="54">
        <f>IF($O10="","",ROUND(($O10-$O$3)/1000,1)+(_xlfn.RANK.AVG($O10,($J10,$O10,$T10),1)-2)*20)</f>
        <v>-30.8</v>
      </c>
      <c r="W10" s="55">
        <f>IF($T10="","",ROUND(($T10-$T$3)/1000,1)+(_xlfn.RANK.AVG($T10,($J10,$O10,$T10),1)-2)*20)</f>
        <v>32.6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201</v>
      </c>
      <c r="BU10" s="40" t="s">
        <v>198</v>
      </c>
      <c r="BV10" s="41" t="s">
        <v>82</v>
      </c>
      <c r="BW10" s="41" t="s">
        <v>87</v>
      </c>
      <c r="BX10" s="41" t="s">
        <v>79</v>
      </c>
      <c r="BY10" s="41" t="s">
        <v>200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A49FCFB1-4AD2-446E-9BCE-ADB27885DFEB}">
      <formula1>$U$2:$W$2</formula1>
    </dataValidation>
    <dataValidation type="list" showInputMessage="1" showErrorMessage="1" sqref="K4:K30 P4:P30 F4:F30" xr:uid="{2DF85A02-D397-4DD6-80BF-763F1B8E1E3A}">
      <formula1>"ロン,ツモ,放銃,ツモ支払,流局,チョンボ"</formula1>
    </dataValidation>
    <dataValidation type="list" allowBlank="1" showInputMessage="1" sqref="F1:T1" xr:uid="{B4D040E8-1A2B-418F-A8A9-CDD62C454A5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5386-1619-4152-9A4C-3E40AA6DDD82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202</v>
      </c>
      <c r="G4" s="9">
        <v>-7500</v>
      </c>
      <c r="H4" s="9">
        <v>-1000</v>
      </c>
      <c r="I4" s="48">
        <v>0</v>
      </c>
      <c r="J4" s="21">
        <f>IF(COUNTA($F4,$K4,$P4)&gt;0,J3+SUM(G4:I4),"")</f>
        <v>26500</v>
      </c>
      <c r="K4" s="8" t="s">
        <v>203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202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IF($J4="","",ROUND(($J4-$J$3)/1000,1)+(_xlfn.RANK.AVG($J4,($J4,$O4,$T4),1)-2)*20)</f>
        <v>-28.5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-4.5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201</v>
      </c>
      <c r="AZ4" s="40" t="s">
        <v>89</v>
      </c>
      <c r="BA4" s="41" t="s">
        <v>98</v>
      </c>
      <c r="BB4" s="41" t="s">
        <v>104</v>
      </c>
      <c r="BC4" s="41" t="s">
        <v>86</v>
      </c>
      <c r="BD4" s="41" t="s">
        <v>86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196</v>
      </c>
      <c r="G5" s="9">
        <v>-18000</v>
      </c>
      <c r="H5" s="9"/>
      <c r="I5" s="48">
        <v>0</v>
      </c>
      <c r="J5" s="21">
        <f t="shared" ref="J5:J30" si="2">IF(COUNTA($F5,$K5,$P5)&gt;0,J4+SUM(G5:I5),"")</f>
        <v>8500</v>
      </c>
      <c r="K5" s="8" t="s">
        <v>197</v>
      </c>
      <c r="L5" s="9">
        <v>18000</v>
      </c>
      <c r="M5" s="9"/>
      <c r="N5" s="48">
        <v>0</v>
      </c>
      <c r="O5" s="21">
        <f t="shared" ref="O5:O30" si="3">IF(COUNTA($F5,$K5,$P5)&gt;0,O4+SUM(L5:N5),"")</f>
        <v>66000</v>
      </c>
      <c r="P5" s="8"/>
      <c r="Q5" s="9"/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IF($J5="","",ROUND(($J5-$J$3)/1000,1)+(_xlfn.RANK.AVG($J5,($J5,$O5,$T5),1)-2)*20)</f>
        <v>-46.5</v>
      </c>
      <c r="V5" s="54">
        <f>IF($O5="","",ROUND(($O5-$O$3)/1000,1)+(_xlfn.RANK.AVG($O5,($J5,$O5,$T5),1)-2)*20)</f>
        <v>51</v>
      </c>
      <c r="W5" s="55">
        <f>IF($T5="","",ROUND(($T5-$T$3)/1000,1)+(_xlfn.RANK.AVG($T5,($J5,$O5,$T5),1)-2)*20)</f>
        <v>-4.5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201</v>
      </c>
      <c r="AZ5" s="40" t="s">
        <v>198</v>
      </c>
      <c r="BA5" s="41" t="s">
        <v>83</v>
      </c>
      <c r="BB5" s="41" t="s">
        <v>84</v>
      </c>
      <c r="BC5" s="41" t="s">
        <v>80</v>
      </c>
      <c r="BD5" s="41" t="s">
        <v>80</v>
      </c>
      <c r="BE5" s="41" t="s">
        <v>80</v>
      </c>
      <c r="BF5" s="41" t="s">
        <v>80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196</v>
      </c>
      <c r="G6" s="9">
        <v>-8000</v>
      </c>
      <c r="H6" s="9"/>
      <c r="I6" s="48">
        <v>-1000</v>
      </c>
      <c r="J6" s="21">
        <f t="shared" si="2"/>
        <v>-500</v>
      </c>
      <c r="K6" s="8"/>
      <c r="L6" s="9"/>
      <c r="M6" s="9"/>
      <c r="N6" s="48"/>
      <c r="O6" s="21">
        <f t="shared" si="3"/>
        <v>66000</v>
      </c>
      <c r="P6" s="8" t="s">
        <v>197</v>
      </c>
      <c r="Q6" s="9">
        <v>8000</v>
      </c>
      <c r="R6" s="9"/>
      <c r="S6" s="48">
        <v>1000</v>
      </c>
      <c r="T6" s="21">
        <f t="shared" si="4"/>
        <v>39500</v>
      </c>
      <c r="U6" s="53">
        <f>IF($J6="","",ROUND(($J6-$J$3)/1000,1)+(_xlfn.RANK.AVG($J6,($J6,$O6,$T6),1)-2)*20)</f>
        <v>-55.5</v>
      </c>
      <c r="V6" s="54">
        <f>IF($O6="","",ROUND(($O6-$O$3)/1000,1)+(_xlfn.RANK.AVG($O6,($J6,$O6,$T6),1)-2)*20)</f>
        <v>51</v>
      </c>
      <c r="W6" s="55">
        <f>IF($T6="","",ROUND(($T6-$T$3)/1000,1)+(_xlfn.RANK.AVG($T6,($J6,$O6,$T6),1)-2)*20)</f>
        <v>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201</v>
      </c>
      <c r="BU6" s="40" t="s">
        <v>198</v>
      </c>
      <c r="BV6" s="41" t="s">
        <v>199</v>
      </c>
      <c r="BW6" s="41" t="s">
        <v>86</v>
      </c>
      <c r="BX6" s="41" t="s">
        <v>80</v>
      </c>
      <c r="BY6" s="41" t="s">
        <v>200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69555F26-6404-430B-905F-3FC9707211B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A5525102-96EA-450D-BDE5-B28694CB7944}">
      <formula1>"ロン,ツモ,放銃,ツモ支払,流局,チョンボ"</formula1>
    </dataValidation>
    <dataValidation type="list" allowBlank="1" showInputMessage="1" showErrorMessage="1" sqref="E4:E30" xr:uid="{C1393F0B-1223-4E6D-98A6-33303D33028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58B51-CDEE-47D4-97E3-F5481B3ED6DC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205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205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205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10.5</v>
      </c>
      <c r="V4" s="54">
        <f>IF($O4="","",ROUND(($O4-$O$3)/1000,1)+(_xlfn.RANK.AVG($O4,($J4,$O4,$T4),1)-2)*20)</f>
        <v>10.5</v>
      </c>
      <c r="W4" s="55">
        <f>IF($T4="","",ROUND(($T4-$T$3)/1000,1)+(_xlfn.RANK.AVG($T4,($J4,$O4,$T4),1)-2)*20)</f>
        <v>-23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204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tr">
        <f>IF($F$1="","",$F$1)</f>
        <v>りくと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34000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34000</v>
      </c>
      <c r="P5" s="8" t="s">
        <v>205</v>
      </c>
      <c r="Q5" s="9">
        <v>3000</v>
      </c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-11</v>
      </c>
      <c r="V5" s="54">
        <f>IF($O5="","",ROUND(($O5-$O$3)/1000,1)+(_xlfn.RANK.AVG($O5,($J5,$O5,$T5),1)-2)*20)</f>
        <v>-11</v>
      </c>
      <c r="W5" s="55">
        <f>IF($T5="","",ROUND(($T5-$T$3)/1000,1)+(_xlfn.RANK.AVG($T5,($J5,$O5,$T5),1)-2)*20)</f>
        <v>20</v>
      </c>
      <c r="Y5" s="8" t="s">
        <v>206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tr">
        <f>IF($K$1="","",$K$1)</f>
        <v>だいち</v>
      </c>
      <c r="F6" s="8" t="s">
        <v>202</v>
      </c>
      <c r="G6" s="9">
        <v>-3000</v>
      </c>
      <c r="H6" s="9">
        <v>-1000</v>
      </c>
      <c r="I6" s="48">
        <v>-1000</v>
      </c>
      <c r="J6" s="21">
        <f t="shared" si="2"/>
        <v>29000</v>
      </c>
      <c r="K6" s="8" t="s">
        <v>202</v>
      </c>
      <c r="L6" s="9">
        <v>-5000</v>
      </c>
      <c r="M6" s="9"/>
      <c r="N6" s="48">
        <v>-1000</v>
      </c>
      <c r="O6" s="21">
        <f t="shared" si="3"/>
        <v>28000</v>
      </c>
      <c r="P6" s="8" t="s">
        <v>203</v>
      </c>
      <c r="Q6" s="9">
        <v>8000</v>
      </c>
      <c r="R6" s="9">
        <v>3000</v>
      </c>
      <c r="S6" s="48">
        <v>2000</v>
      </c>
      <c r="T6" s="21">
        <f t="shared" si="4"/>
        <v>48000</v>
      </c>
      <c r="U6" s="53">
        <f>IF($J6="","",ROUND(($J6-$J$3)/1000,1)+(_xlfn.RANK.AVG($J6,($J6,$O6,$T6),1)-2)*20)</f>
        <v>-6</v>
      </c>
      <c r="V6" s="54">
        <f>IF($O6="","",ROUND(($O6-$O$3)/1000,1)+(_xlfn.RANK.AVG($O6,($J6,$O6,$T6),1)-2)*20)</f>
        <v>-27</v>
      </c>
      <c r="W6" s="55">
        <f>IF($T6="","",ROUND(($T6-$T$3)/1000,1)+(_xlfn.RANK.AVG($T6,($J6,$O6,$T6),1)-2)*20)</f>
        <v>33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50</v>
      </c>
      <c r="BU6" s="40" t="s">
        <v>86</v>
      </c>
      <c r="BV6" s="41" t="s">
        <v>200</v>
      </c>
      <c r="BW6" s="41" t="s">
        <v>104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わさび</v>
      </c>
      <c r="F7" s="8" t="s">
        <v>202</v>
      </c>
      <c r="G7" s="9">
        <v>-1500</v>
      </c>
      <c r="H7" s="9"/>
      <c r="I7" s="48">
        <v>0</v>
      </c>
      <c r="J7" s="21">
        <f t="shared" si="2"/>
        <v>27500</v>
      </c>
      <c r="K7" s="8" t="s">
        <v>203</v>
      </c>
      <c r="L7" s="9">
        <v>4000</v>
      </c>
      <c r="M7" s="9"/>
      <c r="N7" s="48">
        <v>0</v>
      </c>
      <c r="O7" s="21">
        <f t="shared" si="3"/>
        <v>32000</v>
      </c>
      <c r="P7" s="8" t="s">
        <v>202</v>
      </c>
      <c r="Q7" s="9">
        <v>-2500</v>
      </c>
      <c r="R7" s="9"/>
      <c r="S7" s="48">
        <v>0</v>
      </c>
      <c r="T7" s="21">
        <f t="shared" si="4"/>
        <v>45500</v>
      </c>
      <c r="U7" s="53">
        <f>IF($J7="","",ROUND(($J7-$J$3)/1000,1)+(_xlfn.RANK.AVG($J7,($J7,$O7,$T7),1)-2)*20)</f>
        <v>-27.5</v>
      </c>
      <c r="V7" s="54">
        <f>IF($O7="","",ROUND(($O7-$O$3)/1000,1)+(_xlfn.RANK.AVG($O7,($J7,$O7,$T7),1)-2)*20)</f>
        <v>-3</v>
      </c>
      <c r="W7" s="55">
        <f>IF($T7="","",ROUND(($T7-$T$3)/1000,1)+(_xlfn.RANK.AVG($T7,($J7,$O7,$T7),1)-2)*20)</f>
        <v>30.5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198</v>
      </c>
      <c r="BA7" s="41" t="s">
        <v>82</v>
      </c>
      <c r="BB7" s="41" t="s">
        <v>199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197</v>
      </c>
      <c r="G8" s="9">
        <v>12000</v>
      </c>
      <c r="H8" s="9"/>
      <c r="I8" s="48">
        <v>0</v>
      </c>
      <c r="J8" s="21">
        <f t="shared" si="2"/>
        <v>39500</v>
      </c>
      <c r="K8" s="8"/>
      <c r="L8" s="9"/>
      <c r="M8" s="9"/>
      <c r="N8" s="48"/>
      <c r="O8" s="21">
        <f t="shared" si="3"/>
        <v>32000</v>
      </c>
      <c r="P8" s="8" t="s">
        <v>196</v>
      </c>
      <c r="Q8" s="9">
        <v>-12000</v>
      </c>
      <c r="R8" s="9"/>
      <c r="S8" s="48">
        <v>0</v>
      </c>
      <c r="T8" s="21">
        <f t="shared" si="4"/>
        <v>33500</v>
      </c>
      <c r="U8" s="53">
        <f>IF($J8="","",ROUND(($J8-$J$3)/1000,1)+(_xlfn.RANK.AVG($J8,($J8,$O8,$T8),1)-2)*20)</f>
        <v>24.5</v>
      </c>
      <c r="V8" s="54">
        <f>IF($O8="","",ROUND(($O8-$O$3)/1000,1)+(_xlfn.RANK.AVG($O8,($J8,$O8,$T8),1)-2)*20)</f>
        <v>-23</v>
      </c>
      <c r="W8" s="55">
        <f>IF($T8="","",ROUND(($T8-$T$3)/1000,1)+(_xlfn.RANK.AVG($T8,($J8,$O8,$T8),1)-2)*20)</f>
        <v>-1.5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198</v>
      </c>
      <c r="AF8" s="41" t="s">
        <v>199</v>
      </c>
      <c r="AG8" s="41" t="s">
        <v>200</v>
      </c>
      <c r="AH8" s="41" t="s">
        <v>200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IF($F$1="","",$F$1)</f>
        <v>りくと</v>
      </c>
      <c r="F9" s="8"/>
      <c r="G9" s="9"/>
      <c r="H9" s="9">
        <v>-1000</v>
      </c>
      <c r="I9" s="48"/>
      <c r="J9" s="21">
        <f t="shared" si="2"/>
        <v>38500</v>
      </c>
      <c r="K9" s="8" t="s">
        <v>197</v>
      </c>
      <c r="L9" s="9">
        <v>8000</v>
      </c>
      <c r="M9" s="9">
        <v>1000</v>
      </c>
      <c r="N9" s="48">
        <v>1000</v>
      </c>
      <c r="O9" s="21">
        <f t="shared" si="3"/>
        <v>42000</v>
      </c>
      <c r="P9" s="8" t="s">
        <v>196</v>
      </c>
      <c r="Q9" s="9">
        <v>-8000</v>
      </c>
      <c r="R9" s="9"/>
      <c r="S9" s="48">
        <v>-1000</v>
      </c>
      <c r="T9" s="21">
        <f t="shared" si="4"/>
        <v>24500</v>
      </c>
      <c r="U9" s="53">
        <f>IF($J9="","",ROUND(($J9-$J$3)/1000,1)+(_xlfn.RANK.AVG($J9,($J9,$O9,$T9),1)-2)*20)</f>
        <v>3.5</v>
      </c>
      <c r="V9" s="54">
        <f>IF($O9="","",ROUND(($O9-$O$3)/1000,1)+(_xlfn.RANK.AVG($O9,($J9,$O9,$T9),1)-2)*20)</f>
        <v>27</v>
      </c>
      <c r="W9" s="55">
        <f>IF($T9="","",ROUND(($T9-$T$3)/1000,1)+(_xlfn.RANK.AVG($T9,($J9,$O9,$T9),1)-2)*20)</f>
        <v>-30.5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5</v>
      </c>
      <c r="AY9" s="30" t="s">
        <v>201</v>
      </c>
      <c r="AZ9" s="40" t="s">
        <v>104</v>
      </c>
      <c r="BA9" s="41" t="s">
        <v>79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>
        <f t="shared" si="2"/>
        <v>38500</v>
      </c>
      <c r="K10" s="8" t="s">
        <v>197</v>
      </c>
      <c r="L10" s="9">
        <v>2000</v>
      </c>
      <c r="M10" s="9"/>
      <c r="N10" s="48">
        <v>0</v>
      </c>
      <c r="O10" s="21">
        <f t="shared" si="3"/>
        <v>44000</v>
      </c>
      <c r="P10" s="8" t="s">
        <v>196</v>
      </c>
      <c r="Q10" s="9">
        <v>-2000</v>
      </c>
      <c r="R10" s="9"/>
      <c r="S10" s="48">
        <v>0</v>
      </c>
      <c r="T10" s="21">
        <f t="shared" si="4"/>
        <v>22500</v>
      </c>
      <c r="U10" s="53">
        <f>IF($J10="","",ROUND(($J10-$J$3)/1000,1)+(_xlfn.RANK.AVG($J10,($J10,$O10,$T10),1)-2)*20)</f>
        <v>3.5</v>
      </c>
      <c r="V10" s="54">
        <f>IF($O10="","",ROUND(($O10-$O$3)/1000,1)+(_xlfn.RANK.AVG($O10,($J10,$O10,$T10),1)-2)*20)</f>
        <v>29</v>
      </c>
      <c r="W10" s="55">
        <f>IF($T10="","",ROUND(($T10-$T$3)/1000,1)+(_xlfn.RANK.AVG($T10,($J10,$O10,$T10),1)-2)*20)</f>
        <v>-32.5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1</v>
      </c>
      <c r="AY10" s="30">
        <v>40</v>
      </c>
      <c r="AZ10" s="40" t="s">
        <v>198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40B77CC-BB52-4FF0-90C2-6DBAF413625D}">
      <formula1>$U$2:$W$2</formula1>
    </dataValidation>
    <dataValidation type="list" showInputMessage="1" showErrorMessage="1" sqref="K4:K30 P4:P30 F4:F30" xr:uid="{F15383E8-8759-4E3D-8D8A-66E59395FED4}">
      <formula1>"ロン,ツモ,放銃,ツモ支払,流局,チョンボ"</formula1>
    </dataValidation>
    <dataValidation type="list" allowBlank="1" showInputMessage="1" sqref="F1:T1" xr:uid="{76CF2252-F77E-4EF9-9C81-7C9D315A7126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2B6D-D132-42CD-9F11-D3534A2A67FB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203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202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IF($J4="","",ROUND(($J4-$J$3)/1000,1)+(_xlfn.RANK.AVG($J4,($J4,$O4,$T4),1)-2)*20)</f>
        <v>-1.5</v>
      </c>
      <c r="V4" s="54">
        <f>IF($O4="","",ROUND(($O4-$O$3)/1000,1)+(_xlfn.RANK.AVG($O4,($J4,$O4,$T4),1)-2)*20)</f>
        <v>24</v>
      </c>
      <c r="W4" s="55">
        <f>IF($T4="","",ROUND(($T4-$T$3)/1000,1)+(_xlfn.RANK.AVG($T4,($J4,$O4,$T4),1)-2)*20)</f>
        <v>-22.5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198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197</v>
      </c>
      <c r="G5" s="9">
        <v>12000</v>
      </c>
      <c r="H5" s="9"/>
      <c r="I5" s="48">
        <v>0</v>
      </c>
      <c r="J5" s="21">
        <f t="shared" ref="J5:J30" si="2">IF(COUNTA($F5,$K5,$P5)&gt;0,J4+SUM(G5:I5),"")</f>
        <v>45500</v>
      </c>
      <c r="K5" s="8"/>
      <c r="L5" s="9"/>
      <c r="M5" s="9"/>
      <c r="N5" s="48"/>
      <c r="O5" s="21">
        <f t="shared" ref="O5:O30" si="3">IF(COUNTA($F5,$K5,$P5)&gt;0,O4+SUM(L5:N5),"")</f>
        <v>39000</v>
      </c>
      <c r="P5" s="8" t="s">
        <v>196</v>
      </c>
      <c r="Q5" s="9">
        <v>-12000</v>
      </c>
      <c r="R5" s="9"/>
      <c r="S5" s="48">
        <v>0</v>
      </c>
      <c r="T5" s="21">
        <f t="shared" ref="T5:T30" si="4">IF(COUNTA($F5,$K5,$P5)&gt;0,T4+SUM(Q5:S5),"")</f>
        <v>20500</v>
      </c>
      <c r="U5" s="53">
        <f>IF($J5="","",ROUND(($J5-$J$3)/1000,1)+(_xlfn.RANK.AVG($J5,($J5,$O5,$T5),1)-2)*20)</f>
        <v>30.5</v>
      </c>
      <c r="V5" s="54">
        <f>IF($O5="","",ROUND(($O5-$O$3)/1000,1)+(_xlfn.RANK.AVG($O5,($J5,$O5,$T5),1)-2)*20)</f>
        <v>4</v>
      </c>
      <c r="W5" s="55">
        <f>IF($T5="","",ROUND(($T5-$T$3)/1000,1)+(_xlfn.RANK.AVG($T5,($J5,$O5,$T5),1)-2)*20)</f>
        <v>-34.5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198</v>
      </c>
      <c r="AF5" s="41" t="s">
        <v>200</v>
      </c>
      <c r="AG5" s="41" t="s">
        <v>200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りくと</v>
      </c>
      <c r="F6" s="8" t="s">
        <v>203</v>
      </c>
      <c r="G6" s="9">
        <v>4000</v>
      </c>
      <c r="H6" s="9"/>
      <c r="I6" s="48">
        <v>1000</v>
      </c>
      <c r="J6" s="21">
        <f t="shared" si="2"/>
        <v>50500</v>
      </c>
      <c r="K6" s="8" t="s">
        <v>202</v>
      </c>
      <c r="L6" s="9">
        <v>-2000</v>
      </c>
      <c r="M6" s="9"/>
      <c r="N6" s="48">
        <v>-500</v>
      </c>
      <c r="O6" s="21">
        <f t="shared" si="3"/>
        <v>36500</v>
      </c>
      <c r="P6" s="8" t="s">
        <v>202</v>
      </c>
      <c r="Q6" s="9">
        <v>-2000</v>
      </c>
      <c r="R6" s="9"/>
      <c r="S6" s="48">
        <v>-500</v>
      </c>
      <c r="T6" s="21">
        <f t="shared" si="4"/>
        <v>18000</v>
      </c>
      <c r="U6" s="53">
        <f>IF($J6="","",ROUND(($J6-$J$3)/1000,1)+(_xlfn.RANK.AVG($J6,($J6,$O6,$T6),1)-2)*20)</f>
        <v>35.5</v>
      </c>
      <c r="V6" s="54">
        <f>IF($O6="","",ROUND(($O6-$O$3)/1000,1)+(_xlfn.RANK.AVG($O6,($J6,$O6,$T6),1)-2)*20)</f>
        <v>1.5</v>
      </c>
      <c r="W6" s="55">
        <f>IF($T6="","",ROUND(($T6-$T$3)/1000,1)+(_xlfn.RANK.AVG($T6,($J6,$O6,$T6),1)-2)*20)</f>
        <v>-37</v>
      </c>
      <c r="Y6" s="8"/>
      <c r="Z6" s="34"/>
      <c r="AA6" s="26"/>
      <c r="AB6" s="26">
        <v>1</v>
      </c>
      <c r="AC6" s="26">
        <v>2</v>
      </c>
      <c r="AD6" s="30">
        <v>40</v>
      </c>
      <c r="AE6" s="40" t="s">
        <v>86</v>
      </c>
      <c r="AF6" s="41" t="s">
        <v>200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りくと</v>
      </c>
      <c r="F7" s="8" t="s">
        <v>203</v>
      </c>
      <c r="G7" s="9">
        <v>9600</v>
      </c>
      <c r="H7" s="9"/>
      <c r="I7" s="48">
        <v>2000</v>
      </c>
      <c r="J7" s="21">
        <f t="shared" si="2"/>
        <v>62100</v>
      </c>
      <c r="K7" s="8" t="s">
        <v>202</v>
      </c>
      <c r="L7" s="9">
        <v>-4800</v>
      </c>
      <c r="M7" s="9"/>
      <c r="N7" s="48">
        <v>-1000</v>
      </c>
      <c r="O7" s="21">
        <f t="shared" si="3"/>
        <v>30700</v>
      </c>
      <c r="P7" s="8" t="s">
        <v>202</v>
      </c>
      <c r="Q7" s="9">
        <v>-4800</v>
      </c>
      <c r="R7" s="9"/>
      <c r="S7" s="48">
        <v>-1000</v>
      </c>
      <c r="T7" s="21">
        <f t="shared" si="4"/>
        <v>12200</v>
      </c>
      <c r="U7" s="53">
        <f>IF($J7="","",ROUND(($J7-$J$3)/1000,1)+(_xlfn.RANK.AVG($J7,($J7,$O7,$T7),1)-2)*20)</f>
        <v>47.1</v>
      </c>
      <c r="V7" s="54">
        <f>IF($O7="","",ROUND(($O7-$O$3)/1000,1)+(_xlfn.RANK.AVG($O7,($J7,$O7,$T7),1)-2)*20)</f>
        <v>-4.3</v>
      </c>
      <c r="W7" s="55">
        <f>IF($T7="","",ROUND(($T7-$T$3)/1000,1)+(_xlfn.RANK.AVG($T7,($J7,$O7,$T7),1)-2)*20)</f>
        <v>-42.8</v>
      </c>
      <c r="Y7" s="8"/>
      <c r="Z7" s="34"/>
      <c r="AA7" s="26">
        <v>1</v>
      </c>
      <c r="AB7" s="26"/>
      <c r="AC7" s="26">
        <v>4</v>
      </c>
      <c r="AD7" s="30">
        <v>25</v>
      </c>
      <c r="AE7" s="40" t="s">
        <v>198</v>
      </c>
      <c r="AF7" s="41" t="s">
        <v>82</v>
      </c>
      <c r="AG7" s="41" t="s">
        <v>101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IF($F$1="","",$F$1)</f>
        <v>りくと</v>
      </c>
      <c r="F8" s="8" t="s">
        <v>202</v>
      </c>
      <c r="G8" s="9">
        <v>-5000</v>
      </c>
      <c r="H8" s="9"/>
      <c r="I8" s="48">
        <v>-1500</v>
      </c>
      <c r="J8" s="21">
        <f t="shared" si="2"/>
        <v>55600</v>
      </c>
      <c r="K8" s="8" t="s">
        <v>203</v>
      </c>
      <c r="L8" s="9">
        <v>8000</v>
      </c>
      <c r="M8" s="9"/>
      <c r="N8" s="48">
        <v>3000</v>
      </c>
      <c r="O8" s="21">
        <f t="shared" si="3"/>
        <v>41700</v>
      </c>
      <c r="P8" s="8" t="s">
        <v>202</v>
      </c>
      <c r="Q8" s="9">
        <v>-3000</v>
      </c>
      <c r="R8" s="9"/>
      <c r="S8" s="48">
        <v>-1500</v>
      </c>
      <c r="T8" s="21">
        <f t="shared" si="4"/>
        <v>7700</v>
      </c>
      <c r="U8" s="53">
        <f>IF($J8="","",ROUND(($J8-$J$3)/1000,1)+(_xlfn.RANK.AVG($J8,($J8,$O8,$T8),1)-2)*20)</f>
        <v>40.6</v>
      </c>
      <c r="V8" s="54">
        <f>IF($O8="","",ROUND(($O8-$O$3)/1000,1)+(_xlfn.RANK.AVG($O8,($J8,$O8,$T8),1)-2)*20)</f>
        <v>6.7</v>
      </c>
      <c r="W8" s="55">
        <f>IF($T8="","",ROUND(($T8-$T$3)/1000,1)+(_xlfn.RANK.AVG($T8,($J8,$O8,$T8),1)-2)*20)</f>
        <v>-47.3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201</v>
      </c>
      <c r="AZ8" s="40" t="s">
        <v>198</v>
      </c>
      <c r="BA8" s="41" t="s">
        <v>82</v>
      </c>
      <c r="BB8" s="41" t="s">
        <v>86</v>
      </c>
      <c r="BC8" s="41" t="s">
        <v>93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/>
      <c r="G9" s="9"/>
      <c r="H9" s="9"/>
      <c r="I9" s="48"/>
      <c r="J9" s="21">
        <f t="shared" si="2"/>
        <v>55600</v>
      </c>
      <c r="K9" s="8" t="s">
        <v>197</v>
      </c>
      <c r="L9" s="9">
        <v>12000</v>
      </c>
      <c r="M9" s="9">
        <v>1000</v>
      </c>
      <c r="N9" s="48">
        <v>0</v>
      </c>
      <c r="O9" s="21">
        <f t="shared" si="3"/>
        <v>54700</v>
      </c>
      <c r="P9" s="8" t="s">
        <v>196</v>
      </c>
      <c r="Q9" s="9">
        <v>-12000</v>
      </c>
      <c r="R9" s="9">
        <v>-1000</v>
      </c>
      <c r="S9" s="48">
        <v>0</v>
      </c>
      <c r="T9" s="21">
        <f t="shared" si="4"/>
        <v>-5300</v>
      </c>
      <c r="U9" s="53">
        <f>IF($J9="","",ROUND(($J9-$J$3)/1000,1)+(_xlfn.RANK.AVG($J9,($J9,$O9,$T9),1)-2)*20)</f>
        <v>40.6</v>
      </c>
      <c r="V9" s="54">
        <f>IF($O9="","",ROUND(($O9-$O$3)/1000,1)+(_xlfn.RANK.AVG($O9,($J9,$O9,$T9),1)-2)*20)</f>
        <v>19.7</v>
      </c>
      <c r="W9" s="55">
        <f>IF($T9="","",ROUND(($T9-$T$3)/1000,1)+(_xlfn.RANK.AVG($T9,($J9,$O9,$T9),1)-2)*20)</f>
        <v>-60.3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201</v>
      </c>
      <c r="AZ9" s="40" t="s">
        <v>198</v>
      </c>
      <c r="BA9" s="41" t="s">
        <v>86</v>
      </c>
      <c r="BB9" s="41" t="s">
        <v>79</v>
      </c>
      <c r="BC9" s="41" t="s">
        <v>79</v>
      </c>
      <c r="BD9" s="41" t="s">
        <v>200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7E9D4090-FE57-4906-9FA7-F212F569957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3731E76B-C28E-4EB7-8FB2-81C38C99752A}">
      <formula1>"ロン,ツモ,放銃,ツモ支払,流局,チョンボ"</formula1>
    </dataValidation>
    <dataValidation type="list" allowBlank="1" showInputMessage="1" showErrorMessage="1" sqref="E4:E30" xr:uid="{3EA49EA4-8825-445D-8EDA-C57E32F925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1FB8-2D5C-4BB2-9A0D-EA11776EE8D5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わさび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-2600</v>
      </c>
      <c r="H4" s="9"/>
      <c r="I4" s="48">
        <v>0</v>
      </c>
      <c r="J4" s="21">
        <f>IF(COUNTA($F4,$K4,$P4)&gt;0,J3+SUM(G4:I4),"")</f>
        <v>32400</v>
      </c>
      <c r="K4" s="8" t="s">
        <v>197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-22.6</v>
      </c>
      <c r="V4" s="54">
        <f>IF($O4="","",ROUND(($O4-$O$3)/1000,1)+(_xlfn.RANK.AVG($O4,($J4,$O4,$T4),1)-2)*20)</f>
        <v>22.6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198</v>
      </c>
      <c r="BA4" s="41" t="s">
        <v>199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197</v>
      </c>
      <c r="G5" s="9">
        <v>9600</v>
      </c>
      <c r="H5" s="9">
        <v>1000</v>
      </c>
      <c r="I5" s="48">
        <v>0</v>
      </c>
      <c r="J5" s="21">
        <f t="shared" ref="J5:J30" si="2">IF(COUNTA($F5,$K5,$P5)&gt;0,J4+SUM(G5:I5),"")</f>
        <v>43000</v>
      </c>
      <c r="K5" s="8"/>
      <c r="L5" s="9"/>
      <c r="M5" s="9">
        <v>-1000</v>
      </c>
      <c r="N5" s="48"/>
      <c r="O5" s="21">
        <f t="shared" ref="O5:O30" si="3">IF(COUNTA($F5,$K5,$P5)&gt;0,O4+SUM(L5:N5),"")</f>
        <v>36600</v>
      </c>
      <c r="P5" s="8" t="s">
        <v>196</v>
      </c>
      <c r="Q5" s="9">
        <v>-9600</v>
      </c>
      <c r="R5" s="9"/>
      <c r="S5" s="48">
        <v>0</v>
      </c>
      <c r="T5" s="21">
        <f t="shared" ref="T5:T30" si="4">IF(COUNTA($F5,$K5,$P5)&gt;0,T4+SUM(Q5:S5),"")</f>
        <v>25400</v>
      </c>
      <c r="U5" s="53">
        <f>IF($J5="","",ROUND(($J5-$J$3)/1000,1)+(_xlfn.RANK.AVG($J5,($J5,$O5,$T5),1)-2)*20)</f>
        <v>28</v>
      </c>
      <c r="V5" s="54">
        <f>IF($O5="","",ROUND(($O5-$O$3)/1000,1)+(_xlfn.RANK.AVG($O5,($J5,$O5,$T5),1)-2)*20)</f>
        <v>1.6</v>
      </c>
      <c r="W5" s="55">
        <f>IF($T5="","",ROUND(($T5-$T$3)/1000,1)+(_xlfn.RANK.AVG($T5,($J5,$O5,$T5),1)-2)*20)</f>
        <v>-29.6</v>
      </c>
      <c r="Y5" s="8"/>
      <c r="Z5" s="34"/>
      <c r="AA5" s="26"/>
      <c r="AB5" s="26">
        <v>1</v>
      </c>
      <c r="AC5" s="26">
        <v>3</v>
      </c>
      <c r="AD5" s="30">
        <v>50</v>
      </c>
      <c r="AE5" s="40" t="s">
        <v>85</v>
      </c>
      <c r="AF5" s="41" t="s">
        <v>79</v>
      </c>
      <c r="AG5" s="41" t="s">
        <v>200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りくと</v>
      </c>
      <c r="F6" s="8" t="s">
        <v>197</v>
      </c>
      <c r="G6" s="9">
        <v>12000</v>
      </c>
      <c r="H6" s="9"/>
      <c r="I6" s="48">
        <v>1000</v>
      </c>
      <c r="J6" s="21">
        <f t="shared" si="2"/>
        <v>56000</v>
      </c>
      <c r="K6" s="8" t="s">
        <v>196</v>
      </c>
      <c r="L6" s="9">
        <v>-12000</v>
      </c>
      <c r="M6" s="9"/>
      <c r="N6" s="48">
        <v>-1000</v>
      </c>
      <c r="O6" s="21">
        <f t="shared" si="3"/>
        <v>23600</v>
      </c>
      <c r="P6" s="8"/>
      <c r="Q6" s="9"/>
      <c r="R6" s="9"/>
      <c r="S6" s="48"/>
      <c r="T6" s="21">
        <f t="shared" si="4"/>
        <v>25400</v>
      </c>
      <c r="U6" s="53">
        <f>IF($J6="","",ROUND(($J6-$J$3)/1000,1)+(_xlfn.RANK.AVG($J6,($J6,$O6,$T6),1)-2)*20)</f>
        <v>41</v>
      </c>
      <c r="V6" s="54">
        <f>IF($O6="","",ROUND(($O6-$O$3)/1000,1)+(_xlfn.RANK.AVG($O6,($J6,$O6,$T6),1)-2)*20)</f>
        <v>-31.4</v>
      </c>
      <c r="W6" s="55">
        <f>IF($T6="","",ROUND(($T6-$T$3)/1000,1)+(_xlfn.RANK.AVG($T6,($J6,$O6,$T6),1)-2)*20)</f>
        <v>-9.6</v>
      </c>
      <c r="Y6" s="8"/>
      <c r="Z6" s="34"/>
      <c r="AA6" s="26">
        <v>1</v>
      </c>
      <c r="AB6" s="26"/>
      <c r="AC6" s="26">
        <v>5</v>
      </c>
      <c r="AD6" s="30" t="s">
        <v>201</v>
      </c>
      <c r="AE6" s="40" t="s">
        <v>198</v>
      </c>
      <c r="AF6" s="41" t="s">
        <v>199</v>
      </c>
      <c r="AG6" s="41" t="s">
        <v>79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りくと</v>
      </c>
      <c r="F7" s="8" t="s">
        <v>196</v>
      </c>
      <c r="G7" s="9">
        <v>-2000</v>
      </c>
      <c r="H7" s="9"/>
      <c r="I7" s="48">
        <v>-2000</v>
      </c>
      <c r="J7" s="21">
        <f t="shared" si="2"/>
        <v>52000</v>
      </c>
      <c r="K7" s="8"/>
      <c r="L7" s="9"/>
      <c r="M7" s="9">
        <v>-1000</v>
      </c>
      <c r="N7" s="48"/>
      <c r="O7" s="21">
        <f t="shared" si="3"/>
        <v>22600</v>
      </c>
      <c r="P7" s="8" t="s">
        <v>197</v>
      </c>
      <c r="Q7" s="9">
        <v>2000</v>
      </c>
      <c r="R7" s="9">
        <v>1000</v>
      </c>
      <c r="S7" s="48">
        <v>2000</v>
      </c>
      <c r="T7" s="21">
        <f t="shared" si="4"/>
        <v>30400</v>
      </c>
      <c r="U7" s="53">
        <f>IF($J7="","",ROUND(($J7-$J$3)/1000,1)+(_xlfn.RANK.AVG($J7,($J7,$O7,$T7),1)-2)*20)</f>
        <v>37</v>
      </c>
      <c r="V7" s="54">
        <f>IF($O7="","",ROUND(($O7-$O$3)/1000,1)+(_xlfn.RANK.AVG($O7,($J7,$O7,$T7),1)-2)*20)</f>
        <v>-32.4</v>
      </c>
      <c r="W7" s="55">
        <f>IF($T7="","",ROUND(($T7-$T$3)/1000,1)+(_xlfn.RANK.AVG($T7,($J7,$O7,$T7),1)-2)*20)</f>
        <v>-4.5999999999999996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200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202</v>
      </c>
      <c r="G8" s="9">
        <v>-3000</v>
      </c>
      <c r="H8" s="9"/>
      <c r="I8" s="48">
        <v>0</v>
      </c>
      <c r="J8" s="21">
        <f t="shared" si="2"/>
        <v>49000</v>
      </c>
      <c r="K8" s="8" t="s">
        <v>202</v>
      </c>
      <c r="L8" s="9">
        <v>-5000</v>
      </c>
      <c r="M8" s="9"/>
      <c r="N8" s="48">
        <v>0</v>
      </c>
      <c r="O8" s="21">
        <f t="shared" si="3"/>
        <v>17600</v>
      </c>
      <c r="P8" s="8" t="s">
        <v>203</v>
      </c>
      <c r="Q8" s="9">
        <v>8000</v>
      </c>
      <c r="R8" s="9"/>
      <c r="S8" s="48">
        <v>0</v>
      </c>
      <c r="T8" s="21">
        <f t="shared" si="4"/>
        <v>38400</v>
      </c>
      <c r="U8" s="53">
        <f>IF($J8="","",ROUND(($J8-$J$3)/1000,1)+(_xlfn.RANK.AVG($J8,($J8,$O8,$T8),1)-2)*20)</f>
        <v>34</v>
      </c>
      <c r="V8" s="54">
        <f>IF($O8="","",ROUND(($O8-$O$3)/1000,1)+(_xlfn.RANK.AVG($O8,($J8,$O8,$T8),1)-2)*20)</f>
        <v>-37.4</v>
      </c>
      <c r="W8" s="55">
        <f>IF($T8="","",ROUND(($T8-$T$3)/1000,1)+(_xlfn.RANK.AVG($T8,($J8,$O8,$T8),1)-2)*20)</f>
        <v>3.4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201</v>
      </c>
      <c r="BU8" s="40" t="s">
        <v>198</v>
      </c>
      <c r="BV8" s="41" t="s">
        <v>82</v>
      </c>
      <c r="BW8" s="41" t="s">
        <v>200</v>
      </c>
      <c r="BX8" s="41" t="s">
        <v>80</v>
      </c>
      <c r="BY8" s="41" t="s">
        <v>86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わさび</v>
      </c>
      <c r="F9" s="8" t="s">
        <v>205</v>
      </c>
      <c r="G9" s="9">
        <v>-3000</v>
      </c>
      <c r="H9" s="9"/>
      <c r="I9" s="48"/>
      <c r="J9" s="21">
        <f t="shared" si="2"/>
        <v>46000</v>
      </c>
      <c r="K9" s="8" t="s">
        <v>205</v>
      </c>
      <c r="L9" s="9">
        <v>1500</v>
      </c>
      <c r="M9" s="9"/>
      <c r="N9" s="48"/>
      <c r="O9" s="21">
        <f t="shared" si="3"/>
        <v>19100</v>
      </c>
      <c r="P9" s="8" t="s">
        <v>205</v>
      </c>
      <c r="Q9" s="9">
        <v>1500</v>
      </c>
      <c r="R9" s="9">
        <v>-1000</v>
      </c>
      <c r="S9" s="48"/>
      <c r="T9" s="21">
        <f t="shared" si="4"/>
        <v>38900</v>
      </c>
      <c r="U9" s="53">
        <f>IF($J9="","",ROUND(($J9-$J$3)/1000,1)+(_xlfn.RANK.AVG($J9,($J9,$O9,$T9),1)-2)*20)</f>
        <v>31</v>
      </c>
      <c r="V9" s="54">
        <f>IF($O9="","",ROUND(($O9-$O$3)/1000,1)+(_xlfn.RANK.AVG($O9,($J9,$O9,$T9),1)-2)*20)</f>
        <v>-35.9</v>
      </c>
      <c r="W9" s="55">
        <f>IF($T9="","",ROUND(($T9-$T$3)/1000,1)+(_xlfn.RANK.AVG($T9,($J9,$O9,$T9),1)-2)*20)</f>
        <v>3.9</v>
      </c>
      <c r="Y9" s="8" t="s">
        <v>206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IF($P$1="","",$P$1)</f>
        <v>わさび</v>
      </c>
      <c r="F10" s="8"/>
      <c r="G10" s="9"/>
      <c r="H10" s="9">
        <v>-1000</v>
      </c>
      <c r="I10" s="48"/>
      <c r="J10" s="21">
        <f t="shared" si="2"/>
        <v>45000</v>
      </c>
      <c r="K10" s="8" t="s">
        <v>197</v>
      </c>
      <c r="L10" s="9">
        <v>12000</v>
      </c>
      <c r="M10" s="9">
        <v>2000</v>
      </c>
      <c r="N10" s="48">
        <v>1000</v>
      </c>
      <c r="O10" s="21">
        <f t="shared" si="3"/>
        <v>34100</v>
      </c>
      <c r="P10" s="8" t="s">
        <v>196</v>
      </c>
      <c r="Q10" s="9">
        <v>-12000</v>
      </c>
      <c r="R10" s="9"/>
      <c r="S10" s="48">
        <v>-1000</v>
      </c>
      <c r="T10" s="21">
        <f t="shared" si="4"/>
        <v>25900</v>
      </c>
      <c r="U10" s="53">
        <f>IF($J10="","",ROUND(($J10-$J$3)/1000,1)+(_xlfn.RANK.AVG($J10,($J10,$O10,$T10),1)-2)*20)</f>
        <v>30</v>
      </c>
      <c r="V10" s="54">
        <f>IF($O10="","",ROUND(($O10-$O$3)/1000,1)+(_xlfn.RANK.AVG($O10,($J10,$O10,$T10),1)-2)*20)</f>
        <v>-0.9</v>
      </c>
      <c r="W10" s="55">
        <f>IF($T10="","",ROUND(($T10-$T$3)/1000,1)+(_xlfn.RANK.AVG($T10,($J10,$O10,$T10),1)-2)*20)</f>
        <v>-29.1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201</v>
      </c>
      <c r="AZ10" s="40" t="s">
        <v>198</v>
      </c>
      <c r="BA10" s="41" t="s">
        <v>199</v>
      </c>
      <c r="BB10" s="41" t="s">
        <v>104</v>
      </c>
      <c r="BC10" s="41" t="s">
        <v>86</v>
      </c>
      <c r="BD10" s="41" t="s">
        <v>200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 t="s">
        <v>203</v>
      </c>
      <c r="G11" s="9">
        <v>6000</v>
      </c>
      <c r="H11" s="9"/>
      <c r="I11" s="48">
        <v>0</v>
      </c>
      <c r="J11" s="21">
        <f t="shared" si="2"/>
        <v>51000</v>
      </c>
      <c r="K11" s="8" t="s">
        <v>202</v>
      </c>
      <c r="L11" s="9">
        <v>-3000</v>
      </c>
      <c r="M11" s="9"/>
      <c r="N11" s="48">
        <v>0</v>
      </c>
      <c r="O11" s="21">
        <f t="shared" si="3"/>
        <v>31100</v>
      </c>
      <c r="P11" s="8" t="s">
        <v>202</v>
      </c>
      <c r="Q11" s="9">
        <v>-3000</v>
      </c>
      <c r="R11" s="9"/>
      <c r="S11" s="48">
        <v>0</v>
      </c>
      <c r="T11" s="21">
        <f t="shared" si="4"/>
        <v>22900</v>
      </c>
      <c r="U11" s="53">
        <f>IF($J11="","",ROUND(($J11-$J$3)/1000,1)+(_xlfn.RANK.AVG($J11,($J11,$O11,$T11),1)-2)*20)</f>
        <v>36</v>
      </c>
      <c r="V11" s="54">
        <f>IF($O11="","",ROUND(($O11-$O$3)/1000,1)+(_xlfn.RANK.AVG($O11,($J11,$O11,$T11),1)-2)*20)</f>
        <v>-3.9</v>
      </c>
      <c r="W11" s="55">
        <f>IF($T11="","",ROUND(($T11-$T$3)/1000,1)+(_xlfn.RANK.AVG($T11,($J11,$O11,$T11),1)-2)*20)</f>
        <v>-32.1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198</v>
      </c>
      <c r="AF11" s="41" t="s">
        <v>82</v>
      </c>
      <c r="AG11" s="41" t="s">
        <v>87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IF($F$1="","",$F$1)</f>
        <v>りくと</v>
      </c>
      <c r="F12" s="8" t="s">
        <v>203</v>
      </c>
      <c r="G12" s="9">
        <v>3000</v>
      </c>
      <c r="H12" s="9"/>
      <c r="I12" s="48">
        <v>1000</v>
      </c>
      <c r="J12" s="21">
        <f t="shared" si="2"/>
        <v>55000</v>
      </c>
      <c r="K12" s="8" t="s">
        <v>202</v>
      </c>
      <c r="L12" s="9">
        <v>-1500</v>
      </c>
      <c r="M12" s="9"/>
      <c r="N12" s="48">
        <v>-500</v>
      </c>
      <c r="O12" s="21">
        <f t="shared" si="3"/>
        <v>29100</v>
      </c>
      <c r="P12" s="8" t="s">
        <v>202</v>
      </c>
      <c r="Q12" s="9">
        <v>-1500</v>
      </c>
      <c r="R12" s="9"/>
      <c r="S12" s="48">
        <v>-500</v>
      </c>
      <c r="T12" s="21">
        <f t="shared" si="4"/>
        <v>20900</v>
      </c>
      <c r="U12" s="53">
        <f>IF($J12="","",ROUND(($J12-$J$3)/1000,1)+(_xlfn.RANK.AVG($J12,($J12,$O12,$T12),1)-2)*20)</f>
        <v>40</v>
      </c>
      <c r="V12" s="54">
        <f>IF($O12="","",ROUND(($O12-$O$3)/1000,1)+(_xlfn.RANK.AVG($O12,($J12,$O12,$T12),1)-2)*20)</f>
        <v>-5.9</v>
      </c>
      <c r="W12" s="55">
        <f>IF($T12="","",ROUND(($T12-$T$3)/1000,1)+(_xlfn.RANK.AVG($T12,($J12,$O12,$T12),1)-2)*20)</f>
        <v>-34.1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86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>IF($F$1="","",$F$1)</f>
        <v>りくと</v>
      </c>
      <c r="F13" s="8" t="s">
        <v>207</v>
      </c>
      <c r="G13" s="9">
        <v>5000</v>
      </c>
      <c r="H13" s="9"/>
      <c r="I13" s="48"/>
      <c r="J13" s="21">
        <f t="shared" si="2"/>
        <v>60000</v>
      </c>
      <c r="K13" s="8" t="s">
        <v>207</v>
      </c>
      <c r="L13" s="9">
        <v>5000</v>
      </c>
      <c r="M13" s="9">
        <v>-1000</v>
      </c>
      <c r="N13" s="48"/>
      <c r="O13" s="21">
        <f t="shared" si="3"/>
        <v>33100</v>
      </c>
      <c r="P13" s="8" t="s">
        <v>207</v>
      </c>
      <c r="Q13" s="9">
        <v>-10000</v>
      </c>
      <c r="R13" s="9"/>
      <c r="S13" s="48"/>
      <c r="T13" s="21">
        <f t="shared" si="4"/>
        <v>10900</v>
      </c>
      <c r="U13" s="53">
        <f>IF($J13="","",ROUND(($J13-$J$3)/1000,1)+(_xlfn.RANK.AVG($J13,($J13,$O13,$T13),1)-2)*20)</f>
        <v>45</v>
      </c>
      <c r="V13" s="54">
        <f>IF($O13="","",ROUND(($O13-$O$3)/1000,1)+(_xlfn.RANK.AVG($O13,($J13,$O13,$T13),1)-2)*20)</f>
        <v>-1.9</v>
      </c>
      <c r="W13" s="55">
        <f>IF($T13="","",ROUND(($T13-$T$3)/1000,1)+(_xlfn.RANK.AVG($T13,($J13,$O13,$T13),1)-2)*20)</f>
        <v>-44.1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>
        <v>1</v>
      </c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1</v>
      </c>
      <c r="E14" s="4" t="str">
        <f>IF($F$1="","",$F$1)</f>
        <v>りくと</v>
      </c>
      <c r="F14" s="8" t="s">
        <v>202</v>
      </c>
      <c r="G14" s="9">
        <v>-4800</v>
      </c>
      <c r="H14" s="9">
        <v>-1000</v>
      </c>
      <c r="I14" s="48">
        <v>-1000</v>
      </c>
      <c r="J14" s="21">
        <f t="shared" si="2"/>
        <v>53200</v>
      </c>
      <c r="K14" s="8" t="s">
        <v>202</v>
      </c>
      <c r="L14" s="9">
        <v>-2900</v>
      </c>
      <c r="M14" s="9"/>
      <c r="N14" s="48">
        <v>-1000</v>
      </c>
      <c r="O14" s="21">
        <f t="shared" si="3"/>
        <v>29200</v>
      </c>
      <c r="P14" s="8" t="s">
        <v>203</v>
      </c>
      <c r="Q14" s="9">
        <v>7700</v>
      </c>
      <c r="R14" s="9">
        <v>2000</v>
      </c>
      <c r="S14" s="48">
        <v>2000</v>
      </c>
      <c r="T14" s="21">
        <f t="shared" si="4"/>
        <v>22600</v>
      </c>
      <c r="U14" s="53">
        <f>IF($J14="","",ROUND(($J14-$J$3)/1000,1)+(_xlfn.RANK.AVG($J14,($J14,$O14,$T14),1)-2)*20)</f>
        <v>38.200000000000003</v>
      </c>
      <c r="V14" s="54">
        <f>IF($O14="","",ROUND(($O14-$O$3)/1000,1)+(_xlfn.RANK.AVG($O14,($J14,$O14,$T14),1)-2)*20)</f>
        <v>-5.8</v>
      </c>
      <c r="W14" s="55">
        <f>IF($T14="","",ROUND(($T14-$T$3)/1000,1)+(_xlfn.RANK.AVG($T14,($J14,$O14,$T14),1)-2)*20)</f>
        <v>-32.4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30</v>
      </c>
      <c r="BU14" s="40" t="s">
        <v>198</v>
      </c>
      <c r="BV14" s="41" t="s">
        <v>82</v>
      </c>
      <c r="BW14" s="41" t="s">
        <v>84</v>
      </c>
      <c r="BX14" s="41" t="s">
        <v>79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IF($K$1="","",$K$1)</f>
        <v>だいち</v>
      </c>
      <c r="F15" s="8" t="s">
        <v>202</v>
      </c>
      <c r="G15" s="9">
        <v>-6000</v>
      </c>
      <c r="H15" s="9">
        <v>-1000</v>
      </c>
      <c r="I15" s="48">
        <v>0</v>
      </c>
      <c r="J15" s="21">
        <f t="shared" si="2"/>
        <v>46200</v>
      </c>
      <c r="K15" s="8" t="s">
        <v>203</v>
      </c>
      <c r="L15" s="9">
        <v>12000</v>
      </c>
      <c r="M15" s="9">
        <v>1000</v>
      </c>
      <c r="N15" s="48">
        <v>0</v>
      </c>
      <c r="O15" s="21">
        <f t="shared" si="3"/>
        <v>42200</v>
      </c>
      <c r="P15" s="8" t="s">
        <v>202</v>
      </c>
      <c r="Q15" s="9">
        <v>-6000</v>
      </c>
      <c r="R15" s="9"/>
      <c r="S15" s="48">
        <v>0</v>
      </c>
      <c r="T15" s="21">
        <f t="shared" si="4"/>
        <v>16600</v>
      </c>
      <c r="U15" s="53">
        <f>IF($J15="","",ROUND(($J15-$J$3)/1000,1)+(_xlfn.RANK.AVG($J15,($J15,$O15,$T15),1)-2)*20)</f>
        <v>31.2</v>
      </c>
      <c r="V15" s="54">
        <f>IF($O15="","",ROUND(($O15-$O$3)/1000,1)+(_xlfn.RANK.AVG($O15,($J15,$O15,$T15),1)-2)*20)</f>
        <v>7.2</v>
      </c>
      <c r="W15" s="55">
        <f>IF($T15="","",ROUND(($T15-$T$3)/1000,1)+(_xlfn.RANK.AVG($T15,($J15,$O15,$T15),1)-2)*20)</f>
        <v>-38.4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5</v>
      </c>
      <c r="AY15" s="30" t="s">
        <v>201</v>
      </c>
      <c r="AZ15" s="40" t="s">
        <v>198</v>
      </c>
      <c r="BA15" s="41" t="s">
        <v>82</v>
      </c>
      <c r="BB15" s="41" t="s">
        <v>83</v>
      </c>
      <c r="BC15" s="41" t="s">
        <v>200</v>
      </c>
      <c r="BD15" s="41" t="s">
        <v>200</v>
      </c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tr">
        <f>IF($K$1="","",$K$1)</f>
        <v>だいち</v>
      </c>
      <c r="F16" s="8" t="s">
        <v>197</v>
      </c>
      <c r="G16" s="9">
        <v>2000</v>
      </c>
      <c r="H16" s="9"/>
      <c r="I16" s="48">
        <v>1000</v>
      </c>
      <c r="J16" s="21">
        <f t="shared" si="2"/>
        <v>49200</v>
      </c>
      <c r="K16" s="8"/>
      <c r="L16" s="9"/>
      <c r="M16" s="9"/>
      <c r="N16" s="48"/>
      <c r="O16" s="21">
        <f t="shared" si="3"/>
        <v>42200</v>
      </c>
      <c r="P16" s="8" t="s">
        <v>196</v>
      </c>
      <c r="Q16" s="9">
        <v>-2000</v>
      </c>
      <c r="R16" s="9"/>
      <c r="S16" s="48">
        <v>-1000</v>
      </c>
      <c r="T16" s="21">
        <f t="shared" si="4"/>
        <v>13600</v>
      </c>
      <c r="U16" s="53">
        <f>IF($J16="","",ROUND(($J16-$J$3)/1000,1)+(_xlfn.RANK.AVG($J16,($J16,$O16,$T16),1)-2)*20)</f>
        <v>34.200000000000003</v>
      </c>
      <c r="V16" s="54">
        <f>IF($O16="","",ROUND(($O16-$O$3)/1000,1)+(_xlfn.RANK.AVG($O16,($J16,$O16,$T16),1)-2)*20)</f>
        <v>7.2</v>
      </c>
      <c r="W16" s="55">
        <f>IF($T16="","",ROUND(($T16-$T$3)/1000,1)+(_xlfn.RANK.AVG($T16,($J16,$O16,$T16),1)-2)*20)</f>
        <v>-41.4</v>
      </c>
      <c r="Y16" s="8"/>
      <c r="Z16" s="34"/>
      <c r="AA16" s="26"/>
      <c r="AB16" s="26">
        <v>1</v>
      </c>
      <c r="AC16" s="26">
        <v>2</v>
      </c>
      <c r="AD16" s="30">
        <v>30</v>
      </c>
      <c r="AE16" s="40" t="s">
        <v>86</v>
      </c>
      <c r="AF16" s="41" t="s">
        <v>200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20C9186-DF7A-48C3-B7BD-F658532D1312}">
      <formula1>$U$2:$W$2</formula1>
    </dataValidation>
    <dataValidation type="list" showInputMessage="1" showErrorMessage="1" sqref="K4:K30 P4:P30 F4:F30" xr:uid="{4F6D01D9-0921-4321-8D8D-CF9BB20925A6}">
      <formula1>"ロン,ツモ,放銃,ツモ支払,流局,チョンボ"</formula1>
    </dataValidation>
    <dataValidation type="list" allowBlank="1" showInputMessage="1" sqref="F1:T1" xr:uid="{916DEB0D-0B18-4711-B434-3F5C094C3ADE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2023-05-02T11:04:58Z</dcterms:modified>
</cp:coreProperties>
</file>