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対局\"/>
    </mc:Choice>
  </mc:AlternateContent>
  <xr:revisionPtr revIDLastSave="0" documentId="13_ncr:1_{D0F9FD4C-F21F-4438-97E2-37D9FAF343B2}" xr6:coauthVersionLast="47" xr6:coauthVersionMax="47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役一覧" sheetId="15" state="hidden" r:id="rId10"/>
    <sheet name="点数表(親ロン)" sheetId="4" state="hidden" r:id="rId11"/>
    <sheet name="点数表(親ツモ)" sheetId="9" state="hidden" r:id="rId12"/>
    <sheet name="点数表(子→親)" sheetId="7" state="hidden" r:id="rId13"/>
    <sheet name="点数表(子ロン)" sheetId="3" state="hidden" r:id="rId14"/>
    <sheet name="点数表(子ツモ)" sheetId="10" state="hidden" r:id="rId15"/>
    <sheet name="点数表(子→子)" sheetId="5" state="hidden" r:id="rId16"/>
    <sheet name="点数表(親→子)" sheetId="6" state="hidden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27" l="1"/>
  <c r="C14" i="27" s="1"/>
  <c r="E13" i="27"/>
  <c r="E12" i="27"/>
  <c r="E11" i="27"/>
  <c r="E10" i="27"/>
  <c r="D10" i="27" s="1"/>
  <c r="E9" i="27"/>
  <c r="E8" i="27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D13" i="27"/>
  <c r="D12" i="27"/>
  <c r="D8" i="27"/>
  <c r="T4" i="27"/>
  <c r="T5" i="27" s="1"/>
  <c r="O4" i="27"/>
  <c r="O5" i="27" s="1"/>
  <c r="J4" i="27"/>
  <c r="J5" i="27" s="1"/>
  <c r="W3" i="27"/>
  <c r="V3" i="27"/>
  <c r="U3" i="27"/>
  <c r="W2" i="27"/>
  <c r="V2" i="27"/>
  <c r="U2" i="27"/>
  <c r="BO1" i="27"/>
  <c r="AT1" i="27"/>
  <c r="Y1" i="27"/>
  <c r="E13" i="26"/>
  <c r="D13" i="26" s="1"/>
  <c r="E12" i="26"/>
  <c r="D12" i="26" s="1"/>
  <c r="E11" i="26"/>
  <c r="E10" i="26"/>
  <c r="D10" i="26" s="1"/>
  <c r="E9" i="26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 s="1"/>
  <c r="T13" i="26"/>
  <c r="O13" i="26"/>
  <c r="J13" i="26"/>
  <c r="T12" i="26"/>
  <c r="O12" i="26"/>
  <c r="J12" i="26"/>
  <c r="U12" i="26" s="1"/>
  <c r="C12" i="26"/>
  <c r="D11" i="26"/>
  <c r="J5" i="26"/>
  <c r="J6" i="26" s="1"/>
  <c r="C5" i="26"/>
  <c r="C6" i="26" s="1"/>
  <c r="T4" i="26"/>
  <c r="T5" i="26" s="1"/>
  <c r="O4" i="26"/>
  <c r="O5" i="26" s="1"/>
  <c r="J4" i="26"/>
  <c r="W3" i="26"/>
  <c r="V3" i="26"/>
  <c r="U3" i="26"/>
  <c r="W2" i="26"/>
  <c r="V2" i="26"/>
  <c r="U2" i="26"/>
  <c r="BO1" i="26"/>
  <c r="AT1" i="26"/>
  <c r="Y1" i="26"/>
  <c r="E11" i="25"/>
  <c r="E10" i="25"/>
  <c r="D10" i="25" s="1"/>
  <c r="E9" i="25"/>
  <c r="E8" i="25"/>
  <c r="C8" i="25" s="1"/>
  <c r="E7" i="25"/>
  <c r="E6" i="25"/>
  <c r="E5" i="25"/>
  <c r="D5" i="25" s="1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D12" i="25"/>
  <c r="C11" i="25"/>
  <c r="C12" i="25" s="1"/>
  <c r="D9" i="25"/>
  <c r="D7" i="25"/>
  <c r="J6" i="25"/>
  <c r="J7" i="25" s="1"/>
  <c r="O5" i="25"/>
  <c r="O6" i="25" s="1"/>
  <c r="J5" i="25"/>
  <c r="T4" i="25"/>
  <c r="T5" i="25" s="1"/>
  <c r="O4" i="25"/>
  <c r="J4" i="25"/>
  <c r="W3" i="25"/>
  <c r="V3" i="25"/>
  <c r="U3" i="25"/>
  <c r="W2" i="25"/>
  <c r="V2" i="25"/>
  <c r="U2" i="25"/>
  <c r="BO1" i="25"/>
  <c r="AT1" i="25"/>
  <c r="Y1" i="25"/>
  <c r="E12" i="24"/>
  <c r="D12" i="24" s="1"/>
  <c r="E11" i="24"/>
  <c r="E10" i="24"/>
  <c r="E9" i="24"/>
  <c r="E8" i="24"/>
  <c r="E7" i="24"/>
  <c r="E6" i="24"/>
  <c r="E5" i="24"/>
  <c r="B5" i="24" s="1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 s="1"/>
  <c r="D10" i="24"/>
  <c r="D7" i="24"/>
  <c r="D6" i="24"/>
  <c r="C6" i="24"/>
  <c r="C7" i="24" s="1"/>
  <c r="O5" i="24"/>
  <c r="O6" i="24" s="1"/>
  <c r="J5" i="24"/>
  <c r="J6" i="24" s="1"/>
  <c r="T4" i="24"/>
  <c r="T5" i="24" s="1"/>
  <c r="O4" i="24"/>
  <c r="J4" i="24"/>
  <c r="W3" i="24"/>
  <c r="V3" i="24"/>
  <c r="U3" i="24"/>
  <c r="W2" i="24"/>
  <c r="V2" i="24"/>
  <c r="U2" i="24"/>
  <c r="BO1" i="24"/>
  <c r="AT1" i="24"/>
  <c r="Y1" i="24"/>
  <c r="E12" i="23"/>
  <c r="E11" i="23"/>
  <c r="E10" i="23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2" i="23"/>
  <c r="D10" i="23"/>
  <c r="D8" i="23"/>
  <c r="C8" i="23"/>
  <c r="D5" i="23"/>
  <c r="D6" i="23" s="1"/>
  <c r="T4" i="23"/>
  <c r="T5" i="23" s="1"/>
  <c r="O4" i="23"/>
  <c r="O5" i="23" s="1"/>
  <c r="J4" i="23"/>
  <c r="J5" i="23" s="1"/>
  <c r="W3" i="23"/>
  <c r="V3" i="23"/>
  <c r="U3" i="23"/>
  <c r="W2" i="23"/>
  <c r="V2" i="23"/>
  <c r="U2" i="23"/>
  <c r="BO1" i="23"/>
  <c r="AT1" i="23"/>
  <c r="Y1" i="23"/>
  <c r="E12" i="22"/>
  <c r="E11" i="22"/>
  <c r="E10" i="22"/>
  <c r="E9" i="22"/>
  <c r="E8" i="22"/>
  <c r="E7" i="22"/>
  <c r="E6" i="22"/>
  <c r="E5" i="22"/>
  <c r="B5" i="22" s="1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D16" i="22"/>
  <c r="D14" i="22"/>
  <c r="C13" i="22"/>
  <c r="C14" i="22" s="1"/>
  <c r="D11" i="22"/>
  <c r="D10" i="22"/>
  <c r="C10" i="22"/>
  <c r="C11" i="22" s="1"/>
  <c r="D8" i="22"/>
  <c r="O6" i="22"/>
  <c r="O7" i="22" s="1"/>
  <c r="D6" i="22"/>
  <c r="O5" i="22"/>
  <c r="B6" i="22"/>
  <c r="T4" i="22"/>
  <c r="T5" i="22" s="1"/>
  <c r="O4" i="22"/>
  <c r="J4" i="22"/>
  <c r="W3" i="22"/>
  <c r="V3" i="22"/>
  <c r="U3" i="22"/>
  <c r="W2" i="22"/>
  <c r="V2" i="22"/>
  <c r="U2" i="22"/>
  <c r="BO1" i="22"/>
  <c r="AT1" i="22"/>
  <c r="Y1" i="22"/>
  <c r="E16" i="21"/>
  <c r="E15" i="21"/>
  <c r="D15" i="21" s="1"/>
  <c r="E14" i="21"/>
  <c r="E13" i="21"/>
  <c r="E12" i="2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 s="1"/>
  <c r="T16" i="21"/>
  <c r="O16" i="21"/>
  <c r="J16" i="21"/>
  <c r="D16" i="21"/>
  <c r="C16" i="21"/>
  <c r="B16" i="21"/>
  <c r="A16" i="21" s="1"/>
  <c r="D14" i="21"/>
  <c r="D13" i="21"/>
  <c r="D11" i="21"/>
  <c r="C10" i="21"/>
  <c r="C9" i="21"/>
  <c r="D8" i="21"/>
  <c r="D6" i="21"/>
  <c r="T5" i="21"/>
  <c r="T6" i="21" s="1"/>
  <c r="D5" i="21"/>
  <c r="C5" i="21"/>
  <c r="B5" i="21"/>
  <c r="A5" i="21" s="1"/>
  <c r="T4" i="21"/>
  <c r="W4" i="21" s="1"/>
  <c r="O4" i="21"/>
  <c r="O5" i="21" s="1"/>
  <c r="J4" i="21"/>
  <c r="J5" i="21" s="1"/>
  <c r="W3" i="21"/>
  <c r="V3" i="21"/>
  <c r="U3" i="21"/>
  <c r="W2" i="21"/>
  <c r="V2" i="21"/>
  <c r="U2" i="21"/>
  <c r="BO1" i="21"/>
  <c r="AT1" i="21"/>
  <c r="Y1" i="21"/>
  <c r="E15" i="20"/>
  <c r="B15" i="20" s="1"/>
  <c r="E14" i="20"/>
  <c r="E13" i="20"/>
  <c r="D13" i="20" s="1"/>
  <c r="E12" i="20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O15" i="20"/>
  <c r="J15" i="20"/>
  <c r="U15" i="20" s="1"/>
  <c r="T14" i="20"/>
  <c r="O14" i="20"/>
  <c r="J14" i="20"/>
  <c r="U14" i="20" s="1"/>
  <c r="D14" i="20"/>
  <c r="C14" i="20"/>
  <c r="B14" i="20"/>
  <c r="A14" i="20" s="1"/>
  <c r="T13" i="20"/>
  <c r="O13" i="20"/>
  <c r="V13" i="20" s="1"/>
  <c r="J13" i="20"/>
  <c r="C12" i="20"/>
  <c r="D12" i="20"/>
  <c r="D10" i="20"/>
  <c r="D7" i="20"/>
  <c r="D6" i="20"/>
  <c r="C6" i="20"/>
  <c r="O5" i="20"/>
  <c r="O6" i="20" s="1"/>
  <c r="D5" i="20"/>
  <c r="C5" i="20"/>
  <c r="T4" i="20"/>
  <c r="T5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B14" i="27" l="1"/>
  <c r="A14" i="27" s="1"/>
  <c r="T6" i="27"/>
  <c r="W5" i="27"/>
  <c r="J6" i="27"/>
  <c r="U5" i="27"/>
  <c r="O6" i="27"/>
  <c r="V5" i="27"/>
  <c r="U4" i="27"/>
  <c r="D11" i="27"/>
  <c r="V4" i="27"/>
  <c r="D6" i="27"/>
  <c r="D7" i="27" s="1"/>
  <c r="W4" i="27"/>
  <c r="D9" i="27"/>
  <c r="C12" i="27"/>
  <c r="B5" i="27"/>
  <c r="B6" i="27" s="1"/>
  <c r="C10" i="27"/>
  <c r="C11" i="27" s="1"/>
  <c r="C5" i="27"/>
  <c r="C6" i="27" s="1"/>
  <c r="C7" i="27" s="1"/>
  <c r="C8" i="27" s="1"/>
  <c r="C9" i="27" s="1"/>
  <c r="C13" i="27"/>
  <c r="D5" i="27"/>
  <c r="U13" i="26"/>
  <c r="V13" i="26"/>
  <c r="W13" i="26"/>
  <c r="B13" i="26"/>
  <c r="A13" i="26" s="1"/>
  <c r="C13" i="26"/>
  <c r="V12" i="26"/>
  <c r="W12" i="26"/>
  <c r="B12" i="26"/>
  <c r="A12" i="26" s="1"/>
  <c r="C7" i="26"/>
  <c r="U4" i="26"/>
  <c r="J7" i="26"/>
  <c r="O6" i="26"/>
  <c r="V5" i="26"/>
  <c r="T6" i="26"/>
  <c r="W5" i="26"/>
  <c r="D5" i="26"/>
  <c r="C8" i="26"/>
  <c r="B6" i="26"/>
  <c r="D8" i="26"/>
  <c r="V4" i="26"/>
  <c r="D6" i="26"/>
  <c r="D7" i="26" s="1"/>
  <c r="C9" i="26"/>
  <c r="W4" i="26"/>
  <c r="D9" i="26"/>
  <c r="U5" i="26"/>
  <c r="B5" i="26"/>
  <c r="C10" i="26"/>
  <c r="C11" i="26" s="1"/>
  <c r="D8" i="25"/>
  <c r="T6" i="25"/>
  <c r="W5" i="25"/>
  <c r="U5" i="25"/>
  <c r="V6" i="25"/>
  <c r="O7" i="25"/>
  <c r="J8" i="25"/>
  <c r="U4" i="25"/>
  <c r="D11" i="25"/>
  <c r="V4" i="25"/>
  <c r="D6" i="25"/>
  <c r="C9" i="25"/>
  <c r="C7" i="25"/>
  <c r="W4" i="25"/>
  <c r="B5" i="25"/>
  <c r="B6" i="25" s="1"/>
  <c r="V5" i="25"/>
  <c r="C10" i="25"/>
  <c r="C5" i="25"/>
  <c r="C6" i="25" s="1"/>
  <c r="U6" i="25"/>
  <c r="D5" i="24"/>
  <c r="U4" i="24"/>
  <c r="V4" i="24"/>
  <c r="J7" i="24"/>
  <c r="O7" i="24"/>
  <c r="T6" i="24"/>
  <c r="W5" i="24"/>
  <c r="C8" i="24"/>
  <c r="C9" i="24" s="1"/>
  <c r="C10" i="24" s="1"/>
  <c r="B6" i="24"/>
  <c r="D8" i="24"/>
  <c r="D9" i="24" s="1"/>
  <c r="C11" i="24"/>
  <c r="D11" i="24"/>
  <c r="W4" i="24"/>
  <c r="C12" i="24"/>
  <c r="A5" i="24"/>
  <c r="U5" i="24"/>
  <c r="V5" i="24"/>
  <c r="C5" i="24"/>
  <c r="T6" i="23"/>
  <c r="W5" i="23"/>
  <c r="J6" i="23"/>
  <c r="U5" i="23"/>
  <c r="O6" i="23"/>
  <c r="V5" i="23"/>
  <c r="B6" i="23"/>
  <c r="U4" i="23"/>
  <c r="C6" i="23"/>
  <c r="C7" i="23" s="1"/>
  <c r="D11" i="23"/>
  <c r="V4" i="23"/>
  <c r="C9" i="23"/>
  <c r="C10" i="23" s="1"/>
  <c r="C11" i="23" s="1"/>
  <c r="C12" i="23" s="1"/>
  <c r="W4" i="23"/>
  <c r="B7" i="23"/>
  <c r="B8" i="23" s="1"/>
  <c r="D9" i="23"/>
  <c r="B5" i="23"/>
  <c r="D7" i="23"/>
  <c r="C5" i="23"/>
  <c r="C5" i="22"/>
  <c r="C6" i="22" s="1"/>
  <c r="U4" i="22"/>
  <c r="O8" i="22"/>
  <c r="C12" i="22"/>
  <c r="T6" i="22"/>
  <c r="B7" i="22"/>
  <c r="D9" i="22"/>
  <c r="B9" i="22"/>
  <c r="A5" i="22"/>
  <c r="A6" i="22" s="1"/>
  <c r="C7" i="22"/>
  <c r="B10" i="22"/>
  <c r="D12" i="22"/>
  <c r="C15" i="22"/>
  <c r="B8" i="22"/>
  <c r="D7" i="22"/>
  <c r="D15" i="22"/>
  <c r="D5" i="22"/>
  <c r="C8" i="22"/>
  <c r="C9" i="22" s="1"/>
  <c r="D13" i="22"/>
  <c r="C16" i="22"/>
  <c r="J5" i="22"/>
  <c r="V4" i="22"/>
  <c r="W4" i="22"/>
  <c r="U16" i="21"/>
  <c r="W16" i="21"/>
  <c r="V16" i="21"/>
  <c r="D7" i="21"/>
  <c r="J6" i="21"/>
  <c r="U5" i="21"/>
  <c r="T7" i="21"/>
  <c r="V5" i="21"/>
  <c r="O6" i="21"/>
  <c r="W6" i="21" s="1"/>
  <c r="D9" i="21"/>
  <c r="C12" i="21"/>
  <c r="C13" i="21" s="1"/>
  <c r="D12" i="21"/>
  <c r="C15" i="21"/>
  <c r="W5" i="21"/>
  <c r="D10" i="21"/>
  <c r="B6" i="21"/>
  <c r="B7" i="21" s="1"/>
  <c r="C11" i="21"/>
  <c r="A6" i="21"/>
  <c r="U4" i="21"/>
  <c r="C6" i="21"/>
  <c r="C7" i="21" s="1"/>
  <c r="C8" i="21" s="1"/>
  <c r="C14" i="21"/>
  <c r="V4" i="21"/>
  <c r="V15" i="20"/>
  <c r="W15" i="20"/>
  <c r="D15" i="20"/>
  <c r="C15" i="20"/>
  <c r="A15" i="20"/>
  <c r="W14" i="20"/>
  <c r="V14" i="20"/>
  <c r="U13" i="20"/>
  <c r="W13" i="20"/>
  <c r="B13" i="20"/>
  <c r="A13" i="20" s="1"/>
  <c r="C13" i="20"/>
  <c r="V4" i="20"/>
  <c r="O7" i="20"/>
  <c r="W5" i="20"/>
  <c r="T6" i="20"/>
  <c r="J6" i="20"/>
  <c r="V6" i="20" s="1"/>
  <c r="U5" i="20"/>
  <c r="B6" i="20"/>
  <c r="D8" i="20"/>
  <c r="C11" i="20"/>
  <c r="U4" i="20"/>
  <c r="D11" i="20"/>
  <c r="W4" i="20"/>
  <c r="D9" i="20"/>
  <c r="C7" i="20"/>
  <c r="C8" i="20" s="1"/>
  <c r="C9" i="20" s="1"/>
  <c r="C10" i="20" s="1"/>
  <c r="B5" i="20"/>
  <c r="A5" i="20" s="1"/>
  <c r="V5" i="20"/>
  <c r="W3" i="19"/>
  <c r="V3" i="19"/>
  <c r="U3" i="19"/>
  <c r="B7" i="27" l="1"/>
  <c r="O7" i="27"/>
  <c r="V6" i="27"/>
  <c r="A5" i="27"/>
  <c r="A6" i="27"/>
  <c r="J7" i="27"/>
  <c r="U6" i="27"/>
  <c r="T7" i="27"/>
  <c r="W6" i="27"/>
  <c r="O7" i="26"/>
  <c r="V6" i="26"/>
  <c r="B7" i="26"/>
  <c r="U6" i="26"/>
  <c r="J8" i="26"/>
  <c r="A6" i="26"/>
  <c r="A5" i="26"/>
  <c r="T7" i="26"/>
  <c r="W6" i="26"/>
  <c r="B7" i="25"/>
  <c r="A5" i="25"/>
  <c r="A6" i="25" s="1"/>
  <c r="O8" i="25"/>
  <c r="J9" i="25"/>
  <c r="T7" i="25"/>
  <c r="V7" i="25" s="1"/>
  <c r="W6" i="25"/>
  <c r="T7" i="24"/>
  <c r="W6" i="24"/>
  <c r="V6" i="24"/>
  <c r="O8" i="24"/>
  <c r="V7" i="24"/>
  <c r="B7" i="24"/>
  <c r="A7" i="24" s="1"/>
  <c r="U6" i="24"/>
  <c r="A6" i="24"/>
  <c r="J8" i="24"/>
  <c r="U7" i="24"/>
  <c r="B9" i="23"/>
  <c r="J7" i="23"/>
  <c r="U6" i="23"/>
  <c r="T7" i="23"/>
  <c r="W6" i="23"/>
  <c r="A5" i="23"/>
  <c r="A6" i="23" s="1"/>
  <c r="A7" i="23" s="1"/>
  <c r="A8" i="23" s="1"/>
  <c r="O7" i="23"/>
  <c r="V6" i="23"/>
  <c r="A7" i="22"/>
  <c r="A8" i="22" s="1"/>
  <c r="T7" i="22"/>
  <c r="V5" i="22"/>
  <c r="J6" i="22"/>
  <c r="U5" i="22"/>
  <c r="B11" i="22"/>
  <c r="O9" i="22"/>
  <c r="W5" i="22"/>
  <c r="A9" i="22"/>
  <c r="A10" i="22" s="1"/>
  <c r="A7" i="21"/>
  <c r="B8" i="21"/>
  <c r="T8" i="21"/>
  <c r="U6" i="21"/>
  <c r="J7" i="21"/>
  <c r="O7" i="21"/>
  <c r="V6" i="21"/>
  <c r="T7" i="20"/>
  <c r="W6" i="20"/>
  <c r="O8" i="20"/>
  <c r="J7" i="20"/>
  <c r="V7" i="20" s="1"/>
  <c r="U6" i="20"/>
  <c r="B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V10" i="19" s="1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8" i="27" l="1"/>
  <c r="T8" i="27"/>
  <c r="W7" i="27"/>
  <c r="J8" i="27"/>
  <c r="U7" i="27"/>
  <c r="O8" i="27"/>
  <c r="V7" i="27"/>
  <c r="A7" i="27"/>
  <c r="U7" i="26"/>
  <c r="B8" i="26"/>
  <c r="J9" i="26"/>
  <c r="T8" i="26"/>
  <c r="W7" i="26"/>
  <c r="O8" i="26"/>
  <c r="V7" i="26"/>
  <c r="A7" i="26"/>
  <c r="J10" i="25"/>
  <c r="O9" i="25"/>
  <c r="T8" i="25"/>
  <c r="V8" i="25" s="1"/>
  <c r="W7" i="25"/>
  <c r="B8" i="25"/>
  <c r="U7" i="25"/>
  <c r="A7" i="25"/>
  <c r="O9" i="24"/>
  <c r="B8" i="24"/>
  <c r="J9" i="24"/>
  <c r="T8" i="24"/>
  <c r="W7" i="24"/>
  <c r="J8" i="23"/>
  <c r="U7" i="23"/>
  <c r="B10" i="23"/>
  <c r="A10" i="23"/>
  <c r="T8" i="23"/>
  <c r="W7" i="23"/>
  <c r="O8" i="23"/>
  <c r="V7" i="23"/>
  <c r="A9" i="23"/>
  <c r="B12" i="22"/>
  <c r="J7" i="22"/>
  <c r="U6" i="22"/>
  <c r="V6" i="22"/>
  <c r="W6" i="22"/>
  <c r="T8" i="22"/>
  <c r="W7" i="22"/>
  <c r="O10" i="22"/>
  <c r="A11" i="22"/>
  <c r="O8" i="21"/>
  <c r="V7" i="21"/>
  <c r="J8" i="21"/>
  <c r="U7" i="21"/>
  <c r="B9" i="21"/>
  <c r="A9" i="21" s="1"/>
  <c r="T9" i="21"/>
  <c r="W8" i="21"/>
  <c r="A8" i="21"/>
  <c r="W7" i="21"/>
  <c r="B8" i="20"/>
  <c r="J8" i="20"/>
  <c r="U7" i="20"/>
  <c r="O9" i="20"/>
  <c r="A7" i="20"/>
  <c r="T8" i="20"/>
  <c r="W7" i="20"/>
  <c r="U12" i="19"/>
  <c r="W11" i="19"/>
  <c r="V11" i="19"/>
  <c r="W10" i="19"/>
  <c r="V9" i="19"/>
  <c r="W9" i="19"/>
  <c r="U8" i="19"/>
  <c r="V8" i="19"/>
  <c r="V7" i="19"/>
  <c r="W7" i="19"/>
  <c r="C6" i="19"/>
  <c r="W4" i="19"/>
  <c r="V6" i="19"/>
  <c r="W6" i="19"/>
  <c r="U4" i="19"/>
  <c r="V4" i="19"/>
  <c r="T5" i="19"/>
  <c r="J5" i="19"/>
  <c r="O5" i="19"/>
  <c r="B9" i="27" l="1"/>
  <c r="A8" i="27"/>
  <c r="O9" i="27"/>
  <c r="V8" i="27"/>
  <c r="T9" i="27"/>
  <c r="W8" i="27"/>
  <c r="J9" i="27"/>
  <c r="U8" i="27"/>
  <c r="O9" i="26"/>
  <c r="V8" i="26"/>
  <c r="T9" i="26"/>
  <c r="W8" i="26"/>
  <c r="J10" i="26"/>
  <c r="U9" i="26"/>
  <c r="U8" i="26"/>
  <c r="B9" i="26"/>
  <c r="A8" i="26"/>
  <c r="O10" i="25"/>
  <c r="B9" i="25"/>
  <c r="T9" i="25"/>
  <c r="W8" i="25"/>
  <c r="U8" i="25"/>
  <c r="U9" i="25"/>
  <c r="A8" i="25"/>
  <c r="J11" i="25"/>
  <c r="T9" i="24"/>
  <c r="W8" i="24"/>
  <c r="B9" i="24"/>
  <c r="U8" i="24"/>
  <c r="V8" i="24"/>
  <c r="J10" i="24"/>
  <c r="U9" i="24"/>
  <c r="A8" i="24"/>
  <c r="O10" i="24"/>
  <c r="V9" i="24"/>
  <c r="T9" i="23"/>
  <c r="W8" i="23"/>
  <c r="B11" i="23"/>
  <c r="A11" i="23"/>
  <c r="O9" i="23"/>
  <c r="V8" i="23"/>
  <c r="J9" i="23"/>
  <c r="U8" i="23"/>
  <c r="J8" i="22"/>
  <c r="U7" i="22"/>
  <c r="V7" i="22"/>
  <c r="B13" i="22"/>
  <c r="A13" i="22" s="1"/>
  <c r="T9" i="22"/>
  <c r="W8" i="22"/>
  <c r="O11" i="22"/>
  <c r="A12" i="22"/>
  <c r="T10" i="21"/>
  <c r="B10" i="21"/>
  <c r="A10" i="21"/>
  <c r="U8" i="21"/>
  <c r="J9" i="21"/>
  <c r="O9" i="21"/>
  <c r="V8" i="21"/>
  <c r="A8" i="20"/>
  <c r="O10" i="20"/>
  <c r="J9" i="20"/>
  <c r="U8" i="20"/>
  <c r="T9" i="20"/>
  <c r="W8" i="20"/>
  <c r="V8" i="20"/>
  <c r="B9" i="20"/>
  <c r="A9" i="20" s="1"/>
  <c r="V5" i="19"/>
  <c r="U5" i="19"/>
  <c r="W5" i="19"/>
  <c r="B10" i="27" l="1"/>
  <c r="A9" i="27"/>
  <c r="J10" i="27"/>
  <c r="U9" i="27"/>
  <c r="T10" i="27"/>
  <c r="W9" i="27"/>
  <c r="O10" i="27"/>
  <c r="V9" i="27"/>
  <c r="B10" i="26"/>
  <c r="J11" i="26"/>
  <c r="T10" i="26"/>
  <c r="W9" i="26"/>
  <c r="A9" i="26"/>
  <c r="O10" i="26"/>
  <c r="V9" i="26"/>
  <c r="B10" i="25"/>
  <c r="T10" i="25"/>
  <c r="W9" i="25"/>
  <c r="A9" i="25"/>
  <c r="J12" i="25"/>
  <c r="V9" i="25"/>
  <c r="O11" i="25"/>
  <c r="V10" i="25"/>
  <c r="B10" i="24"/>
  <c r="J11" i="24"/>
  <c r="A9" i="24"/>
  <c r="A10" i="24" s="1"/>
  <c r="O11" i="24"/>
  <c r="T10" i="24"/>
  <c r="U10" i="24" s="1"/>
  <c r="W9" i="24"/>
  <c r="O10" i="23"/>
  <c r="V9" i="23"/>
  <c r="J10" i="23"/>
  <c r="U9" i="23"/>
  <c r="B12" i="23"/>
  <c r="A12" i="23" s="1"/>
  <c r="T10" i="23"/>
  <c r="W9" i="23"/>
  <c r="T10" i="22"/>
  <c r="O12" i="22"/>
  <c r="B14" i="22"/>
  <c r="A14" i="22" s="1"/>
  <c r="J9" i="22"/>
  <c r="U8" i="22"/>
  <c r="V8" i="22"/>
  <c r="W9" i="21"/>
  <c r="B11" i="21"/>
  <c r="O10" i="21"/>
  <c r="V9" i="21"/>
  <c r="J10" i="21"/>
  <c r="U9" i="21"/>
  <c r="T11" i="21"/>
  <c r="J10" i="20"/>
  <c r="U9" i="20"/>
  <c r="V9" i="20"/>
  <c r="O11" i="20"/>
  <c r="B10" i="20"/>
  <c r="T10" i="20"/>
  <c r="W9" i="20"/>
  <c r="O11" i="27" l="1"/>
  <c r="V10" i="27"/>
  <c r="T11" i="27"/>
  <c r="W10" i="27"/>
  <c r="J11" i="27"/>
  <c r="U10" i="27"/>
  <c r="B11" i="27"/>
  <c r="A10" i="27"/>
  <c r="A11" i="27" s="1"/>
  <c r="O11" i="26"/>
  <c r="V10" i="26"/>
  <c r="U10" i="26"/>
  <c r="B11" i="26"/>
  <c r="A11" i="26" s="1"/>
  <c r="T11" i="26"/>
  <c r="W11" i="26" s="1"/>
  <c r="W10" i="26"/>
  <c r="A10" i="26"/>
  <c r="T11" i="25"/>
  <c r="W10" i="25"/>
  <c r="U10" i="25"/>
  <c r="B11" i="25"/>
  <c r="A11" i="25" s="1"/>
  <c r="O12" i="25"/>
  <c r="V11" i="25"/>
  <c r="A10" i="25"/>
  <c r="O12" i="24"/>
  <c r="J12" i="24"/>
  <c r="V10" i="24"/>
  <c r="T11" i="24"/>
  <c r="W10" i="24"/>
  <c r="B11" i="24"/>
  <c r="A11" i="24" s="1"/>
  <c r="T11" i="23"/>
  <c r="W10" i="23"/>
  <c r="J11" i="23"/>
  <c r="U10" i="23"/>
  <c r="O11" i="23"/>
  <c r="V10" i="23"/>
  <c r="J10" i="22"/>
  <c r="U9" i="22"/>
  <c r="V9" i="22"/>
  <c r="W9" i="22"/>
  <c r="B15" i="22"/>
  <c r="A15" i="22" s="1"/>
  <c r="O13" i="22"/>
  <c r="T11" i="22"/>
  <c r="W10" i="22"/>
  <c r="J11" i="21"/>
  <c r="U10" i="21"/>
  <c r="W10" i="21"/>
  <c r="T12" i="21"/>
  <c r="O11" i="21"/>
  <c r="W11" i="21" s="1"/>
  <c r="V10" i="21"/>
  <c r="B12" i="21"/>
  <c r="A12" i="21" s="1"/>
  <c r="A11" i="21"/>
  <c r="J11" i="20"/>
  <c r="U10" i="20"/>
  <c r="T11" i="20"/>
  <c r="W10" i="20"/>
  <c r="B11" i="20"/>
  <c r="A11" i="20" s="1"/>
  <c r="A10" i="20"/>
  <c r="V10" i="20"/>
  <c r="O12" i="20"/>
  <c r="J12" i="27" l="1"/>
  <c r="U11" i="27"/>
  <c r="O12" i="27"/>
  <c r="V11" i="27"/>
  <c r="B12" i="27"/>
  <c r="A12" i="27" s="1"/>
  <c r="T12" i="27"/>
  <c r="W11" i="27"/>
  <c r="U11" i="26"/>
  <c r="V11" i="26"/>
  <c r="W11" i="25"/>
  <c r="T12" i="25"/>
  <c r="W12" i="25" s="1"/>
  <c r="U11" i="25"/>
  <c r="V12" i="25"/>
  <c r="B12" i="25"/>
  <c r="A12" i="25" s="1"/>
  <c r="U12" i="25"/>
  <c r="T12" i="24"/>
  <c r="W12" i="24" s="1"/>
  <c r="W11" i="24"/>
  <c r="U11" i="24"/>
  <c r="V11" i="24"/>
  <c r="U12" i="24"/>
  <c r="B12" i="24"/>
  <c r="A12" i="24" s="1"/>
  <c r="V12" i="24"/>
  <c r="O12" i="23"/>
  <c r="V11" i="23"/>
  <c r="J12" i="23"/>
  <c r="U11" i="23"/>
  <c r="T12" i="23"/>
  <c r="W12" i="23" s="1"/>
  <c r="W11" i="23"/>
  <c r="O14" i="22"/>
  <c r="B16" i="22"/>
  <c r="A16" i="22" s="1"/>
  <c r="T12" i="22"/>
  <c r="J11" i="22"/>
  <c r="W11" i="22" s="1"/>
  <c r="U10" i="22"/>
  <c r="V10" i="22"/>
  <c r="O12" i="21"/>
  <c r="V11" i="21"/>
  <c r="T13" i="21"/>
  <c r="B13" i="21"/>
  <c r="J12" i="21"/>
  <c r="W12" i="21" s="1"/>
  <c r="U11" i="21"/>
  <c r="T12" i="20"/>
  <c r="W11" i="20"/>
  <c r="B12" i="20"/>
  <c r="A12" i="20" s="1"/>
  <c r="V11" i="20"/>
  <c r="V12" i="20"/>
  <c r="J12" i="20"/>
  <c r="U11" i="20"/>
  <c r="J13" i="27" l="1"/>
  <c r="U12" i="27"/>
  <c r="T13" i="27"/>
  <c r="W12" i="27"/>
  <c r="O13" i="27"/>
  <c r="V12" i="27"/>
  <c r="B13" i="27"/>
  <c r="A13" i="27"/>
  <c r="U12" i="23"/>
  <c r="V12" i="23"/>
  <c r="J12" i="22"/>
  <c r="U11" i="22"/>
  <c r="V11" i="22"/>
  <c r="T13" i="22"/>
  <c r="W12" i="22"/>
  <c r="O15" i="22"/>
  <c r="J13" i="21"/>
  <c r="U12" i="21"/>
  <c r="B14" i="21"/>
  <c r="A14" i="21"/>
  <c r="A13" i="21"/>
  <c r="T14" i="21"/>
  <c r="O13" i="21"/>
  <c r="V12" i="21"/>
  <c r="U12" i="20"/>
  <c r="W12" i="20"/>
  <c r="W13" i="27" l="1"/>
  <c r="U13" i="27"/>
  <c r="V13" i="27"/>
  <c r="O16" i="22"/>
  <c r="T14" i="22"/>
  <c r="J13" i="22"/>
  <c r="U12" i="22"/>
  <c r="V12" i="22"/>
  <c r="W13" i="21"/>
  <c r="J14" i="21"/>
  <c r="U13" i="21"/>
  <c r="B15" i="21"/>
  <c r="A15" i="21" s="1"/>
  <c r="O14" i="21"/>
  <c r="V13" i="21"/>
  <c r="T15" i="21"/>
  <c r="J14" i="22" l="1"/>
  <c r="U13" i="22"/>
  <c r="V13" i="22"/>
  <c r="W13" i="22"/>
  <c r="T15" i="22"/>
  <c r="W14" i="22"/>
  <c r="W14" i="21"/>
  <c r="J15" i="21"/>
  <c r="U14" i="21"/>
  <c r="W15" i="21"/>
  <c r="O15" i="21"/>
  <c r="V14" i="21"/>
  <c r="T16" i="22" l="1"/>
  <c r="J15" i="22"/>
  <c r="U14" i="22"/>
  <c r="V14" i="22"/>
  <c r="V15" i="21"/>
  <c r="U15" i="21"/>
  <c r="J16" i="22" l="1"/>
  <c r="U15" i="22"/>
  <c r="V15" i="22"/>
  <c r="W15" i="22"/>
  <c r="U16" i="22" l="1"/>
  <c r="V16" i="22"/>
  <c r="W16" i="22"/>
</calcChain>
</file>

<file path=xl/sharedStrings.xml><?xml version="1.0" encoding="utf-8"?>
<sst xmlns="http://schemas.openxmlformats.org/spreadsheetml/2006/main" count="1471" uniqueCount="208">
  <si>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</si>
  <si>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</si>
  <si>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</si>
  <si>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</si>
  <si>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</si>
  <si>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</si>
  <si>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</si>
  <si>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</si>
  <si>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</si>
  <si>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</si>
  <si>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</si>
  <si>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</si>
  <si>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</si>
  <si>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</si>
  <si>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</si>
  <si>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</si>
  <si>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</si>
  <si>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</si>
  <si>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</si>
  <si>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</si>
  <si>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</si>
  <si>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</si>
  <si>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</si>
  <si>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</si>
  <si>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</si>
  <si>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</si>
  <si>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</si>
  <si>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</si>
  <si>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</si>
  <si>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</si>
  <si>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</si>
  <si>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</si>
  <si>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</si>
  <si>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</si>
  <si>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</si>
  <si>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</si>
  <si>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</si>
  <si>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</si>
  <si>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</si>
  <si>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</si>
  <si>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</si>
  <si>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</si>
  <si>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</si>
  <si>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</si>
  <si>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</si>
  <si>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</si>
  <si>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</si>
  <si>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</si>
  <si>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</si>
  <si>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</si>
  <si>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</si>
  <si>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</si>
  <si>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</si>
  <si>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</si>
  <si>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</si>
  <si>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</si>
  <si>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</si>
  <si>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</si>
  <si>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</si>
  <si>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</si>
  <si>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</si>
  <si>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</si>
  <si>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</si>
  <si>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</si>
  <si>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</si>
  <si>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</si>
  <si>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</si>
  <si>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</si>
  <si>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</si>
  <si>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</si>
  <si>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</si>
  <si>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</si>
  <si>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</si>
  <si>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</si>
  <si>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</si>
  <si>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</si>
  <si>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</si>
  <si>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</si>
  <si>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</si>
  <si>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</si>
  <si>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</si>
  <si>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</si>
  <si>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</si>
  <si>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</si>
  <si>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</si>
  <si>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</si>
  <si>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</si>
  <si>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</si>
  <si>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</si>
  <si>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</si>
  <si>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</si>
  <si>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</si>
  <si>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</si>
  <si>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</si>
  <si>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</si>
  <si>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</si>
  <si>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</si>
  <si>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</si>
  <si>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</si>
  <si>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</si>
  <si>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</si>
  <si>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</si>
  <si>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</si>
  <si>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</si>
  <si>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</si>
  <si>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</si>
  <si>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</si>
  <si>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</si>
  <si>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</si>
  <si>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</si>
  <si>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</si>
  <si>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</si>
  <si>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</si>
  <si>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</si>
  <si>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</si>
  <si>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</si>
  <si>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</si>
  <si>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</si>
  <si>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</si>
  <si>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</si>
  <si>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</si>
  <si>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</si>
  <si>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</si>
  <si>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</si>
  <si>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</si>
  <si>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</si>
  <si>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</si>
  <si>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</si>
  <si>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</si>
  <si>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</si>
  <si>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</si>
  <si>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</si>
  <si>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</si>
  <si>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</si>
  <si>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</si>
  <si>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</si>
  <si>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</si>
  <si>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</si>
  <si>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</si>
  <si>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</si>
  <si>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</si>
  <si>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</si>
  <si>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</si>
  <si>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</si>
  <si>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</si>
  <si>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</si>
  <si>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</si>
  <si>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</si>
  <si>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</si>
  <si>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</si>
  <si>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</si>
  <si>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</si>
  <si>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</si>
  <si>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</si>
  <si>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</si>
  <si>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</si>
  <si>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</si>
  <si>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</si>
  <si>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</si>
  <si>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</si>
  <si>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</si>
  <si>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</si>
  <si>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</si>
  <si>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</si>
  <si>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</si>
  <si>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</si>
  <si>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</si>
  <si>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</si>
  <si>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</si>
  <si>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</si>
  <si>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</si>
  <si>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</si>
  <si>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</si>
  <si>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</si>
  <si>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</si>
  <si>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</si>
  <si>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</si>
  <si>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</si>
  <si>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</si>
  <si>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</si>
  <si>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</si>
  <si>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</si>
  <si>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</si>
  <si>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</si>
  <si>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</si>
  <si>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</si>
  <si>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</si>
  <si>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</si>
  <si>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</si>
  <si>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</si>
  <si>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</si>
  <si>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</si>
  <si>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ただ</t>
    <phoneticPr fontId="1"/>
  </si>
  <si>
    <t>だいち</t>
    <phoneticPr fontId="1"/>
  </si>
  <si>
    <t>りくと</t>
  </si>
  <si>
    <t>りくと</t>
    <phoneticPr fontId="1"/>
  </si>
  <si>
    <t>ツモ支払</t>
  </si>
  <si>
    <t>ツモ</t>
  </si>
  <si>
    <t>*</t>
  </si>
  <si>
    <t>01</t>
  </si>
  <si>
    <t>02</t>
  </si>
  <si>
    <t>52</t>
  </si>
  <si>
    <t>放銃</t>
  </si>
  <si>
    <t>ロン</t>
  </si>
  <si>
    <t>T</t>
  </si>
  <si>
    <t>流局</t>
    <phoneticPr fontId="1"/>
  </si>
  <si>
    <t>やがさき</t>
    <phoneticPr fontId="1"/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</si>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</sst>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4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197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196</v>
      </c>
      <c r="Q4" s="9">
        <v>-10000</v>
      </c>
      <c r="R4" s="9"/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IF($J4="","",ROUND(($J4-$J$3)/1000,1)+(_xlfn.RANK.AVG($J4,($J4,$O4,$T4),1)-2)*20)</f>
        <v>-6</v>
      </c>
      <c r="V4" s="54">
        <f>IF($O4="","",ROUND(($O4-$O$3)/1000,1)+(_xlfn.RANK.AVG($O4,($J4,$O4,$T4),1)-2)*20)</f>
        <v>36</v>
      </c>
      <c r="W4" s="55">
        <f>IF($T4="","",ROUND(($T4-$T$3)/1000,1)+(_xlfn.RANK.AVG($T4,($J4,$O4,$T4),1)-2)*20)</f>
        <v>-30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9</v>
      </c>
      <c r="AY4" s="30" t="s">
        <v>198</v>
      </c>
      <c r="AZ4" s="40" t="s">
        <v>199</v>
      </c>
      <c r="BA4" s="41" t="s">
        <v>82</v>
      </c>
      <c r="BB4" s="41" t="s">
        <v>200</v>
      </c>
      <c r="BC4" s="41" t="s">
        <v>201</v>
      </c>
      <c r="BD4" s="41" t="s">
        <v>79</v>
      </c>
      <c r="BE4" s="41" t="s">
        <v>80</v>
      </c>
      <c r="BF4" s="41" t="s">
        <v>80</v>
      </c>
      <c r="BG4" s="41" t="s">
        <v>80</v>
      </c>
      <c r="BH4" s="41" t="s">
        <v>80</v>
      </c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202</v>
      </c>
      <c r="G5" s="9">
        <v>-8000</v>
      </c>
      <c r="H5" s="9">
        <v>-1000</v>
      </c>
      <c r="I5" s="48">
        <v>0</v>
      </c>
      <c r="J5" s="21">
        <f t="shared" ref="J5:J30" si="2">IF(COUNTA($F5,$K5,$P5)&gt;0,J4+SUM(G5:I5),"")</f>
        <v>20000</v>
      </c>
      <c r="K5" s="8" t="s">
        <v>203</v>
      </c>
      <c r="L5" s="9">
        <v>8000</v>
      </c>
      <c r="M5" s="9">
        <v>1000</v>
      </c>
      <c r="N5" s="48">
        <v>0</v>
      </c>
      <c r="O5" s="21">
        <f t="shared" ref="O5:O30" si="3">IF(COUNTA($F5,$K5,$P5)&gt;0,O4+SUM(L5:N5),"")</f>
        <v>60000</v>
      </c>
      <c r="P5" s="8"/>
      <c r="Q5" s="9"/>
      <c r="R5" s="9"/>
      <c r="S5" s="48"/>
      <c r="T5" s="21">
        <f t="shared" ref="T5:T30" si="4">IF(COUNTA($F5,$K5,$P5)&gt;0,T4+SUM(Q5:S5),"")</f>
        <v>25000</v>
      </c>
      <c r="U5" s="53">
        <f>IF($J5="","",ROUND(($J5-$J$3)/1000,1)+(_xlfn.RANK.AVG($J5,($J5,$O5,$T5),1)-2)*20)</f>
        <v>-35</v>
      </c>
      <c r="V5" s="54">
        <f>IF($O5="","",ROUND(($O5-$O$3)/1000,1)+(_xlfn.RANK.AVG($O5,($J5,$O5,$T5),1)-2)*20)</f>
        <v>45</v>
      </c>
      <c r="W5" s="55">
        <f>IF($T5="","",ROUND(($T5-$T$3)/1000,1)+(_xlfn.RANK.AVG($T5,($J5,$O5,$T5),1)-2)*20)</f>
        <v>-10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199</v>
      </c>
      <c r="BA5" s="41" t="s">
        <v>82</v>
      </c>
      <c r="BB5" s="41" t="s">
        <v>80</v>
      </c>
      <c r="BC5" s="41" t="s">
        <v>201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203</v>
      </c>
      <c r="G6" s="9">
        <v>12000</v>
      </c>
      <c r="H6" s="9"/>
      <c r="I6" s="48">
        <v>0</v>
      </c>
      <c r="J6" s="21">
        <f t="shared" si="2"/>
        <v>32000</v>
      </c>
      <c r="K6" s="8" t="s">
        <v>202</v>
      </c>
      <c r="L6" s="9">
        <v>-12000</v>
      </c>
      <c r="M6" s="9"/>
      <c r="N6" s="48">
        <v>0</v>
      </c>
      <c r="O6" s="21">
        <f t="shared" si="3"/>
        <v>48000</v>
      </c>
      <c r="P6" s="8"/>
      <c r="Q6" s="9"/>
      <c r="R6" s="9"/>
      <c r="S6" s="48"/>
      <c r="T6" s="21">
        <f t="shared" si="4"/>
        <v>25000</v>
      </c>
      <c r="U6" s="53">
        <f>IF($J6="","",ROUND(($J6-$J$3)/1000,1)+(_xlfn.RANK.AVG($J6,($J6,$O6,$T6),1)-2)*20)</f>
        <v>-3</v>
      </c>
      <c r="V6" s="54">
        <f>IF($O6="","",ROUND(($O6-$O$3)/1000,1)+(_xlfn.RANK.AVG($O6,($J6,$O6,$T6),1)-2)*20)</f>
        <v>33</v>
      </c>
      <c r="W6" s="55">
        <f>IF($T6="","",ROUND(($T6-$T$3)/1000,1)+(_xlfn.RANK.AVG($T6,($J6,$O6,$T6),1)-2)*20)</f>
        <v>-30</v>
      </c>
      <c r="Y6" s="8"/>
      <c r="Z6" s="34"/>
      <c r="AA6" s="26"/>
      <c r="AB6" s="26">
        <v>1</v>
      </c>
      <c r="AC6" s="26">
        <v>6</v>
      </c>
      <c r="AD6" s="30" t="s">
        <v>198</v>
      </c>
      <c r="AE6" s="40" t="s">
        <v>86</v>
      </c>
      <c r="AF6" s="41" t="s">
        <v>104</v>
      </c>
      <c r="AG6" s="41" t="s">
        <v>79</v>
      </c>
      <c r="AH6" s="41" t="s">
        <v>79</v>
      </c>
      <c r="AI6" s="41" t="s">
        <v>201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 t="s">
        <v>196</v>
      </c>
      <c r="G7" s="9">
        <v>-3900</v>
      </c>
      <c r="H7" s="9"/>
      <c r="I7" s="48">
        <v>0</v>
      </c>
      <c r="J7" s="21">
        <f t="shared" si="2"/>
        <v>28100</v>
      </c>
      <c r="K7" s="8" t="s">
        <v>196</v>
      </c>
      <c r="L7" s="9">
        <v>-3900</v>
      </c>
      <c r="M7" s="9"/>
      <c r="N7" s="48">
        <v>0</v>
      </c>
      <c r="O7" s="21">
        <f t="shared" si="3"/>
        <v>44100</v>
      </c>
      <c r="P7" s="8" t="s">
        <v>197</v>
      </c>
      <c r="Q7" s="9">
        <v>7800</v>
      </c>
      <c r="R7" s="9"/>
      <c r="S7" s="48">
        <v>0</v>
      </c>
      <c r="T7" s="21">
        <f t="shared" si="4"/>
        <v>32800</v>
      </c>
      <c r="U7" s="53">
        <f>IF($J7="","",ROUND(($J7-$J$3)/1000,1)+(_xlfn.RANK.AVG($J7,($J7,$O7,$T7),1)-2)*20)</f>
        <v>-26.9</v>
      </c>
      <c r="V7" s="54">
        <f>IF($O7="","",ROUND(($O7-$O$3)/1000,1)+(_xlfn.RANK.AVG($O7,($J7,$O7,$T7),1)-2)*20)</f>
        <v>29.1</v>
      </c>
      <c r="W7" s="55">
        <f>IF($T7="","",ROUND(($T7-$T$3)/1000,1)+(_xlfn.RANK.AVG($T7,($J7,$O7,$T7),1)-2)*20)</f>
        <v>-2.2000000000000002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199</v>
      </c>
      <c r="BV7" s="41" t="s">
        <v>82</v>
      </c>
      <c r="BW7" s="41" t="s">
        <v>83</v>
      </c>
      <c r="BX7" s="41" t="s">
        <v>201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IF($P$1="","",$P$1)</f>
        <v>りくと</v>
      </c>
      <c r="F8" s="8"/>
      <c r="G8" s="9"/>
      <c r="H8" s="9"/>
      <c r="I8" s="48"/>
      <c r="J8" s="21">
        <f t="shared" si="2"/>
        <v>28100</v>
      </c>
      <c r="K8" s="8" t="s">
        <v>202</v>
      </c>
      <c r="L8" s="9">
        <v>-5800</v>
      </c>
      <c r="M8" s="9"/>
      <c r="N8" s="48">
        <v>-1000</v>
      </c>
      <c r="O8" s="21">
        <f t="shared" si="3"/>
        <v>37300</v>
      </c>
      <c r="P8" s="8" t="s">
        <v>203</v>
      </c>
      <c r="Q8" s="9">
        <v>5800</v>
      </c>
      <c r="R8" s="9"/>
      <c r="S8" s="48">
        <v>1000</v>
      </c>
      <c r="T8" s="21">
        <f t="shared" si="4"/>
        <v>39600</v>
      </c>
      <c r="U8" s="53">
        <f>IF($J8="","",ROUND(($J8-$J$3)/1000,1)+(_xlfn.RANK.AVG($J8,($J8,$O8,$T8),1)-2)*20)</f>
        <v>-26.9</v>
      </c>
      <c r="V8" s="54">
        <f>IF($O8="","",ROUND(($O8-$O$3)/1000,1)+(_xlfn.RANK.AVG($O8,($J8,$O8,$T8),1)-2)*20)</f>
        <v>2.2999999999999998</v>
      </c>
      <c r="W8" s="55">
        <f>IF($T8="","",ROUND(($T8-$T$3)/1000,1)+(_xlfn.RANK.AVG($T8,($J8,$O8,$T8),1)-2)*20)</f>
        <v>24.6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30</v>
      </c>
      <c r="BU8" s="40" t="s">
        <v>83</v>
      </c>
      <c r="BV8" s="41" t="s">
        <v>84</v>
      </c>
      <c r="BW8" s="41" t="s">
        <v>201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IF($P$1="","",$P$1)</f>
        <v>りくと</v>
      </c>
      <c r="F9" s="8" t="s">
        <v>196</v>
      </c>
      <c r="G9" s="9">
        <v>-5800</v>
      </c>
      <c r="H9" s="9"/>
      <c r="I9" s="48">
        <v>-1000</v>
      </c>
      <c r="J9" s="21">
        <f t="shared" si="2"/>
        <v>21300</v>
      </c>
      <c r="K9" s="8" t="s">
        <v>196</v>
      </c>
      <c r="L9" s="9">
        <v>-5800</v>
      </c>
      <c r="M9" s="9"/>
      <c r="N9" s="48">
        <v>-1000</v>
      </c>
      <c r="O9" s="21">
        <f t="shared" si="3"/>
        <v>30500</v>
      </c>
      <c r="P9" s="8" t="s">
        <v>197</v>
      </c>
      <c r="Q9" s="9">
        <v>11600</v>
      </c>
      <c r="R9" s="9"/>
      <c r="S9" s="48">
        <v>2000</v>
      </c>
      <c r="T9" s="21">
        <f t="shared" si="4"/>
        <v>53200</v>
      </c>
      <c r="U9" s="53">
        <f>IF($J9="","",ROUND(($J9-$J$3)/1000,1)+(_xlfn.RANK.AVG($J9,($J9,$O9,$T9),1)-2)*20)</f>
        <v>-33.700000000000003</v>
      </c>
      <c r="V9" s="54">
        <f>IF($O9="","",ROUND(($O9-$O$3)/1000,1)+(_xlfn.RANK.AVG($O9,($J9,$O9,$T9),1)-2)*20)</f>
        <v>-4.5</v>
      </c>
      <c r="W9" s="55">
        <f>IF($T9="","",ROUND(($T9-$T$3)/1000,1)+(_xlfn.RANK.AVG($T9,($J9,$O9,$T9),1)-2)*20)</f>
        <v>38.200000000000003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199</v>
      </c>
      <c r="BV9" s="41" t="s">
        <v>82</v>
      </c>
      <c r="BW9" s="41" t="s">
        <v>80</v>
      </c>
      <c r="BX9" s="41" t="s">
        <v>201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tr">
        <f>IF($P$1="","",$P$1)</f>
        <v>りくと</v>
      </c>
      <c r="F10" s="8"/>
      <c r="G10" s="9"/>
      <c r="H10" s="9"/>
      <c r="I10" s="48"/>
      <c r="J10" s="21">
        <f t="shared" si="2"/>
        <v>21300</v>
      </c>
      <c r="K10" s="8" t="s">
        <v>203</v>
      </c>
      <c r="L10" s="9">
        <v>2600</v>
      </c>
      <c r="M10" s="9"/>
      <c r="N10" s="48">
        <v>3000</v>
      </c>
      <c r="O10" s="21">
        <f t="shared" si="3"/>
        <v>36100</v>
      </c>
      <c r="P10" s="8" t="s">
        <v>202</v>
      </c>
      <c r="Q10" s="9">
        <v>-2600</v>
      </c>
      <c r="R10" s="9"/>
      <c r="S10" s="48">
        <v>-3000</v>
      </c>
      <c r="T10" s="21">
        <f t="shared" si="4"/>
        <v>47600</v>
      </c>
      <c r="U10" s="53">
        <f>IF($J10="","",ROUND(($J10-$J$3)/1000,1)+(_xlfn.RANK.AVG($J10,($J10,$O10,$T10),1)-2)*20)</f>
        <v>-33.700000000000003</v>
      </c>
      <c r="V10" s="54">
        <f>IF($O10="","",ROUND(($O10-$O$3)/1000,1)+(_xlfn.RANK.AVG($O10,($J10,$O10,$T10),1)-2)*20)</f>
        <v>1.1000000000000001</v>
      </c>
      <c r="W10" s="55">
        <f>IF($T10="","",ROUND(($T10-$T$3)/1000,1)+(_xlfn.RANK.AVG($T10,($J10,$O10,$T10),1)-2)*20)</f>
        <v>32.6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40</v>
      </c>
      <c r="AZ10" s="40" t="s">
        <v>84</v>
      </c>
      <c r="BA10" s="41" t="s">
        <v>201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ただ</v>
      </c>
      <c r="F11" s="8" t="s">
        <v>196</v>
      </c>
      <c r="G11" s="9">
        <v>-1300</v>
      </c>
      <c r="H11" s="9"/>
      <c r="I11" s="48">
        <v>0</v>
      </c>
      <c r="J11" s="21">
        <f t="shared" si="2"/>
        <v>20000</v>
      </c>
      <c r="K11" s="8" t="s">
        <v>196</v>
      </c>
      <c r="L11" s="9">
        <v>-800</v>
      </c>
      <c r="M11" s="9"/>
      <c r="N11" s="48">
        <v>0</v>
      </c>
      <c r="O11" s="21">
        <f t="shared" si="3"/>
        <v>35300</v>
      </c>
      <c r="P11" s="8" t="s">
        <v>197</v>
      </c>
      <c r="Q11" s="9">
        <v>2100</v>
      </c>
      <c r="R11" s="9"/>
      <c r="S11" s="48">
        <v>0</v>
      </c>
      <c r="T11" s="21">
        <f t="shared" si="4"/>
        <v>49700</v>
      </c>
      <c r="U11" s="53">
        <f>IF($J11="","",ROUND(($J11-$J$3)/1000,1)+(_xlfn.RANK.AVG($J11,($J11,$O11,$T11),1)-2)*20)</f>
        <v>-35</v>
      </c>
      <c r="V11" s="54">
        <f>IF($O11="","",ROUND(($O11-$O$3)/1000,1)+(_xlfn.RANK.AVG($O11,($J11,$O11,$T11),1)-2)*20)</f>
        <v>0.3</v>
      </c>
      <c r="W11" s="55">
        <f>IF($T11="","",ROUND(($T11-$T$3)/1000,1)+(_xlfn.RANK.AVG($T11,($J11,$O11,$T11),1)-2)*20)</f>
        <v>34.700000000000003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30</v>
      </c>
      <c r="BU11" s="40" t="s">
        <v>199</v>
      </c>
      <c r="BV11" s="41" t="s">
        <v>82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IF($K$1="","",$K$1)</f>
        <v>だいち</v>
      </c>
      <c r="F12" s="8" t="s">
        <v>197</v>
      </c>
      <c r="G12" s="9">
        <v>4000</v>
      </c>
      <c r="H12" s="9"/>
      <c r="I12" s="48">
        <v>0</v>
      </c>
      <c r="J12" s="21">
        <f t="shared" si="2"/>
        <v>24000</v>
      </c>
      <c r="K12" s="8" t="s">
        <v>196</v>
      </c>
      <c r="L12" s="9">
        <v>-2500</v>
      </c>
      <c r="M12" s="9"/>
      <c r="N12" s="48">
        <v>0</v>
      </c>
      <c r="O12" s="21">
        <f t="shared" si="3"/>
        <v>32800</v>
      </c>
      <c r="P12" s="8" t="s">
        <v>196</v>
      </c>
      <c r="Q12" s="9">
        <v>-1500</v>
      </c>
      <c r="R12" s="9"/>
      <c r="S12" s="48">
        <v>0</v>
      </c>
      <c r="T12" s="21">
        <f t="shared" si="4"/>
        <v>48200</v>
      </c>
      <c r="U12" s="53">
        <f>IF($J12="","",ROUND(($J12-$J$3)/1000,1)+(_xlfn.RANK.AVG($J12,($J12,$O12,$T12),1)-2)*20)</f>
        <v>-31</v>
      </c>
      <c r="V12" s="54">
        <f>IF($O12="","",ROUND(($O12-$O$3)/1000,1)+(_xlfn.RANK.AVG($O12,($J12,$O12,$T12),1)-2)*20)</f>
        <v>-2.2000000000000002</v>
      </c>
      <c r="W12" s="55">
        <f>IF($T12="","",ROUND(($T12-$T$3)/1000,1)+(_xlfn.RANK.AVG($T12,($J12,$O12,$T12),1)-2)*20)</f>
        <v>33.200000000000003</v>
      </c>
      <c r="Y12" s="8"/>
      <c r="Z12" s="34"/>
      <c r="AA12" s="26"/>
      <c r="AB12" s="26">
        <v>1</v>
      </c>
      <c r="AC12" s="26">
        <v>3</v>
      </c>
      <c r="AD12" s="30">
        <v>30</v>
      </c>
      <c r="AE12" s="40" t="s">
        <v>104</v>
      </c>
      <c r="AF12" s="41" t="s">
        <v>86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D51352D-3E6C-4D55-9B36-5B72EFDBBCF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66DDE-7794-49CF-B720-3339A48A93F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196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196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-16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40</v>
      </c>
      <c r="AZ4" s="40" t="s">
        <v>86</v>
      </c>
      <c r="BA4" s="41" t="s">
        <v>86</v>
      </c>
      <c r="BB4" s="41" t="s">
        <v>79</v>
      </c>
      <c r="BC4" s="41" t="s">
        <v>86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197</v>
      </c>
      <c r="G5" s="9">
        <v>7700</v>
      </c>
      <c r="H5" s="9"/>
      <c r="I5" s="48">
        <v>1000</v>
      </c>
      <c r="J5" s="21">
        <f t="shared" ref="J5:J30" si="2">IF(COUNTA($F5,$K5,$P5)&gt;0,J4+SUM(G5:I5),"")</f>
        <v>37700</v>
      </c>
      <c r="K5" s="8" t="s">
        <v>196</v>
      </c>
      <c r="L5" s="9">
        <v>-4800</v>
      </c>
      <c r="M5" s="9"/>
      <c r="N5" s="48">
        <v>-500</v>
      </c>
      <c r="O5" s="21">
        <f t="shared" ref="O5:O30" si="3">IF(COUNTA($F5,$K5,$P5)&gt;0,O4+SUM(L5:N5),"")</f>
        <v>41700</v>
      </c>
      <c r="P5" s="8" t="s">
        <v>196</v>
      </c>
      <c r="Q5" s="9">
        <v>-2900</v>
      </c>
      <c r="R5" s="9"/>
      <c r="S5" s="48">
        <v>-500</v>
      </c>
      <c r="T5" s="21">
        <f t="shared" ref="T5:T30" si="4">IF(COUNTA($F5,$K5,$P5)&gt;0,T4+SUM(Q5:S5),"")</f>
        <v>25600</v>
      </c>
      <c r="U5" s="53">
        <f>IF($J5="","",ROUND(($J5-$J$3)/1000,1)+(_xlfn.RANK.AVG($J5,($J5,$O5,$T5),1)-2)*20)</f>
        <v>2.7</v>
      </c>
      <c r="V5" s="54">
        <f>IF($O5="","",ROUND(($O5-$O$3)/1000,1)+(_xlfn.RANK.AVG($O5,($J5,$O5,$T5),1)-2)*20)</f>
        <v>26.7</v>
      </c>
      <c r="W5" s="55">
        <f>IF($T5="","",ROUND(($T5-$T$3)/1000,1)+(_xlfn.RANK.AVG($T5,($J5,$O5,$T5),1)-2)*20)</f>
        <v>-29.4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199</v>
      </c>
      <c r="AF5" s="41" t="s">
        <v>82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205</v>
      </c>
      <c r="G6" s="9">
        <v>0</v>
      </c>
      <c r="H6" s="9"/>
      <c r="I6" s="48"/>
      <c r="J6" s="21">
        <f t="shared" si="2"/>
        <v>37700</v>
      </c>
      <c r="K6" s="8" t="s">
        <v>205</v>
      </c>
      <c r="L6" s="9">
        <v>0</v>
      </c>
      <c r="M6" s="9"/>
      <c r="N6" s="48"/>
      <c r="O6" s="21">
        <f t="shared" si="3"/>
        <v>41700</v>
      </c>
      <c r="P6" s="8" t="s">
        <v>205</v>
      </c>
      <c r="Q6" s="9">
        <v>0</v>
      </c>
      <c r="R6" s="9">
        <v>-1000</v>
      </c>
      <c r="S6" s="48"/>
      <c r="T6" s="21">
        <f t="shared" si="4"/>
        <v>24600</v>
      </c>
      <c r="U6" s="53">
        <f>IF($J6="","",ROUND(($J6-$J$3)/1000,1)+(_xlfn.RANK.AVG($J6,($J6,$O6,$T6),1)-2)*20)</f>
        <v>2.7</v>
      </c>
      <c r="V6" s="54">
        <f>IF($O6="","",ROUND(($O6-$O$3)/1000,1)+(_xlfn.RANK.AVG($O6,($J6,$O6,$T6),1)-2)*20)</f>
        <v>26.7</v>
      </c>
      <c r="W6" s="55">
        <f>IF($T6="","",ROUND(($T6-$T$3)/1000,1)+(_xlfn.RANK.AVG($T6,($J6,$O6,$T6),1)-2)*20)</f>
        <v>-30.4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1</v>
      </c>
      <c r="E7" s="4" t="str">
        <f>IF($P$1="","",$P$1)</f>
        <v>りくと</v>
      </c>
      <c r="F7" s="8"/>
      <c r="G7" s="9"/>
      <c r="H7" s="9"/>
      <c r="I7" s="48"/>
      <c r="J7" s="21">
        <f t="shared" si="2"/>
        <v>37700</v>
      </c>
      <c r="K7" s="8" t="s">
        <v>202</v>
      </c>
      <c r="L7" s="9">
        <v>-2900</v>
      </c>
      <c r="M7" s="9"/>
      <c r="N7" s="48">
        <v>-1000</v>
      </c>
      <c r="O7" s="21">
        <f t="shared" si="3"/>
        <v>37800</v>
      </c>
      <c r="P7" s="8" t="s">
        <v>203</v>
      </c>
      <c r="Q7" s="9">
        <v>2900</v>
      </c>
      <c r="R7" s="9">
        <v>1000</v>
      </c>
      <c r="S7" s="48">
        <v>1000</v>
      </c>
      <c r="T7" s="21">
        <f t="shared" si="4"/>
        <v>29500</v>
      </c>
      <c r="U7" s="53">
        <f>IF($J7="","",ROUND(($J7-$J$3)/1000,1)+(_xlfn.RANK.AVG($J7,($J7,$O7,$T7),1)-2)*20)</f>
        <v>2.7</v>
      </c>
      <c r="V7" s="54">
        <f>IF($O7="","",ROUND(($O7-$O$3)/1000,1)+(_xlfn.RANK.AVG($O7,($J7,$O7,$T7),1)-2)*20)</f>
        <v>22.8</v>
      </c>
      <c r="W7" s="55">
        <f>IF($T7="","",ROUND(($T7-$T$3)/1000,1)+(_xlfn.RANK.AVG($T7,($J7,$O7,$T7),1)-2)*20)</f>
        <v>-25.5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79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IF($P$1="","",$P$1)</f>
        <v>りくと</v>
      </c>
      <c r="F8" s="8" t="s">
        <v>197</v>
      </c>
      <c r="G8" s="9">
        <v>4000</v>
      </c>
      <c r="H8" s="9"/>
      <c r="I8" s="48">
        <v>2000</v>
      </c>
      <c r="J8" s="21">
        <f t="shared" si="2"/>
        <v>43700</v>
      </c>
      <c r="K8" s="8" t="s">
        <v>196</v>
      </c>
      <c r="L8" s="9">
        <v>-1500</v>
      </c>
      <c r="M8" s="9"/>
      <c r="N8" s="48">
        <v>-1000</v>
      </c>
      <c r="O8" s="21">
        <f t="shared" si="3"/>
        <v>35300</v>
      </c>
      <c r="P8" s="8" t="s">
        <v>196</v>
      </c>
      <c r="Q8" s="9">
        <v>-2500</v>
      </c>
      <c r="R8" s="9"/>
      <c r="S8" s="48">
        <v>-1000</v>
      </c>
      <c r="T8" s="21">
        <f t="shared" si="4"/>
        <v>26000</v>
      </c>
      <c r="U8" s="53">
        <f>IF($J8="","",ROUND(($J8-$J$3)/1000,1)+(_xlfn.RANK.AVG($J8,($J8,$O8,$T8),1)-2)*20)</f>
        <v>28.7</v>
      </c>
      <c r="V8" s="54">
        <f>IF($O8="","",ROUND(($O8-$O$3)/1000,1)+(_xlfn.RANK.AVG($O8,($J8,$O8,$T8),1)-2)*20)</f>
        <v>0.3</v>
      </c>
      <c r="W8" s="55">
        <f>IF($T8="","",ROUND(($T8-$T$3)/1000,1)+(_xlfn.RANK.AVG($T8,($J8,$O8,$T8),1)-2)*20)</f>
        <v>-29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199</v>
      </c>
      <c r="AF8" s="41" t="s">
        <v>82</v>
      </c>
      <c r="AG8" s="41" t="s">
        <v>84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IF($F$1="","",$F$1)</f>
        <v>ただ</v>
      </c>
      <c r="F9" s="8" t="s">
        <v>202</v>
      </c>
      <c r="G9" s="9">
        <v>-5200</v>
      </c>
      <c r="H9" s="9"/>
      <c r="I9" s="48">
        <v>0</v>
      </c>
      <c r="J9" s="21">
        <f t="shared" si="2"/>
        <v>38500</v>
      </c>
      <c r="K9" s="8" t="s">
        <v>203</v>
      </c>
      <c r="L9" s="9">
        <v>5200</v>
      </c>
      <c r="M9" s="9"/>
      <c r="N9" s="48">
        <v>0</v>
      </c>
      <c r="O9" s="21">
        <f t="shared" si="3"/>
        <v>40500</v>
      </c>
      <c r="P9" s="8"/>
      <c r="Q9" s="9"/>
      <c r="R9" s="9"/>
      <c r="S9" s="48"/>
      <c r="T9" s="21">
        <f t="shared" si="4"/>
        <v>26000</v>
      </c>
      <c r="U9" s="53">
        <f>IF($J9="","",ROUND(($J9-$J$3)/1000,1)+(_xlfn.RANK.AVG($J9,($J9,$O9,$T9),1)-2)*20)</f>
        <v>3.5</v>
      </c>
      <c r="V9" s="54">
        <f>IF($O9="","",ROUND(($O9-$O$3)/1000,1)+(_xlfn.RANK.AVG($O9,($J9,$O9,$T9),1)-2)*20)</f>
        <v>25.5</v>
      </c>
      <c r="W9" s="55">
        <f>IF($T9="","",ROUND(($T9-$T$3)/1000,1)+(_xlfn.RANK.AVG($T9,($J9,$O9,$T9),1)-2)*20)</f>
        <v>-29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199</v>
      </c>
      <c r="BA9" s="41" t="s">
        <v>92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196</v>
      </c>
      <c r="G10" s="9">
        <v>-6000</v>
      </c>
      <c r="H10" s="9"/>
      <c r="I10" s="48">
        <v>0</v>
      </c>
      <c r="J10" s="21">
        <f t="shared" si="2"/>
        <v>32500</v>
      </c>
      <c r="K10" s="8" t="s">
        <v>197</v>
      </c>
      <c r="L10" s="9">
        <v>12000</v>
      </c>
      <c r="M10" s="9"/>
      <c r="N10" s="48">
        <v>0</v>
      </c>
      <c r="O10" s="21">
        <f t="shared" si="3"/>
        <v>52500</v>
      </c>
      <c r="P10" s="8" t="s">
        <v>196</v>
      </c>
      <c r="Q10" s="9">
        <v>-6000</v>
      </c>
      <c r="R10" s="9"/>
      <c r="S10" s="48">
        <v>0</v>
      </c>
      <c r="T10" s="21">
        <f t="shared" si="4"/>
        <v>20000</v>
      </c>
      <c r="U10" s="53">
        <f>IF($J10="","",ROUND(($J10-$J$3)/1000,1)+(_xlfn.RANK.AVG($J10,($J10,$O10,$T10),1)-2)*20)</f>
        <v>-2.5</v>
      </c>
      <c r="V10" s="54">
        <f>IF($O10="","",ROUND(($O10-$O$3)/1000,1)+(_xlfn.RANK.AVG($O10,($J10,$O10,$T10),1)-2)*20)</f>
        <v>37.5</v>
      </c>
      <c r="W10" s="55">
        <f>IF($T10="","",ROUND(($T10-$T$3)/1000,1)+(_xlfn.RANK.AVG($T10,($J10,$O10,$T10),1)-2)*20)</f>
        <v>-35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198</v>
      </c>
      <c r="AZ10" s="40" t="s">
        <v>86</v>
      </c>
      <c r="BA10" s="41" t="s">
        <v>104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IF($K$1="","",$K$1)</f>
        <v>だいち</v>
      </c>
      <c r="F11" s="8" t="s">
        <v>196</v>
      </c>
      <c r="G11" s="9">
        <v>-6000</v>
      </c>
      <c r="H11" s="9"/>
      <c r="I11" s="48">
        <v>-500</v>
      </c>
      <c r="J11" s="21">
        <f t="shared" si="2"/>
        <v>26000</v>
      </c>
      <c r="K11" s="8" t="s">
        <v>197</v>
      </c>
      <c r="L11" s="9">
        <v>12000</v>
      </c>
      <c r="M11" s="9"/>
      <c r="N11" s="48">
        <v>1000</v>
      </c>
      <c r="O11" s="21">
        <f t="shared" si="3"/>
        <v>65500</v>
      </c>
      <c r="P11" s="8" t="s">
        <v>196</v>
      </c>
      <c r="Q11" s="9">
        <v>-6000</v>
      </c>
      <c r="R11" s="9"/>
      <c r="S11" s="48">
        <v>-500</v>
      </c>
      <c r="T11" s="21">
        <f t="shared" si="4"/>
        <v>13500</v>
      </c>
      <c r="U11" s="53">
        <f>IF($J11="","",ROUND(($J11-$J$3)/1000,1)+(_xlfn.RANK.AVG($J11,($J11,$O11,$T11),1)-2)*20)</f>
        <v>-9</v>
      </c>
      <c r="V11" s="54">
        <f>IF($O11="","",ROUND(($O11-$O$3)/1000,1)+(_xlfn.RANK.AVG($O11,($J11,$O11,$T11),1)-2)*20)</f>
        <v>50.5</v>
      </c>
      <c r="W11" s="55">
        <f>IF($T11="","",ROUND(($T11-$T$3)/1000,1)+(_xlfn.RANK.AVG($T11,($J11,$O11,$T11),1)-2)*20)</f>
        <v>-41.5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40</v>
      </c>
      <c r="AZ11" s="40" t="s">
        <v>199</v>
      </c>
      <c r="BA11" s="41" t="s">
        <v>82</v>
      </c>
      <c r="BB11" s="41" t="s">
        <v>200</v>
      </c>
      <c r="BC11" s="41" t="s">
        <v>86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tr">
        <f>IF($K$1="","",$K$1)</f>
        <v>だいち</v>
      </c>
      <c r="F12" s="8" t="s">
        <v>202</v>
      </c>
      <c r="G12" s="9">
        <v>-7700</v>
      </c>
      <c r="H12" s="9"/>
      <c r="I12" s="48">
        <v>-2000</v>
      </c>
      <c r="J12" s="21">
        <f t="shared" si="2"/>
        <v>16300</v>
      </c>
      <c r="K12" s="8" t="s">
        <v>203</v>
      </c>
      <c r="L12" s="9">
        <v>7700</v>
      </c>
      <c r="M12" s="9"/>
      <c r="N12" s="48">
        <v>2000</v>
      </c>
      <c r="O12" s="21">
        <f t="shared" si="3"/>
        <v>75200</v>
      </c>
      <c r="P12" s="8"/>
      <c r="Q12" s="9"/>
      <c r="R12" s="9"/>
      <c r="S12" s="48"/>
      <c r="T12" s="21">
        <f t="shared" si="4"/>
        <v>13500</v>
      </c>
      <c r="U12" s="53">
        <f>IF($J12="","",ROUND(($J12-$J$3)/1000,1)+(_xlfn.RANK.AVG($J12,($J12,$O12,$T12),1)-2)*20)</f>
        <v>-18.7</v>
      </c>
      <c r="V12" s="54">
        <f>IF($O12="","",ROUND(($O12-$O$3)/1000,1)+(_xlfn.RANK.AVG($O12,($J12,$O12,$T12),1)-2)*20)</f>
        <v>60.2</v>
      </c>
      <c r="W12" s="55">
        <f>IF($T12="","",ROUND(($T12-$T$3)/1000,1)+(_xlfn.RANK.AVG($T12,($J12,$O12,$T12),1)-2)*20)</f>
        <v>-41.5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199</v>
      </c>
      <c r="BA12" s="41" t="s">
        <v>86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3</v>
      </c>
      <c r="D13" s="18">
        <f t="shared" si="1"/>
        <v>0</v>
      </c>
      <c r="E13" s="4" t="str">
        <f>IF($K$1="","",$K$1)</f>
        <v>だいち</v>
      </c>
      <c r="F13" s="8" t="s">
        <v>196</v>
      </c>
      <c r="G13" s="9">
        <v>-3000</v>
      </c>
      <c r="H13" s="9"/>
      <c r="I13" s="48">
        <v>-1500</v>
      </c>
      <c r="J13" s="21">
        <f t="shared" si="2"/>
        <v>11800</v>
      </c>
      <c r="K13" s="8" t="s">
        <v>196</v>
      </c>
      <c r="L13" s="9">
        <v>-5000</v>
      </c>
      <c r="M13" s="9"/>
      <c r="N13" s="48">
        <v>-1500</v>
      </c>
      <c r="O13" s="21">
        <f t="shared" si="3"/>
        <v>68700</v>
      </c>
      <c r="P13" s="8" t="s">
        <v>197</v>
      </c>
      <c r="Q13" s="9">
        <v>8000</v>
      </c>
      <c r="R13" s="9"/>
      <c r="S13" s="48">
        <v>3000</v>
      </c>
      <c r="T13" s="21">
        <f t="shared" si="4"/>
        <v>24500</v>
      </c>
      <c r="U13" s="53">
        <f>IF($J13="","",ROUND(($J13-$J$3)/1000,1)+(_xlfn.RANK.AVG($J13,($J13,$O13,$T13),1)-2)*20)</f>
        <v>-43.2</v>
      </c>
      <c r="V13" s="54">
        <f>IF($O13="","",ROUND(($O13-$O$3)/1000,1)+(_xlfn.RANK.AVG($O13,($J13,$O13,$T13),1)-2)*20)</f>
        <v>53.7</v>
      </c>
      <c r="W13" s="55">
        <f>IF($T13="","",ROUND(($T13-$T$3)/1000,1)+(_xlfn.RANK.AVG($T13,($J13,$O13,$T13),1)-2)*20)</f>
        <v>-10.5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5</v>
      </c>
      <c r="BT13" s="30" t="s">
        <v>198</v>
      </c>
      <c r="BU13" s="40" t="s">
        <v>86</v>
      </c>
      <c r="BV13" s="41" t="s">
        <v>98</v>
      </c>
      <c r="BW13" s="41" t="s">
        <v>96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tr">
        <f>IF($P$1="","",$P$1)</f>
        <v>りくと</v>
      </c>
      <c r="F14" s="8" t="s">
        <v>203</v>
      </c>
      <c r="G14" s="9">
        <v>24000</v>
      </c>
      <c r="H14" s="9"/>
      <c r="I14" s="48">
        <v>0</v>
      </c>
      <c r="J14" s="21">
        <f t="shared" si="2"/>
        <v>35800</v>
      </c>
      <c r="K14" s="8"/>
      <c r="L14" s="9"/>
      <c r="M14" s="9"/>
      <c r="N14" s="48"/>
      <c r="O14" s="21">
        <f t="shared" si="3"/>
        <v>68700</v>
      </c>
      <c r="P14" s="8" t="s">
        <v>202</v>
      </c>
      <c r="Q14" s="9">
        <v>-24000</v>
      </c>
      <c r="R14" s="9"/>
      <c r="S14" s="48">
        <v>0</v>
      </c>
      <c r="T14" s="21">
        <f t="shared" si="4"/>
        <v>500</v>
      </c>
      <c r="U14" s="53">
        <f>IF($J14="","",ROUND(($J14-$J$3)/1000,1)+(_xlfn.RANK.AVG($J14,($J14,$O14,$T14),1)-2)*20)</f>
        <v>0.8</v>
      </c>
      <c r="V14" s="54">
        <f>IF($O14="","",ROUND(($O14-$O$3)/1000,1)+(_xlfn.RANK.AVG($O14,($J14,$O14,$T14),1)-2)*20)</f>
        <v>53.7</v>
      </c>
      <c r="W14" s="55">
        <f>IF($T14="","",ROUND(($T14-$T$3)/1000,1)+(_xlfn.RANK.AVG($T14,($J14,$O14,$T14),1)-2)*20)</f>
        <v>-54.5</v>
      </c>
      <c r="Y14" s="8"/>
      <c r="Z14" s="34"/>
      <c r="AA14" s="26">
        <v>1</v>
      </c>
      <c r="AB14" s="26"/>
      <c r="AC14" s="26">
        <v>11</v>
      </c>
      <c r="AD14" s="30" t="s">
        <v>198</v>
      </c>
      <c r="AE14" s="40" t="s">
        <v>199</v>
      </c>
      <c r="AF14" s="41" t="s">
        <v>88</v>
      </c>
      <c r="AG14" s="41" t="s">
        <v>86</v>
      </c>
      <c r="AH14" s="41" t="s">
        <v>79</v>
      </c>
      <c r="AI14" s="41" t="s">
        <v>79</v>
      </c>
      <c r="AJ14" s="41" t="s">
        <v>79</v>
      </c>
      <c r="AK14" s="41" t="s">
        <v>201</v>
      </c>
      <c r="AL14" s="41" t="s">
        <v>96</v>
      </c>
      <c r="AM14" s="41" t="s">
        <v>98</v>
      </c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IF($F$1="","",$F$1)</f>
        <v>ただ</v>
      </c>
      <c r="F15" s="8" t="s">
        <v>197</v>
      </c>
      <c r="G15" s="9">
        <v>18000</v>
      </c>
      <c r="H15" s="9"/>
      <c r="I15" s="48">
        <v>0</v>
      </c>
      <c r="J15" s="21">
        <f t="shared" si="2"/>
        <v>53800</v>
      </c>
      <c r="K15" s="8" t="s">
        <v>196</v>
      </c>
      <c r="L15" s="9">
        <v>-9000</v>
      </c>
      <c r="M15" s="9"/>
      <c r="N15" s="48">
        <v>0</v>
      </c>
      <c r="O15" s="21">
        <f t="shared" si="3"/>
        <v>59700</v>
      </c>
      <c r="P15" s="8" t="s">
        <v>196</v>
      </c>
      <c r="Q15" s="9">
        <v>-9000</v>
      </c>
      <c r="R15" s="9"/>
      <c r="S15" s="48">
        <v>0</v>
      </c>
      <c r="T15" s="21">
        <f t="shared" si="4"/>
        <v>-8500</v>
      </c>
      <c r="U15" s="53">
        <f>IF($J15="","",ROUND(($J15-$J$3)/1000,1)+(_xlfn.RANK.AVG($J15,($J15,$O15,$T15),1)-2)*20)</f>
        <v>18.8</v>
      </c>
      <c r="V15" s="54">
        <f>IF($O15="","",ROUND(($O15-$O$3)/1000,1)+(_xlfn.RANK.AVG($O15,($J15,$O15,$T15),1)-2)*20)</f>
        <v>44.7</v>
      </c>
      <c r="W15" s="55">
        <f>IF($T15="","",ROUND(($T15-$T$3)/1000,1)+(_xlfn.RANK.AVG($T15,($J15,$O15,$T15),1)-2)*20)</f>
        <v>-63.5</v>
      </c>
      <c r="Y15" s="8"/>
      <c r="Z15" s="34"/>
      <c r="AA15" s="26">
        <v>1</v>
      </c>
      <c r="AB15" s="26"/>
      <c r="AC15" s="26">
        <v>6</v>
      </c>
      <c r="AD15" s="30" t="s">
        <v>198</v>
      </c>
      <c r="AE15" s="40" t="s">
        <v>199</v>
      </c>
      <c r="AF15" s="41" t="s">
        <v>82</v>
      </c>
      <c r="AG15" s="41" t="s">
        <v>85</v>
      </c>
      <c r="AH15" s="41" t="s">
        <v>79</v>
      </c>
      <c r="AI15" s="41" t="s">
        <v>201</v>
      </c>
      <c r="AJ15" s="41" t="s">
        <v>201</v>
      </c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20F65339-8AEB-4829-9B61-6EE8AACDA8D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30D7230B-8706-438F-A616-85061CEB40B1}">
      <formula1>"ロン,ツモ,放銃,ツモ支払,流局,チョンボ"</formula1>
    </dataValidation>
    <dataValidation type="list" allowBlank="1" showInputMessage="1" showErrorMessage="1" sqref="E4:E30" xr:uid="{9295F94A-329C-45DD-AF9B-36CC35CFB86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5D916-98CD-4EB9-BF1F-ED12EA797FB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206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やがさき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やがさき</v>
      </c>
      <c r="V2" s="69" t="str">
        <f>$K$1</f>
        <v>だいち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203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202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-27.7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199</v>
      </c>
      <c r="BA4" s="41" t="s">
        <v>79</v>
      </c>
      <c r="BB4" s="41" t="s">
        <v>201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203</v>
      </c>
      <c r="L5" s="9">
        <v>18000</v>
      </c>
      <c r="M5" s="9"/>
      <c r="N5" s="48">
        <v>1000</v>
      </c>
      <c r="O5" s="21">
        <f t="shared" ref="O5:O30" si="3">IF(COUNTA($F5,$K5,$P5)&gt;0,O4+SUM(L5:N5),"")</f>
        <v>61700</v>
      </c>
      <c r="P5" s="8" t="s">
        <v>202</v>
      </c>
      <c r="Q5" s="9">
        <v>-18000</v>
      </c>
      <c r="R5" s="9"/>
      <c r="S5" s="48">
        <v>-1000</v>
      </c>
      <c r="T5" s="21">
        <f t="shared" ref="T5:T30" si="4">IF(COUNTA($F5,$K5,$P5)&gt;0,T4+SUM(Q5:S5),"")</f>
        <v>8300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46.7</v>
      </c>
      <c r="W5" s="55">
        <f>IF($T5="","",ROUND(($T5-$T$3)/1000,1)+(_xlfn.RANK.AVG($T5,($J5,$O5,$T5),1)-2)*20)</f>
        <v>-46.7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6</v>
      </c>
      <c r="AY5" s="30" t="s">
        <v>198</v>
      </c>
      <c r="AZ5" s="40" t="s">
        <v>104</v>
      </c>
      <c r="BA5" s="41" t="s">
        <v>201</v>
      </c>
      <c r="BB5" s="41" t="s">
        <v>80</v>
      </c>
      <c r="BC5" s="41" t="s">
        <v>86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だいち</v>
      </c>
      <c r="F6" s="8" t="s">
        <v>205</v>
      </c>
      <c r="G6" s="9">
        <v>1500</v>
      </c>
      <c r="H6" s="9">
        <v>-1000</v>
      </c>
      <c r="I6" s="48"/>
      <c r="J6" s="21">
        <f t="shared" si="2"/>
        <v>35500</v>
      </c>
      <c r="K6" s="8" t="s">
        <v>205</v>
      </c>
      <c r="L6" s="9">
        <v>1500</v>
      </c>
      <c r="M6" s="9">
        <v>-1000</v>
      </c>
      <c r="N6" s="48"/>
      <c r="O6" s="21">
        <f t="shared" si="3"/>
        <v>62200</v>
      </c>
      <c r="P6" s="8" t="s">
        <v>205</v>
      </c>
      <c r="Q6" s="9">
        <v>-3000</v>
      </c>
      <c r="R6" s="9"/>
      <c r="S6" s="48"/>
      <c r="T6" s="21">
        <f t="shared" si="4"/>
        <v>5300</v>
      </c>
      <c r="U6" s="53">
        <f>IF($J6="","",ROUND(($J6-$J$3)/1000,1)+(_xlfn.RANK.AVG($J6,($J6,$O6,$T6),1)-2)*20)</f>
        <v>0.5</v>
      </c>
      <c r="V6" s="54">
        <f>IF($O6="","",ROUND(($O6-$O$3)/1000,1)+(_xlfn.RANK.AVG($O6,($J6,$O6,$T6),1)-2)*20)</f>
        <v>47.2</v>
      </c>
      <c r="W6" s="55">
        <f>IF($T6="","",ROUND(($T6-$T$3)/1000,1)+(_xlfn.RANK.AVG($T6,($J6,$O6,$T6),1)-2)*20)</f>
        <v>-49.7</v>
      </c>
      <c r="Y6" s="8" t="s">
        <v>204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207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2</v>
      </c>
      <c r="E7" s="4" t="str">
        <f>IF($K$1="","",$K$1)</f>
        <v>だいち</v>
      </c>
      <c r="F7" s="8" t="s">
        <v>196</v>
      </c>
      <c r="G7" s="9">
        <v>-3000</v>
      </c>
      <c r="H7" s="9"/>
      <c r="I7" s="48">
        <v>-1500</v>
      </c>
      <c r="J7" s="21">
        <f t="shared" si="2"/>
        <v>31000</v>
      </c>
      <c r="K7" s="8" t="s">
        <v>196</v>
      </c>
      <c r="L7" s="9">
        <v>-5000</v>
      </c>
      <c r="M7" s="9"/>
      <c r="N7" s="48">
        <v>-1500</v>
      </c>
      <c r="O7" s="21">
        <f t="shared" si="3"/>
        <v>55700</v>
      </c>
      <c r="P7" s="8" t="s">
        <v>197</v>
      </c>
      <c r="Q7" s="9">
        <v>8000</v>
      </c>
      <c r="R7" s="9">
        <v>2000</v>
      </c>
      <c r="S7" s="48">
        <v>3000</v>
      </c>
      <c r="T7" s="21">
        <f t="shared" si="4"/>
        <v>18300</v>
      </c>
      <c r="U7" s="53">
        <f>IF($J7="","",ROUND(($J7-$J$3)/1000,1)+(_xlfn.RANK.AVG($J7,($J7,$O7,$T7),1)-2)*20)</f>
        <v>-4</v>
      </c>
      <c r="V7" s="54">
        <f>IF($O7="","",ROUND(($O7-$O$3)/1000,1)+(_xlfn.RANK.AVG($O7,($J7,$O7,$T7),1)-2)*20)</f>
        <v>40.700000000000003</v>
      </c>
      <c r="W7" s="55">
        <f>IF($T7="","",ROUND(($T7-$T$3)/1000,1)+(_xlfn.RANK.AVG($T7,($J7,$O7,$T7),1)-2)*20)</f>
        <v>-36.700000000000003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198</v>
      </c>
      <c r="BU7" s="40" t="s">
        <v>199</v>
      </c>
      <c r="BV7" s="41" t="s">
        <v>82</v>
      </c>
      <c r="BW7" s="41" t="s">
        <v>83</v>
      </c>
      <c r="BX7" s="41" t="s">
        <v>85</v>
      </c>
      <c r="BY7" s="41" t="s">
        <v>201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IF($P$1="","",$P$1)</f>
        <v>りくと</v>
      </c>
      <c r="F8" s="8" t="s">
        <v>205</v>
      </c>
      <c r="G8" s="9">
        <v>1500</v>
      </c>
      <c r="H8" s="9">
        <v>-1000</v>
      </c>
      <c r="I8" s="48"/>
      <c r="J8" s="21">
        <f t="shared" si="2"/>
        <v>31500</v>
      </c>
      <c r="K8" s="8" t="s">
        <v>205</v>
      </c>
      <c r="L8" s="9">
        <v>-3000</v>
      </c>
      <c r="M8" s="9"/>
      <c r="N8" s="48"/>
      <c r="O8" s="21">
        <f t="shared" si="3"/>
        <v>52700</v>
      </c>
      <c r="P8" s="8" t="s">
        <v>205</v>
      </c>
      <c r="Q8" s="9">
        <v>1500</v>
      </c>
      <c r="R8" s="9"/>
      <c r="S8" s="48"/>
      <c r="T8" s="21">
        <f t="shared" si="4"/>
        <v>19800</v>
      </c>
      <c r="U8" s="53">
        <f>IF($J8="","",ROUND(($J8-$J$3)/1000,1)+(_xlfn.RANK.AVG($J8,($J8,$O8,$T8),1)-2)*20)</f>
        <v>-3.5</v>
      </c>
      <c r="V8" s="54">
        <f>IF($O8="","",ROUND(($O8-$O$3)/1000,1)+(_xlfn.RANK.AVG($O8,($J8,$O8,$T8),1)-2)*20)</f>
        <v>37.700000000000003</v>
      </c>
      <c r="W8" s="55">
        <f>IF($T8="","",ROUND(($T8-$T$3)/1000,1)+(_xlfn.RANK.AVG($T8,($J8,$O8,$T8),1)-2)*20)</f>
        <v>-35.200000000000003</v>
      </c>
      <c r="Y8" s="8" t="s">
        <v>204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tr">
        <f>IF($P$1="","",$P$1)</f>
        <v>りくと</v>
      </c>
      <c r="F9" s="8" t="s">
        <v>202</v>
      </c>
      <c r="G9" s="9">
        <v>-8000</v>
      </c>
      <c r="H9" s="9"/>
      <c r="I9" s="48">
        <v>-1000</v>
      </c>
      <c r="J9" s="21">
        <f t="shared" si="2"/>
        <v>22500</v>
      </c>
      <c r="K9" s="8" t="s">
        <v>203</v>
      </c>
      <c r="L9" s="9">
        <v>8000</v>
      </c>
      <c r="M9" s="9">
        <v>2000</v>
      </c>
      <c r="N9" s="48">
        <v>1000</v>
      </c>
      <c r="O9" s="21">
        <f t="shared" si="3"/>
        <v>63700</v>
      </c>
      <c r="P9" s="8"/>
      <c r="Q9" s="9"/>
      <c r="R9" s="9">
        <v>-1000</v>
      </c>
      <c r="S9" s="48"/>
      <c r="T9" s="21">
        <f t="shared" si="4"/>
        <v>18800</v>
      </c>
      <c r="U9" s="53">
        <f>IF($J9="","",ROUND(($J9-$J$3)/1000,1)+(_xlfn.RANK.AVG($J9,($J9,$O9,$T9),1)-2)*20)</f>
        <v>-12.5</v>
      </c>
      <c r="V9" s="54">
        <f>IF($O9="","",ROUND(($O9-$O$3)/1000,1)+(_xlfn.RANK.AVG($O9,($J9,$O9,$T9),1)-2)*20)</f>
        <v>48.7</v>
      </c>
      <c r="W9" s="55">
        <f>IF($T9="","",ROUND(($T9-$T$3)/1000,1)+(_xlfn.RANK.AVG($T9,($J9,$O9,$T9),1)-2)*20)</f>
        <v>-36.200000000000003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198</v>
      </c>
      <c r="AZ9" s="40" t="s">
        <v>86</v>
      </c>
      <c r="BA9" s="41" t="s">
        <v>86</v>
      </c>
      <c r="BB9" s="41" t="s">
        <v>86</v>
      </c>
      <c r="BC9" s="41" t="s">
        <v>104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IF($F$1="","",$F$1)</f>
        <v>やがさき</v>
      </c>
      <c r="F10" s="8" t="s">
        <v>203</v>
      </c>
      <c r="G10" s="9">
        <v>7700</v>
      </c>
      <c r="H10" s="9"/>
      <c r="I10" s="48">
        <v>0</v>
      </c>
      <c r="J10" s="21">
        <f t="shared" si="2"/>
        <v>30200</v>
      </c>
      <c r="K10" s="8" t="s">
        <v>202</v>
      </c>
      <c r="L10" s="9">
        <v>-7700</v>
      </c>
      <c r="M10" s="9"/>
      <c r="N10" s="48">
        <v>0</v>
      </c>
      <c r="O10" s="21">
        <f t="shared" si="3"/>
        <v>56000</v>
      </c>
      <c r="P10" s="8"/>
      <c r="Q10" s="9"/>
      <c r="R10" s="9"/>
      <c r="S10" s="48"/>
      <c r="T10" s="21">
        <f t="shared" si="4"/>
        <v>18800</v>
      </c>
      <c r="U10" s="53">
        <f>IF($J10="","",ROUND(($J10-$J$3)/1000,1)+(_xlfn.RANK.AVG($J10,($J10,$O10,$T10),1)-2)*20)</f>
        <v>-4.8</v>
      </c>
      <c r="V10" s="54">
        <f>IF($O10="","",ROUND(($O10-$O$3)/1000,1)+(_xlfn.RANK.AVG($O10,($J10,$O10,$T10),1)-2)*20)</f>
        <v>41</v>
      </c>
      <c r="W10" s="55">
        <f>IF($T10="","",ROUND(($T10-$T$3)/1000,1)+(_xlfn.RANK.AVG($T10,($J10,$O10,$T10),1)-2)*20)</f>
        <v>-36.200000000000003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86</v>
      </c>
      <c r="AF10" s="41" t="s">
        <v>79</v>
      </c>
      <c r="AG10" s="41" t="s">
        <v>199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IF($F$1="","",$F$1)</f>
        <v>やがさき</v>
      </c>
      <c r="F11" s="8" t="s">
        <v>205</v>
      </c>
      <c r="G11" s="9">
        <v>-1500</v>
      </c>
      <c r="H11" s="9"/>
      <c r="I11" s="48"/>
      <c r="J11" s="21">
        <f t="shared" si="2"/>
        <v>28700</v>
      </c>
      <c r="K11" s="8" t="s">
        <v>205</v>
      </c>
      <c r="L11" s="9">
        <v>3000</v>
      </c>
      <c r="M11" s="9"/>
      <c r="N11" s="48"/>
      <c r="O11" s="21">
        <f t="shared" si="3"/>
        <v>59000</v>
      </c>
      <c r="P11" s="8" t="s">
        <v>205</v>
      </c>
      <c r="Q11" s="9">
        <v>-1500</v>
      </c>
      <c r="R11" s="9"/>
      <c r="S11" s="48"/>
      <c r="T11" s="21">
        <f t="shared" si="4"/>
        <v>17300</v>
      </c>
      <c r="U11" s="53">
        <f>IF($J11="","",ROUND(($J11-$J$3)/1000,1)+(_xlfn.RANK.AVG($J11,($J11,$O11,$T11),1)-2)*20)</f>
        <v>-6.3</v>
      </c>
      <c r="V11" s="54">
        <f>IF($O11="","",ROUND(($O11-$O$3)/1000,1)+(_xlfn.RANK.AVG($O11,($J11,$O11,$T11),1)-2)*20)</f>
        <v>44</v>
      </c>
      <c r="W11" s="55">
        <f>IF($T11="","",ROUND(($T11-$T$3)/1000,1)+(_xlfn.RANK.AVG($T11,($J11,$O11,$T11),1)-2)*20)</f>
        <v>-37.700000000000003</v>
      </c>
      <c r="Y11" s="8" t="s">
        <v>207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207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tr">
        <f>IF($K$1="","",$K$1)</f>
        <v>だいち</v>
      </c>
      <c r="F12" s="8" t="s">
        <v>203</v>
      </c>
      <c r="G12" s="9">
        <v>3900</v>
      </c>
      <c r="H12" s="9"/>
      <c r="I12" s="48">
        <v>2000</v>
      </c>
      <c r="J12" s="21">
        <f t="shared" si="2"/>
        <v>34600</v>
      </c>
      <c r="K12" s="8"/>
      <c r="L12" s="9"/>
      <c r="M12" s="9"/>
      <c r="N12" s="48"/>
      <c r="O12" s="21">
        <f t="shared" si="3"/>
        <v>59000</v>
      </c>
      <c r="P12" s="8" t="s">
        <v>202</v>
      </c>
      <c r="Q12" s="9">
        <v>-3900</v>
      </c>
      <c r="R12" s="9"/>
      <c r="S12" s="48">
        <v>-2000</v>
      </c>
      <c r="T12" s="21">
        <f t="shared" si="4"/>
        <v>11400</v>
      </c>
      <c r="U12" s="53">
        <f>IF($J12="","",ROUND(($J12-$J$3)/1000,1)+(_xlfn.RANK.AVG($J12,($J12,$O12,$T12),1)-2)*20)</f>
        <v>-0.4</v>
      </c>
      <c r="V12" s="54">
        <f>IF($O12="","",ROUND(($O12-$O$3)/1000,1)+(_xlfn.RANK.AVG($O12,($J12,$O12,$T12),1)-2)*20)</f>
        <v>44</v>
      </c>
      <c r="W12" s="55">
        <f>IF($T12="","",ROUND(($T12-$T$3)/1000,1)+(_xlfn.RANK.AVG($T12,($J12,$O12,$T12),1)-2)*20)</f>
        <v>-43.6</v>
      </c>
      <c r="Y12" s="8"/>
      <c r="Z12" s="34"/>
      <c r="AA12" s="26">
        <v>1</v>
      </c>
      <c r="AB12" s="26"/>
      <c r="AC12" s="26">
        <v>3</v>
      </c>
      <c r="AD12" s="30">
        <v>30</v>
      </c>
      <c r="AE12" s="40" t="s">
        <v>199</v>
      </c>
      <c r="AF12" s="41" t="s">
        <v>83</v>
      </c>
      <c r="AG12" s="41" t="s">
        <v>79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IF($P$1="","",$P$1)</f>
        <v>りくと</v>
      </c>
      <c r="F13" s="8"/>
      <c r="G13" s="9"/>
      <c r="H13" s="9"/>
      <c r="I13" s="48"/>
      <c r="J13" s="21">
        <f t="shared" si="2"/>
        <v>34600</v>
      </c>
      <c r="K13" s="8" t="s">
        <v>202</v>
      </c>
      <c r="L13" s="9">
        <v>-18000</v>
      </c>
      <c r="M13" s="9"/>
      <c r="N13" s="48">
        <v>0</v>
      </c>
      <c r="O13" s="21">
        <f t="shared" si="3"/>
        <v>41000</v>
      </c>
      <c r="P13" s="8" t="s">
        <v>203</v>
      </c>
      <c r="Q13" s="9">
        <v>18000</v>
      </c>
      <c r="R13" s="9"/>
      <c r="S13" s="48">
        <v>0</v>
      </c>
      <c r="T13" s="21">
        <f t="shared" si="4"/>
        <v>29400</v>
      </c>
      <c r="U13" s="53">
        <f>IF($J13="","",ROUND(($J13-$J$3)/1000,1)+(_xlfn.RANK.AVG($J13,($J13,$O13,$T13),1)-2)*20)</f>
        <v>-0.4</v>
      </c>
      <c r="V13" s="54">
        <f>IF($O13="","",ROUND(($O13-$O$3)/1000,1)+(_xlfn.RANK.AVG($O13,($J13,$O13,$T13),1)-2)*20)</f>
        <v>26</v>
      </c>
      <c r="W13" s="55">
        <f>IF($T13="","",ROUND(($T13-$T$3)/1000,1)+(_xlfn.RANK.AVG($T13,($J13,$O13,$T13),1)-2)*20)</f>
        <v>-25.6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6</v>
      </c>
      <c r="BT13" s="30" t="s">
        <v>198</v>
      </c>
      <c r="BU13" s="40" t="s">
        <v>104</v>
      </c>
      <c r="BV13" s="41" t="s">
        <v>79</v>
      </c>
      <c r="BW13" s="41" t="s">
        <v>79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tr">
        <f>IF($P$1="","",$P$1)</f>
        <v>りくと</v>
      </c>
      <c r="F14" s="8" t="s">
        <v>202</v>
      </c>
      <c r="G14" s="9">
        <v>-3900</v>
      </c>
      <c r="H14" s="9"/>
      <c r="I14" s="48">
        <v>-1000</v>
      </c>
      <c r="J14" s="21">
        <f t="shared" si="2"/>
        <v>29700</v>
      </c>
      <c r="K14" s="8" t="s">
        <v>203</v>
      </c>
      <c r="L14" s="9">
        <v>3900</v>
      </c>
      <c r="M14" s="9"/>
      <c r="N14" s="48">
        <v>1000</v>
      </c>
      <c r="O14" s="21">
        <f t="shared" si="3"/>
        <v>45900</v>
      </c>
      <c r="P14" s="8"/>
      <c r="Q14" s="9"/>
      <c r="R14" s="9"/>
      <c r="S14" s="48"/>
      <c r="T14" s="21">
        <f t="shared" si="4"/>
        <v>29400</v>
      </c>
      <c r="U14" s="53">
        <f>IF($J14="","",ROUND(($J14-$J$3)/1000,1)+(_xlfn.RANK.AVG($J14,($J14,$O14,$T14),1)-2)*20)</f>
        <v>-5.3</v>
      </c>
      <c r="V14" s="54">
        <f>IF($O14="","",ROUND(($O14-$O$3)/1000,1)+(_xlfn.RANK.AVG($O14,($J14,$O14,$T14),1)-2)*20)</f>
        <v>30.9</v>
      </c>
      <c r="W14" s="55">
        <f>IF($T14="","",ROUND(($T14-$T$3)/1000,1)+(_xlfn.RANK.AVG($T14,($J14,$O14,$T14),1)-2)*20)</f>
        <v>-25.6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3</v>
      </c>
      <c r="AY14" s="30">
        <v>30</v>
      </c>
      <c r="AZ14" s="40" t="s">
        <v>86</v>
      </c>
      <c r="BA14" s="41" t="s">
        <v>86</v>
      </c>
      <c r="BB14" s="41" t="s">
        <v>201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IF($F$1="","",$F$1)</f>
        <v>やがさき</v>
      </c>
      <c r="F15" s="8" t="s">
        <v>203</v>
      </c>
      <c r="G15" s="9">
        <v>12000</v>
      </c>
      <c r="H15" s="9"/>
      <c r="I15" s="48">
        <v>0</v>
      </c>
      <c r="J15" s="21">
        <f t="shared" si="2"/>
        <v>41700</v>
      </c>
      <c r="K15" s="8"/>
      <c r="L15" s="9"/>
      <c r="M15" s="9"/>
      <c r="N15" s="48"/>
      <c r="O15" s="21">
        <f t="shared" si="3"/>
        <v>45900</v>
      </c>
      <c r="P15" s="8" t="s">
        <v>202</v>
      </c>
      <c r="Q15" s="9">
        <v>-12000</v>
      </c>
      <c r="R15" s="9"/>
      <c r="S15" s="48">
        <v>0</v>
      </c>
      <c r="T15" s="21">
        <f t="shared" si="4"/>
        <v>17400</v>
      </c>
      <c r="U15" s="53">
        <f>IF($J15="","",ROUND(($J15-$J$3)/1000,1)+(_xlfn.RANK.AVG($J15,($J15,$O15,$T15),1)-2)*20)</f>
        <v>6.7</v>
      </c>
      <c r="V15" s="54">
        <f>IF($O15="","",ROUND(($O15-$O$3)/1000,1)+(_xlfn.RANK.AVG($O15,($J15,$O15,$T15),1)-2)*20)</f>
        <v>30.9</v>
      </c>
      <c r="W15" s="55">
        <f>IF($T15="","",ROUND(($T15-$T$3)/1000,1)+(_xlfn.RANK.AVG($T15,($J15,$O15,$T15),1)-2)*20)</f>
        <v>-37.6</v>
      </c>
      <c r="Y15" s="8"/>
      <c r="Z15" s="34"/>
      <c r="AA15" s="26"/>
      <c r="AB15" s="26">
        <v>1</v>
      </c>
      <c r="AC15" s="26">
        <v>5</v>
      </c>
      <c r="AD15" s="30" t="s">
        <v>198</v>
      </c>
      <c r="AE15" s="40" t="s">
        <v>106</v>
      </c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tr">
        <f>IF($F$1="","",$F$1)</f>
        <v>やがさき</v>
      </c>
      <c r="F16" s="8" t="s">
        <v>202</v>
      </c>
      <c r="G16" s="9">
        <v>-8000</v>
      </c>
      <c r="H16" s="9">
        <v>-1000</v>
      </c>
      <c r="I16" s="48">
        <v>-1000</v>
      </c>
      <c r="J16" s="21">
        <f t="shared" si="2"/>
        <v>31700</v>
      </c>
      <c r="K16" s="8"/>
      <c r="L16" s="9"/>
      <c r="M16" s="9"/>
      <c r="N16" s="48"/>
      <c r="O16" s="21">
        <f t="shared" si="3"/>
        <v>45900</v>
      </c>
      <c r="P16" s="8" t="s">
        <v>203</v>
      </c>
      <c r="Q16" s="9">
        <v>8000</v>
      </c>
      <c r="R16" s="9">
        <v>1000</v>
      </c>
      <c r="S16" s="48">
        <v>1000</v>
      </c>
      <c r="T16" s="21">
        <f t="shared" si="4"/>
        <v>27400</v>
      </c>
      <c r="U16" s="53">
        <f>IF($J16="","",ROUND(($J16-$J$3)/1000,1)+(_xlfn.RANK.AVG($J16,($J16,$O16,$T16),1)-2)*20)</f>
        <v>-3.3</v>
      </c>
      <c r="V16" s="54">
        <f>IF($O16="","",ROUND(($O16-$O$3)/1000,1)+(_xlfn.RANK.AVG($O16,($J16,$O16,$T16),1)-2)*20)</f>
        <v>30.9</v>
      </c>
      <c r="W16" s="55">
        <f>IF($T16="","",ROUND(($T16-$T$3)/1000,1)+(_xlfn.RANK.AVG($T16,($J16,$O16,$T16),1)-2)*20)</f>
        <v>-27.6</v>
      </c>
      <c r="Y16" s="8"/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>
        <v>5</v>
      </c>
      <c r="BT16" s="30" t="s">
        <v>198</v>
      </c>
      <c r="BU16" s="40" t="s">
        <v>104</v>
      </c>
      <c r="BV16" s="41" t="s">
        <v>101</v>
      </c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DE7B2E0-C00D-4DB1-A55F-1B921033E3FA}">
      <formula1>$U$2:$W$2</formula1>
    </dataValidation>
    <dataValidation type="list" showInputMessage="1" showErrorMessage="1" sqref="K4:K30 P4:P30 F4:F30" xr:uid="{EDF74DC2-EAA2-4E5C-B3AD-95B508797410}">
      <formula1>"ロン,ツモ,放銃,ツモ支払,流局,チョンボ"</formula1>
    </dataValidation>
    <dataValidation type="list" allowBlank="1" showInputMessage="1" sqref="F1:T1" xr:uid="{71FED2CB-FC7A-46D6-9423-989658966670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BA9F9-6CFD-44F5-9375-2B209BE32B54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206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やがさき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やがさき</v>
      </c>
      <c r="V2" s="69" t="str">
        <f>$K$1</f>
        <v>ただ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196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196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197</v>
      </c>
      <c r="Q4" s="9">
        <v>16000</v>
      </c>
      <c r="R4" s="9"/>
      <c r="S4" s="48">
        <v>0</v>
      </c>
      <c r="T4" s="21">
        <f>IF(COUNTA($F4,$K4,$P4)&gt;0,T3+SUM(Q4:S4),"")</f>
        <v>51000</v>
      </c>
      <c r="U4" s="53">
        <f>IF($J4="","",ROUND(($J4-$J$3)/1000,1)+(_xlfn.RANK.AVG($J4,($J4,$O4,$T4),1)-2)*20)</f>
        <v>-30</v>
      </c>
      <c r="V4" s="54">
        <f>IF($O4="","",ROUND(($O4-$O$3)/1000,1)+(_xlfn.RANK.AVG($O4,($J4,$O4,$T4),1)-2)*20)</f>
        <v>-6</v>
      </c>
      <c r="W4" s="55">
        <f>IF($T4="","",ROUND(($T4-$T$3)/1000,1)+(_xlfn.RANK.AVG($T4,($J4,$O4,$T4),1)-2)*20)</f>
        <v>36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198</v>
      </c>
      <c r="BU4" s="40" t="s">
        <v>199</v>
      </c>
      <c r="BV4" s="41" t="s">
        <v>200</v>
      </c>
      <c r="BW4" s="41" t="s">
        <v>82</v>
      </c>
      <c r="BX4" s="41" t="s">
        <v>96</v>
      </c>
      <c r="BY4" s="41" t="s">
        <v>79</v>
      </c>
      <c r="BZ4" s="41" t="s">
        <v>79</v>
      </c>
      <c r="CA4" s="41" t="s">
        <v>79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205</v>
      </c>
      <c r="G5" s="9">
        <v>3000</v>
      </c>
      <c r="H5" s="9"/>
      <c r="I5" s="48"/>
      <c r="J5" s="21">
        <f t="shared" ref="J5:J30" si="2">IF(COUNTA($F5,$K5,$P5)&gt;0,J4+SUM(G5:I5),"")</f>
        <v>28000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27500</v>
      </c>
      <c r="P5" s="8" t="s">
        <v>205</v>
      </c>
      <c r="Q5" s="9">
        <v>-1500</v>
      </c>
      <c r="R5" s="9"/>
      <c r="S5" s="48"/>
      <c r="T5" s="21">
        <f t="shared" ref="T5:T30" si="4">IF(COUNTA($F5,$K5,$P5)&gt;0,T4+SUM(Q5:S5),"")</f>
        <v>49500</v>
      </c>
      <c r="U5" s="53">
        <f>IF($J5="","",ROUND(($J5-$J$3)/1000,1)+(_xlfn.RANK.AVG($J5,($J5,$O5,$T5),1)-2)*20)</f>
        <v>-7</v>
      </c>
      <c r="V5" s="54">
        <f>IF($O5="","",ROUND(($O5-$O$3)/1000,1)+(_xlfn.RANK.AVG($O5,($J5,$O5,$T5),1)-2)*20)</f>
        <v>-27.5</v>
      </c>
      <c r="W5" s="55">
        <f>IF($T5="","",ROUND(($T5-$T$3)/1000,1)+(_xlfn.RANK.AVG($T5,($J5,$O5,$T5),1)-2)*20)</f>
        <v>34.5</v>
      </c>
      <c r="Y5" s="8" t="s">
        <v>204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りくと</v>
      </c>
      <c r="F6" s="8" t="s">
        <v>202</v>
      </c>
      <c r="G6" s="9">
        <v>-18000</v>
      </c>
      <c r="H6" s="9"/>
      <c r="I6" s="48">
        <v>-1000</v>
      </c>
      <c r="J6" s="21">
        <f t="shared" si="2"/>
        <v>9000</v>
      </c>
      <c r="K6" s="8"/>
      <c r="L6" s="9"/>
      <c r="M6" s="9"/>
      <c r="N6" s="48"/>
      <c r="O6" s="21">
        <f t="shared" si="3"/>
        <v>27500</v>
      </c>
      <c r="P6" s="8" t="s">
        <v>203</v>
      </c>
      <c r="Q6" s="9">
        <v>18000</v>
      </c>
      <c r="R6" s="9"/>
      <c r="S6" s="48">
        <v>1000</v>
      </c>
      <c r="T6" s="21">
        <f t="shared" si="4"/>
        <v>68500</v>
      </c>
      <c r="U6" s="53">
        <f>IF($J6="","",ROUND(($J6-$J$3)/1000,1)+(_xlfn.RANK.AVG($J6,($J6,$O6,$T6),1)-2)*20)</f>
        <v>-46</v>
      </c>
      <c r="V6" s="54">
        <f>IF($O6="","",ROUND(($O6-$O$3)/1000,1)+(_xlfn.RANK.AVG($O6,($J6,$O6,$T6),1)-2)*20)</f>
        <v>-7.5</v>
      </c>
      <c r="W6" s="55">
        <f>IF($T6="","",ROUND(($T6-$T$3)/1000,1)+(_xlfn.RANK.AVG($T6,($J6,$O6,$T6),1)-2)*20)</f>
        <v>53.5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7</v>
      </c>
      <c r="BT6" s="30" t="s">
        <v>198</v>
      </c>
      <c r="BU6" s="40" t="s">
        <v>86</v>
      </c>
      <c r="BV6" s="41" t="s">
        <v>86</v>
      </c>
      <c r="BW6" s="41" t="s">
        <v>79</v>
      </c>
      <c r="BX6" s="41" t="s">
        <v>79</v>
      </c>
      <c r="BY6" s="41" t="s">
        <v>79</v>
      </c>
      <c r="BZ6" s="41" t="s">
        <v>99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0</v>
      </c>
      <c r="E7" s="4" t="str">
        <f>IF($P$1="","",$P$1)</f>
        <v>りくと</v>
      </c>
      <c r="F7" s="8" t="s">
        <v>203</v>
      </c>
      <c r="G7" s="9">
        <v>8000</v>
      </c>
      <c r="H7" s="9"/>
      <c r="I7" s="48">
        <v>2000</v>
      </c>
      <c r="J7" s="21">
        <f t="shared" si="2"/>
        <v>19000</v>
      </c>
      <c r="K7" s="8"/>
      <c r="L7" s="9"/>
      <c r="M7" s="9"/>
      <c r="N7" s="48"/>
      <c r="O7" s="21">
        <f t="shared" si="3"/>
        <v>27500</v>
      </c>
      <c r="P7" s="8" t="s">
        <v>202</v>
      </c>
      <c r="Q7" s="9">
        <v>-8000</v>
      </c>
      <c r="R7" s="9"/>
      <c r="S7" s="48">
        <v>-2000</v>
      </c>
      <c r="T7" s="21">
        <f t="shared" si="4"/>
        <v>58500</v>
      </c>
      <c r="U7" s="53">
        <f>IF($J7="","",ROUND(($J7-$J$3)/1000,1)+(_xlfn.RANK.AVG($J7,($J7,$O7,$T7),1)-2)*20)</f>
        <v>-36</v>
      </c>
      <c r="V7" s="54">
        <f>IF($O7="","",ROUND(($O7-$O$3)/1000,1)+(_xlfn.RANK.AVG($O7,($J7,$O7,$T7),1)-2)*20)</f>
        <v>-7.5</v>
      </c>
      <c r="W7" s="55">
        <f>IF($T7="","",ROUND(($T7-$T$3)/1000,1)+(_xlfn.RANK.AVG($T7,($J7,$O7,$T7),1)-2)*20)</f>
        <v>43.5</v>
      </c>
      <c r="Y7" s="8"/>
      <c r="Z7" s="34"/>
      <c r="AA7" s="26"/>
      <c r="AB7" s="26">
        <v>1</v>
      </c>
      <c r="AC7" s="26">
        <v>5</v>
      </c>
      <c r="AD7" s="30" t="s">
        <v>198</v>
      </c>
      <c r="AE7" s="40" t="s">
        <v>98</v>
      </c>
      <c r="AF7" s="41" t="s">
        <v>104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やがさき</v>
      </c>
      <c r="F8" s="8" t="s">
        <v>203</v>
      </c>
      <c r="G8" s="9">
        <v>11600</v>
      </c>
      <c r="H8" s="9"/>
      <c r="I8" s="48">
        <v>0</v>
      </c>
      <c r="J8" s="21">
        <f t="shared" si="2"/>
        <v>30600</v>
      </c>
      <c r="K8" s="8"/>
      <c r="L8" s="9"/>
      <c r="M8" s="9"/>
      <c r="N8" s="48"/>
      <c r="O8" s="21">
        <f t="shared" si="3"/>
        <v>27500</v>
      </c>
      <c r="P8" s="8" t="s">
        <v>202</v>
      </c>
      <c r="Q8" s="9">
        <v>-11600</v>
      </c>
      <c r="R8" s="9"/>
      <c r="S8" s="48">
        <v>0</v>
      </c>
      <c r="T8" s="21">
        <f t="shared" si="4"/>
        <v>46900</v>
      </c>
      <c r="U8" s="53">
        <f>IF($J8="","",ROUND(($J8-$J$3)/1000,1)+(_xlfn.RANK.AVG($J8,($J8,$O8,$T8),1)-2)*20)</f>
        <v>-4.4000000000000004</v>
      </c>
      <c r="V8" s="54">
        <f>IF($O8="","",ROUND(($O8-$O$3)/1000,1)+(_xlfn.RANK.AVG($O8,($J8,$O8,$T8),1)-2)*20)</f>
        <v>-27.5</v>
      </c>
      <c r="W8" s="55">
        <f>IF($T8="","",ROUND(($T8-$T$3)/1000,1)+(_xlfn.RANK.AVG($T8,($J8,$O8,$T8),1)-2)*20)</f>
        <v>31.9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199</v>
      </c>
      <c r="AF8" s="41" t="s">
        <v>83</v>
      </c>
      <c r="AG8" s="41" t="s">
        <v>200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やがさき</v>
      </c>
      <c r="F9" s="8" t="s">
        <v>203</v>
      </c>
      <c r="G9" s="9">
        <v>7700</v>
      </c>
      <c r="H9" s="9">
        <v>1000</v>
      </c>
      <c r="I9" s="48">
        <v>1000</v>
      </c>
      <c r="J9" s="21">
        <f t="shared" si="2"/>
        <v>40300</v>
      </c>
      <c r="K9" s="8" t="s">
        <v>202</v>
      </c>
      <c r="L9" s="9">
        <v>-7700</v>
      </c>
      <c r="M9" s="9">
        <v>-1000</v>
      </c>
      <c r="N9" s="48">
        <v>-1000</v>
      </c>
      <c r="O9" s="21">
        <f t="shared" si="3"/>
        <v>17800</v>
      </c>
      <c r="P9" s="8"/>
      <c r="Q9" s="9"/>
      <c r="R9" s="9"/>
      <c r="S9" s="48"/>
      <c r="T9" s="21">
        <f t="shared" si="4"/>
        <v>46900</v>
      </c>
      <c r="U9" s="53">
        <f>IF($J9="","",ROUND(($J9-$J$3)/1000,1)+(_xlfn.RANK.AVG($J9,($J9,$O9,$T9),1)-2)*20)</f>
        <v>5.3</v>
      </c>
      <c r="V9" s="54">
        <f>IF($O9="","",ROUND(($O9-$O$3)/1000,1)+(_xlfn.RANK.AVG($O9,($J9,$O9,$T9),1)-2)*20)</f>
        <v>-37.200000000000003</v>
      </c>
      <c r="W9" s="55">
        <f>IF($T9="","",ROUND(($T9-$T$3)/1000,1)+(_xlfn.RANK.AVG($T9,($J9,$O9,$T9),1)-2)*20)</f>
        <v>31.9</v>
      </c>
      <c r="Y9" s="8"/>
      <c r="Z9" s="34"/>
      <c r="AA9" s="26"/>
      <c r="AB9" s="26"/>
      <c r="AC9" s="26">
        <v>3</v>
      </c>
      <c r="AD9" s="30">
        <v>40</v>
      </c>
      <c r="AE9" s="40" t="s">
        <v>85</v>
      </c>
      <c r="AF9" s="41" t="s">
        <v>201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やがさき</v>
      </c>
      <c r="F10" s="8" t="s">
        <v>205</v>
      </c>
      <c r="G10" s="9">
        <v>1500</v>
      </c>
      <c r="H10" s="9"/>
      <c r="I10" s="48"/>
      <c r="J10" s="21">
        <f t="shared" si="2"/>
        <v>41800</v>
      </c>
      <c r="K10" s="8" t="s">
        <v>205</v>
      </c>
      <c r="L10" s="9">
        <v>1500</v>
      </c>
      <c r="M10" s="9"/>
      <c r="N10" s="48"/>
      <c r="O10" s="21">
        <f t="shared" si="3"/>
        <v>19300</v>
      </c>
      <c r="P10" s="8" t="s">
        <v>205</v>
      </c>
      <c r="Q10" s="9">
        <v>-3000</v>
      </c>
      <c r="R10" s="9"/>
      <c r="S10" s="48"/>
      <c r="T10" s="21">
        <f t="shared" si="4"/>
        <v>43900</v>
      </c>
      <c r="U10" s="53">
        <f>IF($J10="","",ROUND(($J10-$J$3)/1000,1)+(_xlfn.RANK.AVG($J10,($J10,$O10,$T10),1)-2)*20)</f>
        <v>6.8</v>
      </c>
      <c r="V10" s="54">
        <f>IF($O10="","",ROUND(($O10-$O$3)/1000,1)+(_xlfn.RANK.AVG($O10,($J10,$O10,$T10),1)-2)*20)</f>
        <v>-35.700000000000003</v>
      </c>
      <c r="W10" s="55">
        <f>IF($T10="","",ROUND(($T10-$T$3)/1000,1)+(_xlfn.RANK.AVG($T10,($J10,$O10,$T10),1)-2)*20)</f>
        <v>28.9</v>
      </c>
      <c r="Y10" s="8" t="s">
        <v>204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207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tr">
        <f>IF($F$1="","",$F$1)</f>
        <v>やがさき</v>
      </c>
      <c r="F11" s="8" t="s">
        <v>197</v>
      </c>
      <c r="G11" s="9">
        <v>7800</v>
      </c>
      <c r="H11" s="9">
        <v>1000</v>
      </c>
      <c r="I11" s="48">
        <v>3000</v>
      </c>
      <c r="J11" s="21">
        <f t="shared" si="2"/>
        <v>53600</v>
      </c>
      <c r="K11" s="8" t="s">
        <v>196</v>
      </c>
      <c r="L11" s="9">
        <v>-3900</v>
      </c>
      <c r="M11" s="9">
        <v>-1000</v>
      </c>
      <c r="N11" s="48">
        <v>-1500</v>
      </c>
      <c r="O11" s="21">
        <f t="shared" si="3"/>
        <v>12900</v>
      </c>
      <c r="P11" s="8" t="s">
        <v>196</v>
      </c>
      <c r="Q11" s="9">
        <v>-3900</v>
      </c>
      <c r="R11" s="9"/>
      <c r="S11" s="48">
        <v>-1500</v>
      </c>
      <c r="T11" s="21">
        <f t="shared" si="4"/>
        <v>38500</v>
      </c>
      <c r="U11" s="53">
        <f>IF($J11="","",ROUND(($J11-$J$3)/1000,1)+(_xlfn.RANK.AVG($J11,($J11,$O11,$T11),1)-2)*20)</f>
        <v>38.6</v>
      </c>
      <c r="V11" s="54">
        <f>IF($O11="","",ROUND(($O11-$O$3)/1000,1)+(_xlfn.RANK.AVG($O11,($J11,$O11,$T11),1)-2)*20)</f>
        <v>-42.1</v>
      </c>
      <c r="W11" s="55">
        <f>IF($T11="","",ROUND(($T11-$T$3)/1000,1)+(_xlfn.RANK.AVG($T11,($J11,$O11,$T11),1)-2)*20)</f>
        <v>3.5</v>
      </c>
      <c r="Y11" s="8"/>
      <c r="Z11" s="34"/>
      <c r="AA11" s="26">
        <v>1</v>
      </c>
      <c r="AB11" s="26"/>
      <c r="AC11" s="26">
        <v>4</v>
      </c>
      <c r="AD11" s="30">
        <v>20</v>
      </c>
      <c r="AE11" s="40" t="s">
        <v>199</v>
      </c>
      <c r="AF11" s="41" t="s">
        <v>83</v>
      </c>
      <c r="AG11" s="41" t="s">
        <v>82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4</v>
      </c>
      <c r="D12" s="18">
        <f t="shared" si="1"/>
        <v>0</v>
      </c>
      <c r="E12" s="4" t="str">
        <f>IF($F$1="","",$F$1)</f>
        <v>やがさき</v>
      </c>
      <c r="F12" s="8" t="s">
        <v>203</v>
      </c>
      <c r="G12" s="9">
        <v>12000</v>
      </c>
      <c r="H12" s="9"/>
      <c r="I12" s="48">
        <v>4000</v>
      </c>
      <c r="J12" s="21">
        <f t="shared" si="2"/>
        <v>69600</v>
      </c>
      <c r="K12" s="8" t="s">
        <v>202</v>
      </c>
      <c r="L12" s="9">
        <v>-12000</v>
      </c>
      <c r="M12" s="9"/>
      <c r="N12" s="48">
        <v>-4000</v>
      </c>
      <c r="O12" s="21">
        <f t="shared" si="3"/>
        <v>-3100</v>
      </c>
      <c r="P12" s="8"/>
      <c r="Q12" s="9"/>
      <c r="R12" s="9"/>
      <c r="S12" s="48"/>
      <c r="T12" s="21">
        <f t="shared" si="4"/>
        <v>38500</v>
      </c>
      <c r="U12" s="53">
        <f>IF($J12="","",ROUND(($J12-$J$3)/1000,1)+(_xlfn.RANK.AVG($J12,($J12,$O12,$T12),1)-2)*20)</f>
        <v>54.6</v>
      </c>
      <c r="V12" s="54">
        <f>IF($O12="","",ROUND(($O12-$O$3)/1000,1)+(_xlfn.RANK.AVG($O12,($J12,$O12,$T12),1)-2)*20)</f>
        <v>-58.1</v>
      </c>
      <c r="W12" s="55">
        <f>IF($T12="","",ROUND(($T12-$T$3)/1000,1)+(_xlfn.RANK.AVG($T12,($J12,$O12,$T12),1)-2)*20)</f>
        <v>3.5</v>
      </c>
      <c r="Y12" s="8"/>
      <c r="Z12" s="34"/>
      <c r="AA12" s="26"/>
      <c r="AB12" s="26"/>
      <c r="AC12" s="26">
        <v>5</v>
      </c>
      <c r="AD12" s="30" t="s">
        <v>198</v>
      </c>
      <c r="AE12" s="40" t="s">
        <v>101</v>
      </c>
      <c r="AF12" s="41" t="s">
        <v>79</v>
      </c>
      <c r="AG12" s="41" t="s">
        <v>79</v>
      </c>
      <c r="AH12" s="41" t="s">
        <v>201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8FFF9907-6B5B-4353-81D0-CEEB8597E734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C7D88145-D6F8-4914-B320-A766EB60C179}">
      <formula1>"ロン,ツモ,放銃,ツモ支払,流局,チョンボ"</formula1>
    </dataValidation>
    <dataValidation type="list" allowBlank="1" showInputMessage="1" showErrorMessage="1" sqref="E4:E30" xr:uid="{19561046-F419-42CD-B638-7DBCDCEEAB6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5DA1-5B57-495B-BEED-52201C38FCC6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202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203</v>
      </c>
      <c r="Q4" s="9">
        <v>2000</v>
      </c>
      <c r="R4" s="9">
        <v>1000</v>
      </c>
      <c r="S4" s="48">
        <v>0</v>
      </c>
      <c r="T4" s="21">
        <f>IF(COUNTA($F4,$K4,$P4)&gt;0,T3+SUM(Q4:S4),"")</f>
        <v>38000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-22</v>
      </c>
      <c r="W4" s="55">
        <f>IF($T4="","",ROUND(($T4-$T$3)/1000,1)+(_xlfn.RANK.AVG($T4,($J4,$O4,$T4),1)-2)*20)</f>
        <v>23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201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196</v>
      </c>
      <c r="G5" s="9">
        <v>-800</v>
      </c>
      <c r="H5" s="9"/>
      <c r="I5" s="48">
        <v>0</v>
      </c>
      <c r="J5" s="21">
        <f t="shared" ref="J5:J30" si="2">IF(COUNTA($F5,$K5,$P5)&gt;0,J4+SUM(G5:I5),"")</f>
        <v>33200</v>
      </c>
      <c r="K5" s="8" t="s">
        <v>196</v>
      </c>
      <c r="L5" s="9">
        <v>-1300</v>
      </c>
      <c r="M5" s="9"/>
      <c r="N5" s="48">
        <v>0</v>
      </c>
      <c r="O5" s="21">
        <f t="shared" ref="O5:O30" si="3">IF(COUNTA($F5,$K5,$P5)&gt;0,O4+SUM(L5:N5),"")</f>
        <v>31700</v>
      </c>
      <c r="P5" s="8" t="s">
        <v>197</v>
      </c>
      <c r="Q5" s="9">
        <v>2100</v>
      </c>
      <c r="R5" s="9"/>
      <c r="S5" s="48">
        <v>0</v>
      </c>
      <c r="T5" s="21">
        <f t="shared" ref="T5:T30" si="4">IF(COUNTA($F5,$K5,$P5)&gt;0,T4+SUM(Q5:S5),"")</f>
        <v>40100</v>
      </c>
      <c r="U5" s="53">
        <f>IF($J5="","",ROUND(($J5-$J$3)/1000,1)+(_xlfn.RANK.AVG($J5,($J5,$O5,$T5),1)-2)*20)</f>
        <v>-1.8</v>
      </c>
      <c r="V5" s="54">
        <f>IF($O5="","",ROUND(($O5-$O$3)/1000,1)+(_xlfn.RANK.AVG($O5,($J5,$O5,$T5),1)-2)*20)</f>
        <v>-23.3</v>
      </c>
      <c r="W5" s="55">
        <f>IF($T5="","",ROUND(($T5-$T$3)/1000,1)+(_xlfn.RANK.AVG($T5,($J5,$O5,$T5),1)-2)*20)</f>
        <v>25.1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199</v>
      </c>
      <c r="BV5" s="41" t="s">
        <v>201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196</v>
      </c>
      <c r="G6" s="9">
        <v>-800</v>
      </c>
      <c r="H6" s="9"/>
      <c r="I6" s="48">
        <v>0</v>
      </c>
      <c r="J6" s="21">
        <f t="shared" si="2"/>
        <v>32400</v>
      </c>
      <c r="K6" s="8" t="s">
        <v>196</v>
      </c>
      <c r="L6" s="9">
        <v>-800</v>
      </c>
      <c r="M6" s="9"/>
      <c r="N6" s="48">
        <v>0</v>
      </c>
      <c r="O6" s="21">
        <f t="shared" si="3"/>
        <v>30900</v>
      </c>
      <c r="P6" s="8" t="s">
        <v>197</v>
      </c>
      <c r="Q6" s="9">
        <v>1600</v>
      </c>
      <c r="R6" s="9"/>
      <c r="S6" s="48">
        <v>0</v>
      </c>
      <c r="T6" s="21">
        <f t="shared" si="4"/>
        <v>41700</v>
      </c>
      <c r="U6" s="53">
        <f>IF($J6="","",ROUND(($J6-$J$3)/1000,1)+(_xlfn.RANK.AVG($J6,($J6,$O6,$T6),1)-2)*20)</f>
        <v>-2.6</v>
      </c>
      <c r="V6" s="54">
        <f>IF($O6="","",ROUND(($O6-$O$3)/1000,1)+(_xlfn.RANK.AVG($O6,($J6,$O6,$T6),1)-2)*20)</f>
        <v>-24.1</v>
      </c>
      <c r="W6" s="55">
        <f>IF($T6="","",ROUND(($T6-$T$3)/1000,1)+(_xlfn.RANK.AVG($T6,($J6,$O6,$T6),1)-2)*20)</f>
        <v>26.7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りくと</v>
      </c>
      <c r="F7" s="8" t="s">
        <v>205</v>
      </c>
      <c r="G7" s="9">
        <v>1500</v>
      </c>
      <c r="H7" s="9"/>
      <c r="I7" s="48"/>
      <c r="J7" s="21">
        <f t="shared" si="2"/>
        <v>33900</v>
      </c>
      <c r="K7" s="8" t="s">
        <v>205</v>
      </c>
      <c r="L7" s="9">
        <v>-3000</v>
      </c>
      <c r="M7" s="9"/>
      <c r="N7" s="48"/>
      <c r="O7" s="21">
        <f t="shared" si="3"/>
        <v>27900</v>
      </c>
      <c r="P7" s="8" t="s">
        <v>205</v>
      </c>
      <c r="Q7" s="9">
        <v>1500</v>
      </c>
      <c r="R7" s="9">
        <v>-1000</v>
      </c>
      <c r="S7" s="48"/>
      <c r="T7" s="21">
        <f t="shared" si="4"/>
        <v>42200</v>
      </c>
      <c r="U7" s="53">
        <f>IF($J7="","",ROUND(($J7-$J$3)/1000,1)+(_xlfn.RANK.AVG($J7,($J7,$O7,$T7),1)-2)*20)</f>
        <v>-1.1000000000000001</v>
      </c>
      <c r="V7" s="54">
        <f>IF($O7="","",ROUND(($O7-$O$3)/1000,1)+(_xlfn.RANK.AVG($O7,($J7,$O7,$T7),1)-2)*20)</f>
        <v>-27.1</v>
      </c>
      <c r="W7" s="55">
        <f>IF($T7="","",ROUND(($T7-$T$3)/1000,1)+(_xlfn.RANK.AVG($T7,($J7,$O7,$T7),1)-2)*20)</f>
        <v>27.2</v>
      </c>
      <c r="Y7" s="8" t="s">
        <v>204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tr">
        <f>IF($P$1="","",$P$1)</f>
        <v>りくと</v>
      </c>
      <c r="F8" s="8" t="s">
        <v>205</v>
      </c>
      <c r="G8" s="9">
        <v>0</v>
      </c>
      <c r="H8" s="9"/>
      <c r="I8" s="48"/>
      <c r="J8" s="21">
        <f t="shared" si="2"/>
        <v>33900</v>
      </c>
      <c r="K8" s="8" t="s">
        <v>205</v>
      </c>
      <c r="L8" s="9">
        <v>0</v>
      </c>
      <c r="M8" s="9"/>
      <c r="N8" s="48"/>
      <c r="O8" s="21">
        <f t="shared" si="3"/>
        <v>27900</v>
      </c>
      <c r="P8" s="8" t="s">
        <v>205</v>
      </c>
      <c r="Q8" s="9">
        <v>0</v>
      </c>
      <c r="R8" s="9"/>
      <c r="S8" s="48"/>
      <c r="T8" s="21">
        <f t="shared" si="4"/>
        <v>42200</v>
      </c>
      <c r="U8" s="53">
        <f>IF($J8="","",ROUND(($J8-$J$3)/1000,1)+(_xlfn.RANK.AVG($J8,($J8,$O8,$T8),1)-2)*20)</f>
        <v>-1.1000000000000001</v>
      </c>
      <c r="V8" s="54">
        <f>IF($O8="","",ROUND(($O8-$O$3)/1000,1)+(_xlfn.RANK.AVG($O8,($J8,$O8,$T8),1)-2)*20)</f>
        <v>-27.1</v>
      </c>
      <c r="W8" s="55">
        <f>IF($T8="","",ROUND(($T8-$T$3)/1000,1)+(_xlfn.RANK.AVG($T8,($J8,$O8,$T8),1)-2)*20)</f>
        <v>27.2</v>
      </c>
      <c r="Y8" s="8" t="s">
        <v>207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207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1</v>
      </c>
      <c r="E9" s="4" t="str">
        <f>IF($F$1="","",$F$1)</f>
        <v>だいち</v>
      </c>
      <c r="F9" s="8" t="s">
        <v>197</v>
      </c>
      <c r="G9" s="9">
        <v>7800</v>
      </c>
      <c r="H9" s="9">
        <v>1000</v>
      </c>
      <c r="I9" s="48">
        <v>3000</v>
      </c>
      <c r="J9" s="21">
        <f t="shared" si="2"/>
        <v>45700</v>
      </c>
      <c r="K9" s="8" t="s">
        <v>196</v>
      </c>
      <c r="L9" s="9">
        <v>-3900</v>
      </c>
      <c r="M9" s="9"/>
      <c r="N9" s="48">
        <v>-1500</v>
      </c>
      <c r="O9" s="21">
        <f t="shared" si="3"/>
        <v>22500</v>
      </c>
      <c r="P9" s="8" t="s">
        <v>196</v>
      </c>
      <c r="Q9" s="9">
        <v>-3900</v>
      </c>
      <c r="R9" s="9"/>
      <c r="S9" s="48">
        <v>-1500</v>
      </c>
      <c r="T9" s="21">
        <f t="shared" si="4"/>
        <v>36800</v>
      </c>
      <c r="U9" s="53">
        <f>IF($J9="","",ROUND(($J9-$J$3)/1000,1)+(_xlfn.RANK.AVG($J9,($J9,$O9,$T9),1)-2)*20)</f>
        <v>30.7</v>
      </c>
      <c r="V9" s="54">
        <f>IF($O9="","",ROUND(($O9-$O$3)/1000,1)+(_xlfn.RANK.AVG($O9,($J9,$O9,$T9),1)-2)*20)</f>
        <v>-32.5</v>
      </c>
      <c r="W9" s="55">
        <f>IF($T9="","",ROUND(($T9-$T$3)/1000,1)+(_xlfn.RANK.AVG($T9,($J9,$O9,$T9),1)-2)*20)</f>
        <v>1.8</v>
      </c>
      <c r="Y9" s="8"/>
      <c r="Z9" s="34"/>
      <c r="AA9" s="26"/>
      <c r="AB9" s="26">
        <v>1</v>
      </c>
      <c r="AC9" s="26">
        <v>3</v>
      </c>
      <c r="AD9" s="30">
        <v>40</v>
      </c>
      <c r="AE9" s="40" t="s">
        <v>98</v>
      </c>
      <c r="AF9" s="41" t="s">
        <v>201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4</v>
      </c>
      <c r="D10" s="18">
        <f t="shared" si="1"/>
        <v>0</v>
      </c>
      <c r="E10" s="4" t="str">
        <f>IF($F$1="","",$F$1)</f>
        <v>だいち</v>
      </c>
      <c r="F10" s="8"/>
      <c r="G10" s="9"/>
      <c r="H10" s="9"/>
      <c r="I10" s="48"/>
      <c r="J10" s="21">
        <f t="shared" si="2"/>
        <v>45700</v>
      </c>
      <c r="K10" s="8" t="s">
        <v>202</v>
      </c>
      <c r="L10" s="9">
        <v>-2000</v>
      </c>
      <c r="M10" s="9"/>
      <c r="N10" s="48">
        <v>-4000</v>
      </c>
      <c r="O10" s="21">
        <f t="shared" si="3"/>
        <v>16500</v>
      </c>
      <c r="P10" s="8" t="s">
        <v>203</v>
      </c>
      <c r="Q10" s="9">
        <v>2000</v>
      </c>
      <c r="R10" s="9"/>
      <c r="S10" s="48">
        <v>4000</v>
      </c>
      <c r="T10" s="21">
        <f t="shared" si="4"/>
        <v>42800</v>
      </c>
      <c r="U10" s="53">
        <f>IF($J10="","",ROUND(($J10-$J$3)/1000,1)+(_xlfn.RANK.AVG($J10,($J10,$O10,$T10),1)-2)*20)</f>
        <v>30.7</v>
      </c>
      <c r="V10" s="54">
        <f>IF($O10="","",ROUND(($O10-$O$3)/1000,1)+(_xlfn.RANK.AVG($O10,($J10,$O10,$T10),1)-2)*20)</f>
        <v>-38.5</v>
      </c>
      <c r="W10" s="55">
        <f>IF($T10="","",ROUND(($T10-$T$3)/1000,1)+(_xlfn.RANK.AVG($T10,($J10,$O10,$T10),1)-2)*20)</f>
        <v>7.8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201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ただ</v>
      </c>
      <c r="F11" s="8" t="s">
        <v>203</v>
      </c>
      <c r="G11" s="9">
        <v>12000</v>
      </c>
      <c r="H11" s="9"/>
      <c r="I11" s="48">
        <v>0</v>
      </c>
      <c r="J11" s="21">
        <f t="shared" si="2"/>
        <v>57700</v>
      </c>
      <c r="K11" s="8" t="s">
        <v>202</v>
      </c>
      <c r="L11" s="9">
        <v>-12000</v>
      </c>
      <c r="M11" s="9"/>
      <c r="N11" s="48">
        <v>0</v>
      </c>
      <c r="O11" s="21">
        <f t="shared" si="3"/>
        <v>4500</v>
      </c>
      <c r="P11" s="8"/>
      <c r="Q11" s="9"/>
      <c r="R11" s="9"/>
      <c r="S11" s="48"/>
      <c r="T11" s="21">
        <f t="shared" si="4"/>
        <v>42800</v>
      </c>
      <c r="U11" s="53">
        <f>IF($J11="","",ROUND(($J11-$J$3)/1000,1)+(_xlfn.RANK.AVG($J11,($J11,$O11,$T11),1)-2)*20)</f>
        <v>42.7</v>
      </c>
      <c r="V11" s="54">
        <f>IF($O11="","",ROUND(($O11-$O$3)/1000,1)+(_xlfn.RANK.AVG($O11,($J11,$O11,$T11),1)-2)*20)</f>
        <v>-50.5</v>
      </c>
      <c r="W11" s="55">
        <f>IF($T11="","",ROUND(($T11-$T$3)/1000,1)+(_xlfn.RANK.AVG($T11,($J11,$O11,$T11),1)-2)*20)</f>
        <v>7.8</v>
      </c>
      <c r="Y11" s="8"/>
      <c r="Z11" s="34"/>
      <c r="AA11" s="26"/>
      <c r="AB11" s="26"/>
      <c r="AC11" s="26">
        <v>6</v>
      </c>
      <c r="AD11" s="30" t="s">
        <v>198</v>
      </c>
      <c r="AE11" s="40" t="s">
        <v>101</v>
      </c>
      <c r="AF11" s="41" t="s">
        <v>79</v>
      </c>
      <c r="AG11" s="41" t="s">
        <v>79</v>
      </c>
      <c r="AH11" s="41" t="s">
        <v>201</v>
      </c>
      <c r="AI11" s="41" t="s">
        <v>201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りくと</v>
      </c>
      <c r="F12" s="8" t="s">
        <v>197</v>
      </c>
      <c r="G12" s="9">
        <v>12000</v>
      </c>
      <c r="H12" s="9"/>
      <c r="I12" s="48">
        <v>0</v>
      </c>
      <c r="J12" s="21">
        <f t="shared" si="2"/>
        <v>69700</v>
      </c>
      <c r="K12" s="8" t="s">
        <v>196</v>
      </c>
      <c r="L12" s="9">
        <v>-4500</v>
      </c>
      <c r="M12" s="9"/>
      <c r="N12" s="48">
        <v>0</v>
      </c>
      <c r="O12" s="21">
        <f t="shared" si="3"/>
        <v>0</v>
      </c>
      <c r="P12" s="8" t="s">
        <v>196</v>
      </c>
      <c r="Q12" s="9">
        <v>-7500</v>
      </c>
      <c r="R12" s="9"/>
      <c r="S12" s="48">
        <v>0</v>
      </c>
      <c r="T12" s="21">
        <f t="shared" si="4"/>
        <v>35300</v>
      </c>
      <c r="U12" s="53">
        <f>IF($J12="","",ROUND(($J12-$J$3)/1000,1)+(_xlfn.RANK.AVG($J12,($J12,$O12,$T12),1)-2)*20)</f>
        <v>54.7</v>
      </c>
      <c r="V12" s="54">
        <f>IF($O12="","",ROUND(($O12-$O$3)/1000,1)+(_xlfn.RANK.AVG($O12,($J12,$O12,$T12),1)-2)*20)</f>
        <v>-55</v>
      </c>
      <c r="W12" s="55">
        <f>IF($T12="","",ROUND(($T12-$T$3)/1000,1)+(_xlfn.RANK.AVG($T12,($J12,$O12,$T12),1)-2)*20)</f>
        <v>0.3</v>
      </c>
      <c r="Y12" s="8"/>
      <c r="Z12" s="34"/>
      <c r="AA12" s="26">
        <v>1</v>
      </c>
      <c r="AB12" s="26"/>
      <c r="AC12" s="26">
        <v>6</v>
      </c>
      <c r="AD12" s="30" t="s">
        <v>198</v>
      </c>
      <c r="AE12" s="40" t="s">
        <v>199</v>
      </c>
      <c r="AF12" s="41" t="s">
        <v>82</v>
      </c>
      <c r="AG12" s="41" t="s">
        <v>200</v>
      </c>
      <c r="AH12" s="41" t="s">
        <v>83</v>
      </c>
      <c r="AI12" s="41" t="s">
        <v>79</v>
      </c>
      <c r="AJ12" s="41" t="s">
        <v>201</v>
      </c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76CDC07C-1C2D-4C18-B1FE-2A25D75B87D2}">
      <formula1>$U$2:$W$2</formula1>
    </dataValidation>
    <dataValidation type="list" showInputMessage="1" showErrorMessage="1" sqref="K4:K30 P4:P30 F4:F30" xr:uid="{317971D0-41BA-4206-BC02-92088D76FE48}">
      <formula1>"ロン,ツモ,放銃,ツモ支払,流局,チョンボ"</formula1>
    </dataValidation>
    <dataValidation type="list" allowBlank="1" showInputMessage="1" sqref="F1:T1" xr:uid="{FEF13FB5-D2B6-40ED-A3D2-6204525B7E5C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63464-C365-40BB-A95B-CA2FE58E73D1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203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198</v>
      </c>
      <c r="AZ4" s="40" t="s">
        <v>92</v>
      </c>
      <c r="BA4" s="41" t="s">
        <v>79</v>
      </c>
      <c r="BB4" s="41" t="s">
        <v>79</v>
      </c>
      <c r="BC4" s="41" t="s">
        <v>201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197</v>
      </c>
      <c r="G5" s="9">
        <v>12000</v>
      </c>
      <c r="H5" s="9"/>
      <c r="I5" s="48">
        <v>0</v>
      </c>
      <c r="J5" s="21">
        <f t="shared" ref="J5:J30" si="2">IF(COUNTA($F5,$K5,$P5)&gt;0,J4+SUM(G5:I5),"")</f>
        <v>39000</v>
      </c>
      <c r="K5" s="8" t="s">
        <v>196</v>
      </c>
      <c r="L5" s="9">
        <v>-6000</v>
      </c>
      <c r="M5" s="9"/>
      <c r="N5" s="48">
        <v>0</v>
      </c>
      <c r="O5" s="21">
        <f t="shared" ref="O5:O30" si="3">IF(COUNTA($F5,$K5,$P5)&gt;0,O4+SUM(L5:N5),"")</f>
        <v>37000</v>
      </c>
      <c r="P5" s="8" t="s">
        <v>196</v>
      </c>
      <c r="Q5" s="9">
        <v>-6000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IF($J5="","",ROUND(($J5-$J$3)/1000,1)+(_xlfn.RANK.AVG($J5,($J5,$O5,$T5),1)-2)*20)</f>
        <v>24</v>
      </c>
      <c r="V5" s="54">
        <f>IF($O5="","",ROUND(($O5-$O$3)/1000,1)+(_xlfn.RANK.AVG($O5,($J5,$O5,$T5),1)-2)*20)</f>
        <v>2</v>
      </c>
      <c r="W5" s="55">
        <f>IF($T5="","",ROUND(($T5-$T$3)/1000,1)+(_xlfn.RANK.AVG($T5,($J5,$O5,$T5),1)-2)*20)</f>
        <v>-26</v>
      </c>
      <c r="Y5" s="8"/>
      <c r="Z5" s="34"/>
      <c r="AA5" s="26">
        <v>1</v>
      </c>
      <c r="AB5" s="26"/>
      <c r="AC5" s="26">
        <v>5</v>
      </c>
      <c r="AD5" s="30" t="s">
        <v>198</v>
      </c>
      <c r="AE5" s="40" t="s">
        <v>199</v>
      </c>
      <c r="AF5" s="41" t="s">
        <v>82</v>
      </c>
      <c r="AG5" s="41" t="s">
        <v>201</v>
      </c>
      <c r="AH5" s="41" t="s">
        <v>201</v>
      </c>
      <c r="AI5" s="41" t="s">
        <v>80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だいち</v>
      </c>
      <c r="F6" s="8" t="s">
        <v>202</v>
      </c>
      <c r="G6" s="9">
        <v>-8000</v>
      </c>
      <c r="H6" s="9"/>
      <c r="I6" s="48">
        <v>-1000</v>
      </c>
      <c r="J6" s="21">
        <f t="shared" si="2"/>
        <v>30000</v>
      </c>
      <c r="K6" s="8"/>
      <c r="L6" s="9"/>
      <c r="M6" s="9"/>
      <c r="N6" s="48"/>
      <c r="O6" s="21">
        <f t="shared" si="3"/>
        <v>37000</v>
      </c>
      <c r="P6" s="8" t="s">
        <v>203</v>
      </c>
      <c r="Q6" s="9">
        <v>8000</v>
      </c>
      <c r="R6" s="9"/>
      <c r="S6" s="48">
        <v>1000</v>
      </c>
      <c r="T6" s="21">
        <f t="shared" si="4"/>
        <v>38000</v>
      </c>
      <c r="U6" s="53">
        <f>IF($J6="","",ROUND(($J6-$J$3)/1000,1)+(_xlfn.RANK.AVG($J6,($J6,$O6,$T6),1)-2)*20)</f>
        <v>-25</v>
      </c>
      <c r="V6" s="54">
        <f>IF($O6="","",ROUND(($O6-$O$3)/1000,1)+(_xlfn.RANK.AVG($O6,($J6,$O6,$T6),1)-2)*20)</f>
        <v>2</v>
      </c>
      <c r="W6" s="55">
        <f>IF($T6="","",ROUND(($T6-$T$3)/1000,1)+(_xlfn.RANK.AVG($T6,($J6,$O6,$T6),1)-2)*20)</f>
        <v>23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198</v>
      </c>
      <c r="BU6" s="40" t="s">
        <v>79</v>
      </c>
      <c r="BV6" s="41" t="s">
        <v>86</v>
      </c>
      <c r="BW6" s="41" t="s">
        <v>86</v>
      </c>
      <c r="BX6" s="41" t="s">
        <v>104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ただ</v>
      </c>
      <c r="F7" s="8" t="s">
        <v>203</v>
      </c>
      <c r="G7" s="9">
        <v>8000</v>
      </c>
      <c r="H7" s="9"/>
      <c r="I7" s="48">
        <v>0</v>
      </c>
      <c r="J7" s="21">
        <f t="shared" si="2"/>
        <v>38000</v>
      </c>
      <c r="K7" s="8" t="s">
        <v>202</v>
      </c>
      <c r="L7" s="9">
        <v>-8000</v>
      </c>
      <c r="M7" s="9"/>
      <c r="N7" s="48">
        <v>0</v>
      </c>
      <c r="O7" s="21">
        <f t="shared" si="3"/>
        <v>29000</v>
      </c>
      <c r="P7" s="8"/>
      <c r="Q7" s="9"/>
      <c r="R7" s="9"/>
      <c r="S7" s="48"/>
      <c r="T7" s="21">
        <f t="shared" si="4"/>
        <v>38000</v>
      </c>
      <c r="U7" s="53">
        <f>IF($J7="","",ROUND(($J7-$J$3)/1000,1)+(_xlfn.RANK.AVG($J7,($J7,$O7,$T7),1)-2)*20)</f>
        <v>13</v>
      </c>
      <c r="V7" s="54">
        <f>IF($O7="","",ROUND(($O7-$O$3)/1000,1)+(_xlfn.RANK.AVG($O7,($J7,$O7,$T7),1)-2)*20)</f>
        <v>-26</v>
      </c>
      <c r="W7" s="55">
        <f>IF($T7="","",ROUND(($T7-$T$3)/1000,1)+(_xlfn.RANK.AVG($T7,($J7,$O7,$T7),1)-2)*20)</f>
        <v>13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199</v>
      </c>
      <c r="AF7" s="41" t="s">
        <v>86</v>
      </c>
      <c r="AG7" s="41" t="s">
        <v>80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りくと</v>
      </c>
      <c r="F8" s="8" t="s">
        <v>203</v>
      </c>
      <c r="G8" s="9">
        <v>5200</v>
      </c>
      <c r="H8" s="9">
        <v>1000</v>
      </c>
      <c r="I8" s="48">
        <v>0</v>
      </c>
      <c r="J8" s="21">
        <f t="shared" si="2"/>
        <v>44200</v>
      </c>
      <c r="K8" s="8" t="s">
        <v>202</v>
      </c>
      <c r="L8" s="9">
        <v>-5200</v>
      </c>
      <c r="M8" s="9"/>
      <c r="N8" s="48">
        <v>0</v>
      </c>
      <c r="O8" s="21">
        <f t="shared" si="3"/>
        <v>23800</v>
      </c>
      <c r="P8" s="8"/>
      <c r="Q8" s="9"/>
      <c r="R8" s="9">
        <v>-1000</v>
      </c>
      <c r="S8" s="48"/>
      <c r="T8" s="21">
        <f t="shared" si="4"/>
        <v>37000</v>
      </c>
      <c r="U8" s="53">
        <f>IF($J8="","",ROUND(($J8-$J$3)/1000,1)+(_xlfn.RANK.AVG($J8,($J8,$O8,$T8),1)-2)*20)</f>
        <v>29.2</v>
      </c>
      <c r="V8" s="54">
        <f>IF($O8="","",ROUND(($O8-$O$3)/1000,1)+(_xlfn.RANK.AVG($O8,($J8,$O8,$T8),1)-2)*20)</f>
        <v>-31.2</v>
      </c>
      <c r="W8" s="55">
        <f>IF($T8="","",ROUND(($T8-$T$3)/1000,1)+(_xlfn.RANK.AVG($T8,($J8,$O8,$T8),1)-2)*20)</f>
        <v>2</v>
      </c>
      <c r="Y8" s="8"/>
      <c r="Z8" s="34"/>
      <c r="AA8" s="26"/>
      <c r="AB8" s="26"/>
      <c r="AC8" s="26">
        <v>3</v>
      </c>
      <c r="AD8" s="30">
        <v>40</v>
      </c>
      <c r="AE8" s="40" t="s">
        <v>84</v>
      </c>
      <c r="AF8" s="41" t="s">
        <v>93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205</v>
      </c>
      <c r="G9" s="9">
        <v>3000</v>
      </c>
      <c r="H9" s="9"/>
      <c r="I9" s="48"/>
      <c r="J9" s="21">
        <f t="shared" si="2"/>
        <v>47200</v>
      </c>
      <c r="K9" s="8" t="s">
        <v>205</v>
      </c>
      <c r="L9" s="9">
        <v>-1500</v>
      </c>
      <c r="M9" s="9"/>
      <c r="N9" s="48"/>
      <c r="O9" s="21">
        <f t="shared" si="3"/>
        <v>22300</v>
      </c>
      <c r="P9" s="8" t="s">
        <v>205</v>
      </c>
      <c r="Q9" s="9">
        <v>-1500</v>
      </c>
      <c r="R9" s="9"/>
      <c r="S9" s="48"/>
      <c r="T9" s="21">
        <f t="shared" si="4"/>
        <v>35500</v>
      </c>
      <c r="U9" s="53">
        <f>IF($J9="","",ROUND(($J9-$J$3)/1000,1)+(_xlfn.RANK.AVG($J9,($J9,$O9,$T9),1)-2)*20)</f>
        <v>32.200000000000003</v>
      </c>
      <c r="V9" s="54">
        <f>IF($O9="","",ROUND(($O9-$O$3)/1000,1)+(_xlfn.RANK.AVG($O9,($J9,$O9,$T9),1)-2)*20)</f>
        <v>-32.700000000000003</v>
      </c>
      <c r="W9" s="55">
        <f>IF($T9="","",ROUND(($T9-$T$3)/1000,1)+(_xlfn.RANK.AVG($T9,($J9,$O9,$T9),1)-2)*20)</f>
        <v>0.5</v>
      </c>
      <c r="Y9" s="8" t="s">
        <v>204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IF($F$1="","",$F$1)</f>
        <v>だいち</v>
      </c>
      <c r="F10" s="8" t="s">
        <v>196</v>
      </c>
      <c r="G10" s="9">
        <v>-1300</v>
      </c>
      <c r="H10" s="9"/>
      <c r="I10" s="48">
        <v>-500</v>
      </c>
      <c r="J10" s="21">
        <f t="shared" si="2"/>
        <v>45400</v>
      </c>
      <c r="K10" s="8" t="s">
        <v>196</v>
      </c>
      <c r="L10" s="9">
        <v>-800</v>
      </c>
      <c r="M10" s="9"/>
      <c r="N10" s="48">
        <v>-500</v>
      </c>
      <c r="O10" s="21">
        <f t="shared" si="3"/>
        <v>21000</v>
      </c>
      <c r="P10" s="8" t="s">
        <v>197</v>
      </c>
      <c r="Q10" s="9">
        <v>2100</v>
      </c>
      <c r="R10" s="9"/>
      <c r="S10" s="48">
        <v>1000</v>
      </c>
      <c r="T10" s="21">
        <f t="shared" si="4"/>
        <v>38600</v>
      </c>
      <c r="U10" s="53">
        <f>IF($J10="","",ROUND(($J10-$J$3)/1000,1)+(_xlfn.RANK.AVG($J10,($J10,$O10,$T10),1)-2)*20)</f>
        <v>30.4</v>
      </c>
      <c r="V10" s="54">
        <f>IF($O10="","",ROUND(($O10-$O$3)/1000,1)+(_xlfn.RANK.AVG($O10,($J10,$O10,$T10),1)-2)*20)</f>
        <v>-34</v>
      </c>
      <c r="W10" s="55">
        <f>IF($T10="","",ROUND(($T10-$T$3)/1000,1)+(_xlfn.RANK.AVG($T10,($J10,$O10,$T10),1)-2)*20)</f>
        <v>3.6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30</v>
      </c>
      <c r="BU10" s="40" t="s">
        <v>82</v>
      </c>
      <c r="BV10" s="41" t="s">
        <v>201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IF($K$1="","",$K$1)</f>
        <v>ただ</v>
      </c>
      <c r="F11" s="8"/>
      <c r="G11" s="9"/>
      <c r="H11" s="9"/>
      <c r="I11" s="48"/>
      <c r="J11" s="21">
        <f t="shared" si="2"/>
        <v>45400</v>
      </c>
      <c r="K11" s="8" t="s">
        <v>203</v>
      </c>
      <c r="L11" s="9">
        <v>2000</v>
      </c>
      <c r="M11" s="9"/>
      <c r="N11" s="48">
        <v>0</v>
      </c>
      <c r="O11" s="21">
        <f t="shared" si="3"/>
        <v>23000</v>
      </c>
      <c r="P11" s="8" t="s">
        <v>202</v>
      </c>
      <c r="Q11" s="9">
        <v>-2000</v>
      </c>
      <c r="R11" s="9"/>
      <c r="S11" s="48">
        <v>0</v>
      </c>
      <c r="T11" s="21">
        <f t="shared" si="4"/>
        <v>36600</v>
      </c>
      <c r="U11" s="53">
        <f>IF($J11="","",ROUND(($J11-$J$3)/1000,1)+(_xlfn.RANK.AVG($J11,($J11,$O11,$T11),1)-2)*20)</f>
        <v>30.4</v>
      </c>
      <c r="V11" s="54">
        <f>IF($O11="","",ROUND(($O11-$O$3)/1000,1)+(_xlfn.RANK.AVG($O11,($J11,$O11,$T11),1)-2)*20)</f>
        <v>-32</v>
      </c>
      <c r="W11" s="55">
        <f>IF($T11="","",ROUND(($T11-$T$3)/1000,1)+(_xlfn.RANK.AVG($T11,($J11,$O11,$T11),1)-2)*20)</f>
        <v>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1</v>
      </c>
      <c r="AY11" s="30">
        <v>40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IF($K$1="","",$K$1)</f>
        <v>ただ</v>
      </c>
      <c r="F12" s="8" t="s">
        <v>202</v>
      </c>
      <c r="G12" s="9">
        <v>-8000</v>
      </c>
      <c r="H12" s="9"/>
      <c r="I12" s="48">
        <v>-1000</v>
      </c>
      <c r="J12" s="21">
        <f t="shared" si="2"/>
        <v>36400</v>
      </c>
      <c r="K12" s="8"/>
      <c r="L12" s="9"/>
      <c r="M12" s="9"/>
      <c r="N12" s="48"/>
      <c r="O12" s="21">
        <f t="shared" si="3"/>
        <v>23000</v>
      </c>
      <c r="P12" s="8" t="s">
        <v>203</v>
      </c>
      <c r="Q12" s="9">
        <v>8000</v>
      </c>
      <c r="R12" s="9"/>
      <c r="S12" s="48">
        <v>1000</v>
      </c>
      <c r="T12" s="21">
        <f t="shared" si="4"/>
        <v>45600</v>
      </c>
      <c r="U12" s="53">
        <f>IF($J12="","",ROUND(($J12-$J$3)/1000,1)+(_xlfn.RANK.AVG($J12,($J12,$O12,$T12),1)-2)*20)</f>
        <v>1.4</v>
      </c>
      <c r="V12" s="54">
        <f>IF($O12="","",ROUND(($O12-$O$3)/1000,1)+(_xlfn.RANK.AVG($O12,($J12,$O12,$T12),1)-2)*20)</f>
        <v>-32</v>
      </c>
      <c r="W12" s="55">
        <f>IF($T12="","",ROUND(($T12-$T$3)/1000,1)+(_xlfn.RANK.AVG($T12,($J12,$O12,$T12),1)-2)*20)</f>
        <v>30.6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40</v>
      </c>
      <c r="BU12" s="40" t="s">
        <v>199</v>
      </c>
      <c r="BV12" s="41" t="s">
        <v>79</v>
      </c>
      <c r="BW12" s="41" t="s">
        <v>79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43569408-CA45-4EB9-8181-481CDAE314B3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4AD83B9E-2DB8-451C-9D95-FE7EF036E1BE}">
      <formula1>"ロン,ツモ,放銃,ツモ支払,流局,チョンボ"</formula1>
    </dataValidation>
    <dataValidation type="list" allowBlank="1" showInputMessage="1" showErrorMessage="1" sqref="E4:E30" xr:uid="{E480C5B9-E3B5-4523-93DF-C4DD9B4FC2D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0F2C7-1A80-442E-A3AF-6C743E3A4B2C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202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 t="s">
        <v>203</v>
      </c>
      <c r="Q4" s="9">
        <v>5200</v>
      </c>
      <c r="R4" s="9"/>
      <c r="S4" s="48">
        <v>0</v>
      </c>
      <c r="T4" s="21">
        <f>IF(COUNTA($F4,$K4,$P4)&gt;0,T3+SUM(Q4:S4),"")</f>
        <v>40200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-25.2</v>
      </c>
      <c r="W4" s="55">
        <f>IF($T4="","",ROUND(($T4-$T$3)/1000,1)+(_xlfn.RANK.AVG($T4,($J4,$O4,$T4),1)-2)*20)</f>
        <v>25.2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40</v>
      </c>
      <c r="BU4" s="40" t="s">
        <v>86</v>
      </c>
      <c r="BV4" s="41" t="s">
        <v>79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202</v>
      </c>
      <c r="G5" s="9">
        <v>-11600</v>
      </c>
      <c r="H5" s="9"/>
      <c r="I5" s="48">
        <v>0</v>
      </c>
      <c r="J5" s="21">
        <f t="shared" ref="J5:J30" si="2">IF(COUNTA($F5,$K5,$P5)&gt;0,J4+SUM(G5:I5),"")</f>
        <v>23400</v>
      </c>
      <c r="K5" s="8" t="s">
        <v>203</v>
      </c>
      <c r="L5" s="9">
        <v>11600</v>
      </c>
      <c r="M5" s="9"/>
      <c r="N5" s="48">
        <v>0</v>
      </c>
      <c r="O5" s="21">
        <f t="shared" ref="O5:O30" si="3">IF(COUNTA($F5,$K5,$P5)&gt;0,O4+SUM(L5:N5),"")</f>
        <v>41400</v>
      </c>
      <c r="P5" s="8"/>
      <c r="Q5" s="9"/>
      <c r="R5" s="9"/>
      <c r="S5" s="48"/>
      <c r="T5" s="21">
        <f t="shared" ref="T5:T30" si="4">IF(COUNTA($F5,$K5,$P5)&gt;0,T4+SUM(Q5:S5),"")</f>
        <v>40200</v>
      </c>
      <c r="U5" s="53">
        <f>IF($J5="","",ROUND(($J5-$J$3)/1000,1)+(_xlfn.RANK.AVG($J5,($J5,$O5,$T5),1)-2)*20)</f>
        <v>-31.6</v>
      </c>
      <c r="V5" s="54">
        <f>IF($O5="","",ROUND(($O5-$O$3)/1000,1)+(_xlfn.RANK.AVG($O5,($J5,$O5,$T5),1)-2)*20)</f>
        <v>26.4</v>
      </c>
      <c r="W5" s="55">
        <f>IF($T5="","",ROUND(($T5-$T$3)/1000,1)+(_xlfn.RANK.AVG($T5,($J5,$O5,$T5),1)-2)*20)</f>
        <v>5.2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104</v>
      </c>
      <c r="BA5" s="41" t="s">
        <v>86</v>
      </c>
      <c r="BB5" s="41" t="s">
        <v>201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205</v>
      </c>
      <c r="G6" s="9">
        <v>3000</v>
      </c>
      <c r="H6" s="9"/>
      <c r="I6" s="48"/>
      <c r="J6" s="21">
        <f t="shared" si="2"/>
        <v>26400</v>
      </c>
      <c r="K6" s="8" t="s">
        <v>205</v>
      </c>
      <c r="L6" s="9">
        <v>-1500</v>
      </c>
      <c r="M6" s="9"/>
      <c r="N6" s="48"/>
      <c r="O6" s="21">
        <f t="shared" si="3"/>
        <v>39900</v>
      </c>
      <c r="P6" s="8" t="s">
        <v>205</v>
      </c>
      <c r="Q6" s="9">
        <v>-1500</v>
      </c>
      <c r="R6" s="9"/>
      <c r="S6" s="48"/>
      <c r="T6" s="21">
        <f t="shared" si="4"/>
        <v>38700</v>
      </c>
      <c r="U6" s="53">
        <f>IF($J6="","",ROUND(($J6-$J$3)/1000,1)+(_xlfn.RANK.AVG($J6,($J6,$O6,$T6),1)-2)*20)</f>
        <v>-28.6</v>
      </c>
      <c r="V6" s="54">
        <f>IF($O6="","",ROUND(($O6-$O$3)/1000,1)+(_xlfn.RANK.AVG($O6,($J6,$O6,$T6),1)-2)*20)</f>
        <v>24.9</v>
      </c>
      <c r="W6" s="55">
        <f>IF($T6="","",ROUND(($T6-$T$3)/1000,1)+(_xlfn.RANK.AVG($T6,($J6,$O6,$T6),1)-2)*20)</f>
        <v>3.7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207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207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0</v>
      </c>
      <c r="E7" s="4" t="str">
        <f>IF($P$1="","",$P$1)</f>
        <v>りくと</v>
      </c>
      <c r="F7" s="8" t="s">
        <v>203</v>
      </c>
      <c r="G7" s="9">
        <v>12000</v>
      </c>
      <c r="H7" s="9"/>
      <c r="I7" s="48">
        <v>2000</v>
      </c>
      <c r="J7" s="21">
        <f t="shared" si="2"/>
        <v>40400</v>
      </c>
      <c r="K7" s="8"/>
      <c r="L7" s="9"/>
      <c r="M7" s="9"/>
      <c r="N7" s="48"/>
      <c r="O7" s="21">
        <f t="shared" si="3"/>
        <v>39900</v>
      </c>
      <c r="P7" s="8" t="s">
        <v>202</v>
      </c>
      <c r="Q7" s="9">
        <v>-12000</v>
      </c>
      <c r="R7" s="9"/>
      <c r="S7" s="48">
        <v>-2000</v>
      </c>
      <c r="T7" s="21">
        <f t="shared" si="4"/>
        <v>24700</v>
      </c>
      <c r="U7" s="53">
        <f>IF($J7="","",ROUND(($J7-$J$3)/1000,1)+(_xlfn.RANK.AVG($J7,($J7,$O7,$T7),1)-2)*20)</f>
        <v>25.4</v>
      </c>
      <c r="V7" s="54">
        <f>IF($O7="","",ROUND(($O7-$O$3)/1000,1)+(_xlfn.RANK.AVG($O7,($J7,$O7,$T7),1)-2)*20)</f>
        <v>4.9000000000000004</v>
      </c>
      <c r="W7" s="55">
        <f>IF($T7="","",ROUND(($T7-$T$3)/1000,1)+(_xlfn.RANK.AVG($T7,($J7,$O7,$T7),1)-2)*20)</f>
        <v>-30.3</v>
      </c>
      <c r="Y7" s="8"/>
      <c r="Z7" s="34"/>
      <c r="AA7" s="26"/>
      <c r="AB7" s="26"/>
      <c r="AC7" s="26">
        <v>7</v>
      </c>
      <c r="AD7" s="30" t="s">
        <v>198</v>
      </c>
      <c r="AE7" s="40" t="s">
        <v>104</v>
      </c>
      <c r="AF7" s="41" t="s">
        <v>101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/>
      <c r="G8" s="9"/>
      <c r="H8" s="9"/>
      <c r="I8" s="48"/>
      <c r="J8" s="21">
        <f t="shared" si="2"/>
        <v>40400</v>
      </c>
      <c r="K8" s="8" t="s">
        <v>202</v>
      </c>
      <c r="L8" s="9">
        <v>-8000</v>
      </c>
      <c r="M8" s="9"/>
      <c r="N8" s="48">
        <v>0</v>
      </c>
      <c r="O8" s="21">
        <f t="shared" si="3"/>
        <v>31900</v>
      </c>
      <c r="P8" s="8" t="s">
        <v>203</v>
      </c>
      <c r="Q8" s="9">
        <v>8000</v>
      </c>
      <c r="R8" s="9"/>
      <c r="S8" s="48">
        <v>0</v>
      </c>
      <c r="T8" s="21">
        <f t="shared" si="4"/>
        <v>32700</v>
      </c>
      <c r="U8" s="53">
        <f>IF($J8="","",ROUND(($J8-$J$3)/1000,1)+(_xlfn.RANK.AVG($J8,($J8,$O8,$T8),1)-2)*20)</f>
        <v>25.4</v>
      </c>
      <c r="V8" s="54">
        <f>IF($O8="","",ROUND(($O8-$O$3)/1000,1)+(_xlfn.RANK.AVG($O8,($J8,$O8,$T8),1)-2)*20)</f>
        <v>-23.1</v>
      </c>
      <c r="W8" s="55">
        <f>IF($T8="","",ROUND(($T8-$T$3)/1000,1)+(_xlfn.RANK.AVG($T8,($J8,$O8,$T8),1)-2)*20)</f>
        <v>-2.2999999999999998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198</v>
      </c>
      <c r="BU8" s="40" t="s">
        <v>199</v>
      </c>
      <c r="BV8" s="41" t="s">
        <v>101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/>
      <c r="G9" s="9"/>
      <c r="H9" s="9"/>
      <c r="I9" s="48"/>
      <c r="J9" s="21">
        <f t="shared" si="2"/>
        <v>40400</v>
      </c>
      <c r="K9" s="8" t="s">
        <v>202</v>
      </c>
      <c r="L9" s="9">
        <v>-2000</v>
      </c>
      <c r="M9" s="9"/>
      <c r="N9" s="48">
        <v>0</v>
      </c>
      <c r="O9" s="21">
        <f t="shared" si="3"/>
        <v>29900</v>
      </c>
      <c r="P9" s="8" t="s">
        <v>203</v>
      </c>
      <c r="Q9" s="9">
        <v>2000</v>
      </c>
      <c r="R9" s="9"/>
      <c r="S9" s="48">
        <v>0</v>
      </c>
      <c r="T9" s="21">
        <f t="shared" si="4"/>
        <v>34700</v>
      </c>
      <c r="U9" s="53">
        <f>IF($J9="","",ROUND(($J9-$J$3)/1000,1)+(_xlfn.RANK.AVG($J9,($J9,$O9,$T9),1)-2)*20)</f>
        <v>25.4</v>
      </c>
      <c r="V9" s="54">
        <f>IF($O9="","",ROUND(($O9-$O$3)/1000,1)+(_xlfn.RANK.AVG($O9,($J9,$O9,$T9),1)-2)*20)</f>
        <v>-25.1</v>
      </c>
      <c r="W9" s="55">
        <f>IF($T9="","",ROUND(($T9-$T$3)/1000,1)+(_xlfn.RANK.AVG($T9,($J9,$O9,$T9),1)-2)*20)</f>
        <v>-0.3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りくと</v>
      </c>
      <c r="F10" s="8" t="s">
        <v>196</v>
      </c>
      <c r="G10" s="9">
        <v>-800</v>
      </c>
      <c r="H10" s="9"/>
      <c r="I10" s="48">
        <v>0</v>
      </c>
      <c r="J10" s="21">
        <f t="shared" si="2"/>
        <v>39600</v>
      </c>
      <c r="K10" s="8" t="s">
        <v>196</v>
      </c>
      <c r="L10" s="9">
        <v>-800</v>
      </c>
      <c r="M10" s="9"/>
      <c r="N10" s="48">
        <v>0</v>
      </c>
      <c r="O10" s="21">
        <f t="shared" si="3"/>
        <v>29100</v>
      </c>
      <c r="P10" s="8" t="s">
        <v>197</v>
      </c>
      <c r="Q10" s="9">
        <v>1600</v>
      </c>
      <c r="R10" s="9"/>
      <c r="S10" s="48">
        <v>0</v>
      </c>
      <c r="T10" s="21">
        <f t="shared" si="4"/>
        <v>36300</v>
      </c>
      <c r="U10" s="53">
        <f>IF($J10="","",ROUND(($J10-$J$3)/1000,1)+(_xlfn.RANK.AVG($J10,($J10,$O10,$T10),1)-2)*20)</f>
        <v>24.6</v>
      </c>
      <c r="V10" s="54">
        <f>IF($O10="","",ROUND(($O10-$O$3)/1000,1)+(_xlfn.RANK.AVG($O10,($J10,$O10,$T10),1)-2)*20)</f>
        <v>-25.9</v>
      </c>
      <c r="W10" s="55">
        <f>IF($T10="","",ROUND(($T10-$T$3)/1000,1)+(_xlfn.RANK.AVG($T10,($J10,$O10,$T10),1)-2)*20)</f>
        <v>1.3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1</v>
      </c>
      <c r="BT10" s="30">
        <v>30</v>
      </c>
      <c r="BU10" s="40" t="s">
        <v>199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りくと</v>
      </c>
      <c r="F11" s="8" t="s">
        <v>196</v>
      </c>
      <c r="G11" s="9">
        <v>-5800</v>
      </c>
      <c r="H11" s="9"/>
      <c r="I11" s="48">
        <v>-500</v>
      </c>
      <c r="J11" s="21">
        <f t="shared" si="2"/>
        <v>33300</v>
      </c>
      <c r="K11" s="8" t="s">
        <v>196</v>
      </c>
      <c r="L11" s="9">
        <v>-5800</v>
      </c>
      <c r="M11" s="9"/>
      <c r="N11" s="48">
        <v>-500</v>
      </c>
      <c r="O11" s="21">
        <f t="shared" si="3"/>
        <v>22800</v>
      </c>
      <c r="P11" s="8" t="s">
        <v>197</v>
      </c>
      <c r="Q11" s="9">
        <v>11600</v>
      </c>
      <c r="R11" s="9"/>
      <c r="S11" s="48">
        <v>1000</v>
      </c>
      <c r="T11" s="21">
        <f t="shared" si="4"/>
        <v>48900</v>
      </c>
      <c r="U11" s="53">
        <f>IF($J11="","",ROUND(($J11-$J$3)/1000,1)+(_xlfn.RANK.AVG($J11,($J11,$O11,$T11),1)-2)*20)</f>
        <v>-1.7</v>
      </c>
      <c r="V11" s="54">
        <f>IF($O11="","",ROUND(($O11-$O$3)/1000,1)+(_xlfn.RANK.AVG($O11,($J11,$O11,$T11),1)-2)*20)</f>
        <v>-32.200000000000003</v>
      </c>
      <c r="W11" s="55">
        <f>IF($T11="","",ROUND(($T11-$T$3)/1000,1)+(_xlfn.RANK.AVG($T11,($J11,$O11,$T11),1)-2)*20)</f>
        <v>33.9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199</v>
      </c>
      <c r="BV11" s="41" t="s">
        <v>82</v>
      </c>
      <c r="BW11" s="41" t="s">
        <v>79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3A42F624-845A-4AC8-BD84-5CB0B03E0CFC}">
      <formula1>$U$2:$W$2</formula1>
    </dataValidation>
    <dataValidation type="list" showInputMessage="1" showErrorMessage="1" sqref="K4:K30 P4:P30 F4:F30" xr:uid="{8BE878A4-D73B-4271-83E3-ABC49F0F77E7}">
      <formula1>"ロン,ツモ,放銃,ツモ支払,流局,チョンボ"</formula1>
    </dataValidation>
    <dataValidation type="list" allowBlank="1" showInputMessage="1" sqref="F1:T1" xr:uid="{CAA0DAC3-898D-4667-8E6C-AFDF0B43E565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8E0D3-340E-4000-8D47-9C9F201979B0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203</v>
      </c>
      <c r="G4" s="9">
        <v>1600</v>
      </c>
      <c r="H4" s="9"/>
      <c r="I4" s="48">
        <v>0</v>
      </c>
      <c r="J4" s="21">
        <f>IF(COUNTA($F4,$K4,$P4)&gt;0,J3+SUM(G4:I4),"")</f>
        <v>36600</v>
      </c>
      <c r="K4" s="8"/>
      <c r="L4" s="9"/>
      <c r="M4" s="9"/>
      <c r="N4" s="48"/>
      <c r="O4" s="21">
        <f>IF(COUNTA($F4,$K4,$P4)&gt;0,O3+SUM(L4:N4),"")</f>
        <v>35000</v>
      </c>
      <c r="P4" s="8" t="s">
        <v>202</v>
      </c>
      <c r="Q4" s="9">
        <v>-1600</v>
      </c>
      <c r="R4" s="9"/>
      <c r="S4" s="48">
        <v>0</v>
      </c>
      <c r="T4" s="21">
        <f>IF(COUNTA($F4,$K4,$P4)&gt;0,T3+SUM(Q4:S4),"")</f>
        <v>33400</v>
      </c>
      <c r="U4" s="53">
        <f>IF($J4="","",ROUND(($J4-$J$3)/1000,1)+(_xlfn.RANK.AVG($J4,($J4,$O4,$T4),1)-2)*20)</f>
        <v>21.6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-21.6</v>
      </c>
      <c r="Y4" s="8"/>
      <c r="Z4" s="34"/>
      <c r="AA4" s="26"/>
      <c r="AB4" s="26"/>
      <c r="AC4" s="26">
        <v>1</v>
      </c>
      <c r="AD4" s="30">
        <v>50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205</v>
      </c>
      <c r="G5" s="9">
        <v>-3000</v>
      </c>
      <c r="H5" s="9"/>
      <c r="I5" s="48"/>
      <c r="J5" s="21">
        <f t="shared" ref="J5:J30" si="2">IF(COUNTA($F5,$K5,$P5)&gt;0,J4+SUM(G5:I5),"")</f>
        <v>33600</v>
      </c>
      <c r="K5" s="8" t="s">
        <v>205</v>
      </c>
      <c r="L5" s="9">
        <v>1500</v>
      </c>
      <c r="M5" s="9"/>
      <c r="N5" s="48"/>
      <c r="O5" s="21">
        <f t="shared" ref="O5:O30" si="3">IF(COUNTA($F5,$K5,$P5)&gt;0,O4+SUM(L5:N5),"")</f>
        <v>36500</v>
      </c>
      <c r="P5" s="8" t="s">
        <v>205</v>
      </c>
      <c r="Q5" s="9">
        <v>1500</v>
      </c>
      <c r="R5" s="9"/>
      <c r="S5" s="48"/>
      <c r="T5" s="21">
        <f t="shared" ref="T5:T30" si="4">IF(COUNTA($F5,$K5,$P5)&gt;0,T4+SUM(Q5:S5),"")</f>
        <v>34900</v>
      </c>
      <c r="U5" s="53">
        <f>IF($J5="","",ROUND(($J5-$J$3)/1000,1)+(_xlfn.RANK.AVG($J5,($J5,$O5,$T5),1)-2)*20)</f>
        <v>-21.4</v>
      </c>
      <c r="V5" s="54">
        <f>IF($O5="","",ROUND(($O5-$O$3)/1000,1)+(_xlfn.RANK.AVG($O5,($J5,$O5,$T5),1)-2)*20)</f>
        <v>21.5</v>
      </c>
      <c r="W5" s="55">
        <f>IF($T5="","",ROUND(($T5-$T$3)/1000,1)+(_xlfn.RANK.AVG($T5,($J5,$O5,$T5),1)-2)*20)</f>
        <v>-0.1</v>
      </c>
      <c r="Y5" s="8" t="s">
        <v>207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205</v>
      </c>
      <c r="G6" s="9">
        <v>0</v>
      </c>
      <c r="H6" s="9">
        <v>-1000</v>
      </c>
      <c r="I6" s="48"/>
      <c r="J6" s="21">
        <f t="shared" si="2"/>
        <v>32600</v>
      </c>
      <c r="K6" s="8" t="s">
        <v>205</v>
      </c>
      <c r="L6" s="9">
        <v>0</v>
      </c>
      <c r="M6" s="9"/>
      <c r="N6" s="48"/>
      <c r="O6" s="21">
        <f t="shared" si="3"/>
        <v>36500</v>
      </c>
      <c r="P6" s="8" t="s">
        <v>205</v>
      </c>
      <c r="Q6" s="9">
        <v>0</v>
      </c>
      <c r="R6" s="9">
        <v>-1000</v>
      </c>
      <c r="S6" s="48"/>
      <c r="T6" s="21">
        <f t="shared" si="4"/>
        <v>33900</v>
      </c>
      <c r="U6" s="53">
        <f>IF($J6="","",ROUND(($J6-$J$3)/1000,1)+(_xlfn.RANK.AVG($J6,($J6,$O6,$T6),1)-2)*20)</f>
        <v>-22.4</v>
      </c>
      <c r="V6" s="54">
        <f>IF($O6="","",ROUND(($O6-$O$3)/1000,1)+(_xlfn.RANK.AVG($O6,($J6,$O6,$T6),1)-2)*20)</f>
        <v>21.5</v>
      </c>
      <c r="W6" s="55">
        <f>IF($T6="","",ROUND(($T6-$T$3)/1000,1)+(_xlfn.RANK.AVG($T6,($J6,$O6,$T6),1)-2)*20)</f>
        <v>-1.1000000000000001</v>
      </c>
      <c r="Y6" s="8" t="s">
        <v>204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2</v>
      </c>
      <c r="E7" s="4" t="str">
        <f>IF($K$1="","",$K$1)</f>
        <v>ただ</v>
      </c>
      <c r="F7" s="8" t="s">
        <v>196</v>
      </c>
      <c r="G7" s="9">
        <v>-1500</v>
      </c>
      <c r="H7" s="9"/>
      <c r="I7" s="48">
        <v>-1000</v>
      </c>
      <c r="J7" s="21">
        <f t="shared" si="2"/>
        <v>30100</v>
      </c>
      <c r="K7" s="8" t="s">
        <v>197</v>
      </c>
      <c r="L7" s="9">
        <v>3000</v>
      </c>
      <c r="M7" s="9">
        <v>3000</v>
      </c>
      <c r="N7" s="48">
        <v>2000</v>
      </c>
      <c r="O7" s="21">
        <f t="shared" si="3"/>
        <v>44500</v>
      </c>
      <c r="P7" s="8" t="s">
        <v>196</v>
      </c>
      <c r="Q7" s="9">
        <v>-1500</v>
      </c>
      <c r="R7" s="9">
        <v>-1000</v>
      </c>
      <c r="S7" s="48">
        <v>-1000</v>
      </c>
      <c r="T7" s="21">
        <f t="shared" si="4"/>
        <v>30400</v>
      </c>
      <c r="U7" s="53">
        <f>IF($J7="","",ROUND(($J7-$J$3)/1000,1)+(_xlfn.RANK.AVG($J7,($J7,$O7,$T7),1)-2)*20)</f>
        <v>-24.9</v>
      </c>
      <c r="V7" s="54">
        <f>IF($O7="","",ROUND(($O7-$O$3)/1000,1)+(_xlfn.RANK.AVG($O7,($J7,$O7,$T7),1)-2)*20)</f>
        <v>29.5</v>
      </c>
      <c r="W7" s="55">
        <f>IF($T7="","",ROUND(($T7-$T$3)/1000,1)+(_xlfn.RANK.AVG($T7,($J7,$O7,$T7),1)-2)*20)</f>
        <v>-4.5999999999999996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199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tr">
        <f>IF($K$1="","",$K$1)</f>
        <v>ただ</v>
      </c>
      <c r="F8" s="8"/>
      <c r="G8" s="9"/>
      <c r="H8" s="9"/>
      <c r="I8" s="48"/>
      <c r="J8" s="21">
        <f t="shared" si="2"/>
        <v>30100</v>
      </c>
      <c r="K8" s="8" t="s">
        <v>203</v>
      </c>
      <c r="L8" s="9">
        <v>12000</v>
      </c>
      <c r="M8" s="9"/>
      <c r="N8" s="48">
        <v>3000</v>
      </c>
      <c r="O8" s="21">
        <f t="shared" si="3"/>
        <v>59500</v>
      </c>
      <c r="P8" s="8" t="s">
        <v>202</v>
      </c>
      <c r="Q8" s="9">
        <v>-12000</v>
      </c>
      <c r="R8" s="9"/>
      <c r="S8" s="48">
        <v>-3000</v>
      </c>
      <c r="T8" s="21">
        <f t="shared" si="4"/>
        <v>15400</v>
      </c>
      <c r="U8" s="53">
        <f>IF($J8="","",ROUND(($J8-$J$3)/1000,1)+(_xlfn.RANK.AVG($J8,($J8,$O8,$T8),1)-2)*20)</f>
        <v>-4.9000000000000004</v>
      </c>
      <c r="V8" s="54">
        <f>IF($O8="","",ROUND(($O8-$O$3)/1000,1)+(_xlfn.RANK.AVG($O8,($J8,$O8,$T8),1)-2)*20)</f>
        <v>44.5</v>
      </c>
      <c r="W8" s="55">
        <f>IF($T8="","",ROUND(($T8-$T$3)/1000,1)+(_xlfn.RANK.AVG($T8,($J8,$O8,$T8),1)-2)*20)</f>
        <v>-39.6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5</v>
      </c>
      <c r="AY8" s="30" t="s">
        <v>198</v>
      </c>
      <c r="AZ8" s="40" t="s">
        <v>101</v>
      </c>
      <c r="BA8" s="41" t="s">
        <v>79</v>
      </c>
      <c r="BB8" s="41" t="s">
        <v>79</v>
      </c>
      <c r="BC8" s="41" t="s">
        <v>201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tr">
        <f>IF($K$1="","",$K$1)</f>
        <v>ただ</v>
      </c>
      <c r="F9" s="8" t="s">
        <v>203</v>
      </c>
      <c r="G9" s="9">
        <v>8000</v>
      </c>
      <c r="H9" s="9">
        <v>1000</v>
      </c>
      <c r="I9" s="48">
        <v>4000</v>
      </c>
      <c r="J9" s="21">
        <f t="shared" si="2"/>
        <v>43100</v>
      </c>
      <c r="K9" s="8" t="s">
        <v>202</v>
      </c>
      <c r="L9" s="9">
        <v>-8000</v>
      </c>
      <c r="M9" s="9">
        <v>-1000</v>
      </c>
      <c r="N9" s="48">
        <v>-4000</v>
      </c>
      <c r="O9" s="21">
        <f t="shared" si="3"/>
        <v>46500</v>
      </c>
      <c r="P9" s="8"/>
      <c r="Q9" s="9"/>
      <c r="R9" s="9"/>
      <c r="S9" s="48"/>
      <c r="T9" s="21">
        <f t="shared" si="4"/>
        <v>15400</v>
      </c>
      <c r="U9" s="53">
        <f>IF($J9="","",ROUND(($J9-$J$3)/1000,1)+(_xlfn.RANK.AVG($J9,($J9,$O9,$T9),1)-2)*20)</f>
        <v>8.1</v>
      </c>
      <c r="V9" s="54">
        <f>IF($O9="","",ROUND(($O9-$O$3)/1000,1)+(_xlfn.RANK.AVG($O9,($J9,$O9,$T9),1)-2)*20)</f>
        <v>31.5</v>
      </c>
      <c r="W9" s="55">
        <f>IF($T9="","",ROUND(($T9-$T$3)/1000,1)+(_xlfn.RANK.AVG($T9,($J9,$O9,$T9),1)-2)*20)</f>
        <v>-39.6</v>
      </c>
      <c r="Y9" s="8"/>
      <c r="Z9" s="34"/>
      <c r="AA9" s="26"/>
      <c r="AB9" s="26">
        <v>1</v>
      </c>
      <c r="AC9" s="26">
        <v>5</v>
      </c>
      <c r="AD9" s="30" t="s">
        <v>198</v>
      </c>
      <c r="AE9" s="40" t="s">
        <v>86</v>
      </c>
      <c r="AF9" s="41" t="s">
        <v>79</v>
      </c>
      <c r="AG9" s="41" t="s">
        <v>79</v>
      </c>
      <c r="AH9" s="41" t="s">
        <v>79</v>
      </c>
      <c r="AI9" s="41" t="s">
        <v>201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りくと</v>
      </c>
      <c r="F10" s="8" t="s">
        <v>196</v>
      </c>
      <c r="G10" s="9">
        <v>-800</v>
      </c>
      <c r="H10" s="9">
        <v>-1000</v>
      </c>
      <c r="I10" s="48">
        <v>0</v>
      </c>
      <c r="J10" s="21">
        <f t="shared" si="2"/>
        <v>41300</v>
      </c>
      <c r="K10" s="8" t="s">
        <v>196</v>
      </c>
      <c r="L10" s="9">
        <v>-800</v>
      </c>
      <c r="M10" s="9"/>
      <c r="N10" s="48">
        <v>0</v>
      </c>
      <c r="O10" s="21">
        <f t="shared" si="3"/>
        <v>45700</v>
      </c>
      <c r="P10" s="8" t="s">
        <v>197</v>
      </c>
      <c r="Q10" s="9">
        <v>1600</v>
      </c>
      <c r="R10" s="9">
        <v>1000</v>
      </c>
      <c r="S10" s="48">
        <v>0</v>
      </c>
      <c r="T10" s="21">
        <f t="shared" si="4"/>
        <v>18000</v>
      </c>
      <c r="U10" s="53">
        <f>IF($J10="","",ROUND(($J10-$J$3)/1000,1)+(_xlfn.RANK.AVG($J10,($J10,$O10,$T10),1)-2)*20)</f>
        <v>6.3</v>
      </c>
      <c r="V10" s="54">
        <f>IF($O10="","",ROUND(($O10-$O$3)/1000,1)+(_xlfn.RANK.AVG($O10,($J10,$O10,$T10),1)-2)*20)</f>
        <v>30.7</v>
      </c>
      <c r="W10" s="55">
        <f>IF($T10="","",ROUND(($T10-$T$3)/1000,1)+(_xlfn.RANK.AVG($T10,($J10,$O10,$T10),1)-2)*20)</f>
        <v>-37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1</v>
      </c>
      <c r="BT10" s="30">
        <v>30</v>
      </c>
      <c r="BU10" s="40" t="s">
        <v>82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IF($P$1="","",$P$1)</f>
        <v>りくと</v>
      </c>
      <c r="F11" s="8" t="s">
        <v>196</v>
      </c>
      <c r="G11" s="9">
        <v>-4500</v>
      </c>
      <c r="H11" s="9"/>
      <c r="I11" s="48">
        <v>-500</v>
      </c>
      <c r="J11" s="21">
        <f t="shared" si="2"/>
        <v>36300</v>
      </c>
      <c r="K11" s="8" t="s">
        <v>197</v>
      </c>
      <c r="L11" s="9">
        <v>12000</v>
      </c>
      <c r="M11" s="9"/>
      <c r="N11" s="48">
        <v>1000</v>
      </c>
      <c r="O11" s="21">
        <f t="shared" si="3"/>
        <v>58700</v>
      </c>
      <c r="P11" s="8" t="s">
        <v>196</v>
      </c>
      <c r="Q11" s="9">
        <v>-7500</v>
      </c>
      <c r="R11" s="9"/>
      <c r="S11" s="48">
        <v>-500</v>
      </c>
      <c r="T11" s="21">
        <f t="shared" si="4"/>
        <v>10000</v>
      </c>
      <c r="U11" s="53">
        <f>IF($J11="","",ROUND(($J11-$J$3)/1000,1)+(_xlfn.RANK.AVG($J11,($J11,$O11,$T11),1)-2)*20)</f>
        <v>1.3</v>
      </c>
      <c r="V11" s="54">
        <f>IF($O11="","",ROUND(($O11-$O$3)/1000,1)+(_xlfn.RANK.AVG($O11,($J11,$O11,$T11),1)-2)*20)</f>
        <v>43.7</v>
      </c>
      <c r="W11" s="55">
        <f>IF($T11="","",ROUND(($T11-$T$3)/1000,1)+(_xlfn.RANK.AVG($T11,($J11,$O11,$T11),1)-2)*20)</f>
        <v>-45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198</v>
      </c>
      <c r="AZ11" s="40" t="s">
        <v>199</v>
      </c>
      <c r="BA11" s="41" t="s">
        <v>82</v>
      </c>
      <c r="BB11" s="41" t="s">
        <v>83</v>
      </c>
      <c r="BC11" s="41" t="s">
        <v>85</v>
      </c>
      <c r="BD11" s="41" t="s">
        <v>84</v>
      </c>
      <c r="BE11" s="41" t="s">
        <v>201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IF($F$1="","",$F$1)</f>
        <v>だいち</v>
      </c>
      <c r="F12" s="8" t="s">
        <v>202</v>
      </c>
      <c r="G12" s="9">
        <v>-5200</v>
      </c>
      <c r="H12" s="9"/>
      <c r="I12" s="48">
        <v>0</v>
      </c>
      <c r="J12" s="21">
        <f t="shared" si="2"/>
        <v>31100</v>
      </c>
      <c r="K12" s="8"/>
      <c r="L12" s="9"/>
      <c r="M12" s="9"/>
      <c r="N12" s="48"/>
      <c r="O12" s="21">
        <f t="shared" si="3"/>
        <v>58700</v>
      </c>
      <c r="P12" s="8" t="s">
        <v>203</v>
      </c>
      <c r="Q12" s="9">
        <v>5200</v>
      </c>
      <c r="R12" s="9"/>
      <c r="S12" s="48">
        <v>0</v>
      </c>
      <c r="T12" s="21">
        <f t="shared" si="4"/>
        <v>15200</v>
      </c>
      <c r="U12" s="53">
        <f>IF($J12="","",ROUND(($J12-$J$3)/1000,1)+(_xlfn.RANK.AVG($J12,($J12,$O12,$T12),1)-2)*20)</f>
        <v>-3.9</v>
      </c>
      <c r="V12" s="54">
        <f>IF($O12="","",ROUND(($O12-$O$3)/1000,1)+(_xlfn.RANK.AVG($O12,($J12,$O12,$T12),1)-2)*20)</f>
        <v>43.7</v>
      </c>
      <c r="W12" s="55">
        <f>IF($T12="","",ROUND(($T12-$T$3)/1000,1)+(_xlfn.RANK.AVG($T12,($J12,$O12,$T12),1)-2)*20)</f>
        <v>-39.799999999999997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3</v>
      </c>
      <c r="BT12" s="30">
        <v>40</v>
      </c>
      <c r="BU12" s="40" t="s">
        <v>84</v>
      </c>
      <c r="BV12" s="41" t="s">
        <v>201</v>
      </c>
      <c r="BW12" s="41" t="s">
        <v>85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IF($K$1="","",$K$1)</f>
        <v>ただ</v>
      </c>
      <c r="F13" s="8" t="s">
        <v>196</v>
      </c>
      <c r="G13" s="9">
        <v>-5800</v>
      </c>
      <c r="H13" s="9"/>
      <c r="I13" s="48">
        <v>0</v>
      </c>
      <c r="J13" s="21">
        <f t="shared" si="2"/>
        <v>25300</v>
      </c>
      <c r="K13" s="8" t="s">
        <v>197</v>
      </c>
      <c r="L13" s="9">
        <v>11600</v>
      </c>
      <c r="M13" s="9"/>
      <c r="N13" s="48">
        <v>0</v>
      </c>
      <c r="O13" s="21">
        <f t="shared" si="3"/>
        <v>70300</v>
      </c>
      <c r="P13" s="8" t="s">
        <v>196</v>
      </c>
      <c r="Q13" s="9">
        <v>-5800</v>
      </c>
      <c r="R13" s="9"/>
      <c r="S13" s="48">
        <v>0</v>
      </c>
      <c r="T13" s="21">
        <f t="shared" si="4"/>
        <v>9400</v>
      </c>
      <c r="U13" s="53">
        <f>IF($J13="","",ROUND(($J13-$J$3)/1000,1)+(_xlfn.RANK.AVG($J13,($J13,$O13,$T13),1)-2)*20)</f>
        <v>-9.6999999999999993</v>
      </c>
      <c r="V13" s="54">
        <f>IF($O13="","",ROUND(($O13-$O$3)/1000,1)+(_xlfn.RANK.AVG($O13,($J13,$O13,$T13),1)-2)*20)</f>
        <v>55.3</v>
      </c>
      <c r="W13" s="55">
        <f>IF($T13="","",ROUND(($T13-$T$3)/1000,1)+(_xlfn.RANK.AVG($T13,($J13,$O13,$T13),1)-2)*20)</f>
        <v>-45.6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4</v>
      </c>
      <c r="AY13" s="30">
        <v>30</v>
      </c>
      <c r="AZ13" s="40" t="s">
        <v>86</v>
      </c>
      <c r="BA13" s="41" t="s">
        <v>104</v>
      </c>
      <c r="BB13" s="41" t="s">
        <v>79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EE720B6A-78C6-4CFE-9544-83B23EA0231E}">
      <formula1>"ロン,ツモ,放銃,ツモ支払,流局,チョンボ"</formula1>
    </dataValidation>
    <dataValidation type="list" allowBlank="1" showInputMessage="1" showErrorMessage="1" sqref="E4:E30" xr:uid="{521AF005-D6E2-481D-A45E-FCFAD3312274}">
      <formula1>$U$2:$W$2</formula1>
    </dataValidation>
    <dataValidation type="list" allowBlank="1" showInputMessage="1" sqref="F1:T1" xr:uid="{C28C7C7B-CFF5-431B-AD7C-C92B2383AAEC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97DAB-513C-436E-A7EB-9554A65A46CF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ただ</v>
      </c>
      <c r="W2" s="16" t="str">
        <f>$P$1</f>
        <v>りくと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196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197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196</v>
      </c>
      <c r="Q4" s="9">
        <v>-10000</v>
      </c>
      <c r="R4" s="9"/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IF($J4="","",ROUND(($J4-$J$3)/1000,1)+(_xlfn.RANK.AVG($J4,($J4,$O4,$T4),1)-2)*20)</f>
        <v>-6</v>
      </c>
      <c r="V4" s="54">
        <f>IF($O4="","",ROUND(($O4-$O$3)/1000,1)+(_xlfn.RANK.AVG($O4,($J4,$O4,$T4),1)-2)*20)</f>
        <v>36</v>
      </c>
      <c r="W4" s="55">
        <f>IF($T4="","",ROUND(($T4-$T$3)/1000,1)+(_xlfn.RANK.AVG($T4,($J4,$O4,$T4),1)-2)*20)</f>
        <v>-30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8</v>
      </c>
      <c r="AY4" s="30" t="s">
        <v>198</v>
      </c>
      <c r="AZ4" s="40" t="s">
        <v>104</v>
      </c>
      <c r="BA4" s="41" t="s">
        <v>79</v>
      </c>
      <c r="BB4" s="41" t="s">
        <v>79</v>
      </c>
      <c r="BC4" s="41" t="s">
        <v>201</v>
      </c>
      <c r="BD4" s="41" t="s">
        <v>82</v>
      </c>
      <c r="BE4" s="41" t="s">
        <v>86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205</v>
      </c>
      <c r="G5" s="9">
        <v>-1500</v>
      </c>
      <c r="H5" s="9"/>
      <c r="I5" s="48"/>
      <c r="J5" s="21">
        <f t="shared" ref="J5:J30" si="2">IF(COUNTA($F5,$K5,$P5)&gt;0,J4+SUM(G5:I5),"")</f>
        <v>27500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49500</v>
      </c>
      <c r="P5" s="8" t="s">
        <v>205</v>
      </c>
      <c r="Q5" s="9">
        <v>3000</v>
      </c>
      <c r="R5" s="9"/>
      <c r="S5" s="48"/>
      <c r="T5" s="21">
        <f t="shared" ref="T5:T30" si="4">IF(COUNTA($F5,$K5,$P5)&gt;0,T4+SUM(Q5:S5),"")</f>
        <v>28000</v>
      </c>
      <c r="U5" s="53">
        <f>IF($J5="","",ROUND(($J5-$J$3)/1000,1)+(_xlfn.RANK.AVG($J5,($J5,$O5,$T5),1)-2)*20)</f>
        <v>-27.5</v>
      </c>
      <c r="V5" s="54">
        <f>IF($O5="","",ROUND(($O5-$O$3)/1000,1)+(_xlfn.RANK.AVG($O5,($J5,$O5,$T5),1)-2)*20)</f>
        <v>34.5</v>
      </c>
      <c r="W5" s="55">
        <f>IF($T5="","",ROUND(($T5-$T$3)/1000,1)+(_xlfn.RANK.AVG($T5,($J5,$O5,$T5),1)-2)*20)</f>
        <v>-7</v>
      </c>
      <c r="Y5" s="8" t="s">
        <v>207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197</v>
      </c>
      <c r="G6" s="9">
        <v>16000</v>
      </c>
      <c r="H6" s="9"/>
      <c r="I6" s="48">
        <v>1000</v>
      </c>
      <c r="J6" s="21">
        <f t="shared" si="2"/>
        <v>44500</v>
      </c>
      <c r="K6" s="8" t="s">
        <v>196</v>
      </c>
      <c r="L6" s="9">
        <v>-10000</v>
      </c>
      <c r="M6" s="9"/>
      <c r="N6" s="48">
        <v>-500</v>
      </c>
      <c r="O6" s="21">
        <f t="shared" si="3"/>
        <v>39000</v>
      </c>
      <c r="P6" s="8" t="s">
        <v>196</v>
      </c>
      <c r="Q6" s="9">
        <v>-6000</v>
      </c>
      <c r="R6" s="9"/>
      <c r="S6" s="48">
        <v>-500</v>
      </c>
      <c r="T6" s="21">
        <f t="shared" si="4"/>
        <v>21500</v>
      </c>
      <c r="U6" s="53">
        <f>IF($J6="","",ROUND(($J6-$J$3)/1000,1)+(_xlfn.RANK.AVG($J6,($J6,$O6,$T6),1)-2)*20)</f>
        <v>29.5</v>
      </c>
      <c r="V6" s="54">
        <f>IF($O6="","",ROUND(($O6-$O$3)/1000,1)+(_xlfn.RANK.AVG($O6,($J6,$O6,$T6),1)-2)*20)</f>
        <v>4</v>
      </c>
      <c r="W6" s="55">
        <f>IF($T6="","",ROUND(($T6-$T$3)/1000,1)+(_xlfn.RANK.AVG($T6,($J6,$O6,$T6),1)-2)*20)</f>
        <v>-33.5</v>
      </c>
      <c r="Y6" s="8"/>
      <c r="Z6" s="34"/>
      <c r="AA6" s="26">
        <v>1</v>
      </c>
      <c r="AB6" s="26"/>
      <c r="AC6" s="26">
        <v>8</v>
      </c>
      <c r="AD6" s="30" t="s">
        <v>198</v>
      </c>
      <c r="AE6" s="40" t="s">
        <v>199</v>
      </c>
      <c r="AF6" s="41" t="s">
        <v>82</v>
      </c>
      <c r="AG6" s="41" t="s">
        <v>79</v>
      </c>
      <c r="AH6" s="41" t="s">
        <v>79</v>
      </c>
      <c r="AI6" s="41" t="s">
        <v>79</v>
      </c>
      <c r="AJ6" s="41" t="s">
        <v>80</v>
      </c>
      <c r="AK6" s="41" t="s">
        <v>80</v>
      </c>
      <c r="AL6" s="41" t="s">
        <v>80</v>
      </c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/>
      <c r="G7" s="9"/>
      <c r="H7" s="9"/>
      <c r="I7" s="48"/>
      <c r="J7" s="21">
        <f t="shared" si="2"/>
        <v>44500</v>
      </c>
      <c r="K7" s="8" t="s">
        <v>203</v>
      </c>
      <c r="L7" s="9">
        <v>2600</v>
      </c>
      <c r="M7" s="9"/>
      <c r="N7" s="48">
        <v>0</v>
      </c>
      <c r="O7" s="21">
        <f t="shared" si="3"/>
        <v>41600</v>
      </c>
      <c r="P7" s="8" t="s">
        <v>202</v>
      </c>
      <c r="Q7" s="9">
        <v>-2600</v>
      </c>
      <c r="R7" s="9"/>
      <c r="S7" s="48">
        <v>0</v>
      </c>
      <c r="T7" s="21">
        <f t="shared" si="4"/>
        <v>18900</v>
      </c>
      <c r="U7" s="53">
        <f>IF($J7="","",ROUND(($J7-$J$3)/1000,1)+(_xlfn.RANK.AVG($J7,($J7,$O7,$T7),1)-2)*20)</f>
        <v>29.5</v>
      </c>
      <c r="V7" s="54">
        <f>IF($O7="","",ROUND(($O7-$O$3)/1000,1)+(_xlfn.RANK.AVG($O7,($J7,$O7,$T7),1)-2)*20)</f>
        <v>6.6</v>
      </c>
      <c r="W7" s="55">
        <f>IF($T7="","",ROUND(($T7-$T$3)/1000,1)+(_xlfn.RANK.AVG($T7,($J7,$O7,$T7),1)-2)*20)</f>
        <v>-36.1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40</v>
      </c>
      <c r="AZ7" s="40" t="s">
        <v>199</v>
      </c>
      <c r="BA7" s="41" t="s">
        <v>200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203</v>
      </c>
      <c r="G8" s="9">
        <v>18000</v>
      </c>
      <c r="H8" s="9"/>
      <c r="I8" s="48">
        <v>0</v>
      </c>
      <c r="J8" s="21">
        <f t="shared" si="2"/>
        <v>62500</v>
      </c>
      <c r="K8" s="8" t="s">
        <v>202</v>
      </c>
      <c r="L8" s="9">
        <v>-18000</v>
      </c>
      <c r="M8" s="9"/>
      <c r="N8" s="48">
        <v>0</v>
      </c>
      <c r="O8" s="21">
        <f t="shared" si="3"/>
        <v>23600</v>
      </c>
      <c r="P8" s="8"/>
      <c r="Q8" s="9"/>
      <c r="R8" s="9"/>
      <c r="S8" s="48"/>
      <c r="T8" s="21">
        <f t="shared" si="4"/>
        <v>18900</v>
      </c>
      <c r="U8" s="53">
        <f>IF($J8="","",ROUND(($J8-$J$3)/1000,1)+(_xlfn.RANK.AVG($J8,($J8,$O8,$T8),1)-2)*20)</f>
        <v>47.5</v>
      </c>
      <c r="V8" s="54">
        <f>IF($O8="","",ROUND(($O8-$O$3)/1000,1)+(_xlfn.RANK.AVG($O8,($J8,$O8,$T8),1)-2)*20)</f>
        <v>-11.4</v>
      </c>
      <c r="W8" s="55">
        <f>IF($T8="","",ROUND(($T8-$T$3)/1000,1)+(_xlfn.RANK.AVG($T8,($J8,$O8,$T8),1)-2)*20)</f>
        <v>-36.1</v>
      </c>
      <c r="Y8" s="8"/>
      <c r="Z8" s="34"/>
      <c r="AA8" s="26"/>
      <c r="AB8" s="26"/>
      <c r="AC8" s="26">
        <v>7</v>
      </c>
      <c r="AD8" s="30" t="s">
        <v>198</v>
      </c>
      <c r="AE8" s="40" t="s">
        <v>104</v>
      </c>
      <c r="AF8" s="41" t="s">
        <v>101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197</v>
      </c>
      <c r="G9" s="9">
        <v>4000</v>
      </c>
      <c r="H9" s="9"/>
      <c r="I9" s="48">
        <v>1000</v>
      </c>
      <c r="J9" s="21">
        <f t="shared" si="2"/>
        <v>67500</v>
      </c>
      <c r="K9" s="8" t="s">
        <v>196</v>
      </c>
      <c r="L9" s="9">
        <v>-2000</v>
      </c>
      <c r="M9" s="9"/>
      <c r="N9" s="48">
        <v>-500</v>
      </c>
      <c r="O9" s="21">
        <f t="shared" si="3"/>
        <v>21100</v>
      </c>
      <c r="P9" s="8" t="s">
        <v>196</v>
      </c>
      <c r="Q9" s="9">
        <v>-2000</v>
      </c>
      <c r="R9" s="9"/>
      <c r="S9" s="48">
        <v>-500</v>
      </c>
      <c r="T9" s="21">
        <f t="shared" si="4"/>
        <v>16400</v>
      </c>
      <c r="U9" s="53">
        <f>IF($J9="","",ROUND(($J9-$J$3)/1000,1)+(_xlfn.RANK.AVG($J9,($J9,$O9,$T9),1)-2)*20)</f>
        <v>52.5</v>
      </c>
      <c r="V9" s="54">
        <f>IF($O9="","",ROUND(($O9-$O$3)/1000,1)+(_xlfn.RANK.AVG($O9,($J9,$O9,$T9),1)-2)*20)</f>
        <v>-13.9</v>
      </c>
      <c r="W9" s="55">
        <f>IF($T9="","",ROUND(($T9-$T$3)/1000,1)+(_xlfn.RANK.AVG($T9,($J9,$O9,$T9),1)-2)*20)</f>
        <v>-38.6</v>
      </c>
      <c r="Y9" s="8"/>
      <c r="Z9" s="34"/>
      <c r="AA9" s="26">
        <v>1</v>
      </c>
      <c r="AB9" s="26"/>
      <c r="AC9" s="26">
        <v>3</v>
      </c>
      <c r="AD9" s="30">
        <v>20</v>
      </c>
      <c r="AE9" s="40" t="s">
        <v>199</v>
      </c>
      <c r="AF9" s="41" t="s">
        <v>82</v>
      </c>
      <c r="AG9" s="41" t="s">
        <v>83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tr">
        <f>IF($F$1="","",$F$1)</f>
        <v>だいち</v>
      </c>
      <c r="F10" s="8" t="s">
        <v>205</v>
      </c>
      <c r="G10" s="9">
        <v>1500</v>
      </c>
      <c r="H10" s="9">
        <v>-1000</v>
      </c>
      <c r="I10" s="48"/>
      <c r="J10" s="21">
        <f t="shared" si="2"/>
        <v>68000</v>
      </c>
      <c r="K10" s="8" t="s">
        <v>205</v>
      </c>
      <c r="L10" s="9">
        <v>-3000</v>
      </c>
      <c r="M10" s="9"/>
      <c r="N10" s="48"/>
      <c r="O10" s="21">
        <f t="shared" si="3"/>
        <v>18100</v>
      </c>
      <c r="P10" s="8" t="s">
        <v>205</v>
      </c>
      <c r="Q10" s="9">
        <v>1500</v>
      </c>
      <c r="R10" s="9"/>
      <c r="S10" s="48"/>
      <c r="T10" s="21">
        <f t="shared" si="4"/>
        <v>17900</v>
      </c>
      <c r="U10" s="53">
        <f>IF($J10="","",ROUND(($J10-$J$3)/1000,1)+(_xlfn.RANK.AVG($J10,($J10,$O10,$T10),1)-2)*20)</f>
        <v>53</v>
      </c>
      <c r="V10" s="54">
        <f>IF($O10="","",ROUND(($O10-$O$3)/1000,1)+(_xlfn.RANK.AVG($O10,($J10,$O10,$T10),1)-2)*20)</f>
        <v>-16.899999999999999</v>
      </c>
      <c r="W10" s="55">
        <f>IF($T10="","",ROUND(($T10-$T$3)/1000,1)+(_xlfn.RANK.AVG($T10,($J10,$O10,$T10),1)-2)*20)</f>
        <v>-37.1</v>
      </c>
      <c r="Y10" s="8" t="s">
        <v>204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1</v>
      </c>
      <c r="E11" s="4" t="str">
        <f>IF($F$1="","",$F$1)</f>
        <v>だいち</v>
      </c>
      <c r="F11" s="8" t="s">
        <v>196</v>
      </c>
      <c r="G11" s="9">
        <v>-5000</v>
      </c>
      <c r="H11" s="9"/>
      <c r="I11" s="48">
        <v>-1500</v>
      </c>
      <c r="J11" s="21">
        <f t="shared" si="2"/>
        <v>61500</v>
      </c>
      <c r="K11" s="8" t="s">
        <v>197</v>
      </c>
      <c r="L11" s="9">
        <v>8000</v>
      </c>
      <c r="M11" s="9">
        <v>1000</v>
      </c>
      <c r="N11" s="48">
        <v>3000</v>
      </c>
      <c r="O11" s="21">
        <f t="shared" si="3"/>
        <v>30100</v>
      </c>
      <c r="P11" s="8" t="s">
        <v>196</v>
      </c>
      <c r="Q11" s="9">
        <v>-3000</v>
      </c>
      <c r="R11" s="9"/>
      <c r="S11" s="48">
        <v>-1500</v>
      </c>
      <c r="T11" s="21">
        <f t="shared" si="4"/>
        <v>13400</v>
      </c>
      <c r="U11" s="53">
        <f>IF($J11="","",ROUND(($J11-$J$3)/1000,1)+(_xlfn.RANK.AVG($J11,($J11,$O11,$T11),1)-2)*20)</f>
        <v>46.5</v>
      </c>
      <c r="V11" s="54">
        <f>IF($O11="","",ROUND(($O11-$O$3)/1000,1)+(_xlfn.RANK.AVG($O11,($J11,$O11,$T11),1)-2)*20)</f>
        <v>-4.9000000000000004</v>
      </c>
      <c r="W11" s="55">
        <f>IF($T11="","",ROUND(($T11-$T$3)/1000,1)+(_xlfn.RANK.AVG($T11,($J11,$O11,$T11),1)-2)*20)</f>
        <v>-41.6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40</v>
      </c>
      <c r="AZ11" s="40" t="s">
        <v>86</v>
      </c>
      <c r="BA11" s="41" t="s">
        <v>86</v>
      </c>
      <c r="BB11" s="41" t="s">
        <v>201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IF($K$1="","",$K$1)</f>
        <v>ただ</v>
      </c>
      <c r="F12" s="8" t="s">
        <v>205</v>
      </c>
      <c r="G12" s="9">
        <v>0</v>
      </c>
      <c r="H12" s="9"/>
      <c r="I12" s="48"/>
      <c r="J12" s="21">
        <f t="shared" si="2"/>
        <v>61500</v>
      </c>
      <c r="K12" s="8" t="s">
        <v>205</v>
      </c>
      <c r="L12" s="9">
        <v>0</v>
      </c>
      <c r="M12" s="9"/>
      <c r="N12" s="48"/>
      <c r="O12" s="21">
        <f t="shared" si="3"/>
        <v>30100</v>
      </c>
      <c r="P12" s="8" t="s">
        <v>205</v>
      </c>
      <c r="Q12" s="9">
        <v>0</v>
      </c>
      <c r="R12" s="9">
        <v>-1000</v>
      </c>
      <c r="S12" s="48"/>
      <c r="T12" s="21">
        <f t="shared" si="4"/>
        <v>12400</v>
      </c>
      <c r="U12" s="53">
        <f>IF($J12="","",ROUND(($J12-$J$3)/1000,1)+(_xlfn.RANK.AVG($J12,($J12,$O12,$T12),1)-2)*20)</f>
        <v>46.5</v>
      </c>
      <c r="V12" s="54">
        <f>IF($O12="","",ROUND(($O12-$O$3)/1000,1)+(_xlfn.RANK.AVG($O12,($J12,$O12,$T12),1)-2)*20)</f>
        <v>-4.9000000000000004</v>
      </c>
      <c r="W12" s="55">
        <f>IF($T12="","",ROUND(($T12-$T$3)/1000,1)+(_xlfn.RANK.AVG($T12,($J12,$O12,$T12),1)-2)*20)</f>
        <v>-42.6</v>
      </c>
      <c r="Y12" s="8" t="s">
        <v>204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204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1</v>
      </c>
      <c r="E13" s="4" t="str">
        <f>IF($K$1="","",$K$1)</f>
        <v>ただ</v>
      </c>
      <c r="F13" s="8" t="s">
        <v>205</v>
      </c>
      <c r="G13" s="9">
        <v>1500</v>
      </c>
      <c r="H13" s="9">
        <v>2000</v>
      </c>
      <c r="I13" s="48"/>
      <c r="J13" s="21">
        <f t="shared" si="2"/>
        <v>65000</v>
      </c>
      <c r="K13" s="8" t="s">
        <v>205</v>
      </c>
      <c r="L13" s="9">
        <v>-3000</v>
      </c>
      <c r="M13" s="9"/>
      <c r="N13" s="48"/>
      <c r="O13" s="21">
        <f t="shared" si="3"/>
        <v>27100</v>
      </c>
      <c r="P13" s="8" t="s">
        <v>205</v>
      </c>
      <c r="Q13" s="9">
        <v>1500</v>
      </c>
      <c r="R13" s="9">
        <v>-1000</v>
      </c>
      <c r="S13" s="48"/>
      <c r="T13" s="21">
        <f t="shared" si="4"/>
        <v>12900</v>
      </c>
      <c r="U13" s="53">
        <f>IF($J13="","",ROUND(($J13-$J$3)/1000,1)+(_xlfn.RANK.AVG($J13,($J13,$O13,$T13),1)-2)*20)</f>
        <v>50</v>
      </c>
      <c r="V13" s="54">
        <f>IF($O13="","",ROUND(($O13-$O$3)/1000,1)+(_xlfn.RANK.AVG($O13,($J13,$O13,$T13),1)-2)*20)</f>
        <v>-7.9</v>
      </c>
      <c r="W13" s="55">
        <f>IF($T13="","",ROUND(($T13-$T$3)/1000,1)+(_xlfn.RANK.AVG($T13,($J13,$O13,$T13),1)-2)*20)</f>
        <v>-42.1</v>
      </c>
      <c r="Y13" s="8" t="s">
        <v>204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207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2</v>
      </c>
      <c r="D14" s="18">
        <f t="shared" si="1"/>
        <v>0</v>
      </c>
      <c r="E14" s="4" t="str">
        <f>IF($P$1="","",$P$1)</f>
        <v>りくと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600E14BD-CC13-4D61-9969-7D32E1E15DA7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allowBlank="1" showInputMessage="1" showErrorMessage="1" sqref="E4:E30" xr:uid="{76E7ED2C-EBEA-4305-849E-23263C11FB76}">
      <formula1>$U$2:$W$2</formula1>
    </dataValidation>
    <dataValidation type="list" showInputMessage="1" showErrorMessage="1" sqref="K4:K30 P4:P30 F4:F30" xr:uid="{8E5D8A05-CFE1-4F9F-A270-D608C59B94A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cp:lastPrinted>2018-10-03T09:15:05Z</cp:lastPrinted>
  <dcterms:created xsi:type="dcterms:W3CDTF">2018-10-02T11:54:05Z</dcterms:created>
  <dcterms:modified xsi:type="dcterms:W3CDTF">2025-01-03T11:59:16Z</dcterms:modified>
</cp:coreProperties>
</file>