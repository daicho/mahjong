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1009236\Git\mahjong\麻雀同好会7th\対局\"/>
    </mc:Choice>
  </mc:AlternateContent>
  <xr:revisionPtr revIDLastSave="0" documentId="13_ncr:1_{58BDEB4E-3D77-4D08-BC7A-9B1784EB4F28}" xr6:coauthVersionLast="47" xr6:coauthVersionMax="47" xr10:uidLastSave="{00000000-0000-0000-0000-000000000000}"/>
  <bookViews>
    <workbookView xWindow="-120" yWindow="-120" windowWidth="29040" windowHeight="15990" firstSheet="5" activeTab="16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4" r:id="rId6"/>
    <sheet name="Sheet7" sheetId="26" r:id="rId7"/>
    <sheet name="Sheet8" sheetId="27" r:id="rId8"/>
    <sheet name="Sheet9" sheetId="28" r:id="rId9"/>
    <sheet name="Sheet10" sheetId="30" r:id="rId10"/>
    <sheet name="Sheet11" sheetId="31" r:id="rId11"/>
    <sheet name="Sheet12" sheetId="32" r:id="rId12"/>
    <sheet name="Sheet13" sheetId="33" r:id="rId13"/>
    <sheet name="Sheet14" sheetId="34" r:id="rId14"/>
    <sheet name="Sheet15" sheetId="35" r:id="rId15"/>
    <sheet name="Sheet16" sheetId="36" r:id="rId16"/>
    <sheet name="Sheet17" sheetId="37" r:id="rId17"/>
    <sheet name="役一覧" sheetId="15" state="hidden" r:id="rId18"/>
    <sheet name="点数表(親ロン)" sheetId="4" state="hidden" r:id="rId19"/>
    <sheet name="点数表(親ツモ)" sheetId="9" state="hidden" r:id="rId20"/>
    <sheet name="点数表(子→親)" sheetId="7" state="hidden" r:id="rId21"/>
    <sheet name="点数表(子ロン)" sheetId="3" state="hidden" r:id="rId22"/>
    <sheet name="点数表(子ツモ)" sheetId="10" state="hidden" r:id="rId23"/>
    <sheet name="点数表(子→子)" sheetId="5" state="hidden" r:id="rId24"/>
    <sheet name="点数表(親→子)" sheetId="6" state="hidden" r:id="rId2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37" l="1"/>
  <c r="C13" i="37" s="1"/>
  <c r="E12" i="37"/>
  <c r="E11" i="37"/>
  <c r="E10" i="37"/>
  <c r="E9" i="37"/>
  <c r="E8" i="37"/>
  <c r="E7" i="37"/>
  <c r="E6" i="37"/>
  <c r="D6" i="37" s="1"/>
  <c r="E5" i="37"/>
  <c r="T30" i="37"/>
  <c r="W30" i="37" s="1"/>
  <c r="O30" i="37"/>
  <c r="V30" i="37" s="1"/>
  <c r="J30" i="37"/>
  <c r="U30" i="37" s="1"/>
  <c r="D30" i="37"/>
  <c r="C30" i="37"/>
  <c r="B30" i="37"/>
  <c r="A30" i="37"/>
  <c r="T29" i="37"/>
  <c r="W29" i="37" s="1"/>
  <c r="O29" i="37"/>
  <c r="V29" i="37" s="1"/>
  <c r="J29" i="37"/>
  <c r="U29" i="37" s="1"/>
  <c r="D29" i="37"/>
  <c r="C29" i="37"/>
  <c r="B29" i="37"/>
  <c r="A29" i="37"/>
  <c r="T28" i="37"/>
  <c r="W28" i="37" s="1"/>
  <c r="O28" i="37"/>
  <c r="V28" i="37" s="1"/>
  <c r="J28" i="37"/>
  <c r="U28" i="37" s="1"/>
  <c r="D28" i="37"/>
  <c r="C28" i="37"/>
  <c r="B28" i="37"/>
  <c r="A28" i="37"/>
  <c r="T27" i="37"/>
  <c r="W27" i="37" s="1"/>
  <c r="O27" i="37"/>
  <c r="V27" i="37" s="1"/>
  <c r="J27" i="37"/>
  <c r="U27" i="37" s="1"/>
  <c r="D27" i="37"/>
  <c r="C27" i="37"/>
  <c r="B27" i="37"/>
  <c r="A27" i="37"/>
  <c r="T26" i="37"/>
  <c r="W26" i="37" s="1"/>
  <c r="O26" i="37"/>
  <c r="V26" i="37" s="1"/>
  <c r="J26" i="37"/>
  <c r="U26" i="37" s="1"/>
  <c r="D26" i="37"/>
  <c r="C26" i="37"/>
  <c r="B26" i="37"/>
  <c r="A26" i="37"/>
  <c r="T25" i="37"/>
  <c r="W25" i="37" s="1"/>
  <c r="O25" i="37"/>
  <c r="V25" i="37" s="1"/>
  <c r="J25" i="37"/>
  <c r="U25" i="37" s="1"/>
  <c r="D25" i="37"/>
  <c r="C25" i="37"/>
  <c r="B25" i="37"/>
  <c r="A25" i="37"/>
  <c r="T24" i="37"/>
  <c r="W24" i="37" s="1"/>
  <c r="O24" i="37"/>
  <c r="V24" i="37" s="1"/>
  <c r="J24" i="37"/>
  <c r="U24" i="37" s="1"/>
  <c r="D24" i="37"/>
  <c r="C24" i="37"/>
  <c r="B24" i="37"/>
  <c r="A24" i="37"/>
  <c r="T23" i="37"/>
  <c r="W23" i="37" s="1"/>
  <c r="O23" i="37"/>
  <c r="V23" i="37" s="1"/>
  <c r="J23" i="37"/>
  <c r="U23" i="37" s="1"/>
  <c r="D23" i="37"/>
  <c r="C23" i="37"/>
  <c r="B23" i="37"/>
  <c r="A23" i="37"/>
  <c r="T22" i="37"/>
  <c r="W22" i="37" s="1"/>
  <c r="O22" i="37"/>
  <c r="V22" i="37" s="1"/>
  <c r="J22" i="37"/>
  <c r="U22" i="37" s="1"/>
  <c r="D22" i="37"/>
  <c r="C22" i="37"/>
  <c r="B22" i="37"/>
  <c r="A22" i="37"/>
  <c r="T21" i="37"/>
  <c r="W21" i="37" s="1"/>
  <c r="O21" i="37"/>
  <c r="V21" i="37" s="1"/>
  <c r="J21" i="37"/>
  <c r="U21" i="37" s="1"/>
  <c r="D21" i="37"/>
  <c r="C21" i="37"/>
  <c r="B21" i="37"/>
  <c r="A21" i="37"/>
  <c r="T20" i="37"/>
  <c r="W20" i="37" s="1"/>
  <c r="O20" i="37"/>
  <c r="V20" i="37" s="1"/>
  <c r="J20" i="37"/>
  <c r="U20" i="37" s="1"/>
  <c r="D20" i="37"/>
  <c r="C20" i="37"/>
  <c r="B20" i="37"/>
  <c r="A20" i="37"/>
  <c r="T19" i="37"/>
  <c r="W19" i="37" s="1"/>
  <c r="O19" i="37"/>
  <c r="V19" i="37" s="1"/>
  <c r="J19" i="37"/>
  <c r="U19" i="37" s="1"/>
  <c r="D19" i="37"/>
  <c r="C19" i="37"/>
  <c r="B19" i="37"/>
  <c r="A19" i="37"/>
  <c r="T18" i="37"/>
  <c r="W18" i="37" s="1"/>
  <c r="O18" i="37"/>
  <c r="V18" i="37" s="1"/>
  <c r="J18" i="37"/>
  <c r="U18" i="37" s="1"/>
  <c r="D18" i="37"/>
  <c r="C18" i="37"/>
  <c r="B18" i="37"/>
  <c r="A18" i="37"/>
  <c r="T17" i="37"/>
  <c r="W17" i="37" s="1"/>
  <c r="O17" i="37"/>
  <c r="V17" i="37" s="1"/>
  <c r="J17" i="37"/>
  <c r="U17" i="37" s="1"/>
  <c r="D17" i="37"/>
  <c r="C17" i="37"/>
  <c r="B17" i="37"/>
  <c r="A17" i="37"/>
  <c r="T16" i="37"/>
  <c r="W16" i="37" s="1"/>
  <c r="O16" i="37"/>
  <c r="V16" i="37" s="1"/>
  <c r="J16" i="37"/>
  <c r="U16" i="37" s="1"/>
  <c r="D16" i="37"/>
  <c r="C16" i="37"/>
  <c r="B16" i="37"/>
  <c r="A16" i="37"/>
  <c r="T15" i="37"/>
  <c r="W15" i="37" s="1"/>
  <c r="O15" i="37"/>
  <c r="V15" i="37" s="1"/>
  <c r="J15" i="37"/>
  <c r="U15" i="37" s="1"/>
  <c r="D15" i="37"/>
  <c r="C15" i="37"/>
  <c r="B15" i="37"/>
  <c r="A15" i="37"/>
  <c r="T14" i="37"/>
  <c r="W14" i="37" s="1"/>
  <c r="O14" i="37"/>
  <c r="V14" i="37" s="1"/>
  <c r="J14" i="37"/>
  <c r="U14" i="37" s="1"/>
  <c r="D14" i="37"/>
  <c r="C14" i="37"/>
  <c r="B14" i="37"/>
  <c r="A14" i="37"/>
  <c r="T13" i="37"/>
  <c r="W13" i="37" s="1"/>
  <c r="O13" i="37"/>
  <c r="V13" i="37" s="1"/>
  <c r="J13" i="37"/>
  <c r="U13" i="37" s="1"/>
  <c r="D13" i="37"/>
  <c r="B13" i="37"/>
  <c r="A13" i="37"/>
  <c r="T12" i="37"/>
  <c r="O12" i="37"/>
  <c r="J12" i="37"/>
  <c r="D12" i="37"/>
  <c r="C12" i="37"/>
  <c r="B12" i="37"/>
  <c r="A12" i="37"/>
  <c r="D11" i="37"/>
  <c r="D10" i="37"/>
  <c r="C8" i="37"/>
  <c r="D7" i="37"/>
  <c r="C7" i="37"/>
  <c r="C6" i="37"/>
  <c r="J5" i="37"/>
  <c r="J6" i="37" s="1"/>
  <c r="C5" i="37"/>
  <c r="D5" i="37"/>
  <c r="T4" i="37"/>
  <c r="T5" i="37" s="1"/>
  <c r="O4" i="37"/>
  <c r="O5" i="37" s="1"/>
  <c r="J4" i="37"/>
  <c r="W3" i="37"/>
  <c r="V3" i="37"/>
  <c r="U3" i="37"/>
  <c r="W2" i="37"/>
  <c r="V2" i="37"/>
  <c r="U2" i="37"/>
  <c r="BO1" i="37"/>
  <c r="AT1" i="37"/>
  <c r="Y1" i="37"/>
  <c r="E11" i="36"/>
  <c r="E10" i="36"/>
  <c r="B10" i="36" s="1"/>
  <c r="A10" i="36" s="1"/>
  <c r="E9" i="36"/>
  <c r="E8" i="36"/>
  <c r="E7" i="36"/>
  <c r="E6" i="36"/>
  <c r="E5" i="36"/>
  <c r="T30" i="36"/>
  <c r="W30" i="36" s="1"/>
  <c r="O30" i="36"/>
  <c r="V30" i="36" s="1"/>
  <c r="J30" i="36"/>
  <c r="U30" i="36" s="1"/>
  <c r="D30" i="36"/>
  <c r="C30" i="36"/>
  <c r="B30" i="36"/>
  <c r="A30" i="36"/>
  <c r="T29" i="36"/>
  <c r="W29" i="36" s="1"/>
  <c r="O29" i="36"/>
  <c r="V29" i="36" s="1"/>
  <c r="J29" i="36"/>
  <c r="U29" i="36" s="1"/>
  <c r="D29" i="36"/>
  <c r="C29" i="36"/>
  <c r="B29" i="36"/>
  <c r="A29" i="36"/>
  <c r="T28" i="36"/>
  <c r="W28" i="36" s="1"/>
  <c r="O28" i="36"/>
  <c r="V28" i="36" s="1"/>
  <c r="J28" i="36"/>
  <c r="U28" i="36" s="1"/>
  <c r="D28" i="36"/>
  <c r="C28" i="36"/>
  <c r="B28" i="36"/>
  <c r="A28" i="36"/>
  <c r="T27" i="36"/>
  <c r="W27" i="36" s="1"/>
  <c r="O27" i="36"/>
  <c r="V27" i="36" s="1"/>
  <c r="J27" i="36"/>
  <c r="U27" i="36" s="1"/>
  <c r="D27" i="36"/>
  <c r="C27" i="36"/>
  <c r="B27" i="36"/>
  <c r="A27" i="36"/>
  <c r="T26" i="36"/>
  <c r="W26" i="36" s="1"/>
  <c r="O26" i="36"/>
  <c r="V26" i="36" s="1"/>
  <c r="J26" i="36"/>
  <c r="U26" i="36" s="1"/>
  <c r="D26" i="36"/>
  <c r="C26" i="36"/>
  <c r="B26" i="36"/>
  <c r="A26" i="36"/>
  <c r="T25" i="36"/>
  <c r="W25" i="36" s="1"/>
  <c r="O25" i="36"/>
  <c r="V25" i="36" s="1"/>
  <c r="J25" i="36"/>
  <c r="U25" i="36" s="1"/>
  <c r="D25" i="36"/>
  <c r="C25" i="36"/>
  <c r="B25" i="36"/>
  <c r="A25" i="36"/>
  <c r="T24" i="36"/>
  <c r="W24" i="36" s="1"/>
  <c r="O24" i="36"/>
  <c r="V24" i="36" s="1"/>
  <c r="J24" i="36"/>
  <c r="U24" i="36" s="1"/>
  <c r="D24" i="36"/>
  <c r="C24" i="36"/>
  <c r="B24" i="36"/>
  <c r="A24" i="36"/>
  <c r="T23" i="36"/>
  <c r="W23" i="36" s="1"/>
  <c r="O23" i="36"/>
  <c r="V23" i="36" s="1"/>
  <c r="J23" i="36"/>
  <c r="U23" i="36" s="1"/>
  <c r="D23" i="36"/>
  <c r="C23" i="36"/>
  <c r="B23" i="36"/>
  <c r="A23" i="36"/>
  <c r="T22" i="36"/>
  <c r="W22" i="36" s="1"/>
  <c r="O22" i="36"/>
  <c r="V22" i="36" s="1"/>
  <c r="J22" i="36"/>
  <c r="U22" i="36" s="1"/>
  <c r="D22" i="36"/>
  <c r="C22" i="36"/>
  <c r="B22" i="36"/>
  <c r="A22" i="36"/>
  <c r="T21" i="36"/>
  <c r="W21" i="36" s="1"/>
  <c r="O21" i="36"/>
  <c r="V21" i="36" s="1"/>
  <c r="J21" i="36"/>
  <c r="U21" i="36" s="1"/>
  <c r="D21" i="36"/>
  <c r="C21" i="36"/>
  <c r="B21" i="36"/>
  <c r="A21" i="36"/>
  <c r="T20" i="36"/>
  <c r="W20" i="36" s="1"/>
  <c r="O20" i="36"/>
  <c r="V20" i="36" s="1"/>
  <c r="J20" i="36"/>
  <c r="U20" i="36" s="1"/>
  <c r="D20" i="36"/>
  <c r="C20" i="36"/>
  <c r="B20" i="36"/>
  <c r="A20" i="36"/>
  <c r="T19" i="36"/>
  <c r="W19" i="36" s="1"/>
  <c r="O19" i="36"/>
  <c r="V19" i="36" s="1"/>
  <c r="J19" i="36"/>
  <c r="U19" i="36" s="1"/>
  <c r="D19" i="36"/>
  <c r="C19" i="36"/>
  <c r="B19" i="36"/>
  <c r="A19" i="36"/>
  <c r="T18" i="36"/>
  <c r="W18" i="36" s="1"/>
  <c r="O18" i="36"/>
  <c r="V18" i="36" s="1"/>
  <c r="J18" i="36"/>
  <c r="U18" i="36" s="1"/>
  <c r="D18" i="36"/>
  <c r="C18" i="36"/>
  <c r="B18" i="36"/>
  <c r="A18" i="36"/>
  <c r="T17" i="36"/>
  <c r="W17" i="36" s="1"/>
  <c r="O17" i="36"/>
  <c r="V17" i="36" s="1"/>
  <c r="J17" i="36"/>
  <c r="U17" i="36" s="1"/>
  <c r="D17" i="36"/>
  <c r="C17" i="36"/>
  <c r="B17" i="36"/>
  <c r="A17" i="36"/>
  <c r="T16" i="36"/>
  <c r="W16" i="36" s="1"/>
  <c r="O16" i="36"/>
  <c r="V16" i="36" s="1"/>
  <c r="J16" i="36"/>
  <c r="U16" i="36" s="1"/>
  <c r="D16" i="36"/>
  <c r="C16" i="36"/>
  <c r="B16" i="36"/>
  <c r="A16" i="36"/>
  <c r="T15" i="36"/>
  <c r="W15" i="36" s="1"/>
  <c r="O15" i="36"/>
  <c r="V15" i="36" s="1"/>
  <c r="J15" i="36"/>
  <c r="U15" i="36" s="1"/>
  <c r="D15" i="36"/>
  <c r="C15" i="36"/>
  <c r="B15" i="36"/>
  <c r="A15" i="36"/>
  <c r="T14" i="36"/>
  <c r="W14" i="36" s="1"/>
  <c r="O14" i="36"/>
  <c r="V14" i="36" s="1"/>
  <c r="J14" i="36"/>
  <c r="U14" i="36" s="1"/>
  <c r="D14" i="36"/>
  <c r="C14" i="36"/>
  <c r="B14" i="36"/>
  <c r="A14" i="36"/>
  <c r="T13" i="36"/>
  <c r="W13" i="36" s="1"/>
  <c r="O13" i="36"/>
  <c r="V13" i="36" s="1"/>
  <c r="J13" i="36"/>
  <c r="U13" i="36" s="1"/>
  <c r="D13" i="36"/>
  <c r="C13" i="36"/>
  <c r="B13" i="36"/>
  <c r="A13" i="36"/>
  <c r="T12" i="36"/>
  <c r="W12" i="36" s="1"/>
  <c r="O12" i="36"/>
  <c r="V12" i="36" s="1"/>
  <c r="J12" i="36"/>
  <c r="U12" i="36" s="1"/>
  <c r="D12" i="36"/>
  <c r="C12" i="36"/>
  <c r="B12" i="36"/>
  <c r="A12" i="36" s="1"/>
  <c r="T11" i="36"/>
  <c r="O11" i="36"/>
  <c r="J11" i="36"/>
  <c r="D11" i="36"/>
  <c r="C11" i="36"/>
  <c r="B11" i="36"/>
  <c r="A11" i="36" s="1"/>
  <c r="T10" i="36"/>
  <c r="O10" i="36"/>
  <c r="J10" i="36"/>
  <c r="D10" i="36"/>
  <c r="C10" i="36"/>
  <c r="C9" i="36"/>
  <c r="D9" i="36"/>
  <c r="C8" i="36"/>
  <c r="C7" i="36"/>
  <c r="D7" i="36"/>
  <c r="T5" i="36"/>
  <c r="T6" i="36" s="1"/>
  <c r="T4" i="36"/>
  <c r="O4" i="36"/>
  <c r="O5" i="36" s="1"/>
  <c r="J4" i="36"/>
  <c r="J5" i="36" s="1"/>
  <c r="W3" i="36"/>
  <c r="V3" i="36"/>
  <c r="U3" i="36"/>
  <c r="W2" i="36"/>
  <c r="V2" i="36"/>
  <c r="U2" i="36"/>
  <c r="BO1" i="36"/>
  <c r="AT1" i="36"/>
  <c r="Y1" i="36"/>
  <c r="C10" i="35"/>
  <c r="E9" i="35"/>
  <c r="E8" i="35"/>
  <c r="E7" i="35"/>
  <c r="E6" i="35"/>
  <c r="E5" i="35"/>
  <c r="B5" i="35" s="1"/>
  <c r="T30" i="35"/>
  <c r="W30" i="35" s="1"/>
  <c r="O30" i="35"/>
  <c r="V30" i="35" s="1"/>
  <c r="J30" i="35"/>
  <c r="U30" i="35" s="1"/>
  <c r="D30" i="35"/>
  <c r="C30" i="35"/>
  <c r="B30" i="35"/>
  <c r="A30" i="35"/>
  <c r="T29" i="35"/>
  <c r="W29" i="35" s="1"/>
  <c r="O29" i="35"/>
  <c r="V29" i="35" s="1"/>
  <c r="J29" i="35"/>
  <c r="U29" i="35" s="1"/>
  <c r="D29" i="35"/>
  <c r="C29" i="35"/>
  <c r="B29" i="35"/>
  <c r="A29" i="35"/>
  <c r="T28" i="35"/>
  <c r="W28" i="35" s="1"/>
  <c r="O28" i="35"/>
  <c r="V28" i="35" s="1"/>
  <c r="J28" i="35"/>
  <c r="U28" i="35" s="1"/>
  <c r="D28" i="35"/>
  <c r="C28" i="35"/>
  <c r="B28" i="35"/>
  <c r="A28" i="35"/>
  <c r="T27" i="35"/>
  <c r="W27" i="35" s="1"/>
  <c r="O27" i="35"/>
  <c r="V27" i="35" s="1"/>
  <c r="J27" i="35"/>
  <c r="U27" i="35" s="1"/>
  <c r="D27" i="35"/>
  <c r="C27" i="35"/>
  <c r="B27" i="35"/>
  <c r="A27" i="35"/>
  <c r="T26" i="35"/>
  <c r="W26" i="35" s="1"/>
  <c r="O26" i="35"/>
  <c r="V26" i="35" s="1"/>
  <c r="J26" i="35"/>
  <c r="U26" i="35" s="1"/>
  <c r="D26" i="35"/>
  <c r="C26" i="35"/>
  <c r="B26" i="35"/>
  <c r="A26" i="35"/>
  <c r="T25" i="35"/>
  <c r="W25" i="35" s="1"/>
  <c r="O25" i="35"/>
  <c r="V25" i="35" s="1"/>
  <c r="J25" i="35"/>
  <c r="U25" i="35" s="1"/>
  <c r="D25" i="35"/>
  <c r="C25" i="35"/>
  <c r="B25" i="35"/>
  <c r="A25" i="35"/>
  <c r="T24" i="35"/>
  <c r="W24" i="35" s="1"/>
  <c r="O24" i="35"/>
  <c r="V24" i="35" s="1"/>
  <c r="J24" i="35"/>
  <c r="U24" i="35" s="1"/>
  <c r="D24" i="35"/>
  <c r="C24" i="35"/>
  <c r="B24" i="35"/>
  <c r="A24" i="35"/>
  <c r="T23" i="35"/>
  <c r="W23" i="35" s="1"/>
  <c r="O23" i="35"/>
  <c r="V23" i="35" s="1"/>
  <c r="J23" i="35"/>
  <c r="U23" i="35" s="1"/>
  <c r="D23" i="35"/>
  <c r="C23" i="35"/>
  <c r="B23" i="35"/>
  <c r="A23" i="35"/>
  <c r="T22" i="35"/>
  <c r="W22" i="35" s="1"/>
  <c r="O22" i="35"/>
  <c r="V22" i="35" s="1"/>
  <c r="J22" i="35"/>
  <c r="U22" i="35" s="1"/>
  <c r="D22" i="35"/>
  <c r="C22" i="35"/>
  <c r="B22" i="35"/>
  <c r="A22" i="35"/>
  <c r="T21" i="35"/>
  <c r="W21" i="35" s="1"/>
  <c r="O21" i="35"/>
  <c r="V21" i="35" s="1"/>
  <c r="J21" i="35"/>
  <c r="U21" i="35" s="1"/>
  <c r="D21" i="35"/>
  <c r="C21" i="35"/>
  <c r="B21" i="35"/>
  <c r="A21" i="35"/>
  <c r="T20" i="35"/>
  <c r="W20" i="35" s="1"/>
  <c r="O20" i="35"/>
  <c r="V20" i="35" s="1"/>
  <c r="J20" i="35"/>
  <c r="U20" i="35" s="1"/>
  <c r="D20" i="35"/>
  <c r="C20" i="35"/>
  <c r="B20" i="35"/>
  <c r="A20" i="35"/>
  <c r="T19" i="35"/>
  <c r="W19" i="35" s="1"/>
  <c r="O19" i="35"/>
  <c r="V19" i="35" s="1"/>
  <c r="J19" i="35"/>
  <c r="U19" i="35" s="1"/>
  <c r="D19" i="35"/>
  <c r="C19" i="35"/>
  <c r="B19" i="35"/>
  <c r="A19" i="35"/>
  <c r="T18" i="35"/>
  <c r="W18" i="35" s="1"/>
  <c r="O18" i="35"/>
  <c r="V18" i="35" s="1"/>
  <c r="J18" i="35"/>
  <c r="U18" i="35" s="1"/>
  <c r="D18" i="35"/>
  <c r="C18" i="35"/>
  <c r="B18" i="35"/>
  <c r="A18" i="35"/>
  <c r="T17" i="35"/>
  <c r="W17" i="35" s="1"/>
  <c r="O17" i="35"/>
  <c r="V17" i="35" s="1"/>
  <c r="J17" i="35"/>
  <c r="U17" i="35" s="1"/>
  <c r="D17" i="35"/>
  <c r="C17" i="35"/>
  <c r="B17" i="35"/>
  <c r="A17" i="35"/>
  <c r="T16" i="35"/>
  <c r="W16" i="35" s="1"/>
  <c r="O16" i="35"/>
  <c r="V16" i="35" s="1"/>
  <c r="J16" i="35"/>
  <c r="U16" i="35" s="1"/>
  <c r="D16" i="35"/>
  <c r="C16" i="35"/>
  <c r="B16" i="35"/>
  <c r="A16" i="35"/>
  <c r="T15" i="35"/>
  <c r="W15" i="35" s="1"/>
  <c r="O15" i="35"/>
  <c r="V15" i="35" s="1"/>
  <c r="J15" i="35"/>
  <c r="U15" i="35" s="1"/>
  <c r="D15" i="35"/>
  <c r="C15" i="35"/>
  <c r="B15" i="35"/>
  <c r="A15" i="35"/>
  <c r="T14" i="35"/>
  <c r="W14" i="35" s="1"/>
  <c r="O14" i="35"/>
  <c r="V14" i="35" s="1"/>
  <c r="J14" i="35"/>
  <c r="U14" i="35" s="1"/>
  <c r="D14" i="35"/>
  <c r="C14" i="35"/>
  <c r="B14" i="35"/>
  <c r="A14" i="35"/>
  <c r="T13" i="35"/>
  <c r="W13" i="35" s="1"/>
  <c r="O13" i="35"/>
  <c r="V13" i="35" s="1"/>
  <c r="J13" i="35"/>
  <c r="U13" i="35" s="1"/>
  <c r="D13" i="35"/>
  <c r="C13" i="35"/>
  <c r="B13" i="35"/>
  <c r="A13" i="35"/>
  <c r="T12" i="35"/>
  <c r="W12" i="35" s="1"/>
  <c r="O12" i="35"/>
  <c r="V12" i="35" s="1"/>
  <c r="J12" i="35"/>
  <c r="U12" i="35" s="1"/>
  <c r="D12" i="35"/>
  <c r="C12" i="35"/>
  <c r="B12" i="35"/>
  <c r="A12" i="35"/>
  <c r="D11" i="35"/>
  <c r="D10" i="35"/>
  <c r="D9" i="35"/>
  <c r="D7" i="35"/>
  <c r="D6" i="35"/>
  <c r="C6" i="35"/>
  <c r="J5" i="35"/>
  <c r="J6" i="35" s="1"/>
  <c r="D5" i="35"/>
  <c r="C5" i="35"/>
  <c r="T4" i="35"/>
  <c r="T5" i="35" s="1"/>
  <c r="O4" i="35"/>
  <c r="O5" i="35" s="1"/>
  <c r="J4" i="35"/>
  <c r="W3" i="35"/>
  <c r="V3" i="35"/>
  <c r="U3" i="35"/>
  <c r="W2" i="35"/>
  <c r="V2" i="35"/>
  <c r="U2" i="35"/>
  <c r="BO1" i="35"/>
  <c r="AT1" i="35"/>
  <c r="Y1" i="35"/>
  <c r="E11" i="34"/>
  <c r="E10" i="34"/>
  <c r="E9" i="34"/>
  <c r="E8" i="34"/>
  <c r="E7" i="34"/>
  <c r="E6" i="34"/>
  <c r="E5" i="34"/>
  <c r="T30" i="34"/>
  <c r="W30" i="34" s="1"/>
  <c r="O30" i="34"/>
  <c r="V30" i="34" s="1"/>
  <c r="J30" i="34"/>
  <c r="U30" i="34" s="1"/>
  <c r="D30" i="34"/>
  <c r="C30" i="34"/>
  <c r="B30" i="34"/>
  <c r="A30" i="34"/>
  <c r="T29" i="34"/>
  <c r="W29" i="34" s="1"/>
  <c r="O29" i="34"/>
  <c r="V29" i="34" s="1"/>
  <c r="J29" i="34"/>
  <c r="U29" i="34" s="1"/>
  <c r="D29" i="34"/>
  <c r="C29" i="34"/>
  <c r="B29" i="34"/>
  <c r="A29" i="34"/>
  <c r="T28" i="34"/>
  <c r="W28" i="34" s="1"/>
  <c r="O28" i="34"/>
  <c r="V28" i="34" s="1"/>
  <c r="J28" i="34"/>
  <c r="U28" i="34" s="1"/>
  <c r="D28" i="34"/>
  <c r="C28" i="34"/>
  <c r="B28" i="34"/>
  <c r="A28" i="34"/>
  <c r="T27" i="34"/>
  <c r="W27" i="34" s="1"/>
  <c r="O27" i="34"/>
  <c r="V27" i="34" s="1"/>
  <c r="J27" i="34"/>
  <c r="U27" i="34" s="1"/>
  <c r="D27" i="34"/>
  <c r="C27" i="34"/>
  <c r="B27" i="34"/>
  <c r="A27" i="34"/>
  <c r="T26" i="34"/>
  <c r="W26" i="34" s="1"/>
  <c r="O26" i="34"/>
  <c r="V26" i="34" s="1"/>
  <c r="J26" i="34"/>
  <c r="U26" i="34" s="1"/>
  <c r="D26" i="34"/>
  <c r="C26" i="34"/>
  <c r="B26" i="34"/>
  <c r="A26" i="34"/>
  <c r="T25" i="34"/>
  <c r="W25" i="34" s="1"/>
  <c r="O25" i="34"/>
  <c r="V25" i="34" s="1"/>
  <c r="J25" i="34"/>
  <c r="U25" i="34" s="1"/>
  <c r="D25" i="34"/>
  <c r="C25" i="34"/>
  <c r="B25" i="34"/>
  <c r="A25" i="34"/>
  <c r="T24" i="34"/>
  <c r="W24" i="34" s="1"/>
  <c r="O24" i="34"/>
  <c r="V24" i="34" s="1"/>
  <c r="J24" i="34"/>
  <c r="U24" i="34" s="1"/>
  <c r="D24" i="34"/>
  <c r="C24" i="34"/>
  <c r="B24" i="34"/>
  <c r="A24" i="34"/>
  <c r="T23" i="34"/>
  <c r="W23" i="34" s="1"/>
  <c r="O23" i="34"/>
  <c r="V23" i="34" s="1"/>
  <c r="J23" i="34"/>
  <c r="U23" i="34" s="1"/>
  <c r="D23" i="34"/>
  <c r="C23" i="34"/>
  <c r="B23" i="34"/>
  <c r="A23" i="34"/>
  <c r="T22" i="34"/>
  <c r="W22" i="34" s="1"/>
  <c r="O22" i="34"/>
  <c r="V22" i="34" s="1"/>
  <c r="J22" i="34"/>
  <c r="U22" i="34" s="1"/>
  <c r="D22" i="34"/>
  <c r="C22" i="34"/>
  <c r="B22" i="34"/>
  <c r="A22" i="34"/>
  <c r="T21" i="34"/>
  <c r="W21" i="34" s="1"/>
  <c r="O21" i="34"/>
  <c r="V21" i="34" s="1"/>
  <c r="J21" i="34"/>
  <c r="U21" i="34" s="1"/>
  <c r="D21" i="34"/>
  <c r="C21" i="34"/>
  <c r="B21" i="34"/>
  <c r="A21" i="34"/>
  <c r="T20" i="34"/>
  <c r="W20" i="34" s="1"/>
  <c r="O20" i="34"/>
  <c r="V20" i="34" s="1"/>
  <c r="J20" i="34"/>
  <c r="U20" i="34" s="1"/>
  <c r="D20" i="34"/>
  <c r="C20" i="34"/>
  <c r="B20" i="34"/>
  <c r="A20" i="34"/>
  <c r="T19" i="34"/>
  <c r="W19" i="34" s="1"/>
  <c r="O19" i="34"/>
  <c r="V19" i="34" s="1"/>
  <c r="J19" i="34"/>
  <c r="U19" i="34" s="1"/>
  <c r="D19" i="34"/>
  <c r="C19" i="34"/>
  <c r="B19" i="34"/>
  <c r="A19" i="34"/>
  <c r="T18" i="34"/>
  <c r="W18" i="34" s="1"/>
  <c r="O18" i="34"/>
  <c r="V18" i="34" s="1"/>
  <c r="J18" i="34"/>
  <c r="U18" i="34" s="1"/>
  <c r="D18" i="34"/>
  <c r="C18" i="34"/>
  <c r="B18" i="34"/>
  <c r="A18" i="34"/>
  <c r="T17" i="34"/>
  <c r="W17" i="34" s="1"/>
  <c r="O17" i="34"/>
  <c r="V17" i="34" s="1"/>
  <c r="J17" i="34"/>
  <c r="U17" i="34" s="1"/>
  <c r="D17" i="34"/>
  <c r="C17" i="34"/>
  <c r="B17" i="34"/>
  <c r="A17" i="34"/>
  <c r="T16" i="34"/>
  <c r="W16" i="34" s="1"/>
  <c r="O16" i="34"/>
  <c r="V16" i="34" s="1"/>
  <c r="J16" i="34"/>
  <c r="U16" i="34" s="1"/>
  <c r="D16" i="34"/>
  <c r="C16" i="34"/>
  <c r="B16" i="34"/>
  <c r="A16" i="34"/>
  <c r="T15" i="34"/>
  <c r="W15" i="34" s="1"/>
  <c r="O15" i="34"/>
  <c r="V15" i="34" s="1"/>
  <c r="J15" i="34"/>
  <c r="U15" i="34" s="1"/>
  <c r="D15" i="34"/>
  <c r="C15" i="34"/>
  <c r="B15" i="34"/>
  <c r="A15" i="34"/>
  <c r="C14" i="34"/>
  <c r="D14" i="34"/>
  <c r="D11" i="34"/>
  <c r="D12" i="34" s="1"/>
  <c r="D10" i="34"/>
  <c r="D8" i="34"/>
  <c r="C8" i="34"/>
  <c r="D6" i="34"/>
  <c r="O5" i="34"/>
  <c r="O6" i="34" s="1"/>
  <c r="T4" i="34"/>
  <c r="T5" i="34" s="1"/>
  <c r="O4" i="34"/>
  <c r="J4" i="34"/>
  <c r="J5" i="34" s="1"/>
  <c r="W3" i="34"/>
  <c r="V3" i="34"/>
  <c r="U3" i="34"/>
  <c r="W2" i="34"/>
  <c r="V2" i="34"/>
  <c r="U2" i="34"/>
  <c r="BO1" i="34"/>
  <c r="AT1" i="34"/>
  <c r="Y1" i="34"/>
  <c r="E14" i="33"/>
  <c r="E13" i="33"/>
  <c r="E12" i="33"/>
  <c r="E11" i="33"/>
  <c r="E10" i="33"/>
  <c r="E9" i="33"/>
  <c r="E8" i="33"/>
  <c r="E7" i="33"/>
  <c r="E6" i="33"/>
  <c r="D6" i="33" s="1"/>
  <c r="E5" i="33"/>
  <c r="T30" i="33"/>
  <c r="W30" i="33" s="1"/>
  <c r="O30" i="33"/>
  <c r="V30" i="33" s="1"/>
  <c r="J30" i="33"/>
  <c r="U30" i="33" s="1"/>
  <c r="D30" i="33"/>
  <c r="C30" i="33"/>
  <c r="B30" i="33"/>
  <c r="A30" i="33"/>
  <c r="T29" i="33"/>
  <c r="W29" i="33" s="1"/>
  <c r="O29" i="33"/>
  <c r="V29" i="33" s="1"/>
  <c r="J29" i="33"/>
  <c r="U29" i="33" s="1"/>
  <c r="D29" i="33"/>
  <c r="C29" i="33"/>
  <c r="B29" i="33"/>
  <c r="A29" i="33"/>
  <c r="T28" i="33"/>
  <c r="W28" i="33" s="1"/>
  <c r="O28" i="33"/>
  <c r="V28" i="33" s="1"/>
  <c r="J28" i="33"/>
  <c r="U28" i="33" s="1"/>
  <c r="D28" i="33"/>
  <c r="C28" i="33"/>
  <c r="B28" i="33"/>
  <c r="A28" i="33"/>
  <c r="T27" i="33"/>
  <c r="W27" i="33" s="1"/>
  <c r="O27" i="33"/>
  <c r="V27" i="33" s="1"/>
  <c r="J27" i="33"/>
  <c r="U27" i="33" s="1"/>
  <c r="D27" i="33"/>
  <c r="C27" i="33"/>
  <c r="B27" i="33"/>
  <c r="A27" i="33"/>
  <c r="T26" i="33"/>
  <c r="W26" i="33" s="1"/>
  <c r="O26" i="33"/>
  <c r="V26" i="33" s="1"/>
  <c r="J26" i="33"/>
  <c r="U26" i="33" s="1"/>
  <c r="D26" i="33"/>
  <c r="C26" i="33"/>
  <c r="B26" i="33"/>
  <c r="A26" i="33"/>
  <c r="T25" i="33"/>
  <c r="W25" i="33" s="1"/>
  <c r="O25" i="33"/>
  <c r="V25" i="33" s="1"/>
  <c r="J25" i="33"/>
  <c r="U25" i="33" s="1"/>
  <c r="D25" i="33"/>
  <c r="C25" i="33"/>
  <c r="B25" i="33"/>
  <c r="A25" i="33"/>
  <c r="T24" i="33"/>
  <c r="W24" i="33" s="1"/>
  <c r="O24" i="33"/>
  <c r="V24" i="33" s="1"/>
  <c r="J24" i="33"/>
  <c r="U24" i="33" s="1"/>
  <c r="D24" i="33"/>
  <c r="C24" i="33"/>
  <c r="B24" i="33"/>
  <c r="A24" i="33"/>
  <c r="T23" i="33"/>
  <c r="W23" i="33" s="1"/>
  <c r="O23" i="33"/>
  <c r="V23" i="33" s="1"/>
  <c r="J23" i="33"/>
  <c r="U23" i="33" s="1"/>
  <c r="D23" i="33"/>
  <c r="C23" i="33"/>
  <c r="B23" i="33"/>
  <c r="A23" i="33"/>
  <c r="T22" i="33"/>
  <c r="W22" i="33" s="1"/>
  <c r="O22" i="33"/>
  <c r="V22" i="33" s="1"/>
  <c r="J22" i="33"/>
  <c r="U22" i="33" s="1"/>
  <c r="D22" i="33"/>
  <c r="C22" i="33"/>
  <c r="B22" i="33"/>
  <c r="A22" i="33"/>
  <c r="T21" i="33"/>
  <c r="W21" i="33" s="1"/>
  <c r="O21" i="33"/>
  <c r="V21" i="33" s="1"/>
  <c r="J21" i="33"/>
  <c r="U21" i="33" s="1"/>
  <c r="D21" i="33"/>
  <c r="C21" i="33"/>
  <c r="B21" i="33"/>
  <c r="A21" i="33"/>
  <c r="T20" i="33"/>
  <c r="W20" i="33" s="1"/>
  <c r="O20" i="33"/>
  <c r="V20" i="33" s="1"/>
  <c r="J20" i="33"/>
  <c r="U20" i="33" s="1"/>
  <c r="D20" i="33"/>
  <c r="C20" i="33"/>
  <c r="B20" i="33"/>
  <c r="A20" i="33"/>
  <c r="T19" i="33"/>
  <c r="W19" i="33" s="1"/>
  <c r="O19" i="33"/>
  <c r="V19" i="33" s="1"/>
  <c r="J19" i="33"/>
  <c r="U19" i="33" s="1"/>
  <c r="D19" i="33"/>
  <c r="C19" i="33"/>
  <c r="B19" i="33"/>
  <c r="A19" i="33"/>
  <c r="T18" i="33"/>
  <c r="W18" i="33" s="1"/>
  <c r="O18" i="33"/>
  <c r="V18" i="33" s="1"/>
  <c r="J18" i="33"/>
  <c r="U18" i="33" s="1"/>
  <c r="D18" i="33"/>
  <c r="C18" i="33"/>
  <c r="B18" i="33"/>
  <c r="A18" i="33"/>
  <c r="T17" i="33"/>
  <c r="W17" i="33" s="1"/>
  <c r="O17" i="33"/>
  <c r="V17" i="33" s="1"/>
  <c r="J17" i="33"/>
  <c r="U17" i="33" s="1"/>
  <c r="D17" i="33"/>
  <c r="C17" i="33"/>
  <c r="B17" i="33"/>
  <c r="A17" i="33"/>
  <c r="T16" i="33"/>
  <c r="W16" i="33" s="1"/>
  <c r="O16" i="33"/>
  <c r="V16" i="33" s="1"/>
  <c r="J16" i="33"/>
  <c r="U16" i="33" s="1"/>
  <c r="D16" i="33"/>
  <c r="C16" i="33"/>
  <c r="B16" i="33"/>
  <c r="A16" i="33"/>
  <c r="T15" i="33"/>
  <c r="W15" i="33" s="1"/>
  <c r="O15" i="33"/>
  <c r="V15" i="33" s="1"/>
  <c r="J15" i="33"/>
  <c r="U15" i="33" s="1"/>
  <c r="D15" i="33"/>
  <c r="C15" i="33"/>
  <c r="B15" i="33"/>
  <c r="A15" i="33" s="1"/>
  <c r="C14" i="33"/>
  <c r="D14" i="33"/>
  <c r="D12" i="33"/>
  <c r="D11" i="33"/>
  <c r="D10" i="33"/>
  <c r="D8" i="33"/>
  <c r="C8" i="33"/>
  <c r="C7" i="33"/>
  <c r="O5" i="33"/>
  <c r="O6" i="33" s="1"/>
  <c r="D5" i="33"/>
  <c r="T4" i="33"/>
  <c r="T5" i="33" s="1"/>
  <c r="O4" i="33"/>
  <c r="J4" i="33"/>
  <c r="J5" i="33" s="1"/>
  <c r="W3" i="33"/>
  <c r="V3" i="33"/>
  <c r="U3" i="33"/>
  <c r="W2" i="33"/>
  <c r="V2" i="33"/>
  <c r="U2" i="33"/>
  <c r="BO1" i="33"/>
  <c r="AT1" i="33"/>
  <c r="Y1" i="33"/>
  <c r="D15" i="32"/>
  <c r="E14" i="32"/>
  <c r="B14" i="32" s="1"/>
  <c r="E13" i="32"/>
  <c r="C13" i="32" s="1"/>
  <c r="E12" i="32"/>
  <c r="E11" i="32"/>
  <c r="D11" i="32" s="1"/>
  <c r="E10" i="32"/>
  <c r="E9" i="32"/>
  <c r="E8" i="32"/>
  <c r="E7" i="32"/>
  <c r="E6" i="32"/>
  <c r="E5" i="32"/>
  <c r="T30" i="32"/>
  <c r="W30" i="32" s="1"/>
  <c r="O30" i="32"/>
  <c r="V30" i="32" s="1"/>
  <c r="J30" i="32"/>
  <c r="U30" i="32" s="1"/>
  <c r="D30" i="32"/>
  <c r="C30" i="32"/>
  <c r="B30" i="32"/>
  <c r="A30" i="32"/>
  <c r="T29" i="32"/>
  <c r="W29" i="32" s="1"/>
  <c r="O29" i="32"/>
  <c r="V29" i="32" s="1"/>
  <c r="J29" i="32"/>
  <c r="U29" i="32" s="1"/>
  <c r="D29" i="32"/>
  <c r="C29" i="32"/>
  <c r="B29" i="32"/>
  <c r="A29" i="32"/>
  <c r="T28" i="32"/>
  <c r="W28" i="32" s="1"/>
  <c r="O28" i="32"/>
  <c r="V28" i="32" s="1"/>
  <c r="J28" i="32"/>
  <c r="U28" i="32" s="1"/>
  <c r="D28" i="32"/>
  <c r="C28" i="32"/>
  <c r="B28" i="32"/>
  <c r="A28" i="32"/>
  <c r="T27" i="32"/>
  <c r="W27" i="32" s="1"/>
  <c r="O27" i="32"/>
  <c r="V27" i="32" s="1"/>
  <c r="J27" i="32"/>
  <c r="U27" i="32" s="1"/>
  <c r="D27" i="32"/>
  <c r="C27" i="32"/>
  <c r="B27" i="32"/>
  <c r="A27" i="32"/>
  <c r="T26" i="32"/>
  <c r="W26" i="32" s="1"/>
  <c r="O26" i="32"/>
  <c r="V26" i="32" s="1"/>
  <c r="J26" i="32"/>
  <c r="U26" i="32" s="1"/>
  <c r="D26" i="32"/>
  <c r="C26" i="32"/>
  <c r="B26" i="32"/>
  <c r="A26" i="32"/>
  <c r="T25" i="32"/>
  <c r="W25" i="32" s="1"/>
  <c r="O25" i="32"/>
  <c r="V25" i="32" s="1"/>
  <c r="J25" i="32"/>
  <c r="U25" i="32" s="1"/>
  <c r="D25" i="32"/>
  <c r="C25" i="32"/>
  <c r="B25" i="32"/>
  <c r="A25" i="32"/>
  <c r="T24" i="32"/>
  <c r="W24" i="32" s="1"/>
  <c r="O24" i="32"/>
  <c r="V24" i="32" s="1"/>
  <c r="J24" i="32"/>
  <c r="U24" i="32" s="1"/>
  <c r="D24" i="32"/>
  <c r="C24" i="32"/>
  <c r="B24" i="32"/>
  <c r="A24" i="32"/>
  <c r="T23" i="32"/>
  <c r="W23" i="32" s="1"/>
  <c r="O23" i="32"/>
  <c r="V23" i="32" s="1"/>
  <c r="J23" i="32"/>
  <c r="U23" i="32" s="1"/>
  <c r="D23" i="32"/>
  <c r="C23" i="32"/>
  <c r="B23" i="32"/>
  <c r="A23" i="32"/>
  <c r="T22" i="32"/>
  <c r="W22" i="32" s="1"/>
  <c r="O22" i="32"/>
  <c r="V22" i="32" s="1"/>
  <c r="J22" i="32"/>
  <c r="U22" i="32" s="1"/>
  <c r="D22" i="32"/>
  <c r="C22" i="32"/>
  <c r="B22" i="32"/>
  <c r="A22" i="32"/>
  <c r="T21" i="32"/>
  <c r="W21" i="32" s="1"/>
  <c r="O21" i="32"/>
  <c r="V21" i="32" s="1"/>
  <c r="J21" i="32"/>
  <c r="U21" i="32" s="1"/>
  <c r="D21" i="32"/>
  <c r="C21" i="32"/>
  <c r="B21" i="32"/>
  <c r="A21" i="32"/>
  <c r="T20" i="32"/>
  <c r="W20" i="32" s="1"/>
  <c r="O20" i="32"/>
  <c r="V20" i="32" s="1"/>
  <c r="J20" i="32"/>
  <c r="U20" i="32" s="1"/>
  <c r="D20" i="32"/>
  <c r="C20" i="32"/>
  <c r="B20" i="32"/>
  <c r="A20" i="32"/>
  <c r="T19" i="32"/>
  <c r="W19" i="32" s="1"/>
  <c r="O19" i="32"/>
  <c r="V19" i="32" s="1"/>
  <c r="J19" i="32"/>
  <c r="U19" i="32" s="1"/>
  <c r="D19" i="32"/>
  <c r="C19" i="32"/>
  <c r="B19" i="32"/>
  <c r="A19" i="32"/>
  <c r="T18" i="32"/>
  <c r="W18" i="32" s="1"/>
  <c r="O18" i="32"/>
  <c r="V18" i="32" s="1"/>
  <c r="J18" i="32"/>
  <c r="U18" i="32" s="1"/>
  <c r="D18" i="32"/>
  <c r="C18" i="32"/>
  <c r="B18" i="32"/>
  <c r="A18" i="32"/>
  <c r="T17" i="32"/>
  <c r="W17" i="32" s="1"/>
  <c r="O17" i="32"/>
  <c r="V17" i="32" s="1"/>
  <c r="J17" i="32"/>
  <c r="U17" i="32" s="1"/>
  <c r="D17" i="32"/>
  <c r="C17" i="32"/>
  <c r="B17" i="32"/>
  <c r="A17" i="32"/>
  <c r="T16" i="32"/>
  <c r="W16" i="32" s="1"/>
  <c r="O16" i="32"/>
  <c r="V16" i="32" s="1"/>
  <c r="J16" i="32"/>
  <c r="U16" i="32" s="1"/>
  <c r="D16" i="32"/>
  <c r="C16" i="32"/>
  <c r="B16" i="32"/>
  <c r="A16" i="32"/>
  <c r="T15" i="32"/>
  <c r="W15" i="32" s="1"/>
  <c r="O15" i="32"/>
  <c r="V15" i="32" s="1"/>
  <c r="J15" i="32"/>
  <c r="U15" i="32" s="1"/>
  <c r="B15" i="32"/>
  <c r="A15" i="32"/>
  <c r="T14" i="32"/>
  <c r="O14" i="32"/>
  <c r="J14" i="32"/>
  <c r="T13" i="32"/>
  <c r="W13" i="32" s="1"/>
  <c r="O13" i="32"/>
  <c r="V13" i="32" s="1"/>
  <c r="J13" i="32"/>
  <c r="U13" i="32" s="1"/>
  <c r="D13" i="32"/>
  <c r="T12" i="32"/>
  <c r="O12" i="32"/>
  <c r="J12" i="32"/>
  <c r="D12" i="32"/>
  <c r="C12" i="32"/>
  <c r="B12" i="32"/>
  <c r="A12" i="32" s="1"/>
  <c r="T11" i="32"/>
  <c r="O11" i="32"/>
  <c r="J11" i="32"/>
  <c r="U11" i="32" s="1"/>
  <c r="T10" i="32"/>
  <c r="O10" i="32"/>
  <c r="J10" i="32"/>
  <c r="D10" i="32"/>
  <c r="C10" i="32"/>
  <c r="B10" i="32"/>
  <c r="A10" i="32" s="1"/>
  <c r="D9" i="32"/>
  <c r="D8" i="32"/>
  <c r="D7" i="32"/>
  <c r="D6" i="32"/>
  <c r="B6" i="32"/>
  <c r="A6" i="32" s="1"/>
  <c r="D5" i="32"/>
  <c r="C5" i="32"/>
  <c r="B5" i="32"/>
  <c r="A5" i="32" s="1"/>
  <c r="T4" i="32"/>
  <c r="T5" i="32" s="1"/>
  <c r="O4" i="32"/>
  <c r="O5" i="32" s="1"/>
  <c r="J4" i="32"/>
  <c r="J5" i="32" s="1"/>
  <c r="W3" i="32"/>
  <c r="V3" i="32"/>
  <c r="U3" i="32"/>
  <c r="W2" i="32"/>
  <c r="V2" i="32"/>
  <c r="U2" i="32"/>
  <c r="BO1" i="32"/>
  <c r="AT1" i="32"/>
  <c r="Y1" i="32"/>
  <c r="E9" i="31"/>
  <c r="C9" i="31" s="1"/>
  <c r="E8" i="31"/>
  <c r="E7" i="31"/>
  <c r="D7" i="31" s="1"/>
  <c r="E6" i="31"/>
  <c r="E5" i="31"/>
  <c r="T30" i="31"/>
  <c r="W30" i="31" s="1"/>
  <c r="O30" i="31"/>
  <c r="V30" i="31" s="1"/>
  <c r="J30" i="31"/>
  <c r="U30" i="31" s="1"/>
  <c r="D30" i="31"/>
  <c r="C30" i="31"/>
  <c r="B30" i="31"/>
  <c r="A30" i="31"/>
  <c r="T29" i="31"/>
  <c r="W29" i="31" s="1"/>
  <c r="O29" i="31"/>
  <c r="V29" i="31" s="1"/>
  <c r="J29" i="31"/>
  <c r="U29" i="31" s="1"/>
  <c r="D29" i="31"/>
  <c r="C29" i="31"/>
  <c r="B29" i="31"/>
  <c r="A29" i="31"/>
  <c r="T28" i="31"/>
  <c r="W28" i="31" s="1"/>
  <c r="O28" i="31"/>
  <c r="V28" i="31" s="1"/>
  <c r="J28" i="31"/>
  <c r="U28" i="31" s="1"/>
  <c r="D28" i="31"/>
  <c r="C28" i="31"/>
  <c r="B28" i="31"/>
  <c r="A28" i="31"/>
  <c r="T27" i="31"/>
  <c r="W27" i="31" s="1"/>
  <c r="O27" i="31"/>
  <c r="V27" i="31" s="1"/>
  <c r="J27" i="31"/>
  <c r="U27" i="31" s="1"/>
  <c r="D27" i="31"/>
  <c r="C27" i="31"/>
  <c r="B27" i="31"/>
  <c r="A27" i="31"/>
  <c r="T26" i="31"/>
  <c r="W26" i="31" s="1"/>
  <c r="O26" i="31"/>
  <c r="V26" i="31" s="1"/>
  <c r="J26" i="31"/>
  <c r="U26" i="31" s="1"/>
  <c r="D26" i="31"/>
  <c r="C26" i="31"/>
  <c r="B26" i="31"/>
  <c r="A26" i="31"/>
  <c r="T25" i="31"/>
  <c r="W25" i="31" s="1"/>
  <c r="O25" i="31"/>
  <c r="V25" i="31" s="1"/>
  <c r="J25" i="31"/>
  <c r="U25" i="31" s="1"/>
  <c r="D25" i="31"/>
  <c r="C25" i="31"/>
  <c r="B25" i="31"/>
  <c r="A25" i="31"/>
  <c r="T24" i="31"/>
  <c r="W24" i="31" s="1"/>
  <c r="O24" i="31"/>
  <c r="V24" i="31" s="1"/>
  <c r="J24" i="31"/>
  <c r="U24" i="31" s="1"/>
  <c r="D24" i="31"/>
  <c r="C24" i="31"/>
  <c r="B24" i="31"/>
  <c r="A24" i="31"/>
  <c r="T23" i="31"/>
  <c r="W23" i="31" s="1"/>
  <c r="O23" i="31"/>
  <c r="V23" i="31" s="1"/>
  <c r="J23" i="31"/>
  <c r="U23" i="31" s="1"/>
  <c r="D23" i="31"/>
  <c r="C23" i="31"/>
  <c r="B23" i="31"/>
  <c r="A23" i="31"/>
  <c r="T22" i="31"/>
  <c r="W22" i="31" s="1"/>
  <c r="O22" i="31"/>
  <c r="V22" i="31" s="1"/>
  <c r="J22" i="31"/>
  <c r="U22" i="31" s="1"/>
  <c r="D22" i="31"/>
  <c r="C22" i="31"/>
  <c r="B22" i="31"/>
  <c r="A22" i="31"/>
  <c r="T21" i="31"/>
  <c r="W21" i="31" s="1"/>
  <c r="O21" i="31"/>
  <c r="V21" i="31" s="1"/>
  <c r="J21" i="31"/>
  <c r="U21" i="31" s="1"/>
  <c r="D21" i="31"/>
  <c r="C21" i="31"/>
  <c r="B21" i="31"/>
  <c r="A21" i="31"/>
  <c r="T20" i="31"/>
  <c r="W20" i="31" s="1"/>
  <c r="O20" i="31"/>
  <c r="V20" i="31" s="1"/>
  <c r="J20" i="31"/>
  <c r="U20" i="31" s="1"/>
  <c r="D20" i="31"/>
  <c r="C20" i="31"/>
  <c r="B20" i="31"/>
  <c r="A20" i="31"/>
  <c r="T19" i="31"/>
  <c r="W19" i="31" s="1"/>
  <c r="O19" i="31"/>
  <c r="V19" i="31" s="1"/>
  <c r="J19" i="31"/>
  <c r="U19" i="31" s="1"/>
  <c r="D19" i="31"/>
  <c r="C19" i="31"/>
  <c r="B19" i="31"/>
  <c r="A19" i="31"/>
  <c r="T18" i="31"/>
  <c r="W18" i="31" s="1"/>
  <c r="O18" i="31"/>
  <c r="V18" i="31" s="1"/>
  <c r="J18" i="31"/>
  <c r="U18" i="31" s="1"/>
  <c r="D18" i="31"/>
  <c r="C18" i="31"/>
  <c r="B18" i="31"/>
  <c r="A18" i="31"/>
  <c r="C17" i="31"/>
  <c r="C16" i="31"/>
  <c r="D15" i="31"/>
  <c r="D13" i="31"/>
  <c r="D12" i="31"/>
  <c r="D11" i="31"/>
  <c r="D6" i="31"/>
  <c r="T5" i="31"/>
  <c r="T6" i="31" s="1"/>
  <c r="D5" i="31"/>
  <c r="C5" i="31"/>
  <c r="B5" i="31"/>
  <c r="A5" i="31" s="1"/>
  <c r="T4" i="31"/>
  <c r="O4" i="31"/>
  <c r="O5" i="31" s="1"/>
  <c r="J4" i="31"/>
  <c r="J5" i="31" s="1"/>
  <c r="W3" i="31"/>
  <c r="V3" i="31"/>
  <c r="U3" i="31"/>
  <c r="W2" i="31"/>
  <c r="V2" i="31"/>
  <c r="U2" i="31"/>
  <c r="BO1" i="31"/>
  <c r="AT1" i="31"/>
  <c r="Y1" i="31"/>
  <c r="E17" i="30"/>
  <c r="D17" i="30" s="1"/>
  <c r="E16" i="30"/>
  <c r="B16" i="30" s="1"/>
  <c r="E15" i="30"/>
  <c r="E14" i="30"/>
  <c r="E13" i="30"/>
  <c r="E12" i="30"/>
  <c r="D12" i="30" s="1"/>
  <c r="E11" i="30"/>
  <c r="E10" i="30"/>
  <c r="E9" i="30"/>
  <c r="C9" i="30" s="1"/>
  <c r="E8" i="30"/>
  <c r="E7" i="30"/>
  <c r="E6" i="30"/>
  <c r="D6" i="30" s="1"/>
  <c r="E5" i="30"/>
  <c r="T30" i="30"/>
  <c r="W30" i="30" s="1"/>
  <c r="O30" i="30"/>
  <c r="V30" i="30" s="1"/>
  <c r="J30" i="30"/>
  <c r="U30" i="30" s="1"/>
  <c r="D30" i="30"/>
  <c r="C30" i="30"/>
  <c r="B30" i="30"/>
  <c r="A30" i="30"/>
  <c r="T29" i="30"/>
  <c r="W29" i="30" s="1"/>
  <c r="O29" i="30"/>
  <c r="V29" i="30" s="1"/>
  <c r="J29" i="30"/>
  <c r="U29" i="30" s="1"/>
  <c r="D29" i="30"/>
  <c r="C29" i="30"/>
  <c r="B29" i="30"/>
  <c r="A29" i="30"/>
  <c r="T28" i="30"/>
  <c r="W28" i="30" s="1"/>
  <c r="O28" i="30"/>
  <c r="V28" i="30" s="1"/>
  <c r="J28" i="30"/>
  <c r="U28" i="30" s="1"/>
  <c r="D28" i="30"/>
  <c r="C28" i="30"/>
  <c r="B28" i="30"/>
  <c r="A28" i="30"/>
  <c r="T27" i="30"/>
  <c r="W27" i="30" s="1"/>
  <c r="O27" i="30"/>
  <c r="V27" i="30" s="1"/>
  <c r="J27" i="30"/>
  <c r="U27" i="30" s="1"/>
  <c r="D27" i="30"/>
  <c r="C27" i="30"/>
  <c r="B27" i="30"/>
  <c r="A27" i="30"/>
  <c r="T26" i="30"/>
  <c r="W26" i="30" s="1"/>
  <c r="O26" i="30"/>
  <c r="V26" i="30" s="1"/>
  <c r="J26" i="30"/>
  <c r="U26" i="30" s="1"/>
  <c r="D26" i="30"/>
  <c r="C26" i="30"/>
  <c r="B26" i="30"/>
  <c r="A26" i="30"/>
  <c r="T25" i="30"/>
  <c r="W25" i="30" s="1"/>
  <c r="O25" i="30"/>
  <c r="V25" i="30" s="1"/>
  <c r="J25" i="30"/>
  <c r="U25" i="30" s="1"/>
  <c r="D25" i="30"/>
  <c r="C25" i="30"/>
  <c r="B25" i="30"/>
  <c r="A25" i="30"/>
  <c r="T24" i="30"/>
  <c r="W24" i="30" s="1"/>
  <c r="O24" i="30"/>
  <c r="V24" i="30" s="1"/>
  <c r="J24" i="30"/>
  <c r="U24" i="30" s="1"/>
  <c r="D24" i="30"/>
  <c r="C24" i="30"/>
  <c r="B24" i="30"/>
  <c r="A24" i="30"/>
  <c r="T23" i="30"/>
  <c r="W23" i="30" s="1"/>
  <c r="O23" i="30"/>
  <c r="V23" i="30" s="1"/>
  <c r="J23" i="30"/>
  <c r="U23" i="30" s="1"/>
  <c r="D23" i="30"/>
  <c r="C23" i="30"/>
  <c r="B23" i="30"/>
  <c r="A23" i="30"/>
  <c r="T22" i="30"/>
  <c r="W22" i="30" s="1"/>
  <c r="O22" i="30"/>
  <c r="V22" i="30" s="1"/>
  <c r="J22" i="30"/>
  <c r="U22" i="30" s="1"/>
  <c r="D22" i="30"/>
  <c r="C22" i="30"/>
  <c r="B22" i="30"/>
  <c r="A22" i="30"/>
  <c r="T21" i="30"/>
  <c r="W21" i="30" s="1"/>
  <c r="O21" i="30"/>
  <c r="V21" i="30" s="1"/>
  <c r="J21" i="30"/>
  <c r="U21" i="30" s="1"/>
  <c r="D21" i="30"/>
  <c r="C21" i="30"/>
  <c r="B21" i="30"/>
  <c r="A21" i="30"/>
  <c r="T20" i="30"/>
  <c r="W20" i="30" s="1"/>
  <c r="O20" i="30"/>
  <c r="V20" i="30" s="1"/>
  <c r="J20" i="30"/>
  <c r="U20" i="30" s="1"/>
  <c r="D20" i="30"/>
  <c r="C20" i="30"/>
  <c r="B20" i="30"/>
  <c r="A20" i="30"/>
  <c r="T19" i="30"/>
  <c r="W19" i="30" s="1"/>
  <c r="O19" i="30"/>
  <c r="V19" i="30" s="1"/>
  <c r="J19" i="30"/>
  <c r="U19" i="30" s="1"/>
  <c r="D19" i="30"/>
  <c r="C19" i="30"/>
  <c r="B19" i="30"/>
  <c r="A19" i="30"/>
  <c r="T18" i="30"/>
  <c r="W18" i="30" s="1"/>
  <c r="O18" i="30"/>
  <c r="V18" i="30" s="1"/>
  <c r="J18" i="30"/>
  <c r="U18" i="30" s="1"/>
  <c r="D18" i="30"/>
  <c r="C18" i="30"/>
  <c r="B18" i="30"/>
  <c r="A18" i="30" s="1"/>
  <c r="T17" i="30"/>
  <c r="O17" i="30"/>
  <c r="J17" i="30"/>
  <c r="B17" i="30"/>
  <c r="A17" i="30"/>
  <c r="T16" i="30"/>
  <c r="W16" i="30" s="1"/>
  <c r="O16" i="30"/>
  <c r="J16" i="30"/>
  <c r="D16" i="30"/>
  <c r="C16" i="30"/>
  <c r="T15" i="30"/>
  <c r="O15" i="30"/>
  <c r="J15" i="30"/>
  <c r="U15" i="30" s="1"/>
  <c r="D15" i="30"/>
  <c r="C15" i="30"/>
  <c r="B15" i="30"/>
  <c r="A15" i="30"/>
  <c r="C14" i="30"/>
  <c r="D14" i="30"/>
  <c r="D13" i="30"/>
  <c r="D11" i="30"/>
  <c r="D10" i="30"/>
  <c r="D8" i="30"/>
  <c r="C7" i="30"/>
  <c r="C6" i="30"/>
  <c r="T5" i="30"/>
  <c r="O5" i="30"/>
  <c r="O6" i="30" s="1"/>
  <c r="D5" i="30"/>
  <c r="C5" i="30"/>
  <c r="T4" i="30"/>
  <c r="O4" i="30"/>
  <c r="J4" i="30"/>
  <c r="J5" i="30" s="1"/>
  <c r="W3" i="30"/>
  <c r="V3" i="30"/>
  <c r="U3" i="30"/>
  <c r="W2" i="30"/>
  <c r="V2" i="30"/>
  <c r="U2" i="30"/>
  <c r="BO1" i="30"/>
  <c r="AT1" i="30"/>
  <c r="Y1" i="30"/>
  <c r="V12" i="37" l="1"/>
  <c r="W12" i="37"/>
  <c r="U12" i="37"/>
  <c r="O6" i="37"/>
  <c r="V5" i="37"/>
  <c r="T6" i="37"/>
  <c r="W5" i="37"/>
  <c r="J7" i="37"/>
  <c r="U6" i="37"/>
  <c r="B6" i="37"/>
  <c r="B7" i="37" s="1"/>
  <c r="D8" i="37"/>
  <c r="D9" i="37" s="1"/>
  <c r="C11" i="37"/>
  <c r="U4" i="37"/>
  <c r="V4" i="37"/>
  <c r="C9" i="37"/>
  <c r="W4" i="37"/>
  <c r="U5" i="37"/>
  <c r="B5" i="37"/>
  <c r="C10" i="37"/>
  <c r="U11" i="36"/>
  <c r="V11" i="36"/>
  <c r="W11" i="36"/>
  <c r="U10" i="36"/>
  <c r="V10" i="36"/>
  <c r="W10" i="36"/>
  <c r="B5" i="36"/>
  <c r="A5" i="36" s="1"/>
  <c r="C5" i="36"/>
  <c r="D5" i="36"/>
  <c r="W4" i="36"/>
  <c r="J6" i="36"/>
  <c r="U5" i="36"/>
  <c r="T7" i="36"/>
  <c r="O6" i="36"/>
  <c r="W6" i="36" s="1"/>
  <c r="V5" i="36"/>
  <c r="B7" i="36"/>
  <c r="W5" i="36"/>
  <c r="B6" i="36"/>
  <c r="D8" i="36"/>
  <c r="U4" i="36"/>
  <c r="C6" i="36"/>
  <c r="A6" i="36"/>
  <c r="V4" i="36"/>
  <c r="D6" i="36"/>
  <c r="U4" i="35"/>
  <c r="J7" i="35"/>
  <c r="O6" i="35"/>
  <c r="V5" i="35"/>
  <c r="C11" i="35"/>
  <c r="W5" i="35"/>
  <c r="T6" i="35"/>
  <c r="C8" i="35"/>
  <c r="B6" i="35"/>
  <c r="B7" i="35" s="1"/>
  <c r="D8" i="35"/>
  <c r="V4" i="35"/>
  <c r="C9" i="35"/>
  <c r="W4" i="35"/>
  <c r="A5" i="35"/>
  <c r="U5" i="35"/>
  <c r="C7" i="35"/>
  <c r="T6" i="34"/>
  <c r="W5" i="34"/>
  <c r="V6" i="34"/>
  <c r="O7" i="34"/>
  <c r="J6" i="34"/>
  <c r="U5" i="34"/>
  <c r="V4" i="34"/>
  <c r="C9" i="34"/>
  <c r="W4" i="34"/>
  <c r="D9" i="34"/>
  <c r="B5" i="34"/>
  <c r="A5" i="34" s="1"/>
  <c r="V5" i="34"/>
  <c r="D7" i="34"/>
  <c r="C10" i="34"/>
  <c r="C11" i="34" s="1"/>
  <c r="C12" i="34" s="1"/>
  <c r="C5" i="34"/>
  <c r="C6" i="34" s="1"/>
  <c r="C7" i="34" s="1"/>
  <c r="C13" i="34"/>
  <c r="D5" i="34"/>
  <c r="D13" i="34"/>
  <c r="U4" i="34"/>
  <c r="U5" i="33"/>
  <c r="J6" i="33"/>
  <c r="T6" i="33"/>
  <c r="W5" i="33"/>
  <c r="V6" i="33"/>
  <c r="O7" i="33"/>
  <c r="C9" i="33"/>
  <c r="V4" i="33"/>
  <c r="W4" i="33"/>
  <c r="D9" i="33"/>
  <c r="C12" i="33"/>
  <c r="B5" i="33"/>
  <c r="A5" i="33" s="1"/>
  <c r="V5" i="33"/>
  <c r="D7" i="33"/>
  <c r="C10" i="33"/>
  <c r="C11" i="33" s="1"/>
  <c r="C5" i="33"/>
  <c r="C6" i="33" s="1"/>
  <c r="C13" i="33"/>
  <c r="D13" i="33"/>
  <c r="U4" i="33"/>
  <c r="C15" i="32"/>
  <c r="W14" i="32"/>
  <c r="U14" i="32"/>
  <c r="V14" i="32"/>
  <c r="C14" i="32"/>
  <c r="D14" i="32"/>
  <c r="A14" i="32"/>
  <c r="B13" i="32"/>
  <c r="A13" i="32" s="1"/>
  <c r="V12" i="32"/>
  <c r="W12" i="32"/>
  <c r="U12" i="32"/>
  <c r="V11" i="32"/>
  <c r="W11" i="32"/>
  <c r="B11" i="32"/>
  <c r="A11" i="32" s="1"/>
  <c r="C11" i="32"/>
  <c r="U10" i="32"/>
  <c r="V10" i="32"/>
  <c r="W10" i="32"/>
  <c r="J6" i="32"/>
  <c r="U5" i="32"/>
  <c r="O6" i="32"/>
  <c r="V5" i="32"/>
  <c r="T6" i="32"/>
  <c r="W5" i="32"/>
  <c r="B7" i="32"/>
  <c r="B8" i="32"/>
  <c r="U4" i="32"/>
  <c r="C6" i="32"/>
  <c r="C7" i="32" s="1"/>
  <c r="C8" i="32" s="1"/>
  <c r="V4" i="32"/>
  <c r="C9" i="32"/>
  <c r="W4" i="32"/>
  <c r="D9" i="31"/>
  <c r="W4" i="31"/>
  <c r="J6" i="31"/>
  <c r="U5" i="31"/>
  <c r="T7" i="31"/>
  <c r="O6" i="31"/>
  <c r="V5" i="31"/>
  <c r="C7" i="31"/>
  <c r="C8" i="31" s="1"/>
  <c r="C10" i="31"/>
  <c r="C11" i="31" s="1"/>
  <c r="C12" i="31" s="1"/>
  <c r="W5" i="31"/>
  <c r="D10" i="31"/>
  <c r="C13" i="31"/>
  <c r="B6" i="31"/>
  <c r="B7" i="31" s="1"/>
  <c r="D8" i="31"/>
  <c r="D16" i="31"/>
  <c r="D17" i="31" s="1"/>
  <c r="U4" i="31"/>
  <c r="C6" i="31"/>
  <c r="C14" i="31"/>
  <c r="C15" i="31" s="1"/>
  <c r="V4" i="31"/>
  <c r="D14" i="31"/>
  <c r="V17" i="30"/>
  <c r="W17" i="30"/>
  <c r="U17" i="30"/>
  <c r="C17" i="30"/>
  <c r="V16" i="30"/>
  <c r="U16" i="30"/>
  <c r="A16" i="30"/>
  <c r="V15" i="30"/>
  <c r="W15" i="30"/>
  <c r="W5" i="30"/>
  <c r="V4" i="30"/>
  <c r="W4" i="30"/>
  <c r="J6" i="30"/>
  <c r="U5" i="30"/>
  <c r="O7" i="30"/>
  <c r="D9" i="30"/>
  <c r="C12" i="30"/>
  <c r="C13" i="30" s="1"/>
  <c r="B5" i="30"/>
  <c r="A5" i="30" s="1"/>
  <c r="V5" i="30"/>
  <c r="D7" i="30"/>
  <c r="C10" i="30"/>
  <c r="C8" i="30"/>
  <c r="T6" i="30"/>
  <c r="B6" i="30"/>
  <c r="C11" i="30"/>
  <c r="U4" i="30"/>
  <c r="B8" i="37" l="1"/>
  <c r="A8" i="37" s="1"/>
  <c r="J8" i="37"/>
  <c r="A5" i="37"/>
  <c r="A6" i="37" s="1"/>
  <c r="A7" i="37" s="1"/>
  <c r="T7" i="37"/>
  <c r="W6" i="37"/>
  <c r="O7" i="37"/>
  <c r="U7" i="37" s="1"/>
  <c r="V6" i="37"/>
  <c r="A7" i="36"/>
  <c r="T8" i="36"/>
  <c r="O7" i="36"/>
  <c r="V6" i="36"/>
  <c r="B8" i="36"/>
  <c r="U6" i="36"/>
  <c r="J7" i="36"/>
  <c r="B8" i="35"/>
  <c r="A7" i="35"/>
  <c r="A8" i="35" s="1"/>
  <c r="O7" i="35"/>
  <c r="V6" i="35"/>
  <c r="U6" i="35"/>
  <c r="J8" i="35"/>
  <c r="U7" i="35"/>
  <c r="A6" i="35"/>
  <c r="W6" i="35"/>
  <c r="T7" i="35"/>
  <c r="J7" i="34"/>
  <c r="U6" i="34"/>
  <c r="O8" i="34"/>
  <c r="B6" i="34"/>
  <c r="T7" i="34"/>
  <c r="W6" i="34"/>
  <c r="O8" i="33"/>
  <c r="B6" i="33"/>
  <c r="T7" i="33"/>
  <c r="W6" i="33"/>
  <c r="J7" i="33"/>
  <c r="V7" i="33" s="1"/>
  <c r="U6" i="33"/>
  <c r="V6" i="32"/>
  <c r="O7" i="32"/>
  <c r="T7" i="32"/>
  <c r="W6" i="32"/>
  <c r="A7" i="32"/>
  <c r="A8" i="32" s="1"/>
  <c r="B9" i="32"/>
  <c r="A9" i="32" s="1"/>
  <c r="U6" i="32"/>
  <c r="J7" i="32"/>
  <c r="B8" i="31"/>
  <c r="O7" i="31"/>
  <c r="V6" i="31"/>
  <c r="T8" i="31"/>
  <c r="W7" i="31"/>
  <c r="W6" i="31"/>
  <c r="A7" i="31"/>
  <c r="A6" i="31"/>
  <c r="J7" i="31"/>
  <c r="U6" i="31"/>
  <c r="T7" i="30"/>
  <c r="W6" i="30"/>
  <c r="V6" i="30"/>
  <c r="O8" i="30"/>
  <c r="A7" i="30"/>
  <c r="J7" i="30"/>
  <c r="U6" i="30"/>
  <c r="A6" i="30"/>
  <c r="B7" i="30"/>
  <c r="E14" i="28"/>
  <c r="B14" i="28" s="1"/>
  <c r="A14" i="28" s="1"/>
  <c r="E13" i="28"/>
  <c r="D13" i="28" s="1"/>
  <c r="E12" i="28"/>
  <c r="E11" i="28"/>
  <c r="E10" i="28"/>
  <c r="E9" i="28"/>
  <c r="E8" i="28"/>
  <c r="E7" i="28"/>
  <c r="D7" i="28" s="1"/>
  <c r="E6" i="28"/>
  <c r="E5" i="28"/>
  <c r="T30" i="28"/>
  <c r="W30" i="28" s="1"/>
  <c r="O30" i="28"/>
  <c r="V30" i="28" s="1"/>
  <c r="J30" i="28"/>
  <c r="U30" i="28" s="1"/>
  <c r="D30" i="28"/>
  <c r="C30" i="28"/>
  <c r="B30" i="28"/>
  <c r="A30" i="28"/>
  <c r="T29" i="28"/>
  <c r="W29" i="28" s="1"/>
  <c r="O29" i="28"/>
  <c r="V29" i="28" s="1"/>
  <c r="J29" i="28"/>
  <c r="U29" i="28" s="1"/>
  <c r="D29" i="28"/>
  <c r="C29" i="28"/>
  <c r="B29" i="28"/>
  <c r="A29" i="28"/>
  <c r="T28" i="28"/>
  <c r="W28" i="28" s="1"/>
  <c r="O28" i="28"/>
  <c r="V28" i="28" s="1"/>
  <c r="J28" i="28"/>
  <c r="U28" i="28" s="1"/>
  <c r="D28" i="28"/>
  <c r="C28" i="28"/>
  <c r="B28" i="28"/>
  <c r="A28" i="28"/>
  <c r="T27" i="28"/>
  <c r="W27" i="28" s="1"/>
  <c r="O27" i="28"/>
  <c r="V27" i="28" s="1"/>
  <c r="J27" i="28"/>
  <c r="U27" i="28" s="1"/>
  <c r="D27" i="28"/>
  <c r="C27" i="28"/>
  <c r="B27" i="28"/>
  <c r="A27" i="28"/>
  <c r="T26" i="28"/>
  <c r="W26" i="28" s="1"/>
  <c r="O26" i="28"/>
  <c r="V26" i="28" s="1"/>
  <c r="J26" i="28"/>
  <c r="U26" i="28" s="1"/>
  <c r="D26" i="28"/>
  <c r="C26" i="28"/>
  <c r="B26" i="28"/>
  <c r="A26" i="28"/>
  <c r="T25" i="28"/>
  <c r="W25" i="28" s="1"/>
  <c r="O25" i="28"/>
  <c r="V25" i="28" s="1"/>
  <c r="J25" i="28"/>
  <c r="U25" i="28" s="1"/>
  <c r="D25" i="28"/>
  <c r="C25" i="28"/>
  <c r="B25" i="28"/>
  <c r="A25" i="28"/>
  <c r="T24" i="28"/>
  <c r="W24" i="28" s="1"/>
  <c r="O24" i="28"/>
  <c r="V24" i="28" s="1"/>
  <c r="J24" i="28"/>
  <c r="U24" i="28" s="1"/>
  <c r="D24" i="28"/>
  <c r="C24" i="28"/>
  <c r="B24" i="28"/>
  <c r="A24" i="28"/>
  <c r="T23" i="28"/>
  <c r="W23" i="28" s="1"/>
  <c r="O23" i="28"/>
  <c r="V23" i="28" s="1"/>
  <c r="J23" i="28"/>
  <c r="U23" i="28" s="1"/>
  <c r="D23" i="28"/>
  <c r="C23" i="28"/>
  <c r="B23" i="28"/>
  <c r="A23" i="28"/>
  <c r="T22" i="28"/>
  <c r="W22" i="28" s="1"/>
  <c r="O22" i="28"/>
  <c r="V22" i="28" s="1"/>
  <c r="J22" i="28"/>
  <c r="U22" i="28" s="1"/>
  <c r="D22" i="28"/>
  <c r="C22" i="28"/>
  <c r="B22" i="28"/>
  <c r="A22" i="28"/>
  <c r="T21" i="28"/>
  <c r="W21" i="28" s="1"/>
  <c r="O21" i="28"/>
  <c r="V21" i="28" s="1"/>
  <c r="J21" i="28"/>
  <c r="U21" i="28" s="1"/>
  <c r="D21" i="28"/>
  <c r="C21" i="28"/>
  <c r="B21" i="28"/>
  <c r="A21" i="28"/>
  <c r="T20" i="28"/>
  <c r="W20" i="28" s="1"/>
  <c r="O20" i="28"/>
  <c r="V20" i="28" s="1"/>
  <c r="J20" i="28"/>
  <c r="U20" i="28" s="1"/>
  <c r="D20" i="28"/>
  <c r="C20" i="28"/>
  <c r="B20" i="28"/>
  <c r="A20" i="28"/>
  <c r="T19" i="28"/>
  <c r="W19" i="28" s="1"/>
  <c r="O19" i="28"/>
  <c r="V19" i="28" s="1"/>
  <c r="J19" i="28"/>
  <c r="U19" i="28" s="1"/>
  <c r="D19" i="28"/>
  <c r="C19" i="28"/>
  <c r="B19" i="28"/>
  <c r="A19" i="28"/>
  <c r="T18" i="28"/>
  <c r="W18" i="28" s="1"/>
  <c r="O18" i="28"/>
  <c r="V18" i="28" s="1"/>
  <c r="J18" i="28"/>
  <c r="U18" i="28" s="1"/>
  <c r="D18" i="28"/>
  <c r="C18" i="28"/>
  <c r="B18" i="28"/>
  <c r="A18" i="28"/>
  <c r="T17" i="28"/>
  <c r="W17" i="28" s="1"/>
  <c r="O17" i="28"/>
  <c r="V17" i="28" s="1"/>
  <c r="J17" i="28"/>
  <c r="U17" i="28" s="1"/>
  <c r="D17" i="28"/>
  <c r="C17" i="28"/>
  <c r="B17" i="28"/>
  <c r="A17" i="28"/>
  <c r="T16" i="28"/>
  <c r="W16" i="28" s="1"/>
  <c r="O16" i="28"/>
  <c r="V16" i="28" s="1"/>
  <c r="J16" i="28"/>
  <c r="U16" i="28" s="1"/>
  <c r="D16" i="28"/>
  <c r="C16" i="28"/>
  <c r="B16" i="28"/>
  <c r="A16" i="28"/>
  <c r="T15" i="28"/>
  <c r="W15" i="28" s="1"/>
  <c r="O15" i="28"/>
  <c r="V15" i="28" s="1"/>
  <c r="J15" i="28"/>
  <c r="U15" i="28" s="1"/>
  <c r="D15" i="28"/>
  <c r="C15" i="28"/>
  <c r="B15" i="28"/>
  <c r="A15" i="28"/>
  <c r="T14" i="28"/>
  <c r="O14" i="28"/>
  <c r="J14" i="28"/>
  <c r="D14" i="28"/>
  <c r="C14" i="28"/>
  <c r="D12" i="28"/>
  <c r="D11" i="28"/>
  <c r="C11" i="28"/>
  <c r="C12" i="28" s="1"/>
  <c r="D10" i="28"/>
  <c r="C10" i="28"/>
  <c r="D9" i="28"/>
  <c r="C8" i="28"/>
  <c r="D8" i="28"/>
  <c r="J6" i="28"/>
  <c r="J7" i="28" s="1"/>
  <c r="O5" i="28"/>
  <c r="O6" i="28" s="1"/>
  <c r="J5" i="28"/>
  <c r="T4" i="28"/>
  <c r="T5" i="28" s="1"/>
  <c r="O4" i="28"/>
  <c r="J4" i="28"/>
  <c r="W3" i="28"/>
  <c r="V3" i="28"/>
  <c r="U3" i="28"/>
  <c r="W2" i="28"/>
  <c r="V2" i="28"/>
  <c r="U2" i="28"/>
  <c r="BO1" i="28"/>
  <c r="AT1" i="28"/>
  <c r="Y1" i="28"/>
  <c r="D14" i="27"/>
  <c r="E13" i="27"/>
  <c r="D13" i="27" s="1"/>
  <c r="E12" i="27"/>
  <c r="B12" i="27" s="1"/>
  <c r="A12" i="27" s="1"/>
  <c r="E11" i="27"/>
  <c r="D11" i="27" s="1"/>
  <c r="E10" i="27"/>
  <c r="D10" i="27" s="1"/>
  <c r="E9" i="27"/>
  <c r="E8" i="27"/>
  <c r="E7" i="27"/>
  <c r="E6" i="27"/>
  <c r="E5" i="27"/>
  <c r="T30" i="27"/>
  <c r="W30" i="27" s="1"/>
  <c r="O30" i="27"/>
  <c r="V30" i="27" s="1"/>
  <c r="J30" i="27"/>
  <c r="U30" i="27" s="1"/>
  <c r="D30" i="27"/>
  <c r="C30" i="27"/>
  <c r="B30" i="27"/>
  <c r="A30" i="27"/>
  <c r="T29" i="27"/>
  <c r="W29" i="27" s="1"/>
  <c r="O29" i="27"/>
  <c r="V29" i="27" s="1"/>
  <c r="J29" i="27"/>
  <c r="U29" i="27" s="1"/>
  <c r="D29" i="27"/>
  <c r="C29" i="27"/>
  <c r="B29" i="27"/>
  <c r="A29" i="27"/>
  <c r="T28" i="27"/>
  <c r="W28" i="27" s="1"/>
  <c r="O28" i="27"/>
  <c r="V28" i="27" s="1"/>
  <c r="J28" i="27"/>
  <c r="U28" i="27" s="1"/>
  <c r="D28" i="27"/>
  <c r="C28" i="27"/>
  <c r="B28" i="27"/>
  <c r="A28" i="27"/>
  <c r="T27" i="27"/>
  <c r="W27" i="27" s="1"/>
  <c r="O27" i="27"/>
  <c r="V27" i="27" s="1"/>
  <c r="J27" i="27"/>
  <c r="U27" i="27" s="1"/>
  <c r="D27" i="27"/>
  <c r="C27" i="27"/>
  <c r="B27" i="27"/>
  <c r="A27" i="27"/>
  <c r="T26" i="27"/>
  <c r="W26" i="27" s="1"/>
  <c r="O26" i="27"/>
  <c r="V26" i="27" s="1"/>
  <c r="J26" i="27"/>
  <c r="U26" i="27" s="1"/>
  <c r="D26" i="27"/>
  <c r="C26" i="27"/>
  <c r="B26" i="27"/>
  <c r="A26" i="27"/>
  <c r="T25" i="27"/>
  <c r="W25" i="27" s="1"/>
  <c r="O25" i="27"/>
  <c r="V25" i="27" s="1"/>
  <c r="J25" i="27"/>
  <c r="U25" i="27" s="1"/>
  <c r="D25" i="27"/>
  <c r="C25" i="27"/>
  <c r="B25" i="27"/>
  <c r="A25" i="27"/>
  <c r="T24" i="27"/>
  <c r="W24" i="27" s="1"/>
  <c r="O24" i="27"/>
  <c r="V24" i="27" s="1"/>
  <c r="J24" i="27"/>
  <c r="U24" i="27" s="1"/>
  <c r="D24" i="27"/>
  <c r="C24" i="27"/>
  <c r="B24" i="27"/>
  <c r="A24" i="27"/>
  <c r="T23" i="27"/>
  <c r="W23" i="27" s="1"/>
  <c r="O23" i="27"/>
  <c r="V23" i="27" s="1"/>
  <c r="J23" i="27"/>
  <c r="U23" i="27" s="1"/>
  <c r="D23" i="27"/>
  <c r="C23" i="27"/>
  <c r="B23" i="27"/>
  <c r="A23" i="27"/>
  <c r="T22" i="27"/>
  <c r="W22" i="27" s="1"/>
  <c r="O22" i="27"/>
  <c r="V22" i="27" s="1"/>
  <c r="J22" i="27"/>
  <c r="U22" i="27" s="1"/>
  <c r="D22" i="27"/>
  <c r="C22" i="27"/>
  <c r="B22" i="27"/>
  <c r="A22" i="27"/>
  <c r="T21" i="27"/>
  <c r="W21" i="27" s="1"/>
  <c r="O21" i="27"/>
  <c r="V21" i="27" s="1"/>
  <c r="J21" i="27"/>
  <c r="U21" i="27" s="1"/>
  <c r="D21" i="27"/>
  <c r="C21" i="27"/>
  <c r="B21" i="27"/>
  <c r="A21" i="27"/>
  <c r="T20" i="27"/>
  <c r="W20" i="27" s="1"/>
  <c r="O20" i="27"/>
  <c r="V20" i="27" s="1"/>
  <c r="J20" i="27"/>
  <c r="U20" i="27" s="1"/>
  <c r="D20" i="27"/>
  <c r="C20" i="27"/>
  <c r="B20" i="27"/>
  <c r="A20" i="27"/>
  <c r="T19" i="27"/>
  <c r="W19" i="27" s="1"/>
  <c r="O19" i="27"/>
  <c r="V19" i="27" s="1"/>
  <c r="J19" i="27"/>
  <c r="U19" i="27" s="1"/>
  <c r="D19" i="27"/>
  <c r="C19" i="27"/>
  <c r="B19" i="27"/>
  <c r="A19" i="27"/>
  <c r="T18" i="27"/>
  <c r="W18" i="27" s="1"/>
  <c r="O18" i="27"/>
  <c r="V18" i="27" s="1"/>
  <c r="J18" i="27"/>
  <c r="U18" i="27" s="1"/>
  <c r="D18" i="27"/>
  <c r="C18" i="27"/>
  <c r="B18" i="27"/>
  <c r="A18" i="27"/>
  <c r="T17" i="27"/>
  <c r="W17" i="27" s="1"/>
  <c r="O17" i="27"/>
  <c r="V17" i="27" s="1"/>
  <c r="J17" i="27"/>
  <c r="U17" i="27" s="1"/>
  <c r="D17" i="27"/>
  <c r="C17" i="27"/>
  <c r="B17" i="27"/>
  <c r="A17" i="27"/>
  <c r="T16" i="27"/>
  <c r="W16" i="27" s="1"/>
  <c r="O16" i="27"/>
  <c r="V16" i="27" s="1"/>
  <c r="J16" i="27"/>
  <c r="U16" i="27" s="1"/>
  <c r="D16" i="27"/>
  <c r="C16" i="27"/>
  <c r="B16" i="27"/>
  <c r="A16" i="27"/>
  <c r="T15" i="27"/>
  <c r="W15" i="27" s="1"/>
  <c r="O15" i="27"/>
  <c r="V15" i="27" s="1"/>
  <c r="J15" i="27"/>
  <c r="U15" i="27" s="1"/>
  <c r="D15" i="27"/>
  <c r="C15" i="27"/>
  <c r="B15" i="27"/>
  <c r="A15" i="27"/>
  <c r="T14" i="27"/>
  <c r="W14" i="27" s="1"/>
  <c r="O14" i="27"/>
  <c r="V14" i="27" s="1"/>
  <c r="J14" i="27"/>
  <c r="U14" i="27" s="1"/>
  <c r="B14" i="27"/>
  <c r="A14" i="27" s="1"/>
  <c r="T13" i="27"/>
  <c r="O13" i="27"/>
  <c r="J13" i="27"/>
  <c r="C13" i="27"/>
  <c r="B13" i="27"/>
  <c r="A13" i="27"/>
  <c r="T12" i="27"/>
  <c r="O12" i="27"/>
  <c r="J12" i="27"/>
  <c r="D12" i="27"/>
  <c r="C12" i="27"/>
  <c r="T11" i="27"/>
  <c r="O11" i="27"/>
  <c r="J11" i="27"/>
  <c r="C11" i="27"/>
  <c r="B11" i="27"/>
  <c r="A11" i="27"/>
  <c r="D9" i="27"/>
  <c r="D8" i="27"/>
  <c r="D7" i="27"/>
  <c r="D6" i="27"/>
  <c r="B5" i="27"/>
  <c r="C5" i="27"/>
  <c r="T4" i="27"/>
  <c r="T5" i="27" s="1"/>
  <c r="O4" i="27"/>
  <c r="O5" i="27" s="1"/>
  <c r="J4" i="27"/>
  <c r="J5" i="27" s="1"/>
  <c r="W3" i="27"/>
  <c r="V3" i="27"/>
  <c r="U3" i="27"/>
  <c r="W2" i="27"/>
  <c r="V2" i="27"/>
  <c r="U2" i="27"/>
  <c r="BO1" i="27"/>
  <c r="AT1" i="27"/>
  <c r="Y1" i="27"/>
  <c r="E10" i="26"/>
  <c r="D10" i="26" s="1"/>
  <c r="E9" i="26"/>
  <c r="E8" i="26"/>
  <c r="D8" i="26" s="1"/>
  <c r="E7" i="26"/>
  <c r="E6" i="26"/>
  <c r="E5" i="26"/>
  <c r="C5" i="26" s="1"/>
  <c r="T30" i="26"/>
  <c r="W30" i="26" s="1"/>
  <c r="O30" i="26"/>
  <c r="V30" i="26" s="1"/>
  <c r="J30" i="26"/>
  <c r="U30" i="26" s="1"/>
  <c r="D30" i="26"/>
  <c r="C30" i="26"/>
  <c r="B30" i="26"/>
  <c r="A30" i="26"/>
  <c r="T29" i="26"/>
  <c r="W29" i="26" s="1"/>
  <c r="O29" i="26"/>
  <c r="V29" i="26" s="1"/>
  <c r="J29" i="26"/>
  <c r="U29" i="26" s="1"/>
  <c r="D29" i="26"/>
  <c r="C29" i="26"/>
  <c r="B29" i="26"/>
  <c r="A29" i="26"/>
  <c r="T28" i="26"/>
  <c r="W28" i="26" s="1"/>
  <c r="O28" i="26"/>
  <c r="V28" i="26" s="1"/>
  <c r="J28" i="26"/>
  <c r="U28" i="26" s="1"/>
  <c r="D28" i="26"/>
  <c r="C28" i="26"/>
  <c r="B28" i="26"/>
  <c r="A28" i="26"/>
  <c r="T27" i="26"/>
  <c r="W27" i="26" s="1"/>
  <c r="O27" i="26"/>
  <c r="V27" i="26" s="1"/>
  <c r="J27" i="26"/>
  <c r="U27" i="26" s="1"/>
  <c r="D27" i="26"/>
  <c r="C27" i="26"/>
  <c r="B27" i="26"/>
  <c r="A27" i="26"/>
  <c r="T26" i="26"/>
  <c r="W26" i="26" s="1"/>
  <c r="O26" i="26"/>
  <c r="V26" i="26" s="1"/>
  <c r="J26" i="26"/>
  <c r="U26" i="26" s="1"/>
  <c r="D26" i="26"/>
  <c r="C26" i="26"/>
  <c r="B26" i="26"/>
  <c r="A26" i="26"/>
  <c r="T25" i="26"/>
  <c r="W25" i="26" s="1"/>
  <c r="O25" i="26"/>
  <c r="V25" i="26" s="1"/>
  <c r="J25" i="26"/>
  <c r="U25" i="26" s="1"/>
  <c r="D25" i="26"/>
  <c r="C25" i="26"/>
  <c r="B25" i="26"/>
  <c r="A25" i="26"/>
  <c r="T24" i="26"/>
  <c r="W24" i="26" s="1"/>
  <c r="O24" i="26"/>
  <c r="V24" i="26" s="1"/>
  <c r="J24" i="26"/>
  <c r="U24" i="26" s="1"/>
  <c r="D24" i="26"/>
  <c r="C24" i="26"/>
  <c r="B24" i="26"/>
  <c r="A24" i="26"/>
  <c r="T23" i="26"/>
  <c r="W23" i="26" s="1"/>
  <c r="O23" i="26"/>
  <c r="V23" i="26" s="1"/>
  <c r="J23" i="26"/>
  <c r="U23" i="26" s="1"/>
  <c r="D23" i="26"/>
  <c r="C23" i="26"/>
  <c r="B23" i="26"/>
  <c r="A23" i="26"/>
  <c r="T22" i="26"/>
  <c r="W22" i="26" s="1"/>
  <c r="O22" i="26"/>
  <c r="V22" i="26" s="1"/>
  <c r="J22" i="26"/>
  <c r="U22" i="26" s="1"/>
  <c r="D22" i="26"/>
  <c r="C22" i="26"/>
  <c r="B22" i="26"/>
  <c r="A22" i="26"/>
  <c r="T21" i="26"/>
  <c r="W21" i="26" s="1"/>
  <c r="O21" i="26"/>
  <c r="V21" i="26" s="1"/>
  <c r="J21" i="26"/>
  <c r="U21" i="26" s="1"/>
  <c r="D21" i="26"/>
  <c r="C21" i="26"/>
  <c r="B21" i="26"/>
  <c r="A21" i="26"/>
  <c r="T20" i="26"/>
  <c r="W20" i="26" s="1"/>
  <c r="O20" i="26"/>
  <c r="V20" i="26" s="1"/>
  <c r="J20" i="26"/>
  <c r="U20" i="26" s="1"/>
  <c r="D20" i="26"/>
  <c r="C20" i="26"/>
  <c r="B20" i="26"/>
  <c r="A20" i="26"/>
  <c r="T19" i="26"/>
  <c r="W19" i="26" s="1"/>
  <c r="O19" i="26"/>
  <c r="V19" i="26" s="1"/>
  <c r="J19" i="26"/>
  <c r="U19" i="26" s="1"/>
  <c r="D19" i="26"/>
  <c r="C19" i="26"/>
  <c r="B19" i="26"/>
  <c r="A19" i="26"/>
  <c r="T18" i="26"/>
  <c r="W18" i="26" s="1"/>
  <c r="O18" i="26"/>
  <c r="V18" i="26" s="1"/>
  <c r="J18" i="26"/>
  <c r="U18" i="26" s="1"/>
  <c r="D18" i="26"/>
  <c r="C18" i="26"/>
  <c r="B18" i="26"/>
  <c r="A18" i="26"/>
  <c r="T17" i="26"/>
  <c r="W17" i="26" s="1"/>
  <c r="O17" i="26"/>
  <c r="V17" i="26" s="1"/>
  <c r="J17" i="26"/>
  <c r="U17" i="26" s="1"/>
  <c r="D17" i="26"/>
  <c r="C17" i="26"/>
  <c r="B17" i="26"/>
  <c r="A17" i="26"/>
  <c r="T16" i="26"/>
  <c r="W16" i="26" s="1"/>
  <c r="O16" i="26"/>
  <c r="V16" i="26" s="1"/>
  <c r="J16" i="26"/>
  <c r="U16" i="26" s="1"/>
  <c r="D16" i="26"/>
  <c r="C16" i="26"/>
  <c r="B16" i="26"/>
  <c r="A16" i="26"/>
  <c r="T15" i="26"/>
  <c r="W15" i="26" s="1"/>
  <c r="O15" i="26"/>
  <c r="V15" i="26" s="1"/>
  <c r="J15" i="26"/>
  <c r="U15" i="26" s="1"/>
  <c r="D15" i="26"/>
  <c r="C15" i="26"/>
  <c r="B15" i="26"/>
  <c r="A15" i="26"/>
  <c r="T14" i="26"/>
  <c r="W14" i="26" s="1"/>
  <c r="O14" i="26"/>
  <c r="V14" i="26" s="1"/>
  <c r="J14" i="26"/>
  <c r="U14" i="26" s="1"/>
  <c r="D14" i="26"/>
  <c r="C14" i="26"/>
  <c r="B14" i="26"/>
  <c r="A14" i="26"/>
  <c r="T13" i="26"/>
  <c r="W13" i="26" s="1"/>
  <c r="O13" i="26"/>
  <c r="V13" i="26" s="1"/>
  <c r="J13" i="26"/>
  <c r="U13" i="26" s="1"/>
  <c r="D13" i="26"/>
  <c r="C13" i="26"/>
  <c r="B13" i="26"/>
  <c r="A13" i="26"/>
  <c r="D9" i="26"/>
  <c r="C8" i="26"/>
  <c r="D7" i="26"/>
  <c r="D6" i="26"/>
  <c r="T4" i="26"/>
  <c r="T5" i="26" s="1"/>
  <c r="O4" i="26"/>
  <c r="O5" i="26" s="1"/>
  <c r="J4" i="26"/>
  <c r="J5" i="26" s="1"/>
  <c r="W3" i="26"/>
  <c r="V3" i="26"/>
  <c r="U3" i="26"/>
  <c r="W2" i="26"/>
  <c r="V2" i="26"/>
  <c r="U2" i="26"/>
  <c r="BO1" i="26"/>
  <c r="AT1" i="26"/>
  <c r="Y1" i="26"/>
  <c r="E12" i="24"/>
  <c r="E11" i="24"/>
  <c r="D11" i="24" s="1"/>
  <c r="E10" i="24"/>
  <c r="C10" i="24" s="1"/>
  <c r="E9" i="24"/>
  <c r="E8" i="24"/>
  <c r="E7" i="24"/>
  <c r="C7" i="24" s="1"/>
  <c r="E6" i="24"/>
  <c r="E5" i="24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T13" i="24"/>
  <c r="W13" i="24" s="1"/>
  <c r="O13" i="24"/>
  <c r="V13" i="24" s="1"/>
  <c r="J13" i="24"/>
  <c r="U13" i="24" s="1"/>
  <c r="D13" i="24"/>
  <c r="C13" i="24"/>
  <c r="B13" i="24"/>
  <c r="A13" i="24" s="1"/>
  <c r="T12" i="24"/>
  <c r="O12" i="24"/>
  <c r="J12" i="24"/>
  <c r="D12" i="24"/>
  <c r="C12" i="24"/>
  <c r="B12" i="24"/>
  <c r="A12" i="24" s="1"/>
  <c r="T11" i="24"/>
  <c r="O11" i="24"/>
  <c r="J11" i="24"/>
  <c r="C11" i="24"/>
  <c r="B11" i="24"/>
  <c r="A11" i="24" s="1"/>
  <c r="T10" i="24"/>
  <c r="O10" i="24"/>
  <c r="J10" i="24"/>
  <c r="D10" i="24"/>
  <c r="D9" i="24"/>
  <c r="D8" i="24"/>
  <c r="C8" i="24"/>
  <c r="D7" i="24"/>
  <c r="D6" i="24"/>
  <c r="B6" i="24"/>
  <c r="D5" i="24"/>
  <c r="B5" i="24"/>
  <c r="A5" i="24" s="1"/>
  <c r="T4" i="24"/>
  <c r="T5" i="24" s="1"/>
  <c r="O4" i="24"/>
  <c r="O5" i="24" s="1"/>
  <c r="J4" i="24"/>
  <c r="U4" i="24" s="1"/>
  <c r="W3" i="24"/>
  <c r="V3" i="24"/>
  <c r="U3" i="24"/>
  <c r="W2" i="24"/>
  <c r="V2" i="24"/>
  <c r="U2" i="24"/>
  <c r="BO1" i="24"/>
  <c r="AT1" i="24"/>
  <c r="Y1" i="24"/>
  <c r="C10" i="23"/>
  <c r="E9" i="23"/>
  <c r="E8" i="23"/>
  <c r="E7" i="23"/>
  <c r="E6" i="23"/>
  <c r="D6" i="23" s="1"/>
  <c r="E5" i="23"/>
  <c r="D5" i="23" s="1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T12" i="23"/>
  <c r="W12" i="23" s="1"/>
  <c r="O12" i="23"/>
  <c r="V12" i="23" s="1"/>
  <c r="J12" i="23"/>
  <c r="U12" i="23" s="1"/>
  <c r="D12" i="23"/>
  <c r="C12" i="23"/>
  <c r="B12" i="23"/>
  <c r="A12" i="23"/>
  <c r="T11" i="23"/>
  <c r="W11" i="23" s="1"/>
  <c r="O11" i="23"/>
  <c r="V11" i="23" s="1"/>
  <c r="J11" i="23"/>
  <c r="U11" i="23" s="1"/>
  <c r="D11" i="23"/>
  <c r="C11" i="23"/>
  <c r="B11" i="23"/>
  <c r="A11" i="23"/>
  <c r="T10" i="23"/>
  <c r="W10" i="23" s="1"/>
  <c r="O10" i="23"/>
  <c r="V10" i="23" s="1"/>
  <c r="J10" i="23"/>
  <c r="U10" i="23" s="1"/>
  <c r="D10" i="23"/>
  <c r="B10" i="23"/>
  <c r="A10" i="23" s="1"/>
  <c r="D9" i="23"/>
  <c r="C9" i="23"/>
  <c r="C7" i="23"/>
  <c r="D7" i="23"/>
  <c r="T6" i="23"/>
  <c r="T7" i="23" s="1"/>
  <c r="T5" i="23"/>
  <c r="C5" i="23"/>
  <c r="B5" i="23"/>
  <c r="A5" i="23" s="1"/>
  <c r="T4" i="23"/>
  <c r="O4" i="23"/>
  <c r="O5" i="23" s="1"/>
  <c r="J4" i="23"/>
  <c r="W3" i="23"/>
  <c r="V3" i="23"/>
  <c r="U3" i="23"/>
  <c r="W2" i="23"/>
  <c r="V2" i="23"/>
  <c r="U2" i="23"/>
  <c r="BO1" i="23"/>
  <c r="AT1" i="23"/>
  <c r="Y1" i="23"/>
  <c r="E9" i="22"/>
  <c r="E8" i="22"/>
  <c r="E7" i="22"/>
  <c r="E6" i="22"/>
  <c r="E5" i="22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D14" i="22"/>
  <c r="C14" i="22"/>
  <c r="D13" i="22"/>
  <c r="D12" i="22"/>
  <c r="D11" i="22"/>
  <c r="D10" i="22"/>
  <c r="D8" i="22"/>
  <c r="J6" i="22"/>
  <c r="J5" i="22"/>
  <c r="D5" i="22"/>
  <c r="D6" i="22" s="1"/>
  <c r="D7" i="22" s="1"/>
  <c r="B5" i="22"/>
  <c r="A5" i="22" s="1"/>
  <c r="T4" i="22"/>
  <c r="T5" i="22" s="1"/>
  <c r="O4" i="22"/>
  <c r="J4" i="22"/>
  <c r="W3" i="22"/>
  <c r="V3" i="22"/>
  <c r="U3" i="22"/>
  <c r="W2" i="22"/>
  <c r="V2" i="22"/>
  <c r="U2" i="22"/>
  <c r="BO1" i="22"/>
  <c r="AT1" i="22"/>
  <c r="Y1" i="22"/>
  <c r="D15" i="21"/>
  <c r="E14" i="21"/>
  <c r="E13" i="21"/>
  <c r="D13" i="21" s="1"/>
  <c r="E12" i="21"/>
  <c r="E11" i="21"/>
  <c r="D11" i="21"/>
  <c r="E10" i="21"/>
  <c r="D10" i="21" s="1"/>
  <c r="E9" i="21"/>
  <c r="E8" i="21"/>
  <c r="E7" i="21"/>
  <c r="E6" i="21"/>
  <c r="E5" i="21"/>
  <c r="D5" i="21" s="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C15" i="21"/>
  <c r="B15" i="21"/>
  <c r="A15" i="21"/>
  <c r="T14" i="21"/>
  <c r="O14" i="21"/>
  <c r="J14" i="21"/>
  <c r="U14" i="21" s="1"/>
  <c r="D14" i="21"/>
  <c r="C14" i="21"/>
  <c r="B14" i="21"/>
  <c r="A14" i="21" s="1"/>
  <c r="T13" i="21"/>
  <c r="O13" i="21"/>
  <c r="V13" i="21" s="1"/>
  <c r="J13" i="21"/>
  <c r="T12" i="21"/>
  <c r="O12" i="21"/>
  <c r="J12" i="21"/>
  <c r="D12" i="21"/>
  <c r="C12" i="21"/>
  <c r="B12" i="21"/>
  <c r="A12" i="21"/>
  <c r="T11" i="21"/>
  <c r="O11" i="21"/>
  <c r="J11" i="21"/>
  <c r="C11" i="21"/>
  <c r="B11" i="21"/>
  <c r="A11" i="21"/>
  <c r="T10" i="21"/>
  <c r="O10" i="21"/>
  <c r="J10" i="21"/>
  <c r="C9" i="21"/>
  <c r="D9" i="21"/>
  <c r="C7" i="21"/>
  <c r="D7" i="21"/>
  <c r="C6" i="21"/>
  <c r="T5" i="21"/>
  <c r="T6" i="21" s="1"/>
  <c r="J5" i="21"/>
  <c r="J6" i="21" s="1"/>
  <c r="B5" i="21"/>
  <c r="A5" i="21" s="1"/>
  <c r="T4" i="21"/>
  <c r="O4" i="21"/>
  <c r="O5" i="21" s="1"/>
  <c r="J4" i="21"/>
  <c r="W3" i="21"/>
  <c r="V3" i="21"/>
  <c r="U3" i="21"/>
  <c r="W2" i="21"/>
  <c r="V2" i="21"/>
  <c r="U2" i="21"/>
  <c r="BO1" i="21"/>
  <c r="AT1" i="21"/>
  <c r="Y1" i="21"/>
  <c r="E9" i="20"/>
  <c r="D9" i="20" s="1"/>
  <c r="E8" i="20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/>
  <c r="T10" i="20"/>
  <c r="W10" i="20" s="1"/>
  <c r="O10" i="20"/>
  <c r="V10" i="20" s="1"/>
  <c r="J10" i="20"/>
  <c r="U10" i="20" s="1"/>
  <c r="D10" i="20"/>
  <c r="C10" i="20"/>
  <c r="B10" i="20"/>
  <c r="A10" i="20" s="1"/>
  <c r="T9" i="20"/>
  <c r="O9" i="20"/>
  <c r="J9" i="20"/>
  <c r="C9" i="20"/>
  <c r="B9" i="20"/>
  <c r="A9" i="20"/>
  <c r="D6" i="20"/>
  <c r="B5" i="20"/>
  <c r="D5" i="20"/>
  <c r="C5" i="20"/>
  <c r="T4" i="20"/>
  <c r="T5" i="20" s="1"/>
  <c r="O4" i="20"/>
  <c r="O5" i="20" s="1"/>
  <c r="J4" i="20"/>
  <c r="J5" i="20" s="1"/>
  <c r="W3" i="20"/>
  <c r="V3" i="20"/>
  <c r="U3" i="20"/>
  <c r="W2" i="20"/>
  <c r="V2" i="20"/>
  <c r="U2" i="20"/>
  <c r="BO1" i="20"/>
  <c r="AT1" i="20"/>
  <c r="Y1" i="20"/>
  <c r="E8" i="19"/>
  <c r="E7" i="19"/>
  <c r="E6" i="19"/>
  <c r="E5" i="19"/>
  <c r="T8" i="37" l="1"/>
  <c r="W7" i="37"/>
  <c r="J9" i="37"/>
  <c r="O8" i="37"/>
  <c r="U8" i="37" s="1"/>
  <c r="V7" i="37"/>
  <c r="B9" i="37"/>
  <c r="J8" i="36"/>
  <c r="U7" i="36"/>
  <c r="B9" i="36"/>
  <c r="A9" i="36"/>
  <c r="O8" i="36"/>
  <c r="V7" i="36"/>
  <c r="W7" i="36"/>
  <c r="T9" i="36"/>
  <c r="A8" i="36"/>
  <c r="J9" i="35"/>
  <c r="O8" i="35"/>
  <c r="V7" i="35"/>
  <c r="T8" i="35"/>
  <c r="W7" i="35"/>
  <c r="B9" i="35"/>
  <c r="T8" i="34"/>
  <c r="W7" i="34"/>
  <c r="A6" i="34"/>
  <c r="B7" i="34"/>
  <c r="V7" i="34"/>
  <c r="O9" i="34"/>
  <c r="J8" i="34"/>
  <c r="V8" i="34" s="1"/>
  <c r="U7" i="34"/>
  <c r="J8" i="33"/>
  <c r="U7" i="33"/>
  <c r="T8" i="33"/>
  <c r="W7" i="33"/>
  <c r="A6" i="33"/>
  <c r="B7" i="33"/>
  <c r="A7" i="33" s="1"/>
  <c r="O9" i="33"/>
  <c r="T8" i="32"/>
  <c r="W7" i="32"/>
  <c r="O8" i="32"/>
  <c r="V7" i="32"/>
  <c r="J8" i="32"/>
  <c r="U7" i="32"/>
  <c r="T9" i="31"/>
  <c r="O8" i="31"/>
  <c r="V7" i="31"/>
  <c r="J8" i="31"/>
  <c r="U7" i="31"/>
  <c r="B9" i="31"/>
  <c r="A9" i="31" s="1"/>
  <c r="A8" i="31"/>
  <c r="U7" i="30"/>
  <c r="J8" i="30"/>
  <c r="V7" i="30"/>
  <c r="O9" i="30"/>
  <c r="B8" i="30"/>
  <c r="A8" i="30" s="1"/>
  <c r="W7" i="30"/>
  <c r="T8" i="30"/>
  <c r="V8" i="30" s="1"/>
  <c r="W14" i="28"/>
  <c r="U14" i="28"/>
  <c r="V14" i="28"/>
  <c r="T6" i="28"/>
  <c r="U6" i="28" s="1"/>
  <c r="W5" i="28"/>
  <c r="U5" i="28"/>
  <c r="O7" i="28"/>
  <c r="V6" i="28"/>
  <c r="J8" i="28"/>
  <c r="U4" i="28"/>
  <c r="V4" i="28"/>
  <c r="D6" i="28"/>
  <c r="C9" i="28"/>
  <c r="W4" i="28"/>
  <c r="C7" i="28"/>
  <c r="B5" i="28"/>
  <c r="B6" i="28" s="1"/>
  <c r="V5" i="28"/>
  <c r="C5" i="28"/>
  <c r="C6" i="28" s="1"/>
  <c r="C13" i="28"/>
  <c r="D5" i="28"/>
  <c r="C14" i="27"/>
  <c r="U13" i="27"/>
  <c r="W13" i="27"/>
  <c r="V13" i="27"/>
  <c r="V12" i="27"/>
  <c r="W12" i="27"/>
  <c r="U12" i="27"/>
  <c r="U11" i="27"/>
  <c r="V11" i="27"/>
  <c r="W11" i="27"/>
  <c r="J6" i="27"/>
  <c r="U5" i="27"/>
  <c r="O6" i="27"/>
  <c r="V5" i="27"/>
  <c r="T6" i="27"/>
  <c r="W5" i="27"/>
  <c r="D5" i="27"/>
  <c r="C8" i="27"/>
  <c r="B6" i="27"/>
  <c r="U4" i="27"/>
  <c r="C6" i="27"/>
  <c r="B9" i="27"/>
  <c r="B10" i="27" s="1"/>
  <c r="V4" i="27"/>
  <c r="C9" i="27"/>
  <c r="C10" i="27" s="1"/>
  <c r="W4" i="27"/>
  <c r="B7" i="27"/>
  <c r="B8" i="27"/>
  <c r="A5" i="27"/>
  <c r="A6" i="27" s="1"/>
  <c r="C7" i="27"/>
  <c r="C9" i="26"/>
  <c r="D5" i="26"/>
  <c r="J6" i="26"/>
  <c r="U5" i="26"/>
  <c r="O6" i="26"/>
  <c r="V5" i="26"/>
  <c r="T6" i="26"/>
  <c r="W5" i="26"/>
  <c r="C11" i="26"/>
  <c r="U4" i="26"/>
  <c r="C6" i="26"/>
  <c r="C7" i="26" s="1"/>
  <c r="D11" i="26"/>
  <c r="D12" i="26" s="1"/>
  <c r="V4" i="26"/>
  <c r="W4" i="26"/>
  <c r="C12" i="26"/>
  <c r="B5" i="26"/>
  <c r="C10" i="26"/>
  <c r="V12" i="24"/>
  <c r="W12" i="24"/>
  <c r="U12" i="24"/>
  <c r="W11" i="24"/>
  <c r="U11" i="24"/>
  <c r="V11" i="24"/>
  <c r="U10" i="24"/>
  <c r="V10" i="24"/>
  <c r="W10" i="24"/>
  <c r="B10" i="24"/>
  <c r="A10" i="24" s="1"/>
  <c r="O6" i="24"/>
  <c r="B7" i="24"/>
  <c r="A7" i="24" s="1"/>
  <c r="T6" i="24"/>
  <c r="C5" i="24"/>
  <c r="A6" i="24"/>
  <c r="J5" i="24"/>
  <c r="C6" i="24"/>
  <c r="V4" i="24"/>
  <c r="C9" i="24"/>
  <c r="W4" i="24"/>
  <c r="W4" i="23"/>
  <c r="O6" i="23"/>
  <c r="T8" i="23"/>
  <c r="C8" i="23"/>
  <c r="B6" i="23"/>
  <c r="B7" i="23" s="1"/>
  <c r="D8" i="23"/>
  <c r="U4" i="23"/>
  <c r="J5" i="23"/>
  <c r="C6" i="23"/>
  <c r="V4" i="23"/>
  <c r="V4" i="22"/>
  <c r="U4" i="22"/>
  <c r="T6" i="22"/>
  <c r="B7" i="22"/>
  <c r="B8" i="22" s="1"/>
  <c r="O5" i="22"/>
  <c r="W5" i="22" s="1"/>
  <c r="C9" i="22"/>
  <c r="C10" i="22" s="1"/>
  <c r="W4" i="22"/>
  <c r="D9" i="22"/>
  <c r="C5" i="22"/>
  <c r="C6" i="22" s="1"/>
  <c r="C7" i="22" s="1"/>
  <c r="C8" i="22" s="1"/>
  <c r="C13" i="22"/>
  <c r="J7" i="22"/>
  <c r="B6" i="22"/>
  <c r="C11" i="22"/>
  <c r="C12" i="22" s="1"/>
  <c r="V14" i="21"/>
  <c r="W14" i="21"/>
  <c r="W13" i="21"/>
  <c r="U13" i="21"/>
  <c r="B13" i="21"/>
  <c r="A13" i="21" s="1"/>
  <c r="C13" i="21"/>
  <c r="W12" i="21"/>
  <c r="U12" i="21"/>
  <c r="V12" i="21"/>
  <c r="V11" i="21"/>
  <c r="U11" i="21"/>
  <c r="W11" i="21"/>
  <c r="W10" i="21"/>
  <c r="U10" i="21"/>
  <c r="V10" i="21"/>
  <c r="B10" i="21"/>
  <c r="A10" i="21" s="1"/>
  <c r="C10" i="21"/>
  <c r="C5" i="21"/>
  <c r="W4" i="21"/>
  <c r="U4" i="21"/>
  <c r="V5" i="21"/>
  <c r="O6" i="21"/>
  <c r="T7" i="21"/>
  <c r="J7" i="21"/>
  <c r="W5" i="21"/>
  <c r="C8" i="21"/>
  <c r="B6" i="21"/>
  <c r="B7" i="21" s="1"/>
  <c r="D8" i="21"/>
  <c r="V4" i="21"/>
  <c r="D6" i="21"/>
  <c r="U5" i="21"/>
  <c r="U9" i="20"/>
  <c r="V9" i="20"/>
  <c r="W9" i="20"/>
  <c r="A5" i="20"/>
  <c r="J6" i="20"/>
  <c r="U5" i="20"/>
  <c r="O6" i="20"/>
  <c r="V5" i="20"/>
  <c r="T6" i="20"/>
  <c r="W5" i="20"/>
  <c r="C7" i="20"/>
  <c r="C8" i="20" s="1"/>
  <c r="D7" i="20"/>
  <c r="D8" i="20" s="1"/>
  <c r="B6" i="20"/>
  <c r="B7" i="20" s="1"/>
  <c r="U4" i="20"/>
  <c r="C6" i="20"/>
  <c r="V4" i="20"/>
  <c r="W4" i="20"/>
  <c r="W3" i="19"/>
  <c r="V3" i="19"/>
  <c r="U3" i="19"/>
  <c r="B10" i="37" l="1"/>
  <c r="A10" i="37" s="1"/>
  <c r="A9" i="37"/>
  <c r="J10" i="37"/>
  <c r="O9" i="37"/>
  <c r="V8" i="37"/>
  <c r="W8" i="37"/>
  <c r="T9" i="37"/>
  <c r="O9" i="36"/>
  <c r="V8" i="36"/>
  <c r="W8" i="36"/>
  <c r="J9" i="36"/>
  <c r="U9" i="36" s="1"/>
  <c r="U8" i="36"/>
  <c r="B10" i="35"/>
  <c r="A9" i="35"/>
  <c r="O9" i="35"/>
  <c r="V8" i="35"/>
  <c r="U8" i="35"/>
  <c r="T9" i="35"/>
  <c r="W8" i="35"/>
  <c r="J10" i="35"/>
  <c r="O10" i="34"/>
  <c r="B8" i="34"/>
  <c r="A8" i="34" s="1"/>
  <c r="A7" i="34"/>
  <c r="J9" i="34"/>
  <c r="U8" i="34"/>
  <c r="T9" i="34"/>
  <c r="W8" i="34"/>
  <c r="O10" i="33"/>
  <c r="B8" i="33"/>
  <c r="T9" i="33"/>
  <c r="W8" i="33"/>
  <c r="V8" i="33"/>
  <c r="J9" i="33"/>
  <c r="U8" i="33"/>
  <c r="O9" i="32"/>
  <c r="V8" i="32"/>
  <c r="J9" i="32"/>
  <c r="U8" i="32"/>
  <c r="W8" i="32"/>
  <c r="T9" i="32"/>
  <c r="W9" i="32" s="1"/>
  <c r="O9" i="31"/>
  <c r="V8" i="31"/>
  <c r="B10" i="31"/>
  <c r="J9" i="31"/>
  <c r="U8" i="31"/>
  <c r="T10" i="31"/>
  <c r="W9" i="31"/>
  <c r="W8" i="31"/>
  <c r="B9" i="30"/>
  <c r="A9" i="30" s="1"/>
  <c r="J9" i="30"/>
  <c r="U8" i="30"/>
  <c r="O10" i="30"/>
  <c r="T9" i="30"/>
  <c r="V9" i="30" s="1"/>
  <c r="W8" i="30"/>
  <c r="B7" i="28"/>
  <c r="J9" i="28"/>
  <c r="O8" i="28"/>
  <c r="A5" i="28"/>
  <c r="A6" i="28" s="1"/>
  <c r="T7" i="28"/>
  <c r="V7" i="28" s="1"/>
  <c r="W6" i="28"/>
  <c r="A7" i="27"/>
  <c r="A8" i="27" s="1"/>
  <c r="A9" i="27" s="1"/>
  <c r="A10" i="27" s="1"/>
  <c r="T7" i="27"/>
  <c r="W6" i="27"/>
  <c r="O7" i="27"/>
  <c r="V6" i="27"/>
  <c r="J7" i="27"/>
  <c r="U6" i="27"/>
  <c r="T7" i="26"/>
  <c r="W6" i="26"/>
  <c r="A5" i="26"/>
  <c r="O7" i="26"/>
  <c r="V6" i="26"/>
  <c r="B6" i="26"/>
  <c r="U6" i="26"/>
  <c r="J7" i="26"/>
  <c r="J6" i="24"/>
  <c r="U5" i="24"/>
  <c r="V5" i="24"/>
  <c r="B8" i="24"/>
  <c r="W5" i="24"/>
  <c r="W6" i="24"/>
  <c r="T7" i="24"/>
  <c r="A8" i="24"/>
  <c r="V6" i="24"/>
  <c r="O7" i="24"/>
  <c r="B8" i="23"/>
  <c r="A6" i="23"/>
  <c r="A7" i="23" s="1"/>
  <c r="J6" i="23"/>
  <c r="U5" i="23"/>
  <c r="W5" i="23"/>
  <c r="T9" i="23"/>
  <c r="O7" i="23"/>
  <c r="V5" i="23"/>
  <c r="B9" i="22"/>
  <c r="T7" i="22"/>
  <c r="O6" i="22"/>
  <c r="V5" i="22"/>
  <c r="U5" i="22"/>
  <c r="A6" i="22"/>
  <c r="A7" i="22"/>
  <c r="A8" i="22"/>
  <c r="A9" i="22" s="1"/>
  <c r="J8" i="22"/>
  <c r="A6" i="21"/>
  <c r="B8" i="21"/>
  <c r="A7" i="21"/>
  <c r="T8" i="21"/>
  <c r="W7" i="21"/>
  <c r="O7" i="21"/>
  <c r="V6" i="21"/>
  <c r="U6" i="21"/>
  <c r="J8" i="21"/>
  <c r="W6" i="21"/>
  <c r="B8" i="20"/>
  <c r="A6" i="20"/>
  <c r="A7" i="20" s="1"/>
  <c r="O7" i="20"/>
  <c r="V6" i="20"/>
  <c r="T7" i="20"/>
  <c r="W6" i="20"/>
  <c r="U6" i="20"/>
  <c r="J7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W10" i="19" s="1"/>
  <c r="O10" i="19"/>
  <c r="V10" i="19" s="1"/>
  <c r="J10" i="19"/>
  <c r="U10" i="19" s="1"/>
  <c r="D10" i="19"/>
  <c r="C10" i="19"/>
  <c r="B10" i="19"/>
  <c r="A10" i="19" s="1"/>
  <c r="T9" i="19"/>
  <c r="W9" i="19" s="1"/>
  <c r="O9" i="19"/>
  <c r="V9" i="19" s="1"/>
  <c r="J9" i="19"/>
  <c r="U9" i="19" s="1"/>
  <c r="D9" i="19"/>
  <c r="C9" i="19"/>
  <c r="T8" i="19"/>
  <c r="O8" i="19"/>
  <c r="J8" i="19"/>
  <c r="C8" i="19"/>
  <c r="T7" i="19"/>
  <c r="O7" i="19"/>
  <c r="J7" i="19"/>
  <c r="D7" i="19"/>
  <c r="D8" i="19" s="1"/>
  <c r="C7" i="19"/>
  <c r="T6" i="19"/>
  <c r="O6" i="19"/>
  <c r="J6" i="19"/>
  <c r="U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U9" i="37" l="1"/>
  <c r="T10" i="37"/>
  <c r="W9" i="37"/>
  <c r="J11" i="37"/>
  <c r="U10" i="37"/>
  <c r="O10" i="37"/>
  <c r="V9" i="37"/>
  <c r="B11" i="37"/>
  <c r="A11" i="37" s="1"/>
  <c r="V9" i="36"/>
  <c r="W9" i="36"/>
  <c r="T10" i="35"/>
  <c r="W9" i="35"/>
  <c r="O10" i="35"/>
  <c r="V9" i="35"/>
  <c r="U9" i="35"/>
  <c r="B11" i="35"/>
  <c r="A11" i="35" s="1"/>
  <c r="J11" i="35"/>
  <c r="A10" i="35"/>
  <c r="V9" i="34"/>
  <c r="T10" i="34"/>
  <c r="W9" i="34"/>
  <c r="B9" i="34"/>
  <c r="J10" i="34"/>
  <c r="U9" i="34"/>
  <c r="O11" i="34"/>
  <c r="V10" i="34"/>
  <c r="J10" i="33"/>
  <c r="U9" i="33"/>
  <c r="T10" i="33"/>
  <c r="W9" i="33"/>
  <c r="B9" i="33"/>
  <c r="A8" i="33"/>
  <c r="V9" i="33"/>
  <c r="O11" i="33"/>
  <c r="U9" i="32"/>
  <c r="V9" i="32"/>
  <c r="T11" i="31"/>
  <c r="B11" i="31"/>
  <c r="A11" i="31" s="1"/>
  <c r="A10" i="31"/>
  <c r="J10" i="31"/>
  <c r="W10" i="31" s="1"/>
  <c r="U9" i="31"/>
  <c r="V9" i="31"/>
  <c r="O10" i="31"/>
  <c r="O11" i="30"/>
  <c r="W9" i="30"/>
  <c r="T10" i="30"/>
  <c r="J10" i="30"/>
  <c r="U9" i="30"/>
  <c r="B10" i="30"/>
  <c r="O9" i="28"/>
  <c r="J10" i="28"/>
  <c r="T8" i="28"/>
  <c r="U8" i="28" s="1"/>
  <c r="W7" i="28"/>
  <c r="B8" i="28"/>
  <c r="A8" i="28" s="1"/>
  <c r="U7" i="28"/>
  <c r="A7" i="28"/>
  <c r="O8" i="27"/>
  <c r="V7" i="27"/>
  <c r="T8" i="27"/>
  <c r="W7" i="27"/>
  <c r="J8" i="27"/>
  <c r="U7" i="27"/>
  <c r="O8" i="26"/>
  <c r="V7" i="26"/>
  <c r="B7" i="26"/>
  <c r="A6" i="26"/>
  <c r="U7" i="26"/>
  <c r="J8" i="26"/>
  <c r="T8" i="26"/>
  <c r="W7" i="26"/>
  <c r="J7" i="24"/>
  <c r="U6" i="24"/>
  <c r="T8" i="24"/>
  <c r="O8" i="24"/>
  <c r="B9" i="24"/>
  <c r="A9" i="24"/>
  <c r="J7" i="23"/>
  <c r="U6" i="23"/>
  <c r="W6" i="23"/>
  <c r="V6" i="23"/>
  <c r="B9" i="23"/>
  <c r="A9" i="23" s="1"/>
  <c r="O8" i="23"/>
  <c r="A8" i="23"/>
  <c r="T8" i="22"/>
  <c r="B10" i="22"/>
  <c r="A10" i="22" s="1"/>
  <c r="J9" i="22"/>
  <c r="O7" i="22"/>
  <c r="W7" i="22" s="1"/>
  <c r="V6" i="22"/>
  <c r="U6" i="22"/>
  <c r="W6" i="22"/>
  <c r="A8" i="21"/>
  <c r="J9" i="21"/>
  <c r="O8" i="21"/>
  <c r="V7" i="21"/>
  <c r="T9" i="21"/>
  <c r="U7" i="21"/>
  <c r="B9" i="21"/>
  <c r="A9" i="21" s="1"/>
  <c r="A8" i="20"/>
  <c r="J8" i="20"/>
  <c r="U7" i="20"/>
  <c r="T8" i="20"/>
  <c r="W7" i="20"/>
  <c r="O8" i="20"/>
  <c r="V7" i="20"/>
  <c r="B6" i="19"/>
  <c r="W8" i="19"/>
  <c r="U8" i="19"/>
  <c r="V8" i="19"/>
  <c r="U7" i="19"/>
  <c r="V7" i="19"/>
  <c r="W7" i="19"/>
  <c r="C6" i="19"/>
  <c r="W4" i="19"/>
  <c r="V6" i="19"/>
  <c r="W6" i="19"/>
  <c r="U4" i="19"/>
  <c r="V4" i="19"/>
  <c r="T5" i="19"/>
  <c r="J5" i="19"/>
  <c r="O5" i="19"/>
  <c r="O11" i="37" l="1"/>
  <c r="V10" i="37"/>
  <c r="T11" i="37"/>
  <c r="W11" i="37" s="1"/>
  <c r="W10" i="37"/>
  <c r="O11" i="35"/>
  <c r="V10" i="35"/>
  <c r="U10" i="35"/>
  <c r="T11" i="35"/>
  <c r="W11" i="35" s="1"/>
  <c r="W10" i="35"/>
  <c r="J11" i="34"/>
  <c r="U10" i="34"/>
  <c r="O12" i="34"/>
  <c r="B10" i="34"/>
  <c r="A9" i="34"/>
  <c r="T11" i="34"/>
  <c r="W10" i="34"/>
  <c r="A9" i="33"/>
  <c r="T11" i="33"/>
  <c r="W10" i="33"/>
  <c r="B10" i="33"/>
  <c r="A10" i="33" s="1"/>
  <c r="O12" i="33"/>
  <c r="V10" i="33"/>
  <c r="J11" i="33"/>
  <c r="U10" i="33"/>
  <c r="J11" i="31"/>
  <c r="W11" i="31" s="1"/>
  <c r="U10" i="31"/>
  <c r="A12" i="31"/>
  <c r="B12" i="31"/>
  <c r="O11" i="31"/>
  <c r="V10" i="31"/>
  <c r="T12" i="31"/>
  <c r="B11" i="30"/>
  <c r="J11" i="30"/>
  <c r="U10" i="30"/>
  <c r="T11" i="30"/>
  <c r="W10" i="30"/>
  <c r="V10" i="30"/>
  <c r="A10" i="30"/>
  <c r="A11" i="30" s="1"/>
  <c r="O12" i="30"/>
  <c r="J11" i="28"/>
  <c r="T9" i="28"/>
  <c r="W8" i="28"/>
  <c r="V8" i="28"/>
  <c r="B9" i="28"/>
  <c r="A9" i="28" s="1"/>
  <c r="O10" i="28"/>
  <c r="J9" i="27"/>
  <c r="U8" i="27"/>
  <c r="T9" i="27"/>
  <c r="W8" i="27"/>
  <c r="O9" i="27"/>
  <c r="V8" i="27"/>
  <c r="T9" i="26"/>
  <c r="W8" i="26"/>
  <c r="B8" i="26"/>
  <c r="A7" i="26"/>
  <c r="J9" i="26"/>
  <c r="U8" i="26"/>
  <c r="O9" i="26"/>
  <c r="V8" i="26"/>
  <c r="J8" i="24"/>
  <c r="U7" i="24"/>
  <c r="W7" i="24"/>
  <c r="O9" i="24"/>
  <c r="T9" i="24"/>
  <c r="V7" i="24"/>
  <c r="O9" i="23"/>
  <c r="V8" i="23"/>
  <c r="J8" i="23"/>
  <c r="U7" i="23"/>
  <c r="W7" i="23"/>
  <c r="V7" i="23"/>
  <c r="T9" i="22"/>
  <c r="O8" i="22"/>
  <c r="V7" i="22"/>
  <c r="U7" i="22"/>
  <c r="J10" i="22"/>
  <c r="B11" i="22"/>
  <c r="A11" i="22"/>
  <c r="O9" i="21"/>
  <c r="W9" i="21" s="1"/>
  <c r="V8" i="21"/>
  <c r="U8" i="21"/>
  <c r="W8" i="21"/>
  <c r="V8" i="20"/>
  <c r="U8" i="20"/>
  <c r="W8" i="20"/>
  <c r="A6" i="19"/>
  <c r="B7" i="19"/>
  <c r="V5" i="19"/>
  <c r="U5" i="19"/>
  <c r="W5" i="19"/>
  <c r="V11" i="37" l="1"/>
  <c r="U11" i="37"/>
  <c r="V11" i="35"/>
  <c r="U11" i="35"/>
  <c r="T12" i="34"/>
  <c r="W11" i="34"/>
  <c r="O13" i="34"/>
  <c r="V12" i="34"/>
  <c r="B11" i="34"/>
  <c r="A11" i="34" s="1"/>
  <c r="A10" i="34"/>
  <c r="V11" i="34"/>
  <c r="J12" i="34"/>
  <c r="U11" i="34"/>
  <c r="W11" i="33"/>
  <c r="T12" i="33"/>
  <c r="J12" i="33"/>
  <c r="U11" i="33"/>
  <c r="V11" i="33"/>
  <c r="O13" i="33"/>
  <c r="V12" i="33"/>
  <c r="B11" i="33"/>
  <c r="T13" i="31"/>
  <c r="J12" i="31"/>
  <c r="U11" i="31"/>
  <c r="O12" i="31"/>
  <c r="V11" i="31"/>
  <c r="B13" i="31"/>
  <c r="T12" i="30"/>
  <c r="W11" i="30"/>
  <c r="J12" i="30"/>
  <c r="U11" i="30"/>
  <c r="V11" i="30"/>
  <c r="O13" i="30"/>
  <c r="V12" i="30"/>
  <c r="B12" i="30"/>
  <c r="O11" i="28"/>
  <c r="B10" i="28"/>
  <c r="J12" i="28"/>
  <c r="T10" i="28"/>
  <c r="V10" i="28" s="1"/>
  <c r="W9" i="28"/>
  <c r="U9" i="28"/>
  <c r="V9" i="28"/>
  <c r="O10" i="27"/>
  <c r="V9" i="27"/>
  <c r="T10" i="27"/>
  <c r="W9" i="27"/>
  <c r="J10" i="27"/>
  <c r="U10" i="27" s="1"/>
  <c r="U9" i="27"/>
  <c r="O10" i="26"/>
  <c r="V9" i="26"/>
  <c r="B9" i="26"/>
  <c r="J10" i="26"/>
  <c r="U9" i="26"/>
  <c r="A8" i="26"/>
  <c r="W9" i="26"/>
  <c r="T10" i="26"/>
  <c r="J9" i="24"/>
  <c r="U9" i="24" s="1"/>
  <c r="U8" i="24"/>
  <c r="W8" i="24"/>
  <c r="V8" i="24"/>
  <c r="U8" i="23"/>
  <c r="J9" i="23"/>
  <c r="W8" i="23"/>
  <c r="V9" i="23"/>
  <c r="T10" i="22"/>
  <c r="A12" i="22"/>
  <c r="B12" i="22"/>
  <c r="O9" i="22"/>
  <c r="W9" i="22" s="1"/>
  <c r="V8" i="22"/>
  <c r="U8" i="22"/>
  <c r="W8" i="22"/>
  <c r="J11" i="22"/>
  <c r="V9" i="21"/>
  <c r="U9" i="21"/>
  <c r="A7" i="19"/>
  <c r="B8" i="19"/>
  <c r="B12" i="34" l="1"/>
  <c r="O14" i="34"/>
  <c r="J13" i="34"/>
  <c r="U12" i="34"/>
  <c r="T13" i="34"/>
  <c r="W12" i="34"/>
  <c r="J13" i="33"/>
  <c r="U12" i="33"/>
  <c r="T13" i="33"/>
  <c r="W12" i="33"/>
  <c r="B12" i="33"/>
  <c r="O14" i="33"/>
  <c r="V13" i="33"/>
  <c r="A11" i="33"/>
  <c r="B14" i="31"/>
  <c r="A13" i="31"/>
  <c r="J13" i="31"/>
  <c r="U12" i="31"/>
  <c r="O13" i="31"/>
  <c r="V12" i="31"/>
  <c r="W12" i="31"/>
  <c r="T14" i="31"/>
  <c r="O14" i="30"/>
  <c r="B13" i="30"/>
  <c r="A13" i="30" s="1"/>
  <c r="J13" i="30"/>
  <c r="U12" i="30"/>
  <c r="A12" i="30"/>
  <c r="T13" i="30"/>
  <c r="W12" i="30"/>
  <c r="J13" i="28"/>
  <c r="U10" i="28"/>
  <c r="T11" i="28"/>
  <c r="W10" i="28"/>
  <c r="B11" i="28"/>
  <c r="A10" i="28"/>
  <c r="O12" i="28"/>
  <c r="W10" i="27"/>
  <c r="V10" i="27"/>
  <c r="J11" i="26"/>
  <c r="U10" i="26"/>
  <c r="B10" i="26"/>
  <c r="A9" i="26"/>
  <c r="T11" i="26"/>
  <c r="W10" i="26"/>
  <c r="O11" i="26"/>
  <c r="V10" i="26"/>
  <c r="V9" i="24"/>
  <c r="W9" i="24"/>
  <c r="U9" i="23"/>
  <c r="W9" i="23"/>
  <c r="T11" i="22"/>
  <c r="W10" i="22"/>
  <c r="J12" i="22"/>
  <c r="O10" i="22"/>
  <c r="V9" i="22"/>
  <c r="U9" i="22"/>
  <c r="B13" i="22"/>
  <c r="A8" i="19"/>
  <c r="B9" i="19"/>
  <c r="J14" i="34" l="1"/>
  <c r="U13" i="34"/>
  <c r="V14" i="34"/>
  <c r="T14" i="34"/>
  <c r="W14" i="34" s="1"/>
  <c r="W13" i="34"/>
  <c r="V13" i="34"/>
  <c r="B13" i="34"/>
  <c r="A13" i="34"/>
  <c r="A12" i="34"/>
  <c r="B13" i="33"/>
  <c r="A12" i="33"/>
  <c r="T14" i="33"/>
  <c r="W14" i="33" s="1"/>
  <c r="W13" i="33"/>
  <c r="J14" i="33"/>
  <c r="U14" i="33" s="1"/>
  <c r="U13" i="33"/>
  <c r="J14" i="31"/>
  <c r="U13" i="31"/>
  <c r="B15" i="31"/>
  <c r="O14" i="31"/>
  <c r="V13" i="31"/>
  <c r="W13" i="31"/>
  <c r="T15" i="31"/>
  <c r="A14" i="31"/>
  <c r="A15" i="31" s="1"/>
  <c r="T14" i="30"/>
  <c r="W13" i="30"/>
  <c r="U13" i="30"/>
  <c r="J14" i="30"/>
  <c r="V13" i="30"/>
  <c r="B14" i="30"/>
  <c r="A14" i="30" s="1"/>
  <c r="V14" i="30"/>
  <c r="B12" i="28"/>
  <c r="A11" i="28"/>
  <c r="T12" i="28"/>
  <c r="W11" i="28"/>
  <c r="U11" i="28"/>
  <c r="V11" i="28"/>
  <c r="O13" i="28"/>
  <c r="V11" i="26"/>
  <c r="O12" i="26"/>
  <c r="T12" i="26"/>
  <c r="W11" i="26"/>
  <c r="B11" i="26"/>
  <c r="A11" i="26" s="1"/>
  <c r="A10" i="26"/>
  <c r="J12" i="26"/>
  <c r="U12" i="26" s="1"/>
  <c r="U11" i="26"/>
  <c r="B14" i="22"/>
  <c r="A14" i="22" s="1"/>
  <c r="T12" i="22"/>
  <c r="A13" i="22"/>
  <c r="J13" i="22"/>
  <c r="O11" i="22"/>
  <c r="V10" i="22"/>
  <c r="U10" i="22"/>
  <c r="A9" i="19"/>
  <c r="B14" i="34" l="1"/>
  <c r="A14" i="34"/>
  <c r="U14" i="34"/>
  <c r="V14" i="33"/>
  <c r="B14" i="33"/>
  <c r="A14" i="33" s="1"/>
  <c r="A13" i="33"/>
  <c r="T16" i="31"/>
  <c r="O15" i="31"/>
  <c r="V14" i="31"/>
  <c r="B16" i="31"/>
  <c r="A16" i="31" s="1"/>
  <c r="W14" i="31"/>
  <c r="J15" i="31"/>
  <c r="U14" i="31"/>
  <c r="U14" i="30"/>
  <c r="W14" i="30"/>
  <c r="T13" i="28"/>
  <c r="W12" i="28"/>
  <c r="U12" i="28"/>
  <c r="B13" i="28"/>
  <c r="V12" i="28"/>
  <c r="A12" i="28"/>
  <c r="A13" i="28" s="1"/>
  <c r="B12" i="26"/>
  <c r="A12" i="26" s="1"/>
  <c r="V12" i="26"/>
  <c r="W12" i="26"/>
  <c r="T13" i="22"/>
  <c r="O12" i="22"/>
  <c r="V11" i="22"/>
  <c r="U11" i="22"/>
  <c r="J14" i="22"/>
  <c r="W11" i="22"/>
  <c r="J16" i="31" l="1"/>
  <c r="U15" i="31"/>
  <c r="B17" i="31"/>
  <c r="A17" i="31" s="1"/>
  <c r="O16" i="31"/>
  <c r="V15" i="31"/>
  <c r="W15" i="31"/>
  <c r="W16" i="31"/>
  <c r="T17" i="31"/>
  <c r="W13" i="28"/>
  <c r="U13" i="28"/>
  <c r="V13" i="28"/>
  <c r="O13" i="22"/>
  <c r="V12" i="22"/>
  <c r="U12" i="22"/>
  <c r="W12" i="22"/>
  <c r="T14" i="22"/>
  <c r="W13" i="22"/>
  <c r="O17" i="31" l="1"/>
  <c r="V16" i="31"/>
  <c r="J17" i="31"/>
  <c r="U17" i="31" s="1"/>
  <c r="U16" i="31"/>
  <c r="O14" i="22"/>
  <c r="V13" i="22"/>
  <c r="U13" i="22"/>
  <c r="W17" i="31" l="1"/>
  <c r="V17" i="31"/>
  <c r="V14" i="22"/>
  <c r="U14" i="22"/>
  <c r="W14" i="22"/>
</calcChain>
</file>

<file path=xl/sharedStrings.xml><?xml version="1.0" encoding="utf-8"?>
<sst xmlns="http://schemas.openxmlformats.org/spreadsheetml/2006/main" count="2205" uniqueCount="209">
  <si>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</si>
  <si>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</si>
  <si>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</si>
  <si>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</si>
  <si>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</si>
  <si>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</si>
  <si>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</si>
  <si>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</si>
  <si>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</si>
  <si>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</si>
  <si>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</si>
  <si>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</si>
  <si>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</si>
  <si>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</si>
  <si>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</si>
  <si>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</si>
  <si>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</si>
  <si>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</si>
  <si>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</si>
  <si>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</si>
  <si>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</si>
  <si>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</si>
  <si>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</si>
  <si>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</si>
  <si>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</si>
  <si>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</si>
  <si>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</si>
  <si>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</si>
  <si>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</si>
  <si>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</si>
  <si>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</si>
  <si>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</si>
  <si>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</si>
  <si>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</si>
  <si>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</si>
  <si>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</si>
  <si>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</si>
  <si>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</si>
  <si>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</si>
  <si>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</si>
  <si>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</si>
  <si>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</si>
  <si>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</si>
  <si>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</si>
  <si>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</si>
  <si>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</si>
  <si>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</si>
  <si>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</si>
  <si>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</si>
  <si>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</si>
  <si>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</si>
  <si>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</si>
  <si>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</si>
  <si>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</si>
  <si>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</si>
  <si>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</si>
  <si>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</si>
  <si>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</si>
  <si>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</si>
  <si>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</si>
  <si>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</si>
  <si>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</si>
  <si>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</si>
  <si>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</si>
  <si>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</si>
  <si>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</si>
  <si>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</si>
  <si>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</si>
  <si>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</si>
  <si>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</si>
  <si>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</si>
  <si>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</si>
  <si>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</si>
  <si>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</si>
  <si>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</si>
  <si>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</si>
  <si>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</si>
  <si>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</si>
  <si>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</si>
  <si>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</si>
  <si>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</si>
  <si>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</si>
  <si>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</si>
  <si>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</si>
  <si>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</si>
  <si>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</si>
  <si>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</si>
  <si>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</si>
  <si>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</si>
  <si>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</si>
  <si>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</si>
  <si>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</si>
  <si>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</si>
  <si>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</si>
  <si>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</si>
  <si>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</si>
  <si>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</si>
  <si>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</si>
  <si>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</si>
  <si>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</si>
  <si>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</si>
  <si>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</si>
  <si>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</si>
  <si>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</si>
  <si>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</si>
  <si>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</si>
  <si>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</si>
  <si>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</si>
  <si>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</si>
  <si>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</si>
  <si>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</si>
  <si>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</si>
  <si>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</si>
  <si>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</si>
  <si>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</si>
  <si>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</si>
  <si>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</si>
  <si>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</si>
  <si>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</si>
  <si>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</si>
  <si>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</si>
  <si>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</si>
  <si>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</si>
  <si>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</si>
  <si>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</si>
  <si>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</si>
  <si>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</si>
  <si>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</si>
  <si>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</si>
  <si>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</si>
  <si>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</si>
  <si>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</si>
  <si>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</si>
  <si>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</si>
  <si>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</si>
  <si>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</si>
  <si>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</si>
  <si>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</si>
  <si>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</si>
  <si>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</si>
  <si>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</si>
  <si>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</si>
  <si>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</si>
  <si>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</si>
  <si>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</si>
  <si>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</si>
  <si>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</si>
  <si>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</si>
  <si>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</si>
  <si>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</si>
  <si>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</si>
  <si>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</si>
  <si>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</si>
  <si>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</si>
  <si>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</si>
  <si>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</si>
  <si>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</si>
  <si>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</si>
  <si>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</si>
  <si>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</si>
  <si>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</si>
  <si>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</si>
  <si>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</si>
  <si>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</si>
  <si>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</si>
  <si>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</si>
  <si>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</si>
  <si>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</si>
  <si>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</si>
  <si>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</si>
  <si>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</si>
  <si>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</si>
  <si>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</si>
  <si>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</si>
  <si>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</si>
  <si>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</si>
  <si>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</si>
  <si>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</si>
  <si>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</si>
  <si>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</si>
  <si>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</si>
  <si>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</si>
  <si>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</si>
  <si>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</si>
  <si>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</si>
  <si>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</si>
  <si>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</si>
  <si>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</si>
  <si>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</si>
  <si>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</si>
  <si>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</si>
  <si>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_</t>
    <phoneticPr fontId="1"/>
  </si>
  <si>
    <t>れんたろう</t>
    <phoneticPr fontId="1"/>
  </si>
  <si>
    <t>たかの</t>
    <phoneticPr fontId="1"/>
  </si>
  <si>
    <t>ただ</t>
  </si>
  <si>
    <t>ただ</t>
    <phoneticPr fontId="1"/>
  </si>
  <si>
    <t>ツモ支払</t>
  </si>
  <si>
    <t>ツモ</t>
  </si>
  <si>
    <t>01</t>
  </si>
  <si>
    <t>放銃</t>
  </si>
  <si>
    <t>ロン</t>
  </si>
  <si>
    <t>*</t>
  </si>
  <si>
    <t>52</t>
  </si>
  <si>
    <t>T</t>
  </si>
  <si>
    <t>N</t>
  </si>
  <si>
    <t>流局</t>
    <phoneticPr fontId="1"/>
  </si>
  <si>
    <t>だいち</t>
    <phoneticPr fontId="1"/>
  </si>
  <si>
    <t>02</t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</si>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</sst>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8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193</v>
      </c>
      <c r="L1" s="72"/>
      <c r="M1" s="72"/>
      <c r="N1" s="73"/>
      <c r="O1" s="74"/>
      <c r="P1" s="71" t="s">
        <v>195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たかの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196</v>
      </c>
      <c r="G4" s="9">
        <v>-1500</v>
      </c>
      <c r="H4" s="9"/>
      <c r="I4" s="48">
        <v>0</v>
      </c>
      <c r="J4" s="21">
        <f>IF(COUNTA($F4,$K4,$P4)&gt;0,J3+SUM(G4:I4),"")</f>
        <v>33500</v>
      </c>
      <c r="K4" s="8" t="s">
        <v>197</v>
      </c>
      <c r="L4" s="9">
        <v>4000</v>
      </c>
      <c r="M4" s="9"/>
      <c r="N4" s="48">
        <v>0</v>
      </c>
      <c r="O4" s="21">
        <f>IF(COUNTA($F4,$K4,$P4)&gt;0,O3+SUM(L4:N4),"")</f>
        <v>39000</v>
      </c>
      <c r="P4" s="8" t="s">
        <v>196</v>
      </c>
      <c r="Q4" s="9">
        <v>-2500</v>
      </c>
      <c r="R4" s="9"/>
      <c r="S4" s="48">
        <v>0</v>
      </c>
      <c r="T4" s="21">
        <f>IF(COUNTA($F4,$K4,$P4)&gt;0,T3+SUM(Q4:S4),"")</f>
        <v>32500</v>
      </c>
      <c r="U4" s="53">
        <f>IF($J4="","",ROUND(($J4-$J$3)/1000,1)+(_xlfn.RANK.AVG($J4,($J4,$O4,$T4),1)-2)*20)</f>
        <v>-1.5</v>
      </c>
      <c r="V4" s="54">
        <f>IF($O4="","",ROUND(($O4-$O$3)/1000,1)+(_xlfn.RANK.AVG($O4,($J4,$O4,$T4),1)-2)*20)</f>
        <v>24</v>
      </c>
      <c r="W4" s="55">
        <f>IF($T4="","",ROUND(($T4-$T$3)/1000,1)+(_xlfn.RANK.AVG($T4,($J4,$O4,$T4),1)-2)*20)</f>
        <v>-22.5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30</v>
      </c>
      <c r="AZ4" s="40" t="s">
        <v>198</v>
      </c>
      <c r="BA4" s="41" t="s">
        <v>82</v>
      </c>
      <c r="BB4" s="41" t="s">
        <v>79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れんたろう</v>
      </c>
      <c r="F5" s="8" t="s">
        <v>199</v>
      </c>
      <c r="G5" s="9">
        <v>-12000</v>
      </c>
      <c r="H5" s="9">
        <v>-1000</v>
      </c>
      <c r="I5" s="48">
        <v>0</v>
      </c>
      <c r="J5" s="21">
        <f t="shared" ref="J5:J30" si="2">IF(COUNTA($F5,$K5,$P5)&gt;0,J4+SUM(G5:I5),"")</f>
        <v>20500</v>
      </c>
      <c r="K5" s="8" t="s">
        <v>200</v>
      </c>
      <c r="L5" s="9">
        <v>12000</v>
      </c>
      <c r="M5" s="9">
        <v>1000</v>
      </c>
      <c r="N5" s="48">
        <v>0</v>
      </c>
      <c r="O5" s="21">
        <f t="shared" ref="O5:O30" si="3">IF(COUNTA($F5,$K5,$P5)&gt;0,O4+SUM(L5:N5),"")</f>
        <v>52000</v>
      </c>
      <c r="P5" s="8"/>
      <c r="Q5" s="9"/>
      <c r="R5" s="9"/>
      <c r="S5" s="48"/>
      <c r="T5" s="21">
        <f t="shared" ref="T5:T30" si="4">IF(COUNTA($F5,$K5,$P5)&gt;0,T4+SUM(Q5:S5),"")</f>
        <v>32500</v>
      </c>
      <c r="U5" s="53">
        <f>IF($J5="","",ROUND(($J5-$J$3)/1000,1)+(_xlfn.RANK.AVG($J5,($J5,$O5,$T5),1)-2)*20)</f>
        <v>-34.5</v>
      </c>
      <c r="V5" s="54">
        <f>IF($O5="","",ROUND(($O5-$O$3)/1000,1)+(_xlfn.RANK.AVG($O5,($J5,$O5,$T5),1)-2)*20)</f>
        <v>37</v>
      </c>
      <c r="W5" s="55">
        <f>IF($T5="","",ROUND(($T5-$T$3)/1000,1)+(_xlfn.RANK.AVG($T5,($J5,$O5,$T5),1)-2)*20)</f>
        <v>-2.5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6</v>
      </c>
      <c r="AY5" s="30" t="s">
        <v>201</v>
      </c>
      <c r="AZ5" s="40" t="s">
        <v>104</v>
      </c>
      <c r="BA5" s="41" t="s">
        <v>86</v>
      </c>
      <c r="BB5" s="41" t="s">
        <v>86</v>
      </c>
      <c r="BC5" s="41" t="s">
        <v>79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たかの</v>
      </c>
      <c r="F6" s="8" t="s">
        <v>199</v>
      </c>
      <c r="G6" s="9">
        <v>-12000</v>
      </c>
      <c r="H6" s="9"/>
      <c r="I6" s="48">
        <v>0</v>
      </c>
      <c r="J6" s="21">
        <f t="shared" si="2"/>
        <v>8500</v>
      </c>
      <c r="K6" s="8"/>
      <c r="L6" s="9"/>
      <c r="M6" s="9"/>
      <c r="N6" s="48"/>
      <c r="O6" s="21">
        <f t="shared" si="3"/>
        <v>52000</v>
      </c>
      <c r="P6" s="8" t="s">
        <v>200</v>
      </c>
      <c r="Q6" s="9">
        <v>12000</v>
      </c>
      <c r="R6" s="9"/>
      <c r="S6" s="48">
        <v>0</v>
      </c>
      <c r="T6" s="21">
        <f t="shared" si="4"/>
        <v>44500</v>
      </c>
      <c r="U6" s="53">
        <f>IF($J6="","",ROUND(($J6-$J$3)/1000,1)+(_xlfn.RANK.AVG($J6,($J6,$O6,$T6),1)-2)*20)</f>
        <v>-46.5</v>
      </c>
      <c r="V6" s="54">
        <f>IF($O6="","",ROUND(($O6-$O$3)/1000,1)+(_xlfn.RANK.AVG($O6,($J6,$O6,$T6),1)-2)*20)</f>
        <v>37</v>
      </c>
      <c r="W6" s="55">
        <f>IF($T6="","",ROUND(($T6-$T$3)/1000,1)+(_xlfn.RANK.AVG($T6,($J6,$O6,$T6),1)-2)*20)</f>
        <v>9.5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7</v>
      </c>
      <c r="BT6" s="30" t="s">
        <v>201</v>
      </c>
      <c r="BU6" s="40" t="s">
        <v>198</v>
      </c>
      <c r="BV6" s="41" t="s">
        <v>202</v>
      </c>
      <c r="BW6" s="41" t="s">
        <v>202</v>
      </c>
      <c r="BX6" s="41" t="s">
        <v>80</v>
      </c>
      <c r="BY6" s="41" t="s">
        <v>79</v>
      </c>
      <c r="BZ6" s="41" t="s">
        <v>79</v>
      </c>
      <c r="CA6" s="41" t="s">
        <v>79</v>
      </c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IF($P$1="","",$P$1)</f>
        <v>ただ</v>
      </c>
      <c r="F7" s="8" t="s">
        <v>205</v>
      </c>
      <c r="G7" s="9">
        <v>1500</v>
      </c>
      <c r="H7" s="9"/>
      <c r="I7" s="48"/>
      <c r="J7" s="21">
        <f t="shared" si="2"/>
        <v>10000</v>
      </c>
      <c r="K7" s="8" t="s">
        <v>205</v>
      </c>
      <c r="L7" s="9">
        <v>1500</v>
      </c>
      <c r="M7" s="9"/>
      <c r="N7" s="48"/>
      <c r="O7" s="21">
        <f t="shared" si="3"/>
        <v>53500</v>
      </c>
      <c r="P7" s="8" t="s">
        <v>205</v>
      </c>
      <c r="Q7" s="9">
        <v>-3000</v>
      </c>
      <c r="R7" s="9"/>
      <c r="S7" s="48"/>
      <c r="T7" s="21">
        <f t="shared" si="4"/>
        <v>41500</v>
      </c>
      <c r="U7" s="53">
        <f>IF($J7="","",ROUND(($J7-$J$3)/1000,1)+(_xlfn.RANK.AVG($J7,($J7,$O7,$T7),1)-2)*20)</f>
        <v>-45</v>
      </c>
      <c r="V7" s="54">
        <f>IF($O7="","",ROUND(($O7-$O$3)/1000,1)+(_xlfn.RANK.AVG($O7,($J7,$O7,$T7),1)-2)*20)</f>
        <v>38.5</v>
      </c>
      <c r="W7" s="55">
        <f>IF($T7="","",ROUND(($T7-$T$3)/1000,1)+(_xlfn.RANK.AVG($T7,($J7,$O7,$T7),1)-2)*20)</f>
        <v>6.5</v>
      </c>
      <c r="Y7" s="8" t="s">
        <v>203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203</v>
      </c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204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1</v>
      </c>
      <c r="D8" s="18">
        <f t="shared" si="1"/>
        <v>0</v>
      </c>
      <c r="E8" s="4" t="str">
        <f>IF($F$1="","",$F$1)</f>
        <v>れんたろう</v>
      </c>
      <c r="F8" s="8" t="s">
        <v>199</v>
      </c>
      <c r="G8" s="9">
        <v>-12000</v>
      </c>
      <c r="H8" s="9"/>
      <c r="I8" s="48">
        <v>-1000</v>
      </c>
      <c r="J8" s="21">
        <f t="shared" si="2"/>
        <v>-3000</v>
      </c>
      <c r="K8" s="8" t="s">
        <v>200</v>
      </c>
      <c r="L8" s="9">
        <v>12000</v>
      </c>
      <c r="M8" s="9"/>
      <c r="N8" s="48">
        <v>1000</v>
      </c>
      <c r="O8" s="21">
        <f t="shared" si="3"/>
        <v>66500</v>
      </c>
      <c r="P8" s="8"/>
      <c r="Q8" s="9"/>
      <c r="R8" s="9"/>
      <c r="S8" s="48"/>
      <c r="T8" s="21">
        <f t="shared" si="4"/>
        <v>41500</v>
      </c>
      <c r="U8" s="53">
        <f>IF($J8="","",ROUND(($J8-$J$3)/1000,1)+(_xlfn.RANK.AVG($J8,($J8,$O8,$T8),1)-2)*20)</f>
        <v>-58</v>
      </c>
      <c r="V8" s="54">
        <f>IF($O8="","",ROUND(($O8-$O$3)/1000,1)+(_xlfn.RANK.AVG($O8,($J8,$O8,$T8),1)-2)*20)</f>
        <v>51.5</v>
      </c>
      <c r="W8" s="55">
        <f>IF($T8="","",ROUND(($T8-$T$3)/1000,1)+(_xlfn.RANK.AVG($T8,($J8,$O8,$T8),1)-2)*20)</f>
        <v>6.5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6</v>
      </c>
      <c r="AY8" s="30" t="s">
        <v>201</v>
      </c>
      <c r="AZ8" s="40" t="s">
        <v>198</v>
      </c>
      <c r="BA8" s="41" t="s">
        <v>101</v>
      </c>
      <c r="BB8" s="41" t="s">
        <v>79</v>
      </c>
      <c r="BC8" s="41" t="s">
        <v>79</v>
      </c>
      <c r="BD8" s="41" t="s">
        <v>202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84" priority="5">
      <formula>IF(G4&lt;&gt;"",SUM($G4:$I4,$L4:$N4,$Q4:$S4)-$D4*1000+$D5*1000)</formula>
    </cfRule>
  </conditionalFormatting>
  <conditionalFormatting sqref="F1:G1 I1:L1 S1:T1 N1:Q1">
    <cfRule type="duplicateValues" dxfId="83" priority="4"/>
  </conditionalFormatting>
  <conditionalFormatting sqref="H1">
    <cfRule type="duplicateValues" dxfId="82" priority="3"/>
  </conditionalFormatting>
  <conditionalFormatting sqref="R1">
    <cfRule type="duplicateValues" dxfId="81" priority="2"/>
  </conditionalFormatting>
  <conditionalFormatting sqref="M1">
    <cfRule type="duplicateValues" dxfId="8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1EEEE659-BEC5-4E96-93F5-3086C7F204B6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67318-EC45-49C8-A163-3A2A13089AA3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206</v>
      </c>
      <c r="G1" s="72"/>
      <c r="H1" s="72"/>
      <c r="I1" s="73"/>
      <c r="J1" s="74"/>
      <c r="K1" s="71" t="s">
        <v>193</v>
      </c>
      <c r="L1" s="72"/>
      <c r="M1" s="72"/>
      <c r="N1" s="73"/>
      <c r="O1" s="74"/>
      <c r="P1" s="71" t="s">
        <v>195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たかの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200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/>
      <c r="L4" s="9"/>
      <c r="M4" s="9"/>
      <c r="N4" s="48"/>
      <c r="O4" s="21">
        <f>IF(COUNTA($F4,$K4,$P4)&gt;0,O3+SUM(L4:N4),"")</f>
        <v>35000</v>
      </c>
      <c r="P4" s="8" t="s">
        <v>199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IF($J4="","",ROUND(($J4-$J$3)/1000,1)+(_xlfn.RANK.AVG($J4,($J4,$O4,$T4),1)-2)*20)</f>
        <v>32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-32</v>
      </c>
      <c r="Y4" s="8"/>
      <c r="Z4" s="34"/>
      <c r="AA4" s="26">
        <v>1</v>
      </c>
      <c r="AB4" s="26"/>
      <c r="AC4" s="26">
        <v>6</v>
      </c>
      <c r="AD4" s="30" t="s">
        <v>201</v>
      </c>
      <c r="AE4" s="40" t="s">
        <v>198</v>
      </c>
      <c r="AF4" s="41" t="s">
        <v>207</v>
      </c>
      <c r="AG4" s="41" t="s">
        <v>202</v>
      </c>
      <c r="AH4" s="41" t="s">
        <v>79</v>
      </c>
      <c r="AI4" s="41" t="s">
        <v>79</v>
      </c>
      <c r="AJ4" s="41" t="s">
        <v>79</v>
      </c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IF($P$1="","",$P$1)</f>
        <v>ただ</v>
      </c>
      <c r="F5" s="8" t="s">
        <v>200</v>
      </c>
      <c r="G5" s="9">
        <v>3900</v>
      </c>
      <c r="H5" s="9"/>
      <c r="I5" s="48">
        <v>0</v>
      </c>
      <c r="J5" s="21">
        <f t="shared" ref="J5:J30" si="2">IF(COUNTA($F5,$K5,$P5)&gt;0,J4+SUM(G5:I5),"")</f>
        <v>50900</v>
      </c>
      <c r="K5" s="8"/>
      <c r="L5" s="9"/>
      <c r="M5" s="9"/>
      <c r="N5" s="48"/>
      <c r="O5" s="21">
        <f t="shared" ref="O5:O30" si="3">IF(COUNTA($F5,$K5,$P5)&gt;0,O4+SUM(L5:N5),"")</f>
        <v>35000</v>
      </c>
      <c r="P5" s="8" t="s">
        <v>199</v>
      </c>
      <c r="Q5" s="9">
        <v>-3900</v>
      </c>
      <c r="R5" s="9"/>
      <c r="S5" s="48">
        <v>0</v>
      </c>
      <c r="T5" s="21">
        <f t="shared" ref="T5:T30" si="4">IF(COUNTA($F5,$K5,$P5)&gt;0,T4+SUM(Q5:S5),"")</f>
        <v>19100</v>
      </c>
      <c r="U5" s="53">
        <f>IF($J5="","",ROUND(($J5-$J$3)/1000,1)+(_xlfn.RANK.AVG($J5,($J5,$O5,$T5),1)-2)*20)</f>
        <v>35.9</v>
      </c>
      <c r="V5" s="54">
        <f>IF($O5="","",ROUND(($O5-$O$3)/1000,1)+(_xlfn.RANK.AVG($O5,($J5,$O5,$T5),1)-2)*20)</f>
        <v>0</v>
      </c>
      <c r="W5" s="55">
        <f>IF($T5="","",ROUND(($T5-$T$3)/1000,1)+(_xlfn.RANK.AVG($T5,($J5,$O5,$T5),1)-2)*20)</f>
        <v>-35.9</v>
      </c>
      <c r="Y5" s="8"/>
      <c r="Z5" s="34"/>
      <c r="AA5" s="26"/>
      <c r="AB5" s="26">
        <v>1</v>
      </c>
      <c r="AC5" s="26">
        <v>3</v>
      </c>
      <c r="AD5" s="30">
        <v>30</v>
      </c>
      <c r="AE5" s="40" t="s">
        <v>86</v>
      </c>
      <c r="AF5" s="41" t="s">
        <v>93</v>
      </c>
      <c r="AG5" s="41" t="s">
        <v>79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IF($F$1="","",$F$1)</f>
        <v>だいち</v>
      </c>
      <c r="F6" s="8" t="s">
        <v>199</v>
      </c>
      <c r="G6" s="9">
        <v>-2600</v>
      </c>
      <c r="H6" s="9"/>
      <c r="I6" s="48">
        <v>0</v>
      </c>
      <c r="J6" s="21">
        <f t="shared" si="2"/>
        <v>48300</v>
      </c>
      <c r="K6" s="8"/>
      <c r="L6" s="9"/>
      <c r="M6" s="9"/>
      <c r="N6" s="48"/>
      <c r="O6" s="21">
        <f t="shared" si="3"/>
        <v>35000</v>
      </c>
      <c r="P6" s="8" t="s">
        <v>200</v>
      </c>
      <c r="Q6" s="9">
        <v>2600</v>
      </c>
      <c r="R6" s="9"/>
      <c r="S6" s="48">
        <v>0</v>
      </c>
      <c r="T6" s="21">
        <f t="shared" si="4"/>
        <v>21700</v>
      </c>
      <c r="U6" s="53">
        <f>IF($J6="","",ROUND(($J6-$J$3)/1000,1)+(_xlfn.RANK.AVG($J6,($J6,$O6,$T6),1)-2)*20)</f>
        <v>33.299999999999997</v>
      </c>
      <c r="V6" s="54">
        <f>IF($O6="","",ROUND(($O6-$O$3)/1000,1)+(_xlfn.RANK.AVG($O6,($J6,$O6,$T6),1)-2)*20)</f>
        <v>0</v>
      </c>
      <c r="W6" s="55">
        <f>IF($T6="","",ROUND(($T6-$T$3)/1000,1)+(_xlfn.RANK.AVG($T6,($J6,$O6,$T6),1)-2)*20)</f>
        <v>-33.299999999999997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2</v>
      </c>
      <c r="BT6" s="30">
        <v>40</v>
      </c>
      <c r="BU6" s="40" t="s">
        <v>198</v>
      </c>
      <c r="BV6" s="41" t="s">
        <v>79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IF($K$1="","",$K$1)</f>
        <v>たかの</v>
      </c>
      <c r="F7" s="8"/>
      <c r="G7" s="9"/>
      <c r="H7" s="9">
        <v>-1000</v>
      </c>
      <c r="I7" s="48"/>
      <c r="J7" s="21">
        <f t="shared" si="2"/>
        <v>47300</v>
      </c>
      <c r="K7" s="8" t="s">
        <v>199</v>
      </c>
      <c r="L7" s="9">
        <v>-8000</v>
      </c>
      <c r="M7" s="9"/>
      <c r="N7" s="48">
        <v>0</v>
      </c>
      <c r="O7" s="21">
        <f t="shared" si="3"/>
        <v>27000</v>
      </c>
      <c r="P7" s="8" t="s">
        <v>200</v>
      </c>
      <c r="Q7" s="9">
        <v>8000</v>
      </c>
      <c r="R7" s="9">
        <v>1000</v>
      </c>
      <c r="S7" s="48">
        <v>0</v>
      </c>
      <c r="T7" s="21">
        <f t="shared" si="4"/>
        <v>30700</v>
      </c>
      <c r="U7" s="53">
        <f>IF($J7="","",ROUND(($J7-$J$3)/1000,1)+(_xlfn.RANK.AVG($J7,($J7,$O7,$T7),1)-2)*20)</f>
        <v>32.299999999999997</v>
      </c>
      <c r="V7" s="54">
        <f>IF($O7="","",ROUND(($O7-$O$3)/1000,1)+(_xlfn.RANK.AVG($O7,($J7,$O7,$T7),1)-2)*20)</f>
        <v>-28</v>
      </c>
      <c r="W7" s="55">
        <f>IF($T7="","",ROUND(($T7-$T$3)/1000,1)+(_xlfn.RANK.AVG($T7,($J7,$O7,$T7),1)-2)*20)</f>
        <v>-4.3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40</v>
      </c>
      <c r="BU7" s="40" t="s">
        <v>198</v>
      </c>
      <c r="BV7" s="41" t="s">
        <v>79</v>
      </c>
      <c r="BW7" s="41" t="s">
        <v>80</v>
      </c>
      <c r="BX7" s="41" t="s">
        <v>202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IF($P$1="","",$P$1)</f>
        <v>ただ</v>
      </c>
      <c r="F8" s="8" t="s">
        <v>196</v>
      </c>
      <c r="G8" s="9">
        <v>-1500</v>
      </c>
      <c r="H8" s="9"/>
      <c r="I8" s="48">
        <v>0</v>
      </c>
      <c r="J8" s="21">
        <f t="shared" si="2"/>
        <v>45800</v>
      </c>
      <c r="K8" s="8" t="s">
        <v>197</v>
      </c>
      <c r="L8" s="9">
        <v>4000</v>
      </c>
      <c r="M8" s="9"/>
      <c r="N8" s="48">
        <v>0</v>
      </c>
      <c r="O8" s="21">
        <f t="shared" si="3"/>
        <v>31000</v>
      </c>
      <c r="P8" s="8" t="s">
        <v>196</v>
      </c>
      <c r="Q8" s="9">
        <v>-2500</v>
      </c>
      <c r="R8" s="9"/>
      <c r="S8" s="48">
        <v>0</v>
      </c>
      <c r="T8" s="21">
        <f t="shared" si="4"/>
        <v>28200</v>
      </c>
      <c r="U8" s="53">
        <f>IF($J8="","",ROUND(($J8-$J$3)/1000,1)+(_xlfn.RANK.AVG($J8,($J8,$O8,$T8),1)-2)*20)</f>
        <v>30.8</v>
      </c>
      <c r="V8" s="54">
        <f>IF($O8="","",ROUND(($O8-$O$3)/1000,1)+(_xlfn.RANK.AVG($O8,($J8,$O8,$T8),1)-2)*20)</f>
        <v>-4</v>
      </c>
      <c r="W8" s="55">
        <f>IF($T8="","",ROUND(($T8-$T$3)/1000,1)+(_xlfn.RANK.AVG($T8,($J8,$O8,$T8),1)-2)*20)</f>
        <v>-26.8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3</v>
      </c>
      <c r="AY8" s="30">
        <v>30</v>
      </c>
      <c r="AZ8" s="40" t="s">
        <v>198</v>
      </c>
      <c r="BA8" s="41" t="s">
        <v>82</v>
      </c>
      <c r="BB8" s="41" t="s">
        <v>202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IF($F$1="","",$F$1)</f>
        <v>だいち</v>
      </c>
      <c r="F9" s="8"/>
      <c r="G9" s="9"/>
      <c r="H9" s="9"/>
      <c r="I9" s="48"/>
      <c r="J9" s="21">
        <f t="shared" si="2"/>
        <v>45800</v>
      </c>
      <c r="K9" s="8" t="s">
        <v>199</v>
      </c>
      <c r="L9" s="9">
        <v>-5200</v>
      </c>
      <c r="M9" s="9">
        <v>-1000</v>
      </c>
      <c r="N9" s="48">
        <v>0</v>
      </c>
      <c r="O9" s="21">
        <f t="shared" si="3"/>
        <v>24800</v>
      </c>
      <c r="P9" s="8" t="s">
        <v>200</v>
      </c>
      <c r="Q9" s="9">
        <v>5200</v>
      </c>
      <c r="R9" s="9">
        <v>1000</v>
      </c>
      <c r="S9" s="48">
        <v>0</v>
      </c>
      <c r="T9" s="21">
        <f t="shared" si="4"/>
        <v>34400</v>
      </c>
      <c r="U9" s="53">
        <f>IF($J9="","",ROUND(($J9-$J$3)/1000,1)+(_xlfn.RANK.AVG($J9,($J9,$O9,$T9),1)-2)*20)</f>
        <v>30.8</v>
      </c>
      <c r="V9" s="54">
        <f>IF($O9="","",ROUND(($O9-$O$3)/1000,1)+(_xlfn.RANK.AVG($O9,($J9,$O9,$T9),1)-2)*20)</f>
        <v>-30.2</v>
      </c>
      <c r="W9" s="55">
        <f>IF($T9="","",ROUND(($T9-$T$3)/1000,1)+(_xlfn.RANK.AVG($T9,($J9,$O9,$T9),1)-2)*20)</f>
        <v>-0.6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40</v>
      </c>
      <c r="BU9" s="40" t="s">
        <v>198</v>
      </c>
      <c r="BV9" s="41" t="s">
        <v>79</v>
      </c>
      <c r="BW9" s="41" t="s">
        <v>85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79" priority="5">
      <formula>IF(G4&lt;&gt;"",SUM($G4:$I4,$L4:$N4,$Q4:$S4)-$D4*1000+$D5*1000)</formula>
    </cfRule>
  </conditionalFormatting>
  <conditionalFormatting sqref="F1:G1 I1:L1 S1:T1 N1:Q1">
    <cfRule type="duplicateValues" dxfId="78" priority="4"/>
  </conditionalFormatting>
  <conditionalFormatting sqref="H1">
    <cfRule type="duplicateValues" dxfId="77" priority="3"/>
  </conditionalFormatting>
  <conditionalFormatting sqref="R1">
    <cfRule type="duplicateValues" dxfId="76" priority="2"/>
  </conditionalFormatting>
  <conditionalFormatting sqref="M1">
    <cfRule type="duplicateValues" dxfId="75" priority="1"/>
  </conditionalFormatting>
  <dataValidations count="3">
    <dataValidation type="list" allowBlank="1" showInputMessage="1" sqref="F1:T1" xr:uid="{DC8177E0-A80A-49EA-A443-1DC705E9B1CF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  <dataValidation type="list" showInputMessage="1" showErrorMessage="1" sqref="K4:K30 P4:P30 F4:F30" xr:uid="{5612D6C1-ABB4-47CB-86F4-5E9D3853583A}">
      <formula1>"ロン,ツモ,放銃,ツモ支払,流局,チョンボ"</formula1>
    </dataValidation>
    <dataValidation type="list" allowBlank="1" showInputMessage="1" showErrorMessage="1" sqref="E4:E30" xr:uid="{7D11DFFC-2C15-4BCD-BCDC-6DCF977AED77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FB1D2-C747-46D6-B416-26456FFCADE8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193</v>
      </c>
      <c r="L1" s="72"/>
      <c r="M1" s="72"/>
      <c r="N1" s="73"/>
      <c r="O1" s="74"/>
      <c r="P1" s="71" t="s">
        <v>195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れんたろう</v>
      </c>
      <c r="V2" s="69" t="str">
        <f>$K$1</f>
        <v>たかの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200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/>
      <c r="L4" s="9"/>
      <c r="M4" s="9"/>
      <c r="N4" s="48"/>
      <c r="O4" s="21">
        <f>IF(COUNTA($F4,$K4,$P4)&gt;0,O3+SUM(L4:N4),"")</f>
        <v>35000</v>
      </c>
      <c r="P4" s="8" t="s">
        <v>199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IF($J4="","",ROUND(($J4-$J$3)/1000,1)+(_xlfn.RANK.AVG($J4,($J4,$O4,$T4),1)-2)*20)</f>
        <v>32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-32</v>
      </c>
      <c r="Y4" s="8"/>
      <c r="Z4" s="34"/>
      <c r="AA4" s="26">
        <v>1</v>
      </c>
      <c r="AB4" s="26"/>
      <c r="AC4" s="26">
        <v>5</v>
      </c>
      <c r="AD4" s="30" t="s">
        <v>201</v>
      </c>
      <c r="AE4" s="40" t="s">
        <v>198</v>
      </c>
      <c r="AF4" s="41" t="s">
        <v>98</v>
      </c>
      <c r="AG4" s="41" t="s">
        <v>96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れんたろう</v>
      </c>
      <c r="F5" s="8" t="s">
        <v>205</v>
      </c>
      <c r="G5" s="9">
        <v>3000</v>
      </c>
      <c r="H5" s="9"/>
      <c r="I5" s="48"/>
      <c r="J5" s="21">
        <f t="shared" ref="J5:J30" si="2">IF(COUNTA($F5,$K5,$P5)&gt;0,J4+SUM(G5:I5),"")</f>
        <v>50000</v>
      </c>
      <c r="K5" s="8" t="s">
        <v>205</v>
      </c>
      <c r="L5" s="9">
        <v>-1500</v>
      </c>
      <c r="M5" s="9"/>
      <c r="N5" s="48"/>
      <c r="O5" s="21">
        <f t="shared" ref="O5:O30" si="3">IF(COUNTA($F5,$K5,$P5)&gt;0,O4+SUM(L5:N5),"")</f>
        <v>33500</v>
      </c>
      <c r="P5" s="8" t="s">
        <v>205</v>
      </c>
      <c r="Q5" s="9">
        <v>-1500</v>
      </c>
      <c r="R5" s="9"/>
      <c r="S5" s="48"/>
      <c r="T5" s="21">
        <f t="shared" ref="T5:T30" si="4">IF(COUNTA($F5,$K5,$P5)&gt;0,T4+SUM(Q5:S5),"")</f>
        <v>21500</v>
      </c>
      <c r="U5" s="53">
        <f>IF($J5="","",ROUND(($J5-$J$3)/1000,1)+(_xlfn.RANK.AVG($J5,($J5,$O5,$T5),1)-2)*20)</f>
        <v>35</v>
      </c>
      <c r="V5" s="54">
        <f>IF($O5="","",ROUND(($O5-$O$3)/1000,1)+(_xlfn.RANK.AVG($O5,($J5,$O5,$T5),1)-2)*20)</f>
        <v>-1.5</v>
      </c>
      <c r="W5" s="55">
        <f>IF($T5="","",ROUND(($T5-$T$3)/1000,1)+(_xlfn.RANK.AVG($T5,($J5,$O5,$T5),1)-2)*20)</f>
        <v>-33.5</v>
      </c>
      <c r="Y5" s="8" t="s">
        <v>203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204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204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れんたろう</v>
      </c>
      <c r="F6" s="8" t="s">
        <v>205</v>
      </c>
      <c r="G6" s="9">
        <v>-1500</v>
      </c>
      <c r="H6" s="9"/>
      <c r="I6" s="48"/>
      <c r="J6" s="21">
        <f t="shared" si="2"/>
        <v>48500</v>
      </c>
      <c r="K6" s="8" t="s">
        <v>205</v>
      </c>
      <c r="L6" s="9">
        <v>-1500</v>
      </c>
      <c r="M6" s="9"/>
      <c r="N6" s="48"/>
      <c r="O6" s="21">
        <f t="shared" si="3"/>
        <v>32000</v>
      </c>
      <c r="P6" s="8" t="s">
        <v>205</v>
      </c>
      <c r="Q6" s="9">
        <v>3000</v>
      </c>
      <c r="R6" s="9">
        <v>-1000</v>
      </c>
      <c r="S6" s="48"/>
      <c r="T6" s="21">
        <f t="shared" si="4"/>
        <v>23500</v>
      </c>
      <c r="U6" s="53">
        <f>IF($J6="","",ROUND(($J6-$J$3)/1000,1)+(_xlfn.RANK.AVG($J6,($J6,$O6,$T6),1)-2)*20)</f>
        <v>33.5</v>
      </c>
      <c r="V6" s="54">
        <f>IF($O6="","",ROUND(($O6-$O$3)/1000,1)+(_xlfn.RANK.AVG($O6,($J6,$O6,$T6),1)-2)*20)</f>
        <v>-3</v>
      </c>
      <c r="W6" s="55">
        <f>IF($T6="","",ROUND(($T6-$T$3)/1000,1)+(_xlfn.RANK.AVG($T6,($J6,$O6,$T6),1)-2)*20)</f>
        <v>-31.5</v>
      </c>
      <c r="Y6" s="8" t="s">
        <v>204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204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203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3</v>
      </c>
      <c r="D7" s="18">
        <f t="shared" si="1"/>
        <v>1</v>
      </c>
      <c r="E7" s="4" t="str">
        <f>IF($K$1="","",$K$1)</f>
        <v>たかの</v>
      </c>
      <c r="F7" s="8" t="s">
        <v>196</v>
      </c>
      <c r="G7" s="9">
        <v>-1500</v>
      </c>
      <c r="H7" s="9"/>
      <c r="I7" s="48">
        <v>-1500</v>
      </c>
      <c r="J7" s="21">
        <f t="shared" si="2"/>
        <v>45500</v>
      </c>
      <c r="K7" s="8" t="s">
        <v>197</v>
      </c>
      <c r="L7" s="9">
        <v>3000</v>
      </c>
      <c r="M7" s="9">
        <v>1000</v>
      </c>
      <c r="N7" s="48">
        <v>3000</v>
      </c>
      <c r="O7" s="21">
        <f t="shared" si="3"/>
        <v>39000</v>
      </c>
      <c r="P7" s="8" t="s">
        <v>196</v>
      </c>
      <c r="Q7" s="9">
        <v>-1500</v>
      </c>
      <c r="R7" s="9"/>
      <c r="S7" s="48">
        <v>-1500</v>
      </c>
      <c r="T7" s="21">
        <f t="shared" si="4"/>
        <v>20500</v>
      </c>
      <c r="U7" s="53">
        <f>IF($J7="","",ROUND(($J7-$J$3)/1000,1)+(_xlfn.RANK.AVG($J7,($J7,$O7,$T7),1)-2)*20)</f>
        <v>30.5</v>
      </c>
      <c r="V7" s="54">
        <f>IF($O7="","",ROUND(($O7-$O$3)/1000,1)+(_xlfn.RANK.AVG($O7,($J7,$O7,$T7),1)-2)*20)</f>
        <v>4</v>
      </c>
      <c r="W7" s="55">
        <f>IF($T7="","",ROUND(($T7-$T$3)/1000,1)+(_xlfn.RANK.AVG($T7,($J7,$O7,$T7),1)-2)*20)</f>
        <v>-34.5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2</v>
      </c>
      <c r="AY7" s="30">
        <v>30</v>
      </c>
      <c r="AZ7" s="40" t="s">
        <v>198</v>
      </c>
      <c r="BA7" s="41" t="s">
        <v>82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4</v>
      </c>
      <c r="D8" s="18">
        <f t="shared" si="1"/>
        <v>0</v>
      </c>
      <c r="E8" s="4" t="str">
        <f>IF($K$1="","",$K$1)</f>
        <v>たかの</v>
      </c>
      <c r="F8" s="8"/>
      <c r="G8" s="9"/>
      <c r="H8" s="9"/>
      <c r="I8" s="48"/>
      <c r="J8" s="21">
        <f t="shared" si="2"/>
        <v>45500</v>
      </c>
      <c r="K8" s="8" t="s">
        <v>199</v>
      </c>
      <c r="L8" s="9">
        <v>-32000</v>
      </c>
      <c r="M8" s="9">
        <v>-1000</v>
      </c>
      <c r="N8" s="48">
        <v>-4000</v>
      </c>
      <c r="O8" s="21">
        <f t="shared" si="3"/>
        <v>2000</v>
      </c>
      <c r="P8" s="8" t="s">
        <v>200</v>
      </c>
      <c r="Q8" s="9">
        <v>32000</v>
      </c>
      <c r="R8" s="9">
        <v>1000</v>
      </c>
      <c r="S8" s="48">
        <v>4000</v>
      </c>
      <c r="T8" s="21">
        <f t="shared" si="4"/>
        <v>57500</v>
      </c>
      <c r="U8" s="53">
        <f>IF($J8="","",ROUND(($J8-$J$3)/1000,1)+(_xlfn.RANK.AVG($J8,($J8,$O8,$T8),1)-2)*20)</f>
        <v>10.5</v>
      </c>
      <c r="V8" s="54">
        <f>IF($O8="","",ROUND(($O8-$O$3)/1000,1)+(_xlfn.RANK.AVG($O8,($J8,$O8,$T8),1)-2)*20)</f>
        <v>-53</v>
      </c>
      <c r="W8" s="55">
        <f>IF($T8="","",ROUND(($T8-$T$3)/1000,1)+(_xlfn.RANK.AVG($T8,($J8,$O8,$T8),1)-2)*20)</f>
        <v>42.5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13</v>
      </c>
      <c r="BT8" s="30" t="s">
        <v>201</v>
      </c>
      <c r="BU8" s="40" t="s">
        <v>109</v>
      </c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ただ</v>
      </c>
      <c r="F9" s="8" t="s">
        <v>196</v>
      </c>
      <c r="G9" s="9">
        <v>-1500</v>
      </c>
      <c r="H9" s="9"/>
      <c r="I9" s="48">
        <v>0</v>
      </c>
      <c r="J9" s="21">
        <f t="shared" si="2"/>
        <v>44000</v>
      </c>
      <c r="K9" s="8" t="s">
        <v>196</v>
      </c>
      <c r="L9" s="9">
        <v>-1500</v>
      </c>
      <c r="M9" s="9"/>
      <c r="N9" s="48">
        <v>0</v>
      </c>
      <c r="O9" s="21">
        <f t="shared" si="3"/>
        <v>500</v>
      </c>
      <c r="P9" s="8" t="s">
        <v>197</v>
      </c>
      <c r="Q9" s="9">
        <v>3000</v>
      </c>
      <c r="R9" s="9"/>
      <c r="S9" s="48">
        <v>0</v>
      </c>
      <c r="T9" s="21">
        <f t="shared" si="4"/>
        <v>60500</v>
      </c>
      <c r="U9" s="53">
        <f>IF($J9="","",ROUND(($J9-$J$3)/1000,1)+(_xlfn.RANK.AVG($J9,($J9,$O9,$T9),1)-2)*20)</f>
        <v>9</v>
      </c>
      <c r="V9" s="54">
        <f>IF($O9="","",ROUND(($O9-$O$3)/1000,1)+(_xlfn.RANK.AVG($O9,($J9,$O9,$T9),1)-2)*20)</f>
        <v>-54.5</v>
      </c>
      <c r="W9" s="55">
        <f>IF($T9="","",ROUND(($T9-$T$3)/1000,1)+(_xlfn.RANK.AVG($T9,($J9,$O9,$T9),1)-2)*20)</f>
        <v>45.5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2</v>
      </c>
      <c r="BT9" s="30">
        <v>30</v>
      </c>
      <c r="BU9" s="40" t="s">
        <v>82</v>
      </c>
      <c r="BV9" s="41" t="s">
        <v>202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tr">
        <f>IF($P$1="","",$P$1)</f>
        <v>ただ</v>
      </c>
      <c r="F10" s="8" t="s">
        <v>196</v>
      </c>
      <c r="G10" s="9">
        <v>-500</v>
      </c>
      <c r="H10" s="9">
        <v>-1000</v>
      </c>
      <c r="I10" s="48">
        <v>-500</v>
      </c>
      <c r="J10" s="21">
        <f t="shared" si="2"/>
        <v>42000</v>
      </c>
      <c r="K10" s="8" t="s">
        <v>197</v>
      </c>
      <c r="L10" s="9">
        <v>1200</v>
      </c>
      <c r="M10" s="9">
        <v>1000</v>
      </c>
      <c r="N10" s="48">
        <v>1000</v>
      </c>
      <c r="O10" s="21">
        <f t="shared" si="3"/>
        <v>3700</v>
      </c>
      <c r="P10" s="8" t="s">
        <v>196</v>
      </c>
      <c r="Q10" s="9">
        <v>-700</v>
      </c>
      <c r="R10" s="9"/>
      <c r="S10" s="48">
        <v>-500</v>
      </c>
      <c r="T10" s="21">
        <f t="shared" si="4"/>
        <v>59300</v>
      </c>
      <c r="U10" s="53">
        <f>IF($J10="","",ROUND(($J10-$J$3)/1000,1)+(_xlfn.RANK.AVG($J10,($J10,$O10,$T10),1)-2)*20)</f>
        <v>7</v>
      </c>
      <c r="V10" s="54">
        <f>IF($O10="","",ROUND(($O10-$O$3)/1000,1)+(_xlfn.RANK.AVG($O10,($J10,$O10,$T10),1)-2)*20)</f>
        <v>-51.3</v>
      </c>
      <c r="W10" s="55">
        <f>IF($T10="","",ROUND(($T10-$T$3)/1000,1)+(_xlfn.RANK.AVG($T10,($J10,$O10,$T10),1)-2)*20)</f>
        <v>44.3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1</v>
      </c>
      <c r="AY10" s="30">
        <v>30</v>
      </c>
      <c r="AZ10" s="40" t="s">
        <v>82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tr">
        <f>IF($F$1="","",$F$1)</f>
        <v>れんたろう</v>
      </c>
      <c r="F11" s="8" t="s">
        <v>200</v>
      </c>
      <c r="G11" s="9">
        <v>24000</v>
      </c>
      <c r="H11" s="9"/>
      <c r="I11" s="48">
        <v>0</v>
      </c>
      <c r="J11" s="21">
        <f t="shared" si="2"/>
        <v>66000</v>
      </c>
      <c r="K11" s="8"/>
      <c r="L11" s="9"/>
      <c r="M11" s="9"/>
      <c r="N11" s="48"/>
      <c r="O11" s="21">
        <f t="shared" si="3"/>
        <v>3700</v>
      </c>
      <c r="P11" s="8" t="s">
        <v>199</v>
      </c>
      <c r="Q11" s="9">
        <v>-24000</v>
      </c>
      <c r="R11" s="9"/>
      <c r="S11" s="48">
        <v>0</v>
      </c>
      <c r="T11" s="21">
        <f t="shared" si="4"/>
        <v>35300</v>
      </c>
      <c r="U11" s="53">
        <f>IF($J11="","",ROUND(($J11-$J$3)/1000,1)+(_xlfn.RANK.AVG($J11,($J11,$O11,$T11),1)-2)*20)</f>
        <v>51</v>
      </c>
      <c r="V11" s="54">
        <f>IF($O11="","",ROUND(($O11-$O$3)/1000,1)+(_xlfn.RANK.AVG($O11,($J11,$O11,$T11),1)-2)*20)</f>
        <v>-51.3</v>
      </c>
      <c r="W11" s="55">
        <f>IF($T11="","",ROUND(($T11-$T$3)/1000,1)+(_xlfn.RANK.AVG($T11,($J11,$O11,$T11),1)-2)*20)</f>
        <v>0.3</v>
      </c>
      <c r="Y11" s="8"/>
      <c r="Z11" s="34"/>
      <c r="AA11" s="26">
        <v>1</v>
      </c>
      <c r="AB11" s="26"/>
      <c r="AC11" s="26">
        <v>8</v>
      </c>
      <c r="AD11" s="30" t="s">
        <v>201</v>
      </c>
      <c r="AE11" s="40" t="s">
        <v>198</v>
      </c>
      <c r="AF11" s="41" t="s">
        <v>83</v>
      </c>
      <c r="AG11" s="41" t="s">
        <v>207</v>
      </c>
      <c r="AH11" s="41" t="s">
        <v>92</v>
      </c>
      <c r="AI11" s="41" t="s">
        <v>79</v>
      </c>
      <c r="AJ11" s="41" t="s">
        <v>80</v>
      </c>
      <c r="AK11" s="41" t="s">
        <v>202</v>
      </c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1</v>
      </c>
      <c r="D12" s="18">
        <f t="shared" si="1"/>
        <v>0</v>
      </c>
      <c r="E12" s="4" t="str">
        <f>IF($F$1="","",$F$1)</f>
        <v>れんたろう</v>
      </c>
      <c r="F12" s="8" t="s">
        <v>199</v>
      </c>
      <c r="G12" s="9">
        <v>-5200</v>
      </c>
      <c r="H12" s="9"/>
      <c r="I12" s="48">
        <v>-1000</v>
      </c>
      <c r="J12" s="21">
        <f t="shared" si="2"/>
        <v>59800</v>
      </c>
      <c r="K12" s="8" t="s">
        <v>200</v>
      </c>
      <c r="L12" s="9">
        <v>5200</v>
      </c>
      <c r="M12" s="9"/>
      <c r="N12" s="48">
        <v>1000</v>
      </c>
      <c r="O12" s="21">
        <f t="shared" si="3"/>
        <v>9900</v>
      </c>
      <c r="P12" s="8"/>
      <c r="Q12" s="9"/>
      <c r="R12" s="9"/>
      <c r="S12" s="48"/>
      <c r="T12" s="21">
        <f t="shared" si="4"/>
        <v>35300</v>
      </c>
      <c r="U12" s="53">
        <f>IF($J12="","",ROUND(($J12-$J$3)/1000,1)+(_xlfn.RANK.AVG($J12,($J12,$O12,$T12),1)-2)*20)</f>
        <v>44.8</v>
      </c>
      <c r="V12" s="54">
        <f>IF($O12="","",ROUND(($O12-$O$3)/1000,1)+(_xlfn.RANK.AVG($O12,($J12,$O12,$T12),1)-2)*20)</f>
        <v>-45.1</v>
      </c>
      <c r="W12" s="55">
        <f>IF($T12="","",ROUND(($T12-$T$3)/1000,1)+(_xlfn.RANK.AVG($T12,($J12,$O12,$T12),1)-2)*20)</f>
        <v>0.3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3</v>
      </c>
      <c r="AY12" s="30">
        <v>40</v>
      </c>
      <c r="AZ12" s="40" t="s">
        <v>198</v>
      </c>
      <c r="BA12" s="41" t="s">
        <v>207</v>
      </c>
      <c r="BB12" s="41" t="s">
        <v>86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tr">
        <f>IF($K$1="","",$K$1)</f>
        <v>たかの</v>
      </c>
      <c r="F13" s="8"/>
      <c r="G13" s="9"/>
      <c r="H13" s="9"/>
      <c r="I13" s="48"/>
      <c r="J13" s="21">
        <f t="shared" si="2"/>
        <v>59800</v>
      </c>
      <c r="K13" s="8" t="s">
        <v>199</v>
      </c>
      <c r="L13" s="9">
        <v>-8000</v>
      </c>
      <c r="M13" s="9">
        <v>-1000</v>
      </c>
      <c r="N13" s="48">
        <v>0</v>
      </c>
      <c r="O13" s="21">
        <f t="shared" si="3"/>
        <v>900</v>
      </c>
      <c r="P13" s="8" t="s">
        <v>200</v>
      </c>
      <c r="Q13" s="9">
        <v>8000</v>
      </c>
      <c r="R13" s="9">
        <v>1000</v>
      </c>
      <c r="S13" s="48">
        <v>0</v>
      </c>
      <c r="T13" s="21">
        <f t="shared" si="4"/>
        <v>44300</v>
      </c>
      <c r="U13" s="53">
        <f>IF($J13="","",ROUND(($J13-$J$3)/1000,1)+(_xlfn.RANK.AVG($J13,($J13,$O13,$T13),1)-2)*20)</f>
        <v>44.8</v>
      </c>
      <c r="V13" s="54">
        <f>IF($O13="","",ROUND(($O13-$O$3)/1000,1)+(_xlfn.RANK.AVG($O13,($J13,$O13,$T13),1)-2)*20)</f>
        <v>-54.1</v>
      </c>
      <c r="W13" s="55">
        <f>IF($T13="","",ROUND(($T13-$T$3)/1000,1)+(_xlfn.RANK.AVG($T13,($J13,$O13,$T13),1)-2)*20)</f>
        <v>9.3000000000000007</v>
      </c>
      <c r="Y13" s="8"/>
      <c r="Z13" s="34"/>
      <c r="AA13" s="26"/>
      <c r="AB13" s="26">
        <v>1</v>
      </c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5</v>
      </c>
      <c r="BT13" s="30" t="s">
        <v>201</v>
      </c>
      <c r="BU13" s="40" t="s">
        <v>198</v>
      </c>
      <c r="BV13" s="41" t="s">
        <v>101</v>
      </c>
      <c r="BW13" s="41" t="s">
        <v>79</v>
      </c>
      <c r="BX13" s="41" t="s">
        <v>79</v>
      </c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tr">
        <f>IF($P$1="","",$P$1)</f>
        <v>ただ</v>
      </c>
      <c r="F14" s="8" t="s">
        <v>205</v>
      </c>
      <c r="G14" s="9">
        <v>-1500</v>
      </c>
      <c r="H14" s="9">
        <v>1000</v>
      </c>
      <c r="I14" s="48"/>
      <c r="J14" s="21">
        <f t="shared" si="2"/>
        <v>59300</v>
      </c>
      <c r="K14" s="8" t="s">
        <v>205</v>
      </c>
      <c r="L14" s="9">
        <v>-1500</v>
      </c>
      <c r="M14" s="9"/>
      <c r="N14" s="48"/>
      <c r="O14" s="21">
        <f t="shared" si="3"/>
        <v>-600</v>
      </c>
      <c r="P14" s="8" t="s">
        <v>205</v>
      </c>
      <c r="Q14" s="9">
        <v>3000</v>
      </c>
      <c r="R14" s="9">
        <v>-1000</v>
      </c>
      <c r="S14" s="48"/>
      <c r="T14" s="21">
        <f t="shared" si="4"/>
        <v>46300</v>
      </c>
      <c r="U14" s="53">
        <f>IF($J14="","",ROUND(($J14-$J$3)/1000,1)+(_xlfn.RANK.AVG($J14,($J14,$O14,$T14),1)-2)*20)</f>
        <v>44.3</v>
      </c>
      <c r="V14" s="54">
        <f>IF($O14="","",ROUND(($O14-$O$3)/1000,1)+(_xlfn.RANK.AVG($O14,($J14,$O14,$T14),1)-2)*20)</f>
        <v>-55.6</v>
      </c>
      <c r="W14" s="55">
        <f>IF($T14="","",ROUND(($T14-$T$3)/1000,1)+(_xlfn.RANK.AVG($T14,($J14,$O14,$T14),1)-2)*20)</f>
        <v>11.3</v>
      </c>
      <c r="Y14" s="8" t="s">
        <v>204</v>
      </c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 t="s">
        <v>204</v>
      </c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 t="s">
        <v>203</v>
      </c>
      <c r="BP14" s="34"/>
      <c r="BQ14" s="26">
        <v>1</v>
      </c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74" priority="5">
      <formula>IF(G4&lt;&gt;"",SUM($G4:$I4,$L4:$N4,$Q4:$S4)-$D4*1000+$D5*1000)</formula>
    </cfRule>
  </conditionalFormatting>
  <conditionalFormatting sqref="F1:G1 I1:L1 S1:T1 N1:Q1">
    <cfRule type="duplicateValues" dxfId="73" priority="4"/>
  </conditionalFormatting>
  <conditionalFormatting sqref="H1">
    <cfRule type="duplicateValues" dxfId="72" priority="3"/>
  </conditionalFormatting>
  <conditionalFormatting sqref="R1">
    <cfRule type="duplicateValues" dxfId="71" priority="2"/>
  </conditionalFormatting>
  <conditionalFormatting sqref="M1">
    <cfRule type="duplicateValues" dxfId="70" priority="1"/>
  </conditionalFormatting>
  <dataValidations count="3">
    <dataValidation type="list" allowBlank="1" showInputMessage="1" showErrorMessage="1" sqref="E4:E30" xr:uid="{8B599911-F527-4C68-AC0E-4291280B4446}">
      <formula1>$U$2:$W$2</formula1>
    </dataValidation>
    <dataValidation type="list" showInputMessage="1" showErrorMessage="1" sqref="K4:K30 P4:P30 F4:F30" xr:uid="{2E71DDAE-4904-49E1-9131-51DD1C35ACB9}">
      <formula1>"ロン,ツモ,放銃,ツモ支払,流局,チョンボ"</formula1>
    </dataValidation>
    <dataValidation type="list" allowBlank="1" showInputMessage="1" sqref="F1:T1" xr:uid="{533A9146-88FF-40F1-82A4-5B538937AF46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19A18-9AC2-46F7-9020-F50C0DD223C3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193</v>
      </c>
      <c r="L1" s="72"/>
      <c r="M1" s="72"/>
      <c r="N1" s="73"/>
      <c r="O1" s="74"/>
      <c r="P1" s="71" t="s">
        <v>206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れんたろう</v>
      </c>
      <c r="V2" s="69" t="str">
        <f>$K$1</f>
        <v>たかの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/>
      <c r="G4" s="9"/>
      <c r="H4" s="9"/>
      <c r="I4" s="48"/>
      <c r="J4" s="21">
        <f>IF(COUNTA($F4,$K4,$P4)&gt;0,J3+SUM(G4:I4),"")</f>
        <v>35000</v>
      </c>
      <c r="K4" s="8" t="s">
        <v>200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 t="s">
        <v>199</v>
      </c>
      <c r="Q4" s="9">
        <v>-8000</v>
      </c>
      <c r="R4" s="9"/>
      <c r="S4" s="48">
        <v>0</v>
      </c>
      <c r="T4" s="21">
        <f>IF(COUNTA($F4,$K4,$P4)&gt;0,T3+SUM(Q4:S4),"")</f>
        <v>27000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28</v>
      </c>
      <c r="W4" s="55">
        <f>IF($T4="","",ROUND(($T4-$T$3)/1000,1)+(_xlfn.RANK.AVG($T4,($J4,$O4,$T4),1)-2)*20)</f>
        <v>-28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5</v>
      </c>
      <c r="AY4" s="30" t="s">
        <v>201</v>
      </c>
      <c r="AZ4" s="40" t="s">
        <v>198</v>
      </c>
      <c r="BA4" s="41" t="s">
        <v>79</v>
      </c>
      <c r="BB4" s="41" t="s">
        <v>86</v>
      </c>
      <c r="BC4" s="41" t="s">
        <v>79</v>
      </c>
      <c r="BD4" s="41" t="s">
        <v>88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たかの</v>
      </c>
      <c r="F5" s="8"/>
      <c r="G5" s="9"/>
      <c r="H5" s="9"/>
      <c r="I5" s="48"/>
      <c r="J5" s="21">
        <f t="shared" ref="J5:J30" si="2">IF(COUNTA($F5,$K5,$P5)&gt;0,J4+SUM(G5:I5),"")</f>
        <v>35000</v>
      </c>
      <c r="K5" s="8" t="s">
        <v>199</v>
      </c>
      <c r="L5" s="9">
        <v>-1000</v>
      </c>
      <c r="M5" s="9"/>
      <c r="N5" s="48">
        <v>0</v>
      </c>
      <c r="O5" s="21">
        <f t="shared" ref="O5:O30" si="3">IF(COUNTA($F5,$K5,$P5)&gt;0,O4+SUM(L5:N5),"")</f>
        <v>42000</v>
      </c>
      <c r="P5" s="8" t="s">
        <v>200</v>
      </c>
      <c r="Q5" s="9">
        <v>1000</v>
      </c>
      <c r="R5" s="9"/>
      <c r="S5" s="48">
        <v>0</v>
      </c>
      <c r="T5" s="21">
        <f t="shared" ref="T5:T30" si="4">IF(COUNTA($F5,$K5,$P5)&gt;0,T4+SUM(Q5:S5),"")</f>
        <v>28000</v>
      </c>
      <c r="U5" s="53">
        <f>IF($J5="","",ROUND(($J5-$J$3)/1000,1)+(_xlfn.RANK.AVG($J5,($J5,$O5,$T5),1)-2)*20)</f>
        <v>0</v>
      </c>
      <c r="V5" s="54">
        <f>IF($O5="","",ROUND(($O5-$O$3)/1000,1)+(_xlfn.RANK.AVG($O5,($J5,$O5,$T5),1)-2)*20)</f>
        <v>27</v>
      </c>
      <c r="W5" s="55">
        <f>IF($T5="","",ROUND(($T5-$T$3)/1000,1)+(_xlfn.RANK.AVG($T5,($J5,$O5,$T5),1)-2)*20)</f>
        <v>-27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1</v>
      </c>
      <c r="BT5" s="30">
        <v>30</v>
      </c>
      <c r="BU5" s="40" t="s">
        <v>86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197</v>
      </c>
      <c r="G6" s="9">
        <v>3200</v>
      </c>
      <c r="H6" s="9"/>
      <c r="I6" s="48">
        <v>0</v>
      </c>
      <c r="J6" s="21">
        <f t="shared" si="2"/>
        <v>38200</v>
      </c>
      <c r="K6" s="8" t="s">
        <v>196</v>
      </c>
      <c r="L6" s="9">
        <v>-1200</v>
      </c>
      <c r="M6" s="9"/>
      <c r="N6" s="48">
        <v>0</v>
      </c>
      <c r="O6" s="21">
        <f t="shared" si="3"/>
        <v>40800</v>
      </c>
      <c r="P6" s="8" t="s">
        <v>196</v>
      </c>
      <c r="Q6" s="9">
        <v>-2000</v>
      </c>
      <c r="R6" s="9"/>
      <c r="S6" s="48">
        <v>0</v>
      </c>
      <c r="T6" s="21">
        <f t="shared" si="4"/>
        <v>26000</v>
      </c>
      <c r="U6" s="53">
        <f>IF($J6="","",ROUND(($J6-$J$3)/1000,1)+(_xlfn.RANK.AVG($J6,($J6,$O6,$T6),1)-2)*20)</f>
        <v>3.2</v>
      </c>
      <c r="V6" s="54">
        <f>IF($O6="","",ROUND(($O6-$O$3)/1000,1)+(_xlfn.RANK.AVG($O6,($J6,$O6,$T6),1)-2)*20)</f>
        <v>25.8</v>
      </c>
      <c r="W6" s="55">
        <f>IF($T6="","",ROUND(($T6-$T$3)/1000,1)+(_xlfn.RANK.AVG($T6,($J6,$O6,$T6),1)-2)*20)</f>
        <v>-29</v>
      </c>
      <c r="Y6" s="8"/>
      <c r="Z6" s="34"/>
      <c r="AA6" s="26"/>
      <c r="AB6" s="26"/>
      <c r="AC6" s="26">
        <v>3</v>
      </c>
      <c r="AD6" s="30">
        <v>25</v>
      </c>
      <c r="AE6" s="40" t="s">
        <v>101</v>
      </c>
      <c r="AF6" s="41" t="s">
        <v>82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れんたろう</v>
      </c>
      <c r="F7" s="8" t="s">
        <v>199</v>
      </c>
      <c r="G7" s="9">
        <v>-8000</v>
      </c>
      <c r="H7" s="9"/>
      <c r="I7" s="48">
        <v>0</v>
      </c>
      <c r="J7" s="21">
        <f t="shared" si="2"/>
        <v>30200</v>
      </c>
      <c r="K7" s="8"/>
      <c r="L7" s="9"/>
      <c r="M7" s="9"/>
      <c r="N7" s="48"/>
      <c r="O7" s="21">
        <f t="shared" si="3"/>
        <v>40800</v>
      </c>
      <c r="P7" s="8" t="s">
        <v>200</v>
      </c>
      <c r="Q7" s="9">
        <v>8000</v>
      </c>
      <c r="R7" s="9"/>
      <c r="S7" s="48">
        <v>0</v>
      </c>
      <c r="T7" s="21">
        <f t="shared" si="4"/>
        <v>34000</v>
      </c>
      <c r="U7" s="53">
        <f>IF($J7="","",ROUND(($J7-$J$3)/1000,1)+(_xlfn.RANK.AVG($J7,($J7,$O7,$T7),1)-2)*20)</f>
        <v>-24.8</v>
      </c>
      <c r="V7" s="54">
        <f>IF($O7="","",ROUND(($O7-$O$3)/1000,1)+(_xlfn.RANK.AVG($O7,($J7,$O7,$T7),1)-2)*20)</f>
        <v>25.8</v>
      </c>
      <c r="W7" s="55">
        <f>IF($T7="","",ROUND(($T7-$T$3)/1000,1)+(_xlfn.RANK.AVG($T7,($J7,$O7,$T7),1)-2)*20)</f>
        <v>-1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4</v>
      </c>
      <c r="BT7" s="30">
        <v>40</v>
      </c>
      <c r="BU7" s="40" t="s">
        <v>86</v>
      </c>
      <c r="BV7" s="41" t="s">
        <v>86</v>
      </c>
      <c r="BW7" s="41" t="s">
        <v>98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たかの</v>
      </c>
      <c r="F8" s="8" t="s">
        <v>200</v>
      </c>
      <c r="G8" s="9">
        <v>8000</v>
      </c>
      <c r="H8" s="9">
        <v>1000</v>
      </c>
      <c r="I8" s="48">
        <v>0</v>
      </c>
      <c r="J8" s="21">
        <f t="shared" si="2"/>
        <v>39200</v>
      </c>
      <c r="K8" s="8" t="s">
        <v>199</v>
      </c>
      <c r="L8" s="9">
        <v>-8000</v>
      </c>
      <c r="M8" s="9">
        <v>-1000</v>
      </c>
      <c r="N8" s="48">
        <v>0</v>
      </c>
      <c r="O8" s="21">
        <f t="shared" si="3"/>
        <v>31800</v>
      </c>
      <c r="P8" s="8"/>
      <c r="Q8" s="9"/>
      <c r="R8" s="9"/>
      <c r="S8" s="48"/>
      <c r="T8" s="21">
        <f t="shared" si="4"/>
        <v>34000</v>
      </c>
      <c r="U8" s="53">
        <f>IF($J8="","",ROUND(($J8-$J$3)/1000,1)+(_xlfn.RANK.AVG($J8,($J8,$O8,$T8),1)-2)*20)</f>
        <v>24.2</v>
      </c>
      <c r="V8" s="54">
        <f>IF($O8="","",ROUND(($O8-$O$3)/1000,1)+(_xlfn.RANK.AVG($O8,($J8,$O8,$T8),1)-2)*20)</f>
        <v>-23.2</v>
      </c>
      <c r="W8" s="55">
        <f>IF($T8="","",ROUND(($T8-$T$3)/1000,1)+(_xlfn.RANK.AVG($T8,($J8,$O8,$T8),1)-2)*20)</f>
        <v>-1</v>
      </c>
      <c r="Y8" s="8"/>
      <c r="Z8" s="34"/>
      <c r="AA8" s="26">
        <v>1</v>
      </c>
      <c r="AB8" s="26"/>
      <c r="AC8" s="26">
        <v>5</v>
      </c>
      <c r="AD8" s="30" t="s">
        <v>201</v>
      </c>
      <c r="AE8" s="40" t="s">
        <v>198</v>
      </c>
      <c r="AF8" s="41" t="s">
        <v>207</v>
      </c>
      <c r="AG8" s="41" t="s">
        <v>83</v>
      </c>
      <c r="AH8" s="41" t="s">
        <v>80</v>
      </c>
      <c r="AI8" s="41" t="s">
        <v>202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だいち</v>
      </c>
      <c r="F9" s="8" t="s">
        <v>199</v>
      </c>
      <c r="G9" s="9">
        <v>-2600</v>
      </c>
      <c r="H9" s="9"/>
      <c r="I9" s="48">
        <v>0</v>
      </c>
      <c r="J9" s="21">
        <f t="shared" si="2"/>
        <v>36600</v>
      </c>
      <c r="K9" s="8" t="s">
        <v>200</v>
      </c>
      <c r="L9" s="9">
        <v>2600</v>
      </c>
      <c r="M9" s="9"/>
      <c r="N9" s="48">
        <v>0</v>
      </c>
      <c r="O9" s="21">
        <f t="shared" si="3"/>
        <v>34400</v>
      </c>
      <c r="P9" s="8"/>
      <c r="Q9" s="9"/>
      <c r="R9" s="9"/>
      <c r="S9" s="48"/>
      <c r="T9" s="21">
        <f t="shared" si="4"/>
        <v>34000</v>
      </c>
      <c r="U9" s="53">
        <f>IF($J9="","",ROUND(($J9-$J$3)/1000,1)+(_xlfn.RANK.AVG($J9,($J9,$O9,$T9),1)-2)*20)</f>
        <v>21.6</v>
      </c>
      <c r="V9" s="54">
        <f>IF($O9="","",ROUND(($O9-$O$3)/1000,1)+(_xlfn.RANK.AVG($O9,($J9,$O9,$T9),1)-2)*20)</f>
        <v>-0.6</v>
      </c>
      <c r="W9" s="55">
        <f>IF($T9="","",ROUND(($T9-$T$3)/1000,1)+(_xlfn.RANK.AVG($T9,($J9,$O9,$T9),1)-2)*20)</f>
        <v>-21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2</v>
      </c>
      <c r="AY9" s="30">
        <v>40</v>
      </c>
      <c r="AZ9" s="40" t="s">
        <v>198</v>
      </c>
      <c r="BA9" s="41" t="s">
        <v>202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69" priority="5">
      <formula>IF(G4&lt;&gt;"",SUM($G4:$I4,$L4:$N4,$Q4:$S4)-$D4*1000+$D5*1000)</formula>
    </cfRule>
  </conditionalFormatting>
  <conditionalFormatting sqref="F1:G1 I1:L1 S1:T1 N1:Q1">
    <cfRule type="duplicateValues" dxfId="68" priority="4"/>
  </conditionalFormatting>
  <conditionalFormatting sqref="H1">
    <cfRule type="duplicateValues" dxfId="67" priority="3"/>
  </conditionalFormatting>
  <conditionalFormatting sqref="R1">
    <cfRule type="duplicateValues" dxfId="66" priority="2"/>
  </conditionalFormatting>
  <conditionalFormatting sqref="M1">
    <cfRule type="duplicateValues" dxfId="65" priority="1"/>
  </conditionalFormatting>
  <dataValidations count="3">
    <dataValidation type="list" allowBlank="1" showInputMessage="1" sqref="F1:T1" xr:uid="{7E7E346C-6D84-4BF5-9F8A-AF11A313311B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  <dataValidation type="list" showInputMessage="1" showErrorMessage="1" sqref="K4:K30 P4:P30 F4:F30" xr:uid="{C6A112A4-55C1-4733-A036-B758D932EA7D}">
      <formula1>"ロン,ツモ,放銃,ツモ支払,流局,チョンボ"</formula1>
    </dataValidation>
    <dataValidation type="list" allowBlank="1" showInputMessage="1" showErrorMessage="1" sqref="E4:E30" xr:uid="{C5EE4892-66CB-4FCB-8201-A3C7BEBBECA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D802A-C603-4F8F-8865-6F9BD0B788F8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193</v>
      </c>
      <c r="L1" s="72"/>
      <c r="M1" s="72"/>
      <c r="N1" s="73"/>
      <c r="O1" s="74"/>
      <c r="P1" s="71" t="s">
        <v>195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れんたろう</v>
      </c>
      <c r="V2" s="69" t="str">
        <f>$K$1</f>
        <v>たかの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197</v>
      </c>
      <c r="G4" s="9">
        <v>7700</v>
      </c>
      <c r="H4" s="9"/>
      <c r="I4" s="48">
        <v>0</v>
      </c>
      <c r="J4" s="21">
        <f>IF(COUNTA($F4,$K4,$P4)&gt;0,J3+SUM(G4:I4),"")</f>
        <v>42700</v>
      </c>
      <c r="K4" s="8" t="s">
        <v>196</v>
      </c>
      <c r="L4" s="9">
        <v>-2900</v>
      </c>
      <c r="M4" s="9"/>
      <c r="N4" s="48">
        <v>0</v>
      </c>
      <c r="O4" s="21">
        <f>IF(COUNTA($F4,$K4,$P4)&gt;0,O3+SUM(L4:N4),"")</f>
        <v>32100</v>
      </c>
      <c r="P4" s="8" t="s">
        <v>196</v>
      </c>
      <c r="Q4" s="9">
        <v>-4800</v>
      </c>
      <c r="R4" s="9"/>
      <c r="S4" s="48">
        <v>0</v>
      </c>
      <c r="T4" s="21">
        <f>IF(COUNTA($F4,$K4,$P4)&gt;0,T3+SUM(Q4:S4),"")</f>
        <v>30200</v>
      </c>
      <c r="U4" s="53">
        <f>IF($J4="","",ROUND(($J4-$J$3)/1000,1)+(_xlfn.RANK.AVG($J4,($J4,$O4,$T4),1)-2)*20)</f>
        <v>27.7</v>
      </c>
      <c r="V4" s="54">
        <f>IF($O4="","",ROUND(($O4-$O$3)/1000,1)+(_xlfn.RANK.AVG($O4,($J4,$O4,$T4),1)-2)*20)</f>
        <v>-2.9</v>
      </c>
      <c r="W4" s="55">
        <f>IF($T4="","",ROUND(($T4-$T$3)/1000,1)+(_xlfn.RANK.AVG($T4,($J4,$O4,$T4),1)-2)*20)</f>
        <v>-24.8</v>
      </c>
      <c r="Y4" s="8"/>
      <c r="Z4" s="34"/>
      <c r="AA4" s="26"/>
      <c r="AB4" s="26"/>
      <c r="AC4" s="26">
        <v>4</v>
      </c>
      <c r="AD4" s="30">
        <v>30</v>
      </c>
      <c r="AE4" s="40" t="s">
        <v>82</v>
      </c>
      <c r="AF4" s="41" t="s">
        <v>85</v>
      </c>
      <c r="AG4" s="41" t="s">
        <v>79</v>
      </c>
      <c r="AH4" s="41" t="s">
        <v>202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れんたろう</v>
      </c>
      <c r="F5" s="8"/>
      <c r="G5" s="9"/>
      <c r="H5" s="9"/>
      <c r="I5" s="48"/>
      <c r="J5" s="21">
        <f t="shared" ref="J5:J30" si="2">IF(COUNTA($F5,$K5,$P5)&gt;0,J4+SUM(G5:I5),"")</f>
        <v>42700</v>
      </c>
      <c r="K5" s="8" t="s">
        <v>199</v>
      </c>
      <c r="L5" s="9">
        <v>-2600</v>
      </c>
      <c r="M5" s="9"/>
      <c r="N5" s="48">
        <v>0</v>
      </c>
      <c r="O5" s="21">
        <f t="shared" ref="O5:O30" si="3">IF(COUNTA($F5,$K5,$P5)&gt;0,O4+SUM(L5:N5),"")</f>
        <v>29500</v>
      </c>
      <c r="P5" s="8" t="s">
        <v>200</v>
      </c>
      <c r="Q5" s="9">
        <v>2600</v>
      </c>
      <c r="R5" s="9"/>
      <c r="S5" s="48">
        <v>0</v>
      </c>
      <c r="T5" s="21">
        <f t="shared" ref="T5:T30" si="4">IF(COUNTA($F5,$K5,$P5)&gt;0,T4+SUM(Q5:S5),"")</f>
        <v>32800</v>
      </c>
      <c r="U5" s="53">
        <f>IF($J5="","",ROUND(($J5-$J$3)/1000,1)+(_xlfn.RANK.AVG($J5,($J5,$O5,$T5),1)-2)*20)</f>
        <v>27.7</v>
      </c>
      <c r="V5" s="54">
        <f>IF($O5="","",ROUND(($O5-$O$3)/1000,1)+(_xlfn.RANK.AVG($O5,($J5,$O5,$T5),1)-2)*20)</f>
        <v>-25.5</v>
      </c>
      <c r="W5" s="55">
        <f>IF($T5="","",ROUND(($T5-$T$3)/1000,1)+(_xlfn.RANK.AVG($T5,($J5,$O5,$T5),1)-2)*20)</f>
        <v>-2.2000000000000002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2</v>
      </c>
      <c r="BT5" s="30">
        <v>40</v>
      </c>
      <c r="BU5" s="40" t="s">
        <v>198</v>
      </c>
      <c r="BV5" s="41" t="s">
        <v>80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たかの</v>
      </c>
      <c r="F6" s="8" t="s">
        <v>196</v>
      </c>
      <c r="G6" s="9">
        <v>-800</v>
      </c>
      <c r="H6" s="9"/>
      <c r="I6" s="48">
        <v>0</v>
      </c>
      <c r="J6" s="21">
        <f t="shared" si="2"/>
        <v>41900</v>
      </c>
      <c r="K6" s="8" t="s">
        <v>196</v>
      </c>
      <c r="L6" s="9">
        <v>-1300</v>
      </c>
      <c r="M6" s="9"/>
      <c r="N6" s="48">
        <v>0</v>
      </c>
      <c r="O6" s="21">
        <f t="shared" si="3"/>
        <v>28200</v>
      </c>
      <c r="P6" s="8" t="s">
        <v>197</v>
      </c>
      <c r="Q6" s="9">
        <v>2100</v>
      </c>
      <c r="R6" s="9"/>
      <c r="S6" s="48">
        <v>0</v>
      </c>
      <c r="T6" s="21">
        <f t="shared" si="4"/>
        <v>34900</v>
      </c>
      <c r="U6" s="53">
        <f>IF($J6="","",ROUND(($J6-$J$3)/1000,1)+(_xlfn.RANK.AVG($J6,($J6,$O6,$T6),1)-2)*20)</f>
        <v>26.9</v>
      </c>
      <c r="V6" s="54">
        <f>IF($O6="","",ROUND(($O6-$O$3)/1000,1)+(_xlfn.RANK.AVG($O6,($J6,$O6,$T6),1)-2)*20)</f>
        <v>-26.8</v>
      </c>
      <c r="W6" s="55">
        <f>IF($T6="","",ROUND(($T6-$T$3)/1000,1)+(_xlfn.RANK.AVG($T6,($J6,$O6,$T6),1)-2)*20)</f>
        <v>-0.1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2</v>
      </c>
      <c r="BT6" s="30">
        <v>30</v>
      </c>
      <c r="BU6" s="40" t="s">
        <v>82</v>
      </c>
      <c r="BV6" s="41" t="s">
        <v>79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IF($P$1="","",$P$1)</f>
        <v>ただ</v>
      </c>
      <c r="F7" s="8" t="s">
        <v>200</v>
      </c>
      <c r="G7" s="9">
        <v>2600</v>
      </c>
      <c r="H7" s="9"/>
      <c r="I7" s="48">
        <v>0</v>
      </c>
      <c r="J7" s="21">
        <f t="shared" si="2"/>
        <v>44500</v>
      </c>
      <c r="K7" s="8" t="s">
        <v>199</v>
      </c>
      <c r="L7" s="9">
        <v>-2600</v>
      </c>
      <c r="M7" s="9"/>
      <c r="N7" s="48">
        <v>0</v>
      </c>
      <c r="O7" s="21">
        <f t="shared" si="3"/>
        <v>25600</v>
      </c>
      <c r="P7" s="8"/>
      <c r="Q7" s="9"/>
      <c r="R7" s="9"/>
      <c r="S7" s="48"/>
      <c r="T7" s="21">
        <f t="shared" si="4"/>
        <v>34900</v>
      </c>
      <c r="U7" s="53">
        <f>IF($J7="","",ROUND(($J7-$J$3)/1000,1)+(_xlfn.RANK.AVG($J7,($J7,$O7,$T7),1)-2)*20)</f>
        <v>29.5</v>
      </c>
      <c r="V7" s="54">
        <f>IF($O7="","",ROUND(($O7-$O$3)/1000,1)+(_xlfn.RANK.AVG($O7,($J7,$O7,$T7),1)-2)*20)</f>
        <v>-29.4</v>
      </c>
      <c r="W7" s="55">
        <f>IF($T7="","",ROUND(($T7-$T$3)/1000,1)+(_xlfn.RANK.AVG($T7,($J7,$O7,$T7),1)-2)*20)</f>
        <v>-0.1</v>
      </c>
      <c r="Y7" s="8"/>
      <c r="Z7" s="34"/>
      <c r="AA7" s="26"/>
      <c r="AB7" s="26"/>
      <c r="AC7" s="26">
        <v>2</v>
      </c>
      <c r="AD7" s="30">
        <v>40</v>
      </c>
      <c r="AE7" s="40" t="s">
        <v>85</v>
      </c>
      <c r="AF7" s="41" t="s">
        <v>202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IF($F$1="","",$F$1)</f>
        <v>れんたろう</v>
      </c>
      <c r="F8" s="8"/>
      <c r="G8" s="9"/>
      <c r="H8" s="9"/>
      <c r="I8" s="48"/>
      <c r="J8" s="21">
        <f t="shared" si="2"/>
        <v>44500</v>
      </c>
      <c r="K8" s="8" t="s">
        <v>200</v>
      </c>
      <c r="L8" s="9">
        <v>8000</v>
      </c>
      <c r="M8" s="9"/>
      <c r="N8" s="48">
        <v>0</v>
      </c>
      <c r="O8" s="21">
        <f t="shared" si="3"/>
        <v>33600</v>
      </c>
      <c r="P8" s="8" t="s">
        <v>199</v>
      </c>
      <c r="Q8" s="9">
        <v>-8000</v>
      </c>
      <c r="R8" s="9"/>
      <c r="S8" s="48">
        <v>0</v>
      </c>
      <c r="T8" s="21">
        <f t="shared" si="4"/>
        <v>26900</v>
      </c>
      <c r="U8" s="53">
        <f>IF($J8="","",ROUND(($J8-$J$3)/1000,1)+(_xlfn.RANK.AVG($J8,($J8,$O8,$T8),1)-2)*20)</f>
        <v>29.5</v>
      </c>
      <c r="V8" s="54">
        <f>IF($O8="","",ROUND(($O8-$O$3)/1000,1)+(_xlfn.RANK.AVG($O8,($J8,$O8,$T8),1)-2)*20)</f>
        <v>-1.4</v>
      </c>
      <c r="W8" s="55">
        <f>IF($T8="","",ROUND(($T8-$T$3)/1000,1)+(_xlfn.RANK.AVG($T8,($J8,$O8,$T8),1)-2)*20)</f>
        <v>-28.1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4</v>
      </c>
      <c r="AY8" s="30">
        <v>50</v>
      </c>
      <c r="AZ8" s="40" t="s">
        <v>198</v>
      </c>
      <c r="BA8" s="41" t="s">
        <v>86</v>
      </c>
      <c r="BB8" s="41" t="s">
        <v>80</v>
      </c>
      <c r="BC8" s="41" t="s">
        <v>80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IF($K$1="","",$K$1)</f>
        <v>たかの</v>
      </c>
      <c r="F9" s="8" t="s">
        <v>197</v>
      </c>
      <c r="G9" s="9">
        <v>12000</v>
      </c>
      <c r="H9" s="9">
        <v>1000</v>
      </c>
      <c r="I9" s="48">
        <v>0</v>
      </c>
      <c r="J9" s="21">
        <f t="shared" si="2"/>
        <v>57500</v>
      </c>
      <c r="K9" s="8" t="s">
        <v>196</v>
      </c>
      <c r="L9" s="9">
        <v>-7500</v>
      </c>
      <c r="M9" s="9"/>
      <c r="N9" s="48">
        <v>0</v>
      </c>
      <c r="O9" s="21">
        <f t="shared" si="3"/>
        <v>26100</v>
      </c>
      <c r="P9" s="8" t="s">
        <v>196</v>
      </c>
      <c r="Q9" s="9">
        <v>-4500</v>
      </c>
      <c r="R9" s="9">
        <v>-1000</v>
      </c>
      <c r="S9" s="48">
        <v>0</v>
      </c>
      <c r="T9" s="21">
        <f t="shared" si="4"/>
        <v>21400</v>
      </c>
      <c r="U9" s="53">
        <f>IF($J9="","",ROUND(($J9-$J$3)/1000,1)+(_xlfn.RANK.AVG($J9,($J9,$O9,$T9),1)-2)*20)</f>
        <v>42.5</v>
      </c>
      <c r="V9" s="54">
        <f>IF($O9="","",ROUND(($O9-$O$3)/1000,1)+(_xlfn.RANK.AVG($O9,($J9,$O9,$T9),1)-2)*20)</f>
        <v>-8.9</v>
      </c>
      <c r="W9" s="55">
        <f>IF($T9="","",ROUND(($T9-$T$3)/1000,1)+(_xlfn.RANK.AVG($T9,($J9,$O9,$T9),1)-2)*20)</f>
        <v>-33.6</v>
      </c>
      <c r="Y9" s="8"/>
      <c r="Z9" s="34"/>
      <c r="AA9" s="26">
        <v>1</v>
      </c>
      <c r="AB9" s="26"/>
      <c r="AC9" s="26">
        <v>6</v>
      </c>
      <c r="AD9" s="30" t="s">
        <v>201</v>
      </c>
      <c r="AE9" s="40" t="s">
        <v>198</v>
      </c>
      <c r="AF9" s="41" t="s">
        <v>82</v>
      </c>
      <c r="AG9" s="41" t="s">
        <v>101</v>
      </c>
      <c r="AH9" s="41" t="s">
        <v>79</v>
      </c>
      <c r="AI9" s="41" t="s">
        <v>79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64" priority="5">
      <formula>IF(G4&lt;&gt;"",SUM($G4:$I4,$L4:$N4,$Q4:$S4)-$D4*1000+$D5*1000)</formula>
    </cfRule>
  </conditionalFormatting>
  <conditionalFormatting sqref="F1:G1 I1:L1 S1:T1 N1:Q1">
    <cfRule type="duplicateValues" dxfId="63" priority="4"/>
  </conditionalFormatting>
  <conditionalFormatting sqref="H1">
    <cfRule type="duplicateValues" dxfId="62" priority="3"/>
  </conditionalFormatting>
  <conditionalFormatting sqref="R1">
    <cfRule type="duplicateValues" dxfId="61" priority="2"/>
  </conditionalFormatting>
  <conditionalFormatting sqref="M1">
    <cfRule type="duplicateValues" dxfId="60" priority="1"/>
  </conditionalFormatting>
  <dataValidations count="3">
    <dataValidation type="list" allowBlank="1" showInputMessage="1" showErrorMessage="1" sqref="E4:E30" xr:uid="{CC16CE94-A0B1-4D20-8B01-82D4462BE39F}">
      <formula1>$U$2:$W$2</formula1>
    </dataValidation>
    <dataValidation type="list" showInputMessage="1" showErrorMessage="1" sqref="K4:K30 P4:P30 F4:F30" xr:uid="{3ED918AC-4DC1-4F66-92D2-33A7B110E6F5}">
      <formula1>"ロン,ツモ,放銃,ツモ支払,流局,チョンボ"</formula1>
    </dataValidation>
    <dataValidation type="list" allowBlank="1" showInputMessage="1" sqref="F1:T1" xr:uid="{DFC7529A-FF94-478B-A598-DAE4D24C46D9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0C7FC-5A37-464B-9478-05C9548076B7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193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206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たかの</v>
      </c>
      <c r="V2" s="69" t="str">
        <f>$K$1</f>
        <v>れんたろう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206</v>
      </c>
      <c r="F4" s="8" t="s">
        <v>200</v>
      </c>
      <c r="G4" s="9">
        <v>8000</v>
      </c>
      <c r="H4" s="9"/>
      <c r="I4" s="48">
        <v>0</v>
      </c>
      <c r="J4" s="21">
        <f>IF(COUNTA($F4,$K4,$P4)&gt;0,J3+SUM(G4:I4),"")</f>
        <v>43000</v>
      </c>
      <c r="K4" s="8" t="s">
        <v>199</v>
      </c>
      <c r="L4" s="9">
        <v>-8000</v>
      </c>
      <c r="M4" s="9"/>
      <c r="N4" s="48">
        <v>0</v>
      </c>
      <c r="O4" s="21">
        <f>IF(COUNTA($F4,$K4,$P4)&gt;0,O3+SUM(L4:N4),"")</f>
        <v>27000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28</v>
      </c>
      <c r="V4" s="54">
        <f>IF($O4="","",ROUND(($O4-$O$3)/1000,1)+(_xlfn.RANK.AVG($O4,($J4,$O4,$T4),1)-2)*20)</f>
        <v>-28</v>
      </c>
      <c r="W4" s="55">
        <f>IF($T4="","",ROUND(($T4-$T$3)/1000,1)+(_xlfn.RANK.AVG($T4,($J4,$O4,$T4),1)-2)*20)</f>
        <v>0</v>
      </c>
      <c r="Y4" s="8"/>
      <c r="Z4" s="34"/>
      <c r="AA4" s="26">
        <v>1</v>
      </c>
      <c r="AB4" s="26"/>
      <c r="AC4" s="26">
        <v>4</v>
      </c>
      <c r="AD4" s="30">
        <v>50</v>
      </c>
      <c r="AE4" s="40" t="s">
        <v>198</v>
      </c>
      <c r="AF4" s="41" t="s">
        <v>202</v>
      </c>
      <c r="AG4" s="41" t="s">
        <v>79</v>
      </c>
      <c r="AH4" s="41" t="s">
        <v>79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たかの</v>
      </c>
      <c r="F5" s="8" t="s">
        <v>200</v>
      </c>
      <c r="G5" s="9">
        <v>3900</v>
      </c>
      <c r="H5" s="9"/>
      <c r="I5" s="48">
        <v>0</v>
      </c>
      <c r="J5" s="21">
        <f t="shared" ref="J5:J30" si="2">IF(COUNTA($F5,$K5,$P5)&gt;0,J4+SUM(G5:I5),"")</f>
        <v>46900</v>
      </c>
      <c r="K5" s="8" t="s">
        <v>199</v>
      </c>
      <c r="L5" s="9">
        <v>-3900</v>
      </c>
      <c r="M5" s="9"/>
      <c r="N5" s="48">
        <v>0</v>
      </c>
      <c r="O5" s="21">
        <f t="shared" ref="O5:O30" si="3">IF(COUNTA($F5,$K5,$P5)&gt;0,O4+SUM(L5:N5),"")</f>
        <v>23100</v>
      </c>
      <c r="P5" s="8"/>
      <c r="Q5" s="9"/>
      <c r="R5" s="9"/>
      <c r="S5" s="48"/>
      <c r="T5" s="21">
        <f t="shared" ref="T5:T30" si="4">IF(COUNTA($F5,$K5,$P5)&gt;0,T4+SUM(Q5:S5),"")</f>
        <v>35000</v>
      </c>
      <c r="U5" s="53">
        <f>IF($J5="","",ROUND(($J5-$J$3)/1000,1)+(_xlfn.RANK.AVG($J5,($J5,$O5,$T5),1)-2)*20)</f>
        <v>31.9</v>
      </c>
      <c r="V5" s="54">
        <f>IF($O5="","",ROUND(($O5-$O$3)/1000,1)+(_xlfn.RANK.AVG($O5,($J5,$O5,$T5),1)-2)*20)</f>
        <v>-31.9</v>
      </c>
      <c r="W5" s="55">
        <f>IF($T5="","",ROUND(($T5-$T$3)/1000,1)+(_xlfn.RANK.AVG($T5,($J5,$O5,$T5),1)-2)*20)</f>
        <v>0</v>
      </c>
      <c r="Y5" s="8"/>
      <c r="Z5" s="34"/>
      <c r="AA5" s="26">
        <v>1</v>
      </c>
      <c r="AB5" s="26"/>
      <c r="AC5" s="26">
        <v>2</v>
      </c>
      <c r="AD5" s="30">
        <v>40</v>
      </c>
      <c r="AE5" s="40" t="s">
        <v>198</v>
      </c>
      <c r="AF5" s="41" t="s">
        <v>207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IF($F$1="","",$F$1)</f>
        <v>たかの</v>
      </c>
      <c r="F6" s="8" t="s">
        <v>200</v>
      </c>
      <c r="G6" s="9">
        <v>1500</v>
      </c>
      <c r="H6" s="9"/>
      <c r="I6" s="48">
        <v>1000</v>
      </c>
      <c r="J6" s="21">
        <f t="shared" si="2"/>
        <v>49400</v>
      </c>
      <c r="K6" s="8"/>
      <c r="L6" s="9"/>
      <c r="M6" s="9"/>
      <c r="N6" s="48"/>
      <c r="O6" s="21">
        <f t="shared" si="3"/>
        <v>23100</v>
      </c>
      <c r="P6" s="8" t="s">
        <v>199</v>
      </c>
      <c r="Q6" s="9">
        <v>-1500</v>
      </c>
      <c r="R6" s="9"/>
      <c r="S6" s="48">
        <v>-1000</v>
      </c>
      <c r="T6" s="21">
        <f t="shared" si="4"/>
        <v>32500</v>
      </c>
      <c r="U6" s="53">
        <f>IF($J6="","",ROUND(($J6-$J$3)/1000,1)+(_xlfn.RANK.AVG($J6,($J6,$O6,$T6),1)-2)*20)</f>
        <v>34.4</v>
      </c>
      <c r="V6" s="54">
        <f>IF($O6="","",ROUND(($O6-$O$3)/1000,1)+(_xlfn.RANK.AVG($O6,($J6,$O6,$T6),1)-2)*20)</f>
        <v>-31.9</v>
      </c>
      <c r="W6" s="55">
        <f>IF($T6="","",ROUND(($T6-$T$3)/1000,1)+(_xlfn.RANK.AVG($T6,($J6,$O6,$T6),1)-2)*20)</f>
        <v>-2.5</v>
      </c>
      <c r="Y6" s="8"/>
      <c r="Z6" s="34"/>
      <c r="AA6" s="26"/>
      <c r="AB6" s="26"/>
      <c r="AC6" s="26">
        <v>1</v>
      </c>
      <c r="AD6" s="30">
        <v>30</v>
      </c>
      <c r="AE6" s="40" t="s">
        <v>83</v>
      </c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tr">
        <f>IF($F$1="","",$F$1)</f>
        <v>たかの</v>
      </c>
      <c r="F7" s="8" t="s">
        <v>196</v>
      </c>
      <c r="G7" s="9">
        <v>-5000</v>
      </c>
      <c r="H7" s="9"/>
      <c r="I7" s="48">
        <v>-1000</v>
      </c>
      <c r="J7" s="21">
        <f t="shared" si="2"/>
        <v>43400</v>
      </c>
      <c r="K7" s="8" t="s">
        <v>197</v>
      </c>
      <c r="L7" s="9">
        <v>8000</v>
      </c>
      <c r="M7" s="9">
        <v>1000</v>
      </c>
      <c r="N7" s="48">
        <v>2000</v>
      </c>
      <c r="O7" s="21">
        <f t="shared" si="3"/>
        <v>34100</v>
      </c>
      <c r="P7" s="8" t="s">
        <v>196</v>
      </c>
      <c r="Q7" s="9">
        <v>-3000</v>
      </c>
      <c r="R7" s="9">
        <v>-1000</v>
      </c>
      <c r="S7" s="48">
        <v>-1000</v>
      </c>
      <c r="T7" s="21">
        <f t="shared" si="4"/>
        <v>27500</v>
      </c>
      <c r="U7" s="53">
        <f>IF($J7="","",ROUND(($J7-$J$3)/1000,1)+(_xlfn.RANK.AVG($J7,($J7,$O7,$T7),1)-2)*20)</f>
        <v>28.4</v>
      </c>
      <c r="V7" s="54">
        <f>IF($O7="","",ROUND(($O7-$O$3)/1000,1)+(_xlfn.RANK.AVG($O7,($J7,$O7,$T7),1)-2)*20)</f>
        <v>-0.9</v>
      </c>
      <c r="W7" s="55">
        <f>IF($T7="","",ROUND(($T7-$T$3)/1000,1)+(_xlfn.RANK.AVG($T7,($J7,$O7,$T7),1)-2)*20)</f>
        <v>-27.5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5</v>
      </c>
      <c r="AY7" s="30" t="s">
        <v>201</v>
      </c>
      <c r="AZ7" s="40" t="s">
        <v>198</v>
      </c>
      <c r="BA7" s="41" t="s">
        <v>82</v>
      </c>
      <c r="BB7" s="41" t="s">
        <v>207</v>
      </c>
      <c r="BC7" s="41" t="s">
        <v>85</v>
      </c>
      <c r="BD7" s="41" t="s">
        <v>202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IF($K$1="","",$K$1)</f>
        <v>れんたろう</v>
      </c>
      <c r="F8" s="8"/>
      <c r="G8" s="9"/>
      <c r="H8" s="9"/>
      <c r="I8" s="48"/>
      <c r="J8" s="21">
        <f t="shared" si="2"/>
        <v>43400</v>
      </c>
      <c r="K8" s="8" t="s">
        <v>200</v>
      </c>
      <c r="L8" s="9">
        <v>7700</v>
      </c>
      <c r="M8" s="9">
        <v>1000</v>
      </c>
      <c r="N8" s="48">
        <v>0</v>
      </c>
      <c r="O8" s="21">
        <f t="shared" si="3"/>
        <v>42800</v>
      </c>
      <c r="P8" s="8" t="s">
        <v>199</v>
      </c>
      <c r="Q8" s="9">
        <v>-7700</v>
      </c>
      <c r="R8" s="9">
        <v>-1000</v>
      </c>
      <c r="S8" s="48">
        <v>0</v>
      </c>
      <c r="T8" s="21">
        <f t="shared" si="4"/>
        <v>18800</v>
      </c>
      <c r="U8" s="53">
        <f>IF($J8="","",ROUND(($J8-$J$3)/1000,1)+(_xlfn.RANK.AVG($J8,($J8,$O8,$T8),1)-2)*20)</f>
        <v>28.4</v>
      </c>
      <c r="V8" s="54">
        <f>IF($O8="","",ROUND(($O8-$O$3)/1000,1)+(_xlfn.RANK.AVG($O8,($J8,$O8,$T8),1)-2)*20)</f>
        <v>7.8</v>
      </c>
      <c r="W8" s="55">
        <f>IF($T8="","",ROUND(($T8-$T$3)/1000,1)+(_xlfn.RANK.AVG($T8,($J8,$O8,$T8),1)-2)*20)</f>
        <v>-36.200000000000003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3</v>
      </c>
      <c r="AY8" s="30">
        <v>40</v>
      </c>
      <c r="AZ8" s="40" t="s">
        <v>198</v>
      </c>
      <c r="BA8" s="41" t="s">
        <v>84</v>
      </c>
      <c r="BB8" s="41" t="s">
        <v>79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tr">
        <f>IF($K$1="","",$K$1)</f>
        <v>れんたろう</v>
      </c>
      <c r="F9" s="8" t="s">
        <v>196</v>
      </c>
      <c r="G9" s="9">
        <v>-4500</v>
      </c>
      <c r="H9" s="9"/>
      <c r="I9" s="48">
        <v>-500</v>
      </c>
      <c r="J9" s="21">
        <f t="shared" si="2"/>
        <v>38400</v>
      </c>
      <c r="K9" s="8" t="s">
        <v>196</v>
      </c>
      <c r="L9" s="9">
        <v>-7500</v>
      </c>
      <c r="M9" s="9"/>
      <c r="N9" s="48">
        <v>-500</v>
      </c>
      <c r="O9" s="21">
        <f t="shared" si="3"/>
        <v>34800</v>
      </c>
      <c r="P9" s="8" t="s">
        <v>197</v>
      </c>
      <c r="Q9" s="9">
        <v>12000</v>
      </c>
      <c r="R9" s="9"/>
      <c r="S9" s="48">
        <v>1000</v>
      </c>
      <c r="T9" s="21">
        <f t="shared" si="4"/>
        <v>31800</v>
      </c>
      <c r="U9" s="53">
        <f>IF($J9="","",ROUND(($J9-$J$3)/1000,1)+(_xlfn.RANK.AVG($J9,($J9,$O9,$T9),1)-2)*20)</f>
        <v>23.4</v>
      </c>
      <c r="V9" s="54">
        <f>IF($O9="","",ROUND(($O9-$O$3)/1000,1)+(_xlfn.RANK.AVG($O9,($J9,$O9,$T9),1)-2)*20)</f>
        <v>-0.2</v>
      </c>
      <c r="W9" s="55">
        <f>IF($T9="","",ROUND(($T9-$T$3)/1000,1)+(_xlfn.RANK.AVG($T9,($J9,$O9,$T9),1)-2)*20)</f>
        <v>-23.2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7</v>
      </c>
      <c r="BT9" s="30" t="s">
        <v>201</v>
      </c>
      <c r="BU9" s="40" t="s">
        <v>198</v>
      </c>
      <c r="BV9" s="41" t="s">
        <v>82</v>
      </c>
      <c r="BW9" s="41" t="s">
        <v>79</v>
      </c>
      <c r="BX9" s="41" t="s">
        <v>80</v>
      </c>
      <c r="BY9" s="41" t="s">
        <v>202</v>
      </c>
      <c r="BZ9" s="41" t="s">
        <v>83</v>
      </c>
      <c r="CA9" s="41" t="s">
        <v>84</v>
      </c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IF($P$1="","",$P$1)</f>
        <v>だいち</v>
      </c>
      <c r="F10" s="8" t="s">
        <v>200</v>
      </c>
      <c r="G10" s="9">
        <v>8000</v>
      </c>
      <c r="H10" s="9">
        <v>1000</v>
      </c>
      <c r="I10" s="48">
        <v>0</v>
      </c>
      <c r="J10" s="21">
        <f t="shared" si="2"/>
        <v>47400</v>
      </c>
      <c r="K10" s="8" t="s">
        <v>199</v>
      </c>
      <c r="L10" s="9">
        <v>-8000</v>
      </c>
      <c r="M10" s="9"/>
      <c r="N10" s="48">
        <v>0</v>
      </c>
      <c r="O10" s="21">
        <f t="shared" si="3"/>
        <v>26800</v>
      </c>
      <c r="P10" s="8"/>
      <c r="Q10" s="9"/>
      <c r="R10" s="9">
        <v>-1000</v>
      </c>
      <c r="S10" s="48"/>
      <c r="T10" s="21">
        <f t="shared" si="4"/>
        <v>30800</v>
      </c>
      <c r="U10" s="53">
        <f>IF($J10="","",ROUND(($J10-$J$3)/1000,1)+(_xlfn.RANK.AVG($J10,($J10,$O10,$T10),1)-2)*20)</f>
        <v>32.4</v>
      </c>
      <c r="V10" s="54">
        <f>IF($O10="","",ROUND(($O10-$O$3)/1000,1)+(_xlfn.RANK.AVG($O10,($J10,$O10,$T10),1)-2)*20)</f>
        <v>-28.2</v>
      </c>
      <c r="W10" s="55">
        <f>IF($T10="","",ROUND(($T10-$T$3)/1000,1)+(_xlfn.RANK.AVG($T10,($J10,$O10,$T10),1)-2)*20)</f>
        <v>-4.2</v>
      </c>
      <c r="Y10" s="8"/>
      <c r="Z10" s="34"/>
      <c r="AA10" s="26"/>
      <c r="AB10" s="26">
        <v>1</v>
      </c>
      <c r="AC10" s="26">
        <v>4</v>
      </c>
      <c r="AD10" s="30">
        <v>50</v>
      </c>
      <c r="AE10" s="40" t="s">
        <v>86</v>
      </c>
      <c r="AF10" s="41" t="s">
        <v>86</v>
      </c>
      <c r="AG10" s="41" t="s">
        <v>104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IF($F$1="","",$F$1)</f>
        <v>たかの</v>
      </c>
      <c r="F11" s="8" t="s">
        <v>205</v>
      </c>
      <c r="G11" s="9">
        <v>-1500</v>
      </c>
      <c r="H11" s="9"/>
      <c r="I11" s="48"/>
      <c r="J11" s="21">
        <f t="shared" si="2"/>
        <v>45900</v>
      </c>
      <c r="K11" s="8" t="s">
        <v>205</v>
      </c>
      <c r="L11" s="9">
        <v>-1500</v>
      </c>
      <c r="M11" s="9"/>
      <c r="N11" s="48"/>
      <c r="O11" s="21">
        <f t="shared" si="3"/>
        <v>25300</v>
      </c>
      <c r="P11" s="8" t="s">
        <v>205</v>
      </c>
      <c r="Q11" s="9">
        <v>3000</v>
      </c>
      <c r="R11" s="9">
        <v>-1000</v>
      </c>
      <c r="S11" s="48"/>
      <c r="T11" s="21">
        <f t="shared" si="4"/>
        <v>32800</v>
      </c>
      <c r="U11" s="53">
        <f>IF($J11="","",ROUND(($J11-$J$3)/1000,1)+(_xlfn.RANK.AVG($J11,($J11,$O11,$T11),1)-2)*20)</f>
        <v>30.9</v>
      </c>
      <c r="V11" s="54">
        <f>IF($O11="","",ROUND(($O11-$O$3)/1000,1)+(_xlfn.RANK.AVG($O11,($J11,$O11,$T11),1)-2)*20)</f>
        <v>-29.7</v>
      </c>
      <c r="W11" s="55">
        <f>IF($T11="","",ROUND(($T11-$T$3)/1000,1)+(_xlfn.RANK.AVG($T11,($J11,$O11,$T11),1)-2)*20)</f>
        <v>-2.2000000000000002</v>
      </c>
      <c r="Y11" s="8" t="s">
        <v>204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204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203</v>
      </c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1</v>
      </c>
      <c r="E12" s="4" t="str">
        <f>IF($K$1="","",$K$1)</f>
        <v>れんたろう</v>
      </c>
      <c r="F12" s="8" t="s">
        <v>196</v>
      </c>
      <c r="G12" s="9">
        <v>-9000</v>
      </c>
      <c r="H12" s="9"/>
      <c r="I12" s="48">
        <v>-500</v>
      </c>
      <c r="J12" s="21">
        <f t="shared" si="2"/>
        <v>36400</v>
      </c>
      <c r="K12" s="8" t="s">
        <v>197</v>
      </c>
      <c r="L12" s="9">
        <v>18000</v>
      </c>
      <c r="M12" s="9">
        <v>2000</v>
      </c>
      <c r="N12" s="48">
        <v>1000</v>
      </c>
      <c r="O12" s="21">
        <f t="shared" si="3"/>
        <v>46300</v>
      </c>
      <c r="P12" s="8" t="s">
        <v>196</v>
      </c>
      <c r="Q12" s="9">
        <v>-9000</v>
      </c>
      <c r="R12" s="9">
        <v>-1000</v>
      </c>
      <c r="S12" s="48">
        <v>-500</v>
      </c>
      <c r="T12" s="21">
        <f t="shared" si="4"/>
        <v>22300</v>
      </c>
      <c r="U12" s="53">
        <f>IF($J12="","",ROUND(($J12-$J$3)/1000,1)+(_xlfn.RANK.AVG($J12,($J12,$O12,$T12),1)-2)*20)</f>
        <v>1.4</v>
      </c>
      <c r="V12" s="54">
        <f>IF($O12="","",ROUND(($O12-$O$3)/1000,1)+(_xlfn.RANK.AVG($O12,($J12,$O12,$T12),1)-2)*20)</f>
        <v>31.3</v>
      </c>
      <c r="W12" s="55">
        <f>IF($T12="","",ROUND(($T12-$T$3)/1000,1)+(_xlfn.RANK.AVG($T12,($J12,$O12,$T12),1)-2)*20)</f>
        <v>-32.700000000000003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7</v>
      </c>
      <c r="AY12" s="30" t="s">
        <v>201</v>
      </c>
      <c r="AZ12" s="40" t="s">
        <v>104</v>
      </c>
      <c r="BA12" s="41" t="s">
        <v>87</v>
      </c>
      <c r="BB12" s="41" t="s">
        <v>86</v>
      </c>
      <c r="BC12" s="41" t="s">
        <v>79</v>
      </c>
      <c r="BD12" s="41" t="s">
        <v>79</v>
      </c>
      <c r="BE12" s="41" t="s">
        <v>79</v>
      </c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59" priority="5">
      <formula>IF(G4&lt;&gt;"",SUM($G4:$I4,$L4:$N4,$Q4:$S4)-$D4*1000+$D5*1000)</formula>
    </cfRule>
  </conditionalFormatting>
  <conditionalFormatting sqref="F1:G1 I1:L1 S1:T1 N1:Q1">
    <cfRule type="duplicateValues" dxfId="58" priority="4"/>
  </conditionalFormatting>
  <conditionalFormatting sqref="H1">
    <cfRule type="duplicateValues" dxfId="57" priority="3"/>
  </conditionalFormatting>
  <conditionalFormatting sqref="R1">
    <cfRule type="duplicateValues" dxfId="56" priority="2"/>
  </conditionalFormatting>
  <conditionalFormatting sqref="M1">
    <cfRule type="duplicateValues" dxfId="55" priority="1"/>
  </conditionalFormatting>
  <dataValidations count="3">
    <dataValidation type="list" showInputMessage="1" showErrorMessage="1" sqref="K4:K30 P4:P30 F4:F30" xr:uid="{7E8BDFB9-30C2-48FB-B8D8-20E8B21406A9}">
      <formula1>"ロン,ツモ,放銃,ツモ支払,流局,チョンボ"</formula1>
    </dataValidation>
    <dataValidation type="list" allowBlank="1" showInputMessage="1" showErrorMessage="1" sqref="E4:E30" xr:uid="{89BB5B70-3454-432D-91E5-04892A5E2541}">
      <formula1>$U$2:$W$2</formula1>
    </dataValidation>
    <dataValidation type="list" allowBlank="1" showInputMessage="1" sqref="F1:T1" xr:uid="{1BCBFE3D-D7C5-438D-9127-A8D8468A7FA8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AE65E-1C03-42B7-BEC3-AE65CC5DE683}">
  <sheetPr codeName="Sheet16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195</v>
      </c>
      <c r="G1" s="72"/>
      <c r="H1" s="72"/>
      <c r="I1" s="73"/>
      <c r="J1" s="74"/>
      <c r="K1" s="71" t="s">
        <v>193</v>
      </c>
      <c r="L1" s="72"/>
      <c r="M1" s="72"/>
      <c r="N1" s="73"/>
      <c r="O1" s="74"/>
      <c r="P1" s="71" t="s">
        <v>192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たかの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200</v>
      </c>
      <c r="G4" s="9">
        <v>2600</v>
      </c>
      <c r="H4" s="9">
        <v>1000</v>
      </c>
      <c r="I4" s="48">
        <v>0</v>
      </c>
      <c r="J4" s="21">
        <f>IF(COUNTA($F4,$K4,$P4)&gt;0,J3+SUM(G4:I4),"")</f>
        <v>38600</v>
      </c>
      <c r="K4" s="8" t="s">
        <v>199</v>
      </c>
      <c r="L4" s="9">
        <v>-2600</v>
      </c>
      <c r="M4" s="9"/>
      <c r="N4" s="48">
        <v>0</v>
      </c>
      <c r="O4" s="21">
        <f>IF(COUNTA($F4,$K4,$P4)&gt;0,O3+SUM(L4:N4),"")</f>
        <v>32400</v>
      </c>
      <c r="P4" s="8"/>
      <c r="Q4" s="9"/>
      <c r="R4" s="9">
        <v>-1000</v>
      </c>
      <c r="S4" s="48"/>
      <c r="T4" s="21">
        <f>IF(COUNTA($F4,$K4,$P4)&gt;0,T3+SUM(Q4:S4),"")</f>
        <v>34000</v>
      </c>
      <c r="U4" s="53">
        <f>IF($J4="","",ROUND(($J4-$J$3)/1000,1)+(_xlfn.RANK.AVG($J4,($J4,$O4,$T4),1)-2)*20)</f>
        <v>23.6</v>
      </c>
      <c r="V4" s="54">
        <f>IF($O4="","",ROUND(($O4-$O$3)/1000,1)+(_xlfn.RANK.AVG($O4,($J4,$O4,$T4),1)-2)*20)</f>
        <v>-22.6</v>
      </c>
      <c r="W4" s="55">
        <f>IF($T4="","",ROUND(($T4-$T$3)/1000,1)+(_xlfn.RANK.AVG($T4,($J4,$O4,$T4),1)-2)*20)</f>
        <v>-1</v>
      </c>
      <c r="Y4" s="8"/>
      <c r="Z4" s="34"/>
      <c r="AA4" s="26">
        <v>1</v>
      </c>
      <c r="AB4" s="26"/>
      <c r="AC4" s="26">
        <v>2</v>
      </c>
      <c r="AD4" s="30">
        <v>40</v>
      </c>
      <c r="AE4" s="40" t="s">
        <v>198</v>
      </c>
      <c r="AF4" s="41" t="s">
        <v>202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ただ</v>
      </c>
      <c r="F5" s="8" t="s">
        <v>196</v>
      </c>
      <c r="G5" s="9">
        <v>-1700</v>
      </c>
      <c r="H5" s="9"/>
      <c r="I5" s="48">
        <v>0</v>
      </c>
      <c r="J5" s="21">
        <f t="shared" ref="J5:J30" si="2">IF(COUNTA($F5,$K5,$P5)&gt;0,J4+SUM(G5:I5),"")</f>
        <v>36900</v>
      </c>
      <c r="K5" s="8" t="s">
        <v>196</v>
      </c>
      <c r="L5" s="9">
        <v>-1100</v>
      </c>
      <c r="M5" s="9"/>
      <c r="N5" s="48">
        <v>0</v>
      </c>
      <c r="O5" s="21">
        <f t="shared" ref="O5:O30" si="3">IF(COUNTA($F5,$K5,$P5)&gt;0,O4+SUM(L5:N5),"")</f>
        <v>31300</v>
      </c>
      <c r="P5" s="8" t="s">
        <v>197</v>
      </c>
      <c r="Q5" s="9">
        <v>2800</v>
      </c>
      <c r="R5" s="9"/>
      <c r="S5" s="48">
        <v>0</v>
      </c>
      <c r="T5" s="21">
        <f t="shared" ref="T5:T30" si="4">IF(COUNTA($F5,$K5,$P5)&gt;0,T4+SUM(Q5:S5),"")</f>
        <v>36800</v>
      </c>
      <c r="U5" s="53">
        <f>IF($J5="","",ROUND(($J5-$J$3)/1000,1)+(_xlfn.RANK.AVG($J5,($J5,$O5,$T5),1)-2)*20)</f>
        <v>21.9</v>
      </c>
      <c r="V5" s="54">
        <f>IF($O5="","",ROUND(($O5-$O$3)/1000,1)+(_xlfn.RANK.AVG($O5,($J5,$O5,$T5),1)-2)*20)</f>
        <v>-23.7</v>
      </c>
      <c r="W5" s="55">
        <f>IF($T5="","",ROUND(($T5-$T$3)/1000,1)+(_xlfn.RANK.AVG($T5,($J5,$O5,$T5),1)-2)*20)</f>
        <v>1.8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20</v>
      </c>
      <c r="BU5" s="40" t="s">
        <v>198</v>
      </c>
      <c r="BV5" s="41" t="s">
        <v>82</v>
      </c>
      <c r="BW5" s="41" t="s">
        <v>83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たかの</v>
      </c>
      <c r="F6" s="8" t="s">
        <v>200</v>
      </c>
      <c r="G6" s="9">
        <v>8000</v>
      </c>
      <c r="H6" s="9">
        <v>1000</v>
      </c>
      <c r="I6" s="48">
        <v>0</v>
      </c>
      <c r="J6" s="21">
        <f t="shared" si="2"/>
        <v>45900</v>
      </c>
      <c r="K6" s="8" t="s">
        <v>199</v>
      </c>
      <c r="L6" s="9">
        <v>-8000</v>
      </c>
      <c r="M6" s="9">
        <v>-1000</v>
      </c>
      <c r="N6" s="48">
        <v>0</v>
      </c>
      <c r="O6" s="21">
        <f t="shared" si="3"/>
        <v>22300</v>
      </c>
      <c r="P6" s="8"/>
      <c r="Q6" s="9"/>
      <c r="R6" s="9"/>
      <c r="S6" s="48"/>
      <c r="T6" s="21">
        <f t="shared" si="4"/>
        <v>36800</v>
      </c>
      <c r="U6" s="53">
        <f>IF($J6="","",ROUND(($J6-$J$3)/1000,1)+(_xlfn.RANK.AVG($J6,($J6,$O6,$T6),1)-2)*20)</f>
        <v>30.9</v>
      </c>
      <c r="V6" s="54">
        <f>IF($O6="","",ROUND(($O6-$O$3)/1000,1)+(_xlfn.RANK.AVG($O6,($J6,$O6,$T6),1)-2)*20)</f>
        <v>-32.700000000000003</v>
      </c>
      <c r="W6" s="55">
        <f>IF($T6="","",ROUND(($T6-$T$3)/1000,1)+(_xlfn.RANK.AVG($T6,($J6,$O6,$T6),1)-2)*20)</f>
        <v>1.8</v>
      </c>
      <c r="Y6" s="8"/>
      <c r="Z6" s="34"/>
      <c r="AA6" s="26"/>
      <c r="AB6" s="26"/>
      <c r="AC6" s="26">
        <v>5</v>
      </c>
      <c r="AD6" s="30" t="s">
        <v>201</v>
      </c>
      <c r="AE6" s="40" t="s">
        <v>85</v>
      </c>
      <c r="AF6" s="41" t="s">
        <v>88</v>
      </c>
      <c r="AG6" s="41" t="s">
        <v>79</v>
      </c>
      <c r="AH6" s="41" t="s">
        <v>79</v>
      </c>
      <c r="AI6" s="41" t="s">
        <v>79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IF($P$1="","",$P$1)</f>
        <v>れんたろう</v>
      </c>
      <c r="F7" s="8" t="s">
        <v>200</v>
      </c>
      <c r="G7" s="9">
        <v>8000</v>
      </c>
      <c r="H7" s="9">
        <v>3000</v>
      </c>
      <c r="I7" s="48">
        <v>0</v>
      </c>
      <c r="J7" s="21">
        <f t="shared" si="2"/>
        <v>56900</v>
      </c>
      <c r="K7" s="8"/>
      <c r="L7" s="9"/>
      <c r="M7" s="9">
        <v>-1000</v>
      </c>
      <c r="N7" s="48"/>
      <c r="O7" s="21">
        <f t="shared" si="3"/>
        <v>21300</v>
      </c>
      <c r="P7" s="8" t="s">
        <v>199</v>
      </c>
      <c r="Q7" s="9">
        <v>-8000</v>
      </c>
      <c r="R7" s="9">
        <v>-2000</v>
      </c>
      <c r="S7" s="48">
        <v>0</v>
      </c>
      <c r="T7" s="21">
        <f t="shared" si="4"/>
        <v>26800</v>
      </c>
      <c r="U7" s="53">
        <f>IF($J7="","",ROUND(($J7-$J$3)/1000,1)+(_xlfn.RANK.AVG($J7,($J7,$O7,$T7),1)-2)*20)</f>
        <v>41.9</v>
      </c>
      <c r="V7" s="54">
        <f>IF($O7="","",ROUND(($O7-$O$3)/1000,1)+(_xlfn.RANK.AVG($O7,($J7,$O7,$T7),1)-2)*20)</f>
        <v>-33.700000000000003</v>
      </c>
      <c r="W7" s="55">
        <f>IF($T7="","",ROUND(($T7-$T$3)/1000,1)+(_xlfn.RANK.AVG($T7,($J7,$O7,$T7),1)-2)*20)</f>
        <v>-8.1999999999999993</v>
      </c>
      <c r="Y7" s="8"/>
      <c r="Z7" s="34"/>
      <c r="AA7" s="26">
        <v>1</v>
      </c>
      <c r="AB7" s="26"/>
      <c r="AC7" s="26">
        <v>4</v>
      </c>
      <c r="AD7" s="30">
        <v>40</v>
      </c>
      <c r="AE7" s="40" t="s">
        <v>198</v>
      </c>
      <c r="AF7" s="41" t="s">
        <v>202</v>
      </c>
      <c r="AG7" s="41" t="s">
        <v>86</v>
      </c>
      <c r="AH7" s="41" t="s">
        <v>86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IF($F$1="","",$F$1)</f>
        <v>ただ</v>
      </c>
      <c r="F8" s="8" t="s">
        <v>196</v>
      </c>
      <c r="G8" s="9">
        <v>-3300</v>
      </c>
      <c r="H8" s="9"/>
      <c r="I8" s="48">
        <v>0</v>
      </c>
      <c r="J8" s="21">
        <f t="shared" si="2"/>
        <v>53600</v>
      </c>
      <c r="K8" s="8" t="s">
        <v>197</v>
      </c>
      <c r="L8" s="9">
        <v>5300</v>
      </c>
      <c r="M8" s="9"/>
      <c r="N8" s="48">
        <v>0</v>
      </c>
      <c r="O8" s="21">
        <f t="shared" si="3"/>
        <v>26600</v>
      </c>
      <c r="P8" s="8" t="s">
        <v>196</v>
      </c>
      <c r="Q8" s="9">
        <v>-2000</v>
      </c>
      <c r="R8" s="9"/>
      <c r="S8" s="48">
        <v>0</v>
      </c>
      <c r="T8" s="21">
        <f t="shared" si="4"/>
        <v>24800</v>
      </c>
      <c r="U8" s="53">
        <f>IF($J8="","",ROUND(($J8-$J$3)/1000,1)+(_xlfn.RANK.AVG($J8,($J8,$O8,$T8),1)-2)*20)</f>
        <v>38.6</v>
      </c>
      <c r="V8" s="54">
        <f>IF($O8="","",ROUND(($O8-$O$3)/1000,1)+(_xlfn.RANK.AVG($O8,($J8,$O8,$T8),1)-2)*20)</f>
        <v>-8.4</v>
      </c>
      <c r="W8" s="55">
        <f>IF($T8="","",ROUND(($T8-$T$3)/1000,1)+(_xlfn.RANK.AVG($T8,($J8,$O8,$T8),1)-2)*20)</f>
        <v>-30.2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4</v>
      </c>
      <c r="AY8" s="30">
        <v>20</v>
      </c>
      <c r="AZ8" s="40" t="s">
        <v>198</v>
      </c>
      <c r="BA8" s="41" t="s">
        <v>82</v>
      </c>
      <c r="BB8" s="41" t="s">
        <v>83</v>
      </c>
      <c r="BC8" s="41" t="s">
        <v>207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IF($K$1="","",$K$1)</f>
        <v>たかの</v>
      </c>
      <c r="F9" s="8" t="s">
        <v>196</v>
      </c>
      <c r="G9" s="9">
        <v>-9000</v>
      </c>
      <c r="H9" s="9"/>
      <c r="I9" s="48">
        <v>0</v>
      </c>
      <c r="J9" s="21">
        <f t="shared" si="2"/>
        <v>44600</v>
      </c>
      <c r="K9" s="8" t="s">
        <v>197</v>
      </c>
      <c r="L9" s="9">
        <v>18000</v>
      </c>
      <c r="M9" s="9"/>
      <c r="N9" s="48">
        <v>0</v>
      </c>
      <c r="O9" s="21">
        <f t="shared" si="3"/>
        <v>44600</v>
      </c>
      <c r="P9" s="8" t="s">
        <v>196</v>
      </c>
      <c r="Q9" s="9">
        <v>-9000</v>
      </c>
      <c r="R9" s="9"/>
      <c r="S9" s="48">
        <v>0</v>
      </c>
      <c r="T9" s="21">
        <f t="shared" si="4"/>
        <v>15800</v>
      </c>
      <c r="U9" s="53">
        <f>IF($J9="","",ROUND(($J9-$J$3)/1000,1)+(_xlfn.RANK.AVG($J9,($J9,$O9,$T9),1)-2)*20)</f>
        <v>19.600000000000001</v>
      </c>
      <c r="V9" s="54">
        <f>IF($O9="","",ROUND(($O9-$O$3)/1000,1)+(_xlfn.RANK.AVG($O9,($J9,$O9,$T9),1)-2)*20)</f>
        <v>19.600000000000001</v>
      </c>
      <c r="W9" s="55">
        <f>IF($T9="","",ROUND(($T9-$T$3)/1000,1)+(_xlfn.RANK.AVG($T9,($J9,$O9,$T9),1)-2)*20)</f>
        <v>-39.200000000000003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6</v>
      </c>
      <c r="AY9" s="30" t="s">
        <v>201</v>
      </c>
      <c r="AZ9" s="40" t="s">
        <v>86</v>
      </c>
      <c r="BA9" s="41" t="s">
        <v>98</v>
      </c>
      <c r="BB9" s="41" t="s">
        <v>79</v>
      </c>
      <c r="BC9" s="41" t="s">
        <v>79</v>
      </c>
      <c r="BD9" s="41" t="s">
        <v>79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tr">
        <f>IF($K$1="","",$K$1)</f>
        <v>たかの</v>
      </c>
      <c r="F10" s="8" t="s">
        <v>196</v>
      </c>
      <c r="G10" s="9">
        <v>-1500</v>
      </c>
      <c r="H10" s="9"/>
      <c r="I10" s="48">
        <v>-500</v>
      </c>
      <c r="J10" s="21">
        <f t="shared" si="2"/>
        <v>42600</v>
      </c>
      <c r="K10" s="8" t="s">
        <v>197</v>
      </c>
      <c r="L10" s="9">
        <v>3000</v>
      </c>
      <c r="M10" s="9"/>
      <c r="N10" s="48">
        <v>1000</v>
      </c>
      <c r="O10" s="21">
        <f t="shared" si="3"/>
        <v>48600</v>
      </c>
      <c r="P10" s="8" t="s">
        <v>196</v>
      </c>
      <c r="Q10" s="9">
        <v>-1500</v>
      </c>
      <c r="R10" s="9"/>
      <c r="S10" s="48">
        <v>-500</v>
      </c>
      <c r="T10" s="21">
        <f t="shared" si="4"/>
        <v>13800</v>
      </c>
      <c r="U10" s="53">
        <f>IF($J10="","",ROUND(($J10-$J$3)/1000,1)+(_xlfn.RANK.AVG($J10,($J10,$O10,$T10),1)-2)*20)</f>
        <v>7.6</v>
      </c>
      <c r="V10" s="54">
        <f>IF($O10="","",ROUND(($O10-$O$3)/1000,1)+(_xlfn.RANK.AVG($O10,($J10,$O10,$T10),1)-2)*20)</f>
        <v>33.6</v>
      </c>
      <c r="W10" s="55">
        <f>IF($T10="","",ROUND(($T10-$T$3)/1000,1)+(_xlfn.RANK.AVG($T10,($J10,$O10,$T10),1)-2)*20)</f>
        <v>-41.2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2</v>
      </c>
      <c r="AY10" s="30">
        <v>30</v>
      </c>
      <c r="AZ10" s="40" t="s">
        <v>86</v>
      </c>
      <c r="BA10" s="41" t="s">
        <v>86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54" priority="5">
      <formula>IF(G4&lt;&gt;"",SUM($G4:$I4,$L4:$N4,$Q4:$S4)-$D4*1000+$D5*1000)</formula>
    </cfRule>
  </conditionalFormatting>
  <conditionalFormatting sqref="F1:G1 I1:L1 S1:T1 N1:Q1">
    <cfRule type="duplicateValues" dxfId="53" priority="4"/>
  </conditionalFormatting>
  <conditionalFormatting sqref="H1">
    <cfRule type="duplicateValues" dxfId="52" priority="3"/>
  </conditionalFormatting>
  <conditionalFormatting sqref="R1">
    <cfRule type="duplicateValues" dxfId="51" priority="2"/>
  </conditionalFormatting>
  <conditionalFormatting sqref="M1">
    <cfRule type="duplicateValues" dxfId="50" priority="1"/>
  </conditionalFormatting>
  <dataValidations count="3">
    <dataValidation type="list" allowBlank="1" showInputMessage="1" sqref="F1:T1" xr:uid="{345962E9-CCFE-4748-99DE-E303EDDFFFB5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  <dataValidation type="list" allowBlank="1" showInputMessage="1" showErrorMessage="1" sqref="E4:E30" xr:uid="{4D5B3623-195C-4BE1-AF2B-F9EB4FE524D8}">
      <formula1>$U$2:$W$2</formula1>
    </dataValidation>
    <dataValidation type="list" showInputMessage="1" showErrorMessage="1" sqref="K4:K30 P4:P30 F4:F30" xr:uid="{2079184D-6205-4CE4-A173-60A7565A76B6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6552A-9A34-4A8E-8C0F-0EFB1B785A1A}">
  <sheetPr codeName="Sheet17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206</v>
      </c>
      <c r="G1" s="72"/>
      <c r="H1" s="72"/>
      <c r="I1" s="73"/>
      <c r="J1" s="74"/>
      <c r="K1" s="71" t="s">
        <v>195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ただ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ただ</v>
      </c>
      <c r="W2" s="16" t="str">
        <f>$P$1</f>
        <v>たかの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199</v>
      </c>
      <c r="G4" s="9">
        <v>-12000</v>
      </c>
      <c r="H4" s="9">
        <v>-1000</v>
      </c>
      <c r="I4" s="48">
        <v>0</v>
      </c>
      <c r="J4" s="21">
        <f>IF(COUNTA($F4,$K4,$P4)&gt;0,J3+SUM(G4:I4),"")</f>
        <v>22000</v>
      </c>
      <c r="K4" s="8" t="s">
        <v>200</v>
      </c>
      <c r="L4" s="9">
        <v>12000</v>
      </c>
      <c r="M4" s="9">
        <v>1000</v>
      </c>
      <c r="N4" s="48">
        <v>0</v>
      </c>
      <c r="O4" s="21">
        <f>IF(COUNTA($F4,$K4,$P4)&gt;0,O3+SUM(L4:N4),"")</f>
        <v>48000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-33</v>
      </c>
      <c r="V4" s="54">
        <f>IF($O4="","",ROUND(($O4-$O$3)/1000,1)+(_xlfn.RANK.AVG($O4,($J4,$O4,$T4),1)-2)*20)</f>
        <v>33</v>
      </c>
      <c r="W4" s="55">
        <f>IF($T4="","",ROUND(($T4-$T$3)/1000,1)+(_xlfn.RANK.AVG($T4,($J4,$O4,$T4),1)-2)*20)</f>
        <v>0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5</v>
      </c>
      <c r="AY4" s="30" t="s">
        <v>201</v>
      </c>
      <c r="AZ4" s="40" t="s">
        <v>82</v>
      </c>
      <c r="BA4" s="41" t="s">
        <v>84</v>
      </c>
      <c r="BB4" s="41" t="s">
        <v>83</v>
      </c>
      <c r="BC4" s="41" t="s">
        <v>202</v>
      </c>
      <c r="BD4" s="41" t="s">
        <v>79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 t="s">
        <v>196</v>
      </c>
      <c r="G5" s="9">
        <v>-1500</v>
      </c>
      <c r="H5" s="9">
        <v>-1000</v>
      </c>
      <c r="I5" s="48">
        <v>-500</v>
      </c>
      <c r="J5" s="21">
        <f t="shared" ref="J5:J30" si="2">IF(COUNTA($F5,$K5,$P5)&gt;0,J4+SUM(G5:I5),"")</f>
        <v>19000</v>
      </c>
      <c r="K5" s="8" t="s">
        <v>197</v>
      </c>
      <c r="L5" s="9">
        <v>3000</v>
      </c>
      <c r="M5" s="9">
        <v>1000</v>
      </c>
      <c r="N5" s="48">
        <v>1000</v>
      </c>
      <c r="O5" s="21">
        <f t="shared" ref="O5:O30" si="3">IF(COUNTA($F5,$K5,$P5)&gt;0,O4+SUM(L5:N5),"")</f>
        <v>53000</v>
      </c>
      <c r="P5" s="8" t="s">
        <v>196</v>
      </c>
      <c r="Q5" s="9">
        <v>-1500</v>
      </c>
      <c r="R5" s="9"/>
      <c r="S5" s="48">
        <v>-500</v>
      </c>
      <c r="T5" s="21">
        <f t="shared" ref="T5:T30" si="4">IF(COUNTA($F5,$K5,$P5)&gt;0,T4+SUM(Q5:S5),"")</f>
        <v>33000</v>
      </c>
      <c r="U5" s="53">
        <f>IF($J5="","",ROUND(($J5-$J$3)/1000,1)+(_xlfn.RANK.AVG($J5,($J5,$O5,$T5),1)-2)*20)</f>
        <v>-36</v>
      </c>
      <c r="V5" s="54">
        <f>IF($O5="","",ROUND(($O5-$O$3)/1000,1)+(_xlfn.RANK.AVG($O5,($J5,$O5,$T5),1)-2)*20)</f>
        <v>38</v>
      </c>
      <c r="W5" s="55">
        <f>IF($T5="","",ROUND(($T5-$T$3)/1000,1)+(_xlfn.RANK.AVG($T5,($J5,$O5,$T5),1)-2)*20)</f>
        <v>-2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2</v>
      </c>
      <c r="AY5" s="30">
        <v>30</v>
      </c>
      <c r="AZ5" s="40" t="s">
        <v>198</v>
      </c>
      <c r="BA5" s="41" t="s">
        <v>82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IF($K$1="","",$K$1)</f>
        <v>ただ</v>
      </c>
      <c r="F6" s="8" t="s">
        <v>199</v>
      </c>
      <c r="G6" s="9">
        <v>-3200</v>
      </c>
      <c r="H6" s="9">
        <v>-1000</v>
      </c>
      <c r="I6" s="48">
        <v>-2000</v>
      </c>
      <c r="J6" s="21">
        <f t="shared" si="2"/>
        <v>12800</v>
      </c>
      <c r="K6" s="8"/>
      <c r="L6" s="9"/>
      <c r="M6" s="9"/>
      <c r="N6" s="48"/>
      <c r="O6" s="21">
        <f t="shared" si="3"/>
        <v>53000</v>
      </c>
      <c r="P6" s="8" t="s">
        <v>200</v>
      </c>
      <c r="Q6" s="9">
        <v>3200</v>
      </c>
      <c r="R6" s="9">
        <v>1000</v>
      </c>
      <c r="S6" s="48">
        <v>2000</v>
      </c>
      <c r="T6" s="21">
        <f t="shared" si="4"/>
        <v>39200</v>
      </c>
      <c r="U6" s="53">
        <f>IF($J6="","",ROUND(($J6-$J$3)/1000,1)+(_xlfn.RANK.AVG($J6,($J6,$O6,$T6),1)-2)*20)</f>
        <v>-42.2</v>
      </c>
      <c r="V6" s="54">
        <f>IF($O6="","",ROUND(($O6-$O$3)/1000,1)+(_xlfn.RANK.AVG($O6,($J6,$O6,$T6),1)-2)*20)</f>
        <v>38</v>
      </c>
      <c r="W6" s="55">
        <f>IF($T6="","",ROUND(($T6-$T$3)/1000,1)+(_xlfn.RANK.AVG($T6,($J6,$O6,$T6),1)-2)*20)</f>
        <v>4.2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2</v>
      </c>
      <c r="BT6" s="30">
        <v>50</v>
      </c>
      <c r="BU6" s="40" t="s">
        <v>198</v>
      </c>
      <c r="BV6" s="41" t="s">
        <v>207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tr">
        <f>IF($P$1="","",$P$1)</f>
        <v>たかの</v>
      </c>
      <c r="F7" s="8" t="s">
        <v>196</v>
      </c>
      <c r="G7" s="9">
        <v>-1500</v>
      </c>
      <c r="H7" s="9"/>
      <c r="I7" s="48">
        <v>0</v>
      </c>
      <c r="J7" s="21">
        <f t="shared" si="2"/>
        <v>11300</v>
      </c>
      <c r="K7" s="8" t="s">
        <v>197</v>
      </c>
      <c r="L7" s="9">
        <v>4000</v>
      </c>
      <c r="M7" s="9"/>
      <c r="N7" s="48">
        <v>0</v>
      </c>
      <c r="O7" s="21">
        <f t="shared" si="3"/>
        <v>57000</v>
      </c>
      <c r="P7" s="8" t="s">
        <v>196</v>
      </c>
      <c r="Q7" s="9">
        <v>-2500</v>
      </c>
      <c r="R7" s="9"/>
      <c r="S7" s="48">
        <v>0</v>
      </c>
      <c r="T7" s="21">
        <f t="shared" si="4"/>
        <v>36700</v>
      </c>
      <c r="U7" s="53">
        <f>IF($J7="","",ROUND(($J7-$J$3)/1000,1)+(_xlfn.RANK.AVG($J7,($J7,$O7,$T7),1)-2)*20)</f>
        <v>-43.7</v>
      </c>
      <c r="V7" s="54">
        <f>IF($O7="","",ROUND(($O7-$O$3)/1000,1)+(_xlfn.RANK.AVG($O7,($J7,$O7,$T7),1)-2)*20)</f>
        <v>42</v>
      </c>
      <c r="W7" s="55">
        <f>IF($T7="","",ROUND(($T7-$T$3)/1000,1)+(_xlfn.RANK.AVG($T7,($J7,$O7,$T7),1)-2)*20)</f>
        <v>1.7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3</v>
      </c>
      <c r="AY7" s="30">
        <v>30</v>
      </c>
      <c r="AZ7" s="40" t="s">
        <v>82</v>
      </c>
      <c r="BA7" s="41" t="s">
        <v>79</v>
      </c>
      <c r="BB7" s="41" t="s">
        <v>202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IF($F$1="","",$F$1)</f>
        <v>だいち</v>
      </c>
      <c r="F8" s="8"/>
      <c r="G8" s="9"/>
      <c r="H8" s="9"/>
      <c r="I8" s="48"/>
      <c r="J8" s="21">
        <f t="shared" si="2"/>
        <v>11300</v>
      </c>
      <c r="K8" s="8" t="s">
        <v>200</v>
      </c>
      <c r="L8" s="9">
        <v>1300</v>
      </c>
      <c r="M8" s="9"/>
      <c r="N8" s="48">
        <v>0</v>
      </c>
      <c r="O8" s="21">
        <f t="shared" si="3"/>
        <v>58300</v>
      </c>
      <c r="P8" s="8" t="s">
        <v>199</v>
      </c>
      <c r="Q8" s="9">
        <v>-1300</v>
      </c>
      <c r="R8" s="9"/>
      <c r="S8" s="48">
        <v>0</v>
      </c>
      <c r="T8" s="21">
        <f t="shared" si="4"/>
        <v>35400</v>
      </c>
      <c r="U8" s="53">
        <f>IF($J8="","",ROUND(($J8-$J$3)/1000,1)+(_xlfn.RANK.AVG($J8,($J8,$O8,$T8),1)-2)*20)</f>
        <v>-43.7</v>
      </c>
      <c r="V8" s="54">
        <f>IF($O8="","",ROUND(($O8-$O$3)/1000,1)+(_xlfn.RANK.AVG($O8,($J8,$O8,$T8),1)-2)*20)</f>
        <v>43.3</v>
      </c>
      <c r="W8" s="55">
        <f>IF($T8="","",ROUND(($T8-$T$3)/1000,1)+(_xlfn.RANK.AVG($T8,($J8,$O8,$T8),1)-2)*20)</f>
        <v>0.4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1</v>
      </c>
      <c r="AY8" s="30">
        <v>40</v>
      </c>
      <c r="AZ8" s="40" t="s">
        <v>86</v>
      </c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IF($K$1="","",$K$1)</f>
        <v>ただ</v>
      </c>
      <c r="F9" s="8"/>
      <c r="G9" s="9"/>
      <c r="H9" s="9"/>
      <c r="I9" s="48"/>
      <c r="J9" s="21">
        <f t="shared" si="2"/>
        <v>11300</v>
      </c>
      <c r="K9" s="8" t="s">
        <v>199</v>
      </c>
      <c r="L9" s="9">
        <v>-5200</v>
      </c>
      <c r="M9" s="9"/>
      <c r="N9" s="48">
        <v>0</v>
      </c>
      <c r="O9" s="21">
        <f t="shared" si="3"/>
        <v>53100</v>
      </c>
      <c r="P9" s="8" t="s">
        <v>200</v>
      </c>
      <c r="Q9" s="9">
        <v>5200</v>
      </c>
      <c r="R9" s="9"/>
      <c r="S9" s="48">
        <v>0</v>
      </c>
      <c r="T9" s="21">
        <f t="shared" si="4"/>
        <v>40600</v>
      </c>
      <c r="U9" s="53">
        <f>IF($J9="","",ROUND(($J9-$J$3)/1000,1)+(_xlfn.RANK.AVG($J9,($J9,$O9,$T9),1)-2)*20)</f>
        <v>-43.7</v>
      </c>
      <c r="V9" s="54">
        <f>IF($O9="","",ROUND(($O9-$O$3)/1000,1)+(_xlfn.RANK.AVG($O9,($J9,$O9,$T9),1)-2)*20)</f>
        <v>38.1</v>
      </c>
      <c r="W9" s="55">
        <f>IF($T9="","",ROUND(($T9-$T$3)/1000,1)+(_xlfn.RANK.AVG($T9,($J9,$O9,$T9),1)-2)*20)</f>
        <v>5.6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40</v>
      </c>
      <c r="BU9" s="40" t="s">
        <v>198</v>
      </c>
      <c r="BV9" s="41" t="s">
        <v>207</v>
      </c>
      <c r="BW9" s="41" t="s">
        <v>86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IF($P$1="","",$P$1)</f>
        <v>たかの</v>
      </c>
      <c r="F10" s="8"/>
      <c r="G10" s="9"/>
      <c r="H10" s="9"/>
      <c r="I10" s="48"/>
      <c r="J10" s="21">
        <f t="shared" si="2"/>
        <v>11300</v>
      </c>
      <c r="K10" s="8" t="s">
        <v>200</v>
      </c>
      <c r="L10" s="9">
        <v>1300</v>
      </c>
      <c r="M10" s="9"/>
      <c r="N10" s="48">
        <v>0</v>
      </c>
      <c r="O10" s="21">
        <f t="shared" si="3"/>
        <v>54400</v>
      </c>
      <c r="P10" s="8" t="s">
        <v>199</v>
      </c>
      <c r="Q10" s="9">
        <v>-1300</v>
      </c>
      <c r="R10" s="9"/>
      <c r="S10" s="48">
        <v>0</v>
      </c>
      <c r="T10" s="21">
        <f t="shared" si="4"/>
        <v>39300</v>
      </c>
      <c r="U10" s="53">
        <f>IF($J10="","",ROUND(($J10-$J$3)/1000,1)+(_xlfn.RANK.AVG($J10,($J10,$O10,$T10),1)-2)*20)</f>
        <v>-43.7</v>
      </c>
      <c r="V10" s="54">
        <f>IF($O10="","",ROUND(($O10-$O$3)/1000,1)+(_xlfn.RANK.AVG($O10,($J10,$O10,$T10),1)-2)*20)</f>
        <v>39.4</v>
      </c>
      <c r="W10" s="55">
        <f>IF($T10="","",ROUND(($T10-$T$3)/1000,1)+(_xlfn.RANK.AVG($T10,($J10,$O10,$T10),1)-2)*20)</f>
        <v>4.3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1</v>
      </c>
      <c r="AY10" s="30">
        <v>40</v>
      </c>
      <c r="AZ10" s="40" t="s">
        <v>198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IF($F$1="","",$F$1)</f>
        <v>だいち</v>
      </c>
      <c r="F11" s="8" t="s">
        <v>197</v>
      </c>
      <c r="G11" s="9">
        <v>12000</v>
      </c>
      <c r="H11" s="9">
        <v>1000</v>
      </c>
      <c r="I11" s="48">
        <v>0</v>
      </c>
      <c r="J11" s="21">
        <f t="shared" si="2"/>
        <v>24300</v>
      </c>
      <c r="K11" s="8" t="s">
        <v>196</v>
      </c>
      <c r="L11" s="9">
        <v>-6000</v>
      </c>
      <c r="M11" s="9">
        <v>-1000</v>
      </c>
      <c r="N11" s="48">
        <v>0</v>
      </c>
      <c r="O11" s="21">
        <f t="shared" si="3"/>
        <v>47400</v>
      </c>
      <c r="P11" s="8" t="s">
        <v>196</v>
      </c>
      <c r="Q11" s="9">
        <v>-6000</v>
      </c>
      <c r="R11" s="9"/>
      <c r="S11" s="48">
        <v>0</v>
      </c>
      <c r="T11" s="21">
        <f t="shared" si="4"/>
        <v>33300</v>
      </c>
      <c r="U11" s="53">
        <f>IF($J11="","",ROUND(($J11-$J$3)/1000,1)+(_xlfn.RANK.AVG($J11,($J11,$O11,$T11),1)-2)*20)</f>
        <v>-30.7</v>
      </c>
      <c r="V11" s="54">
        <f>IF($O11="","",ROUND(($O11-$O$3)/1000,1)+(_xlfn.RANK.AVG($O11,($J11,$O11,$T11),1)-2)*20)</f>
        <v>32.4</v>
      </c>
      <c r="W11" s="55">
        <f>IF($T11="","",ROUND(($T11-$T$3)/1000,1)+(_xlfn.RANK.AVG($T11,($J11,$O11,$T11),1)-2)*20)</f>
        <v>-1.7</v>
      </c>
      <c r="Y11" s="8"/>
      <c r="Z11" s="34"/>
      <c r="AA11" s="26">
        <v>1</v>
      </c>
      <c r="AB11" s="26"/>
      <c r="AC11" s="26">
        <v>5</v>
      </c>
      <c r="AD11" s="30" t="s">
        <v>201</v>
      </c>
      <c r="AE11" s="40" t="s">
        <v>198</v>
      </c>
      <c r="AF11" s="41" t="s">
        <v>82</v>
      </c>
      <c r="AG11" s="41" t="s">
        <v>79</v>
      </c>
      <c r="AH11" s="41" t="s">
        <v>80</v>
      </c>
      <c r="AI11" s="41" t="s">
        <v>202</v>
      </c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tr">
        <f>IF($F$1="","",$F$1)</f>
        <v>だいち</v>
      </c>
      <c r="F12" s="8" t="s">
        <v>205</v>
      </c>
      <c r="G12" s="9">
        <v>3000</v>
      </c>
      <c r="H12" s="9">
        <v>-1000</v>
      </c>
      <c r="I12" s="48"/>
      <c r="J12" s="21">
        <f t="shared" si="2"/>
        <v>26300</v>
      </c>
      <c r="K12" s="8" t="s">
        <v>205</v>
      </c>
      <c r="L12" s="9">
        <v>-1500</v>
      </c>
      <c r="M12" s="9"/>
      <c r="N12" s="48"/>
      <c r="O12" s="21">
        <f t="shared" si="3"/>
        <v>45900</v>
      </c>
      <c r="P12" s="8" t="s">
        <v>205</v>
      </c>
      <c r="Q12" s="9">
        <v>-1500</v>
      </c>
      <c r="R12" s="9"/>
      <c r="S12" s="48"/>
      <c r="T12" s="21">
        <f t="shared" si="4"/>
        <v>31800</v>
      </c>
      <c r="U12" s="53">
        <f>IF($J12="","",ROUND(($J12-$J$3)/1000,1)+(_xlfn.RANK.AVG($J12,($J12,$O12,$T12),1)-2)*20)</f>
        <v>-28.7</v>
      </c>
      <c r="V12" s="54">
        <f>IF($O12="","",ROUND(($O12-$O$3)/1000,1)+(_xlfn.RANK.AVG($O12,($J12,$O12,$T12),1)-2)*20)</f>
        <v>30.9</v>
      </c>
      <c r="W12" s="55">
        <f>IF($T12="","",ROUND(($T12-$T$3)/1000,1)+(_xlfn.RANK.AVG($T12,($J12,$O12,$T12),1)-2)*20)</f>
        <v>-3.2</v>
      </c>
      <c r="Y12" s="8" t="s">
        <v>203</v>
      </c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204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204</v>
      </c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2</v>
      </c>
      <c r="D13" s="18">
        <f t="shared" si="1"/>
        <v>1</v>
      </c>
      <c r="E13" s="4" t="str">
        <f>IF($F$1="","",$F$1)</f>
        <v>だいち</v>
      </c>
      <c r="F13" s="8" t="s">
        <v>199</v>
      </c>
      <c r="G13" s="9">
        <v>-8000</v>
      </c>
      <c r="H13" s="9"/>
      <c r="I13" s="48">
        <v>-2000</v>
      </c>
      <c r="J13" s="21">
        <f t="shared" si="2"/>
        <v>16300</v>
      </c>
      <c r="K13" s="8"/>
      <c r="L13" s="9"/>
      <c r="M13" s="9"/>
      <c r="N13" s="48"/>
      <c r="O13" s="21">
        <f t="shared" si="3"/>
        <v>45900</v>
      </c>
      <c r="P13" s="8" t="s">
        <v>200</v>
      </c>
      <c r="Q13" s="9">
        <v>8000</v>
      </c>
      <c r="R13" s="9">
        <v>1000</v>
      </c>
      <c r="S13" s="48">
        <v>2000</v>
      </c>
      <c r="T13" s="21">
        <f t="shared" si="4"/>
        <v>42800</v>
      </c>
      <c r="U13" s="53">
        <f>IF($J13="","",ROUND(($J13-$J$3)/1000,1)+(_xlfn.RANK.AVG($J13,($J13,$O13,$T13),1)-2)*20)</f>
        <v>-38.700000000000003</v>
      </c>
      <c r="V13" s="54">
        <f>IF($O13="","",ROUND(($O13-$O$3)/1000,1)+(_xlfn.RANK.AVG($O13,($J13,$O13,$T13),1)-2)*20)</f>
        <v>30.9</v>
      </c>
      <c r="W13" s="55">
        <f>IF($T13="","",ROUND(($T13-$T$3)/1000,1)+(_xlfn.RANK.AVG($T13,($J13,$O13,$T13),1)-2)*20)</f>
        <v>7.8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4</v>
      </c>
      <c r="BT13" s="30">
        <v>40</v>
      </c>
      <c r="BU13" s="40" t="s">
        <v>198</v>
      </c>
      <c r="BV13" s="41" t="s">
        <v>86</v>
      </c>
      <c r="BW13" s="41" t="s">
        <v>79</v>
      </c>
      <c r="BX13" s="41" t="s">
        <v>202</v>
      </c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9" priority="5">
      <formula>IF(G4&lt;&gt;"",SUM($G4:$I4,$L4:$N4,$Q4:$S4)-$D4*1000+$D5*1000)</formula>
    </cfRule>
  </conditionalFormatting>
  <conditionalFormatting sqref="F1:G1 I1:L1 S1:T1 N1:Q1">
    <cfRule type="duplicateValues" dxfId="48" priority="4"/>
  </conditionalFormatting>
  <conditionalFormatting sqref="H1">
    <cfRule type="duplicateValues" dxfId="47" priority="3"/>
  </conditionalFormatting>
  <conditionalFormatting sqref="R1">
    <cfRule type="duplicateValues" dxfId="46" priority="2"/>
  </conditionalFormatting>
  <conditionalFormatting sqref="M1">
    <cfRule type="duplicateValues" dxfId="45" priority="1"/>
  </conditionalFormatting>
  <dataValidations count="3">
    <dataValidation type="list" showInputMessage="1" showErrorMessage="1" sqref="K4:K30 P4:P30 F4:F30" xr:uid="{42C3D931-875D-4DBC-BCFA-6F4C19263478}">
      <formula1>"ロン,ツモ,放銃,ツモ支払,流局,チョンボ"</formula1>
    </dataValidation>
    <dataValidation type="list" allowBlank="1" showInputMessage="1" showErrorMessage="1" sqref="E4:E30" xr:uid="{2CB0A144-D72D-49F2-B0DE-D70C79134AA6}">
      <formula1>$U$2:$W$2</formula1>
    </dataValidation>
    <dataValidation type="list" allowBlank="1" showInputMessage="1" sqref="F1:T1" xr:uid="{E7482B8A-26A7-4F70-B6A8-088EC4E88E47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33DCE-7F2A-4424-80E2-9E74E4F5D668}">
  <sheetPr codeName="Sheet18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193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206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たかの</v>
      </c>
      <c r="V2" s="69" t="str">
        <f>$K$1</f>
        <v>れんたろう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197</v>
      </c>
      <c r="G4" s="9">
        <v>16000</v>
      </c>
      <c r="H4" s="9">
        <v>1000</v>
      </c>
      <c r="I4" s="48">
        <v>0</v>
      </c>
      <c r="J4" s="21">
        <f>IF(COUNTA($F4,$K4,$P4)&gt;0,J3+SUM(G4:I4),"")</f>
        <v>52000</v>
      </c>
      <c r="K4" s="8" t="s">
        <v>196</v>
      </c>
      <c r="L4" s="9">
        <v>-10000</v>
      </c>
      <c r="M4" s="9"/>
      <c r="N4" s="48">
        <v>0</v>
      </c>
      <c r="O4" s="21">
        <f>IF(COUNTA($F4,$K4,$P4)&gt;0,O3+SUM(L4:N4),"")</f>
        <v>25000</v>
      </c>
      <c r="P4" s="8" t="s">
        <v>196</v>
      </c>
      <c r="Q4" s="9">
        <v>-6000</v>
      </c>
      <c r="R4" s="9">
        <v>-1000</v>
      </c>
      <c r="S4" s="48">
        <v>0</v>
      </c>
      <c r="T4" s="21">
        <f>IF(COUNTA($F4,$K4,$P4)&gt;0,T3+SUM(Q4:S4),"")</f>
        <v>28000</v>
      </c>
      <c r="U4" s="53">
        <f>IF($J4="","",ROUND(($J4-$J$3)/1000,1)+(_xlfn.RANK.AVG($J4,($J4,$O4,$T4),1)-2)*20)</f>
        <v>37</v>
      </c>
      <c r="V4" s="54">
        <f>IF($O4="","",ROUND(($O4-$O$3)/1000,1)+(_xlfn.RANK.AVG($O4,($J4,$O4,$T4),1)-2)*20)</f>
        <v>-30</v>
      </c>
      <c r="W4" s="55">
        <f>IF($T4="","",ROUND(($T4-$T$3)/1000,1)+(_xlfn.RANK.AVG($T4,($J4,$O4,$T4),1)-2)*20)</f>
        <v>-7</v>
      </c>
      <c r="Y4" s="8"/>
      <c r="Z4" s="34"/>
      <c r="AA4" s="26">
        <v>1</v>
      </c>
      <c r="AB4" s="26"/>
      <c r="AC4" s="26">
        <v>8</v>
      </c>
      <c r="AD4" s="30" t="s">
        <v>201</v>
      </c>
      <c r="AE4" s="40" t="s">
        <v>198</v>
      </c>
      <c r="AF4" s="41" t="s">
        <v>82</v>
      </c>
      <c r="AG4" s="41" t="s">
        <v>207</v>
      </c>
      <c r="AH4" s="41" t="s">
        <v>85</v>
      </c>
      <c r="AI4" s="41" t="s">
        <v>79</v>
      </c>
      <c r="AJ4" s="41" t="s">
        <v>79</v>
      </c>
      <c r="AK4" s="41" t="s">
        <v>80</v>
      </c>
      <c r="AL4" s="41" t="s">
        <v>202</v>
      </c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IF($P$1="","",$P$1)</f>
        <v>だいち</v>
      </c>
      <c r="F5" s="8"/>
      <c r="G5" s="9"/>
      <c r="H5" s="9"/>
      <c r="I5" s="48"/>
      <c r="J5" s="21">
        <f t="shared" ref="J5:J30" si="2">IF(COUNTA($F5,$K5,$P5)&gt;0,J4+SUM(G5:I5),"")</f>
        <v>52000</v>
      </c>
      <c r="K5" s="8" t="s">
        <v>199</v>
      </c>
      <c r="L5" s="9">
        <v>-9600</v>
      </c>
      <c r="M5" s="9"/>
      <c r="N5" s="48">
        <v>0</v>
      </c>
      <c r="O5" s="21">
        <f t="shared" ref="O5:O30" si="3">IF(COUNTA($F5,$K5,$P5)&gt;0,O4+SUM(L5:N5),"")</f>
        <v>15400</v>
      </c>
      <c r="P5" s="8" t="s">
        <v>200</v>
      </c>
      <c r="Q5" s="9">
        <v>9600</v>
      </c>
      <c r="R5" s="9"/>
      <c r="S5" s="48">
        <v>0</v>
      </c>
      <c r="T5" s="21">
        <f t="shared" ref="T5:T30" si="4">IF(COUNTA($F5,$K5,$P5)&gt;0,T4+SUM(Q5:S5),"")</f>
        <v>37600</v>
      </c>
      <c r="U5" s="53">
        <f>IF($J5="","",ROUND(($J5-$J$3)/1000,1)+(_xlfn.RANK.AVG($J5,($J5,$O5,$T5),1)-2)*20)</f>
        <v>37</v>
      </c>
      <c r="V5" s="54">
        <f>IF($O5="","",ROUND(($O5-$O$3)/1000,1)+(_xlfn.RANK.AVG($O5,($J5,$O5,$T5),1)-2)*20)</f>
        <v>-39.6</v>
      </c>
      <c r="W5" s="55">
        <f>IF($T5="","",ROUND(($T5-$T$3)/1000,1)+(_xlfn.RANK.AVG($T5,($J5,$O5,$T5),1)-2)*20)</f>
        <v>2.6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4</v>
      </c>
      <c r="BT5" s="30">
        <v>25</v>
      </c>
      <c r="BU5" s="40" t="s">
        <v>101</v>
      </c>
      <c r="BV5" s="41" t="s">
        <v>79</v>
      </c>
      <c r="BW5" s="41" t="s">
        <v>79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IF($P$1="","",$P$1)</f>
        <v>だいち</v>
      </c>
      <c r="F6" s="8" t="s">
        <v>200</v>
      </c>
      <c r="G6" s="9">
        <v>5200</v>
      </c>
      <c r="H6" s="9"/>
      <c r="I6" s="48">
        <v>1000</v>
      </c>
      <c r="J6" s="21">
        <f t="shared" si="2"/>
        <v>58200</v>
      </c>
      <c r="K6" s="8" t="s">
        <v>199</v>
      </c>
      <c r="L6" s="9">
        <v>-5200</v>
      </c>
      <c r="M6" s="9"/>
      <c r="N6" s="48">
        <v>-1000</v>
      </c>
      <c r="O6" s="21">
        <f t="shared" si="3"/>
        <v>9200</v>
      </c>
      <c r="P6" s="8"/>
      <c r="Q6" s="9"/>
      <c r="R6" s="9"/>
      <c r="S6" s="48"/>
      <c r="T6" s="21">
        <f t="shared" si="4"/>
        <v>37600</v>
      </c>
      <c r="U6" s="53">
        <f>IF($J6="","",ROUND(($J6-$J$3)/1000,1)+(_xlfn.RANK.AVG($J6,($J6,$O6,$T6),1)-2)*20)</f>
        <v>43.2</v>
      </c>
      <c r="V6" s="54">
        <f>IF($O6="","",ROUND(($O6-$O$3)/1000,1)+(_xlfn.RANK.AVG($O6,($J6,$O6,$T6),1)-2)*20)</f>
        <v>-45.8</v>
      </c>
      <c r="W6" s="55">
        <f>IF($T6="","",ROUND(($T6-$T$3)/1000,1)+(_xlfn.RANK.AVG($T6,($J6,$O6,$T6),1)-2)*20)</f>
        <v>2.6</v>
      </c>
      <c r="Y6" s="8"/>
      <c r="Z6" s="34"/>
      <c r="AA6" s="26">
        <v>1</v>
      </c>
      <c r="AB6" s="26"/>
      <c r="AC6" s="26">
        <v>3</v>
      </c>
      <c r="AD6" s="30">
        <v>40</v>
      </c>
      <c r="AE6" s="40" t="s">
        <v>198</v>
      </c>
      <c r="AF6" s="41" t="s">
        <v>207</v>
      </c>
      <c r="AG6" s="41" t="s">
        <v>85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IF($F$1="","",$F$1)</f>
        <v>たかの</v>
      </c>
      <c r="F7" s="8" t="s">
        <v>197</v>
      </c>
      <c r="G7" s="9">
        <v>4000</v>
      </c>
      <c r="H7" s="9"/>
      <c r="I7" s="48">
        <v>0</v>
      </c>
      <c r="J7" s="21">
        <f t="shared" si="2"/>
        <v>62200</v>
      </c>
      <c r="K7" s="8" t="s">
        <v>196</v>
      </c>
      <c r="L7" s="9">
        <v>-2000</v>
      </c>
      <c r="M7" s="9"/>
      <c r="N7" s="48">
        <v>0</v>
      </c>
      <c r="O7" s="21">
        <f t="shared" si="3"/>
        <v>7200</v>
      </c>
      <c r="P7" s="8" t="s">
        <v>196</v>
      </c>
      <c r="Q7" s="9">
        <v>-2000</v>
      </c>
      <c r="R7" s="9"/>
      <c r="S7" s="48">
        <v>0</v>
      </c>
      <c r="T7" s="21">
        <f t="shared" si="4"/>
        <v>35600</v>
      </c>
      <c r="U7" s="53">
        <f>IF($J7="","",ROUND(($J7-$J$3)/1000,1)+(_xlfn.RANK.AVG($J7,($J7,$O7,$T7),1)-2)*20)</f>
        <v>47.2</v>
      </c>
      <c r="V7" s="54">
        <f>IF($O7="","",ROUND(($O7-$O$3)/1000,1)+(_xlfn.RANK.AVG($O7,($J7,$O7,$T7),1)-2)*20)</f>
        <v>-47.8</v>
      </c>
      <c r="W7" s="55">
        <f>IF($T7="","",ROUND(($T7-$T$3)/1000,1)+(_xlfn.RANK.AVG($T7,($J7,$O7,$T7),1)-2)*20)</f>
        <v>0.6</v>
      </c>
      <c r="Y7" s="8"/>
      <c r="Z7" s="34"/>
      <c r="AA7" s="26"/>
      <c r="AB7" s="26"/>
      <c r="AC7" s="26">
        <v>3</v>
      </c>
      <c r="AD7" s="30">
        <v>20</v>
      </c>
      <c r="AE7" s="40" t="s">
        <v>83</v>
      </c>
      <c r="AF7" s="41" t="s">
        <v>82</v>
      </c>
      <c r="AG7" s="41" t="s">
        <v>79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tr">
        <f>IF($F$1="","",$F$1)</f>
        <v>たかの</v>
      </c>
      <c r="F8" s="8" t="s">
        <v>196</v>
      </c>
      <c r="G8" s="9">
        <v>-5000</v>
      </c>
      <c r="H8" s="9"/>
      <c r="I8" s="48">
        <v>-500</v>
      </c>
      <c r="J8" s="21">
        <f t="shared" si="2"/>
        <v>56700</v>
      </c>
      <c r="K8" s="8" t="s">
        <v>197</v>
      </c>
      <c r="L8" s="9">
        <v>8000</v>
      </c>
      <c r="M8" s="9"/>
      <c r="N8" s="48">
        <v>1000</v>
      </c>
      <c r="O8" s="21">
        <f t="shared" si="3"/>
        <v>16200</v>
      </c>
      <c r="P8" s="8" t="s">
        <v>196</v>
      </c>
      <c r="Q8" s="9">
        <v>-3000</v>
      </c>
      <c r="R8" s="9"/>
      <c r="S8" s="48">
        <v>-500</v>
      </c>
      <c r="T8" s="21">
        <f t="shared" si="4"/>
        <v>32100</v>
      </c>
      <c r="U8" s="53">
        <f>IF($J8="","",ROUND(($J8-$J$3)/1000,1)+(_xlfn.RANK.AVG($J8,($J8,$O8,$T8),1)-2)*20)</f>
        <v>41.7</v>
      </c>
      <c r="V8" s="54">
        <f>IF($O8="","",ROUND(($O8-$O$3)/1000,1)+(_xlfn.RANK.AVG($O8,($J8,$O8,$T8),1)-2)*20)</f>
        <v>-38.799999999999997</v>
      </c>
      <c r="W8" s="55">
        <f>IF($T8="","",ROUND(($T8-$T$3)/1000,1)+(_xlfn.RANK.AVG($T8,($J8,$O8,$T8),1)-2)*20)</f>
        <v>-2.9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5</v>
      </c>
      <c r="AY8" s="30" t="s">
        <v>201</v>
      </c>
      <c r="AZ8" s="40" t="s">
        <v>82</v>
      </c>
      <c r="BA8" s="41" t="s">
        <v>104</v>
      </c>
      <c r="BB8" s="41" t="s">
        <v>202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IF($K$1="","",$K$1)</f>
        <v>れんたろう</v>
      </c>
      <c r="F9" s="8" t="s">
        <v>196</v>
      </c>
      <c r="G9" s="9">
        <v>-3900</v>
      </c>
      <c r="H9" s="9"/>
      <c r="I9" s="48">
        <v>0</v>
      </c>
      <c r="J9" s="21">
        <f t="shared" si="2"/>
        <v>52800</v>
      </c>
      <c r="K9" s="8" t="s">
        <v>197</v>
      </c>
      <c r="L9" s="9">
        <v>7800</v>
      </c>
      <c r="M9" s="9"/>
      <c r="N9" s="48">
        <v>0</v>
      </c>
      <c r="O9" s="21">
        <f t="shared" si="3"/>
        <v>24000</v>
      </c>
      <c r="P9" s="8" t="s">
        <v>196</v>
      </c>
      <c r="Q9" s="9">
        <v>-3900</v>
      </c>
      <c r="R9" s="9"/>
      <c r="S9" s="48">
        <v>0</v>
      </c>
      <c r="T9" s="21">
        <f t="shared" si="4"/>
        <v>28200</v>
      </c>
      <c r="U9" s="53">
        <f>IF($J9="","",ROUND(($J9-$J$3)/1000,1)+(_xlfn.RANK.AVG($J9,($J9,$O9,$T9),1)-2)*20)</f>
        <v>37.799999999999997</v>
      </c>
      <c r="V9" s="54">
        <f>IF($O9="","",ROUND(($O9-$O$3)/1000,1)+(_xlfn.RANK.AVG($O9,($J9,$O9,$T9),1)-2)*20)</f>
        <v>-31</v>
      </c>
      <c r="W9" s="55">
        <f>IF($T9="","",ROUND(($T9-$T$3)/1000,1)+(_xlfn.RANK.AVG($T9,($J9,$O9,$T9),1)-2)*20)</f>
        <v>-6.8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4</v>
      </c>
      <c r="AY9" s="30">
        <v>20</v>
      </c>
      <c r="AZ9" s="40" t="s">
        <v>198</v>
      </c>
      <c r="BA9" s="41" t="s">
        <v>83</v>
      </c>
      <c r="BB9" s="41" t="s">
        <v>82</v>
      </c>
      <c r="BC9" s="41" t="s">
        <v>202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tr">
        <f>IF($K$1="","",$K$1)</f>
        <v>れんたろう</v>
      </c>
      <c r="F10" s="8" t="s">
        <v>197</v>
      </c>
      <c r="G10" s="9">
        <v>1500</v>
      </c>
      <c r="H10" s="9"/>
      <c r="I10" s="48">
        <v>1000</v>
      </c>
      <c r="J10" s="21">
        <f t="shared" si="2"/>
        <v>55300</v>
      </c>
      <c r="K10" s="8" t="s">
        <v>196</v>
      </c>
      <c r="L10" s="9">
        <v>-900</v>
      </c>
      <c r="M10" s="9"/>
      <c r="N10" s="48">
        <v>-500</v>
      </c>
      <c r="O10" s="21">
        <f t="shared" si="3"/>
        <v>22600</v>
      </c>
      <c r="P10" s="8" t="s">
        <v>196</v>
      </c>
      <c r="Q10" s="9">
        <v>-600</v>
      </c>
      <c r="R10" s="9"/>
      <c r="S10" s="48">
        <v>-500</v>
      </c>
      <c r="T10" s="21">
        <f t="shared" si="4"/>
        <v>27100</v>
      </c>
      <c r="U10" s="53">
        <f>IF($J10="","",ROUND(($J10-$J$3)/1000,1)+(_xlfn.RANK.AVG($J10,($J10,$O10,$T10),1)-2)*20)</f>
        <v>40.299999999999997</v>
      </c>
      <c r="V10" s="54">
        <f>IF($O10="","",ROUND(($O10-$O$3)/1000,1)+(_xlfn.RANK.AVG($O10,($J10,$O10,$T10),1)-2)*20)</f>
        <v>-32.4</v>
      </c>
      <c r="W10" s="55">
        <f>IF($T10="","",ROUND(($T10-$T$3)/1000,1)+(_xlfn.RANK.AVG($T10,($J10,$O10,$T10),1)-2)*20)</f>
        <v>-7.9</v>
      </c>
      <c r="Y10" s="8"/>
      <c r="Z10" s="34"/>
      <c r="AA10" s="26"/>
      <c r="AB10" s="26">
        <v>1</v>
      </c>
      <c r="AC10" s="26">
        <v>1</v>
      </c>
      <c r="AD10" s="30">
        <v>40</v>
      </c>
      <c r="AE10" s="40" t="s">
        <v>86</v>
      </c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IF($P$1="","",$P$1)</f>
        <v>だいち</v>
      </c>
      <c r="F11" s="8" t="s">
        <v>199</v>
      </c>
      <c r="G11" s="9">
        <v>-12000</v>
      </c>
      <c r="H11" s="9">
        <v>-1000</v>
      </c>
      <c r="I11" s="48">
        <v>0</v>
      </c>
      <c r="J11" s="21">
        <f t="shared" si="2"/>
        <v>42300</v>
      </c>
      <c r="K11" s="8"/>
      <c r="L11" s="9"/>
      <c r="M11" s="9"/>
      <c r="N11" s="48"/>
      <c r="O11" s="21">
        <f t="shared" si="3"/>
        <v>22600</v>
      </c>
      <c r="P11" s="8" t="s">
        <v>200</v>
      </c>
      <c r="Q11" s="9">
        <v>12000</v>
      </c>
      <c r="R11" s="9">
        <v>1000</v>
      </c>
      <c r="S11" s="48">
        <v>0</v>
      </c>
      <c r="T11" s="21">
        <f t="shared" si="4"/>
        <v>40100</v>
      </c>
      <c r="U11" s="53">
        <f>IF($J11="","",ROUND(($J11-$J$3)/1000,1)+(_xlfn.RANK.AVG($J11,($J11,$O11,$T11),1)-2)*20)</f>
        <v>27.3</v>
      </c>
      <c r="V11" s="54">
        <f>IF($O11="","",ROUND(($O11-$O$3)/1000,1)+(_xlfn.RANK.AVG($O11,($J11,$O11,$T11),1)-2)*20)</f>
        <v>-32.4</v>
      </c>
      <c r="W11" s="55">
        <f>IF($T11="","",ROUND(($T11-$T$3)/1000,1)+(_xlfn.RANK.AVG($T11,($J11,$O11,$T11),1)-2)*20)</f>
        <v>5.0999999999999996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5</v>
      </c>
      <c r="BT11" s="30" t="s">
        <v>201</v>
      </c>
      <c r="BU11" s="40" t="s">
        <v>198</v>
      </c>
      <c r="BV11" s="41" t="s">
        <v>86</v>
      </c>
      <c r="BW11" s="41" t="s">
        <v>80</v>
      </c>
      <c r="BX11" s="41" t="s">
        <v>80</v>
      </c>
      <c r="BY11" s="41" t="s">
        <v>80</v>
      </c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tr">
        <f>IF($P$1="","",$P$1)</f>
        <v>だいち</v>
      </c>
      <c r="F12" s="8" t="s">
        <v>205</v>
      </c>
      <c r="G12" s="9">
        <v>1500</v>
      </c>
      <c r="H12" s="9"/>
      <c r="I12" s="48"/>
      <c r="J12" s="21">
        <f t="shared" si="2"/>
        <v>43800</v>
      </c>
      <c r="K12" s="8" t="s">
        <v>205</v>
      </c>
      <c r="L12" s="9">
        <v>-3000</v>
      </c>
      <c r="M12" s="9"/>
      <c r="N12" s="48"/>
      <c r="O12" s="21">
        <f t="shared" si="3"/>
        <v>19600</v>
      </c>
      <c r="P12" s="8" t="s">
        <v>205</v>
      </c>
      <c r="Q12" s="9">
        <v>1500</v>
      </c>
      <c r="R12" s="9">
        <v>-1000</v>
      </c>
      <c r="S12" s="48"/>
      <c r="T12" s="21">
        <f t="shared" si="4"/>
        <v>40600</v>
      </c>
      <c r="U12" s="53">
        <f>IF($J12="","",ROUND(($J12-$J$3)/1000,1)+(_xlfn.RANK.AVG($J12,($J12,$O12,$T12),1)-2)*20)</f>
        <v>28.8</v>
      </c>
      <c r="V12" s="54">
        <f>IF($O12="","",ROUND(($O12-$O$3)/1000,1)+(_xlfn.RANK.AVG($O12,($J12,$O12,$T12),1)-2)*20)</f>
        <v>-35.4</v>
      </c>
      <c r="W12" s="55">
        <f>IF($T12="","",ROUND(($T12-$T$3)/1000,1)+(_xlfn.RANK.AVG($T12,($J12,$O12,$T12),1)-2)*20)</f>
        <v>5.6</v>
      </c>
      <c r="Y12" s="8" t="s">
        <v>203</v>
      </c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204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203</v>
      </c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2</v>
      </c>
      <c r="D13" s="18">
        <f t="shared" si="1"/>
        <v>1</v>
      </c>
      <c r="E13" s="4" t="str">
        <f>IF($P$1="","",$P$1)</f>
        <v>だいち</v>
      </c>
      <c r="F13" s="8" t="s">
        <v>197</v>
      </c>
      <c r="G13" s="9">
        <v>16000</v>
      </c>
      <c r="H13" s="9">
        <v>1000</v>
      </c>
      <c r="I13" s="48">
        <v>2000</v>
      </c>
      <c r="J13" s="21">
        <f t="shared" si="2"/>
        <v>62800</v>
      </c>
      <c r="K13" s="8" t="s">
        <v>196</v>
      </c>
      <c r="L13" s="9">
        <v>-6000</v>
      </c>
      <c r="M13" s="9"/>
      <c r="N13" s="48">
        <v>-1000</v>
      </c>
      <c r="O13" s="21">
        <f t="shared" si="3"/>
        <v>12600</v>
      </c>
      <c r="P13" s="8" t="s">
        <v>196</v>
      </c>
      <c r="Q13" s="9">
        <v>-10000</v>
      </c>
      <c r="R13" s="9"/>
      <c r="S13" s="48">
        <v>-1000</v>
      </c>
      <c r="T13" s="21">
        <f t="shared" si="4"/>
        <v>29600</v>
      </c>
      <c r="U13" s="53">
        <f>IF($J13="","",ROUND(($J13-$J$3)/1000,1)+(_xlfn.RANK.AVG($J13,($J13,$O13,$T13),1)-2)*20)</f>
        <v>47.8</v>
      </c>
      <c r="V13" s="54">
        <f>IF($O13="","",ROUND(($O13-$O$3)/1000,1)+(_xlfn.RANK.AVG($O13,($J13,$O13,$T13),1)-2)*20)</f>
        <v>-42.4</v>
      </c>
      <c r="W13" s="55">
        <f>IF($T13="","",ROUND(($T13-$T$3)/1000,1)+(_xlfn.RANK.AVG($T13,($J13,$O13,$T13),1)-2)*20)</f>
        <v>-5.4</v>
      </c>
      <c r="Y13" s="8"/>
      <c r="Z13" s="34"/>
      <c r="AA13" s="26">
        <v>1</v>
      </c>
      <c r="AB13" s="26"/>
      <c r="AC13" s="26">
        <v>8</v>
      </c>
      <c r="AD13" s="30" t="s">
        <v>201</v>
      </c>
      <c r="AE13" s="40" t="s">
        <v>198</v>
      </c>
      <c r="AF13" s="41" t="s">
        <v>82</v>
      </c>
      <c r="AG13" s="41" t="s">
        <v>79</v>
      </c>
      <c r="AH13" s="41" t="s">
        <v>79</v>
      </c>
      <c r="AI13" s="41" t="s">
        <v>79</v>
      </c>
      <c r="AJ13" s="41" t="s">
        <v>80</v>
      </c>
      <c r="AK13" s="41" t="s">
        <v>80</v>
      </c>
      <c r="AL13" s="41" t="s">
        <v>80</v>
      </c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tr">
        <f>IF($F$1="","",$F$1)</f>
        <v>たかの</v>
      </c>
      <c r="F14" s="8" t="s">
        <v>200</v>
      </c>
      <c r="G14" s="9">
        <v>11600</v>
      </c>
      <c r="H14" s="9">
        <v>2000</v>
      </c>
      <c r="I14" s="48">
        <v>0</v>
      </c>
      <c r="J14" s="21">
        <f t="shared" si="2"/>
        <v>76400</v>
      </c>
      <c r="K14" s="8" t="s">
        <v>199</v>
      </c>
      <c r="L14" s="9">
        <v>-11600</v>
      </c>
      <c r="M14" s="9">
        <v>-1000</v>
      </c>
      <c r="N14" s="48">
        <v>0</v>
      </c>
      <c r="O14" s="21">
        <f t="shared" si="3"/>
        <v>0</v>
      </c>
      <c r="P14" s="8"/>
      <c r="Q14" s="9"/>
      <c r="R14" s="9">
        <v>-1000</v>
      </c>
      <c r="S14" s="48"/>
      <c r="T14" s="21">
        <f t="shared" si="4"/>
        <v>28600</v>
      </c>
      <c r="U14" s="53">
        <f>IF($J14="","",ROUND(($J14-$J$3)/1000,1)+(_xlfn.RANK.AVG($J14,($J14,$O14,$T14),1)-2)*20)</f>
        <v>61.4</v>
      </c>
      <c r="V14" s="54">
        <f>IF($O14="","",ROUND(($O14-$O$3)/1000,1)+(_xlfn.RANK.AVG($O14,($J14,$O14,$T14),1)-2)*20)</f>
        <v>-55</v>
      </c>
      <c r="W14" s="55">
        <f>IF($T14="","",ROUND(($T14-$T$3)/1000,1)+(_xlfn.RANK.AVG($T14,($J14,$O14,$T14),1)-2)*20)</f>
        <v>-6.4</v>
      </c>
      <c r="Y14" s="8"/>
      <c r="Z14" s="34"/>
      <c r="AA14" s="26"/>
      <c r="AB14" s="26">
        <v>1</v>
      </c>
      <c r="AC14" s="26">
        <v>4</v>
      </c>
      <c r="AD14" s="30">
        <v>30</v>
      </c>
      <c r="AE14" s="40" t="s">
        <v>104</v>
      </c>
      <c r="AF14" s="41" t="s">
        <v>86</v>
      </c>
      <c r="AG14" s="41" t="s">
        <v>202</v>
      </c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>
        <v>1</v>
      </c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4" priority="5">
      <formula>IF(G4&lt;&gt;"",SUM($G4:$I4,$L4:$N4,$Q4:$S4)-$D4*1000+$D5*1000)</formula>
    </cfRule>
  </conditionalFormatting>
  <conditionalFormatting sqref="F1:G1 I1:L1 S1:T1 N1:Q1">
    <cfRule type="duplicateValues" dxfId="43" priority="4"/>
  </conditionalFormatting>
  <conditionalFormatting sqref="H1">
    <cfRule type="duplicateValues" dxfId="42" priority="3"/>
  </conditionalFormatting>
  <conditionalFormatting sqref="R1">
    <cfRule type="duplicateValues" dxfId="41" priority="2"/>
  </conditionalFormatting>
  <conditionalFormatting sqref="M1">
    <cfRule type="duplicateValues" dxfId="40" priority="1"/>
  </conditionalFormatting>
  <dataValidations count="3">
    <dataValidation type="list" allowBlank="1" showInputMessage="1" sqref="F1:T1" xr:uid="{8FC959C7-0C33-4D49-B29A-5E28259F8D51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  <dataValidation type="list" allowBlank="1" showInputMessage="1" showErrorMessage="1" sqref="E4:E30" xr:uid="{32CBE8DB-2521-44F1-9F79-02DEAC08A137}">
      <formula1>$U$2:$W$2</formula1>
    </dataValidation>
    <dataValidation type="list" showInputMessage="1" showErrorMessage="1" sqref="K4:K30 P4:P30 F4:F30" xr:uid="{BB298C26-5A26-4CE8-90BF-3C454BB850AA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65499-5ECB-44D7-A17B-35374478CB2A}">
  <sheetPr codeName="Sheet19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206</v>
      </c>
      <c r="G1" s="72"/>
      <c r="H1" s="72"/>
      <c r="I1" s="73"/>
      <c r="J1" s="74"/>
      <c r="K1" s="71" t="s">
        <v>195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ただ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ただ</v>
      </c>
      <c r="W2" s="16" t="str">
        <f>$P$1</f>
        <v>たかの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206</v>
      </c>
      <c r="F4" s="8" t="s">
        <v>196</v>
      </c>
      <c r="G4" s="9">
        <v>-2500</v>
      </c>
      <c r="H4" s="9"/>
      <c r="I4" s="48">
        <v>0</v>
      </c>
      <c r="J4" s="21">
        <f>IF(COUNTA($F4,$K4,$P4)&gt;0,J3+SUM(G4:I4),"")</f>
        <v>32500</v>
      </c>
      <c r="K4" s="8" t="s">
        <v>197</v>
      </c>
      <c r="L4" s="9">
        <v>4000</v>
      </c>
      <c r="M4" s="9"/>
      <c r="N4" s="48">
        <v>0</v>
      </c>
      <c r="O4" s="21">
        <f>IF(COUNTA($F4,$K4,$P4)&gt;0,O3+SUM(L4:N4),"")</f>
        <v>39000</v>
      </c>
      <c r="P4" s="8" t="s">
        <v>196</v>
      </c>
      <c r="Q4" s="9">
        <v>-1500</v>
      </c>
      <c r="R4" s="9"/>
      <c r="S4" s="48">
        <v>0</v>
      </c>
      <c r="T4" s="21">
        <f>IF(COUNTA($F4,$K4,$P4)&gt;0,T3+SUM(Q4:S4),"")</f>
        <v>33500</v>
      </c>
      <c r="U4" s="53">
        <f>IF($J4="","",ROUND(($J4-$J$3)/1000,1)+(_xlfn.RANK.AVG($J4,($J4,$O4,$T4),1)-2)*20)</f>
        <v>-22.5</v>
      </c>
      <c r="V4" s="54">
        <f>IF($O4="","",ROUND(($O4-$O$3)/1000,1)+(_xlfn.RANK.AVG($O4,($J4,$O4,$T4),1)-2)*20)</f>
        <v>24</v>
      </c>
      <c r="W4" s="55">
        <f>IF($T4="","",ROUND(($T4-$T$3)/1000,1)+(_xlfn.RANK.AVG($T4,($J4,$O4,$T4),1)-2)*20)</f>
        <v>-1.5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3</v>
      </c>
      <c r="AY4" s="30">
        <v>30</v>
      </c>
      <c r="AZ4" s="40" t="s">
        <v>82</v>
      </c>
      <c r="BA4" s="41" t="s">
        <v>79</v>
      </c>
      <c r="BB4" s="41" t="s">
        <v>202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 t="s">
        <v>196</v>
      </c>
      <c r="G5" s="9">
        <v>-6000</v>
      </c>
      <c r="H5" s="9"/>
      <c r="I5" s="48">
        <v>0</v>
      </c>
      <c r="J5" s="21">
        <f t="shared" ref="J5:J30" si="2">IF(COUNTA($F5,$K5,$P5)&gt;0,J4+SUM(G5:I5),"")</f>
        <v>26500</v>
      </c>
      <c r="K5" s="8" t="s">
        <v>197</v>
      </c>
      <c r="L5" s="9">
        <v>12000</v>
      </c>
      <c r="M5" s="9"/>
      <c r="N5" s="48">
        <v>0</v>
      </c>
      <c r="O5" s="21">
        <f t="shared" ref="O5:O30" si="3">IF(COUNTA($F5,$K5,$P5)&gt;0,O4+SUM(L5:N5),"")</f>
        <v>51000</v>
      </c>
      <c r="P5" s="8" t="s">
        <v>196</v>
      </c>
      <c r="Q5" s="9">
        <v>-6000</v>
      </c>
      <c r="R5" s="9"/>
      <c r="S5" s="48">
        <v>0</v>
      </c>
      <c r="T5" s="21">
        <f t="shared" ref="T5:T30" si="4">IF(COUNTA($F5,$K5,$P5)&gt;0,T4+SUM(Q5:S5),"")</f>
        <v>27500</v>
      </c>
      <c r="U5" s="53">
        <f>IF($J5="","",ROUND(($J5-$J$3)/1000,1)+(_xlfn.RANK.AVG($J5,($J5,$O5,$T5),1)-2)*20)</f>
        <v>-28.5</v>
      </c>
      <c r="V5" s="54">
        <f>IF($O5="","",ROUND(($O5-$O$3)/1000,1)+(_xlfn.RANK.AVG($O5,($J5,$O5,$T5),1)-2)*20)</f>
        <v>36</v>
      </c>
      <c r="W5" s="55">
        <f>IF($T5="","",ROUND(($T5-$T$3)/1000,1)+(_xlfn.RANK.AVG($T5,($J5,$O5,$T5),1)-2)*20)</f>
        <v>-7.5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4</v>
      </c>
      <c r="AY5" s="30">
        <v>40</v>
      </c>
      <c r="AZ5" s="40" t="s">
        <v>82</v>
      </c>
      <c r="BA5" s="41" t="s">
        <v>86</v>
      </c>
      <c r="BB5" s="41" t="s">
        <v>202</v>
      </c>
      <c r="BC5" s="41" t="s">
        <v>79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ただ</v>
      </c>
      <c r="F6" s="8"/>
      <c r="G6" s="9"/>
      <c r="H6" s="9"/>
      <c r="I6" s="48"/>
      <c r="J6" s="21">
        <f t="shared" si="2"/>
        <v>26500</v>
      </c>
      <c r="K6" s="8" t="s">
        <v>200</v>
      </c>
      <c r="L6" s="9">
        <v>9600</v>
      </c>
      <c r="M6" s="9"/>
      <c r="N6" s="48">
        <v>1000</v>
      </c>
      <c r="O6" s="21">
        <f t="shared" si="3"/>
        <v>61600</v>
      </c>
      <c r="P6" s="8" t="s">
        <v>199</v>
      </c>
      <c r="Q6" s="9">
        <v>-9600</v>
      </c>
      <c r="R6" s="9"/>
      <c r="S6" s="48">
        <v>-1000</v>
      </c>
      <c r="T6" s="21">
        <f t="shared" si="4"/>
        <v>16900</v>
      </c>
      <c r="U6" s="53">
        <f>IF($J6="","",ROUND(($J6-$J$3)/1000,1)+(_xlfn.RANK.AVG($J6,($J6,$O6,$T6),1)-2)*20)</f>
        <v>-8.5</v>
      </c>
      <c r="V6" s="54">
        <f>IF($O6="","",ROUND(($O6-$O$3)/1000,1)+(_xlfn.RANK.AVG($O6,($J6,$O6,$T6),1)-2)*20)</f>
        <v>46.6</v>
      </c>
      <c r="W6" s="55">
        <f>IF($T6="","",ROUND(($T6-$T$3)/1000,1)+(_xlfn.RANK.AVG($T6,($J6,$O6,$T6),1)-2)*20)</f>
        <v>-38.1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3</v>
      </c>
      <c r="AY6" s="30">
        <v>50</v>
      </c>
      <c r="AZ6" s="40" t="s">
        <v>86</v>
      </c>
      <c r="BA6" s="41" t="s">
        <v>202</v>
      </c>
      <c r="BB6" s="41" t="s">
        <v>79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tr">
        <f>IF($K$1="","",$K$1)</f>
        <v>ただ</v>
      </c>
      <c r="F7" s="8" t="s">
        <v>196</v>
      </c>
      <c r="G7" s="9">
        <v>-5800</v>
      </c>
      <c r="H7" s="9"/>
      <c r="I7" s="48">
        <v>-1000</v>
      </c>
      <c r="J7" s="21">
        <f t="shared" si="2"/>
        <v>19700</v>
      </c>
      <c r="K7" s="8" t="s">
        <v>197</v>
      </c>
      <c r="L7" s="9">
        <v>11600</v>
      </c>
      <c r="M7" s="9"/>
      <c r="N7" s="48">
        <v>2000</v>
      </c>
      <c r="O7" s="21">
        <f t="shared" si="3"/>
        <v>75200</v>
      </c>
      <c r="P7" s="8" t="s">
        <v>196</v>
      </c>
      <c r="Q7" s="9">
        <v>-5800</v>
      </c>
      <c r="R7" s="9"/>
      <c r="S7" s="48">
        <v>-1000</v>
      </c>
      <c r="T7" s="21">
        <f t="shared" si="4"/>
        <v>10100</v>
      </c>
      <c r="U7" s="53">
        <f>IF($J7="","",ROUND(($J7-$J$3)/1000,1)+(_xlfn.RANK.AVG($J7,($J7,$O7,$T7),1)-2)*20)</f>
        <v>-15.3</v>
      </c>
      <c r="V7" s="54">
        <f>IF($O7="","",ROUND(($O7-$O$3)/1000,1)+(_xlfn.RANK.AVG($O7,($J7,$O7,$T7),1)-2)*20)</f>
        <v>60.2</v>
      </c>
      <c r="W7" s="55">
        <f>IF($T7="","",ROUND(($T7-$T$3)/1000,1)+(_xlfn.RANK.AVG($T7,($J7,$O7,$T7),1)-2)*20)</f>
        <v>-44.9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4</v>
      </c>
      <c r="AY7" s="30">
        <v>30</v>
      </c>
      <c r="AZ7" s="40" t="s">
        <v>86</v>
      </c>
      <c r="BA7" s="41" t="s">
        <v>79</v>
      </c>
      <c r="BB7" s="41" t="s">
        <v>79</v>
      </c>
      <c r="BC7" s="41" t="s">
        <v>79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3</v>
      </c>
      <c r="D8" s="18">
        <f t="shared" si="1"/>
        <v>0</v>
      </c>
      <c r="E8" s="4" t="str">
        <f>IF($K$1="","",$K$1)</f>
        <v>ただ</v>
      </c>
      <c r="F8" s="8" t="s">
        <v>199</v>
      </c>
      <c r="G8" s="9">
        <v>-8000</v>
      </c>
      <c r="H8" s="9"/>
      <c r="I8" s="48">
        <v>-3000</v>
      </c>
      <c r="J8" s="21">
        <f t="shared" si="2"/>
        <v>8700</v>
      </c>
      <c r="K8" s="8"/>
      <c r="L8" s="9"/>
      <c r="M8" s="9"/>
      <c r="N8" s="48"/>
      <c r="O8" s="21">
        <f t="shared" si="3"/>
        <v>75200</v>
      </c>
      <c r="P8" s="8" t="s">
        <v>200</v>
      </c>
      <c r="Q8" s="9">
        <v>8000</v>
      </c>
      <c r="R8" s="9"/>
      <c r="S8" s="48">
        <v>3000</v>
      </c>
      <c r="T8" s="21">
        <f t="shared" si="4"/>
        <v>21100</v>
      </c>
      <c r="U8" s="53">
        <f>IF($J8="","",ROUND(($J8-$J$3)/1000,1)+(_xlfn.RANK.AVG($J8,($J8,$O8,$T8),1)-2)*20)</f>
        <v>-46.3</v>
      </c>
      <c r="V8" s="54">
        <f>IF($O8="","",ROUND(($O8-$O$3)/1000,1)+(_xlfn.RANK.AVG($O8,($J8,$O8,$T8),1)-2)*20)</f>
        <v>60.2</v>
      </c>
      <c r="W8" s="55">
        <f>IF($T8="","",ROUND(($T8-$T$3)/1000,1)+(_xlfn.RANK.AVG($T8,($J8,$O8,$T8),1)-2)*20)</f>
        <v>-13.9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4</v>
      </c>
      <c r="BT8" s="30">
        <v>40</v>
      </c>
      <c r="BU8" s="40" t="s">
        <v>198</v>
      </c>
      <c r="BV8" s="41" t="s">
        <v>86</v>
      </c>
      <c r="BW8" s="41" t="s">
        <v>79</v>
      </c>
      <c r="BX8" s="41" t="s">
        <v>80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たかの</v>
      </c>
      <c r="F9" s="8" t="s">
        <v>200</v>
      </c>
      <c r="G9" s="9">
        <v>8000</v>
      </c>
      <c r="H9" s="9"/>
      <c r="I9" s="48">
        <v>0</v>
      </c>
      <c r="J9" s="21">
        <f t="shared" si="2"/>
        <v>16700</v>
      </c>
      <c r="K9" s="8" t="s">
        <v>199</v>
      </c>
      <c r="L9" s="9">
        <v>-8000</v>
      </c>
      <c r="M9" s="9"/>
      <c r="N9" s="48">
        <v>0</v>
      </c>
      <c r="O9" s="21">
        <f t="shared" si="3"/>
        <v>67200</v>
      </c>
      <c r="P9" s="8"/>
      <c r="Q9" s="9"/>
      <c r="R9" s="9"/>
      <c r="S9" s="48"/>
      <c r="T9" s="21">
        <f t="shared" si="4"/>
        <v>21100</v>
      </c>
      <c r="U9" s="53">
        <f>IF($J9="","",ROUND(($J9-$J$3)/1000,1)+(_xlfn.RANK.AVG($J9,($J9,$O9,$T9),1)-2)*20)</f>
        <v>-38.299999999999997</v>
      </c>
      <c r="V9" s="54">
        <f>IF($O9="","",ROUND(($O9-$O$3)/1000,1)+(_xlfn.RANK.AVG($O9,($J9,$O9,$T9),1)-2)*20)</f>
        <v>52.2</v>
      </c>
      <c r="W9" s="55">
        <f>IF($T9="","",ROUND(($T9-$T$3)/1000,1)+(_xlfn.RANK.AVG($T9,($J9,$O9,$T9),1)-2)*20)</f>
        <v>-13.9</v>
      </c>
      <c r="Y9" s="8"/>
      <c r="Z9" s="34"/>
      <c r="AA9" s="26">
        <v>1</v>
      </c>
      <c r="AB9" s="26"/>
      <c r="AC9" s="26">
        <v>4</v>
      </c>
      <c r="AD9" s="30">
        <v>40</v>
      </c>
      <c r="AE9" s="40" t="s">
        <v>198</v>
      </c>
      <c r="AF9" s="41" t="s">
        <v>79</v>
      </c>
      <c r="AG9" s="41" t="s">
        <v>80</v>
      </c>
      <c r="AH9" s="41" t="s">
        <v>80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だいち</v>
      </c>
      <c r="F10" s="8" t="s">
        <v>200</v>
      </c>
      <c r="G10" s="9">
        <v>12000</v>
      </c>
      <c r="H10" s="9"/>
      <c r="I10" s="48">
        <v>0</v>
      </c>
      <c r="J10" s="21">
        <f t="shared" si="2"/>
        <v>28700</v>
      </c>
      <c r="K10" s="8" t="s">
        <v>199</v>
      </c>
      <c r="L10" s="9">
        <v>-12000</v>
      </c>
      <c r="M10" s="9"/>
      <c r="N10" s="48">
        <v>0</v>
      </c>
      <c r="O10" s="21">
        <f t="shared" si="3"/>
        <v>55200</v>
      </c>
      <c r="P10" s="8"/>
      <c r="Q10" s="9"/>
      <c r="R10" s="9"/>
      <c r="S10" s="48"/>
      <c r="T10" s="21">
        <f t="shared" si="4"/>
        <v>21100</v>
      </c>
      <c r="U10" s="53">
        <f>IF($J10="","",ROUND(($J10-$J$3)/1000,1)+(_xlfn.RANK.AVG($J10,($J10,$O10,$T10),1)-2)*20)</f>
        <v>-6.3</v>
      </c>
      <c r="V10" s="54">
        <f>IF($O10="","",ROUND(($O10-$O$3)/1000,1)+(_xlfn.RANK.AVG($O10,($J10,$O10,$T10),1)-2)*20)</f>
        <v>40.200000000000003</v>
      </c>
      <c r="W10" s="55">
        <f>IF($T10="","",ROUND(($T10-$T$3)/1000,1)+(_xlfn.RANK.AVG($T10,($J10,$O10,$T10),1)-2)*20)</f>
        <v>-33.9</v>
      </c>
      <c r="Y10" s="8"/>
      <c r="Z10" s="34"/>
      <c r="AA10" s="26">
        <v>1</v>
      </c>
      <c r="AB10" s="26"/>
      <c r="AC10" s="26">
        <v>5</v>
      </c>
      <c r="AD10" s="30" t="s">
        <v>201</v>
      </c>
      <c r="AE10" s="40" t="s">
        <v>198</v>
      </c>
      <c r="AF10" s="41" t="s">
        <v>83</v>
      </c>
      <c r="AG10" s="41" t="s">
        <v>79</v>
      </c>
      <c r="AH10" s="41" t="s">
        <v>202</v>
      </c>
      <c r="AI10" s="41" t="s">
        <v>202</v>
      </c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tr">
        <f>IF($F$1="","",$F$1)</f>
        <v>だいち</v>
      </c>
      <c r="F11" s="8" t="s">
        <v>200</v>
      </c>
      <c r="G11" s="9">
        <v>12000</v>
      </c>
      <c r="H11" s="9">
        <v>1000</v>
      </c>
      <c r="I11" s="48">
        <v>1000</v>
      </c>
      <c r="J11" s="21">
        <f t="shared" si="2"/>
        <v>42700</v>
      </c>
      <c r="K11" s="8"/>
      <c r="L11" s="9"/>
      <c r="M11" s="9"/>
      <c r="N11" s="48"/>
      <c r="O11" s="21">
        <f t="shared" si="3"/>
        <v>55200</v>
      </c>
      <c r="P11" s="8" t="s">
        <v>199</v>
      </c>
      <c r="Q11" s="9">
        <v>-12000</v>
      </c>
      <c r="R11" s="9">
        <v>-1000</v>
      </c>
      <c r="S11" s="48">
        <v>-1000</v>
      </c>
      <c r="T11" s="21">
        <f t="shared" si="4"/>
        <v>7100</v>
      </c>
      <c r="U11" s="53">
        <f>IF($J11="","",ROUND(($J11-$J$3)/1000,1)+(_xlfn.RANK.AVG($J11,($J11,$O11,$T11),1)-2)*20)</f>
        <v>7.7</v>
      </c>
      <c r="V11" s="54">
        <f>IF($O11="","",ROUND(($O11-$O$3)/1000,1)+(_xlfn.RANK.AVG($O11,($J11,$O11,$T11),1)-2)*20)</f>
        <v>40.200000000000003</v>
      </c>
      <c r="W11" s="55">
        <f>IF($T11="","",ROUND(($T11-$T$3)/1000,1)+(_xlfn.RANK.AVG($T11,($J11,$O11,$T11),1)-2)*20)</f>
        <v>-47.9</v>
      </c>
      <c r="Y11" s="8"/>
      <c r="Z11" s="34"/>
      <c r="AA11" s="26">
        <v>1</v>
      </c>
      <c r="AB11" s="26"/>
      <c r="AC11" s="26">
        <v>4</v>
      </c>
      <c r="AD11" s="30">
        <v>40</v>
      </c>
      <c r="AE11" s="40" t="s">
        <v>198</v>
      </c>
      <c r="AF11" s="41" t="s">
        <v>79</v>
      </c>
      <c r="AG11" s="41" t="s">
        <v>80</v>
      </c>
      <c r="AH11" s="41" t="s">
        <v>207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2</v>
      </c>
      <c r="D12" s="18">
        <f t="shared" si="1"/>
        <v>0</v>
      </c>
      <c r="E12" s="4" t="str">
        <f>IF($F$1="","",$F$1)</f>
        <v>だいち</v>
      </c>
      <c r="F12" s="8" t="s">
        <v>196</v>
      </c>
      <c r="G12" s="9">
        <v>-700</v>
      </c>
      <c r="H12" s="9"/>
      <c r="I12" s="48">
        <v>-1000</v>
      </c>
      <c r="J12" s="21">
        <f t="shared" si="2"/>
        <v>41000</v>
      </c>
      <c r="K12" s="8" t="s">
        <v>197</v>
      </c>
      <c r="L12" s="9">
        <v>1200</v>
      </c>
      <c r="M12" s="9"/>
      <c r="N12" s="48">
        <v>2000</v>
      </c>
      <c r="O12" s="21">
        <f t="shared" si="3"/>
        <v>58400</v>
      </c>
      <c r="P12" s="8" t="s">
        <v>196</v>
      </c>
      <c r="Q12" s="9">
        <v>-500</v>
      </c>
      <c r="R12" s="9"/>
      <c r="S12" s="48">
        <v>-1000</v>
      </c>
      <c r="T12" s="21">
        <f t="shared" si="4"/>
        <v>5600</v>
      </c>
      <c r="U12" s="53">
        <f>IF($J12="","",ROUND(($J12-$J$3)/1000,1)+(_xlfn.RANK.AVG($J12,($J12,$O12,$T12),1)-2)*20)</f>
        <v>6</v>
      </c>
      <c r="V12" s="54">
        <f>IF($O12="","",ROUND(($O12-$O$3)/1000,1)+(_xlfn.RANK.AVG($O12,($J12,$O12,$T12),1)-2)*20)</f>
        <v>43.4</v>
      </c>
      <c r="W12" s="55">
        <f>IF($T12="","",ROUND(($T12-$T$3)/1000,1)+(_xlfn.RANK.AVG($T12,($J12,$O12,$T12),1)-2)*20)</f>
        <v>-49.4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>
        <v>1</v>
      </c>
      <c r="AY12" s="30">
        <v>30</v>
      </c>
      <c r="AZ12" s="40" t="s">
        <v>82</v>
      </c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tr">
        <f>IF($K$1="","",$K$1)</f>
        <v>ただ</v>
      </c>
      <c r="F13" s="8" t="s">
        <v>205</v>
      </c>
      <c r="G13" s="9">
        <v>1500</v>
      </c>
      <c r="H13" s="9">
        <v>-1000</v>
      </c>
      <c r="I13" s="48"/>
      <c r="J13" s="21">
        <f t="shared" si="2"/>
        <v>41500</v>
      </c>
      <c r="K13" s="8" t="s">
        <v>205</v>
      </c>
      <c r="L13" s="9">
        <v>1500</v>
      </c>
      <c r="M13" s="9"/>
      <c r="N13" s="48"/>
      <c r="O13" s="21">
        <f t="shared" si="3"/>
        <v>59900</v>
      </c>
      <c r="P13" s="8" t="s">
        <v>205</v>
      </c>
      <c r="Q13" s="9">
        <v>-3000</v>
      </c>
      <c r="R13" s="9"/>
      <c r="S13" s="48"/>
      <c r="T13" s="21">
        <f t="shared" si="4"/>
        <v>2600</v>
      </c>
      <c r="U13" s="53">
        <f>IF($J13="","",ROUND(($J13-$J$3)/1000,1)+(_xlfn.RANK.AVG($J13,($J13,$O13,$T13),1)-2)*20)</f>
        <v>6.5</v>
      </c>
      <c r="V13" s="54">
        <f>IF($O13="","",ROUND(($O13-$O$3)/1000,1)+(_xlfn.RANK.AVG($O13,($J13,$O13,$T13),1)-2)*20)</f>
        <v>44.9</v>
      </c>
      <c r="W13" s="55">
        <f>IF($T13="","",ROUND(($T13-$T$3)/1000,1)+(_xlfn.RANK.AVG($T13,($J13,$O13,$T13),1)-2)*20)</f>
        <v>-52.4</v>
      </c>
      <c r="Y13" s="8" t="s">
        <v>203</v>
      </c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203</v>
      </c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204</v>
      </c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1</v>
      </c>
      <c r="D14" s="18">
        <f t="shared" si="1"/>
        <v>1</v>
      </c>
      <c r="E14" s="4" t="str">
        <f>IF($K$1="","",$K$1)</f>
        <v>ただ</v>
      </c>
      <c r="F14" s="8" t="s">
        <v>199</v>
      </c>
      <c r="G14" s="9">
        <v>-3900</v>
      </c>
      <c r="H14" s="9"/>
      <c r="I14" s="48">
        <v>-1000</v>
      </c>
      <c r="J14" s="21">
        <f t="shared" si="2"/>
        <v>36600</v>
      </c>
      <c r="K14" s="8" t="s">
        <v>200</v>
      </c>
      <c r="L14" s="9">
        <v>3900</v>
      </c>
      <c r="M14" s="9">
        <v>1000</v>
      </c>
      <c r="N14" s="48">
        <v>1000</v>
      </c>
      <c r="O14" s="21">
        <f t="shared" si="3"/>
        <v>65800</v>
      </c>
      <c r="P14" s="8"/>
      <c r="Q14" s="9"/>
      <c r="R14" s="9"/>
      <c r="S14" s="48"/>
      <c r="T14" s="21">
        <f t="shared" si="4"/>
        <v>2600</v>
      </c>
      <c r="U14" s="53">
        <f>IF($J14="","",ROUND(($J14-$J$3)/1000,1)+(_xlfn.RANK.AVG($J14,($J14,$O14,$T14),1)-2)*20)</f>
        <v>1.6</v>
      </c>
      <c r="V14" s="54">
        <f>IF($O14="","",ROUND(($O14-$O$3)/1000,1)+(_xlfn.RANK.AVG($O14,($J14,$O14,$T14),1)-2)*20)</f>
        <v>50.8</v>
      </c>
      <c r="W14" s="55">
        <f>IF($T14="","",ROUND(($T14-$T$3)/1000,1)+(_xlfn.RANK.AVG($T14,($J14,$O14,$T14),1)-2)*20)</f>
        <v>-52.4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>
        <v>2</v>
      </c>
      <c r="AY14" s="30">
        <v>40</v>
      </c>
      <c r="AZ14" s="40" t="s">
        <v>92</v>
      </c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2</v>
      </c>
      <c r="C15" s="18">
        <f t="shared" si="6"/>
        <v>2</v>
      </c>
      <c r="D15" s="18">
        <f t="shared" si="1"/>
        <v>0</v>
      </c>
      <c r="E15" s="4" t="str">
        <f>IF($K$1="","",$K$1)</f>
        <v>ただ</v>
      </c>
      <c r="F15" s="8" t="s">
        <v>199</v>
      </c>
      <c r="G15" s="9">
        <v>-5200</v>
      </c>
      <c r="H15" s="9"/>
      <c r="I15" s="48">
        <v>-2000</v>
      </c>
      <c r="J15" s="21">
        <f t="shared" si="2"/>
        <v>29400</v>
      </c>
      <c r="K15" s="8"/>
      <c r="L15" s="9"/>
      <c r="M15" s="9"/>
      <c r="N15" s="48"/>
      <c r="O15" s="21">
        <f t="shared" si="3"/>
        <v>65800</v>
      </c>
      <c r="P15" s="8" t="s">
        <v>200</v>
      </c>
      <c r="Q15" s="9">
        <v>5200</v>
      </c>
      <c r="R15" s="9"/>
      <c r="S15" s="48">
        <v>2000</v>
      </c>
      <c r="T15" s="21">
        <f t="shared" si="4"/>
        <v>9800</v>
      </c>
      <c r="U15" s="53">
        <f>IF($J15="","",ROUND(($J15-$J$3)/1000,1)+(_xlfn.RANK.AVG($J15,($J15,$O15,$T15),1)-2)*20)</f>
        <v>-5.6</v>
      </c>
      <c r="V15" s="54">
        <f>IF($O15="","",ROUND(($O15-$O$3)/1000,1)+(_xlfn.RANK.AVG($O15,($J15,$O15,$T15),1)-2)*20)</f>
        <v>50.8</v>
      </c>
      <c r="W15" s="55">
        <f>IF($T15="","",ROUND(($T15-$T$3)/1000,1)+(_xlfn.RANK.AVG($T15,($J15,$O15,$T15),1)-2)*20)</f>
        <v>-45.2</v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>
        <v>1</v>
      </c>
      <c r="BS15" s="26">
        <v>3</v>
      </c>
      <c r="BT15" s="30">
        <v>40</v>
      </c>
      <c r="BU15" s="40" t="s">
        <v>104</v>
      </c>
      <c r="BV15" s="41" t="s">
        <v>79</v>
      </c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3</v>
      </c>
      <c r="C16" s="18">
        <f t="shared" si="6"/>
        <v>0</v>
      </c>
      <c r="D16" s="18">
        <f t="shared" si="1"/>
        <v>0</v>
      </c>
      <c r="E16" s="4" t="str">
        <f>IF($P$1="","",$P$1)</f>
        <v>たかの</v>
      </c>
      <c r="F16" s="8" t="s">
        <v>205</v>
      </c>
      <c r="G16" s="9">
        <v>-1500</v>
      </c>
      <c r="H16" s="9"/>
      <c r="I16" s="48"/>
      <c r="J16" s="21">
        <f t="shared" si="2"/>
        <v>27900</v>
      </c>
      <c r="K16" s="8" t="s">
        <v>205</v>
      </c>
      <c r="L16" s="9">
        <v>-1500</v>
      </c>
      <c r="M16" s="9"/>
      <c r="N16" s="48"/>
      <c r="O16" s="21">
        <f t="shared" si="3"/>
        <v>64300</v>
      </c>
      <c r="P16" s="8" t="s">
        <v>205</v>
      </c>
      <c r="Q16" s="9">
        <v>3000</v>
      </c>
      <c r="R16" s="9"/>
      <c r="S16" s="48"/>
      <c r="T16" s="21">
        <f t="shared" si="4"/>
        <v>12800</v>
      </c>
      <c r="U16" s="53">
        <f>IF($J16="","",ROUND(($J16-$J$3)/1000,1)+(_xlfn.RANK.AVG($J16,($J16,$O16,$T16),1)-2)*20)</f>
        <v>-7.1</v>
      </c>
      <c r="V16" s="54">
        <f>IF($O16="","",ROUND(($O16-$O$3)/1000,1)+(_xlfn.RANK.AVG($O16,($J16,$O16,$T16),1)-2)*20)</f>
        <v>49.3</v>
      </c>
      <c r="W16" s="55">
        <f>IF($T16="","",ROUND(($T16-$T$3)/1000,1)+(_xlfn.RANK.AVG($T16,($J16,$O16,$T16),1)-2)*20)</f>
        <v>-42.2</v>
      </c>
      <c r="Y16" s="8" t="s">
        <v>204</v>
      </c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 t="s">
        <v>204</v>
      </c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 t="s">
        <v>203</v>
      </c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南</v>
      </c>
      <c r="B17" s="18">
        <f t="shared" si="5"/>
        <v>3</v>
      </c>
      <c r="C17" s="18">
        <f t="shared" si="6"/>
        <v>1</v>
      </c>
      <c r="D17" s="18">
        <f t="shared" si="1"/>
        <v>0</v>
      </c>
      <c r="E17" s="4" t="str">
        <f>IF($P$1="","",$P$1)</f>
        <v>たかの</v>
      </c>
      <c r="F17" s="8" t="s">
        <v>197</v>
      </c>
      <c r="G17" s="9">
        <v>5300</v>
      </c>
      <c r="H17" s="9"/>
      <c r="I17" s="48">
        <v>1000</v>
      </c>
      <c r="J17" s="21">
        <f t="shared" si="2"/>
        <v>34200</v>
      </c>
      <c r="K17" s="8" t="s">
        <v>196</v>
      </c>
      <c r="L17" s="9">
        <v>-2000</v>
      </c>
      <c r="M17" s="9"/>
      <c r="N17" s="48">
        <v>-500</v>
      </c>
      <c r="O17" s="21">
        <f t="shared" si="3"/>
        <v>61800</v>
      </c>
      <c r="P17" s="8" t="s">
        <v>196</v>
      </c>
      <c r="Q17" s="9">
        <v>-3300</v>
      </c>
      <c r="R17" s="9"/>
      <c r="S17" s="48">
        <v>-500</v>
      </c>
      <c r="T17" s="21">
        <f t="shared" si="4"/>
        <v>9000</v>
      </c>
      <c r="U17" s="53">
        <f>IF($J17="","",ROUND(($J17-$J$3)/1000,1)+(_xlfn.RANK.AVG($J17,($J17,$O17,$T17),1)-2)*20)</f>
        <v>-0.8</v>
      </c>
      <c r="V17" s="54">
        <f>IF($O17="","",ROUND(($O17-$O$3)/1000,1)+(_xlfn.RANK.AVG($O17,($J17,$O17,$T17),1)-2)*20)</f>
        <v>46.8</v>
      </c>
      <c r="W17" s="55">
        <f>IF($T17="","",ROUND(($T17-$T$3)/1000,1)+(_xlfn.RANK.AVG($T17,($J17,$O17,$T17),1)-2)*20)</f>
        <v>-46</v>
      </c>
      <c r="Y17" s="8"/>
      <c r="Z17" s="34"/>
      <c r="AA17" s="26">
        <v>1</v>
      </c>
      <c r="AB17" s="26"/>
      <c r="AC17" s="26">
        <v>4</v>
      </c>
      <c r="AD17" s="30">
        <v>20</v>
      </c>
      <c r="AE17" s="40" t="s">
        <v>198</v>
      </c>
      <c r="AF17" s="41" t="s">
        <v>82</v>
      </c>
      <c r="AG17" s="41" t="s">
        <v>83</v>
      </c>
      <c r="AH17" s="41" t="s">
        <v>80</v>
      </c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>
        <v>1</v>
      </c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>
        <v>1</v>
      </c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9" priority="5">
      <formula>IF(G4&lt;&gt;"",SUM($G4:$I4,$L4:$N4,$Q4:$S4)-$D4*1000+$D5*1000)</formula>
    </cfRule>
  </conditionalFormatting>
  <conditionalFormatting sqref="F1:G1 I1:L1 S1:T1 N1:Q1">
    <cfRule type="duplicateValues" dxfId="38" priority="4"/>
  </conditionalFormatting>
  <conditionalFormatting sqref="H1">
    <cfRule type="duplicateValues" dxfId="37" priority="3"/>
  </conditionalFormatting>
  <conditionalFormatting sqref="R1">
    <cfRule type="duplicateValues" dxfId="36" priority="2"/>
  </conditionalFormatting>
  <conditionalFormatting sqref="M1">
    <cfRule type="duplicateValues" dxfId="35" priority="1"/>
  </conditionalFormatting>
  <dataValidations count="3">
    <dataValidation type="list" showInputMessage="1" showErrorMessage="1" sqref="K4:K30 P4:P30 F4:F30" xr:uid="{639AD590-668F-4A9C-9690-7C569364F80A}">
      <formula1>"ロン,ツモ,放銃,ツモ支払,流局,チョンボ"</formula1>
    </dataValidation>
    <dataValidation type="list" allowBlank="1" showInputMessage="1" showErrorMessage="1" sqref="E4:E30" xr:uid="{530936CC-8A7B-412B-9A2E-84768FA4F2FA}">
      <formula1>$U$2:$W$2</formula1>
    </dataValidation>
    <dataValidation type="list" allowBlank="1" showInputMessage="1" sqref="F1:T1" xr:uid="{814D3090-D63A-4F80-AEB0-5A0FEDDEB18D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1ACE1-0D8C-4198-9376-8017BF1820F0}">
  <sheetPr codeName="Sheet2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206</v>
      </c>
      <c r="L1" s="72"/>
      <c r="M1" s="72"/>
      <c r="N1" s="73"/>
      <c r="O1" s="74"/>
      <c r="P1" s="71" t="s">
        <v>195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れんたろう</v>
      </c>
      <c r="V2" s="69" t="str">
        <f>$K$1</f>
        <v>だいち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196</v>
      </c>
      <c r="G4" s="9">
        <v>-1700</v>
      </c>
      <c r="H4" s="9">
        <v>-1000</v>
      </c>
      <c r="I4" s="48">
        <v>0</v>
      </c>
      <c r="J4" s="21">
        <f>IF(COUNTA($F4,$K4,$P4)&gt;0,J3+SUM(G4:I4),"")</f>
        <v>32300</v>
      </c>
      <c r="K4" s="8" t="s">
        <v>197</v>
      </c>
      <c r="L4" s="9">
        <v>2800</v>
      </c>
      <c r="M4" s="9">
        <v>1000</v>
      </c>
      <c r="N4" s="48">
        <v>0</v>
      </c>
      <c r="O4" s="21">
        <f>IF(COUNTA($F4,$K4,$P4)&gt;0,O3+SUM(L4:N4),"")</f>
        <v>38800</v>
      </c>
      <c r="P4" s="8" t="s">
        <v>196</v>
      </c>
      <c r="Q4" s="9">
        <v>-1100</v>
      </c>
      <c r="R4" s="9"/>
      <c r="S4" s="48">
        <v>0</v>
      </c>
      <c r="T4" s="21">
        <f>IF(COUNTA($F4,$K4,$P4)&gt;0,T3+SUM(Q4:S4),"")</f>
        <v>33900</v>
      </c>
      <c r="U4" s="53">
        <f>IF($J4="","",ROUND(($J4-$J$3)/1000,1)+(_xlfn.RANK.AVG($J4,($J4,$O4,$T4),1)-2)*20)</f>
        <v>-22.7</v>
      </c>
      <c r="V4" s="54">
        <f>IF($O4="","",ROUND(($O4-$O$3)/1000,1)+(_xlfn.RANK.AVG($O4,($J4,$O4,$T4),1)-2)*20)</f>
        <v>23.8</v>
      </c>
      <c r="W4" s="55">
        <f>IF($T4="","",ROUND(($T4-$T$3)/1000,1)+(_xlfn.RANK.AVG($T4,($J4,$O4,$T4),1)-2)*20)</f>
        <v>-1.1000000000000001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20</v>
      </c>
      <c r="AZ4" s="40" t="s">
        <v>198</v>
      </c>
      <c r="BA4" s="41" t="s">
        <v>82</v>
      </c>
      <c r="BB4" s="41" t="s">
        <v>83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196</v>
      </c>
      <c r="G5" s="9">
        <v>-6000</v>
      </c>
      <c r="H5" s="9">
        <v>-1000</v>
      </c>
      <c r="I5" s="48">
        <v>0</v>
      </c>
      <c r="J5" s="21">
        <f t="shared" ref="J5:J30" si="2">IF(COUNTA($F5,$K5,$P5)&gt;0,J4+SUM(G5:I5),"")</f>
        <v>25300</v>
      </c>
      <c r="K5" s="8" t="s">
        <v>197</v>
      </c>
      <c r="L5" s="9">
        <v>12000</v>
      </c>
      <c r="M5" s="9">
        <v>1000</v>
      </c>
      <c r="N5" s="48">
        <v>0</v>
      </c>
      <c r="O5" s="21">
        <f t="shared" ref="O5:O30" si="3">IF(COUNTA($F5,$K5,$P5)&gt;0,O4+SUM(L5:N5),"")</f>
        <v>51800</v>
      </c>
      <c r="P5" s="8" t="s">
        <v>196</v>
      </c>
      <c r="Q5" s="9">
        <v>-6000</v>
      </c>
      <c r="R5" s="9"/>
      <c r="S5" s="48">
        <v>0</v>
      </c>
      <c r="T5" s="21">
        <f t="shared" ref="T5:T30" si="4">IF(COUNTA($F5,$K5,$P5)&gt;0,T4+SUM(Q5:S5),"")</f>
        <v>27900</v>
      </c>
      <c r="U5" s="53">
        <f>IF($J5="","",ROUND(($J5-$J$3)/1000,1)+(_xlfn.RANK.AVG($J5,($J5,$O5,$T5),1)-2)*20)</f>
        <v>-29.7</v>
      </c>
      <c r="V5" s="54">
        <f>IF($O5="","",ROUND(($O5-$O$3)/1000,1)+(_xlfn.RANK.AVG($O5,($J5,$O5,$T5),1)-2)*20)</f>
        <v>36.799999999999997</v>
      </c>
      <c r="W5" s="55">
        <f>IF($T5="","",ROUND(($T5-$T$3)/1000,1)+(_xlfn.RANK.AVG($T5,($J5,$O5,$T5),1)-2)*20)</f>
        <v>-7.1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201</v>
      </c>
      <c r="AZ5" s="40" t="s">
        <v>198</v>
      </c>
      <c r="BA5" s="41" t="s">
        <v>82</v>
      </c>
      <c r="BB5" s="41" t="s">
        <v>83</v>
      </c>
      <c r="BC5" s="41" t="s">
        <v>202</v>
      </c>
      <c r="BD5" s="41" t="s">
        <v>80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だいち</v>
      </c>
      <c r="F6" s="8" t="s">
        <v>196</v>
      </c>
      <c r="G6" s="9">
        <v>-6000</v>
      </c>
      <c r="H6" s="9">
        <v>-1000</v>
      </c>
      <c r="I6" s="48">
        <v>-500</v>
      </c>
      <c r="J6" s="21">
        <f t="shared" si="2"/>
        <v>17800</v>
      </c>
      <c r="K6" s="8" t="s">
        <v>197</v>
      </c>
      <c r="L6" s="9">
        <v>12000</v>
      </c>
      <c r="M6" s="9">
        <v>1000</v>
      </c>
      <c r="N6" s="48">
        <v>1000</v>
      </c>
      <c r="O6" s="21">
        <f t="shared" si="3"/>
        <v>65800</v>
      </c>
      <c r="P6" s="8" t="s">
        <v>196</v>
      </c>
      <c r="Q6" s="9">
        <v>-6000</v>
      </c>
      <c r="R6" s="9"/>
      <c r="S6" s="48">
        <v>-500</v>
      </c>
      <c r="T6" s="21">
        <f t="shared" si="4"/>
        <v>21400</v>
      </c>
      <c r="U6" s="53">
        <f>IF($J6="","",ROUND(($J6-$J$3)/1000,1)+(_xlfn.RANK.AVG($J6,($J6,$O6,$T6),1)-2)*20)</f>
        <v>-37.200000000000003</v>
      </c>
      <c r="V6" s="54">
        <f>IF($O6="","",ROUND(($O6-$O$3)/1000,1)+(_xlfn.RANK.AVG($O6,($J6,$O6,$T6),1)-2)*20)</f>
        <v>50.8</v>
      </c>
      <c r="W6" s="55">
        <f>IF($T6="","",ROUND(($T6-$T$3)/1000,1)+(_xlfn.RANK.AVG($T6,($J6,$O6,$T6),1)-2)*20)</f>
        <v>-13.6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5</v>
      </c>
      <c r="AY6" s="30" t="s">
        <v>201</v>
      </c>
      <c r="AZ6" s="40" t="s">
        <v>198</v>
      </c>
      <c r="BA6" s="41" t="s">
        <v>82</v>
      </c>
      <c r="BB6" s="41" t="s">
        <v>86</v>
      </c>
      <c r="BC6" s="41" t="s">
        <v>80</v>
      </c>
      <c r="BD6" s="41" t="s">
        <v>80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tr">
        <f>IF($K$1="","",$K$1)</f>
        <v>だいち</v>
      </c>
      <c r="F7" s="8" t="s">
        <v>196</v>
      </c>
      <c r="G7" s="9">
        <v>-9000</v>
      </c>
      <c r="H7" s="9"/>
      <c r="I7" s="48">
        <v>-1000</v>
      </c>
      <c r="J7" s="21">
        <f t="shared" si="2"/>
        <v>7800</v>
      </c>
      <c r="K7" s="8" t="s">
        <v>197</v>
      </c>
      <c r="L7" s="9">
        <v>18000</v>
      </c>
      <c r="M7" s="9"/>
      <c r="N7" s="48">
        <v>2000</v>
      </c>
      <c r="O7" s="21">
        <f t="shared" si="3"/>
        <v>85800</v>
      </c>
      <c r="P7" s="8" t="s">
        <v>196</v>
      </c>
      <c r="Q7" s="9">
        <v>-9000</v>
      </c>
      <c r="R7" s="9"/>
      <c r="S7" s="48">
        <v>-1000</v>
      </c>
      <c r="T7" s="21">
        <f t="shared" si="4"/>
        <v>11400</v>
      </c>
      <c r="U7" s="53">
        <f>IF($J7="","",ROUND(($J7-$J$3)/1000,1)+(_xlfn.RANK.AVG($J7,($J7,$O7,$T7),1)-2)*20)</f>
        <v>-47.2</v>
      </c>
      <c r="V7" s="54">
        <f>IF($O7="","",ROUND(($O7-$O$3)/1000,1)+(_xlfn.RANK.AVG($O7,($J7,$O7,$T7),1)-2)*20)</f>
        <v>70.8</v>
      </c>
      <c r="W7" s="55">
        <f>IF($T7="","",ROUND(($T7-$T$3)/1000,1)+(_xlfn.RANK.AVG($T7,($J7,$O7,$T7),1)-2)*20)</f>
        <v>-23.6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6</v>
      </c>
      <c r="AY7" s="30" t="s">
        <v>201</v>
      </c>
      <c r="AZ7" s="40" t="s">
        <v>82</v>
      </c>
      <c r="BA7" s="41" t="s">
        <v>104</v>
      </c>
      <c r="BB7" s="41" t="s">
        <v>101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3</v>
      </c>
      <c r="D8" s="18">
        <f t="shared" si="1"/>
        <v>0</v>
      </c>
      <c r="E8" s="4" t="str">
        <f>IF($K$1="","",$K$1)</f>
        <v>だいち</v>
      </c>
      <c r="F8" s="8" t="s">
        <v>200</v>
      </c>
      <c r="G8" s="9">
        <v>8000</v>
      </c>
      <c r="H8" s="9">
        <v>1000</v>
      </c>
      <c r="I8" s="48">
        <v>3000</v>
      </c>
      <c r="J8" s="21">
        <f t="shared" si="2"/>
        <v>19800</v>
      </c>
      <c r="K8" s="8"/>
      <c r="L8" s="9"/>
      <c r="M8" s="9">
        <v>-1000</v>
      </c>
      <c r="N8" s="48"/>
      <c r="O8" s="21">
        <f t="shared" si="3"/>
        <v>84800</v>
      </c>
      <c r="P8" s="8" t="s">
        <v>199</v>
      </c>
      <c r="Q8" s="9">
        <v>-8000</v>
      </c>
      <c r="R8" s="9"/>
      <c r="S8" s="48">
        <v>-3000</v>
      </c>
      <c r="T8" s="21">
        <f t="shared" si="4"/>
        <v>400</v>
      </c>
      <c r="U8" s="53">
        <f>IF($J8="","",ROUND(($J8-$J$3)/1000,1)+(_xlfn.RANK.AVG($J8,($J8,$O8,$T8),1)-2)*20)</f>
        <v>-15.2</v>
      </c>
      <c r="V8" s="54">
        <f>IF($O8="","",ROUND(($O8-$O$3)/1000,1)+(_xlfn.RANK.AVG($O8,($J8,$O8,$T8),1)-2)*20)</f>
        <v>69.8</v>
      </c>
      <c r="W8" s="55">
        <f>IF($T8="","",ROUND(($T8-$T$3)/1000,1)+(_xlfn.RANK.AVG($T8,($J8,$O8,$T8),1)-2)*20)</f>
        <v>-54.6</v>
      </c>
      <c r="Y8" s="8"/>
      <c r="Z8" s="34"/>
      <c r="AA8" s="26">
        <v>1</v>
      </c>
      <c r="AB8" s="26"/>
      <c r="AC8" s="26">
        <v>4</v>
      </c>
      <c r="AD8" s="30">
        <v>40</v>
      </c>
      <c r="AE8" s="40" t="s">
        <v>198</v>
      </c>
      <c r="AF8" s="41" t="s">
        <v>84</v>
      </c>
      <c r="AG8" s="41" t="s">
        <v>79</v>
      </c>
      <c r="AH8" s="41" t="s">
        <v>79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ただ</v>
      </c>
      <c r="F9" s="8" t="s">
        <v>205</v>
      </c>
      <c r="G9" s="9">
        <v>1500</v>
      </c>
      <c r="H9" s="9">
        <v>-1000</v>
      </c>
      <c r="I9" s="48"/>
      <c r="J9" s="21">
        <f t="shared" si="2"/>
        <v>20300</v>
      </c>
      <c r="K9" s="8" t="s">
        <v>205</v>
      </c>
      <c r="L9" s="9">
        <v>1500</v>
      </c>
      <c r="M9" s="9">
        <v>1000</v>
      </c>
      <c r="N9" s="48"/>
      <c r="O9" s="21">
        <f t="shared" si="3"/>
        <v>87300</v>
      </c>
      <c r="P9" s="8" t="s">
        <v>205</v>
      </c>
      <c r="Q9" s="9">
        <v>-3000</v>
      </c>
      <c r="R9" s="9"/>
      <c r="S9" s="48"/>
      <c r="T9" s="21">
        <f t="shared" si="4"/>
        <v>-2600</v>
      </c>
      <c r="U9" s="53">
        <f>IF($J9="","",ROUND(($J9-$J$3)/1000,1)+(_xlfn.RANK.AVG($J9,($J9,$O9,$T9),1)-2)*20)</f>
        <v>-14.7</v>
      </c>
      <c r="V9" s="54">
        <f>IF($O9="","",ROUND(($O9-$O$3)/1000,1)+(_xlfn.RANK.AVG($O9,($J9,$O9,$T9),1)-2)*20)</f>
        <v>72.3</v>
      </c>
      <c r="W9" s="55">
        <f>IF($T9="","",ROUND(($T9-$T$3)/1000,1)+(_xlfn.RANK.AVG($T9,($J9,$O9,$T9),1)-2)*20)</f>
        <v>-57.6</v>
      </c>
      <c r="Y9" s="8" t="s">
        <v>203</v>
      </c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203</v>
      </c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204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3">
    <dataValidation type="list" allowBlank="1" showInputMessage="1" sqref="F1:T1" xr:uid="{3AABFA0C-ACA1-4F42-88A9-CBE7FF73D435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  <dataValidation type="list" allowBlank="1" showInputMessage="1" showErrorMessage="1" sqref="E4:E30" xr:uid="{68AC7A00-DC2C-4592-B3AB-70F66D5250E6}">
      <formula1>$U$2:$W$2</formula1>
    </dataValidation>
    <dataValidation type="list" showInputMessage="1" showErrorMessage="1" sqref="K4:K30 P4:P30 F4:F30" xr:uid="{1538F2F2-EA11-4B84-AD4E-84BD51177016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05E26-8DB7-4843-AB6F-2FB860BB7F5C}">
  <sheetPr codeName="Sheet2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193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206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たかの</v>
      </c>
      <c r="V2" s="69" t="str">
        <f>$K$1</f>
        <v>れんたろう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206</v>
      </c>
      <c r="F4" s="8" t="s">
        <v>200</v>
      </c>
      <c r="G4" s="9">
        <v>2600</v>
      </c>
      <c r="H4" s="9"/>
      <c r="I4" s="48">
        <v>0</v>
      </c>
      <c r="J4" s="21">
        <f>IF(COUNTA($F4,$K4,$P4)&gt;0,J3+SUM(G4:I4),"")</f>
        <v>37600</v>
      </c>
      <c r="K4" s="8"/>
      <c r="L4" s="9"/>
      <c r="M4" s="9"/>
      <c r="N4" s="48"/>
      <c r="O4" s="21">
        <f>IF(COUNTA($F4,$K4,$P4)&gt;0,O3+SUM(L4:N4),"")</f>
        <v>35000</v>
      </c>
      <c r="P4" s="8" t="s">
        <v>199</v>
      </c>
      <c r="Q4" s="9">
        <v>-2600</v>
      </c>
      <c r="R4" s="9"/>
      <c r="S4" s="48">
        <v>0</v>
      </c>
      <c r="T4" s="21">
        <f>IF(COUNTA($F4,$K4,$P4)&gt;0,T3+SUM(Q4:S4),"")</f>
        <v>32400</v>
      </c>
      <c r="U4" s="53">
        <f>IF($J4="","",ROUND(($J4-$J$3)/1000,1)+(_xlfn.RANK.AVG($J4,($J4,$O4,$T4),1)-2)*20)</f>
        <v>22.6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-22.6</v>
      </c>
      <c r="Y4" s="8"/>
      <c r="Z4" s="34"/>
      <c r="AA4" s="26"/>
      <c r="AB4" s="26"/>
      <c r="AC4" s="26">
        <v>2</v>
      </c>
      <c r="AD4" s="30">
        <v>40</v>
      </c>
      <c r="AE4" s="40" t="s">
        <v>85</v>
      </c>
      <c r="AF4" s="41" t="s">
        <v>202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たかの</v>
      </c>
      <c r="F5" s="8" t="s">
        <v>200</v>
      </c>
      <c r="G5" s="9">
        <v>12000</v>
      </c>
      <c r="H5" s="9">
        <v>1000</v>
      </c>
      <c r="I5" s="48">
        <v>0</v>
      </c>
      <c r="J5" s="21">
        <f t="shared" ref="J5:J30" si="2">IF(COUNTA($F5,$K5,$P5)&gt;0,J4+SUM(G5:I5),"")</f>
        <v>50600</v>
      </c>
      <c r="K5" s="8" t="s">
        <v>199</v>
      </c>
      <c r="L5" s="9">
        <v>-12000</v>
      </c>
      <c r="M5" s="9"/>
      <c r="N5" s="48">
        <v>0</v>
      </c>
      <c r="O5" s="21">
        <f t="shared" ref="O5:O30" si="3">IF(COUNTA($F5,$K5,$P5)&gt;0,O4+SUM(L5:N5),"")</f>
        <v>23000</v>
      </c>
      <c r="P5" s="8"/>
      <c r="Q5" s="9"/>
      <c r="R5" s="9">
        <v>-1000</v>
      </c>
      <c r="S5" s="48"/>
      <c r="T5" s="21">
        <f t="shared" ref="T5:T30" si="4">IF(COUNTA($F5,$K5,$P5)&gt;0,T4+SUM(Q5:S5),"")</f>
        <v>31400</v>
      </c>
      <c r="U5" s="53">
        <f>IF($J5="","",ROUND(($J5-$J$3)/1000,1)+(_xlfn.RANK.AVG($J5,($J5,$O5,$T5),1)-2)*20)</f>
        <v>35.6</v>
      </c>
      <c r="V5" s="54">
        <f>IF($O5="","",ROUND(($O5-$O$3)/1000,1)+(_xlfn.RANK.AVG($O5,($J5,$O5,$T5),1)-2)*20)</f>
        <v>-32</v>
      </c>
      <c r="W5" s="55">
        <f>IF($T5="","",ROUND(($T5-$T$3)/1000,1)+(_xlfn.RANK.AVG($T5,($J5,$O5,$T5),1)-2)*20)</f>
        <v>-3.6</v>
      </c>
      <c r="Y5" s="8"/>
      <c r="Z5" s="34"/>
      <c r="AA5" s="26">
        <v>1</v>
      </c>
      <c r="AB5" s="26"/>
      <c r="AC5" s="26">
        <v>4</v>
      </c>
      <c r="AD5" s="30">
        <v>40</v>
      </c>
      <c r="AE5" s="40" t="s">
        <v>198</v>
      </c>
      <c r="AF5" s="41" t="s">
        <v>79</v>
      </c>
      <c r="AG5" s="41" t="s">
        <v>79</v>
      </c>
      <c r="AH5" s="41" t="s">
        <v>79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IF($F$1="","",$F$1)</f>
        <v>たかの</v>
      </c>
      <c r="F6" s="8" t="s">
        <v>196</v>
      </c>
      <c r="G6" s="9">
        <v>-3300</v>
      </c>
      <c r="H6" s="9"/>
      <c r="I6" s="48">
        <v>-500</v>
      </c>
      <c r="J6" s="21">
        <f t="shared" si="2"/>
        <v>46800</v>
      </c>
      <c r="K6" s="8" t="s">
        <v>196</v>
      </c>
      <c r="L6" s="9">
        <v>-2000</v>
      </c>
      <c r="M6" s="9"/>
      <c r="N6" s="48">
        <v>-500</v>
      </c>
      <c r="O6" s="21">
        <f t="shared" si="3"/>
        <v>20500</v>
      </c>
      <c r="P6" s="8" t="s">
        <v>197</v>
      </c>
      <c r="Q6" s="9">
        <v>5300</v>
      </c>
      <c r="R6" s="9"/>
      <c r="S6" s="48">
        <v>1000</v>
      </c>
      <c r="T6" s="21">
        <f t="shared" si="4"/>
        <v>37700</v>
      </c>
      <c r="U6" s="53">
        <f>IF($J6="","",ROUND(($J6-$J$3)/1000,1)+(_xlfn.RANK.AVG($J6,($J6,$O6,$T6),1)-2)*20)</f>
        <v>31.8</v>
      </c>
      <c r="V6" s="54">
        <f>IF($O6="","",ROUND(($O6-$O$3)/1000,1)+(_xlfn.RANK.AVG($O6,($J6,$O6,$T6),1)-2)*20)</f>
        <v>-34.5</v>
      </c>
      <c r="W6" s="55">
        <f>IF($T6="","",ROUND(($T6-$T$3)/1000,1)+(_xlfn.RANK.AVG($T6,($J6,$O6,$T6),1)-2)*20)</f>
        <v>2.7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3</v>
      </c>
      <c r="BT6" s="30">
        <v>40</v>
      </c>
      <c r="BU6" s="40" t="s">
        <v>198</v>
      </c>
      <c r="BV6" s="41" t="s">
        <v>82</v>
      </c>
      <c r="BW6" s="41" t="s">
        <v>80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IF($K$1="","",$K$1)</f>
        <v>れんたろう</v>
      </c>
      <c r="F7" s="8" t="s">
        <v>196</v>
      </c>
      <c r="G7" s="9">
        <v>-3000</v>
      </c>
      <c r="H7" s="9">
        <v>-1000</v>
      </c>
      <c r="I7" s="48">
        <v>0</v>
      </c>
      <c r="J7" s="21">
        <f t="shared" si="2"/>
        <v>42800</v>
      </c>
      <c r="K7" s="8" t="s">
        <v>197</v>
      </c>
      <c r="L7" s="9">
        <v>6000</v>
      </c>
      <c r="M7" s="9">
        <v>1000</v>
      </c>
      <c r="N7" s="48">
        <v>0</v>
      </c>
      <c r="O7" s="21">
        <f t="shared" si="3"/>
        <v>27500</v>
      </c>
      <c r="P7" s="8" t="s">
        <v>196</v>
      </c>
      <c r="Q7" s="9">
        <v>-3000</v>
      </c>
      <c r="R7" s="9"/>
      <c r="S7" s="48">
        <v>0</v>
      </c>
      <c r="T7" s="21">
        <f t="shared" si="4"/>
        <v>34700</v>
      </c>
      <c r="U7" s="53">
        <f>IF($J7="","",ROUND(($J7-$J$3)/1000,1)+(_xlfn.RANK.AVG($J7,($J7,$O7,$T7),1)-2)*20)</f>
        <v>27.8</v>
      </c>
      <c r="V7" s="54">
        <f>IF($O7="","",ROUND(($O7-$O$3)/1000,1)+(_xlfn.RANK.AVG($O7,($J7,$O7,$T7),1)-2)*20)</f>
        <v>-27.5</v>
      </c>
      <c r="W7" s="55">
        <f>IF($T7="","",ROUND(($T7-$T$3)/1000,1)+(_xlfn.RANK.AVG($T7,($J7,$O7,$T7),1)-2)*20)</f>
        <v>-0.3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30</v>
      </c>
      <c r="AZ7" s="40" t="s">
        <v>198</v>
      </c>
      <c r="BA7" s="41" t="s">
        <v>82</v>
      </c>
      <c r="BB7" s="41" t="s">
        <v>84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tr">
        <f>IF($K$1="","",$K$1)</f>
        <v>れんたろう</v>
      </c>
      <c r="F8" s="8" t="s">
        <v>205</v>
      </c>
      <c r="G8" s="9">
        <v>-1500</v>
      </c>
      <c r="H8" s="9"/>
      <c r="I8" s="48"/>
      <c r="J8" s="21">
        <f t="shared" si="2"/>
        <v>41300</v>
      </c>
      <c r="K8" s="8" t="s">
        <v>205</v>
      </c>
      <c r="L8" s="9">
        <v>3000</v>
      </c>
      <c r="M8" s="9"/>
      <c r="N8" s="48"/>
      <c r="O8" s="21">
        <f t="shared" si="3"/>
        <v>30500</v>
      </c>
      <c r="P8" s="8" t="s">
        <v>205</v>
      </c>
      <c r="Q8" s="9">
        <v>-1500</v>
      </c>
      <c r="R8" s="9"/>
      <c r="S8" s="48"/>
      <c r="T8" s="21">
        <f t="shared" si="4"/>
        <v>33200</v>
      </c>
      <c r="U8" s="53">
        <f>IF($J8="","",ROUND(($J8-$J$3)/1000,1)+(_xlfn.RANK.AVG($J8,($J8,$O8,$T8),1)-2)*20)</f>
        <v>26.3</v>
      </c>
      <c r="V8" s="54">
        <f>IF($O8="","",ROUND(($O8-$O$3)/1000,1)+(_xlfn.RANK.AVG($O8,($J8,$O8,$T8),1)-2)*20)</f>
        <v>-24.5</v>
      </c>
      <c r="W8" s="55">
        <f>IF($T8="","",ROUND(($T8-$T$3)/1000,1)+(_xlfn.RANK.AVG($T8,($J8,$O8,$T8),1)-2)*20)</f>
        <v>-1.8</v>
      </c>
      <c r="Y8" s="8" t="s">
        <v>204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203</v>
      </c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204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2</v>
      </c>
      <c r="D9" s="18">
        <f t="shared" si="1"/>
        <v>0</v>
      </c>
      <c r="E9" s="4" t="str">
        <f>IF($K$1="","",$K$1)</f>
        <v>れんたろう</v>
      </c>
      <c r="F9" s="8"/>
      <c r="G9" s="9"/>
      <c r="H9" s="9"/>
      <c r="I9" s="48"/>
      <c r="J9" s="21">
        <f t="shared" si="2"/>
        <v>41300</v>
      </c>
      <c r="K9" s="8" t="s">
        <v>200</v>
      </c>
      <c r="L9" s="9">
        <v>12000</v>
      </c>
      <c r="M9" s="9">
        <v>1000</v>
      </c>
      <c r="N9" s="48">
        <v>2000</v>
      </c>
      <c r="O9" s="21">
        <f t="shared" si="3"/>
        <v>45500</v>
      </c>
      <c r="P9" s="8" t="s">
        <v>199</v>
      </c>
      <c r="Q9" s="9">
        <v>-12000</v>
      </c>
      <c r="R9" s="9">
        <v>-1000</v>
      </c>
      <c r="S9" s="48">
        <v>-2000</v>
      </c>
      <c r="T9" s="21">
        <f t="shared" si="4"/>
        <v>18200</v>
      </c>
      <c r="U9" s="53">
        <f>IF($J9="","",ROUND(($J9-$J$3)/1000,1)+(_xlfn.RANK.AVG($J9,($J9,$O9,$T9),1)-2)*20)</f>
        <v>6.3</v>
      </c>
      <c r="V9" s="54">
        <f>IF($O9="","",ROUND(($O9-$O$3)/1000,1)+(_xlfn.RANK.AVG($O9,($J9,$O9,$T9),1)-2)*20)</f>
        <v>30.5</v>
      </c>
      <c r="W9" s="55">
        <f>IF($T9="","",ROUND(($T9-$T$3)/1000,1)+(_xlfn.RANK.AVG($T9,($J9,$O9,$T9),1)-2)*20)</f>
        <v>-36.799999999999997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5</v>
      </c>
      <c r="AY9" s="30" t="s">
        <v>201</v>
      </c>
      <c r="AZ9" s="40" t="s">
        <v>198</v>
      </c>
      <c r="BA9" s="41" t="s">
        <v>83</v>
      </c>
      <c r="BB9" s="41" t="s">
        <v>202</v>
      </c>
      <c r="BC9" s="41" t="s">
        <v>80</v>
      </c>
      <c r="BD9" s="41" t="s">
        <v>80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3</v>
      </c>
      <c r="D10" s="18">
        <f t="shared" si="1"/>
        <v>0</v>
      </c>
      <c r="E10" s="4" t="str">
        <f>IF($K$1="","",$K$1)</f>
        <v>れんたろう</v>
      </c>
      <c r="F10" s="8" t="s">
        <v>205</v>
      </c>
      <c r="G10" s="9">
        <v>1500</v>
      </c>
      <c r="H10" s="9">
        <v>-1000</v>
      </c>
      <c r="I10" s="48"/>
      <c r="J10" s="21">
        <f t="shared" si="2"/>
        <v>41800</v>
      </c>
      <c r="K10" s="8" t="s">
        <v>205</v>
      </c>
      <c r="L10" s="9">
        <v>1500</v>
      </c>
      <c r="M10" s="9">
        <v>-1000</v>
      </c>
      <c r="N10" s="48"/>
      <c r="O10" s="21">
        <f t="shared" si="3"/>
        <v>46000</v>
      </c>
      <c r="P10" s="8" t="s">
        <v>205</v>
      </c>
      <c r="Q10" s="9">
        <v>-3000</v>
      </c>
      <c r="R10" s="9"/>
      <c r="S10" s="48"/>
      <c r="T10" s="21">
        <f t="shared" si="4"/>
        <v>15200</v>
      </c>
      <c r="U10" s="53">
        <f>IF($J10="","",ROUND(($J10-$J$3)/1000,1)+(_xlfn.RANK.AVG($J10,($J10,$O10,$T10),1)-2)*20)</f>
        <v>6.8</v>
      </c>
      <c r="V10" s="54">
        <f>IF($O10="","",ROUND(($O10-$O$3)/1000,1)+(_xlfn.RANK.AVG($O10,($J10,$O10,$T10),1)-2)*20)</f>
        <v>31</v>
      </c>
      <c r="W10" s="55">
        <f>IF($T10="","",ROUND(($T10-$T$3)/1000,1)+(_xlfn.RANK.AVG($T10,($J10,$O10,$T10),1)-2)*20)</f>
        <v>-39.799999999999997</v>
      </c>
      <c r="Y10" s="8" t="s">
        <v>203</v>
      </c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203</v>
      </c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204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4</v>
      </c>
      <c r="D11" s="18">
        <f t="shared" si="1"/>
        <v>2</v>
      </c>
      <c r="E11" s="4" t="str">
        <f>IF($K$1="","",$K$1)</f>
        <v>れんたろう</v>
      </c>
      <c r="F11" s="8"/>
      <c r="G11" s="9"/>
      <c r="H11" s="9"/>
      <c r="I11" s="48"/>
      <c r="J11" s="21">
        <f t="shared" si="2"/>
        <v>41800</v>
      </c>
      <c r="K11" s="8" t="s">
        <v>199</v>
      </c>
      <c r="L11" s="9">
        <v>-7700</v>
      </c>
      <c r="M11" s="9">
        <v>-1000</v>
      </c>
      <c r="N11" s="48">
        <v>-4000</v>
      </c>
      <c r="O11" s="21">
        <f t="shared" si="3"/>
        <v>33300</v>
      </c>
      <c r="P11" s="8" t="s">
        <v>200</v>
      </c>
      <c r="Q11" s="9">
        <v>7700</v>
      </c>
      <c r="R11" s="9">
        <v>3000</v>
      </c>
      <c r="S11" s="48">
        <v>4000</v>
      </c>
      <c r="T11" s="21">
        <f t="shared" si="4"/>
        <v>29900</v>
      </c>
      <c r="U11" s="53">
        <f>IF($J11="","",ROUND(($J11-$J$3)/1000,1)+(_xlfn.RANK.AVG($J11,($J11,$O11,$T11),1)-2)*20)</f>
        <v>26.8</v>
      </c>
      <c r="V11" s="54">
        <f>IF($O11="","",ROUND(($O11-$O$3)/1000,1)+(_xlfn.RANK.AVG($O11,($J11,$O11,$T11),1)-2)*20)</f>
        <v>-1.7</v>
      </c>
      <c r="W11" s="55">
        <f>IF($T11="","",ROUND(($T11-$T$3)/1000,1)+(_xlfn.RANK.AVG($T11,($J11,$O11,$T11),1)-2)*20)</f>
        <v>-25.1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4</v>
      </c>
      <c r="BT11" s="30">
        <v>30</v>
      </c>
      <c r="BU11" s="40" t="s">
        <v>198</v>
      </c>
      <c r="BV11" s="41" t="s">
        <v>83</v>
      </c>
      <c r="BW11" s="41" t="s">
        <v>84</v>
      </c>
      <c r="BX11" s="41" t="s">
        <v>202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tr">
        <f>IF($P$1="","",$P$1)</f>
        <v>だいち</v>
      </c>
      <c r="F12" s="8" t="s">
        <v>200</v>
      </c>
      <c r="G12" s="9">
        <v>2600</v>
      </c>
      <c r="H12" s="9">
        <v>3000</v>
      </c>
      <c r="I12" s="48">
        <v>0</v>
      </c>
      <c r="J12" s="21">
        <f t="shared" si="2"/>
        <v>47400</v>
      </c>
      <c r="K12" s="8"/>
      <c r="L12" s="9"/>
      <c r="M12" s="9">
        <v>-1000</v>
      </c>
      <c r="N12" s="48"/>
      <c r="O12" s="21">
        <f t="shared" si="3"/>
        <v>32300</v>
      </c>
      <c r="P12" s="8" t="s">
        <v>199</v>
      </c>
      <c r="Q12" s="9">
        <v>-2600</v>
      </c>
      <c r="R12" s="9">
        <v>-2000</v>
      </c>
      <c r="S12" s="48">
        <v>0</v>
      </c>
      <c r="T12" s="21">
        <f t="shared" si="4"/>
        <v>25300</v>
      </c>
      <c r="U12" s="53">
        <f>IF($J12="","",ROUND(($J12-$J$3)/1000,1)+(_xlfn.RANK.AVG($J12,($J12,$O12,$T12),1)-2)*20)</f>
        <v>32.4</v>
      </c>
      <c r="V12" s="54">
        <f>IF($O12="","",ROUND(($O12-$O$3)/1000,1)+(_xlfn.RANK.AVG($O12,($J12,$O12,$T12),1)-2)*20)</f>
        <v>-2.7</v>
      </c>
      <c r="W12" s="55">
        <f>IF($T12="","",ROUND(($T12-$T$3)/1000,1)+(_xlfn.RANK.AVG($T12,($J12,$O12,$T12),1)-2)*20)</f>
        <v>-29.7</v>
      </c>
      <c r="Y12" s="8"/>
      <c r="Z12" s="34"/>
      <c r="AA12" s="26">
        <v>1</v>
      </c>
      <c r="AB12" s="26"/>
      <c r="AC12" s="26">
        <v>2</v>
      </c>
      <c r="AD12" s="30">
        <v>40</v>
      </c>
      <c r="AE12" s="40" t="s">
        <v>198</v>
      </c>
      <c r="AF12" s="41" t="s">
        <v>86</v>
      </c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tr">
        <f>IF($F$1="","",$F$1)</f>
        <v>たかの</v>
      </c>
      <c r="F13" s="8" t="s">
        <v>199</v>
      </c>
      <c r="G13" s="9">
        <v>-6400</v>
      </c>
      <c r="H13" s="9"/>
      <c r="I13" s="48">
        <v>0</v>
      </c>
      <c r="J13" s="21">
        <f t="shared" si="2"/>
        <v>41000</v>
      </c>
      <c r="K13" s="8"/>
      <c r="L13" s="9"/>
      <c r="M13" s="9"/>
      <c r="N13" s="48"/>
      <c r="O13" s="21">
        <f t="shared" si="3"/>
        <v>32300</v>
      </c>
      <c r="P13" s="8" t="s">
        <v>200</v>
      </c>
      <c r="Q13" s="9">
        <v>6400</v>
      </c>
      <c r="R13" s="9"/>
      <c r="S13" s="48">
        <v>0</v>
      </c>
      <c r="T13" s="21">
        <f t="shared" si="4"/>
        <v>31700</v>
      </c>
      <c r="U13" s="53">
        <f>IF($J13="","",ROUND(($J13-$J$3)/1000,1)+(_xlfn.RANK.AVG($J13,($J13,$O13,$T13),1)-2)*20)</f>
        <v>26</v>
      </c>
      <c r="V13" s="54">
        <f>IF($O13="","",ROUND(($O13-$O$3)/1000,1)+(_xlfn.RANK.AVG($O13,($J13,$O13,$T13),1)-2)*20)</f>
        <v>-2.7</v>
      </c>
      <c r="W13" s="55">
        <f>IF($T13="","",ROUND(($T13-$T$3)/1000,1)+(_xlfn.RANK.AVG($T13,($J13,$O13,$T13),1)-2)*20)</f>
        <v>-23.3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>
        <v>4</v>
      </c>
      <c r="BT13" s="30">
        <v>25</v>
      </c>
      <c r="BU13" s="40" t="s">
        <v>101</v>
      </c>
      <c r="BV13" s="41" t="s">
        <v>202</v>
      </c>
      <c r="BW13" s="41" t="s">
        <v>202</v>
      </c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tr">
        <f>IF($K$1="","",$K$1)</f>
        <v>れんたろう</v>
      </c>
      <c r="F14" s="8" t="s">
        <v>197</v>
      </c>
      <c r="G14" s="9">
        <v>5300</v>
      </c>
      <c r="H14" s="9"/>
      <c r="I14" s="48">
        <v>0</v>
      </c>
      <c r="J14" s="21">
        <f t="shared" si="2"/>
        <v>46300</v>
      </c>
      <c r="K14" s="8" t="s">
        <v>196</v>
      </c>
      <c r="L14" s="9">
        <v>-3300</v>
      </c>
      <c r="M14" s="9"/>
      <c r="N14" s="48">
        <v>0</v>
      </c>
      <c r="O14" s="21">
        <f t="shared" si="3"/>
        <v>29000</v>
      </c>
      <c r="P14" s="8" t="s">
        <v>196</v>
      </c>
      <c r="Q14" s="9">
        <v>-2000</v>
      </c>
      <c r="R14" s="9"/>
      <c r="S14" s="48">
        <v>0</v>
      </c>
      <c r="T14" s="21">
        <f t="shared" si="4"/>
        <v>29700</v>
      </c>
      <c r="U14" s="53">
        <f>IF($J14="","",ROUND(($J14-$J$3)/1000,1)+(_xlfn.RANK.AVG($J14,($J14,$O14,$T14),1)-2)*20)</f>
        <v>31.3</v>
      </c>
      <c r="V14" s="54">
        <f>IF($O14="","",ROUND(($O14-$O$3)/1000,1)+(_xlfn.RANK.AVG($O14,($J14,$O14,$T14),1)-2)*20)</f>
        <v>-26</v>
      </c>
      <c r="W14" s="55">
        <f>IF($T14="","",ROUND(($T14-$T$3)/1000,1)+(_xlfn.RANK.AVG($T14,($J14,$O14,$T14),1)-2)*20)</f>
        <v>-5.3</v>
      </c>
      <c r="Y14" s="8"/>
      <c r="Z14" s="34"/>
      <c r="AA14" s="26">
        <v>1</v>
      </c>
      <c r="AB14" s="26"/>
      <c r="AC14" s="26">
        <v>4</v>
      </c>
      <c r="AD14" s="30">
        <v>20</v>
      </c>
      <c r="AE14" s="40" t="s">
        <v>198</v>
      </c>
      <c r="AF14" s="41" t="s">
        <v>82</v>
      </c>
      <c r="AG14" s="41" t="s">
        <v>83</v>
      </c>
      <c r="AH14" s="41" t="s">
        <v>84</v>
      </c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>
        <v>1</v>
      </c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showInputMessage="1" showErrorMessage="1" sqref="K4:K30 P4:P30 F4:F30" xr:uid="{D3ADBA08-E4C7-48EB-B5C1-428453A3F800}">
      <formula1>"ロン,ツモ,放銃,ツモ支払,流局,チョンボ"</formula1>
    </dataValidation>
    <dataValidation type="list" allowBlank="1" showInputMessage="1" showErrorMessage="1" sqref="E4:E30" xr:uid="{D35BB4F4-EC3D-493F-BFF7-1E62D7728148}">
      <formula1>$U$2:$W$2</formula1>
    </dataValidation>
    <dataValidation type="list" allowBlank="1" showInputMessage="1" sqref="F1:T1" xr:uid="{905781D2-F5A0-4DF7-8F39-43D7FE5FAE88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12617-BAA7-4C14-9DE7-7A79DE6F27BC}">
  <sheetPr codeName="Sheet2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195</v>
      </c>
      <c r="G1" s="72"/>
      <c r="H1" s="72"/>
      <c r="I1" s="73"/>
      <c r="J1" s="74"/>
      <c r="K1" s="71" t="s">
        <v>193</v>
      </c>
      <c r="L1" s="72"/>
      <c r="M1" s="72"/>
      <c r="N1" s="73"/>
      <c r="O1" s="74"/>
      <c r="P1" s="71" t="s">
        <v>192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たかの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196</v>
      </c>
      <c r="G4" s="9">
        <v>-1300</v>
      </c>
      <c r="H4" s="9"/>
      <c r="I4" s="48">
        <v>0</v>
      </c>
      <c r="J4" s="21">
        <f>IF(COUNTA($F4,$K4,$P4)&gt;0,J3+SUM(G4:I4),"")</f>
        <v>33700</v>
      </c>
      <c r="K4" s="8" t="s">
        <v>197</v>
      </c>
      <c r="L4" s="9">
        <v>2100</v>
      </c>
      <c r="M4" s="9"/>
      <c r="N4" s="48">
        <v>0</v>
      </c>
      <c r="O4" s="21">
        <f>IF(COUNTA($F4,$K4,$P4)&gt;0,O3+SUM(L4:N4),"")</f>
        <v>37100</v>
      </c>
      <c r="P4" s="8" t="s">
        <v>196</v>
      </c>
      <c r="Q4" s="9">
        <v>-800</v>
      </c>
      <c r="R4" s="9"/>
      <c r="S4" s="48">
        <v>0</v>
      </c>
      <c r="T4" s="21">
        <f>IF(COUNTA($F4,$K4,$P4)&gt;0,T3+SUM(Q4:S4),"")</f>
        <v>34200</v>
      </c>
      <c r="U4" s="53">
        <f>IF($J4="","",ROUND(($J4-$J$3)/1000,1)+(_xlfn.RANK.AVG($J4,($J4,$O4,$T4),1)-2)*20)</f>
        <v>-21.3</v>
      </c>
      <c r="V4" s="54">
        <f>IF($O4="","",ROUND(($O4-$O$3)/1000,1)+(_xlfn.RANK.AVG($O4,($J4,$O4,$T4),1)-2)*20)</f>
        <v>22.1</v>
      </c>
      <c r="W4" s="55">
        <f>IF($T4="","",ROUND(($T4-$T$3)/1000,1)+(_xlfn.RANK.AVG($T4,($J4,$O4,$T4),1)-2)*20)</f>
        <v>-0.8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2</v>
      </c>
      <c r="AY4" s="30">
        <v>30</v>
      </c>
      <c r="AZ4" s="40" t="s">
        <v>86</v>
      </c>
      <c r="BA4" s="41" t="s">
        <v>202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たかの</v>
      </c>
      <c r="F5" s="8" t="s">
        <v>196</v>
      </c>
      <c r="G5" s="9">
        <v>-800</v>
      </c>
      <c r="H5" s="9"/>
      <c r="I5" s="48">
        <v>0</v>
      </c>
      <c r="J5" s="21">
        <f t="shared" ref="J5:J30" si="2">IF(COUNTA($F5,$K5,$P5)&gt;0,J4+SUM(G5:I5),"")</f>
        <v>32900</v>
      </c>
      <c r="K5" s="8" t="s">
        <v>197</v>
      </c>
      <c r="L5" s="9">
        <v>1600</v>
      </c>
      <c r="M5" s="9"/>
      <c r="N5" s="48">
        <v>0</v>
      </c>
      <c r="O5" s="21">
        <f t="shared" ref="O5:O30" si="3">IF(COUNTA($F5,$K5,$P5)&gt;0,O4+SUM(L5:N5),"")</f>
        <v>38700</v>
      </c>
      <c r="P5" s="8" t="s">
        <v>196</v>
      </c>
      <c r="Q5" s="9">
        <v>-800</v>
      </c>
      <c r="R5" s="9"/>
      <c r="S5" s="48">
        <v>0</v>
      </c>
      <c r="T5" s="21">
        <f t="shared" ref="T5:T30" si="4">IF(COUNTA($F5,$K5,$P5)&gt;0,T4+SUM(Q5:S5),"")</f>
        <v>33400</v>
      </c>
      <c r="U5" s="53">
        <f>IF($J5="","",ROUND(($J5-$J$3)/1000,1)+(_xlfn.RANK.AVG($J5,($J5,$O5,$T5),1)-2)*20)</f>
        <v>-22.1</v>
      </c>
      <c r="V5" s="54">
        <f>IF($O5="","",ROUND(($O5-$O$3)/1000,1)+(_xlfn.RANK.AVG($O5,($J5,$O5,$T5),1)-2)*20)</f>
        <v>23.7</v>
      </c>
      <c r="W5" s="55">
        <f>IF($T5="","",ROUND(($T5-$T$3)/1000,1)+(_xlfn.RANK.AVG($T5,($J5,$O5,$T5),1)-2)*20)</f>
        <v>-1.6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1</v>
      </c>
      <c r="AY5" s="30">
        <v>30</v>
      </c>
      <c r="AZ5" s="40" t="s">
        <v>86</v>
      </c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たかの</v>
      </c>
      <c r="F6" s="8" t="s">
        <v>196</v>
      </c>
      <c r="G6" s="9">
        <v>-6000</v>
      </c>
      <c r="H6" s="9"/>
      <c r="I6" s="48">
        <v>-500</v>
      </c>
      <c r="J6" s="21">
        <f t="shared" si="2"/>
        <v>26400</v>
      </c>
      <c r="K6" s="8" t="s">
        <v>197</v>
      </c>
      <c r="L6" s="9">
        <v>12000</v>
      </c>
      <c r="M6" s="9">
        <v>1000</v>
      </c>
      <c r="N6" s="48">
        <v>1000</v>
      </c>
      <c r="O6" s="21">
        <f t="shared" si="3"/>
        <v>52700</v>
      </c>
      <c r="P6" s="8" t="s">
        <v>196</v>
      </c>
      <c r="Q6" s="9">
        <v>-6000</v>
      </c>
      <c r="R6" s="9">
        <v>-1000</v>
      </c>
      <c r="S6" s="48">
        <v>-500</v>
      </c>
      <c r="T6" s="21">
        <f t="shared" si="4"/>
        <v>25900</v>
      </c>
      <c r="U6" s="53">
        <f>IF($J6="","",ROUND(($J6-$J$3)/1000,1)+(_xlfn.RANK.AVG($J6,($J6,$O6,$T6),1)-2)*20)</f>
        <v>-8.6</v>
      </c>
      <c r="V6" s="54">
        <f>IF($O6="","",ROUND(($O6-$O$3)/1000,1)+(_xlfn.RANK.AVG($O6,($J6,$O6,$T6),1)-2)*20)</f>
        <v>37.700000000000003</v>
      </c>
      <c r="W6" s="55">
        <f>IF($T6="","",ROUND(($T6-$T$3)/1000,1)+(_xlfn.RANK.AVG($T6,($J6,$O6,$T6),1)-2)*20)</f>
        <v>-29.1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40</v>
      </c>
      <c r="AZ6" s="40" t="s">
        <v>198</v>
      </c>
      <c r="BA6" s="41" t="s">
        <v>82</v>
      </c>
      <c r="BB6" s="41" t="s">
        <v>79</v>
      </c>
      <c r="BC6" s="41" t="s">
        <v>80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tr">
        <f>IF($K$1="","",$K$1)</f>
        <v>たかの</v>
      </c>
      <c r="F7" s="8" t="s">
        <v>196</v>
      </c>
      <c r="G7" s="9">
        <v>-1100</v>
      </c>
      <c r="H7" s="9"/>
      <c r="I7" s="48">
        <v>-1000</v>
      </c>
      <c r="J7" s="21">
        <f t="shared" si="2"/>
        <v>24300</v>
      </c>
      <c r="K7" s="8" t="s">
        <v>196</v>
      </c>
      <c r="L7" s="9">
        <v>-1700</v>
      </c>
      <c r="M7" s="9"/>
      <c r="N7" s="48">
        <v>-1000</v>
      </c>
      <c r="O7" s="21">
        <f t="shared" si="3"/>
        <v>50000</v>
      </c>
      <c r="P7" s="8" t="s">
        <v>197</v>
      </c>
      <c r="Q7" s="9">
        <v>2800</v>
      </c>
      <c r="R7" s="9"/>
      <c r="S7" s="48">
        <v>2000</v>
      </c>
      <c r="T7" s="21">
        <f t="shared" si="4"/>
        <v>30700</v>
      </c>
      <c r="U7" s="53">
        <f>IF($J7="","",ROUND(($J7-$J$3)/1000,1)+(_xlfn.RANK.AVG($J7,($J7,$O7,$T7),1)-2)*20)</f>
        <v>-30.7</v>
      </c>
      <c r="V7" s="54">
        <f>IF($O7="","",ROUND(($O7-$O$3)/1000,1)+(_xlfn.RANK.AVG($O7,($J7,$O7,$T7),1)-2)*20)</f>
        <v>35</v>
      </c>
      <c r="W7" s="55">
        <f>IF($T7="","",ROUND(($T7-$T$3)/1000,1)+(_xlfn.RANK.AVG($T7,($J7,$O7,$T7),1)-2)*20)</f>
        <v>-4.3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20</v>
      </c>
      <c r="BU7" s="40" t="s">
        <v>198</v>
      </c>
      <c r="BV7" s="41" t="s">
        <v>83</v>
      </c>
      <c r="BW7" s="41" t="s">
        <v>82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れんたろう</v>
      </c>
      <c r="F8" s="8" t="s">
        <v>196</v>
      </c>
      <c r="G8" s="9">
        <v>-4500</v>
      </c>
      <c r="H8" s="9"/>
      <c r="I8" s="48">
        <v>0</v>
      </c>
      <c r="J8" s="21">
        <f t="shared" si="2"/>
        <v>19800</v>
      </c>
      <c r="K8" s="8" t="s">
        <v>197</v>
      </c>
      <c r="L8" s="9">
        <v>12000</v>
      </c>
      <c r="M8" s="9"/>
      <c r="N8" s="48">
        <v>0</v>
      </c>
      <c r="O8" s="21">
        <f t="shared" si="3"/>
        <v>62000</v>
      </c>
      <c r="P8" s="8" t="s">
        <v>196</v>
      </c>
      <c r="Q8" s="9">
        <v>-7500</v>
      </c>
      <c r="R8" s="9"/>
      <c r="S8" s="48">
        <v>0</v>
      </c>
      <c r="T8" s="21">
        <f t="shared" si="4"/>
        <v>23200</v>
      </c>
      <c r="U8" s="53">
        <f>IF($J8="","",ROUND(($J8-$J$3)/1000,1)+(_xlfn.RANK.AVG($J8,($J8,$O8,$T8),1)-2)*20)</f>
        <v>-35.200000000000003</v>
      </c>
      <c r="V8" s="54">
        <f>IF($O8="","",ROUND(($O8-$O$3)/1000,1)+(_xlfn.RANK.AVG($O8,($J8,$O8,$T8),1)-2)*20)</f>
        <v>47</v>
      </c>
      <c r="W8" s="55">
        <f>IF($T8="","",ROUND(($T8-$T$3)/1000,1)+(_xlfn.RANK.AVG($T8,($J8,$O8,$T8),1)-2)*20)</f>
        <v>-11.8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6</v>
      </c>
      <c r="AY8" s="30" t="s">
        <v>201</v>
      </c>
      <c r="AZ8" s="40" t="s">
        <v>96</v>
      </c>
      <c r="BA8" s="41" t="s">
        <v>98</v>
      </c>
      <c r="BB8" s="41" t="s">
        <v>202</v>
      </c>
      <c r="BC8" s="41" t="s">
        <v>86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ただ</v>
      </c>
      <c r="F9" s="8" t="s">
        <v>197</v>
      </c>
      <c r="G9" s="9">
        <v>7800</v>
      </c>
      <c r="H9" s="9"/>
      <c r="I9" s="48">
        <v>0</v>
      </c>
      <c r="J9" s="21">
        <f t="shared" si="2"/>
        <v>27600</v>
      </c>
      <c r="K9" s="8" t="s">
        <v>196</v>
      </c>
      <c r="L9" s="9">
        <v>-3900</v>
      </c>
      <c r="M9" s="9"/>
      <c r="N9" s="48">
        <v>0</v>
      </c>
      <c r="O9" s="21">
        <f t="shared" si="3"/>
        <v>58100</v>
      </c>
      <c r="P9" s="8" t="s">
        <v>196</v>
      </c>
      <c r="Q9" s="9">
        <v>-3900</v>
      </c>
      <c r="R9" s="9"/>
      <c r="S9" s="48">
        <v>0</v>
      </c>
      <c r="T9" s="21">
        <f t="shared" si="4"/>
        <v>19300</v>
      </c>
      <c r="U9" s="53">
        <f>IF($J9="","",ROUND(($J9-$J$3)/1000,1)+(_xlfn.RANK.AVG($J9,($J9,$O9,$T9),1)-2)*20)</f>
        <v>-7.4</v>
      </c>
      <c r="V9" s="54">
        <f>IF($O9="","",ROUND(($O9-$O$3)/1000,1)+(_xlfn.RANK.AVG($O9,($J9,$O9,$T9),1)-2)*20)</f>
        <v>43.1</v>
      </c>
      <c r="W9" s="55">
        <f>IF($T9="","",ROUND(($T9-$T$3)/1000,1)+(_xlfn.RANK.AVG($T9,($J9,$O9,$T9),1)-2)*20)</f>
        <v>-35.700000000000003</v>
      </c>
      <c r="Y9" s="8"/>
      <c r="Z9" s="34"/>
      <c r="AA9" s="26">
        <v>1</v>
      </c>
      <c r="AB9" s="26"/>
      <c r="AC9" s="26">
        <v>4</v>
      </c>
      <c r="AD9" s="30">
        <v>20</v>
      </c>
      <c r="AE9" s="40" t="s">
        <v>198</v>
      </c>
      <c r="AF9" s="41" t="s">
        <v>82</v>
      </c>
      <c r="AG9" s="41" t="s">
        <v>83</v>
      </c>
      <c r="AH9" s="41" t="s">
        <v>207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tr">
        <f>IF($F$1="","",$F$1)</f>
        <v>ただ</v>
      </c>
      <c r="F10" s="8" t="s">
        <v>205</v>
      </c>
      <c r="G10" s="9">
        <v>0</v>
      </c>
      <c r="H10" s="9">
        <v>-1000</v>
      </c>
      <c r="I10" s="48"/>
      <c r="J10" s="21">
        <f t="shared" si="2"/>
        <v>26600</v>
      </c>
      <c r="K10" s="8" t="s">
        <v>205</v>
      </c>
      <c r="L10" s="9">
        <v>0</v>
      </c>
      <c r="M10" s="9"/>
      <c r="N10" s="48"/>
      <c r="O10" s="21">
        <f t="shared" si="3"/>
        <v>58100</v>
      </c>
      <c r="P10" s="8" t="s">
        <v>205</v>
      </c>
      <c r="Q10" s="9">
        <v>0</v>
      </c>
      <c r="R10" s="9">
        <v>-1000</v>
      </c>
      <c r="S10" s="48"/>
      <c r="T10" s="21">
        <f t="shared" si="4"/>
        <v>18300</v>
      </c>
      <c r="U10" s="53">
        <f>IF($J10="","",ROUND(($J10-$J$3)/1000,1)+(_xlfn.RANK.AVG($J10,($J10,$O10,$T10),1)-2)*20)</f>
        <v>-8.4</v>
      </c>
      <c r="V10" s="54">
        <f>IF($O10="","",ROUND(($O10-$O$3)/1000,1)+(_xlfn.RANK.AVG($O10,($J10,$O10,$T10),1)-2)*20)</f>
        <v>43.1</v>
      </c>
      <c r="W10" s="55">
        <f>IF($T10="","",ROUND(($T10-$T$3)/1000,1)+(_xlfn.RANK.AVG($T10,($J10,$O10,$T10),1)-2)*20)</f>
        <v>-36.700000000000003</v>
      </c>
      <c r="Y10" s="8" t="s">
        <v>203</v>
      </c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203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203</v>
      </c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2</v>
      </c>
      <c r="D11" s="18">
        <f t="shared" si="1"/>
        <v>2</v>
      </c>
      <c r="E11" s="4" t="str">
        <f>IF($F$1="","",$F$1)</f>
        <v>ただ</v>
      </c>
      <c r="F11" s="8" t="s">
        <v>205</v>
      </c>
      <c r="G11" s="9">
        <v>3000</v>
      </c>
      <c r="H11" s="9"/>
      <c r="I11" s="48"/>
      <c r="J11" s="21">
        <f t="shared" si="2"/>
        <v>29600</v>
      </c>
      <c r="K11" s="8" t="s">
        <v>205</v>
      </c>
      <c r="L11" s="9">
        <v>-1500</v>
      </c>
      <c r="M11" s="9"/>
      <c r="N11" s="48"/>
      <c r="O11" s="21">
        <f t="shared" si="3"/>
        <v>56600</v>
      </c>
      <c r="P11" s="8" t="s">
        <v>205</v>
      </c>
      <c r="Q11" s="9">
        <v>-1500</v>
      </c>
      <c r="R11" s="9"/>
      <c r="S11" s="48"/>
      <c r="T11" s="21">
        <f t="shared" si="4"/>
        <v>16800</v>
      </c>
      <c r="U11" s="53">
        <f>IF($J11="","",ROUND(($J11-$J$3)/1000,1)+(_xlfn.RANK.AVG($J11,($J11,$O11,$T11),1)-2)*20)</f>
        <v>-5.4</v>
      </c>
      <c r="V11" s="54">
        <f>IF($O11="","",ROUND(($O11-$O$3)/1000,1)+(_xlfn.RANK.AVG($O11,($J11,$O11,$T11),1)-2)*20)</f>
        <v>41.6</v>
      </c>
      <c r="W11" s="55">
        <f>IF($T11="","",ROUND(($T11-$T$3)/1000,1)+(_xlfn.RANK.AVG($T11,($J11,$O11,$T11),1)-2)*20)</f>
        <v>-38.200000000000003</v>
      </c>
      <c r="Y11" s="8" t="s">
        <v>203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204</v>
      </c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204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3</v>
      </c>
      <c r="D12" s="18">
        <f t="shared" si="1"/>
        <v>2</v>
      </c>
      <c r="E12" s="4" t="str">
        <f>IF($F$1="","",$F$1)</f>
        <v>ただ</v>
      </c>
      <c r="F12" s="8" t="s">
        <v>196</v>
      </c>
      <c r="G12" s="9">
        <v>-10000</v>
      </c>
      <c r="H12" s="9"/>
      <c r="I12" s="48">
        <v>-1500</v>
      </c>
      <c r="J12" s="21">
        <f t="shared" si="2"/>
        <v>18100</v>
      </c>
      <c r="K12" s="8" t="s">
        <v>197</v>
      </c>
      <c r="L12" s="9">
        <v>16000</v>
      </c>
      <c r="M12" s="9">
        <v>2000</v>
      </c>
      <c r="N12" s="48">
        <v>3000</v>
      </c>
      <c r="O12" s="21">
        <f t="shared" si="3"/>
        <v>77600</v>
      </c>
      <c r="P12" s="8" t="s">
        <v>196</v>
      </c>
      <c r="Q12" s="9">
        <v>-6000</v>
      </c>
      <c r="R12" s="9"/>
      <c r="S12" s="48">
        <v>-1500</v>
      </c>
      <c r="T12" s="21">
        <f t="shared" si="4"/>
        <v>9300</v>
      </c>
      <c r="U12" s="53">
        <f>IF($J12="","",ROUND(($J12-$J$3)/1000,1)+(_xlfn.RANK.AVG($J12,($J12,$O12,$T12),1)-2)*20)</f>
        <v>-16.899999999999999</v>
      </c>
      <c r="V12" s="54">
        <f>IF($O12="","",ROUND(($O12-$O$3)/1000,1)+(_xlfn.RANK.AVG($O12,($J12,$O12,$T12),1)-2)*20)</f>
        <v>62.6</v>
      </c>
      <c r="W12" s="55">
        <f>IF($T12="","",ROUND(($T12-$T$3)/1000,1)+(_xlfn.RANK.AVG($T12,($J12,$O12,$T12),1)-2)*20)</f>
        <v>-45.7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8</v>
      </c>
      <c r="AY12" s="30" t="s">
        <v>201</v>
      </c>
      <c r="AZ12" s="40" t="s">
        <v>198</v>
      </c>
      <c r="BA12" s="41" t="s">
        <v>82</v>
      </c>
      <c r="BB12" s="41" t="s">
        <v>207</v>
      </c>
      <c r="BC12" s="41" t="s">
        <v>202</v>
      </c>
      <c r="BD12" s="41" t="s">
        <v>202</v>
      </c>
      <c r="BE12" s="41" t="s">
        <v>79</v>
      </c>
      <c r="BF12" s="41" t="s">
        <v>79</v>
      </c>
      <c r="BG12" s="41" t="s">
        <v>83</v>
      </c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tr">
        <f>IF($K$1="","",$K$1)</f>
        <v>たかの</v>
      </c>
      <c r="F13" s="8" t="s">
        <v>196</v>
      </c>
      <c r="G13" s="9">
        <v>-6000</v>
      </c>
      <c r="H13" s="9"/>
      <c r="I13" s="48">
        <v>0</v>
      </c>
      <c r="J13" s="21">
        <f t="shared" si="2"/>
        <v>12100</v>
      </c>
      <c r="K13" s="8" t="s">
        <v>196</v>
      </c>
      <c r="L13" s="9">
        <v>-10000</v>
      </c>
      <c r="M13" s="9"/>
      <c r="N13" s="48">
        <v>0</v>
      </c>
      <c r="O13" s="21">
        <f t="shared" si="3"/>
        <v>67600</v>
      </c>
      <c r="P13" s="8" t="s">
        <v>197</v>
      </c>
      <c r="Q13" s="9">
        <v>16000</v>
      </c>
      <c r="R13" s="9"/>
      <c r="S13" s="48">
        <v>0</v>
      </c>
      <c r="T13" s="21">
        <f t="shared" si="4"/>
        <v>25300</v>
      </c>
      <c r="U13" s="53">
        <f>IF($J13="","",ROUND(($J13-$J$3)/1000,1)+(_xlfn.RANK.AVG($J13,($J13,$O13,$T13),1)-2)*20)</f>
        <v>-42.9</v>
      </c>
      <c r="V13" s="54">
        <f>IF($O13="","",ROUND(($O13-$O$3)/1000,1)+(_xlfn.RANK.AVG($O13,($J13,$O13,$T13),1)-2)*20)</f>
        <v>52.6</v>
      </c>
      <c r="W13" s="55">
        <f>IF($T13="","",ROUND(($T13-$T$3)/1000,1)+(_xlfn.RANK.AVG($T13,($J13,$O13,$T13),1)-2)*20)</f>
        <v>-9.6999999999999993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9</v>
      </c>
      <c r="BT13" s="30" t="s">
        <v>201</v>
      </c>
      <c r="BU13" s="40" t="s">
        <v>104</v>
      </c>
      <c r="BV13" s="41" t="s">
        <v>202</v>
      </c>
      <c r="BW13" s="41" t="s">
        <v>86</v>
      </c>
      <c r="BX13" s="41" t="s">
        <v>80</v>
      </c>
      <c r="BY13" s="41" t="s">
        <v>80</v>
      </c>
      <c r="BZ13" s="41" t="s">
        <v>198</v>
      </c>
      <c r="CA13" s="41" t="s">
        <v>82</v>
      </c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tr">
        <f>IF($P$1="","",$P$1)</f>
        <v>れんたろう</v>
      </c>
      <c r="F14" s="8" t="s">
        <v>199</v>
      </c>
      <c r="G14" s="9">
        <v>-16000</v>
      </c>
      <c r="H14" s="9"/>
      <c r="I14" s="48">
        <v>0</v>
      </c>
      <c r="J14" s="21">
        <f t="shared" si="2"/>
        <v>-3900</v>
      </c>
      <c r="K14" s="8" t="s">
        <v>200</v>
      </c>
      <c r="L14" s="9">
        <v>16000</v>
      </c>
      <c r="M14" s="9">
        <v>1000</v>
      </c>
      <c r="N14" s="48">
        <v>0</v>
      </c>
      <c r="O14" s="21">
        <f t="shared" si="3"/>
        <v>84600</v>
      </c>
      <c r="P14" s="8"/>
      <c r="Q14" s="9"/>
      <c r="R14" s="9">
        <v>-1000</v>
      </c>
      <c r="S14" s="48"/>
      <c r="T14" s="21">
        <f t="shared" si="4"/>
        <v>24300</v>
      </c>
      <c r="U14" s="53">
        <f>IF($J14="","",ROUND(($J14-$J$3)/1000,1)+(_xlfn.RANK.AVG($J14,($J14,$O14,$T14),1)-2)*20)</f>
        <v>-58.9</v>
      </c>
      <c r="V14" s="54">
        <f>IF($O14="","",ROUND(($O14-$O$3)/1000,1)+(_xlfn.RANK.AVG($O14,($J14,$O14,$T14),1)-2)*20)</f>
        <v>69.599999999999994</v>
      </c>
      <c r="W14" s="55">
        <f>IF($T14="","",ROUND(($T14-$T$3)/1000,1)+(_xlfn.RANK.AVG($T14,($J14,$O14,$T14),1)-2)*20)</f>
        <v>-10.7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>
        <v>1</v>
      </c>
      <c r="AW14" s="26"/>
      <c r="AX14" s="26">
        <v>8</v>
      </c>
      <c r="AY14" s="30" t="s">
        <v>201</v>
      </c>
      <c r="AZ14" s="40" t="s">
        <v>198</v>
      </c>
      <c r="BA14" s="41" t="s">
        <v>207</v>
      </c>
      <c r="BB14" s="41" t="s">
        <v>98</v>
      </c>
      <c r="BC14" s="41" t="s">
        <v>96</v>
      </c>
      <c r="BD14" s="41" t="s">
        <v>86</v>
      </c>
      <c r="BE14" s="41" t="s">
        <v>202</v>
      </c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qref="F1:T1" xr:uid="{88215C2D-B08C-43DB-BFA7-582F5D252C97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  <dataValidation type="list" allowBlank="1" showInputMessage="1" showErrorMessage="1" sqref="E4:E30" xr:uid="{B73FF53E-41D9-411B-B1EA-1DD73A086FBD}">
      <formula1>$U$2:$W$2</formula1>
    </dataValidation>
    <dataValidation type="list" showInputMessage="1" showErrorMessage="1" sqref="K4:K30 P4:P30 F4:F30" xr:uid="{AB4599B1-A2AD-46E6-901D-A079297BD661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78702-2EE4-4BDC-BEE4-8162FC08430F}">
  <sheetPr codeName="Sheet2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193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206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たかの</v>
      </c>
      <c r="V2" s="69" t="str">
        <f>$K$1</f>
        <v>れんたろう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206</v>
      </c>
      <c r="F4" s="8" t="s">
        <v>196</v>
      </c>
      <c r="G4" s="9">
        <v>-12000</v>
      </c>
      <c r="H4" s="9"/>
      <c r="I4" s="48">
        <v>0</v>
      </c>
      <c r="J4" s="21">
        <f>IF(COUNTA($F4,$K4,$P4)&gt;0,J3+SUM(G4:I4),"")</f>
        <v>23000</v>
      </c>
      <c r="K4" s="8" t="s">
        <v>196</v>
      </c>
      <c r="L4" s="9">
        <v>-12000</v>
      </c>
      <c r="M4" s="9"/>
      <c r="N4" s="48">
        <v>0</v>
      </c>
      <c r="O4" s="21">
        <f>IF(COUNTA($F4,$K4,$P4)&gt;0,O3+SUM(L4:N4),"")</f>
        <v>23000</v>
      </c>
      <c r="P4" s="8" t="s">
        <v>197</v>
      </c>
      <c r="Q4" s="9">
        <v>24000</v>
      </c>
      <c r="R4" s="9"/>
      <c r="S4" s="48">
        <v>0</v>
      </c>
      <c r="T4" s="21">
        <f>IF(COUNTA($F4,$K4,$P4)&gt;0,T3+SUM(Q4:S4),"")</f>
        <v>59000</v>
      </c>
      <c r="U4" s="53">
        <f>IF($J4="","",ROUND(($J4-$J$3)/1000,1)+(_xlfn.RANK.AVG($J4,($J4,$O4,$T4),1)-2)*20)</f>
        <v>-22</v>
      </c>
      <c r="V4" s="54">
        <f>IF($O4="","",ROUND(($O4-$O$3)/1000,1)+(_xlfn.RANK.AVG($O4,($J4,$O4,$T4),1)-2)*20)</f>
        <v>-22</v>
      </c>
      <c r="W4" s="55">
        <f>IF($T4="","",ROUND(($T4-$T$3)/1000,1)+(_xlfn.RANK.AVG($T4,($J4,$O4,$T4),1)-2)*20)</f>
        <v>44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8</v>
      </c>
      <c r="BT4" s="30" t="s">
        <v>201</v>
      </c>
      <c r="BU4" s="40" t="s">
        <v>198</v>
      </c>
      <c r="BV4" s="41" t="s">
        <v>82</v>
      </c>
      <c r="BW4" s="41" t="s">
        <v>104</v>
      </c>
      <c r="BX4" s="41" t="s">
        <v>79</v>
      </c>
      <c r="BY4" s="41" t="s">
        <v>80</v>
      </c>
      <c r="BZ4" s="41" t="s">
        <v>80</v>
      </c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IF($P$1="","",$P$1)</f>
        <v>だいち</v>
      </c>
      <c r="F5" s="8" t="s">
        <v>199</v>
      </c>
      <c r="G5" s="9">
        <v>-8000</v>
      </c>
      <c r="H5" s="9"/>
      <c r="I5" s="48">
        <v>-1000</v>
      </c>
      <c r="J5" s="21">
        <f t="shared" ref="J5:J30" si="2">IF(COUNTA($F5,$K5,$P5)&gt;0,J4+SUM(G5:I5),"")</f>
        <v>14000</v>
      </c>
      <c r="K5" s="8" t="s">
        <v>200</v>
      </c>
      <c r="L5" s="9">
        <v>8000</v>
      </c>
      <c r="M5" s="9"/>
      <c r="N5" s="48">
        <v>1000</v>
      </c>
      <c r="O5" s="21">
        <f t="shared" ref="O5:O30" si="3">IF(COUNTA($F5,$K5,$P5)&gt;0,O4+SUM(L5:N5),"")</f>
        <v>32000</v>
      </c>
      <c r="P5" s="8"/>
      <c r="Q5" s="9"/>
      <c r="R5" s="9"/>
      <c r="S5" s="48"/>
      <c r="T5" s="21">
        <f t="shared" ref="T5:T30" si="4">IF(COUNTA($F5,$K5,$P5)&gt;0,T4+SUM(Q5:S5),"")</f>
        <v>59000</v>
      </c>
      <c r="U5" s="53">
        <f>IF($J5="","",ROUND(($J5-$J$3)/1000,1)+(_xlfn.RANK.AVG($J5,($J5,$O5,$T5),1)-2)*20)</f>
        <v>-41</v>
      </c>
      <c r="V5" s="54">
        <f>IF($O5="","",ROUND(($O5-$O$3)/1000,1)+(_xlfn.RANK.AVG($O5,($J5,$O5,$T5),1)-2)*20)</f>
        <v>-3</v>
      </c>
      <c r="W5" s="55">
        <f>IF($T5="","",ROUND(($T5-$T$3)/1000,1)+(_xlfn.RANK.AVG($T5,($J5,$O5,$T5),1)-2)*20)</f>
        <v>44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5</v>
      </c>
      <c r="AY5" s="30" t="s">
        <v>201</v>
      </c>
      <c r="AZ5" s="40" t="s">
        <v>86</v>
      </c>
      <c r="BA5" s="41" t="s">
        <v>79</v>
      </c>
      <c r="BB5" s="41" t="s">
        <v>79</v>
      </c>
      <c r="BC5" s="41" t="s">
        <v>79</v>
      </c>
      <c r="BD5" s="41" t="s">
        <v>79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IF($F$1="","",$F$1)</f>
        <v>たかの</v>
      </c>
      <c r="F6" s="8" t="s">
        <v>199</v>
      </c>
      <c r="G6" s="9">
        <v>-2000</v>
      </c>
      <c r="H6" s="9"/>
      <c r="I6" s="48">
        <v>0</v>
      </c>
      <c r="J6" s="21">
        <f t="shared" si="2"/>
        <v>12000</v>
      </c>
      <c r="K6" s="8" t="s">
        <v>200</v>
      </c>
      <c r="L6" s="9">
        <v>2000</v>
      </c>
      <c r="M6" s="9"/>
      <c r="N6" s="48">
        <v>0</v>
      </c>
      <c r="O6" s="21">
        <f t="shared" si="3"/>
        <v>34000</v>
      </c>
      <c r="P6" s="8"/>
      <c r="Q6" s="9"/>
      <c r="R6" s="9"/>
      <c r="S6" s="48"/>
      <c r="T6" s="21">
        <f t="shared" si="4"/>
        <v>59000</v>
      </c>
      <c r="U6" s="53">
        <f>IF($J6="","",ROUND(($J6-$J$3)/1000,1)+(_xlfn.RANK.AVG($J6,($J6,$O6,$T6),1)-2)*20)</f>
        <v>-43</v>
      </c>
      <c r="V6" s="54">
        <f>IF($O6="","",ROUND(($O6-$O$3)/1000,1)+(_xlfn.RANK.AVG($O6,($J6,$O6,$T6),1)-2)*20)</f>
        <v>-1</v>
      </c>
      <c r="W6" s="55">
        <f>IF($T6="","",ROUND(($T6-$T$3)/1000,1)+(_xlfn.RANK.AVG($T6,($J6,$O6,$T6),1)-2)*20)</f>
        <v>44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2</v>
      </c>
      <c r="AY6" s="30">
        <v>30</v>
      </c>
      <c r="AZ6" s="40" t="s">
        <v>86</v>
      </c>
      <c r="BA6" s="41" t="s">
        <v>202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IF($K$1="","",$K$1)</f>
        <v>れんたろう</v>
      </c>
      <c r="F7" s="8"/>
      <c r="G7" s="9"/>
      <c r="H7" s="9"/>
      <c r="I7" s="48"/>
      <c r="J7" s="21">
        <f t="shared" si="2"/>
        <v>12000</v>
      </c>
      <c r="K7" s="8" t="s">
        <v>199</v>
      </c>
      <c r="L7" s="9">
        <v>-5200</v>
      </c>
      <c r="M7" s="9"/>
      <c r="N7" s="48">
        <v>0</v>
      </c>
      <c r="O7" s="21">
        <f t="shared" si="3"/>
        <v>28800</v>
      </c>
      <c r="P7" s="8" t="s">
        <v>200</v>
      </c>
      <c r="Q7" s="9">
        <v>5200</v>
      </c>
      <c r="R7" s="9"/>
      <c r="S7" s="48">
        <v>0</v>
      </c>
      <c r="T7" s="21">
        <f t="shared" si="4"/>
        <v>64200</v>
      </c>
      <c r="U7" s="53">
        <f>IF($J7="","",ROUND(($J7-$J$3)/1000,1)+(_xlfn.RANK.AVG($J7,($J7,$O7,$T7),1)-2)*20)</f>
        <v>-43</v>
      </c>
      <c r="V7" s="54">
        <f>IF($O7="","",ROUND(($O7-$O$3)/1000,1)+(_xlfn.RANK.AVG($O7,($J7,$O7,$T7),1)-2)*20)</f>
        <v>-6.2</v>
      </c>
      <c r="W7" s="55">
        <f>IF($T7="","",ROUND(($T7-$T$3)/1000,1)+(_xlfn.RANK.AVG($T7,($J7,$O7,$T7),1)-2)*20)</f>
        <v>49.2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40</v>
      </c>
      <c r="BU7" s="40" t="s">
        <v>198</v>
      </c>
      <c r="BV7" s="41" t="s">
        <v>84</v>
      </c>
      <c r="BW7" s="41" t="s">
        <v>202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IF($P$1="","",$P$1)</f>
        <v>だいち</v>
      </c>
      <c r="F8" s="8" t="s">
        <v>197</v>
      </c>
      <c r="G8" s="9">
        <v>5300</v>
      </c>
      <c r="H8" s="9"/>
      <c r="I8" s="48">
        <v>0</v>
      </c>
      <c r="J8" s="21">
        <f t="shared" si="2"/>
        <v>17300</v>
      </c>
      <c r="K8" s="8" t="s">
        <v>196</v>
      </c>
      <c r="L8" s="9">
        <v>-2000</v>
      </c>
      <c r="M8" s="9"/>
      <c r="N8" s="48">
        <v>0</v>
      </c>
      <c r="O8" s="21">
        <f t="shared" si="3"/>
        <v>26800</v>
      </c>
      <c r="P8" s="8" t="s">
        <v>196</v>
      </c>
      <c r="Q8" s="9">
        <v>-3300</v>
      </c>
      <c r="R8" s="9"/>
      <c r="S8" s="48">
        <v>0</v>
      </c>
      <c r="T8" s="21">
        <f t="shared" si="4"/>
        <v>60900</v>
      </c>
      <c r="U8" s="53">
        <f>IF($J8="","",ROUND(($J8-$J$3)/1000,1)+(_xlfn.RANK.AVG($J8,($J8,$O8,$T8),1)-2)*20)</f>
        <v>-37.700000000000003</v>
      </c>
      <c r="V8" s="54">
        <f>IF($O8="","",ROUND(($O8-$O$3)/1000,1)+(_xlfn.RANK.AVG($O8,($J8,$O8,$T8),1)-2)*20)</f>
        <v>-8.1999999999999993</v>
      </c>
      <c r="W8" s="55">
        <f>IF($T8="","",ROUND(($T8-$T$3)/1000,1)+(_xlfn.RANK.AVG($T8,($J8,$O8,$T8),1)-2)*20)</f>
        <v>45.9</v>
      </c>
      <c r="Y8" s="8"/>
      <c r="Z8" s="34"/>
      <c r="AA8" s="26"/>
      <c r="AB8" s="26"/>
      <c r="AC8" s="26">
        <v>4</v>
      </c>
      <c r="AD8" s="30">
        <v>20</v>
      </c>
      <c r="AE8" s="40" t="s">
        <v>198</v>
      </c>
      <c r="AF8" s="41" t="s">
        <v>83</v>
      </c>
      <c r="AG8" s="41" t="s">
        <v>84</v>
      </c>
      <c r="AH8" s="41" t="s">
        <v>79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IF($F$1="","",$F$1)</f>
        <v>たかの</v>
      </c>
      <c r="F9" s="8" t="s">
        <v>196</v>
      </c>
      <c r="G9" s="9">
        <v>-1700</v>
      </c>
      <c r="H9" s="9"/>
      <c r="I9" s="48">
        <v>0</v>
      </c>
      <c r="J9" s="21">
        <f t="shared" si="2"/>
        <v>15600</v>
      </c>
      <c r="K9" s="8" t="s">
        <v>197</v>
      </c>
      <c r="L9" s="9">
        <v>2800</v>
      </c>
      <c r="M9" s="9"/>
      <c r="N9" s="48">
        <v>0</v>
      </c>
      <c r="O9" s="21">
        <f t="shared" si="3"/>
        <v>29600</v>
      </c>
      <c r="P9" s="8" t="s">
        <v>196</v>
      </c>
      <c r="Q9" s="9">
        <v>-1100</v>
      </c>
      <c r="R9" s="9"/>
      <c r="S9" s="48">
        <v>0</v>
      </c>
      <c r="T9" s="21">
        <f t="shared" si="4"/>
        <v>59800</v>
      </c>
      <c r="U9" s="53">
        <f>IF($J9="","",ROUND(($J9-$J$3)/1000,1)+(_xlfn.RANK.AVG($J9,($J9,$O9,$T9),1)-2)*20)</f>
        <v>-39.4</v>
      </c>
      <c r="V9" s="54">
        <f>IF($O9="","",ROUND(($O9-$O$3)/1000,1)+(_xlfn.RANK.AVG($O9,($J9,$O9,$T9),1)-2)*20)</f>
        <v>-5.4</v>
      </c>
      <c r="W9" s="55">
        <f>IF($T9="","",ROUND(($T9-$T$3)/1000,1)+(_xlfn.RANK.AVG($T9,($J9,$O9,$T9),1)-2)*20)</f>
        <v>44.8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2</v>
      </c>
      <c r="AY9" s="30">
        <v>40</v>
      </c>
      <c r="AZ9" s="40" t="s">
        <v>198</v>
      </c>
      <c r="BA9" s="41" t="s">
        <v>82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IF($K$1="","",$K$1)</f>
        <v>れんたろう</v>
      </c>
      <c r="F10" s="8" t="s">
        <v>196</v>
      </c>
      <c r="G10" s="9">
        <v>-6000</v>
      </c>
      <c r="H10" s="9"/>
      <c r="I10" s="48">
        <v>0</v>
      </c>
      <c r="J10" s="21">
        <f t="shared" si="2"/>
        <v>9600</v>
      </c>
      <c r="K10" s="8" t="s">
        <v>197</v>
      </c>
      <c r="L10" s="9">
        <v>12000</v>
      </c>
      <c r="M10" s="9"/>
      <c r="N10" s="48">
        <v>0</v>
      </c>
      <c r="O10" s="21">
        <f t="shared" si="3"/>
        <v>41600</v>
      </c>
      <c r="P10" s="8" t="s">
        <v>196</v>
      </c>
      <c r="Q10" s="9">
        <v>-6000</v>
      </c>
      <c r="R10" s="9"/>
      <c r="S10" s="48">
        <v>0</v>
      </c>
      <c r="T10" s="21">
        <f t="shared" si="4"/>
        <v>53800</v>
      </c>
      <c r="U10" s="53">
        <f>IF($J10="","",ROUND(($J10-$J$3)/1000,1)+(_xlfn.RANK.AVG($J10,($J10,$O10,$T10),1)-2)*20)</f>
        <v>-45.4</v>
      </c>
      <c r="V10" s="54">
        <f>IF($O10="","",ROUND(($O10-$O$3)/1000,1)+(_xlfn.RANK.AVG($O10,($J10,$O10,$T10),1)-2)*20)</f>
        <v>6.6</v>
      </c>
      <c r="W10" s="55">
        <f>IF($T10="","",ROUND(($T10-$T$3)/1000,1)+(_xlfn.RANK.AVG($T10,($J10,$O10,$T10),1)-2)*20)</f>
        <v>38.799999999999997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5</v>
      </c>
      <c r="AY10" s="30" t="s">
        <v>201</v>
      </c>
      <c r="AZ10" s="40" t="s">
        <v>198</v>
      </c>
      <c r="BA10" s="41" t="s">
        <v>82</v>
      </c>
      <c r="BB10" s="41" t="s">
        <v>101</v>
      </c>
      <c r="BC10" s="41" t="s">
        <v>202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tr">
        <f>IF($K$1="","",$K$1)</f>
        <v>れんたろう</v>
      </c>
      <c r="F11" s="8"/>
      <c r="G11" s="9"/>
      <c r="H11" s="9"/>
      <c r="I11" s="48"/>
      <c r="J11" s="21">
        <f t="shared" si="2"/>
        <v>9600</v>
      </c>
      <c r="K11" s="8" t="s">
        <v>199</v>
      </c>
      <c r="L11" s="9">
        <v>-12000</v>
      </c>
      <c r="M11" s="9"/>
      <c r="N11" s="48">
        <v>-1000</v>
      </c>
      <c r="O11" s="21">
        <f t="shared" si="3"/>
        <v>28600</v>
      </c>
      <c r="P11" s="8" t="s">
        <v>200</v>
      </c>
      <c r="Q11" s="9">
        <v>12000</v>
      </c>
      <c r="R11" s="9"/>
      <c r="S11" s="48">
        <v>1000</v>
      </c>
      <c r="T11" s="21">
        <f t="shared" si="4"/>
        <v>66800</v>
      </c>
      <c r="U11" s="53">
        <f>IF($J11="","",ROUND(($J11-$J$3)/1000,1)+(_xlfn.RANK.AVG($J11,($J11,$O11,$T11),1)-2)*20)</f>
        <v>-45.4</v>
      </c>
      <c r="V11" s="54">
        <f>IF($O11="","",ROUND(($O11-$O$3)/1000,1)+(_xlfn.RANK.AVG($O11,($J11,$O11,$T11),1)-2)*20)</f>
        <v>-6.4</v>
      </c>
      <c r="W11" s="55">
        <f>IF($T11="","",ROUND(($T11-$T$3)/1000,1)+(_xlfn.RANK.AVG($T11,($J11,$O11,$T11),1)-2)*20)</f>
        <v>51.8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6</v>
      </c>
      <c r="BT11" s="30" t="s">
        <v>201</v>
      </c>
      <c r="BU11" s="40" t="s">
        <v>104</v>
      </c>
      <c r="BV11" s="41" t="s">
        <v>96</v>
      </c>
      <c r="BW11" s="41" t="s">
        <v>86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showInputMessage="1" showErrorMessage="1" sqref="K4:K30 P4:P30 F4:F30" xr:uid="{74CD8AB8-2C57-44AB-AB71-FDEAF73E0D08}">
      <formula1>"ロン,ツモ,放銃,ツモ支払,流局,チョンボ"</formula1>
    </dataValidation>
    <dataValidation type="list" allowBlank="1" showInputMessage="1" showErrorMessage="1" sqref="E4:E30" xr:uid="{1AC5BB65-CF33-4A53-8DA3-730F3F01261B}">
      <formula1>$U$2:$W$2</formula1>
    </dataValidation>
    <dataValidation type="list" allowBlank="1" showInputMessage="1" sqref="F1:T1" xr:uid="{DAB700A6-4B3D-40C4-B2AE-02C4A1CD485D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0CFE8-39ED-4015-96FB-00DC86206661}">
  <sheetPr codeName="Sheet2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206</v>
      </c>
      <c r="L1" s="72"/>
      <c r="M1" s="72"/>
      <c r="N1" s="73"/>
      <c r="O1" s="74"/>
      <c r="P1" s="71" t="s">
        <v>195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れんたろう</v>
      </c>
      <c r="V2" s="69" t="str">
        <f>$K$1</f>
        <v>だいち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196</v>
      </c>
      <c r="G4" s="9">
        <v>-3300</v>
      </c>
      <c r="H4" s="9"/>
      <c r="I4" s="48">
        <v>0</v>
      </c>
      <c r="J4" s="21">
        <f>IF(COUNTA($F4,$K4,$P4)&gt;0,J3+SUM(G4:I4),"")</f>
        <v>31700</v>
      </c>
      <c r="K4" s="8" t="s">
        <v>197</v>
      </c>
      <c r="L4" s="9">
        <v>5300</v>
      </c>
      <c r="M4" s="9"/>
      <c r="N4" s="48">
        <v>0</v>
      </c>
      <c r="O4" s="21">
        <f>IF(COUNTA($F4,$K4,$P4)&gt;0,O3+SUM(L4:N4),"")</f>
        <v>40300</v>
      </c>
      <c r="P4" s="8" t="s">
        <v>196</v>
      </c>
      <c r="Q4" s="9">
        <v>-2000</v>
      </c>
      <c r="R4" s="9"/>
      <c r="S4" s="48">
        <v>0</v>
      </c>
      <c r="T4" s="21">
        <f>IF(COUNTA($F4,$K4,$P4)&gt;0,T3+SUM(Q4:S4),"")</f>
        <v>33000</v>
      </c>
      <c r="U4" s="53">
        <f>IF($J4="","",ROUND(($J4-$J$3)/1000,1)+(_xlfn.RANK.AVG($J4,($J4,$O4,$T4),1)-2)*20)</f>
        <v>-23.3</v>
      </c>
      <c r="V4" s="54">
        <f>IF($O4="","",ROUND(($O4-$O$3)/1000,1)+(_xlfn.RANK.AVG($O4,($J4,$O4,$T4),1)-2)*20)</f>
        <v>25.3</v>
      </c>
      <c r="W4" s="55">
        <f>IF($T4="","",ROUND(($T4-$T$3)/1000,1)+(_xlfn.RANK.AVG($T4,($J4,$O4,$T4),1)-2)*20)</f>
        <v>-2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40</v>
      </c>
      <c r="AZ4" s="40" t="s">
        <v>198</v>
      </c>
      <c r="BA4" s="41" t="s">
        <v>82</v>
      </c>
      <c r="BB4" s="41" t="s">
        <v>80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200</v>
      </c>
      <c r="G5" s="9">
        <v>2000</v>
      </c>
      <c r="H5" s="9"/>
      <c r="I5" s="48">
        <v>0</v>
      </c>
      <c r="J5" s="21">
        <f t="shared" ref="J5:J30" si="2">IF(COUNTA($F5,$K5,$P5)&gt;0,J4+SUM(G5:I5),"")</f>
        <v>33700</v>
      </c>
      <c r="K5" s="8"/>
      <c r="L5" s="9"/>
      <c r="M5" s="9"/>
      <c r="N5" s="48"/>
      <c r="O5" s="21">
        <f t="shared" ref="O5:O30" si="3">IF(COUNTA($F5,$K5,$P5)&gt;0,O4+SUM(L5:N5),"")</f>
        <v>40300</v>
      </c>
      <c r="P5" s="8" t="s">
        <v>199</v>
      </c>
      <c r="Q5" s="9">
        <v>-2000</v>
      </c>
      <c r="R5" s="9"/>
      <c r="S5" s="48">
        <v>0</v>
      </c>
      <c r="T5" s="21">
        <f t="shared" ref="T5:T30" si="4">IF(COUNTA($F5,$K5,$P5)&gt;0,T4+SUM(Q5:S5),"")</f>
        <v>31000</v>
      </c>
      <c r="U5" s="53">
        <f>IF($J5="","",ROUND(($J5-$J$3)/1000,1)+(_xlfn.RANK.AVG($J5,($J5,$O5,$T5),1)-2)*20)</f>
        <v>-1.3</v>
      </c>
      <c r="V5" s="54">
        <f>IF($O5="","",ROUND(($O5-$O$3)/1000,1)+(_xlfn.RANK.AVG($O5,($J5,$O5,$T5),1)-2)*20)</f>
        <v>25.3</v>
      </c>
      <c r="W5" s="55">
        <f>IF($T5="","",ROUND(($T5-$T$3)/1000,1)+(_xlfn.RANK.AVG($T5,($J5,$O5,$T5),1)-2)*20)</f>
        <v>-24</v>
      </c>
      <c r="Y5" s="8"/>
      <c r="Z5" s="34"/>
      <c r="AA5" s="26">
        <v>1</v>
      </c>
      <c r="AB5" s="26"/>
      <c r="AC5" s="26">
        <v>2</v>
      </c>
      <c r="AD5" s="30">
        <v>30</v>
      </c>
      <c r="AE5" s="40" t="s">
        <v>198</v>
      </c>
      <c r="AF5" s="41" t="s">
        <v>83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ただ</v>
      </c>
      <c r="F6" s="8" t="s">
        <v>199</v>
      </c>
      <c r="G6" s="9">
        <v>-8000</v>
      </c>
      <c r="H6" s="9">
        <v>-1000</v>
      </c>
      <c r="I6" s="48">
        <v>0</v>
      </c>
      <c r="J6" s="21">
        <f t="shared" si="2"/>
        <v>24700</v>
      </c>
      <c r="K6" s="8" t="s">
        <v>200</v>
      </c>
      <c r="L6" s="9">
        <v>8000</v>
      </c>
      <c r="M6" s="9">
        <v>2000</v>
      </c>
      <c r="N6" s="48">
        <v>0</v>
      </c>
      <c r="O6" s="21">
        <f t="shared" si="3"/>
        <v>50300</v>
      </c>
      <c r="P6" s="8"/>
      <c r="Q6" s="9"/>
      <c r="R6" s="9">
        <v>-1000</v>
      </c>
      <c r="S6" s="48"/>
      <c r="T6" s="21">
        <f t="shared" si="4"/>
        <v>30000</v>
      </c>
      <c r="U6" s="53">
        <f>IF($J6="","",ROUND(($J6-$J$3)/1000,1)+(_xlfn.RANK.AVG($J6,($J6,$O6,$T6),1)-2)*20)</f>
        <v>-30.3</v>
      </c>
      <c r="V6" s="54">
        <f>IF($O6="","",ROUND(($O6-$O$3)/1000,1)+(_xlfn.RANK.AVG($O6,($J6,$O6,$T6),1)-2)*20)</f>
        <v>35.299999999999997</v>
      </c>
      <c r="W6" s="55">
        <f>IF($T6="","",ROUND(($T6-$T$3)/1000,1)+(_xlfn.RANK.AVG($T6,($J6,$O6,$T6),1)-2)*20)</f>
        <v>-5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5</v>
      </c>
      <c r="AY6" s="30" t="s">
        <v>201</v>
      </c>
      <c r="AZ6" s="40" t="s">
        <v>208</v>
      </c>
      <c r="BA6" s="41" t="s">
        <v>85</v>
      </c>
      <c r="BB6" s="41" t="s">
        <v>83</v>
      </c>
      <c r="BC6" s="41" t="s">
        <v>84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れんたろう</v>
      </c>
      <c r="F7" s="8" t="s">
        <v>199</v>
      </c>
      <c r="G7" s="9">
        <v>-5200</v>
      </c>
      <c r="H7" s="9"/>
      <c r="I7" s="48">
        <v>0</v>
      </c>
      <c r="J7" s="21">
        <f t="shared" si="2"/>
        <v>19500</v>
      </c>
      <c r="K7" s="8" t="s">
        <v>200</v>
      </c>
      <c r="L7" s="9">
        <v>5200</v>
      </c>
      <c r="M7" s="9"/>
      <c r="N7" s="48">
        <v>0</v>
      </c>
      <c r="O7" s="21">
        <f t="shared" si="3"/>
        <v>55500</v>
      </c>
      <c r="P7" s="8"/>
      <c r="Q7" s="9"/>
      <c r="R7" s="9"/>
      <c r="S7" s="48"/>
      <c r="T7" s="21">
        <f t="shared" si="4"/>
        <v>30000</v>
      </c>
      <c r="U7" s="53">
        <f>IF($J7="","",ROUND(($J7-$J$3)/1000,1)+(_xlfn.RANK.AVG($J7,($J7,$O7,$T7),1)-2)*20)</f>
        <v>-35.5</v>
      </c>
      <c r="V7" s="54">
        <f>IF($O7="","",ROUND(($O7-$O$3)/1000,1)+(_xlfn.RANK.AVG($O7,($J7,$O7,$T7),1)-2)*20)</f>
        <v>40.5</v>
      </c>
      <c r="W7" s="55">
        <f>IF($T7="","",ROUND(($T7-$T$3)/1000,1)+(_xlfn.RANK.AVG($T7,($J7,$O7,$T7),1)-2)*20)</f>
        <v>-5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3</v>
      </c>
      <c r="AY7" s="30">
        <v>40</v>
      </c>
      <c r="AZ7" s="40" t="s">
        <v>86</v>
      </c>
      <c r="BA7" s="41" t="s">
        <v>202</v>
      </c>
      <c r="BB7" s="41" t="s">
        <v>79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だいち</v>
      </c>
      <c r="F8" s="8" t="s">
        <v>200</v>
      </c>
      <c r="G8" s="9">
        <v>12000</v>
      </c>
      <c r="H8" s="9"/>
      <c r="I8" s="48">
        <v>0</v>
      </c>
      <c r="J8" s="21">
        <f t="shared" si="2"/>
        <v>31500</v>
      </c>
      <c r="K8" s="8"/>
      <c r="L8" s="9"/>
      <c r="M8" s="9"/>
      <c r="N8" s="48"/>
      <c r="O8" s="21">
        <f t="shared" si="3"/>
        <v>55500</v>
      </c>
      <c r="P8" s="8" t="s">
        <v>199</v>
      </c>
      <c r="Q8" s="9">
        <v>-12000</v>
      </c>
      <c r="R8" s="9"/>
      <c r="S8" s="48">
        <v>0</v>
      </c>
      <c r="T8" s="21">
        <f t="shared" si="4"/>
        <v>18000</v>
      </c>
      <c r="U8" s="53">
        <f>IF($J8="","",ROUND(($J8-$J$3)/1000,1)+(_xlfn.RANK.AVG($J8,($J8,$O8,$T8),1)-2)*20)</f>
        <v>-3.5</v>
      </c>
      <c r="V8" s="54">
        <f>IF($O8="","",ROUND(($O8-$O$3)/1000,1)+(_xlfn.RANK.AVG($O8,($J8,$O8,$T8),1)-2)*20)</f>
        <v>40.5</v>
      </c>
      <c r="W8" s="55">
        <f>IF($T8="","",ROUND(($T8-$T$3)/1000,1)+(_xlfn.RANK.AVG($T8,($J8,$O8,$T8),1)-2)*20)</f>
        <v>-37</v>
      </c>
      <c r="Y8" s="8"/>
      <c r="Z8" s="34"/>
      <c r="AA8" s="26">
        <v>1</v>
      </c>
      <c r="AB8" s="26"/>
      <c r="AC8" s="26">
        <v>7</v>
      </c>
      <c r="AD8" s="30" t="s">
        <v>201</v>
      </c>
      <c r="AE8" s="40" t="s">
        <v>198</v>
      </c>
      <c r="AF8" s="41" t="s">
        <v>83</v>
      </c>
      <c r="AG8" s="41" t="s">
        <v>84</v>
      </c>
      <c r="AH8" s="41" t="s">
        <v>202</v>
      </c>
      <c r="AI8" s="41" t="s">
        <v>79</v>
      </c>
      <c r="AJ8" s="41" t="s">
        <v>79</v>
      </c>
      <c r="AK8" s="41" t="s">
        <v>80</v>
      </c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ただ</v>
      </c>
      <c r="F9" s="8" t="s">
        <v>200</v>
      </c>
      <c r="G9" s="9">
        <v>8000</v>
      </c>
      <c r="H9" s="9"/>
      <c r="I9" s="48">
        <v>0</v>
      </c>
      <c r="J9" s="21">
        <f t="shared" si="2"/>
        <v>39500</v>
      </c>
      <c r="K9" s="8" t="s">
        <v>199</v>
      </c>
      <c r="L9" s="9">
        <v>-8000</v>
      </c>
      <c r="M9" s="9"/>
      <c r="N9" s="48">
        <v>0</v>
      </c>
      <c r="O9" s="21">
        <f t="shared" si="3"/>
        <v>47500</v>
      </c>
      <c r="P9" s="8"/>
      <c r="Q9" s="9"/>
      <c r="R9" s="9"/>
      <c r="S9" s="48"/>
      <c r="T9" s="21">
        <f t="shared" si="4"/>
        <v>18000</v>
      </c>
      <c r="U9" s="53">
        <f>IF($J9="","",ROUND(($J9-$J$3)/1000,1)+(_xlfn.RANK.AVG($J9,($J9,$O9,$T9),1)-2)*20)</f>
        <v>4.5</v>
      </c>
      <c r="V9" s="54">
        <f>IF($O9="","",ROUND(($O9-$O$3)/1000,1)+(_xlfn.RANK.AVG($O9,($J9,$O9,$T9),1)-2)*20)</f>
        <v>32.5</v>
      </c>
      <c r="W9" s="55">
        <f>IF($T9="","",ROUND(($T9-$T$3)/1000,1)+(_xlfn.RANK.AVG($T9,($J9,$O9,$T9),1)-2)*20)</f>
        <v>-37</v>
      </c>
      <c r="Y9" s="8"/>
      <c r="Z9" s="34"/>
      <c r="AA9" s="26">
        <v>1</v>
      </c>
      <c r="AB9" s="26"/>
      <c r="AC9" s="26">
        <v>5</v>
      </c>
      <c r="AD9" s="30" t="s">
        <v>201</v>
      </c>
      <c r="AE9" s="40" t="s">
        <v>198</v>
      </c>
      <c r="AF9" s="41" t="s">
        <v>207</v>
      </c>
      <c r="AG9" s="41" t="s">
        <v>92</v>
      </c>
      <c r="AH9" s="41" t="s">
        <v>80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02143D01-B923-4F4D-84AB-624776D2C236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  <dataValidation type="list" allowBlank="1" showInputMessage="1" showErrorMessage="1" sqref="E4:E30" xr:uid="{15063BD0-2C84-4F2F-93AD-7E256BD62851}">
      <formula1>$U$2:$W$2</formula1>
    </dataValidation>
    <dataValidation type="list" showInputMessage="1" showErrorMessage="1" sqref="K4:K30 P4:P30 F4:F30" xr:uid="{36F1568B-BFF7-4896-B5DE-1D32AB46CB9D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2DD47-3FEF-4AD7-9074-5A688ACE6AC8}">
  <sheetPr codeName="Sheet2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206</v>
      </c>
      <c r="G1" s="72"/>
      <c r="H1" s="72"/>
      <c r="I1" s="73"/>
      <c r="J1" s="74"/>
      <c r="K1" s="71" t="s">
        <v>195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ただ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ただ</v>
      </c>
      <c r="W2" s="16" t="str">
        <f>$P$1</f>
        <v>たかの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199</v>
      </c>
      <c r="G4" s="9">
        <v>-18000</v>
      </c>
      <c r="H4" s="9"/>
      <c r="I4" s="48">
        <v>0</v>
      </c>
      <c r="J4" s="21">
        <f>IF(COUNTA($F4,$K4,$P4)&gt;0,J3+SUM(G4:I4),"")</f>
        <v>17000</v>
      </c>
      <c r="K4" s="8" t="s">
        <v>200</v>
      </c>
      <c r="L4" s="9">
        <v>18000</v>
      </c>
      <c r="M4" s="9"/>
      <c r="N4" s="48">
        <v>0</v>
      </c>
      <c r="O4" s="21">
        <f>IF(COUNTA($F4,$K4,$P4)&gt;0,O3+SUM(L4:N4),"")</f>
        <v>53000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-38</v>
      </c>
      <c r="V4" s="54">
        <f>IF($O4="","",ROUND(($O4-$O$3)/1000,1)+(_xlfn.RANK.AVG($O4,($J4,$O4,$T4),1)-2)*20)</f>
        <v>38</v>
      </c>
      <c r="W4" s="55">
        <f>IF($T4="","",ROUND(($T4-$T$3)/1000,1)+(_xlfn.RANK.AVG($T4,($J4,$O4,$T4),1)-2)*20)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6</v>
      </c>
      <c r="AY4" s="30" t="s">
        <v>201</v>
      </c>
      <c r="AZ4" s="40" t="s">
        <v>198</v>
      </c>
      <c r="BA4" s="41" t="s">
        <v>86</v>
      </c>
      <c r="BB4" s="41" t="s">
        <v>202</v>
      </c>
      <c r="BC4" s="41" t="s">
        <v>79</v>
      </c>
      <c r="BD4" s="41" t="s">
        <v>79</v>
      </c>
      <c r="BE4" s="41" t="s">
        <v>79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 t="s">
        <v>200</v>
      </c>
      <c r="G5" s="9">
        <v>32000</v>
      </c>
      <c r="H5" s="9"/>
      <c r="I5" s="48">
        <v>1000</v>
      </c>
      <c r="J5" s="21">
        <f t="shared" ref="J5:J30" si="2">IF(COUNTA($F5,$K5,$P5)&gt;0,J4+SUM(G5:I5),"")</f>
        <v>50000</v>
      </c>
      <c r="K5" s="8" t="s">
        <v>199</v>
      </c>
      <c r="L5" s="9">
        <v>-32000</v>
      </c>
      <c r="M5" s="9"/>
      <c r="N5" s="48">
        <v>-1000</v>
      </c>
      <c r="O5" s="21">
        <f t="shared" ref="O5:O30" si="3">IF(COUNTA($F5,$K5,$P5)&gt;0,O4+SUM(L5:N5),"")</f>
        <v>20000</v>
      </c>
      <c r="P5" s="8"/>
      <c r="Q5" s="9"/>
      <c r="R5" s="9"/>
      <c r="S5" s="48"/>
      <c r="T5" s="21">
        <f t="shared" ref="T5:T30" si="4">IF(COUNTA($F5,$K5,$P5)&gt;0,T4+SUM(Q5:S5),"")</f>
        <v>35000</v>
      </c>
      <c r="U5" s="53">
        <f>IF($J5="","",ROUND(($J5-$J$3)/1000,1)+(_xlfn.RANK.AVG($J5,($J5,$O5,$T5),1)-2)*20)</f>
        <v>35</v>
      </c>
      <c r="V5" s="54">
        <f>IF($O5="","",ROUND(($O5-$O$3)/1000,1)+(_xlfn.RANK.AVG($O5,($J5,$O5,$T5),1)-2)*20)</f>
        <v>-35</v>
      </c>
      <c r="W5" s="55">
        <f>IF($T5="","",ROUND(($T5-$T$3)/1000,1)+(_xlfn.RANK.AVG($T5,($J5,$O5,$T5),1)-2)*20)</f>
        <v>0</v>
      </c>
      <c r="Y5" s="8"/>
      <c r="Z5" s="34"/>
      <c r="AA5" s="26"/>
      <c r="AB5" s="26">
        <v>1</v>
      </c>
      <c r="AC5" s="26">
        <v>13</v>
      </c>
      <c r="AD5" s="30" t="s">
        <v>201</v>
      </c>
      <c r="AE5" s="40" t="s">
        <v>114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たかの</v>
      </c>
      <c r="F6" s="8" t="s">
        <v>200</v>
      </c>
      <c r="G6" s="9">
        <v>8000</v>
      </c>
      <c r="H6" s="9"/>
      <c r="I6" s="48">
        <v>0</v>
      </c>
      <c r="J6" s="21">
        <f t="shared" si="2"/>
        <v>58000</v>
      </c>
      <c r="K6" s="8" t="s">
        <v>199</v>
      </c>
      <c r="L6" s="9">
        <v>-8000</v>
      </c>
      <c r="M6" s="9"/>
      <c r="N6" s="48">
        <v>0</v>
      </c>
      <c r="O6" s="21">
        <f t="shared" si="3"/>
        <v>12000</v>
      </c>
      <c r="P6" s="8"/>
      <c r="Q6" s="9"/>
      <c r="R6" s="9"/>
      <c r="S6" s="48"/>
      <c r="T6" s="21">
        <f t="shared" si="4"/>
        <v>35000</v>
      </c>
      <c r="U6" s="53">
        <f>IF($J6="","",ROUND(($J6-$J$3)/1000,1)+(_xlfn.RANK.AVG($J6,($J6,$O6,$T6),1)-2)*20)</f>
        <v>43</v>
      </c>
      <c r="V6" s="54">
        <f>IF($O6="","",ROUND(($O6-$O$3)/1000,1)+(_xlfn.RANK.AVG($O6,($J6,$O6,$T6),1)-2)*20)</f>
        <v>-43</v>
      </c>
      <c r="W6" s="55">
        <f>IF($T6="","",ROUND(($T6-$T$3)/1000,1)+(_xlfn.RANK.AVG($T6,($J6,$O6,$T6),1)-2)*20)</f>
        <v>0</v>
      </c>
      <c r="Y6" s="8"/>
      <c r="Z6" s="34"/>
      <c r="AA6" s="26"/>
      <c r="AB6" s="26">
        <v>1</v>
      </c>
      <c r="AC6" s="26">
        <v>4</v>
      </c>
      <c r="AD6" s="30">
        <v>40</v>
      </c>
      <c r="AE6" s="40" t="s">
        <v>90</v>
      </c>
      <c r="AF6" s="41" t="s">
        <v>104</v>
      </c>
      <c r="AG6" s="41" t="s">
        <v>86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IF($F$1="","",$F$1)</f>
        <v>だいち</v>
      </c>
      <c r="F7" s="8" t="s">
        <v>196</v>
      </c>
      <c r="G7" s="9">
        <v>-5000</v>
      </c>
      <c r="H7" s="9"/>
      <c r="I7" s="48">
        <v>0</v>
      </c>
      <c r="J7" s="21">
        <f t="shared" si="2"/>
        <v>53000</v>
      </c>
      <c r="K7" s="8" t="s">
        <v>196</v>
      </c>
      <c r="L7" s="9">
        <v>-3000</v>
      </c>
      <c r="M7" s="9"/>
      <c r="N7" s="48">
        <v>0</v>
      </c>
      <c r="O7" s="21">
        <f t="shared" si="3"/>
        <v>9000</v>
      </c>
      <c r="P7" s="8" t="s">
        <v>197</v>
      </c>
      <c r="Q7" s="9">
        <v>8000</v>
      </c>
      <c r="R7" s="9"/>
      <c r="S7" s="48">
        <v>0</v>
      </c>
      <c r="T7" s="21">
        <f t="shared" si="4"/>
        <v>43000</v>
      </c>
      <c r="U7" s="53">
        <f>IF($J7="","",ROUND(($J7-$J$3)/1000,1)+(_xlfn.RANK.AVG($J7,($J7,$O7,$T7),1)-2)*20)</f>
        <v>38</v>
      </c>
      <c r="V7" s="54">
        <f>IF($O7="","",ROUND(($O7-$O$3)/1000,1)+(_xlfn.RANK.AVG($O7,($J7,$O7,$T7),1)-2)*20)</f>
        <v>-46</v>
      </c>
      <c r="W7" s="55">
        <f>IF($T7="","",ROUND(($T7-$T$3)/1000,1)+(_xlfn.RANK.AVG($T7,($J7,$O7,$T7),1)-2)*20)</f>
        <v>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5</v>
      </c>
      <c r="BT7" s="30" t="s">
        <v>201</v>
      </c>
      <c r="BU7" s="40" t="s">
        <v>82</v>
      </c>
      <c r="BV7" s="41" t="s">
        <v>85</v>
      </c>
      <c r="BW7" s="41" t="s">
        <v>202</v>
      </c>
      <c r="BX7" s="41" t="s">
        <v>202</v>
      </c>
      <c r="BY7" s="41" t="s">
        <v>84</v>
      </c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IF($K$1="","",$K$1)</f>
        <v>ただ</v>
      </c>
      <c r="F8" s="8" t="s">
        <v>205</v>
      </c>
      <c r="G8" s="9">
        <v>-3000</v>
      </c>
      <c r="H8" s="9"/>
      <c r="I8" s="48"/>
      <c r="J8" s="21">
        <f t="shared" si="2"/>
        <v>50000</v>
      </c>
      <c r="K8" s="8" t="s">
        <v>205</v>
      </c>
      <c r="L8" s="9">
        <v>1500</v>
      </c>
      <c r="M8" s="9"/>
      <c r="N8" s="48"/>
      <c r="O8" s="21">
        <f t="shared" si="3"/>
        <v>10500</v>
      </c>
      <c r="P8" s="8" t="s">
        <v>205</v>
      </c>
      <c r="Q8" s="9">
        <v>1500</v>
      </c>
      <c r="R8" s="9"/>
      <c r="S8" s="48"/>
      <c r="T8" s="21">
        <f t="shared" si="4"/>
        <v>44500</v>
      </c>
      <c r="U8" s="53">
        <f>IF($J8="","",ROUND(($J8-$J$3)/1000,1)+(_xlfn.RANK.AVG($J8,($J8,$O8,$T8),1)-2)*20)</f>
        <v>35</v>
      </c>
      <c r="V8" s="54">
        <f>IF($O8="","",ROUND(($O8-$O$3)/1000,1)+(_xlfn.RANK.AVG($O8,($J8,$O8,$T8),1)-2)*20)</f>
        <v>-44.5</v>
      </c>
      <c r="W8" s="55">
        <f>IF($T8="","",ROUND(($T8-$T$3)/1000,1)+(_xlfn.RANK.AVG($T8,($J8,$O8,$T8),1)-2)*20)</f>
        <v>9.5</v>
      </c>
      <c r="Y8" s="8" t="s">
        <v>204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203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203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tr">
        <f>IF($K$1="","",$K$1)</f>
        <v>ただ</v>
      </c>
      <c r="F9" s="8" t="s">
        <v>196</v>
      </c>
      <c r="G9" s="9">
        <v>-6000</v>
      </c>
      <c r="H9" s="9">
        <v>-1000</v>
      </c>
      <c r="I9" s="48">
        <v>-500</v>
      </c>
      <c r="J9" s="21">
        <f t="shared" si="2"/>
        <v>42500</v>
      </c>
      <c r="K9" s="8" t="s">
        <v>196</v>
      </c>
      <c r="L9" s="9">
        <v>-10000</v>
      </c>
      <c r="M9" s="9"/>
      <c r="N9" s="48">
        <v>-500</v>
      </c>
      <c r="O9" s="21">
        <f t="shared" si="3"/>
        <v>0</v>
      </c>
      <c r="P9" s="8" t="s">
        <v>197</v>
      </c>
      <c r="Q9" s="9">
        <v>16000</v>
      </c>
      <c r="R9" s="9">
        <v>1000</v>
      </c>
      <c r="S9" s="48">
        <v>1000</v>
      </c>
      <c r="T9" s="21">
        <f t="shared" si="4"/>
        <v>62500</v>
      </c>
      <c r="U9" s="53">
        <f>IF($J9="","",ROUND(($J9-$J$3)/1000,1)+(_xlfn.RANK.AVG($J9,($J9,$O9,$T9),1)-2)*20)</f>
        <v>7.5</v>
      </c>
      <c r="V9" s="54">
        <f>IF($O9="","",ROUND(($O9-$O$3)/1000,1)+(_xlfn.RANK.AVG($O9,($J9,$O9,$T9),1)-2)*20)</f>
        <v>-55</v>
      </c>
      <c r="W9" s="55">
        <f>IF($T9="","",ROUND(($T9-$T$3)/1000,1)+(_xlfn.RANK.AVG($T9,($J9,$O9,$T9),1)-2)*20)</f>
        <v>47.5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8</v>
      </c>
      <c r="BT9" s="30" t="s">
        <v>201</v>
      </c>
      <c r="BU9" s="40" t="s">
        <v>198</v>
      </c>
      <c r="BV9" s="41" t="s">
        <v>82</v>
      </c>
      <c r="BW9" s="41" t="s">
        <v>85</v>
      </c>
      <c r="BX9" s="41" t="s">
        <v>84</v>
      </c>
      <c r="BY9" s="41" t="s">
        <v>79</v>
      </c>
      <c r="BZ9" s="41" t="s">
        <v>79</v>
      </c>
      <c r="CA9" s="41" t="s">
        <v>79</v>
      </c>
      <c r="CB9" s="41" t="s">
        <v>202</v>
      </c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IF($P$1="","",$P$1)</f>
        <v>たかの</v>
      </c>
      <c r="F10" s="8"/>
      <c r="G10" s="9"/>
      <c r="H10" s="9"/>
      <c r="I10" s="48"/>
      <c r="J10" s="21">
        <f t="shared" si="2"/>
        <v>42500</v>
      </c>
      <c r="K10" s="8" t="s">
        <v>200</v>
      </c>
      <c r="L10" s="9">
        <v>2600</v>
      </c>
      <c r="M10" s="9"/>
      <c r="N10" s="48">
        <v>0</v>
      </c>
      <c r="O10" s="21">
        <f t="shared" si="3"/>
        <v>2600</v>
      </c>
      <c r="P10" s="8" t="s">
        <v>199</v>
      </c>
      <c r="Q10" s="9">
        <v>-2600</v>
      </c>
      <c r="R10" s="9"/>
      <c r="S10" s="48">
        <v>0</v>
      </c>
      <c r="T10" s="21">
        <f t="shared" si="4"/>
        <v>59900</v>
      </c>
      <c r="U10" s="53">
        <f>IF($J10="","",ROUND(($J10-$J$3)/1000,1)+(_xlfn.RANK.AVG($J10,($J10,$O10,$T10),1)-2)*20)</f>
        <v>7.5</v>
      </c>
      <c r="V10" s="54">
        <f>IF($O10="","",ROUND(($O10-$O$3)/1000,1)+(_xlfn.RANK.AVG($O10,($J10,$O10,$T10),1)-2)*20)</f>
        <v>-52.4</v>
      </c>
      <c r="W10" s="55">
        <f>IF($T10="","",ROUND(($T10-$T$3)/1000,1)+(_xlfn.RANK.AVG($T10,($J10,$O10,$T10),1)-2)*20)</f>
        <v>44.9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2</v>
      </c>
      <c r="AY10" s="30">
        <v>40</v>
      </c>
      <c r="AZ10" s="40" t="s">
        <v>92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IF($F$1="","",$F$1)</f>
        <v>だいち</v>
      </c>
      <c r="F11" s="8" t="s">
        <v>199</v>
      </c>
      <c r="G11" s="9">
        <v>-8000</v>
      </c>
      <c r="H11" s="9">
        <v>-1000</v>
      </c>
      <c r="I11" s="48">
        <v>0</v>
      </c>
      <c r="J11" s="21">
        <f t="shared" si="2"/>
        <v>33500</v>
      </c>
      <c r="K11" s="8" t="s">
        <v>200</v>
      </c>
      <c r="L11" s="9">
        <v>8000</v>
      </c>
      <c r="M11" s="9">
        <v>1000</v>
      </c>
      <c r="N11" s="48">
        <v>0</v>
      </c>
      <c r="O11" s="21">
        <f t="shared" si="3"/>
        <v>11600</v>
      </c>
      <c r="P11" s="8"/>
      <c r="Q11" s="9"/>
      <c r="R11" s="9"/>
      <c r="S11" s="48"/>
      <c r="T11" s="21">
        <f t="shared" si="4"/>
        <v>59900</v>
      </c>
      <c r="U11" s="53">
        <f>IF($J11="","",ROUND(($J11-$J$3)/1000,1)+(_xlfn.RANK.AVG($J11,($J11,$O11,$T11),1)-2)*20)</f>
        <v>-1.5</v>
      </c>
      <c r="V11" s="54">
        <f>IF($O11="","",ROUND(($O11-$O$3)/1000,1)+(_xlfn.RANK.AVG($O11,($J11,$O11,$T11),1)-2)*20)</f>
        <v>-43.4</v>
      </c>
      <c r="W11" s="55">
        <f>IF($T11="","",ROUND(($T11-$T$3)/1000,1)+(_xlfn.RANK.AVG($T11,($J11,$O11,$T11),1)-2)*20)</f>
        <v>44.9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5</v>
      </c>
      <c r="AY11" s="30" t="s">
        <v>201</v>
      </c>
      <c r="AZ11" s="40" t="s">
        <v>198</v>
      </c>
      <c r="BA11" s="41" t="s">
        <v>207</v>
      </c>
      <c r="BB11" s="41" t="s">
        <v>79</v>
      </c>
      <c r="BC11" s="41" t="s">
        <v>202</v>
      </c>
      <c r="BD11" s="41" t="s">
        <v>84</v>
      </c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showInputMessage="1" showErrorMessage="1" sqref="K4:K30 P4:P30 F4:F30" xr:uid="{6C457B3F-DD69-4E5E-AC0B-2DFE59AA3DFD}">
      <formula1>"ロン,ツモ,放銃,ツモ支払,流局,チョンボ"</formula1>
    </dataValidation>
    <dataValidation type="list" allowBlank="1" showInputMessage="1" showErrorMessage="1" sqref="E4:E30" xr:uid="{711DAEF6-8030-4A9C-8DCF-4DE5FA71FE2B}">
      <formula1>$U$2:$W$2</formula1>
    </dataValidation>
    <dataValidation type="list" allowBlank="1" showInputMessage="1" sqref="F1:T1" xr:uid="{2D2B5DB4-9F44-4983-94A9-D8B6283B6595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37F29-74BC-47B6-A2A6-16F40E2A3E36}">
  <sheetPr codeName="Sheet26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195</v>
      </c>
      <c r="G1" s="72"/>
      <c r="H1" s="72"/>
      <c r="I1" s="73"/>
      <c r="J1" s="74"/>
      <c r="K1" s="71" t="s">
        <v>193</v>
      </c>
      <c r="L1" s="72"/>
      <c r="M1" s="72"/>
      <c r="N1" s="73"/>
      <c r="O1" s="74"/>
      <c r="P1" s="71" t="s">
        <v>192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たかの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196</v>
      </c>
      <c r="G4" s="9">
        <v>-3000</v>
      </c>
      <c r="H4" s="9"/>
      <c r="I4" s="48">
        <v>0</v>
      </c>
      <c r="J4" s="21">
        <f>IF(COUNTA($F4,$K4,$P4)&gt;0,J3+SUM(G4:I4),"")</f>
        <v>32000</v>
      </c>
      <c r="K4" s="8" t="s">
        <v>197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 t="s">
        <v>196</v>
      </c>
      <c r="Q4" s="9">
        <v>-5000</v>
      </c>
      <c r="R4" s="9"/>
      <c r="S4" s="48">
        <v>0</v>
      </c>
      <c r="T4" s="21">
        <f>IF(COUNTA($F4,$K4,$P4)&gt;0,T3+SUM(Q4:S4),"")</f>
        <v>30000</v>
      </c>
      <c r="U4" s="53">
        <f>IF($J4="","",ROUND(($J4-$J$3)/1000,1)+(_xlfn.RANK.AVG($J4,($J4,$O4,$T4),1)-2)*20)</f>
        <v>-3</v>
      </c>
      <c r="V4" s="54">
        <f>IF($O4="","",ROUND(($O4-$O$3)/1000,1)+(_xlfn.RANK.AVG($O4,($J4,$O4,$T4),1)-2)*20)</f>
        <v>28</v>
      </c>
      <c r="W4" s="55">
        <f>IF($T4="","",ROUND(($T4-$T$3)/1000,1)+(_xlfn.RANK.AVG($T4,($J4,$O4,$T4),1)-2)*20)</f>
        <v>-25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5</v>
      </c>
      <c r="AY4" s="30" t="s">
        <v>201</v>
      </c>
      <c r="AZ4" s="40" t="s">
        <v>82</v>
      </c>
      <c r="BA4" s="41" t="s">
        <v>92</v>
      </c>
      <c r="BB4" s="41" t="s">
        <v>79</v>
      </c>
      <c r="BC4" s="41" t="s">
        <v>202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ただ</v>
      </c>
      <c r="F5" s="8" t="s">
        <v>197</v>
      </c>
      <c r="G5" s="9">
        <v>4000</v>
      </c>
      <c r="H5" s="9">
        <v>1000</v>
      </c>
      <c r="I5" s="48">
        <v>0</v>
      </c>
      <c r="J5" s="21">
        <f t="shared" ref="J5:J30" si="2">IF(COUNTA($F5,$K5,$P5)&gt;0,J4+SUM(G5:I5),"")</f>
        <v>37000</v>
      </c>
      <c r="K5" s="8" t="s">
        <v>196</v>
      </c>
      <c r="L5" s="9">
        <v>-2000</v>
      </c>
      <c r="M5" s="9"/>
      <c r="N5" s="48">
        <v>0</v>
      </c>
      <c r="O5" s="21">
        <f t="shared" ref="O5:O30" si="3">IF(COUNTA($F5,$K5,$P5)&gt;0,O4+SUM(L5:N5),"")</f>
        <v>41000</v>
      </c>
      <c r="P5" s="8" t="s">
        <v>196</v>
      </c>
      <c r="Q5" s="9">
        <v>-2000</v>
      </c>
      <c r="R5" s="9">
        <v>-1000</v>
      </c>
      <c r="S5" s="48">
        <v>0</v>
      </c>
      <c r="T5" s="21">
        <f t="shared" ref="T5:T30" si="4">IF(COUNTA($F5,$K5,$P5)&gt;0,T4+SUM(Q5:S5),"")</f>
        <v>27000</v>
      </c>
      <c r="U5" s="53">
        <f>IF($J5="","",ROUND(($J5-$J$3)/1000,1)+(_xlfn.RANK.AVG($J5,($J5,$O5,$T5),1)-2)*20)</f>
        <v>2</v>
      </c>
      <c r="V5" s="54">
        <f>IF($O5="","",ROUND(($O5-$O$3)/1000,1)+(_xlfn.RANK.AVG($O5,($J5,$O5,$T5),1)-2)*20)</f>
        <v>26</v>
      </c>
      <c r="W5" s="55">
        <f>IF($T5="","",ROUND(($T5-$T$3)/1000,1)+(_xlfn.RANK.AVG($T5,($J5,$O5,$T5),1)-2)*20)</f>
        <v>-28</v>
      </c>
      <c r="Y5" s="8"/>
      <c r="Z5" s="34"/>
      <c r="AA5" s="26">
        <v>1</v>
      </c>
      <c r="AB5" s="26"/>
      <c r="AC5" s="26">
        <v>3</v>
      </c>
      <c r="AD5" s="30">
        <v>20</v>
      </c>
      <c r="AE5" s="40" t="s">
        <v>198</v>
      </c>
      <c r="AF5" s="41" t="s">
        <v>82</v>
      </c>
      <c r="AG5" s="41" t="s">
        <v>83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IF($F$1="","",$F$1)</f>
        <v>ただ</v>
      </c>
      <c r="F6" s="8" t="s">
        <v>199</v>
      </c>
      <c r="G6" s="9">
        <v>-1000</v>
      </c>
      <c r="H6" s="9"/>
      <c r="I6" s="48">
        <v>-1000</v>
      </c>
      <c r="J6" s="21">
        <f t="shared" si="2"/>
        <v>35000</v>
      </c>
      <c r="K6" s="8" t="s">
        <v>200</v>
      </c>
      <c r="L6" s="9">
        <v>1000</v>
      </c>
      <c r="M6" s="9"/>
      <c r="N6" s="48">
        <v>1000</v>
      </c>
      <c r="O6" s="21">
        <f t="shared" si="3"/>
        <v>43000</v>
      </c>
      <c r="P6" s="8"/>
      <c r="Q6" s="9"/>
      <c r="R6" s="9"/>
      <c r="S6" s="48"/>
      <c r="T6" s="21">
        <f t="shared" si="4"/>
        <v>27000</v>
      </c>
      <c r="U6" s="53">
        <f>IF($J6="","",ROUND(($J6-$J$3)/1000,1)+(_xlfn.RANK.AVG($J6,($J6,$O6,$T6),1)-2)*20)</f>
        <v>0</v>
      </c>
      <c r="V6" s="54">
        <f>IF($O6="","",ROUND(($O6-$O$3)/1000,1)+(_xlfn.RANK.AVG($O6,($J6,$O6,$T6),1)-2)*20)</f>
        <v>28</v>
      </c>
      <c r="W6" s="55">
        <f>IF($T6="","",ROUND(($T6-$T$3)/1000,1)+(_xlfn.RANK.AVG($T6,($J6,$O6,$T6),1)-2)*20)</f>
        <v>-28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1</v>
      </c>
      <c r="AY6" s="30">
        <v>30</v>
      </c>
      <c r="AZ6" s="40" t="s">
        <v>86</v>
      </c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IF($K$1="","",$K$1)</f>
        <v>たかの</v>
      </c>
      <c r="F7" s="8" t="s">
        <v>205</v>
      </c>
      <c r="G7" s="9">
        <v>-1500</v>
      </c>
      <c r="H7" s="9"/>
      <c r="I7" s="48"/>
      <c r="J7" s="21">
        <f t="shared" si="2"/>
        <v>33500</v>
      </c>
      <c r="K7" s="8" t="s">
        <v>205</v>
      </c>
      <c r="L7" s="9">
        <v>-1500</v>
      </c>
      <c r="M7" s="9"/>
      <c r="N7" s="48"/>
      <c r="O7" s="21">
        <f t="shared" si="3"/>
        <v>41500</v>
      </c>
      <c r="P7" s="8" t="s">
        <v>205</v>
      </c>
      <c r="Q7" s="9">
        <v>3000</v>
      </c>
      <c r="R7" s="9">
        <v>-1000</v>
      </c>
      <c r="S7" s="48"/>
      <c r="T7" s="21">
        <f t="shared" si="4"/>
        <v>29000</v>
      </c>
      <c r="U7" s="53">
        <f>IF($J7="","",ROUND(($J7-$J$3)/1000,1)+(_xlfn.RANK.AVG($J7,($J7,$O7,$T7),1)-2)*20)</f>
        <v>-1.5</v>
      </c>
      <c r="V7" s="54">
        <f>IF($O7="","",ROUND(($O7-$O$3)/1000,1)+(_xlfn.RANK.AVG($O7,($J7,$O7,$T7),1)-2)*20)</f>
        <v>26.5</v>
      </c>
      <c r="W7" s="55">
        <f>IF($T7="","",ROUND(($T7-$T$3)/1000,1)+(_xlfn.RANK.AVG($T7,($J7,$O7,$T7),1)-2)*20)</f>
        <v>-26</v>
      </c>
      <c r="Y7" s="8" t="s">
        <v>204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204</v>
      </c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203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1</v>
      </c>
      <c r="E8" s="4" t="str">
        <f>IF($P$1="","",$P$1)</f>
        <v>れんたろう</v>
      </c>
      <c r="F8" s="8" t="s">
        <v>197</v>
      </c>
      <c r="G8" s="9">
        <v>7700</v>
      </c>
      <c r="H8" s="9">
        <v>1000</v>
      </c>
      <c r="I8" s="48">
        <v>1000</v>
      </c>
      <c r="J8" s="21">
        <f t="shared" si="2"/>
        <v>43200</v>
      </c>
      <c r="K8" s="8" t="s">
        <v>196</v>
      </c>
      <c r="L8" s="9">
        <v>-2900</v>
      </c>
      <c r="M8" s="9"/>
      <c r="N8" s="48">
        <v>-500</v>
      </c>
      <c r="O8" s="21">
        <f t="shared" si="3"/>
        <v>38100</v>
      </c>
      <c r="P8" s="8" t="s">
        <v>196</v>
      </c>
      <c r="Q8" s="9">
        <v>-4800</v>
      </c>
      <c r="R8" s="9"/>
      <c r="S8" s="48">
        <v>-500</v>
      </c>
      <c r="T8" s="21">
        <f t="shared" si="4"/>
        <v>23700</v>
      </c>
      <c r="U8" s="53">
        <f>IF($J8="","",ROUND(($J8-$J$3)/1000,1)+(_xlfn.RANK.AVG($J8,($J8,$O8,$T8),1)-2)*20)</f>
        <v>28.2</v>
      </c>
      <c r="V8" s="54">
        <f>IF($O8="","",ROUND(($O8-$O$3)/1000,1)+(_xlfn.RANK.AVG($O8,($J8,$O8,$T8),1)-2)*20)</f>
        <v>3.1</v>
      </c>
      <c r="W8" s="55">
        <f>IF($T8="","",ROUND(($T8-$T$3)/1000,1)+(_xlfn.RANK.AVG($T8,($J8,$O8,$T8),1)-2)*20)</f>
        <v>-31.3</v>
      </c>
      <c r="Y8" s="8"/>
      <c r="Z8" s="34"/>
      <c r="AA8" s="26">
        <v>1</v>
      </c>
      <c r="AB8" s="26"/>
      <c r="AC8" s="26">
        <v>4</v>
      </c>
      <c r="AD8" s="30">
        <v>30</v>
      </c>
      <c r="AE8" s="40" t="s">
        <v>198</v>
      </c>
      <c r="AF8" s="41" t="s">
        <v>82</v>
      </c>
      <c r="AG8" s="41" t="s">
        <v>207</v>
      </c>
      <c r="AH8" s="41" t="s">
        <v>202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IF($F$1="","",$F$1)</f>
        <v>ただ</v>
      </c>
      <c r="F9" s="8" t="s">
        <v>197</v>
      </c>
      <c r="G9" s="9">
        <v>18000</v>
      </c>
      <c r="H9" s="9"/>
      <c r="I9" s="48">
        <v>0</v>
      </c>
      <c r="J9" s="21">
        <f t="shared" si="2"/>
        <v>61200</v>
      </c>
      <c r="K9" s="8" t="s">
        <v>196</v>
      </c>
      <c r="L9" s="9">
        <v>-9000</v>
      </c>
      <c r="M9" s="9"/>
      <c r="N9" s="48">
        <v>0</v>
      </c>
      <c r="O9" s="21">
        <f t="shared" si="3"/>
        <v>29100</v>
      </c>
      <c r="P9" s="8" t="s">
        <v>196</v>
      </c>
      <c r="Q9" s="9">
        <v>-9000</v>
      </c>
      <c r="R9" s="9"/>
      <c r="S9" s="48">
        <v>0</v>
      </c>
      <c r="T9" s="21">
        <f t="shared" si="4"/>
        <v>14700</v>
      </c>
      <c r="U9" s="53">
        <f>IF($J9="","",ROUND(($J9-$J$3)/1000,1)+(_xlfn.RANK.AVG($J9,($J9,$O9,$T9),1)-2)*20)</f>
        <v>46.2</v>
      </c>
      <c r="V9" s="54">
        <f>IF($O9="","",ROUND(($O9-$O$3)/1000,1)+(_xlfn.RANK.AVG($O9,($J9,$O9,$T9),1)-2)*20)</f>
        <v>-5.9</v>
      </c>
      <c r="W9" s="55">
        <f>IF($T9="","",ROUND(($T9-$T$3)/1000,1)+(_xlfn.RANK.AVG($T9,($J9,$O9,$T9),1)-2)*20)</f>
        <v>-40.299999999999997</v>
      </c>
      <c r="Y9" s="8"/>
      <c r="Z9" s="34"/>
      <c r="AA9" s="26"/>
      <c r="AB9" s="26"/>
      <c r="AC9" s="26">
        <v>6</v>
      </c>
      <c r="AD9" s="30" t="s">
        <v>201</v>
      </c>
      <c r="AE9" s="40" t="s">
        <v>86</v>
      </c>
      <c r="AF9" s="41" t="s">
        <v>86</v>
      </c>
      <c r="AG9" s="41" t="s">
        <v>79</v>
      </c>
      <c r="AH9" s="41" t="s">
        <v>96</v>
      </c>
      <c r="AI9" s="41" t="s">
        <v>82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tr">
        <f>IF($F$1="","",$F$1)</f>
        <v>ただ</v>
      </c>
      <c r="F10" s="8" t="s">
        <v>196</v>
      </c>
      <c r="G10" s="9">
        <v>-7500</v>
      </c>
      <c r="H10" s="9"/>
      <c r="I10" s="48">
        <v>-500</v>
      </c>
      <c r="J10" s="21">
        <f t="shared" si="2"/>
        <v>53200</v>
      </c>
      <c r="K10" s="8" t="s">
        <v>196</v>
      </c>
      <c r="L10" s="9">
        <v>-4500</v>
      </c>
      <c r="M10" s="9"/>
      <c r="N10" s="48">
        <v>-500</v>
      </c>
      <c r="O10" s="21">
        <f t="shared" si="3"/>
        <v>24100</v>
      </c>
      <c r="P10" s="8" t="s">
        <v>197</v>
      </c>
      <c r="Q10" s="9">
        <v>12000</v>
      </c>
      <c r="R10" s="9"/>
      <c r="S10" s="48">
        <v>1000</v>
      </c>
      <c r="T10" s="21">
        <f t="shared" si="4"/>
        <v>27700</v>
      </c>
      <c r="U10" s="53">
        <f>IF($J10="","",ROUND(($J10-$J$3)/1000,1)+(_xlfn.RANK.AVG($J10,($J10,$O10,$T10),1)-2)*20)</f>
        <v>38.200000000000003</v>
      </c>
      <c r="V10" s="54">
        <f>IF($O10="","",ROUND(($O10-$O$3)/1000,1)+(_xlfn.RANK.AVG($O10,($J10,$O10,$T10),1)-2)*20)</f>
        <v>-30.9</v>
      </c>
      <c r="W10" s="55">
        <f>IF($T10="","",ROUND(($T10-$T$3)/1000,1)+(_xlfn.RANK.AVG($T10,($J10,$O10,$T10),1)-2)*20)</f>
        <v>-7.3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6</v>
      </c>
      <c r="BT10" s="30" t="s">
        <v>201</v>
      </c>
      <c r="BU10" s="40" t="s">
        <v>198</v>
      </c>
      <c r="BV10" s="41" t="s">
        <v>82</v>
      </c>
      <c r="BW10" s="41" t="s">
        <v>207</v>
      </c>
      <c r="BX10" s="41" t="s">
        <v>84</v>
      </c>
      <c r="BY10" s="41" t="s">
        <v>85</v>
      </c>
      <c r="BZ10" s="41" t="s">
        <v>202</v>
      </c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IF($K$1="","",$K$1)</f>
        <v>たかの</v>
      </c>
      <c r="F11" s="8"/>
      <c r="G11" s="9"/>
      <c r="H11" s="9"/>
      <c r="I11" s="48"/>
      <c r="J11" s="21">
        <f t="shared" si="2"/>
        <v>53200</v>
      </c>
      <c r="K11" s="8" t="s">
        <v>200</v>
      </c>
      <c r="L11" s="9">
        <v>12000</v>
      </c>
      <c r="M11" s="9"/>
      <c r="N11" s="48">
        <v>0</v>
      </c>
      <c r="O11" s="21">
        <f t="shared" si="3"/>
        <v>36100</v>
      </c>
      <c r="P11" s="8" t="s">
        <v>199</v>
      </c>
      <c r="Q11" s="9">
        <v>-12000</v>
      </c>
      <c r="R11" s="9"/>
      <c r="S11" s="48">
        <v>0</v>
      </c>
      <c r="T11" s="21">
        <f t="shared" si="4"/>
        <v>15700</v>
      </c>
      <c r="U11" s="53">
        <f>IF($J11="","",ROUND(($J11-$J$3)/1000,1)+(_xlfn.RANK.AVG($J11,($J11,$O11,$T11),1)-2)*20)</f>
        <v>38.200000000000003</v>
      </c>
      <c r="V11" s="54">
        <f>IF($O11="","",ROUND(($O11-$O$3)/1000,1)+(_xlfn.RANK.AVG($O11,($J11,$O11,$T11),1)-2)*20)</f>
        <v>1.1000000000000001</v>
      </c>
      <c r="W11" s="55">
        <f>IF($T11="","",ROUND(($T11-$T$3)/1000,1)+(_xlfn.RANK.AVG($T11,($J11,$O11,$T11),1)-2)*20)</f>
        <v>-39.299999999999997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4</v>
      </c>
      <c r="AY11" s="30">
        <v>40</v>
      </c>
      <c r="AZ11" s="40" t="s">
        <v>198</v>
      </c>
      <c r="BA11" s="41" t="s">
        <v>79</v>
      </c>
      <c r="BB11" s="41" t="s">
        <v>80</v>
      </c>
      <c r="BC11" s="41" t="s">
        <v>202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tr">
        <f>IF($K$1="","",$K$1)</f>
        <v>たかの</v>
      </c>
      <c r="F12" s="8" t="s">
        <v>196</v>
      </c>
      <c r="G12" s="9">
        <v>-12000</v>
      </c>
      <c r="H12" s="9"/>
      <c r="I12" s="48">
        <v>-500</v>
      </c>
      <c r="J12" s="21">
        <f t="shared" si="2"/>
        <v>40700</v>
      </c>
      <c r="K12" s="8" t="s">
        <v>197</v>
      </c>
      <c r="L12" s="9">
        <v>24000</v>
      </c>
      <c r="M12" s="9">
        <v>1000</v>
      </c>
      <c r="N12" s="48">
        <v>1000</v>
      </c>
      <c r="O12" s="21">
        <f t="shared" si="3"/>
        <v>62100</v>
      </c>
      <c r="P12" s="8" t="s">
        <v>196</v>
      </c>
      <c r="Q12" s="9">
        <v>-12000</v>
      </c>
      <c r="R12" s="9">
        <v>-1000</v>
      </c>
      <c r="S12" s="48">
        <v>-500</v>
      </c>
      <c r="T12" s="21">
        <f t="shared" si="4"/>
        <v>2200</v>
      </c>
      <c r="U12" s="53">
        <f>IF($J12="","",ROUND(($J12-$J$3)/1000,1)+(_xlfn.RANK.AVG($J12,($J12,$O12,$T12),1)-2)*20)</f>
        <v>5.7</v>
      </c>
      <c r="V12" s="54">
        <f>IF($O12="","",ROUND(($O12-$O$3)/1000,1)+(_xlfn.RANK.AVG($O12,($J12,$O12,$T12),1)-2)*20)</f>
        <v>47.1</v>
      </c>
      <c r="W12" s="55">
        <f>IF($T12="","",ROUND(($T12-$T$3)/1000,1)+(_xlfn.RANK.AVG($T12,($J12,$O12,$T12),1)-2)*20)</f>
        <v>-52.8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>
        <v>8</v>
      </c>
      <c r="AY12" s="30" t="s">
        <v>201</v>
      </c>
      <c r="AZ12" s="40" t="s">
        <v>87</v>
      </c>
      <c r="BA12" s="41" t="s">
        <v>104</v>
      </c>
      <c r="BB12" s="41" t="s">
        <v>101</v>
      </c>
      <c r="BC12" s="41" t="s">
        <v>79</v>
      </c>
      <c r="BD12" s="41" t="s">
        <v>79</v>
      </c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2</v>
      </c>
      <c r="D13" s="18">
        <f t="shared" si="1"/>
        <v>0</v>
      </c>
      <c r="E13" s="4" t="str">
        <f>IF($K$1="","",$K$1)</f>
        <v>たかの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0E739EA8-D5C9-4790-9A72-9550D39E7C9C}">
      <formula1>$U$2:$W$2</formula1>
    </dataValidation>
    <dataValidation type="list" showInputMessage="1" showErrorMessage="1" sqref="K4:K30 P4:P30 F4:F30" xr:uid="{181576D7-EA84-432B-A012-FF4DC2286279}">
      <formula1>"ロン,ツモ,放銃,ツモ支払,流局,チョンボ"</formula1>
    </dataValidation>
    <dataValidation type="list" allowBlank="1" showInputMessage="1" sqref="F1:T1" xr:uid="{ED5A4C79-BCA7-4745-A1F6-6F5654A92A1D}">
      <formula1>"だいち,れんたろう,まっつん,ただ,いちかわ,やがさき,あさひ,かわたつ,わさび,やなぎ,ほたに,ちさと,たか,がくと,ゆう,てんちゃん,いっしー,かこたろう,たかの,ともき,ぱぱ,りくと,のり,"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B6" s="36" t="s">
        <v>191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25</vt:i4>
      </vt:variant>
    </vt:vector>
  </HeadingPairs>
  <TitlesOfParts>
    <vt:vector size="25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  <vt:lpstr>Sheet13</vt:lpstr>
      <vt:lpstr>Sheet14</vt:lpstr>
      <vt:lpstr>Sheet15</vt:lpstr>
      <vt:lpstr>Sheet16</vt:lpstr>
      <vt:lpstr>Sheet17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福澤　大地</cp:lastModifiedBy>
  <cp:lastPrinted>2018-10-03T09:15:05Z</cp:lastPrinted>
  <dcterms:created xsi:type="dcterms:W3CDTF">2018-10-02T11:54:05Z</dcterms:created>
  <dcterms:modified xsi:type="dcterms:W3CDTF">2023-03-04T20:25:58Z</dcterms:modified>
</cp:coreProperties>
</file>