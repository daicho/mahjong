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A5350059-9121-47BF-8C15-46F2B7DCA064}" xr6:coauthVersionLast="47" xr6:coauthVersionMax="47" xr10:uidLastSave="{00000000-0000-0000-0000-000000000000}"/>
  <bookViews>
    <workbookView xWindow="-120" yWindow="-120" windowWidth="29040" windowHeight="15990" activeTab="11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役一覧" sheetId="15" state="hidden" r:id="rId13"/>
    <sheet name="点数表(親ロン)" sheetId="4" state="hidden" r:id="rId14"/>
    <sheet name="点数表(親ツモ)" sheetId="9" state="hidden" r:id="rId15"/>
    <sheet name="点数表(子→親)" sheetId="7" state="hidden" r:id="rId16"/>
    <sheet name="点数表(子ロン)" sheetId="3" state="hidden" r:id="rId17"/>
    <sheet name="点数表(子ツモ)" sheetId="10" state="hidden" r:id="rId18"/>
    <sheet name="点数表(子→子)" sheetId="5" state="hidden" r:id="rId19"/>
    <sheet name="点数表(親→子)" sheetId="6" state="hidden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30" l="1"/>
  <c r="E15" i="30"/>
  <c r="E14" i="30"/>
  <c r="E13" i="30"/>
  <c r="D13" i="30" s="1"/>
  <c r="E12" i="30"/>
  <c r="D12" i="30" s="1"/>
  <c r="E11" i="30"/>
  <c r="D11" i="30" s="1"/>
  <c r="E10" i="30"/>
  <c r="E9" i="30"/>
  <c r="D9" i="30" s="1"/>
  <c r="E8" i="30"/>
  <c r="E7" i="30"/>
  <c r="E6" i="30"/>
  <c r="D6" i="30" s="1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 s="1"/>
  <c r="T15" i="30"/>
  <c r="O15" i="30"/>
  <c r="J15" i="30"/>
  <c r="D15" i="30"/>
  <c r="C15" i="30"/>
  <c r="B15" i="30"/>
  <c r="A15" i="30" s="1"/>
  <c r="T14" i="30"/>
  <c r="O14" i="30"/>
  <c r="J14" i="30"/>
  <c r="U14" i="30" s="1"/>
  <c r="D14" i="30"/>
  <c r="C14" i="30"/>
  <c r="B14" i="30"/>
  <c r="A14" i="30"/>
  <c r="T13" i="30"/>
  <c r="O13" i="30"/>
  <c r="J13" i="30"/>
  <c r="U13" i="30" s="1"/>
  <c r="C13" i="30"/>
  <c r="B13" i="30"/>
  <c r="T12" i="30"/>
  <c r="O12" i="30"/>
  <c r="J12" i="30"/>
  <c r="C12" i="30"/>
  <c r="B12" i="30"/>
  <c r="A12" i="30"/>
  <c r="C10" i="30"/>
  <c r="D10" i="30"/>
  <c r="D8" i="30"/>
  <c r="O5" i="30"/>
  <c r="O6" i="30" s="1"/>
  <c r="B5" i="30"/>
  <c r="C5" i="30"/>
  <c r="T4" i="30"/>
  <c r="T5" i="30" s="1"/>
  <c r="O4" i="30"/>
  <c r="J4" i="30"/>
  <c r="J5" i="30" s="1"/>
  <c r="W3" i="30"/>
  <c r="V3" i="30"/>
  <c r="U3" i="30"/>
  <c r="W2" i="30"/>
  <c r="V2" i="30"/>
  <c r="U2" i="30"/>
  <c r="BO1" i="30"/>
  <c r="AT1" i="30"/>
  <c r="Y1" i="30"/>
  <c r="E11" i="29"/>
  <c r="E10" i="29"/>
  <c r="C10" i="29" s="1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/>
  <c r="T11" i="29"/>
  <c r="O11" i="29"/>
  <c r="J11" i="29"/>
  <c r="D11" i="29"/>
  <c r="C11" i="29"/>
  <c r="B11" i="29"/>
  <c r="A11" i="29" s="1"/>
  <c r="T10" i="29"/>
  <c r="O10" i="29"/>
  <c r="J10" i="29"/>
  <c r="U10" i="29" s="1"/>
  <c r="D10" i="29"/>
  <c r="D9" i="29"/>
  <c r="D8" i="29"/>
  <c r="C7" i="29"/>
  <c r="D6" i="29"/>
  <c r="T4" i="29"/>
  <c r="T5" i="29" s="1"/>
  <c r="O4" i="29"/>
  <c r="O5" i="29" s="1"/>
  <c r="J4" i="29"/>
  <c r="J5" i="29" s="1"/>
  <c r="W3" i="29"/>
  <c r="V3" i="29"/>
  <c r="U3" i="29"/>
  <c r="W2" i="29"/>
  <c r="V2" i="29"/>
  <c r="U2" i="29"/>
  <c r="BO1" i="29"/>
  <c r="AT1" i="29"/>
  <c r="Y1" i="29"/>
  <c r="E9" i="28"/>
  <c r="D9" i="28" s="1"/>
  <c r="E8" i="28"/>
  <c r="C8" i="28" s="1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/>
  <c r="T10" i="28"/>
  <c r="W10" i="28" s="1"/>
  <c r="O10" i="28"/>
  <c r="V10" i="28" s="1"/>
  <c r="J10" i="28"/>
  <c r="U10" i="28" s="1"/>
  <c r="D10" i="28"/>
  <c r="C10" i="28"/>
  <c r="B10" i="28"/>
  <c r="A10" i="28" s="1"/>
  <c r="C9" i="28"/>
  <c r="C7" i="28"/>
  <c r="D7" i="28"/>
  <c r="T5" i="28"/>
  <c r="T6" i="28" s="1"/>
  <c r="D5" i="28"/>
  <c r="C5" i="28"/>
  <c r="B5" i="28"/>
  <c r="A5" i="28" s="1"/>
  <c r="T4" i="28"/>
  <c r="O4" i="28"/>
  <c r="O5" i="28" s="1"/>
  <c r="J4" i="28"/>
  <c r="J5" i="28" s="1"/>
  <c r="W3" i="28"/>
  <c r="V3" i="28"/>
  <c r="U3" i="28"/>
  <c r="W2" i="28"/>
  <c r="V2" i="28"/>
  <c r="U2" i="28"/>
  <c r="BO1" i="28"/>
  <c r="AT1" i="28"/>
  <c r="Y1" i="28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D9" i="27"/>
  <c r="D7" i="27"/>
  <c r="T5" i="27"/>
  <c r="T6" i="27" s="1"/>
  <c r="J5" i="27"/>
  <c r="J6" i="27" s="1"/>
  <c r="C5" i="27"/>
  <c r="D5" i="27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D13" i="26"/>
  <c r="E12" i="26"/>
  <c r="E11" i="26"/>
  <c r="B11" i="26" s="1"/>
  <c r="E10" i="26"/>
  <c r="C10" i="26" s="1"/>
  <c r="E9" i="26"/>
  <c r="E8" i="26"/>
  <c r="D8" i="26" s="1"/>
  <c r="E7" i="26"/>
  <c r="E6" i="26"/>
  <c r="E5" i="26"/>
  <c r="C5" i="26" s="1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C13" i="26"/>
  <c r="B13" i="26"/>
  <c r="T12" i="26"/>
  <c r="O12" i="26"/>
  <c r="J12" i="26"/>
  <c r="D12" i="26"/>
  <c r="C12" i="26"/>
  <c r="B12" i="26"/>
  <c r="A12" i="26" s="1"/>
  <c r="T11" i="26"/>
  <c r="O11" i="26"/>
  <c r="J11" i="26"/>
  <c r="D7" i="26"/>
  <c r="D6" i="26"/>
  <c r="O5" i="26"/>
  <c r="O6" i="26" s="1"/>
  <c r="B5" i="26"/>
  <c r="T4" i="26"/>
  <c r="T5" i="26" s="1"/>
  <c r="O4" i="26"/>
  <c r="J4" i="26"/>
  <c r="W3" i="26"/>
  <c r="V3" i="26"/>
  <c r="U3" i="26"/>
  <c r="W2" i="26"/>
  <c r="V2" i="26"/>
  <c r="U2" i="26"/>
  <c r="BO1" i="26"/>
  <c r="AT1" i="26"/>
  <c r="Y1" i="26"/>
  <c r="E10" i="25"/>
  <c r="C10" i="25" s="1"/>
  <c r="E9" i="25"/>
  <c r="E8" i="25"/>
  <c r="D8" i="25" s="1"/>
  <c r="D9" i="25" s="1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T11" i="25"/>
  <c r="W11" i="25" s="1"/>
  <c r="O11" i="25"/>
  <c r="V11" i="25" s="1"/>
  <c r="J11" i="25"/>
  <c r="U11" i="25" s="1"/>
  <c r="D11" i="25"/>
  <c r="C11" i="25"/>
  <c r="T10" i="25"/>
  <c r="O10" i="25"/>
  <c r="J10" i="25"/>
  <c r="D10" i="25"/>
  <c r="C7" i="25"/>
  <c r="D7" i="25"/>
  <c r="T4" i="25"/>
  <c r="T5" i="25" s="1"/>
  <c r="O4" i="25"/>
  <c r="O5" i="25" s="1"/>
  <c r="J4" i="25"/>
  <c r="J5" i="25" s="1"/>
  <c r="W3" i="25"/>
  <c r="V3" i="25"/>
  <c r="U3" i="25"/>
  <c r="W2" i="25"/>
  <c r="V2" i="25"/>
  <c r="U2" i="25"/>
  <c r="BO1" i="25"/>
  <c r="AT1" i="25"/>
  <c r="Y1" i="25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T10" i="24"/>
  <c r="W10" i="24" s="1"/>
  <c r="O10" i="24"/>
  <c r="V10" i="24" s="1"/>
  <c r="J10" i="24"/>
  <c r="U10" i="24" s="1"/>
  <c r="D10" i="24"/>
  <c r="C10" i="24"/>
  <c r="B10" i="24"/>
  <c r="A10" i="24" s="1"/>
  <c r="D9" i="24"/>
  <c r="D8" i="24"/>
  <c r="C7" i="24"/>
  <c r="T4" i="24"/>
  <c r="T5" i="24" s="1"/>
  <c r="O4" i="24"/>
  <c r="O5" i="24" s="1"/>
  <c r="J4" i="24"/>
  <c r="J5" i="24" s="1"/>
  <c r="W3" i="24"/>
  <c r="V3" i="24"/>
  <c r="U3" i="24"/>
  <c r="W2" i="24"/>
  <c r="V2" i="24"/>
  <c r="U2" i="24"/>
  <c r="BO1" i="24"/>
  <c r="AT1" i="24"/>
  <c r="Y1" i="24"/>
  <c r="E9" i="23"/>
  <c r="D9" i="23" s="1"/>
  <c r="E8" i="23"/>
  <c r="E7" i="23"/>
  <c r="E6" i="23"/>
  <c r="E5" i="23"/>
  <c r="C5" i="23" s="1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D10" i="23"/>
  <c r="D8" i="23"/>
  <c r="C8" i="23"/>
  <c r="D7" i="23"/>
  <c r="C7" i="23"/>
  <c r="J5" i="23"/>
  <c r="J6" i="23" s="1"/>
  <c r="D5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C12" i="22"/>
  <c r="E11" i="22"/>
  <c r="E10" i="22"/>
  <c r="D10" i="22" s="1"/>
  <c r="E9" i="22"/>
  <c r="D9" i="22" s="1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T11" i="22"/>
  <c r="O11" i="22"/>
  <c r="J11" i="22"/>
  <c r="D11" i="22"/>
  <c r="C11" i="22"/>
  <c r="C7" i="22"/>
  <c r="D7" i="22"/>
  <c r="D6" i="22"/>
  <c r="A5" i="22"/>
  <c r="D5" i="22"/>
  <c r="C5" i="22"/>
  <c r="C6" i="22" s="1"/>
  <c r="B5" i="22"/>
  <c r="T4" i="22"/>
  <c r="T5" i="22" s="1"/>
  <c r="O4" i="22"/>
  <c r="O5" i="22" s="1"/>
  <c r="J4" i="22"/>
  <c r="J5" i="22" s="1"/>
  <c r="W3" i="22"/>
  <c r="V3" i="22"/>
  <c r="U3" i="22"/>
  <c r="W2" i="22"/>
  <c r="V2" i="22"/>
  <c r="U2" i="22"/>
  <c r="BO1" i="22"/>
  <c r="AT1" i="22"/>
  <c r="Y1" i="22"/>
  <c r="A11" i="21"/>
  <c r="E10" i="21"/>
  <c r="E9" i="21"/>
  <c r="C10" i="21" s="1"/>
  <c r="E8" i="21"/>
  <c r="E7" i="21"/>
  <c r="D7" i="21" s="1"/>
  <c r="E6" i="21"/>
  <c r="B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B11" i="21"/>
  <c r="D10" i="21"/>
  <c r="O6" i="21"/>
  <c r="O7" i="21" s="1"/>
  <c r="C6" i="21"/>
  <c r="O5" i="21"/>
  <c r="J5" i="21"/>
  <c r="J6" i="21" s="1"/>
  <c r="C5" i="21"/>
  <c r="B5" i="21"/>
  <c r="A5" i="21" s="1"/>
  <c r="T4" i="21"/>
  <c r="T5" i="21" s="1"/>
  <c r="O4" i="21"/>
  <c r="J4" i="21"/>
  <c r="U4" i="21" s="1"/>
  <c r="W3" i="21"/>
  <c r="V3" i="21"/>
  <c r="U3" i="21"/>
  <c r="W2" i="21"/>
  <c r="V2" i="21"/>
  <c r="U2" i="21"/>
  <c r="BO1" i="21"/>
  <c r="AT1" i="21"/>
  <c r="Y1" i="21"/>
  <c r="E10" i="20"/>
  <c r="U15" i="30" l="1"/>
  <c r="V15" i="30"/>
  <c r="W15" i="30"/>
  <c r="V14" i="30"/>
  <c r="W14" i="30"/>
  <c r="V13" i="30"/>
  <c r="W13" i="30"/>
  <c r="A13" i="30"/>
  <c r="U12" i="30"/>
  <c r="V12" i="30"/>
  <c r="W12" i="30"/>
  <c r="C9" i="30"/>
  <c r="V4" i="30"/>
  <c r="O7" i="30"/>
  <c r="J6" i="30"/>
  <c r="U5" i="30"/>
  <c r="T6" i="30"/>
  <c r="W5" i="30"/>
  <c r="D5" i="30"/>
  <c r="B6" i="30"/>
  <c r="C11" i="30"/>
  <c r="U4" i="30"/>
  <c r="C6" i="30"/>
  <c r="W4" i="30"/>
  <c r="A5" i="30"/>
  <c r="C7" i="30"/>
  <c r="C8" i="30" s="1"/>
  <c r="V5" i="30"/>
  <c r="D7" i="30"/>
  <c r="U11" i="29"/>
  <c r="V11" i="29"/>
  <c r="W11" i="29"/>
  <c r="V10" i="29"/>
  <c r="W10" i="29"/>
  <c r="B10" i="29"/>
  <c r="A10" i="29" s="1"/>
  <c r="O6" i="29"/>
  <c r="V5" i="29"/>
  <c r="T6" i="29"/>
  <c r="W5" i="29"/>
  <c r="B6" i="29"/>
  <c r="B7" i="29"/>
  <c r="U5" i="29"/>
  <c r="J6" i="29"/>
  <c r="B5" i="29"/>
  <c r="D7" i="29"/>
  <c r="C5" i="29"/>
  <c r="C6" i="29" s="1"/>
  <c r="B8" i="29"/>
  <c r="B9" i="29" s="1"/>
  <c r="D5" i="29"/>
  <c r="C8" i="29"/>
  <c r="U4" i="29"/>
  <c r="V4" i="29"/>
  <c r="C9" i="29"/>
  <c r="W4" i="29"/>
  <c r="W4" i="28"/>
  <c r="J6" i="28"/>
  <c r="U5" i="28"/>
  <c r="T7" i="28"/>
  <c r="W6" i="28"/>
  <c r="O6" i="28"/>
  <c r="V5" i="28"/>
  <c r="B7" i="28"/>
  <c r="B8" i="28" s="1"/>
  <c r="W5" i="28"/>
  <c r="B6" i="28"/>
  <c r="A6" i="28" s="1"/>
  <c r="D8" i="28"/>
  <c r="U4" i="28"/>
  <c r="C6" i="28"/>
  <c r="V4" i="28"/>
  <c r="D6" i="28"/>
  <c r="W4" i="27"/>
  <c r="J7" i="27"/>
  <c r="T7" i="27"/>
  <c r="O6" i="27"/>
  <c r="U6" i="27" s="1"/>
  <c r="V5" i="27"/>
  <c r="B6" i="27"/>
  <c r="A6" i="27" s="1"/>
  <c r="D8" i="27"/>
  <c r="U4" i="27"/>
  <c r="C6" i="27"/>
  <c r="C7" i="27" s="1"/>
  <c r="C8" i="27" s="1"/>
  <c r="V4" i="27"/>
  <c r="D6" i="27"/>
  <c r="C9" i="27"/>
  <c r="B7" i="27"/>
  <c r="A5" i="27"/>
  <c r="U5" i="27"/>
  <c r="B5" i="27"/>
  <c r="C10" i="27"/>
  <c r="C11" i="27" s="1"/>
  <c r="C12" i="27" s="1"/>
  <c r="W5" i="27"/>
  <c r="D10" i="27"/>
  <c r="D11" i="27" s="1"/>
  <c r="D12" i="27" s="1"/>
  <c r="A13" i="26"/>
  <c r="V12" i="26"/>
  <c r="W12" i="26"/>
  <c r="U12" i="26"/>
  <c r="U11" i="26"/>
  <c r="V11" i="26"/>
  <c r="W11" i="26"/>
  <c r="D11" i="26"/>
  <c r="C11" i="26"/>
  <c r="A11" i="26"/>
  <c r="D10" i="26"/>
  <c r="V4" i="26"/>
  <c r="T6" i="26"/>
  <c r="W5" i="26"/>
  <c r="O7" i="26"/>
  <c r="D5" i="26"/>
  <c r="C8" i="26"/>
  <c r="B6" i="26"/>
  <c r="B7" i="26" s="1"/>
  <c r="U4" i="26"/>
  <c r="J5" i="26"/>
  <c r="C6" i="26"/>
  <c r="C9" i="26"/>
  <c r="W4" i="26"/>
  <c r="D9" i="26"/>
  <c r="A5" i="26"/>
  <c r="C7" i="26"/>
  <c r="V5" i="26"/>
  <c r="C7" i="21"/>
  <c r="C6" i="24"/>
  <c r="D6" i="21"/>
  <c r="U10" i="25"/>
  <c r="V10" i="25"/>
  <c r="W10" i="25"/>
  <c r="C8" i="25"/>
  <c r="C9" i="25" s="1"/>
  <c r="J6" i="25"/>
  <c r="U5" i="25"/>
  <c r="O6" i="25"/>
  <c r="V5" i="25"/>
  <c r="T6" i="25"/>
  <c r="W5" i="25"/>
  <c r="B5" i="25"/>
  <c r="C5" i="25"/>
  <c r="D5" i="25"/>
  <c r="D6" i="25" s="1"/>
  <c r="B6" i="25"/>
  <c r="U4" i="25"/>
  <c r="C6" i="25"/>
  <c r="V4" i="25"/>
  <c r="W4" i="25"/>
  <c r="D6" i="24"/>
  <c r="O6" i="24"/>
  <c r="V5" i="24"/>
  <c r="T6" i="24"/>
  <c r="W5" i="24"/>
  <c r="J6" i="24"/>
  <c r="U5" i="24"/>
  <c r="B5" i="24"/>
  <c r="D7" i="24"/>
  <c r="C5" i="24"/>
  <c r="D5" i="24"/>
  <c r="C8" i="24"/>
  <c r="C9" i="24" s="1"/>
  <c r="U4" i="24"/>
  <c r="V4" i="24"/>
  <c r="W4" i="24"/>
  <c r="O6" i="23"/>
  <c r="V5" i="23"/>
  <c r="T6" i="23"/>
  <c r="W5" i="23"/>
  <c r="J7" i="23"/>
  <c r="U6" i="23"/>
  <c r="C11" i="23"/>
  <c r="U4" i="23"/>
  <c r="C6" i="23"/>
  <c r="V4" i="23"/>
  <c r="D6" i="23"/>
  <c r="C9" i="23"/>
  <c r="W4" i="23"/>
  <c r="U5" i="23"/>
  <c r="B5" i="23"/>
  <c r="B6" i="23" s="1"/>
  <c r="C10" i="23"/>
  <c r="D12" i="22"/>
  <c r="B12" i="22"/>
  <c r="A12" i="22" s="1"/>
  <c r="U11" i="22"/>
  <c r="V11" i="22"/>
  <c r="W11" i="22"/>
  <c r="C10" i="22"/>
  <c r="O6" i="22"/>
  <c r="V5" i="22"/>
  <c r="W5" i="22"/>
  <c r="T6" i="22"/>
  <c r="J6" i="22"/>
  <c r="U5" i="22"/>
  <c r="C8" i="22"/>
  <c r="C9" i="22" s="1"/>
  <c r="B6" i="22"/>
  <c r="A6" i="22" s="1"/>
  <c r="D8" i="22"/>
  <c r="V4" i="22"/>
  <c r="U4" i="22"/>
  <c r="W4" i="22"/>
  <c r="D11" i="21"/>
  <c r="C11" i="21"/>
  <c r="V4" i="21"/>
  <c r="T6" i="21"/>
  <c r="W5" i="21"/>
  <c r="V5" i="21"/>
  <c r="O8" i="21"/>
  <c r="J7" i="21"/>
  <c r="D5" i="21"/>
  <c r="A6" i="21"/>
  <c r="C8" i="21"/>
  <c r="V6" i="21"/>
  <c r="D8" i="21"/>
  <c r="C9" i="21"/>
  <c r="W4" i="21"/>
  <c r="B7" i="21"/>
  <c r="D9" i="21"/>
  <c r="U5" i="21"/>
  <c r="T7" i="30" l="1"/>
  <c r="W6" i="30"/>
  <c r="B7" i="30"/>
  <c r="A7" i="30" s="1"/>
  <c r="J7" i="30"/>
  <c r="U6" i="30"/>
  <c r="V6" i="30"/>
  <c r="A6" i="30"/>
  <c r="O8" i="30"/>
  <c r="J7" i="29"/>
  <c r="U6" i="29"/>
  <c r="T7" i="29"/>
  <c r="W6" i="29"/>
  <c r="A5" i="29"/>
  <c r="A6" i="29" s="1"/>
  <c r="A7" i="29" s="1"/>
  <c r="A8" i="29" s="1"/>
  <c r="A9" i="29" s="1"/>
  <c r="O7" i="29"/>
  <c r="V6" i="29"/>
  <c r="B9" i="28"/>
  <c r="O7" i="28"/>
  <c r="V6" i="28"/>
  <c r="T8" i="28"/>
  <c r="A7" i="28"/>
  <c r="A8" i="28" s="1"/>
  <c r="A9" i="28" s="1"/>
  <c r="J7" i="28"/>
  <c r="U6" i="28"/>
  <c r="W6" i="27"/>
  <c r="A7" i="27"/>
  <c r="B8" i="27"/>
  <c r="T8" i="27"/>
  <c r="O7" i="27"/>
  <c r="W7" i="27" s="1"/>
  <c r="V6" i="27"/>
  <c r="J8" i="27"/>
  <c r="B8" i="26"/>
  <c r="A7" i="26"/>
  <c r="T7" i="26"/>
  <c r="A6" i="26"/>
  <c r="J6" i="26"/>
  <c r="U5" i="26"/>
  <c r="O8" i="26"/>
  <c r="T7" i="25"/>
  <c r="W6" i="25"/>
  <c r="O7" i="25"/>
  <c r="V6" i="25"/>
  <c r="B7" i="25"/>
  <c r="J7" i="25"/>
  <c r="U6" i="25"/>
  <c r="A5" i="25"/>
  <c r="A6" i="25" s="1"/>
  <c r="A5" i="24"/>
  <c r="B6" i="24"/>
  <c r="J7" i="24"/>
  <c r="U6" i="24"/>
  <c r="T7" i="24"/>
  <c r="W6" i="24"/>
  <c r="V6" i="24"/>
  <c r="O7" i="24"/>
  <c r="B7" i="23"/>
  <c r="A5" i="23"/>
  <c r="T7" i="23"/>
  <c r="W6" i="23"/>
  <c r="J8" i="23"/>
  <c r="U7" i="23"/>
  <c r="A6" i="23"/>
  <c r="V6" i="23"/>
  <c r="O7" i="23"/>
  <c r="W6" i="22"/>
  <c r="T7" i="22"/>
  <c r="B7" i="22"/>
  <c r="O7" i="22"/>
  <c r="V6" i="22"/>
  <c r="J7" i="22"/>
  <c r="U6" i="22"/>
  <c r="O9" i="21"/>
  <c r="T7" i="21"/>
  <c r="V7" i="21" s="1"/>
  <c r="W6" i="21"/>
  <c r="J8" i="21"/>
  <c r="U7" i="21"/>
  <c r="B8" i="21"/>
  <c r="A7" i="21"/>
  <c r="U6" i="21"/>
  <c r="J8" i="30" l="1"/>
  <c r="U7" i="30"/>
  <c r="B8" i="30"/>
  <c r="V7" i="30"/>
  <c r="O9" i="30"/>
  <c r="V8" i="30"/>
  <c r="T8" i="30"/>
  <c r="W7" i="30"/>
  <c r="T8" i="29"/>
  <c r="W7" i="29"/>
  <c r="J8" i="29"/>
  <c r="U7" i="29"/>
  <c r="O8" i="29"/>
  <c r="V7" i="29"/>
  <c r="J8" i="28"/>
  <c r="U7" i="28"/>
  <c r="O8" i="28"/>
  <c r="V7" i="28"/>
  <c r="W7" i="28"/>
  <c r="T9" i="28"/>
  <c r="W8" i="28"/>
  <c r="J9" i="27"/>
  <c r="B9" i="27"/>
  <c r="A9" i="27" s="1"/>
  <c r="O8" i="27"/>
  <c r="V7" i="27"/>
  <c r="T9" i="27"/>
  <c r="W8" i="27"/>
  <c r="U7" i="27"/>
  <c r="A8" i="27"/>
  <c r="O9" i="26"/>
  <c r="B9" i="26"/>
  <c r="A8" i="26"/>
  <c r="J7" i="26"/>
  <c r="U6" i="26"/>
  <c r="V6" i="26"/>
  <c r="W6" i="26"/>
  <c r="T8" i="26"/>
  <c r="A8" i="21"/>
  <c r="B8" i="25"/>
  <c r="J8" i="25"/>
  <c r="U7" i="25"/>
  <c r="T8" i="25"/>
  <c r="W7" i="25"/>
  <c r="O8" i="25"/>
  <c r="V7" i="25"/>
  <c r="A7" i="25"/>
  <c r="J8" i="24"/>
  <c r="U7" i="24"/>
  <c r="W7" i="24"/>
  <c r="T8" i="24"/>
  <c r="B7" i="24"/>
  <c r="O8" i="24"/>
  <c r="V7" i="24"/>
  <c r="A6" i="24"/>
  <c r="T8" i="23"/>
  <c r="W7" i="23"/>
  <c r="O8" i="23"/>
  <c r="V7" i="23"/>
  <c r="B8" i="23"/>
  <c r="J9" i="23"/>
  <c r="U8" i="23"/>
  <c r="A7" i="23"/>
  <c r="J8" i="22"/>
  <c r="U7" i="22"/>
  <c r="B8" i="22"/>
  <c r="A7" i="22"/>
  <c r="T8" i="22"/>
  <c r="W7" i="22"/>
  <c r="O8" i="22"/>
  <c r="V7" i="22"/>
  <c r="J9" i="21"/>
  <c r="T8" i="21"/>
  <c r="U8" i="21" s="1"/>
  <c r="W7" i="21"/>
  <c r="B9" i="21"/>
  <c r="V8" i="21"/>
  <c r="O10" i="21"/>
  <c r="B9" i="30" l="1"/>
  <c r="O10" i="30"/>
  <c r="A8" i="30"/>
  <c r="T9" i="30"/>
  <c r="W8" i="30"/>
  <c r="J9" i="30"/>
  <c r="U8" i="30"/>
  <c r="O9" i="29"/>
  <c r="V8" i="29"/>
  <c r="J9" i="29"/>
  <c r="U8" i="29"/>
  <c r="T9" i="29"/>
  <c r="W9" i="29" s="1"/>
  <c r="W8" i="29"/>
  <c r="O9" i="28"/>
  <c r="V9" i="28" s="1"/>
  <c r="V8" i="28"/>
  <c r="U8" i="28"/>
  <c r="J9" i="28"/>
  <c r="U9" i="28" s="1"/>
  <c r="T10" i="27"/>
  <c r="O9" i="27"/>
  <c r="W9" i="27" s="1"/>
  <c r="V8" i="27"/>
  <c r="B10" i="27"/>
  <c r="U8" i="27"/>
  <c r="J10" i="27"/>
  <c r="B10" i="26"/>
  <c r="J8" i="26"/>
  <c r="U7" i="26"/>
  <c r="V7" i="26"/>
  <c r="W7" i="26"/>
  <c r="A9" i="26"/>
  <c r="A10" i="26" s="1"/>
  <c r="T9" i="26"/>
  <c r="O10" i="26"/>
  <c r="A9" i="21"/>
  <c r="B9" i="25"/>
  <c r="O9" i="25"/>
  <c r="V8" i="25"/>
  <c r="T9" i="25"/>
  <c r="W9" i="25" s="1"/>
  <c r="W8" i="25"/>
  <c r="J9" i="25"/>
  <c r="U9" i="25" s="1"/>
  <c r="U8" i="25"/>
  <c r="A8" i="25"/>
  <c r="B8" i="24"/>
  <c r="T9" i="24"/>
  <c r="W8" i="24"/>
  <c r="O9" i="24"/>
  <c r="V8" i="24"/>
  <c r="A7" i="24"/>
  <c r="J9" i="24"/>
  <c r="U9" i="24" s="1"/>
  <c r="U8" i="24"/>
  <c r="J10" i="23"/>
  <c r="B9" i="23"/>
  <c r="A8" i="23"/>
  <c r="O9" i="23"/>
  <c r="V8" i="23"/>
  <c r="W8" i="23"/>
  <c r="T9" i="23"/>
  <c r="V8" i="22"/>
  <c r="O9" i="22"/>
  <c r="B9" i="22"/>
  <c r="A8" i="22"/>
  <c r="T9" i="22"/>
  <c r="W8" i="22"/>
  <c r="U8" i="22"/>
  <c r="J9" i="22"/>
  <c r="T9" i="21"/>
  <c r="W8" i="21"/>
  <c r="B10" i="21"/>
  <c r="A10" i="21" s="1"/>
  <c r="J10" i="21"/>
  <c r="U9" i="21"/>
  <c r="J10" i="30" l="1"/>
  <c r="U9" i="30"/>
  <c r="T10" i="30"/>
  <c r="W9" i="30"/>
  <c r="O11" i="30"/>
  <c r="V10" i="30"/>
  <c r="V9" i="30"/>
  <c r="A10" i="30"/>
  <c r="B10" i="30"/>
  <c r="A9" i="30"/>
  <c r="U9" i="29"/>
  <c r="V9" i="29"/>
  <c r="W9" i="28"/>
  <c r="B11" i="27"/>
  <c r="J11" i="27"/>
  <c r="A10" i="27"/>
  <c r="A11" i="27" s="1"/>
  <c r="O10" i="27"/>
  <c r="V9" i="27"/>
  <c r="U9" i="27"/>
  <c r="T11" i="27"/>
  <c r="J9" i="26"/>
  <c r="U8" i="26"/>
  <c r="V8" i="26"/>
  <c r="T10" i="26"/>
  <c r="W9" i="26"/>
  <c r="W8" i="26"/>
  <c r="A9" i="25"/>
  <c r="B10" i="25"/>
  <c r="V9" i="25"/>
  <c r="V9" i="24"/>
  <c r="W9" i="24"/>
  <c r="B9" i="24"/>
  <c r="A8" i="24"/>
  <c r="V9" i="23"/>
  <c r="O10" i="23"/>
  <c r="B10" i="23"/>
  <c r="A9" i="23"/>
  <c r="U9" i="23"/>
  <c r="T10" i="23"/>
  <c r="W9" i="23"/>
  <c r="J11" i="23"/>
  <c r="T10" i="22"/>
  <c r="W9" i="22"/>
  <c r="B10" i="22"/>
  <c r="B11" i="22" s="1"/>
  <c r="A9" i="22"/>
  <c r="O10" i="22"/>
  <c r="V9" i="22"/>
  <c r="J10" i="22"/>
  <c r="U10" i="22" s="1"/>
  <c r="U9" i="22"/>
  <c r="T10" i="21"/>
  <c r="U10" i="21" s="1"/>
  <c r="W9" i="21"/>
  <c r="V9" i="21"/>
  <c r="T11" i="30" l="1"/>
  <c r="W10" i="30"/>
  <c r="B11" i="30"/>
  <c r="A11" i="30" s="1"/>
  <c r="J11" i="30"/>
  <c r="U11" i="30" s="1"/>
  <c r="U10" i="30"/>
  <c r="O11" i="27"/>
  <c r="V10" i="27"/>
  <c r="J12" i="27"/>
  <c r="U11" i="27"/>
  <c r="U10" i="27"/>
  <c r="W10" i="27"/>
  <c r="T12" i="27"/>
  <c r="W11" i="27"/>
  <c r="B12" i="27"/>
  <c r="A12" i="27" s="1"/>
  <c r="J10" i="26"/>
  <c r="W10" i="26" s="1"/>
  <c r="U9" i="26"/>
  <c r="V9" i="26"/>
  <c r="A10" i="25"/>
  <c r="B11" i="25"/>
  <c r="A11" i="25"/>
  <c r="A9" i="24"/>
  <c r="B11" i="23"/>
  <c r="T11" i="23"/>
  <c r="W10" i="23"/>
  <c r="A10" i="23"/>
  <c r="A11" i="23" s="1"/>
  <c r="U10" i="23"/>
  <c r="O11" i="23"/>
  <c r="V11" i="23" s="1"/>
  <c r="V10" i="23"/>
  <c r="V10" i="22"/>
  <c r="A10" i="22"/>
  <c r="A11" i="22" s="1"/>
  <c r="W10" i="22"/>
  <c r="W10" i="21"/>
  <c r="V10" i="21"/>
  <c r="E9" i="20"/>
  <c r="E8" i="20"/>
  <c r="E7" i="20"/>
  <c r="E6" i="20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D10" i="20"/>
  <c r="C9" i="20"/>
  <c r="D9" i="20"/>
  <c r="D8" i="20"/>
  <c r="C8" i="20"/>
  <c r="D7" i="20"/>
  <c r="T5" i="20"/>
  <c r="T6" i="20" s="1"/>
  <c r="J5" i="20"/>
  <c r="D5" i="20"/>
  <c r="T4" i="20"/>
  <c r="O4" i="20"/>
  <c r="J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11" i="30" l="1"/>
  <c r="W11" i="30"/>
  <c r="U12" i="27"/>
  <c r="O12" i="27"/>
  <c r="V12" i="27" s="1"/>
  <c r="V11" i="27"/>
  <c r="U10" i="26"/>
  <c r="V10" i="26"/>
  <c r="W11" i="23"/>
  <c r="U11" i="23"/>
  <c r="W4" i="20"/>
  <c r="T7" i="20"/>
  <c r="C7" i="20"/>
  <c r="C11" i="20"/>
  <c r="U4" i="20"/>
  <c r="C6" i="20"/>
  <c r="V4" i="20"/>
  <c r="O5" i="20"/>
  <c r="D6" i="20"/>
  <c r="J6" i="20"/>
  <c r="B5" i="20"/>
  <c r="C10" i="20"/>
  <c r="A5" i="20"/>
  <c r="W3" i="19"/>
  <c r="V3" i="19"/>
  <c r="U3" i="19"/>
  <c r="W12" i="27" l="1"/>
  <c r="O6" i="20"/>
  <c r="V5" i="20"/>
  <c r="T8" i="20"/>
  <c r="J7" i="20"/>
  <c r="U6" i="20"/>
  <c r="W5" i="20"/>
  <c r="B6" i="20"/>
  <c r="A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D12" i="19"/>
  <c r="C12" i="19"/>
  <c r="T11" i="19"/>
  <c r="O11" i="19"/>
  <c r="J11" i="19"/>
  <c r="U11" i="19" s="1"/>
  <c r="D11" i="19"/>
  <c r="C11" i="19"/>
  <c r="T10" i="19"/>
  <c r="O10" i="19"/>
  <c r="J10" i="19"/>
  <c r="U10" i="19" s="1"/>
  <c r="D10" i="19"/>
  <c r="T9" i="19"/>
  <c r="W9" i="19" s="1"/>
  <c r="O9" i="19"/>
  <c r="V9" i="19" s="1"/>
  <c r="J9" i="19"/>
  <c r="U9" i="19" s="1"/>
  <c r="D9" i="19"/>
  <c r="C9" i="19"/>
  <c r="C10" i="19" s="1"/>
  <c r="T8" i="19"/>
  <c r="O8" i="19"/>
  <c r="J8" i="19"/>
  <c r="D8" i="19"/>
  <c r="C8" i="19"/>
  <c r="T7" i="19"/>
  <c r="W7" i="19" s="1"/>
  <c r="O7" i="19"/>
  <c r="V7" i="19" s="1"/>
  <c r="J7" i="19"/>
  <c r="U7" i="19" s="1"/>
  <c r="D7" i="19"/>
  <c r="T6" i="19"/>
  <c r="O6" i="19"/>
  <c r="J6" i="19"/>
  <c r="U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6" i="19" l="1"/>
  <c r="T9" i="20"/>
  <c r="J8" i="20"/>
  <c r="B7" i="20"/>
  <c r="A7" i="20" s="1"/>
  <c r="O7" i="20"/>
  <c r="V6" i="20"/>
  <c r="W6" i="20"/>
  <c r="W12" i="19"/>
  <c r="U12" i="19"/>
  <c r="V11" i="19"/>
  <c r="W11" i="19"/>
  <c r="V10" i="19"/>
  <c r="W10" i="19"/>
  <c r="U8" i="19"/>
  <c r="V8" i="19"/>
  <c r="W8" i="19"/>
  <c r="C6" i="19"/>
  <c r="C7" i="19" s="1"/>
  <c r="W4" i="19"/>
  <c r="V6" i="19"/>
  <c r="W6" i="19"/>
  <c r="U4" i="19"/>
  <c r="V4" i="19"/>
  <c r="T5" i="19"/>
  <c r="J5" i="19"/>
  <c r="O5" i="19"/>
  <c r="A6" i="19" l="1"/>
  <c r="B7" i="19"/>
  <c r="T10" i="20"/>
  <c r="O8" i="20"/>
  <c r="V7" i="20"/>
  <c r="U7" i="20"/>
  <c r="B8" i="20"/>
  <c r="A8" i="20" s="1"/>
  <c r="J9" i="20"/>
  <c r="W7" i="20"/>
  <c r="V5" i="19"/>
  <c r="U5" i="19"/>
  <c r="W5" i="19"/>
  <c r="A7" i="19" l="1"/>
  <c r="B8" i="19"/>
  <c r="O9" i="20"/>
  <c r="V8" i="20"/>
  <c r="W8" i="20"/>
  <c r="T11" i="20"/>
  <c r="B9" i="20"/>
  <c r="A9" i="20" s="1"/>
  <c r="U8" i="20"/>
  <c r="J10" i="20"/>
  <c r="U9" i="20"/>
  <c r="A8" i="19" l="1"/>
  <c r="B9" i="19"/>
  <c r="J11" i="20"/>
  <c r="T12" i="20"/>
  <c r="O10" i="20"/>
  <c r="V9" i="20"/>
  <c r="W9" i="20"/>
  <c r="B10" i="20"/>
  <c r="A10" i="20" s="1"/>
  <c r="A9" i="19" l="1"/>
  <c r="B10" i="19"/>
  <c r="O11" i="20"/>
  <c r="V10" i="20"/>
  <c r="W10" i="20"/>
  <c r="U10" i="20"/>
  <c r="B11" i="20"/>
  <c r="A11" i="20" s="1"/>
  <c r="J12" i="20"/>
  <c r="U11" i="20"/>
  <c r="A10" i="19" l="1"/>
  <c r="B11" i="19"/>
  <c r="B12" i="20"/>
  <c r="A12" i="20" s="1"/>
  <c r="V11" i="20"/>
  <c r="O12" i="20"/>
  <c r="V12" i="20" s="1"/>
  <c r="W11" i="20"/>
  <c r="A11" i="19" l="1"/>
  <c r="B12" i="19"/>
  <c r="W12" i="20"/>
  <c r="U12" i="20"/>
  <c r="A12" i="19" l="1"/>
</calcChain>
</file>

<file path=xl/sharedStrings.xml><?xml version="1.0" encoding="utf-8"?>
<sst xmlns="http://schemas.openxmlformats.org/spreadsheetml/2006/main" count="1688" uniqueCount="209">
  <si>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</si>
  <si>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</si>
  <si>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</si>
  <si>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</si>
  <si>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</si>
  <si>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</si>
  <si>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</si>
  <si>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</si>
  <si>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</si>
  <si>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</si>
  <si>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</si>
  <si>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</si>
  <si>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</si>
  <si>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</si>
  <si>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</si>
  <si>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</si>
  <si>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</si>
  <si>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</si>
  <si>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</si>
  <si>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</si>
  <si>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</si>
  <si>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</si>
  <si>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</si>
  <si>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</si>
  <si>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</si>
  <si>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</si>
  <si>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</si>
  <si>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</si>
  <si>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</si>
  <si>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</si>
  <si>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</si>
  <si>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</si>
  <si>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</si>
  <si>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</si>
  <si>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</si>
  <si>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</si>
  <si>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</si>
  <si>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</si>
  <si>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</si>
  <si>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</si>
  <si>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</si>
  <si>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</si>
  <si>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</si>
  <si>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</si>
  <si>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</si>
  <si>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</si>
  <si>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</si>
  <si>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</si>
  <si>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</si>
  <si>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</si>
  <si>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</si>
  <si>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</si>
  <si>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</si>
  <si>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</si>
  <si>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</si>
  <si>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</si>
  <si>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</si>
  <si>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</si>
  <si>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</si>
  <si>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</si>
  <si>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</si>
  <si>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</si>
  <si>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</si>
  <si>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</si>
  <si>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</si>
  <si>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</si>
  <si>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</si>
  <si>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</si>
  <si>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</si>
  <si>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</si>
  <si>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</si>
  <si>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</si>
  <si>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</si>
  <si>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</si>
  <si>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</si>
  <si>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</si>
  <si>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</si>
  <si>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</si>
  <si>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</si>
  <si>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</si>
  <si>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</si>
  <si>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</si>
  <si>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</si>
  <si>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</si>
  <si>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</si>
  <si>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</si>
  <si>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</si>
  <si>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</si>
  <si>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</si>
  <si>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</si>
  <si>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</si>
  <si>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</si>
  <si>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</si>
  <si>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</si>
  <si>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</si>
  <si>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</si>
  <si>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</si>
  <si>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</si>
  <si>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</si>
  <si>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</si>
  <si>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</si>
  <si>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</si>
  <si>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</si>
  <si>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</si>
  <si>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</si>
  <si>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</si>
  <si>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</si>
  <si>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</si>
  <si>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</si>
  <si>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</si>
  <si>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</si>
  <si>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</si>
  <si>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</si>
  <si>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</si>
  <si>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</si>
  <si>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</si>
  <si>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</si>
  <si>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</si>
  <si>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</si>
  <si>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</si>
  <si>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</si>
  <si>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</si>
  <si>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</si>
  <si>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</si>
  <si>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</si>
  <si>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</si>
  <si>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</si>
  <si>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</si>
  <si>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</si>
  <si>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</si>
  <si>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</si>
  <si>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</si>
  <si>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</si>
  <si>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</si>
  <si>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</si>
  <si>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</si>
  <si>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</si>
  <si>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</si>
  <si>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</si>
  <si>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</si>
  <si>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</si>
  <si>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</si>
  <si>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</si>
  <si>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</si>
  <si>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</si>
  <si>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</si>
  <si>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</si>
  <si>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</si>
  <si>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</si>
  <si>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</si>
  <si>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</si>
  <si>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</si>
  <si>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</si>
  <si>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</si>
  <si>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</si>
  <si>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</si>
  <si>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</si>
  <si>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</si>
  <si>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</si>
  <si>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</si>
  <si>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</si>
  <si>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</si>
  <si>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</si>
  <si>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</si>
  <si>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</si>
  <si>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</si>
  <si>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</si>
  <si>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</si>
  <si>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</si>
  <si>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</si>
  <si>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</si>
  <si>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</si>
  <si>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</si>
  <si>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</si>
  <si>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</si>
  <si>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</si>
  <si>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</si>
  <si>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</si>
  <si>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</si>
  <si>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</si>
  <si>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</si>
  <si>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</si>
  <si>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</si>
  <si>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</si>
  <si>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</si>
  <si>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</si>
  <si>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</si>
  <si>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</si>
  <si>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</si>
  <si>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</si>
  <si>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</si>
  <si>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</si>
  <si>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まっつん</t>
    <phoneticPr fontId="1"/>
  </si>
  <si>
    <t>りくと</t>
    <phoneticPr fontId="1"/>
  </si>
  <si>
    <t>ツモ</t>
  </si>
  <si>
    <t>ツモ支払</t>
  </si>
  <si>
    <t>*</t>
  </si>
  <si>
    <t>01</t>
  </si>
  <si>
    <t>ロン</t>
  </si>
  <si>
    <t>放銃</t>
  </si>
  <si>
    <t>52</t>
  </si>
  <si>
    <t>N</t>
  </si>
  <si>
    <t>T</t>
  </si>
  <si>
    <t>流局</t>
    <phoneticPr fontId="1"/>
  </si>
  <si>
    <t>02</t>
  </si>
  <si>
    <t>チョンボ</t>
  </si>
  <si>
    <t>だいち</t>
  </si>
  <si>
    <t>だいち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</si>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</sst>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6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AL1" zoomScaleNormal="100" workbookViewId="0">
      <selection activeCell="BS12" sqref="BS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194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195</v>
      </c>
      <c r="Q4" s="9">
        <v>-15000</v>
      </c>
      <c r="R4" s="9">
        <v>-1000</v>
      </c>
      <c r="S4" s="48">
        <v>0</v>
      </c>
      <c r="T4" s="21">
        <f>IF(COUNTA($F4,$K4,$P4)&gt;0,T3+SUM(Q4:S4),"")</f>
        <v>19000</v>
      </c>
      <c r="U4" s="53">
        <f>IF($J4="","",ROUND(($J4-$J$3)/1000,1)+(_xlfn.RANK.AVG($J4,($J4,$O4,$T4),1)-2)*20)</f>
        <v>45</v>
      </c>
      <c r="V4" s="54">
        <f>IF($O4="","",ROUND(($O4-$O$3)/1000,1)+(_xlfn.RANK.AVG($O4,($J4,$O4,$T4),1)-2)*20)</f>
        <v>-9</v>
      </c>
      <c r="W4" s="55">
        <f>IF($T4="","",ROUND(($T4-$T$3)/1000,1)+(_xlfn.RANK.AVG($T4,($J4,$O4,$T4),1)-2)*20)</f>
        <v>-36</v>
      </c>
      <c r="Y4" s="8"/>
      <c r="Z4" s="34"/>
      <c r="AA4" s="26">
        <v>1</v>
      </c>
      <c r="AB4" s="26"/>
      <c r="AC4" s="26">
        <v>11</v>
      </c>
      <c r="AD4" s="30" t="s">
        <v>196</v>
      </c>
      <c r="AE4" s="40" t="s">
        <v>197</v>
      </c>
      <c r="AF4" s="41" t="s">
        <v>82</v>
      </c>
      <c r="AG4" s="41" t="s">
        <v>85</v>
      </c>
      <c r="AH4" s="41" t="s">
        <v>96</v>
      </c>
      <c r="AI4" s="41" t="s">
        <v>79</v>
      </c>
      <c r="AJ4" s="41" t="s">
        <v>79</v>
      </c>
      <c r="AK4" s="41" t="s">
        <v>79</v>
      </c>
      <c r="AL4" s="41" t="s">
        <v>80</v>
      </c>
      <c r="AM4" s="41" t="s">
        <v>80</v>
      </c>
      <c r="AN4" s="41" t="s">
        <v>80</v>
      </c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5800</v>
      </c>
      <c r="H5" s="9"/>
      <c r="I5" s="48">
        <v>0</v>
      </c>
      <c r="J5" s="21">
        <f t="shared" ref="J5:J30" si="2">IF(COUNTA($F5,$K5,$P5)&gt;0,J4+SUM(G5:I5),"")</f>
        <v>65800</v>
      </c>
      <c r="K5" s="8" t="s">
        <v>199</v>
      </c>
      <c r="L5" s="9">
        <v>-5800</v>
      </c>
      <c r="M5" s="9"/>
      <c r="N5" s="48">
        <v>0</v>
      </c>
      <c r="O5" s="21">
        <f t="shared" ref="O5:O30" si="3">IF(COUNTA($F5,$K5,$P5)&gt;0,O4+SUM(L5:N5),"")</f>
        <v>20200</v>
      </c>
      <c r="P5" s="8"/>
      <c r="Q5" s="9"/>
      <c r="R5" s="9"/>
      <c r="S5" s="48"/>
      <c r="T5" s="21">
        <f t="shared" ref="T5:T30" si="4">IF(COUNTA($F5,$K5,$P5)&gt;0,T4+SUM(Q5:S5),"")</f>
        <v>19000</v>
      </c>
      <c r="U5" s="53">
        <f>IF($J5="","",ROUND(($J5-$J$3)/1000,1)+(_xlfn.RANK.AVG($J5,($J5,$O5,$T5),1)-2)*20)</f>
        <v>50.8</v>
      </c>
      <c r="V5" s="54">
        <f>IF($O5="","",ROUND(($O5-$O$3)/1000,1)+(_xlfn.RANK.AVG($O5,($J5,$O5,$T5),1)-2)*20)</f>
        <v>-14.8</v>
      </c>
      <c r="W5" s="55">
        <f>IF($T5="","",ROUND(($T5-$T$3)/1000,1)+(_xlfn.RANK.AVG($T5,($J5,$O5,$T5),1)-2)*20)</f>
        <v>-36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まっつん</v>
      </c>
      <c r="F6" s="8" t="s">
        <v>194</v>
      </c>
      <c r="G6" s="9">
        <v>12000</v>
      </c>
      <c r="H6" s="9">
        <v>1000</v>
      </c>
      <c r="I6" s="48">
        <v>1000</v>
      </c>
      <c r="J6" s="21">
        <f t="shared" si="2"/>
        <v>79800</v>
      </c>
      <c r="K6" s="8" t="s">
        <v>195</v>
      </c>
      <c r="L6" s="9">
        <v>-6000</v>
      </c>
      <c r="M6" s="9"/>
      <c r="N6" s="48">
        <v>-500</v>
      </c>
      <c r="O6" s="21">
        <f t="shared" si="3"/>
        <v>13700</v>
      </c>
      <c r="P6" s="8" t="s">
        <v>195</v>
      </c>
      <c r="Q6" s="9">
        <v>-6000</v>
      </c>
      <c r="R6" s="9">
        <v>-1000</v>
      </c>
      <c r="S6" s="48">
        <v>-500</v>
      </c>
      <c r="T6" s="21">
        <f t="shared" si="4"/>
        <v>11500</v>
      </c>
      <c r="U6" s="53">
        <f>IF($J6="","",ROUND(($J6-$J$3)/1000,1)+(_xlfn.RANK.AVG($J6,($J6,$O6,$T6),1)-2)*20)</f>
        <v>64.8</v>
      </c>
      <c r="V6" s="54">
        <f>IF($O6="","",ROUND(($O6-$O$3)/1000,1)+(_xlfn.RANK.AVG($O6,($J6,$O6,$T6),1)-2)*20)</f>
        <v>-21.3</v>
      </c>
      <c r="W6" s="55">
        <f>IF($T6="","",ROUND(($T6-$T$3)/1000,1)+(_xlfn.RANK.AVG($T6,($J6,$O6,$T6),1)-2)*20)</f>
        <v>-43.5</v>
      </c>
      <c r="Y6" s="8"/>
      <c r="Z6" s="34"/>
      <c r="AA6" s="26">
        <v>1</v>
      </c>
      <c r="AB6" s="26"/>
      <c r="AC6" s="26">
        <v>5</v>
      </c>
      <c r="AD6" s="30" t="s">
        <v>196</v>
      </c>
      <c r="AE6" s="40" t="s">
        <v>197</v>
      </c>
      <c r="AF6" s="41" t="s">
        <v>82</v>
      </c>
      <c r="AG6" s="41" t="s">
        <v>200</v>
      </c>
      <c r="AH6" s="41" t="s">
        <v>200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まっつん</v>
      </c>
      <c r="F7" s="8" t="s">
        <v>199</v>
      </c>
      <c r="G7" s="9">
        <v>-8000</v>
      </c>
      <c r="H7" s="9"/>
      <c r="I7" s="48">
        <v>-2000</v>
      </c>
      <c r="J7" s="21">
        <f t="shared" si="2"/>
        <v>69800</v>
      </c>
      <c r="K7" s="8"/>
      <c r="L7" s="9"/>
      <c r="M7" s="9"/>
      <c r="N7" s="48"/>
      <c r="O7" s="21">
        <f t="shared" si="3"/>
        <v>13700</v>
      </c>
      <c r="P7" s="8" t="s">
        <v>198</v>
      </c>
      <c r="Q7" s="9">
        <v>8000</v>
      </c>
      <c r="R7" s="9"/>
      <c r="S7" s="48">
        <v>2000</v>
      </c>
      <c r="T7" s="21">
        <f t="shared" si="4"/>
        <v>21500</v>
      </c>
      <c r="U7" s="53">
        <f>IF($J7="","",ROUND(($J7-$J$3)/1000,1)+(_xlfn.RANK.AVG($J7,($J7,$O7,$T7),1)-2)*20)</f>
        <v>54.8</v>
      </c>
      <c r="V7" s="54">
        <f>IF($O7="","",ROUND(($O7-$O$3)/1000,1)+(_xlfn.RANK.AVG($O7,($J7,$O7,$T7),1)-2)*20)</f>
        <v>-41.3</v>
      </c>
      <c r="W7" s="55">
        <f>IF($T7="","",ROUND(($T7-$T$3)/1000,1)+(_xlfn.RANK.AVG($T7,($J7,$O7,$T7),1)-2)*20)</f>
        <v>-13.5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197</v>
      </c>
      <c r="BV7" s="41" t="s">
        <v>80</v>
      </c>
      <c r="BW7" s="41" t="s">
        <v>93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203</v>
      </c>
      <c r="G8" s="9">
        <v>-3000</v>
      </c>
      <c r="H8" s="9"/>
      <c r="I8" s="48"/>
      <c r="J8" s="21">
        <f t="shared" si="2"/>
        <v>66800</v>
      </c>
      <c r="K8" s="8" t="s">
        <v>203</v>
      </c>
      <c r="L8" s="9">
        <v>1500</v>
      </c>
      <c r="M8" s="9">
        <v>-1000</v>
      </c>
      <c r="N8" s="48"/>
      <c r="O8" s="21">
        <f t="shared" si="3"/>
        <v>14200</v>
      </c>
      <c r="P8" s="8" t="s">
        <v>203</v>
      </c>
      <c r="Q8" s="9">
        <v>1500</v>
      </c>
      <c r="R8" s="9">
        <v>-1000</v>
      </c>
      <c r="S8" s="48"/>
      <c r="T8" s="21">
        <f t="shared" si="4"/>
        <v>22000</v>
      </c>
      <c r="U8" s="53">
        <f>IF($J8="","",ROUND(($J8-$J$3)/1000,1)+(_xlfn.RANK.AVG($J8,($J8,$O8,$T8),1)-2)*20)</f>
        <v>51.8</v>
      </c>
      <c r="V8" s="54">
        <f>IF($O8="","",ROUND(($O8-$O$3)/1000,1)+(_xlfn.RANK.AVG($O8,($J8,$O8,$T8),1)-2)*20)</f>
        <v>-40.799999999999997</v>
      </c>
      <c r="W8" s="55">
        <f>IF($T8="","",ROUND(($T8-$T$3)/1000,1)+(_xlfn.RANK.AVG($T8,($J8,$O8,$T8),1)-2)*20)</f>
        <v>-13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2</v>
      </c>
      <c r="E9" s="4" t="str">
        <f>IF($K$1="","",$K$1)</f>
        <v>りくと</v>
      </c>
      <c r="F9" s="8" t="s">
        <v>199</v>
      </c>
      <c r="G9" s="9">
        <v>-12000</v>
      </c>
      <c r="H9" s="9"/>
      <c r="I9" s="48">
        <v>-1000</v>
      </c>
      <c r="J9" s="21">
        <f t="shared" si="2"/>
        <v>53800</v>
      </c>
      <c r="K9" s="8" t="s">
        <v>198</v>
      </c>
      <c r="L9" s="9">
        <v>12000</v>
      </c>
      <c r="M9" s="9">
        <v>2000</v>
      </c>
      <c r="N9" s="48">
        <v>1000</v>
      </c>
      <c r="O9" s="21">
        <f t="shared" si="3"/>
        <v>29200</v>
      </c>
      <c r="P9" s="8"/>
      <c r="Q9" s="9"/>
      <c r="R9" s="9"/>
      <c r="S9" s="48"/>
      <c r="T9" s="21">
        <f t="shared" si="4"/>
        <v>22000</v>
      </c>
      <c r="U9" s="53">
        <f>IF($J9="","",ROUND(($J9-$J$3)/1000,1)+(_xlfn.RANK.AVG($J9,($J9,$O9,$T9),1)-2)*20)</f>
        <v>38.799999999999997</v>
      </c>
      <c r="V9" s="54">
        <f>IF($O9="","",ROUND(($O9-$O$3)/1000,1)+(_xlfn.RANK.AVG($O9,($J9,$O9,$T9),1)-2)*20)</f>
        <v>-5.8</v>
      </c>
      <c r="W9" s="55">
        <f>IF($T9="","",ROUND(($T9-$T$3)/1000,1)+(_xlfn.RANK.AVG($T9,($J9,$O9,$T9),1)-2)*20)</f>
        <v>-33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197</v>
      </c>
      <c r="BA9" s="41" t="s">
        <v>79</v>
      </c>
      <c r="BB9" s="41" t="s">
        <v>80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IF($K$1="","",$K$1)</f>
        <v>りくと</v>
      </c>
      <c r="F10" s="8" t="s">
        <v>198</v>
      </c>
      <c r="G10" s="9">
        <v>12000</v>
      </c>
      <c r="H10" s="9">
        <v>1000</v>
      </c>
      <c r="I10" s="48">
        <v>2000</v>
      </c>
      <c r="J10" s="21">
        <f t="shared" si="2"/>
        <v>68800</v>
      </c>
      <c r="K10" s="8" t="s">
        <v>199</v>
      </c>
      <c r="L10" s="9">
        <v>-12000</v>
      </c>
      <c r="M10" s="9">
        <v>-1000</v>
      </c>
      <c r="N10" s="48">
        <v>-2000</v>
      </c>
      <c r="O10" s="21">
        <f t="shared" si="3"/>
        <v>14200</v>
      </c>
      <c r="P10" s="8"/>
      <c r="Q10" s="9"/>
      <c r="R10" s="9"/>
      <c r="S10" s="48"/>
      <c r="T10" s="21">
        <f t="shared" si="4"/>
        <v>22000</v>
      </c>
      <c r="U10" s="53">
        <f>IF($J10="","",ROUND(($J10-$J$3)/1000,1)+(_xlfn.RANK.AVG($J10,($J10,$O10,$T10),1)-2)*20)</f>
        <v>53.8</v>
      </c>
      <c r="V10" s="54">
        <f>IF($O10="","",ROUND(($O10-$O$3)/1000,1)+(_xlfn.RANK.AVG($O10,($J10,$O10,$T10),1)-2)*20)</f>
        <v>-40.799999999999997</v>
      </c>
      <c r="W10" s="55">
        <f>IF($T10="","",ROUND(($T10-$T$3)/1000,1)+(_xlfn.RANK.AVG($T10,($J10,$O10,$T10),1)-2)*20)</f>
        <v>-13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101</v>
      </c>
      <c r="AF10" s="41" t="s">
        <v>104</v>
      </c>
      <c r="AG10" s="41" t="s">
        <v>80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8000</v>
      </c>
      <c r="H11" s="9"/>
      <c r="I11" s="48">
        <v>0</v>
      </c>
      <c r="J11" s="21">
        <f t="shared" si="2"/>
        <v>76800</v>
      </c>
      <c r="K11" s="8"/>
      <c r="L11" s="9"/>
      <c r="M11" s="9"/>
      <c r="N11" s="48"/>
      <c r="O11" s="21">
        <f t="shared" si="3"/>
        <v>14200</v>
      </c>
      <c r="P11" s="8" t="s">
        <v>199</v>
      </c>
      <c r="Q11" s="9">
        <v>-8000</v>
      </c>
      <c r="R11" s="9"/>
      <c r="S11" s="48">
        <v>0</v>
      </c>
      <c r="T11" s="21">
        <f t="shared" si="4"/>
        <v>14000</v>
      </c>
      <c r="U11" s="53">
        <f>IF($J11="","",ROUND(($J11-$J$3)/1000,1)+(_xlfn.RANK.AVG($J11,($J11,$O11,$T11),1)-2)*20)</f>
        <v>61.8</v>
      </c>
      <c r="V11" s="54">
        <f>IF($O11="","",ROUND(($O11-$O$3)/1000,1)+(_xlfn.RANK.AVG($O11,($J11,$O11,$T11),1)-2)*20)</f>
        <v>-20.8</v>
      </c>
      <c r="W11" s="55">
        <f>IF($T11="","",ROUND(($T11-$T$3)/1000,1)+(_xlfn.RANK.AVG($T11,($J11,$O11,$T11),1)-2)*20)</f>
        <v>-41</v>
      </c>
      <c r="Y11" s="8"/>
      <c r="Z11" s="34"/>
      <c r="AA11" s="26"/>
      <c r="AB11" s="26"/>
      <c r="AC11" s="26">
        <v>5</v>
      </c>
      <c r="AD11" s="30" t="s">
        <v>196</v>
      </c>
      <c r="AE11" s="40" t="s">
        <v>104</v>
      </c>
      <c r="AF11" s="41" t="s">
        <v>92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まっつん</v>
      </c>
      <c r="F12" s="8"/>
      <c r="G12" s="9"/>
      <c r="H12" s="9"/>
      <c r="I12" s="48"/>
      <c r="J12" s="21">
        <f t="shared" si="2"/>
        <v>76800</v>
      </c>
      <c r="K12" s="8" t="s">
        <v>199</v>
      </c>
      <c r="L12" s="9">
        <v>-32000</v>
      </c>
      <c r="M12" s="9">
        <v>-1000</v>
      </c>
      <c r="N12" s="48">
        <v>0</v>
      </c>
      <c r="O12" s="21">
        <f t="shared" si="3"/>
        <v>-18800</v>
      </c>
      <c r="P12" s="8" t="s">
        <v>198</v>
      </c>
      <c r="Q12" s="9">
        <v>32000</v>
      </c>
      <c r="R12" s="9">
        <v>1000</v>
      </c>
      <c r="S12" s="48">
        <v>0</v>
      </c>
      <c r="T12" s="21">
        <f t="shared" si="4"/>
        <v>47000</v>
      </c>
      <c r="U12" s="53">
        <f>IF($J12="","",ROUND(($J12-$J$3)/1000,1)+(_xlfn.RANK.AVG($J12,($J12,$O12,$T12),1)-2)*20)</f>
        <v>61.8</v>
      </c>
      <c r="V12" s="54">
        <f>IF($O12="","",ROUND(($O12-$O$3)/1000,1)+(_xlfn.RANK.AVG($O12,($J12,$O12,$T12),1)-2)*20)</f>
        <v>-73.8</v>
      </c>
      <c r="W12" s="55">
        <f>IF($T12="","",ROUND(($T12-$T$3)/1000,1)+(_xlfn.RANK.AVG($T12,($J12,$O12,$T12),1)-2)*20)</f>
        <v>12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13</v>
      </c>
      <c r="BT12" s="30" t="s">
        <v>196</v>
      </c>
      <c r="BU12" s="40" t="s">
        <v>107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8F8AF1D-EA4E-451C-A9A5-3931FC36A900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E0A1-2750-4030-83DA-A2A77FC9112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194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195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IF($J4="","",ROUND(($J4-$J$3)/1000,1)+(_xlfn.RANK.AVG($J4,($J4,$O4,$T4),1)-2)*20)</f>
        <v>-6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82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/>
      <c r="G5" s="9"/>
      <c r="H5" s="9"/>
      <c r="I5" s="48"/>
      <c r="J5" s="21">
        <f t="shared" ref="J5:J30" si="2">IF(COUNTA($F5,$K5,$P5)&gt;0,J4+SUM(G5:I5),"")</f>
        <v>29000</v>
      </c>
      <c r="K5" s="8" t="s">
        <v>199</v>
      </c>
      <c r="L5" s="9">
        <v>-12000</v>
      </c>
      <c r="M5" s="9"/>
      <c r="N5" s="48">
        <v>-1000</v>
      </c>
      <c r="O5" s="21">
        <f t="shared" ref="O5:O30" si="3">IF(COUNTA($F5,$K5,$P5)&gt;0,O4+SUM(L5:N5),"")</f>
        <v>35000</v>
      </c>
      <c r="P5" s="8" t="s">
        <v>198</v>
      </c>
      <c r="Q5" s="9">
        <v>12000</v>
      </c>
      <c r="R5" s="9"/>
      <c r="S5" s="48">
        <v>1000</v>
      </c>
      <c r="T5" s="21">
        <f t="shared" ref="T5:T30" si="4">IF(COUNTA($F5,$K5,$P5)&gt;0,T4+SUM(Q5:S5),"")</f>
        <v>41000</v>
      </c>
      <c r="U5" s="53">
        <f>IF($J5="","",ROUND(($J5-$J$3)/1000,1)+(_xlfn.RANK.AVG($J5,($J5,$O5,$T5),1)-2)*20)</f>
        <v>-26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196</v>
      </c>
      <c r="BU5" s="40" t="s">
        <v>197</v>
      </c>
      <c r="BV5" s="41" t="s">
        <v>104</v>
      </c>
      <c r="BW5" s="41" t="s">
        <v>86</v>
      </c>
      <c r="BX5" s="41" t="s">
        <v>86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1500</v>
      </c>
      <c r="H6" s="9"/>
      <c r="I6" s="48">
        <v>0</v>
      </c>
      <c r="J6" s="21">
        <f t="shared" si="2"/>
        <v>30500</v>
      </c>
      <c r="K6" s="8" t="s">
        <v>195</v>
      </c>
      <c r="L6" s="9">
        <v>-600</v>
      </c>
      <c r="M6" s="9"/>
      <c r="N6" s="48">
        <v>0</v>
      </c>
      <c r="O6" s="21">
        <f t="shared" si="3"/>
        <v>34400</v>
      </c>
      <c r="P6" s="8" t="s">
        <v>195</v>
      </c>
      <c r="Q6" s="9">
        <v>-900</v>
      </c>
      <c r="R6" s="9"/>
      <c r="S6" s="48">
        <v>0</v>
      </c>
      <c r="T6" s="21">
        <f t="shared" si="4"/>
        <v>40100</v>
      </c>
      <c r="U6" s="53">
        <f>IF($J6="","",ROUND(($J6-$J$3)/1000,1)+(_xlfn.RANK.AVG($J6,($J6,$O6,$T6),1)-2)*20)</f>
        <v>-24.5</v>
      </c>
      <c r="V6" s="54">
        <f>IF($O6="","",ROUND(($O6-$O$3)/1000,1)+(_xlfn.RANK.AVG($O6,($J6,$O6,$T6),1)-2)*20)</f>
        <v>-0.6</v>
      </c>
      <c r="W6" s="55">
        <f>IF($T6="","",ROUND(($T6-$T$3)/1000,1)+(_xlfn.RANK.AVG($T6,($J6,$O6,$T6),1)-2)*20)</f>
        <v>25.1</v>
      </c>
      <c r="Y6" s="8"/>
      <c r="Z6" s="34"/>
      <c r="AA6" s="26"/>
      <c r="AB6" s="26"/>
      <c r="AC6" s="26">
        <v>2</v>
      </c>
      <c r="AD6" s="30">
        <v>20</v>
      </c>
      <c r="AE6" s="40" t="s">
        <v>82</v>
      </c>
      <c r="AF6" s="41" t="s">
        <v>83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199</v>
      </c>
      <c r="G7" s="9">
        <v>-6400</v>
      </c>
      <c r="H7" s="9"/>
      <c r="I7" s="48">
        <v>0</v>
      </c>
      <c r="J7" s="21">
        <f t="shared" si="2"/>
        <v>24100</v>
      </c>
      <c r="K7" s="8"/>
      <c r="L7" s="9"/>
      <c r="M7" s="9"/>
      <c r="N7" s="48"/>
      <c r="O7" s="21">
        <f t="shared" si="3"/>
        <v>34400</v>
      </c>
      <c r="P7" s="8" t="s">
        <v>198</v>
      </c>
      <c r="Q7" s="9">
        <v>6400</v>
      </c>
      <c r="R7" s="9"/>
      <c r="S7" s="48">
        <v>0</v>
      </c>
      <c r="T7" s="21">
        <f t="shared" si="4"/>
        <v>46500</v>
      </c>
      <c r="U7" s="53">
        <f>IF($J7="","",ROUND(($J7-$J$3)/1000,1)+(_xlfn.RANK.AVG($J7,($J7,$O7,$T7),1)-2)*20)</f>
        <v>-30.9</v>
      </c>
      <c r="V7" s="54">
        <f>IF($O7="","",ROUND(($O7-$O$3)/1000,1)+(_xlfn.RANK.AVG($O7,($J7,$O7,$T7),1)-2)*20)</f>
        <v>-0.6</v>
      </c>
      <c r="W7" s="55">
        <f>IF($T7="","",ROUND(($T7-$T$3)/1000,1)+(_xlfn.RANK.AVG($T7,($J7,$O7,$T7),1)-2)*20)</f>
        <v>31.5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25</v>
      </c>
      <c r="BU7" s="40" t="s">
        <v>101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198</v>
      </c>
      <c r="G8" s="9">
        <v>2000</v>
      </c>
      <c r="H8" s="9"/>
      <c r="I8" s="48">
        <v>0</v>
      </c>
      <c r="J8" s="21">
        <f t="shared" si="2"/>
        <v>26100</v>
      </c>
      <c r="K8" s="8" t="s">
        <v>199</v>
      </c>
      <c r="L8" s="9">
        <v>-2000</v>
      </c>
      <c r="M8" s="9"/>
      <c r="N8" s="48">
        <v>0</v>
      </c>
      <c r="O8" s="21">
        <f t="shared" si="3"/>
        <v>32400</v>
      </c>
      <c r="P8" s="8"/>
      <c r="Q8" s="9"/>
      <c r="R8" s="9"/>
      <c r="S8" s="48"/>
      <c r="T8" s="21">
        <f t="shared" si="4"/>
        <v>46500</v>
      </c>
      <c r="U8" s="53">
        <f>IF($J8="","",ROUND(($J8-$J$3)/1000,1)+(_xlfn.RANK.AVG($J8,($J8,$O8,$T8),1)-2)*20)</f>
        <v>-28.9</v>
      </c>
      <c r="V8" s="54">
        <f>IF($O8="","",ROUND(($O8-$O$3)/1000,1)+(_xlfn.RANK.AVG($O8,($J8,$O8,$T8),1)-2)*20)</f>
        <v>-2.6</v>
      </c>
      <c r="W8" s="55">
        <f>IF($T8="","",ROUND(($T8-$T$3)/1000,1)+(_xlfn.RANK.AVG($T8,($J8,$O8,$T8),1)-2)*20)</f>
        <v>31.5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198</v>
      </c>
      <c r="G9" s="9">
        <v>8000</v>
      </c>
      <c r="H9" s="9"/>
      <c r="I9" s="48">
        <v>0</v>
      </c>
      <c r="J9" s="21">
        <f t="shared" si="2"/>
        <v>34100</v>
      </c>
      <c r="K9" s="8"/>
      <c r="L9" s="9"/>
      <c r="M9" s="9"/>
      <c r="N9" s="48"/>
      <c r="O9" s="21">
        <f t="shared" si="3"/>
        <v>32400</v>
      </c>
      <c r="P9" s="8" t="s">
        <v>199</v>
      </c>
      <c r="Q9" s="9">
        <v>-8000</v>
      </c>
      <c r="R9" s="9"/>
      <c r="S9" s="48">
        <v>0</v>
      </c>
      <c r="T9" s="21">
        <f t="shared" si="4"/>
        <v>38500</v>
      </c>
      <c r="U9" s="53">
        <f>IF($J9="","",ROUND(($J9-$J$3)/1000,1)+(_xlfn.RANK.AVG($J9,($J9,$O9,$T9),1)-2)*20)</f>
        <v>-0.9</v>
      </c>
      <c r="V9" s="54">
        <f>IF($O9="","",ROUND(($O9-$O$3)/1000,1)+(_xlfn.RANK.AVG($O9,($J9,$O9,$T9),1)-2)*20)</f>
        <v>-22.6</v>
      </c>
      <c r="W9" s="55">
        <f>IF($T9="","",ROUND(($T9-$T$3)/1000,1)+(_xlfn.RANK.AVG($T9,($J9,$O9,$T9),1)-2)*20)</f>
        <v>23.5</v>
      </c>
      <c r="Y9" s="8"/>
      <c r="Z9" s="34"/>
      <c r="AA9" s="26"/>
      <c r="AB9" s="26">
        <v>1</v>
      </c>
      <c r="AC9" s="26">
        <v>5</v>
      </c>
      <c r="AD9" s="30" t="s">
        <v>196</v>
      </c>
      <c r="AE9" s="40" t="s">
        <v>104</v>
      </c>
      <c r="AF9" s="41" t="s">
        <v>86</v>
      </c>
      <c r="AG9" s="41" t="s">
        <v>86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 t="s">
        <v>199</v>
      </c>
      <c r="G10" s="9">
        <v>-5200</v>
      </c>
      <c r="H10" s="9">
        <v>-1000</v>
      </c>
      <c r="I10" s="48">
        <v>0</v>
      </c>
      <c r="J10" s="21">
        <f t="shared" si="2"/>
        <v>27900</v>
      </c>
      <c r="K10" s="8"/>
      <c r="L10" s="9"/>
      <c r="M10" s="9"/>
      <c r="N10" s="48"/>
      <c r="O10" s="21">
        <f t="shared" si="3"/>
        <v>32400</v>
      </c>
      <c r="P10" s="8" t="s">
        <v>198</v>
      </c>
      <c r="Q10" s="9">
        <v>5200</v>
      </c>
      <c r="R10" s="9">
        <v>1000</v>
      </c>
      <c r="S10" s="48">
        <v>0</v>
      </c>
      <c r="T10" s="21">
        <f t="shared" si="4"/>
        <v>44700</v>
      </c>
      <c r="U10" s="53">
        <f>IF($J10="","",ROUND(($J10-$J$3)/1000,1)+(_xlfn.RANK.AVG($J10,($J10,$O10,$T10),1)-2)*20)</f>
        <v>-27.1</v>
      </c>
      <c r="V10" s="54">
        <f>IF($O10="","",ROUND(($O10-$O$3)/1000,1)+(_xlfn.RANK.AVG($O10,($J10,$O10,$T10),1)-2)*20)</f>
        <v>-2.6</v>
      </c>
      <c r="W10" s="55">
        <f>IF($T10="","",ROUND(($T10-$T$3)/1000,1)+(_xlfn.RANK.AVG($T10,($J10,$O10,$T10),1)-2)*20)</f>
        <v>29.7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197</v>
      </c>
      <c r="BV10" s="41" t="s">
        <v>79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qref="F1:T1" xr:uid="{80884D7A-FEF5-4DB6-8B70-EE6DACE3E79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A9A9132E-B78E-44F3-9DE7-0F73EA66377C}">
      <formula1>"ロン,ツモ,放銃,ツモ支払,流局,チョンボ"</formula1>
    </dataValidation>
    <dataValidation type="list" allowBlank="1" showInputMessage="1" showErrorMessage="1" sqref="E4:E30" xr:uid="{1875DA77-566E-4517-A28A-7AFE93324CB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4A6E-7F3D-4E2C-BB4C-0670CCB6FC4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2600</v>
      </c>
      <c r="H4" s="9">
        <v>3000</v>
      </c>
      <c r="I4" s="48">
        <v>0</v>
      </c>
      <c r="J4" s="21">
        <f>IF(COUNTA($F4,$K4,$P4)&gt;0,J3+SUM(G4:I4),"")</f>
        <v>40600</v>
      </c>
      <c r="K4" s="8" t="s">
        <v>199</v>
      </c>
      <c r="L4" s="9">
        <v>-2600</v>
      </c>
      <c r="M4" s="9">
        <v>-2000</v>
      </c>
      <c r="N4" s="48">
        <v>0</v>
      </c>
      <c r="O4" s="21">
        <f>IF(COUNTA($F4,$K4,$P4)&gt;0,O3+SUM(L4:N4),"")</f>
        <v>30400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25.6</v>
      </c>
      <c r="V4" s="54">
        <f>IF($O4="","",ROUND(($O4-$O$3)/1000,1)+(_xlfn.RANK.AVG($O4,($J4,$O4,$T4),1)-2)*20)</f>
        <v>-24.6</v>
      </c>
      <c r="W4" s="55">
        <f>IF($T4="","",ROUND(($T4-$T$3)/1000,1)+(_xlfn.RANK.AVG($T4,($J4,$O4,$T4),1)-2)*20)</f>
        <v>-1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197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199</v>
      </c>
      <c r="G5" s="9">
        <v>-11600</v>
      </c>
      <c r="H5" s="9"/>
      <c r="I5" s="48">
        <v>0</v>
      </c>
      <c r="J5" s="21">
        <f t="shared" ref="J5:J30" si="2">IF(COUNTA($F5,$K5,$P5)&gt;0,J4+SUM(G5:I5),"")</f>
        <v>29000</v>
      </c>
      <c r="K5" s="8"/>
      <c r="L5" s="9"/>
      <c r="M5" s="9"/>
      <c r="N5" s="48"/>
      <c r="O5" s="21">
        <f t="shared" ref="O5:O30" si="3">IF(COUNTA($F5,$K5,$P5)&gt;0,O4+SUM(L5:N5),"")</f>
        <v>30400</v>
      </c>
      <c r="P5" s="8" t="s">
        <v>198</v>
      </c>
      <c r="Q5" s="9">
        <v>11600</v>
      </c>
      <c r="R5" s="9"/>
      <c r="S5" s="48">
        <v>0</v>
      </c>
      <c r="T5" s="21">
        <f t="shared" ref="T5:T30" si="4">IF(COUNTA($F5,$K5,$P5)&gt;0,T4+SUM(Q5:S5),"")</f>
        <v>45600</v>
      </c>
      <c r="U5" s="53">
        <f>IF($J5="","",ROUND(($J5-$J$3)/1000,1)+(_xlfn.RANK.AVG($J5,($J5,$O5,$T5),1)-2)*20)</f>
        <v>-26</v>
      </c>
      <c r="V5" s="54">
        <f>IF($O5="","",ROUND(($O5-$O$3)/1000,1)+(_xlfn.RANK.AVG($O5,($J5,$O5,$T5),1)-2)*20)</f>
        <v>-4.5999999999999996</v>
      </c>
      <c r="W5" s="55">
        <f>IF($T5="","",ROUND(($T5-$T$3)/1000,1)+(_xlfn.RANK.AVG($T5,($J5,$O5,$T5),1)-2)*20)</f>
        <v>30.6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197</v>
      </c>
      <c r="BV5" s="41" t="s">
        <v>83</v>
      </c>
      <c r="BW5" s="41" t="s">
        <v>79</v>
      </c>
      <c r="BX5" s="41" t="s">
        <v>200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12000</v>
      </c>
      <c r="H6" s="9">
        <v>1000</v>
      </c>
      <c r="I6" s="48">
        <v>1000</v>
      </c>
      <c r="J6" s="21">
        <f t="shared" si="2"/>
        <v>43000</v>
      </c>
      <c r="K6" s="8" t="s">
        <v>195</v>
      </c>
      <c r="L6" s="9">
        <v>-4500</v>
      </c>
      <c r="M6" s="9"/>
      <c r="N6" s="48">
        <v>-500</v>
      </c>
      <c r="O6" s="21">
        <f t="shared" si="3"/>
        <v>25400</v>
      </c>
      <c r="P6" s="8" t="s">
        <v>195</v>
      </c>
      <c r="Q6" s="9">
        <v>-7500</v>
      </c>
      <c r="R6" s="9">
        <v>-1000</v>
      </c>
      <c r="S6" s="48">
        <v>-500</v>
      </c>
      <c r="T6" s="21">
        <f t="shared" si="4"/>
        <v>36600</v>
      </c>
      <c r="U6" s="53">
        <f>IF($J6="","",ROUND(($J6-$J$3)/1000,1)+(_xlfn.RANK.AVG($J6,($J6,$O6,$T6),1)-2)*20)</f>
        <v>28</v>
      </c>
      <c r="V6" s="54">
        <f>IF($O6="","",ROUND(($O6-$O$3)/1000,1)+(_xlfn.RANK.AVG($O6,($J6,$O6,$T6),1)-2)*20)</f>
        <v>-29.6</v>
      </c>
      <c r="W6" s="55">
        <f>IF($T6="","",ROUND(($T6-$T$3)/1000,1)+(_xlfn.RANK.AVG($T6,($J6,$O6,$T6),1)-2)*20)</f>
        <v>1.6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197</v>
      </c>
      <c r="AF6" s="41" t="s">
        <v>82</v>
      </c>
      <c r="AG6" s="41" t="s">
        <v>83</v>
      </c>
      <c r="AH6" s="41" t="s">
        <v>79</v>
      </c>
      <c r="AI6" s="41" t="s">
        <v>80</v>
      </c>
      <c r="AJ6" s="41" t="s">
        <v>200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199</v>
      </c>
      <c r="G7" s="9">
        <v>-12000</v>
      </c>
      <c r="H7" s="9">
        <v>-1000</v>
      </c>
      <c r="I7" s="48">
        <v>0</v>
      </c>
      <c r="J7" s="21">
        <f t="shared" si="2"/>
        <v>30000</v>
      </c>
      <c r="K7" s="8"/>
      <c r="L7" s="9"/>
      <c r="M7" s="9"/>
      <c r="N7" s="48"/>
      <c r="O7" s="21">
        <f t="shared" si="3"/>
        <v>25400</v>
      </c>
      <c r="P7" s="8" t="s">
        <v>198</v>
      </c>
      <c r="Q7" s="9">
        <v>12000</v>
      </c>
      <c r="R7" s="9">
        <v>1000</v>
      </c>
      <c r="S7" s="48">
        <v>0</v>
      </c>
      <c r="T7" s="21">
        <f t="shared" si="4"/>
        <v>49600</v>
      </c>
      <c r="U7" s="53">
        <f>IF($J7="","",ROUND(($J7-$J$3)/1000,1)+(_xlfn.RANK.AVG($J7,($J7,$O7,$T7),1)-2)*20)</f>
        <v>-5</v>
      </c>
      <c r="V7" s="54">
        <f>IF($O7="","",ROUND(($O7-$O$3)/1000,1)+(_xlfn.RANK.AVG($O7,($J7,$O7,$T7),1)-2)*20)</f>
        <v>-29.6</v>
      </c>
      <c r="W7" s="55">
        <f>IF($T7="","",ROUND(($T7-$T$3)/1000,1)+(_xlfn.RANK.AVG($T7,($J7,$O7,$T7),1)-2)*20)</f>
        <v>34.6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196</v>
      </c>
      <c r="BU7" s="40" t="s">
        <v>86</v>
      </c>
      <c r="BV7" s="41" t="s">
        <v>104</v>
      </c>
      <c r="BW7" s="41" t="s">
        <v>200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194</v>
      </c>
      <c r="G8" s="9">
        <v>4000</v>
      </c>
      <c r="H8" s="9"/>
      <c r="I8" s="48">
        <v>0</v>
      </c>
      <c r="J8" s="21">
        <f t="shared" si="2"/>
        <v>34000</v>
      </c>
      <c r="K8" s="8" t="s">
        <v>195</v>
      </c>
      <c r="L8" s="9">
        <v>-2500</v>
      </c>
      <c r="M8" s="9"/>
      <c r="N8" s="48">
        <v>0</v>
      </c>
      <c r="O8" s="21">
        <f t="shared" si="3"/>
        <v>22900</v>
      </c>
      <c r="P8" s="8" t="s">
        <v>195</v>
      </c>
      <c r="Q8" s="9">
        <v>-1500</v>
      </c>
      <c r="R8" s="9"/>
      <c r="S8" s="48">
        <v>0</v>
      </c>
      <c r="T8" s="21">
        <f t="shared" si="4"/>
        <v>48100</v>
      </c>
      <c r="U8" s="53">
        <f>IF($J8="","",ROUND(($J8-$J$3)/1000,1)+(_xlfn.RANK.AVG($J8,($J8,$O8,$T8),1)-2)*20)</f>
        <v>-1</v>
      </c>
      <c r="V8" s="54">
        <f>IF($O8="","",ROUND(($O8-$O$3)/1000,1)+(_xlfn.RANK.AVG($O8,($J8,$O8,$T8),1)-2)*20)</f>
        <v>-32.1</v>
      </c>
      <c r="W8" s="55">
        <f>IF($T8="","",ROUND(($T8-$T$3)/1000,1)+(_xlfn.RANK.AVG($T8,($J8,$O8,$T8),1)-2)*20)</f>
        <v>33.1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197</v>
      </c>
      <c r="AF8" s="41" t="s">
        <v>82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195</v>
      </c>
      <c r="G9" s="9">
        <v>-1500</v>
      </c>
      <c r="H9" s="9"/>
      <c r="I9" s="48">
        <v>0</v>
      </c>
      <c r="J9" s="21">
        <f t="shared" si="2"/>
        <v>32500</v>
      </c>
      <c r="K9" s="8" t="s">
        <v>194</v>
      </c>
      <c r="L9" s="9">
        <v>4000</v>
      </c>
      <c r="M9" s="9"/>
      <c r="N9" s="48">
        <v>0</v>
      </c>
      <c r="O9" s="21">
        <f t="shared" si="3"/>
        <v>26900</v>
      </c>
      <c r="P9" s="8" t="s">
        <v>195</v>
      </c>
      <c r="Q9" s="9">
        <v>-2500</v>
      </c>
      <c r="R9" s="9"/>
      <c r="S9" s="48">
        <v>0</v>
      </c>
      <c r="T9" s="21">
        <f t="shared" si="4"/>
        <v>45600</v>
      </c>
      <c r="U9" s="53">
        <f>IF($J9="","",ROUND(($J9-$J$3)/1000,1)+(_xlfn.RANK.AVG($J9,($J9,$O9,$T9),1)-2)*20)</f>
        <v>-2.5</v>
      </c>
      <c r="V9" s="54">
        <f>IF($O9="","",ROUND(($O9-$O$3)/1000,1)+(_xlfn.RANK.AVG($O9,($J9,$O9,$T9),1)-2)*20)</f>
        <v>-28.1</v>
      </c>
      <c r="W9" s="55">
        <f>IF($T9="","",ROUND(($T9-$T$3)/1000,1)+(_xlfn.RANK.AVG($T9,($J9,$O9,$T9),1)-2)*20)</f>
        <v>30.6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197</v>
      </c>
      <c r="BA9" s="41" t="s">
        <v>82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 t="s">
        <v>195</v>
      </c>
      <c r="G10" s="9">
        <v>-5000</v>
      </c>
      <c r="H10" s="9"/>
      <c r="I10" s="48">
        <v>0</v>
      </c>
      <c r="J10" s="21">
        <f t="shared" si="2"/>
        <v>27500</v>
      </c>
      <c r="K10" s="8" t="s">
        <v>194</v>
      </c>
      <c r="L10" s="9">
        <v>8000</v>
      </c>
      <c r="M10" s="9"/>
      <c r="N10" s="48">
        <v>0</v>
      </c>
      <c r="O10" s="21">
        <f t="shared" si="3"/>
        <v>34900</v>
      </c>
      <c r="P10" s="8" t="s">
        <v>195</v>
      </c>
      <c r="Q10" s="9">
        <v>-3000</v>
      </c>
      <c r="R10" s="9"/>
      <c r="S10" s="48">
        <v>0</v>
      </c>
      <c r="T10" s="21">
        <f t="shared" si="4"/>
        <v>42600</v>
      </c>
      <c r="U10" s="53">
        <f>IF($J10="","",ROUND(($J10-$J$3)/1000,1)+(_xlfn.RANK.AVG($J10,($J10,$O10,$T10),1)-2)*20)</f>
        <v>-27.5</v>
      </c>
      <c r="V10" s="54">
        <f>IF($O10="","",ROUND(($O10-$O$3)/1000,1)+(_xlfn.RANK.AVG($O10,($J10,$O10,$T10),1)-2)*20)</f>
        <v>-0.1</v>
      </c>
      <c r="W10" s="55">
        <f>IF($T10="","",ROUND(($T10-$T$3)/1000,1)+(_xlfn.RANK.AVG($T10,($J10,$O10,$T10),1)-2)*20)</f>
        <v>27.6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196</v>
      </c>
      <c r="AZ10" s="40" t="s">
        <v>86</v>
      </c>
      <c r="BA10" s="41" t="s">
        <v>104</v>
      </c>
      <c r="BB10" s="41" t="s">
        <v>200</v>
      </c>
      <c r="BC10" s="41" t="s">
        <v>89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97696976-40E2-4D33-8F15-490F6754C216}">
      <formula1>$U$2:$W$2</formula1>
    </dataValidation>
    <dataValidation type="list" showInputMessage="1" showErrorMessage="1" sqref="K4:K30 P4:P30 F4:F30" xr:uid="{5468588B-4005-45DE-9234-7D81F07D8349}">
      <formula1>"ロン,ツモ,放銃,ツモ支払,流局,チョンボ"</formula1>
    </dataValidation>
    <dataValidation type="list" allowBlank="1" showInputMessage="1" sqref="F1:T1" xr:uid="{EF94F5CA-CF4F-4CA0-A410-E3459D4E35C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1935-B428-4A6A-BCE4-D4A0FAF0653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-1500</v>
      </c>
      <c r="H4" s="9"/>
      <c r="I4" s="48"/>
      <c r="J4" s="21">
        <f>IF(COUNTA($F4,$K4,$P4)&gt;0,J3+SUM(G4:I4),"")</f>
        <v>33500</v>
      </c>
      <c r="K4" s="8" t="s">
        <v>203</v>
      </c>
      <c r="L4" s="9">
        <v>3000</v>
      </c>
      <c r="M4" s="9"/>
      <c r="N4" s="48"/>
      <c r="O4" s="21">
        <f>IF(COUNTA($F4,$K4,$P4)&gt;0,O3+SUM(L4:N4),"")</f>
        <v>38000</v>
      </c>
      <c r="P4" s="8" t="s">
        <v>203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23</v>
      </c>
      <c r="W4" s="55">
        <f>IF($T4="","",ROUND(($T4-$T$3)/1000,1)+(_xlfn.RANK.AVG($T4,($J4,$O4,$T4),1)-2)*20)</f>
        <v>-11.5</v>
      </c>
      <c r="Y4" s="8" t="s">
        <v>201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201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199</v>
      </c>
      <c r="L5" s="9">
        <v>-12000</v>
      </c>
      <c r="M5" s="9">
        <v>-1000</v>
      </c>
      <c r="N5" s="48">
        <v>-1000</v>
      </c>
      <c r="O5" s="21">
        <f t="shared" ref="O5:O30" si="3">IF(COUNTA($F5,$K5,$P5)&gt;0,O4+SUM(L5:N5),"")</f>
        <v>24000</v>
      </c>
      <c r="P5" s="8" t="s">
        <v>198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47500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-31</v>
      </c>
      <c r="W5" s="55">
        <f>IF($T5="","",ROUND(($T5-$T$3)/1000,1)+(_xlfn.RANK.AVG($T5,($J5,$O5,$T5),1)-2)*20)</f>
        <v>32.5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7</v>
      </c>
      <c r="BT5" s="30" t="s">
        <v>196</v>
      </c>
      <c r="BU5" s="40" t="s">
        <v>104</v>
      </c>
      <c r="BV5" s="41" t="s">
        <v>86</v>
      </c>
      <c r="BW5" s="41" t="s">
        <v>86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4000</v>
      </c>
      <c r="H6" s="9">
        <v>1000</v>
      </c>
      <c r="I6" s="48">
        <v>0</v>
      </c>
      <c r="J6" s="21">
        <f t="shared" si="2"/>
        <v>38500</v>
      </c>
      <c r="K6" s="8" t="s">
        <v>195</v>
      </c>
      <c r="L6" s="9">
        <v>-1500</v>
      </c>
      <c r="M6" s="9"/>
      <c r="N6" s="48">
        <v>0</v>
      </c>
      <c r="O6" s="21">
        <f t="shared" si="3"/>
        <v>22500</v>
      </c>
      <c r="P6" s="8" t="s">
        <v>195</v>
      </c>
      <c r="Q6" s="9">
        <v>-2500</v>
      </c>
      <c r="R6" s="9">
        <v>-1000</v>
      </c>
      <c r="S6" s="48">
        <v>0</v>
      </c>
      <c r="T6" s="21">
        <f t="shared" si="4"/>
        <v>44000</v>
      </c>
      <c r="U6" s="53">
        <f>IF($J6="","",ROUND(($J6-$J$3)/1000,1)+(_xlfn.RANK.AVG($J6,($J6,$O6,$T6),1)-2)*20)</f>
        <v>3.5</v>
      </c>
      <c r="V6" s="54">
        <f>IF($O6="","",ROUND(($O6-$O$3)/1000,1)+(_xlfn.RANK.AVG($O6,($J6,$O6,$T6),1)-2)*20)</f>
        <v>-32.5</v>
      </c>
      <c r="W6" s="55">
        <f>IF($T6="","",ROUND(($T6-$T$3)/1000,1)+(_xlfn.RANK.AVG($T6,($J6,$O6,$T6),1)-2)*20)</f>
        <v>29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197</v>
      </c>
      <c r="AF6" s="41" t="s">
        <v>82</v>
      </c>
      <c r="AG6" s="41" t="s">
        <v>200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198</v>
      </c>
      <c r="G7" s="9">
        <v>2900</v>
      </c>
      <c r="H7" s="9"/>
      <c r="I7" s="48">
        <v>0</v>
      </c>
      <c r="J7" s="21">
        <f t="shared" si="2"/>
        <v>41400</v>
      </c>
      <c r="K7" s="8"/>
      <c r="L7" s="9"/>
      <c r="M7" s="9"/>
      <c r="N7" s="48"/>
      <c r="O7" s="21">
        <f t="shared" si="3"/>
        <v>22500</v>
      </c>
      <c r="P7" s="8" t="s">
        <v>199</v>
      </c>
      <c r="Q7" s="9">
        <v>-2900</v>
      </c>
      <c r="R7" s="9"/>
      <c r="S7" s="48">
        <v>0</v>
      </c>
      <c r="T7" s="21">
        <f t="shared" si="4"/>
        <v>41100</v>
      </c>
      <c r="U7" s="53">
        <f>IF($J7="","",ROUND(($J7-$J$3)/1000,1)+(_xlfn.RANK.AVG($J7,($J7,$O7,$T7),1)-2)*20)</f>
        <v>26.4</v>
      </c>
      <c r="V7" s="54">
        <f>IF($O7="","",ROUND(($O7-$O$3)/1000,1)+(_xlfn.RANK.AVG($O7,($J7,$O7,$T7),1)-2)*20)</f>
        <v>-32.5</v>
      </c>
      <c r="W7" s="55">
        <f>IF($T7="","",ROUND(($T7-$T$3)/1000,1)+(_xlfn.RANK.AVG($T7,($J7,$O7,$T7),1)-2)*20)</f>
        <v>6.1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まっつん</v>
      </c>
      <c r="F8" s="8" t="s">
        <v>194</v>
      </c>
      <c r="G8" s="9">
        <v>7800</v>
      </c>
      <c r="H8" s="9"/>
      <c r="I8" s="48">
        <v>1000</v>
      </c>
      <c r="J8" s="21">
        <f t="shared" si="2"/>
        <v>50200</v>
      </c>
      <c r="K8" s="8" t="s">
        <v>195</v>
      </c>
      <c r="L8" s="9">
        <v>-3900</v>
      </c>
      <c r="M8" s="9"/>
      <c r="N8" s="48">
        <v>-500</v>
      </c>
      <c r="O8" s="21">
        <f t="shared" si="3"/>
        <v>18100</v>
      </c>
      <c r="P8" s="8" t="s">
        <v>195</v>
      </c>
      <c r="Q8" s="9">
        <v>-3900</v>
      </c>
      <c r="R8" s="9"/>
      <c r="S8" s="48">
        <v>-500</v>
      </c>
      <c r="T8" s="21">
        <f t="shared" si="4"/>
        <v>36700</v>
      </c>
      <c r="U8" s="53">
        <f>IF($J8="","",ROUND(($J8-$J$3)/1000,1)+(_xlfn.RANK.AVG($J8,($J8,$O8,$T8),1)-2)*20)</f>
        <v>35.200000000000003</v>
      </c>
      <c r="V8" s="54">
        <f>IF($O8="","",ROUND(($O8-$O$3)/1000,1)+(_xlfn.RANK.AVG($O8,($J8,$O8,$T8),1)-2)*20)</f>
        <v>-36.9</v>
      </c>
      <c r="W8" s="55">
        <f>IF($T8="","",ROUND(($T8-$T$3)/1000,1)+(_xlfn.RANK.AVG($T8,($J8,$O8,$T8),1)-2)*20)</f>
        <v>1.7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197</v>
      </c>
      <c r="AF8" s="41" t="s">
        <v>82</v>
      </c>
      <c r="AG8" s="41" t="s">
        <v>83</v>
      </c>
      <c r="AH8" s="41" t="s">
        <v>204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まっつん</v>
      </c>
      <c r="F9" s="8" t="s">
        <v>195</v>
      </c>
      <c r="G9" s="9">
        <v>-2500</v>
      </c>
      <c r="H9" s="9">
        <v>-1000</v>
      </c>
      <c r="I9" s="48">
        <v>-1000</v>
      </c>
      <c r="J9" s="21">
        <f t="shared" si="2"/>
        <v>45700</v>
      </c>
      <c r="K9" s="8" t="s">
        <v>195</v>
      </c>
      <c r="L9" s="9">
        <v>-1500</v>
      </c>
      <c r="M9" s="9"/>
      <c r="N9" s="48">
        <v>-1000</v>
      </c>
      <c r="O9" s="21">
        <f t="shared" si="3"/>
        <v>15600</v>
      </c>
      <c r="P9" s="8" t="s">
        <v>194</v>
      </c>
      <c r="Q9" s="9">
        <v>4000</v>
      </c>
      <c r="R9" s="9">
        <v>1000</v>
      </c>
      <c r="S9" s="48">
        <v>2000</v>
      </c>
      <c r="T9" s="21">
        <f t="shared" si="4"/>
        <v>43700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-39.4</v>
      </c>
      <c r="W9" s="55">
        <f>IF($T9="","",ROUND(($T9-$T$3)/1000,1)+(_xlfn.RANK.AVG($T9,($J9,$O9,$T9),1)-2)*20)</f>
        <v>8.6999999999999993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197</v>
      </c>
      <c r="BV9" s="41" t="s">
        <v>82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194</v>
      </c>
      <c r="G10" s="9">
        <v>24000</v>
      </c>
      <c r="H10" s="9"/>
      <c r="I10" s="48">
        <v>0</v>
      </c>
      <c r="J10" s="21">
        <f t="shared" si="2"/>
        <v>69700</v>
      </c>
      <c r="K10" s="8" t="s">
        <v>195</v>
      </c>
      <c r="L10" s="9">
        <v>-15000</v>
      </c>
      <c r="M10" s="9"/>
      <c r="N10" s="48">
        <v>0</v>
      </c>
      <c r="O10" s="21">
        <f t="shared" si="3"/>
        <v>600</v>
      </c>
      <c r="P10" s="8" t="s">
        <v>195</v>
      </c>
      <c r="Q10" s="9">
        <v>-9000</v>
      </c>
      <c r="R10" s="9"/>
      <c r="S10" s="48">
        <v>0</v>
      </c>
      <c r="T10" s="21">
        <f t="shared" si="4"/>
        <v>34700</v>
      </c>
      <c r="U10" s="53">
        <f>IF($J10="","",ROUND(($J10-$J$3)/1000,1)+(_xlfn.RANK.AVG($J10,($J10,$O10,$T10),1)-2)*20)</f>
        <v>54.7</v>
      </c>
      <c r="V10" s="54">
        <f>IF($O10="","",ROUND(($O10-$O$3)/1000,1)+(_xlfn.RANK.AVG($O10,($J10,$O10,$T10),1)-2)*20)</f>
        <v>-54.4</v>
      </c>
      <c r="W10" s="55">
        <f>IF($T10="","",ROUND(($T10-$T$3)/1000,1)+(_xlfn.RANK.AVG($T10,($J10,$O10,$T10),1)-2)*20)</f>
        <v>-0.3</v>
      </c>
      <c r="Y10" s="8"/>
      <c r="Z10" s="34"/>
      <c r="AA10" s="26"/>
      <c r="AB10" s="26"/>
      <c r="AC10" s="26">
        <v>11</v>
      </c>
      <c r="AD10" s="30" t="s">
        <v>196</v>
      </c>
      <c r="AE10" s="40" t="s">
        <v>197</v>
      </c>
      <c r="AF10" s="41" t="s">
        <v>106</v>
      </c>
      <c r="AG10" s="41" t="s">
        <v>92</v>
      </c>
      <c r="AH10" s="41" t="s">
        <v>83</v>
      </c>
      <c r="AI10" s="41" t="s">
        <v>200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-9000</v>
      </c>
      <c r="H11" s="9"/>
      <c r="I11" s="48">
        <v>0</v>
      </c>
      <c r="J11" s="21">
        <f t="shared" si="2"/>
        <v>60700</v>
      </c>
      <c r="K11" s="8" t="s">
        <v>195</v>
      </c>
      <c r="L11" s="9">
        <v>-9000</v>
      </c>
      <c r="M11" s="9"/>
      <c r="N11" s="48">
        <v>0</v>
      </c>
      <c r="O11" s="21">
        <f t="shared" si="3"/>
        <v>-8400</v>
      </c>
      <c r="P11" s="8" t="s">
        <v>194</v>
      </c>
      <c r="Q11" s="9">
        <v>18000</v>
      </c>
      <c r="R11" s="9"/>
      <c r="S11" s="48">
        <v>0</v>
      </c>
      <c r="T11" s="21">
        <f t="shared" si="4"/>
        <v>52700</v>
      </c>
      <c r="U11" s="53">
        <f>IF($J11="","",ROUND(($J11-$J$3)/1000,1)+(_xlfn.RANK.AVG($J11,($J11,$O11,$T11),1)-2)*20)</f>
        <v>45.7</v>
      </c>
      <c r="V11" s="54">
        <f>IF($O11="","",ROUND(($O11-$O$3)/1000,1)+(_xlfn.RANK.AVG($O11,($J11,$O11,$T11),1)-2)*20)</f>
        <v>-63.4</v>
      </c>
      <c r="W11" s="55">
        <f>IF($T11="","",ROUND(($T11-$T$3)/1000,1)+(_xlfn.RANK.AVG($T11,($J11,$O11,$T11),1)-2)*20)</f>
        <v>17.7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196</v>
      </c>
      <c r="BU11" s="40" t="s">
        <v>197</v>
      </c>
      <c r="BV11" s="41" t="s">
        <v>82</v>
      </c>
      <c r="BW11" s="41" t="s">
        <v>204</v>
      </c>
      <c r="BX11" s="41" t="s">
        <v>83</v>
      </c>
      <c r="BY11" s="41" t="s">
        <v>85</v>
      </c>
      <c r="BZ11" s="41" t="s">
        <v>80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36CC35DC-C501-4337-91DE-0BA781A0B363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C5F7BB01-5105-47B3-97F5-5731AF2A124A}">
      <formula1>"ロン,ツモ,放銃,ツモ支払,流局,チョンボ"</formula1>
    </dataValidation>
    <dataValidation type="list" allowBlank="1" showInputMessage="1" showErrorMessage="1" sqref="E4:E30" xr:uid="{35F63972-0EC7-4B9D-B404-CDCF7F792B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2E49-4A59-48DE-8331-6F7736C70D4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195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194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195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IF($J4="","",ROUND(($J4-$J$3)/1000,1)+(_xlfn.RANK.AVG($J4,($J4,$O4,$T4),1)-2)*20)</f>
        <v>-21.7</v>
      </c>
      <c r="V4" s="54">
        <f>IF($O4="","",ROUND(($O4-$O$3)/1000,1)+(_xlfn.RANK.AVG($O4,($J4,$O4,$T4),1)-2)*20)</f>
        <v>22.8</v>
      </c>
      <c r="W4" s="55">
        <f>IF($T4="","",ROUND(($T4-$T$3)/1000,1)+(_xlfn.RANK.AVG($T4,($J4,$O4,$T4),1)-2)*20)</f>
        <v>-1.1000000000000001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197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199</v>
      </c>
      <c r="G5" s="9">
        <v>-16000</v>
      </c>
      <c r="H5" s="9">
        <v>-1000</v>
      </c>
      <c r="I5" s="48">
        <v>0</v>
      </c>
      <c r="J5" s="21">
        <f t="shared" ref="J5:J30" si="2">IF(COUNTA($F5,$K5,$P5)&gt;0,J4+SUM(G5:I5),"")</f>
        <v>16300</v>
      </c>
      <c r="K5" s="8"/>
      <c r="L5" s="9"/>
      <c r="M5" s="9"/>
      <c r="N5" s="48"/>
      <c r="O5" s="21">
        <f t="shared" ref="O5:O30" si="3">IF(COUNTA($F5,$K5,$P5)&gt;0,O4+SUM(L5:N5),"")</f>
        <v>37800</v>
      </c>
      <c r="P5" s="8" t="s">
        <v>198</v>
      </c>
      <c r="Q5" s="9">
        <v>16000</v>
      </c>
      <c r="R5" s="9">
        <v>1000</v>
      </c>
      <c r="S5" s="48">
        <v>0</v>
      </c>
      <c r="T5" s="21">
        <f t="shared" ref="T5:T30" si="4">IF(COUNTA($F5,$K5,$P5)&gt;0,T4+SUM(Q5:S5),"")</f>
        <v>50900</v>
      </c>
      <c r="U5" s="53">
        <f>IF($J5="","",ROUND(($J5-$J$3)/1000,1)+(_xlfn.RANK.AVG($J5,($J5,$O5,$T5),1)-2)*20)</f>
        <v>-38.700000000000003</v>
      </c>
      <c r="V5" s="54">
        <f>IF($O5="","",ROUND(($O5-$O$3)/1000,1)+(_xlfn.RANK.AVG($O5,($J5,$O5,$T5),1)-2)*20)</f>
        <v>2.8</v>
      </c>
      <c r="W5" s="55">
        <f>IF($T5="","",ROUND(($T5-$T$3)/1000,1)+(_xlfn.RANK.AVG($T5,($J5,$O5,$T5),1)-2)*20)</f>
        <v>35.9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196</v>
      </c>
      <c r="BU5" s="40" t="s">
        <v>197</v>
      </c>
      <c r="BV5" s="41" t="s">
        <v>104</v>
      </c>
      <c r="BW5" s="41" t="s">
        <v>86</v>
      </c>
      <c r="BX5" s="41" t="s">
        <v>84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-2900</v>
      </c>
      <c r="H6" s="9"/>
      <c r="I6" s="48">
        <v>0</v>
      </c>
      <c r="J6" s="21">
        <f t="shared" si="2"/>
        <v>13400</v>
      </c>
      <c r="K6" s="8" t="s">
        <v>194</v>
      </c>
      <c r="L6" s="9">
        <v>7700</v>
      </c>
      <c r="M6" s="9"/>
      <c r="N6" s="48">
        <v>0</v>
      </c>
      <c r="O6" s="21">
        <f t="shared" si="3"/>
        <v>45500</v>
      </c>
      <c r="P6" s="8" t="s">
        <v>195</v>
      </c>
      <c r="Q6" s="9">
        <v>-4800</v>
      </c>
      <c r="R6" s="9"/>
      <c r="S6" s="48">
        <v>0</v>
      </c>
      <c r="T6" s="21">
        <f t="shared" si="4"/>
        <v>46100</v>
      </c>
      <c r="U6" s="53">
        <f>IF($J6="","",ROUND(($J6-$J$3)/1000,1)+(_xlfn.RANK.AVG($J6,($J6,$O6,$T6),1)-2)*20)</f>
        <v>-41.6</v>
      </c>
      <c r="V6" s="54">
        <f>IF($O6="","",ROUND(($O6-$O$3)/1000,1)+(_xlfn.RANK.AVG($O6,($J6,$O6,$T6),1)-2)*20)</f>
        <v>10.5</v>
      </c>
      <c r="W6" s="55">
        <f>IF($T6="","",ROUND(($T6-$T$3)/1000,1)+(_xlfn.RANK.AVG($T6,($J6,$O6,$T6),1)-2)*20)</f>
        <v>31.1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197</v>
      </c>
      <c r="BA6" s="41" t="s">
        <v>82</v>
      </c>
      <c r="BB6" s="41" t="s">
        <v>200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195</v>
      </c>
      <c r="G7" s="9">
        <v>-1300</v>
      </c>
      <c r="H7" s="9">
        <v>-1000</v>
      </c>
      <c r="I7" s="48">
        <v>0</v>
      </c>
      <c r="J7" s="21">
        <f t="shared" si="2"/>
        <v>11100</v>
      </c>
      <c r="K7" s="8" t="s">
        <v>194</v>
      </c>
      <c r="L7" s="9">
        <v>2100</v>
      </c>
      <c r="M7" s="9">
        <v>1000</v>
      </c>
      <c r="N7" s="48">
        <v>0</v>
      </c>
      <c r="O7" s="21">
        <f t="shared" si="3"/>
        <v>48600</v>
      </c>
      <c r="P7" s="8" t="s">
        <v>195</v>
      </c>
      <c r="Q7" s="9">
        <v>-800</v>
      </c>
      <c r="R7" s="9"/>
      <c r="S7" s="48">
        <v>0</v>
      </c>
      <c r="T7" s="21">
        <f t="shared" si="4"/>
        <v>45300</v>
      </c>
      <c r="U7" s="53">
        <f>IF($J7="","",ROUND(($J7-$J$3)/1000,1)+(_xlfn.RANK.AVG($J7,($J7,$O7,$T7),1)-2)*20)</f>
        <v>-43.9</v>
      </c>
      <c r="V7" s="54">
        <f>IF($O7="","",ROUND(($O7-$O$3)/1000,1)+(_xlfn.RANK.AVG($O7,($J7,$O7,$T7),1)-2)*20)</f>
        <v>33.6</v>
      </c>
      <c r="W7" s="55">
        <f>IF($T7="","",ROUND(($T7-$T$3)/1000,1)+(_xlfn.RANK.AVG($T7,($J7,$O7,$T7),1)-2)*20)</f>
        <v>10.3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85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194</v>
      </c>
      <c r="G8" s="9">
        <v>2100</v>
      </c>
      <c r="H8" s="9">
        <v>1000</v>
      </c>
      <c r="I8" s="48">
        <v>0</v>
      </c>
      <c r="J8" s="21">
        <f t="shared" si="2"/>
        <v>14200</v>
      </c>
      <c r="K8" s="8" t="s">
        <v>195</v>
      </c>
      <c r="L8" s="9">
        <v>-1300</v>
      </c>
      <c r="M8" s="9">
        <v>-1000</v>
      </c>
      <c r="N8" s="48">
        <v>0</v>
      </c>
      <c r="O8" s="21">
        <f t="shared" si="3"/>
        <v>46300</v>
      </c>
      <c r="P8" s="8" t="s">
        <v>195</v>
      </c>
      <c r="Q8" s="9">
        <v>-800</v>
      </c>
      <c r="R8" s="9"/>
      <c r="S8" s="48">
        <v>0</v>
      </c>
      <c r="T8" s="21">
        <f t="shared" si="4"/>
        <v>44500</v>
      </c>
      <c r="U8" s="53">
        <f>IF($J8="","",ROUND(($J8-$J$3)/1000,1)+(_xlfn.RANK.AVG($J8,($J8,$O8,$T8),1)-2)*20)</f>
        <v>-40.799999999999997</v>
      </c>
      <c r="V8" s="54">
        <f>IF($O8="","",ROUND(($O8-$O$3)/1000,1)+(_xlfn.RANK.AVG($O8,($J8,$O8,$T8),1)-2)*20)</f>
        <v>31.3</v>
      </c>
      <c r="W8" s="55">
        <f>IF($T8="","",ROUND(($T8-$T$3)/1000,1)+(_xlfn.RANK.AVG($T8,($J8,$O8,$T8),1)-2)*20)</f>
        <v>9.5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197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14200</v>
      </c>
      <c r="K9" s="8" t="s">
        <v>199</v>
      </c>
      <c r="L9" s="9">
        <v>-18000</v>
      </c>
      <c r="M9" s="9"/>
      <c r="N9" s="48">
        <v>0</v>
      </c>
      <c r="O9" s="21">
        <f t="shared" si="3"/>
        <v>28300</v>
      </c>
      <c r="P9" s="8" t="s">
        <v>198</v>
      </c>
      <c r="Q9" s="9">
        <v>18000</v>
      </c>
      <c r="R9" s="9"/>
      <c r="S9" s="48">
        <v>0</v>
      </c>
      <c r="T9" s="21">
        <f t="shared" si="4"/>
        <v>62500</v>
      </c>
      <c r="U9" s="53">
        <f>IF($J9="","",ROUND(($J9-$J$3)/1000,1)+(_xlfn.RANK.AVG($J9,($J9,$O9,$T9),1)-2)*20)</f>
        <v>-40.799999999999997</v>
      </c>
      <c r="V9" s="54">
        <f>IF($O9="","",ROUND(($O9-$O$3)/1000,1)+(_xlfn.RANK.AVG($O9,($J9,$O9,$T9),1)-2)*20)</f>
        <v>-6.7</v>
      </c>
      <c r="W9" s="55">
        <f>IF($T9="","",ROUND(($T9-$T$3)/1000,1)+(_xlfn.RANK.AVG($T9,($J9,$O9,$T9),1)-2)*20)</f>
        <v>47.5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196</v>
      </c>
      <c r="BU9" s="40" t="s">
        <v>197</v>
      </c>
      <c r="BV9" s="41" t="s">
        <v>84</v>
      </c>
      <c r="BW9" s="41" t="s">
        <v>200</v>
      </c>
      <c r="BX9" s="41" t="s">
        <v>200</v>
      </c>
      <c r="BY9" s="41" t="s">
        <v>80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135B0DF8-A6CE-4450-A806-0CC87821CC84}">
      <formula1>$U$2:$W$2</formula1>
    </dataValidation>
    <dataValidation type="list" showInputMessage="1" showErrorMessage="1" sqref="K4:K30 P4:P30 F4:F30" xr:uid="{F29A3BC0-A0E0-454A-ABF1-F4F19445633C}">
      <formula1>"ロン,ツモ,放銃,ツモ支払,流局,チョンボ"</formula1>
    </dataValidation>
    <dataValidation type="list" allowBlank="1" showInputMessage="1" sqref="F1:T1" xr:uid="{337609E3-8D1E-4876-8303-7674A3292684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2EE1-F485-4223-B2A5-EE73C981715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195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194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195</v>
      </c>
      <c r="Q4" s="9">
        <v>-3300</v>
      </c>
      <c r="R4" s="9"/>
      <c r="S4" s="48">
        <v>0</v>
      </c>
      <c r="T4" s="21">
        <f>IF(COUNTA($F4,$K4,$P4)&gt;0,T3+SUM(Q4:S4),"")</f>
        <v>31700</v>
      </c>
      <c r="U4" s="53">
        <f>IF($J4="","",ROUND(($J4-$J$3)/1000,1)+(_xlfn.RANK.AVG($J4,($J4,$O4,$T4),1)-2)*20)</f>
        <v>-2</v>
      </c>
      <c r="V4" s="54">
        <f>IF($O4="","",ROUND(($O4-$O$3)/1000,1)+(_xlfn.RANK.AVG($O4,($J4,$O4,$T4),1)-2)*20)</f>
        <v>25.3</v>
      </c>
      <c r="W4" s="55">
        <f>IF($T4="","",ROUND(($T4-$T$3)/1000,1)+(_xlfn.RANK.AVG($T4,($J4,$O4,$T4),1)-2)*20)</f>
        <v>-23.3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197</v>
      </c>
      <c r="BA4" s="41" t="s">
        <v>82</v>
      </c>
      <c r="BB4" s="41" t="s">
        <v>83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205</v>
      </c>
      <c r="G5" s="9">
        <v>5000</v>
      </c>
      <c r="H5" s="9"/>
      <c r="I5" s="48"/>
      <c r="J5" s="21">
        <f t="shared" ref="J5:J30" si="2">IF(COUNTA($F5,$K5,$P5)&gt;0,J4+SUM(G5:I5),"")</f>
        <v>38000</v>
      </c>
      <c r="K5" s="8" t="s">
        <v>205</v>
      </c>
      <c r="L5" s="9">
        <v>-10000</v>
      </c>
      <c r="M5" s="9"/>
      <c r="N5" s="48"/>
      <c r="O5" s="21">
        <f t="shared" ref="O5:O30" si="3">IF(COUNTA($F5,$K5,$P5)&gt;0,O4+SUM(L5:N5),"")</f>
        <v>30300</v>
      </c>
      <c r="P5" s="8" t="s">
        <v>205</v>
      </c>
      <c r="Q5" s="9">
        <v>5000</v>
      </c>
      <c r="R5" s="9"/>
      <c r="S5" s="48"/>
      <c r="T5" s="21">
        <f t="shared" ref="T5:T30" si="4">IF(COUNTA($F5,$K5,$P5)&gt;0,T4+SUM(Q5:S5),"")</f>
        <v>36700</v>
      </c>
      <c r="U5" s="53">
        <f>IF($J5="","",ROUND(($J5-$J$3)/1000,1)+(_xlfn.RANK.AVG($J5,($J5,$O5,$T5),1)-2)*20)</f>
        <v>23</v>
      </c>
      <c r="V5" s="54">
        <f>IF($O5="","",ROUND(($O5-$O$3)/1000,1)+(_xlfn.RANK.AVG($O5,($J5,$O5,$T5),1)-2)*20)</f>
        <v>-24.7</v>
      </c>
      <c r="W5" s="55">
        <f>IF($T5="","",ROUND(($T5-$T$3)/1000,1)+(_xlfn.RANK.AVG($T5,($J5,$O5,$T5),1)-2)*20)</f>
        <v>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まっつん</v>
      </c>
      <c r="F6" s="8" t="s">
        <v>199</v>
      </c>
      <c r="G6" s="9">
        <v>-1300</v>
      </c>
      <c r="H6" s="9">
        <v>-1000</v>
      </c>
      <c r="I6" s="48">
        <v>0</v>
      </c>
      <c r="J6" s="21">
        <f t="shared" si="2"/>
        <v>35700</v>
      </c>
      <c r="K6" s="8"/>
      <c r="L6" s="9"/>
      <c r="M6" s="9"/>
      <c r="N6" s="48"/>
      <c r="O6" s="21">
        <f t="shared" si="3"/>
        <v>30300</v>
      </c>
      <c r="P6" s="8" t="s">
        <v>198</v>
      </c>
      <c r="Q6" s="9">
        <v>1300</v>
      </c>
      <c r="R6" s="9">
        <v>1000</v>
      </c>
      <c r="S6" s="48">
        <v>0</v>
      </c>
      <c r="T6" s="21">
        <f t="shared" si="4"/>
        <v>39000</v>
      </c>
      <c r="U6" s="53">
        <f>IF($J6="","",ROUND(($J6-$J$3)/1000,1)+(_xlfn.RANK.AVG($J6,($J6,$O6,$T6),1)-2)*20)</f>
        <v>0.7</v>
      </c>
      <c r="V6" s="54">
        <f>IF($O6="","",ROUND(($O6-$O$3)/1000,1)+(_xlfn.RANK.AVG($O6,($J6,$O6,$T6),1)-2)*20)</f>
        <v>-24.7</v>
      </c>
      <c r="W6" s="55">
        <f>IF($T6="","",ROUND(($T6-$T$3)/1000,1)+(_xlfn.RANK.AVG($T6,($J6,$O6,$T6),1)-2)*20)</f>
        <v>24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197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-6000</v>
      </c>
      <c r="H7" s="9">
        <v>-1000</v>
      </c>
      <c r="I7" s="48">
        <v>0</v>
      </c>
      <c r="J7" s="21">
        <f t="shared" si="2"/>
        <v>28700</v>
      </c>
      <c r="K7" s="8" t="s">
        <v>195</v>
      </c>
      <c r="L7" s="9">
        <v>-10000</v>
      </c>
      <c r="M7" s="9"/>
      <c r="N7" s="48">
        <v>0</v>
      </c>
      <c r="O7" s="21">
        <f t="shared" si="3"/>
        <v>20300</v>
      </c>
      <c r="P7" s="8" t="s">
        <v>194</v>
      </c>
      <c r="Q7" s="9">
        <v>16000</v>
      </c>
      <c r="R7" s="9">
        <v>1000</v>
      </c>
      <c r="S7" s="48">
        <v>0</v>
      </c>
      <c r="T7" s="21">
        <f t="shared" si="4"/>
        <v>56000</v>
      </c>
      <c r="U7" s="53">
        <f>IF($J7="","",ROUND(($J7-$J$3)/1000,1)+(_xlfn.RANK.AVG($J7,($J7,$O7,$T7),1)-2)*20)</f>
        <v>-6.3</v>
      </c>
      <c r="V7" s="54">
        <f>IF($O7="","",ROUND(($O7-$O$3)/1000,1)+(_xlfn.RANK.AVG($O7,($J7,$O7,$T7),1)-2)*20)</f>
        <v>-34.700000000000003</v>
      </c>
      <c r="W7" s="55">
        <f>IF($T7="","",ROUND(($T7-$T$3)/1000,1)+(_xlfn.RANK.AVG($T7,($J7,$O7,$T7),1)-2)*20)</f>
        <v>41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9</v>
      </c>
      <c r="BT7" s="30" t="s">
        <v>196</v>
      </c>
      <c r="BU7" s="40" t="s">
        <v>197</v>
      </c>
      <c r="BV7" s="41" t="s">
        <v>82</v>
      </c>
      <c r="BW7" s="41" t="s">
        <v>85</v>
      </c>
      <c r="BX7" s="41" t="s">
        <v>84</v>
      </c>
      <c r="BY7" s="41" t="s">
        <v>79</v>
      </c>
      <c r="BZ7" s="41" t="s">
        <v>79</v>
      </c>
      <c r="CA7" s="41" t="s">
        <v>80</v>
      </c>
      <c r="CB7" s="41" t="s">
        <v>80</v>
      </c>
      <c r="CC7" s="41" t="s">
        <v>200</v>
      </c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-9000</v>
      </c>
      <c r="H8" s="9"/>
      <c r="I8" s="48">
        <v>0</v>
      </c>
      <c r="J8" s="21">
        <f t="shared" si="2"/>
        <v>19700</v>
      </c>
      <c r="K8" s="8" t="s">
        <v>195</v>
      </c>
      <c r="L8" s="9">
        <v>-9000</v>
      </c>
      <c r="M8" s="9"/>
      <c r="N8" s="48">
        <v>0</v>
      </c>
      <c r="O8" s="21">
        <f t="shared" si="3"/>
        <v>11300</v>
      </c>
      <c r="P8" s="8" t="s">
        <v>194</v>
      </c>
      <c r="Q8" s="9">
        <v>18000</v>
      </c>
      <c r="R8" s="9"/>
      <c r="S8" s="48">
        <v>0</v>
      </c>
      <c r="T8" s="21">
        <f t="shared" si="4"/>
        <v>74000</v>
      </c>
      <c r="U8" s="53">
        <f>IF($J8="","",ROUND(($J8-$J$3)/1000,1)+(_xlfn.RANK.AVG($J8,($J8,$O8,$T8),1)-2)*20)</f>
        <v>-15.3</v>
      </c>
      <c r="V8" s="54">
        <f>IF($O8="","",ROUND(($O8-$O$3)/1000,1)+(_xlfn.RANK.AVG($O8,($J8,$O8,$T8),1)-2)*20)</f>
        <v>-43.7</v>
      </c>
      <c r="W8" s="55">
        <f>IF($T8="","",ROUND(($T8-$T$3)/1000,1)+(_xlfn.RANK.AVG($T8,($J8,$O8,$T8),1)-2)*20)</f>
        <v>59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196</v>
      </c>
      <c r="BU8" s="40" t="s">
        <v>197</v>
      </c>
      <c r="BV8" s="41" t="s">
        <v>82</v>
      </c>
      <c r="BW8" s="41" t="s">
        <v>204</v>
      </c>
      <c r="BX8" s="41" t="s">
        <v>200</v>
      </c>
      <c r="BY8" s="41" t="s">
        <v>200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198</v>
      </c>
      <c r="G9" s="9">
        <v>12000</v>
      </c>
      <c r="H9" s="9"/>
      <c r="I9" s="48">
        <v>1000</v>
      </c>
      <c r="J9" s="21">
        <f t="shared" si="2"/>
        <v>32700</v>
      </c>
      <c r="K9" s="8" t="s">
        <v>199</v>
      </c>
      <c r="L9" s="9">
        <v>-12000</v>
      </c>
      <c r="M9" s="9"/>
      <c r="N9" s="48">
        <v>-1000</v>
      </c>
      <c r="O9" s="21">
        <f t="shared" si="3"/>
        <v>-1700</v>
      </c>
      <c r="P9" s="8"/>
      <c r="Q9" s="9"/>
      <c r="R9" s="9"/>
      <c r="S9" s="48"/>
      <c r="T9" s="21">
        <f t="shared" si="4"/>
        <v>74000</v>
      </c>
      <c r="U9" s="53">
        <f>IF($J9="","",ROUND(($J9-$J$3)/1000,1)+(_xlfn.RANK.AVG($J9,($J9,$O9,$T9),1)-2)*20)</f>
        <v>-2.2999999999999998</v>
      </c>
      <c r="V9" s="54">
        <f>IF($O9="","",ROUND(($O9-$O$3)/1000,1)+(_xlfn.RANK.AVG($O9,($J9,$O9,$T9),1)-2)*20)</f>
        <v>-56.7</v>
      </c>
      <c r="W9" s="55">
        <f>IF($T9="","",ROUND(($T9-$T$3)/1000,1)+(_xlfn.RANK.AVG($T9,($J9,$O9,$T9),1)-2)*20)</f>
        <v>59</v>
      </c>
      <c r="Y9" s="8"/>
      <c r="Z9" s="34"/>
      <c r="AA9" s="26">
        <v>1</v>
      </c>
      <c r="AB9" s="26"/>
      <c r="AC9" s="26">
        <v>6</v>
      </c>
      <c r="AD9" s="30" t="s">
        <v>196</v>
      </c>
      <c r="AE9" s="40" t="s">
        <v>197</v>
      </c>
      <c r="AF9" s="41" t="s">
        <v>104</v>
      </c>
      <c r="AG9" s="41" t="s">
        <v>86</v>
      </c>
      <c r="AH9" s="41" t="s">
        <v>200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6F057926-FD82-47B0-A247-4CFDACC4BFE4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4C616C77-CD5A-4B31-BE35-60BEE09ED1BC}">
      <formula1>"ロン,ツモ,放銃,ツモ支払,流局,チョンボ"</formula1>
    </dataValidation>
    <dataValidation type="list" allowBlank="1" showInputMessage="1" showErrorMessage="1" sqref="E4:E30" xr:uid="{1A331C8D-8C57-4F81-A0FD-150DBDFC327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A5A93-2F21-48B1-845C-84CCAECB5FAE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-16000</v>
      </c>
      <c r="H4" s="9"/>
      <c r="I4" s="48">
        <v>0</v>
      </c>
      <c r="J4" s="21">
        <f>IF(COUNTA($F4,$K4,$P4)&gt;0,J3+SUM(G4:I4),"")</f>
        <v>19000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-36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196</v>
      </c>
      <c r="BU4" s="40" t="s">
        <v>197</v>
      </c>
      <c r="BV4" s="41" t="s">
        <v>101</v>
      </c>
      <c r="BW4" s="41" t="s">
        <v>200</v>
      </c>
      <c r="BX4" s="41" t="s">
        <v>80</v>
      </c>
      <c r="BY4" s="41" t="s">
        <v>80</v>
      </c>
      <c r="BZ4" s="41" t="s">
        <v>79</v>
      </c>
      <c r="CA4" s="41" t="s">
        <v>79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26700</v>
      </c>
      <c r="K5" s="8" t="s">
        <v>199</v>
      </c>
      <c r="L5" s="9">
        <v>-7700</v>
      </c>
      <c r="M5" s="9"/>
      <c r="N5" s="48">
        <v>0</v>
      </c>
      <c r="O5" s="21">
        <f t="shared" ref="O5:O30" si="3">IF(COUNTA($F5,$K5,$P5)&gt;0,O4+SUM(L5:N5),"")</f>
        <v>27300</v>
      </c>
      <c r="P5" s="8"/>
      <c r="Q5" s="9"/>
      <c r="R5" s="9"/>
      <c r="S5" s="48"/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-28.3</v>
      </c>
      <c r="V5" s="54">
        <f>IF($O5="","",ROUND(($O5-$O$3)/1000,1)+(_xlfn.RANK.AVG($O5,($J5,$O5,$T5),1)-2)*20)</f>
        <v>-7.7</v>
      </c>
      <c r="W5" s="55">
        <f>IF($T5="","",ROUND(($T5-$T$3)/1000,1)+(_xlfn.RANK.AVG($T5,($J5,$O5,$T5),1)-2)*20)</f>
        <v>36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197</v>
      </c>
      <c r="AF5" s="41" t="s">
        <v>204</v>
      </c>
      <c r="AG5" s="41" t="s">
        <v>83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-800</v>
      </c>
      <c r="H6" s="9"/>
      <c r="I6" s="48">
        <v>0</v>
      </c>
      <c r="J6" s="21">
        <f t="shared" si="2"/>
        <v>25900</v>
      </c>
      <c r="K6" s="8" t="s">
        <v>194</v>
      </c>
      <c r="L6" s="9">
        <v>2100</v>
      </c>
      <c r="M6" s="9"/>
      <c r="N6" s="48">
        <v>0</v>
      </c>
      <c r="O6" s="21">
        <f t="shared" si="3"/>
        <v>29400</v>
      </c>
      <c r="P6" s="8" t="s">
        <v>195</v>
      </c>
      <c r="Q6" s="9">
        <v>-1300</v>
      </c>
      <c r="R6" s="9"/>
      <c r="S6" s="48">
        <v>0</v>
      </c>
      <c r="T6" s="21">
        <f t="shared" si="4"/>
        <v>49700</v>
      </c>
      <c r="U6" s="53">
        <f>IF($J6="","",ROUND(($J6-$J$3)/1000,1)+(_xlfn.RANK.AVG($J6,($J6,$O6,$T6),1)-2)*20)</f>
        <v>-29.1</v>
      </c>
      <c r="V6" s="54">
        <f>IF($O6="","",ROUND(($O6-$O$3)/1000,1)+(_xlfn.RANK.AVG($O6,($J6,$O6,$T6),1)-2)*20)</f>
        <v>-5.6</v>
      </c>
      <c r="W6" s="55">
        <f>IF($T6="","",ROUND(($T6-$T$3)/1000,1)+(_xlfn.RANK.AVG($T6,($J6,$O6,$T6),1)-2)*20)</f>
        <v>34.700000000000003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30</v>
      </c>
      <c r="AZ6" s="40" t="s">
        <v>82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195</v>
      </c>
      <c r="G7" s="9">
        <v>-1300</v>
      </c>
      <c r="H7" s="9"/>
      <c r="I7" s="48">
        <v>0</v>
      </c>
      <c r="J7" s="21">
        <f t="shared" si="2"/>
        <v>24600</v>
      </c>
      <c r="K7" s="8" t="s">
        <v>194</v>
      </c>
      <c r="L7" s="9">
        <v>2100</v>
      </c>
      <c r="M7" s="9"/>
      <c r="N7" s="48">
        <v>0</v>
      </c>
      <c r="O7" s="21">
        <f t="shared" si="3"/>
        <v>31500</v>
      </c>
      <c r="P7" s="8" t="s">
        <v>195</v>
      </c>
      <c r="Q7" s="9">
        <v>-800</v>
      </c>
      <c r="R7" s="9"/>
      <c r="S7" s="48">
        <v>0</v>
      </c>
      <c r="T7" s="21">
        <f t="shared" si="4"/>
        <v>48900</v>
      </c>
      <c r="U7" s="53">
        <f>IF($J7="","",ROUND(($J7-$J$3)/1000,1)+(_xlfn.RANK.AVG($J7,($J7,$O7,$T7),1)-2)*20)</f>
        <v>-30.4</v>
      </c>
      <c r="V7" s="54">
        <f>IF($O7="","",ROUND(($O7-$O$3)/1000,1)+(_xlfn.RANK.AVG($O7,($J7,$O7,$T7),1)-2)*20)</f>
        <v>-3.5</v>
      </c>
      <c r="W7" s="55">
        <f>IF($T7="","",ROUND(($T7-$T$3)/1000,1)+(_xlfn.RANK.AVG($T7,($J7,$O7,$T7),1)-2)*20)</f>
        <v>33.9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200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203</v>
      </c>
      <c r="G8" s="9">
        <v>1500</v>
      </c>
      <c r="H8" s="9">
        <v>-1000</v>
      </c>
      <c r="I8" s="48"/>
      <c r="J8" s="21">
        <f t="shared" si="2"/>
        <v>25100</v>
      </c>
      <c r="K8" s="8" t="s">
        <v>203</v>
      </c>
      <c r="L8" s="9">
        <v>1500</v>
      </c>
      <c r="M8" s="9"/>
      <c r="N8" s="48"/>
      <c r="O8" s="21">
        <f t="shared" si="3"/>
        <v>33000</v>
      </c>
      <c r="P8" s="8" t="s">
        <v>203</v>
      </c>
      <c r="Q8" s="9">
        <v>-3000</v>
      </c>
      <c r="R8" s="9"/>
      <c r="S8" s="48"/>
      <c r="T8" s="21">
        <f t="shared" si="4"/>
        <v>45900</v>
      </c>
      <c r="U8" s="53">
        <f>IF($J8="","",ROUND(($J8-$J$3)/1000,1)+(_xlfn.RANK.AVG($J8,($J8,$O8,$T8),1)-2)*20)</f>
        <v>-29.9</v>
      </c>
      <c r="V8" s="54">
        <f>IF($O8="","",ROUND(($O8-$O$3)/1000,1)+(_xlfn.RANK.AVG($O8,($J8,$O8,$T8),1)-2)*20)</f>
        <v>-2</v>
      </c>
      <c r="W8" s="55">
        <f>IF($T8="","",ROUND(($T8-$T$3)/1000,1)+(_xlfn.RANK.AVG($T8,($J8,$O8,$T8),1)-2)*20)</f>
        <v>30.9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りくと</v>
      </c>
      <c r="F9" s="8"/>
      <c r="G9" s="9"/>
      <c r="H9" s="9"/>
      <c r="I9" s="48"/>
      <c r="J9" s="21">
        <f t="shared" si="2"/>
        <v>25100</v>
      </c>
      <c r="K9" s="8" t="s">
        <v>199</v>
      </c>
      <c r="L9" s="9">
        <v>-12000</v>
      </c>
      <c r="M9" s="9">
        <v>-1000</v>
      </c>
      <c r="N9" s="48">
        <v>-1000</v>
      </c>
      <c r="O9" s="21">
        <f t="shared" si="3"/>
        <v>19000</v>
      </c>
      <c r="P9" s="8" t="s">
        <v>198</v>
      </c>
      <c r="Q9" s="9">
        <v>12000</v>
      </c>
      <c r="R9" s="9">
        <v>2000</v>
      </c>
      <c r="S9" s="48">
        <v>1000</v>
      </c>
      <c r="T9" s="21">
        <f t="shared" si="4"/>
        <v>60900</v>
      </c>
      <c r="U9" s="53">
        <f>IF($J9="","",ROUND(($J9-$J$3)/1000,1)+(_xlfn.RANK.AVG($J9,($J9,$O9,$T9),1)-2)*20)</f>
        <v>-9.9</v>
      </c>
      <c r="V9" s="54">
        <f>IF($O9="","",ROUND(($O9-$O$3)/1000,1)+(_xlfn.RANK.AVG($O9,($J9,$O9,$T9),1)-2)*20)</f>
        <v>-36</v>
      </c>
      <c r="W9" s="55">
        <f>IF($T9="","",ROUND(($T9-$T$3)/1000,1)+(_xlfn.RANK.AVG($T9,($J9,$O9,$T9),1)-2)*20)</f>
        <v>45.9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6</v>
      </c>
      <c r="BT9" s="30" t="s">
        <v>196</v>
      </c>
      <c r="BU9" s="40" t="s">
        <v>86</v>
      </c>
      <c r="BV9" s="41" t="s">
        <v>86</v>
      </c>
      <c r="BW9" s="41" t="s">
        <v>86</v>
      </c>
      <c r="BX9" s="41" t="s">
        <v>200</v>
      </c>
      <c r="BY9" s="41" t="s">
        <v>79</v>
      </c>
      <c r="BZ9" s="41" t="s">
        <v>79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/>
      <c r="G10" s="9"/>
      <c r="H10" s="9">
        <v>-1000</v>
      </c>
      <c r="I10" s="48"/>
      <c r="J10" s="21">
        <f t="shared" si="2"/>
        <v>24100</v>
      </c>
      <c r="K10" s="8" t="s">
        <v>199</v>
      </c>
      <c r="L10" s="9">
        <v>-12000</v>
      </c>
      <c r="M10" s="9"/>
      <c r="N10" s="48">
        <v>0</v>
      </c>
      <c r="O10" s="21">
        <f t="shared" si="3"/>
        <v>7000</v>
      </c>
      <c r="P10" s="8" t="s">
        <v>198</v>
      </c>
      <c r="Q10" s="9">
        <v>12000</v>
      </c>
      <c r="R10" s="9">
        <v>1000</v>
      </c>
      <c r="S10" s="48">
        <v>0</v>
      </c>
      <c r="T10" s="21">
        <f t="shared" si="4"/>
        <v>73900</v>
      </c>
      <c r="U10" s="53">
        <f>IF($J10="","",ROUND(($J10-$J$3)/1000,1)+(_xlfn.RANK.AVG($J10,($J10,$O10,$T10),1)-2)*20)</f>
        <v>-10.9</v>
      </c>
      <c r="V10" s="54">
        <f>IF($O10="","",ROUND(($O10-$O$3)/1000,1)+(_xlfn.RANK.AVG($O10,($J10,$O10,$T10),1)-2)*20)</f>
        <v>-48</v>
      </c>
      <c r="W10" s="55">
        <f>IF($T10="","",ROUND(($T10-$T$3)/1000,1)+(_xlfn.RANK.AVG($T10,($J10,$O10,$T10),1)-2)*20)</f>
        <v>58.9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5</v>
      </c>
      <c r="BT10" s="30" t="s">
        <v>196</v>
      </c>
      <c r="BU10" s="40" t="s">
        <v>104</v>
      </c>
      <c r="BV10" s="41" t="s">
        <v>86</v>
      </c>
      <c r="BW10" s="41" t="s">
        <v>200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55678442-BC5E-4682-8526-B67D76D8D031}">
      <formula1>$U$2:$W$2</formula1>
    </dataValidation>
    <dataValidation type="list" showInputMessage="1" showErrorMessage="1" sqref="K4:K30 P4:P30 F4:F30" xr:uid="{64F3A1A9-B1E9-4CE1-87F6-BEB94E37EDB2}">
      <formula1>"ロン,ツモ,放銃,ツモ支払,流局,チョンボ"</formula1>
    </dataValidation>
    <dataValidation type="list" allowBlank="1" showInputMessage="1" sqref="F1:T1" xr:uid="{38D84701-DCD9-4A35-BCDF-D0D7B097321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70B77-F7EC-49B4-A988-6598C11F344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199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198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93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195</v>
      </c>
      <c r="G5" s="9">
        <v>-3300</v>
      </c>
      <c r="H5" s="9"/>
      <c r="I5" s="48">
        <v>0</v>
      </c>
      <c r="J5" s="21">
        <f t="shared" ref="J5:J30" si="2">IF(COUNTA($F5,$K5,$P5)&gt;0,J4+SUM(G5:I5),"")</f>
        <v>29700</v>
      </c>
      <c r="K5" s="8" t="s">
        <v>195</v>
      </c>
      <c r="L5" s="9">
        <v>-2000</v>
      </c>
      <c r="M5" s="9"/>
      <c r="N5" s="48">
        <v>0</v>
      </c>
      <c r="O5" s="21">
        <f t="shared" ref="O5:O30" si="3">IF(COUNTA($F5,$K5,$P5)&gt;0,O4+SUM(L5:N5),"")</f>
        <v>35000</v>
      </c>
      <c r="P5" s="8" t="s">
        <v>194</v>
      </c>
      <c r="Q5" s="9">
        <v>5300</v>
      </c>
      <c r="R5" s="9"/>
      <c r="S5" s="48">
        <v>0</v>
      </c>
      <c r="T5" s="21">
        <f t="shared" ref="T5:T30" si="4">IF(COUNTA($F5,$K5,$P5)&gt;0,T4+SUM(Q5:S5),"")</f>
        <v>40300</v>
      </c>
      <c r="U5" s="53">
        <f>IF($J5="","",ROUND(($J5-$J$3)/1000,1)+(_xlfn.RANK.AVG($J5,($J5,$O5,$T5),1)-2)*20)</f>
        <v>-25.3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197</v>
      </c>
      <c r="BV5" s="41" t="s">
        <v>82</v>
      </c>
      <c r="BW5" s="41" t="s">
        <v>83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22700</v>
      </c>
      <c r="K6" s="8" t="s">
        <v>194</v>
      </c>
      <c r="L6" s="9">
        <v>12000</v>
      </c>
      <c r="M6" s="9">
        <v>1000</v>
      </c>
      <c r="N6" s="48">
        <v>0</v>
      </c>
      <c r="O6" s="21">
        <f t="shared" si="3"/>
        <v>48000</v>
      </c>
      <c r="P6" s="8" t="s">
        <v>195</v>
      </c>
      <c r="Q6" s="9">
        <v>-6000</v>
      </c>
      <c r="R6" s="9"/>
      <c r="S6" s="48">
        <v>0</v>
      </c>
      <c r="T6" s="21">
        <f t="shared" si="4"/>
        <v>34300</v>
      </c>
      <c r="U6" s="53">
        <f>IF($J6="","",ROUND(($J6-$J$3)/1000,1)+(_xlfn.RANK.AVG($J6,($J6,$O6,$T6),1)-2)*20)</f>
        <v>-32.299999999999997</v>
      </c>
      <c r="V6" s="54">
        <f>IF($O6="","",ROUND(($O6-$O$3)/1000,1)+(_xlfn.RANK.AVG($O6,($J6,$O6,$T6),1)-2)*20)</f>
        <v>33</v>
      </c>
      <c r="W6" s="55">
        <f>IF($T6="","",ROUND(($T6-$T$3)/1000,1)+(_xlfn.RANK.AVG($T6,($J6,$O6,$T6),1)-2)*20)</f>
        <v>-0.7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196</v>
      </c>
      <c r="AZ6" s="40" t="s">
        <v>105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-6000</v>
      </c>
      <c r="H7" s="9"/>
      <c r="I7" s="48">
        <v>-500</v>
      </c>
      <c r="J7" s="21">
        <f t="shared" si="2"/>
        <v>16200</v>
      </c>
      <c r="K7" s="8" t="s">
        <v>194</v>
      </c>
      <c r="L7" s="9">
        <v>12000</v>
      </c>
      <c r="M7" s="9"/>
      <c r="N7" s="48">
        <v>1000</v>
      </c>
      <c r="O7" s="21">
        <f t="shared" si="3"/>
        <v>61000</v>
      </c>
      <c r="P7" s="8" t="s">
        <v>195</v>
      </c>
      <c r="Q7" s="9">
        <v>-6000</v>
      </c>
      <c r="R7" s="9"/>
      <c r="S7" s="48">
        <v>-500</v>
      </c>
      <c r="T7" s="21">
        <f t="shared" si="4"/>
        <v>27800</v>
      </c>
      <c r="U7" s="53">
        <f>IF($J7="","",ROUND(($J7-$J$3)/1000,1)+(_xlfn.RANK.AVG($J7,($J7,$O7,$T7),1)-2)*20)</f>
        <v>-38.799999999999997</v>
      </c>
      <c r="V7" s="54">
        <f>IF($O7="","",ROUND(($O7-$O$3)/1000,1)+(_xlfn.RANK.AVG($O7,($J7,$O7,$T7),1)-2)*20)</f>
        <v>46</v>
      </c>
      <c r="W7" s="55">
        <f>IF($T7="","",ROUND(($T7-$T$3)/1000,1)+(_xlfn.RANK.AVG($T7,($J7,$O7,$T7),1)-2)*20)</f>
        <v>-7.2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196</v>
      </c>
      <c r="AZ7" s="40" t="s">
        <v>197</v>
      </c>
      <c r="BA7" s="41" t="s">
        <v>82</v>
      </c>
      <c r="BB7" s="41" t="s">
        <v>79</v>
      </c>
      <c r="BC7" s="41" t="s">
        <v>80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IF($K$1="","",$K$1)</f>
        <v>りくと</v>
      </c>
      <c r="F8" s="8" t="s">
        <v>194</v>
      </c>
      <c r="G8" s="9">
        <v>12000</v>
      </c>
      <c r="H8" s="9"/>
      <c r="I8" s="48">
        <v>2000</v>
      </c>
      <c r="J8" s="21">
        <f t="shared" si="2"/>
        <v>30200</v>
      </c>
      <c r="K8" s="8" t="s">
        <v>195</v>
      </c>
      <c r="L8" s="9">
        <v>-7500</v>
      </c>
      <c r="M8" s="9"/>
      <c r="N8" s="48">
        <v>-1000</v>
      </c>
      <c r="O8" s="21">
        <f t="shared" si="3"/>
        <v>52500</v>
      </c>
      <c r="P8" s="8" t="s">
        <v>195</v>
      </c>
      <c r="Q8" s="9">
        <v>-4500</v>
      </c>
      <c r="R8" s="9"/>
      <c r="S8" s="48">
        <v>-1000</v>
      </c>
      <c r="T8" s="21">
        <f t="shared" si="4"/>
        <v>22300</v>
      </c>
      <c r="U8" s="53">
        <f>IF($J8="","",ROUND(($J8-$J$3)/1000,1)+(_xlfn.RANK.AVG($J8,($J8,$O8,$T8),1)-2)*20)</f>
        <v>-4.8</v>
      </c>
      <c r="V8" s="54">
        <f>IF($O8="","",ROUND(($O8-$O$3)/1000,1)+(_xlfn.RANK.AVG($O8,($J8,$O8,$T8),1)-2)*20)</f>
        <v>37.5</v>
      </c>
      <c r="W8" s="55">
        <f>IF($T8="","",ROUND(($T8-$T$3)/1000,1)+(_xlfn.RANK.AVG($T8,($J8,$O8,$T8),1)-2)*20)</f>
        <v>-32.700000000000003</v>
      </c>
      <c r="Y8" s="8"/>
      <c r="Z8" s="34"/>
      <c r="AA8" s="26">
        <v>1</v>
      </c>
      <c r="AB8" s="26"/>
      <c r="AC8" s="26">
        <v>7</v>
      </c>
      <c r="AD8" s="30" t="s">
        <v>196</v>
      </c>
      <c r="AE8" s="40" t="s">
        <v>197</v>
      </c>
      <c r="AF8" s="41" t="s">
        <v>82</v>
      </c>
      <c r="AG8" s="41" t="s">
        <v>204</v>
      </c>
      <c r="AH8" s="41" t="s">
        <v>104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195</v>
      </c>
      <c r="G9" s="9">
        <v>-6000</v>
      </c>
      <c r="H9" s="9"/>
      <c r="I9" s="48">
        <v>0</v>
      </c>
      <c r="J9" s="21">
        <f t="shared" si="2"/>
        <v>24200</v>
      </c>
      <c r="K9" s="8" t="s">
        <v>194</v>
      </c>
      <c r="L9" s="9">
        <v>16000</v>
      </c>
      <c r="M9" s="9">
        <v>1000</v>
      </c>
      <c r="N9" s="48">
        <v>0</v>
      </c>
      <c r="O9" s="21">
        <f t="shared" si="3"/>
        <v>69500</v>
      </c>
      <c r="P9" s="8" t="s">
        <v>195</v>
      </c>
      <c r="Q9" s="9">
        <v>-10000</v>
      </c>
      <c r="R9" s="9">
        <v>-1000</v>
      </c>
      <c r="S9" s="48">
        <v>0</v>
      </c>
      <c r="T9" s="21">
        <f t="shared" si="4"/>
        <v>11300</v>
      </c>
      <c r="U9" s="53">
        <f>IF($J9="","",ROUND(($J9-$J$3)/1000,1)+(_xlfn.RANK.AVG($J9,($J9,$O9,$T9),1)-2)*20)</f>
        <v>-10.8</v>
      </c>
      <c r="V9" s="54">
        <f>IF($O9="","",ROUND(($O9-$O$3)/1000,1)+(_xlfn.RANK.AVG($O9,($J9,$O9,$T9),1)-2)*20)</f>
        <v>54.5</v>
      </c>
      <c r="W9" s="55">
        <f>IF($T9="","",ROUND(($T9-$T$3)/1000,1)+(_xlfn.RANK.AVG($T9,($J9,$O9,$T9),1)-2)*20)</f>
        <v>-43.7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10</v>
      </c>
      <c r="AY9" s="30" t="s">
        <v>196</v>
      </c>
      <c r="AZ9" s="40" t="s">
        <v>104</v>
      </c>
      <c r="BA9" s="41" t="s">
        <v>86</v>
      </c>
      <c r="BB9" s="41" t="s">
        <v>86</v>
      </c>
      <c r="BC9" s="41" t="s">
        <v>79</v>
      </c>
      <c r="BD9" s="41" t="s">
        <v>79</v>
      </c>
      <c r="BE9" s="41" t="s">
        <v>79</v>
      </c>
      <c r="BF9" s="41" t="s">
        <v>79</v>
      </c>
      <c r="BG9" s="41" t="s">
        <v>79</v>
      </c>
      <c r="BH9" s="41" t="s">
        <v>79</v>
      </c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 t="s">
        <v>205</v>
      </c>
      <c r="G10" s="9">
        <v>5000</v>
      </c>
      <c r="H10" s="9">
        <v>-1000</v>
      </c>
      <c r="I10" s="48"/>
      <c r="J10" s="21">
        <f t="shared" si="2"/>
        <v>28200</v>
      </c>
      <c r="K10" s="8" t="s">
        <v>205</v>
      </c>
      <c r="L10" s="9">
        <v>-10000</v>
      </c>
      <c r="M10" s="9"/>
      <c r="N10" s="48"/>
      <c r="O10" s="21">
        <f t="shared" si="3"/>
        <v>59500</v>
      </c>
      <c r="P10" s="8" t="s">
        <v>205</v>
      </c>
      <c r="Q10" s="9">
        <v>5000</v>
      </c>
      <c r="R10" s="9">
        <v>-1000</v>
      </c>
      <c r="S10" s="48"/>
      <c r="T10" s="21">
        <f t="shared" si="4"/>
        <v>15300</v>
      </c>
      <c r="U10" s="53">
        <f>IF($J10="","",ROUND(($J10-$J$3)/1000,1)+(_xlfn.RANK.AVG($J10,($J10,$O10,$T10),1)-2)*20)</f>
        <v>-6.8</v>
      </c>
      <c r="V10" s="54">
        <f>IF($O10="","",ROUND(($O10-$O$3)/1000,1)+(_xlfn.RANK.AVG($O10,($J10,$O10,$T10),1)-2)*20)</f>
        <v>44.5</v>
      </c>
      <c r="W10" s="55">
        <f>IF($T10="","",ROUND(($T10-$T$3)/1000,1)+(_xlfn.RANK.AVG($T10,($J10,$O10,$T10),1)-2)*20)</f>
        <v>-39.700000000000003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>
        <v>1</v>
      </c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2</v>
      </c>
      <c r="E11" s="4" t="str">
        <f>IF($F$1="","",$F$1)</f>
        <v>まっつん</v>
      </c>
      <c r="F11" s="8" t="s">
        <v>203</v>
      </c>
      <c r="G11" s="9">
        <v>1500</v>
      </c>
      <c r="H11" s="9">
        <v>-1000</v>
      </c>
      <c r="I11" s="48"/>
      <c r="J11" s="21">
        <f t="shared" si="2"/>
        <v>28700</v>
      </c>
      <c r="K11" s="8" t="s">
        <v>203</v>
      </c>
      <c r="L11" s="9">
        <v>1500</v>
      </c>
      <c r="M11" s="9">
        <v>-1000</v>
      </c>
      <c r="N11" s="48"/>
      <c r="O11" s="21">
        <f t="shared" si="3"/>
        <v>60000</v>
      </c>
      <c r="P11" s="8" t="s">
        <v>203</v>
      </c>
      <c r="Q11" s="9">
        <v>-3000</v>
      </c>
      <c r="R11" s="9"/>
      <c r="S11" s="48"/>
      <c r="T11" s="21">
        <f t="shared" si="4"/>
        <v>12300</v>
      </c>
      <c r="U11" s="53">
        <f>IF($J11="","",ROUND(($J11-$J$3)/1000,1)+(_xlfn.RANK.AVG($J11,($J11,$O11,$T11),1)-2)*20)</f>
        <v>-6.3</v>
      </c>
      <c r="V11" s="54">
        <f>IF($O11="","",ROUND(($O11-$O$3)/1000,1)+(_xlfn.RANK.AVG($O11,($J11,$O11,$T11),1)-2)*20)</f>
        <v>45</v>
      </c>
      <c r="W11" s="55">
        <f>IF($T11="","",ROUND(($T11-$T$3)/1000,1)+(_xlfn.RANK.AVG($T11,($J11,$O11,$T11),1)-2)*20)</f>
        <v>-42.7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4</v>
      </c>
      <c r="E12" s="4" t="str">
        <f>IF($F$1="","",$F$1)</f>
        <v>まっつん</v>
      </c>
      <c r="F12" s="8" t="s">
        <v>194</v>
      </c>
      <c r="G12" s="9">
        <v>48000</v>
      </c>
      <c r="H12" s="9">
        <v>6000</v>
      </c>
      <c r="I12" s="48">
        <v>1000</v>
      </c>
      <c r="J12" s="21">
        <f t="shared" si="2"/>
        <v>83700</v>
      </c>
      <c r="K12" s="8" t="s">
        <v>195</v>
      </c>
      <c r="L12" s="9">
        <v>-24000</v>
      </c>
      <c r="M12" s="9">
        <v>-1000</v>
      </c>
      <c r="N12" s="48">
        <v>-500</v>
      </c>
      <c r="O12" s="21">
        <f t="shared" si="3"/>
        <v>34500</v>
      </c>
      <c r="P12" s="8" t="s">
        <v>195</v>
      </c>
      <c r="Q12" s="9">
        <v>-24000</v>
      </c>
      <c r="R12" s="9">
        <v>-1000</v>
      </c>
      <c r="S12" s="48">
        <v>-500</v>
      </c>
      <c r="T12" s="21">
        <f t="shared" si="4"/>
        <v>-13200</v>
      </c>
      <c r="U12" s="53">
        <f>IF($J12="","",ROUND(($J12-$J$3)/1000,1)+(_xlfn.RANK.AVG($J12,($J12,$O12,$T12),1)-2)*20)</f>
        <v>68.7</v>
      </c>
      <c r="V12" s="54">
        <f>IF($O12="","",ROUND(($O12-$O$3)/1000,1)+(_xlfn.RANK.AVG($O12,($J12,$O12,$T12),1)-2)*20)</f>
        <v>-0.5</v>
      </c>
      <c r="W12" s="55">
        <f>IF($T12="","",ROUND(($T12-$T$3)/1000,1)+(_xlfn.RANK.AVG($T12,($J12,$O12,$T12),1)-2)*20)</f>
        <v>-68.2</v>
      </c>
      <c r="Y12" s="8"/>
      <c r="Z12" s="34"/>
      <c r="AA12" s="26">
        <v>1</v>
      </c>
      <c r="AB12" s="26"/>
      <c r="AC12" s="26">
        <v>13</v>
      </c>
      <c r="AD12" s="30" t="s">
        <v>196</v>
      </c>
      <c r="AE12" s="40" t="s">
        <v>208</v>
      </c>
      <c r="AF12" s="41" t="s">
        <v>82</v>
      </c>
      <c r="AG12" s="41" t="s">
        <v>204</v>
      </c>
      <c r="AH12" s="41" t="s">
        <v>79</v>
      </c>
      <c r="AI12" s="41" t="s">
        <v>79</v>
      </c>
      <c r="AJ12" s="41" t="s">
        <v>79</v>
      </c>
      <c r="AK12" s="41" t="s">
        <v>106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87C1436C-0875-4C4F-B683-C9F09A26314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AD710195-716A-4938-B304-60BF2C5F3790}">
      <formula1>"ロン,ツモ,放銃,ツモ支払,流局,チョンボ"</formula1>
    </dataValidation>
    <dataValidation type="list" allowBlank="1" showInputMessage="1" showErrorMessage="1" sqref="E4:E30" xr:uid="{4A090750-72FE-4F08-9835-18059657E9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23960-4C5A-4FDA-A697-053A38DEC101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195</v>
      </c>
      <c r="L4" s="9">
        <v>-7500</v>
      </c>
      <c r="M4" s="9"/>
      <c r="N4" s="48">
        <v>0</v>
      </c>
      <c r="O4" s="21">
        <f>IF(COUNTA($F4,$K4,$P4)&gt;0,O3+SUM(L4:N4),"")</f>
        <v>27500</v>
      </c>
      <c r="P4" s="8" t="s">
        <v>195</v>
      </c>
      <c r="Q4" s="9">
        <v>-4500</v>
      </c>
      <c r="R4" s="9">
        <v>-1000</v>
      </c>
      <c r="S4" s="48">
        <v>0</v>
      </c>
      <c r="T4" s="21">
        <f>IF(COUNTA($F4,$K4,$P4)&gt;0,T3+SUM(Q4:S4),"")</f>
        <v>29500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-27.5</v>
      </c>
      <c r="W4" s="55">
        <f>IF($T4="","",ROUND(($T4-$T$3)/1000,1)+(_xlfn.RANK.AVG($T4,($J4,$O4,$T4),1)-2)*20)</f>
        <v>-5.5</v>
      </c>
      <c r="Y4" s="8"/>
      <c r="Z4" s="34"/>
      <c r="AA4" s="26">
        <v>1</v>
      </c>
      <c r="AB4" s="26"/>
      <c r="AC4" s="26">
        <v>6</v>
      </c>
      <c r="AD4" s="30" t="s">
        <v>196</v>
      </c>
      <c r="AE4" s="40" t="s">
        <v>197</v>
      </c>
      <c r="AF4" s="41" t="s">
        <v>82</v>
      </c>
      <c r="AG4" s="41" t="s">
        <v>204</v>
      </c>
      <c r="AH4" s="41" t="s">
        <v>79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195</v>
      </c>
      <c r="G5" s="9">
        <v>-6000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194</v>
      </c>
      <c r="L5" s="9">
        <v>16000</v>
      </c>
      <c r="M5" s="9"/>
      <c r="N5" s="48">
        <v>0</v>
      </c>
      <c r="O5" s="21">
        <f t="shared" ref="O5:O30" si="3">IF(COUNTA($F5,$K5,$P5)&gt;0,O4+SUM(L5:N5),"")</f>
        <v>43500</v>
      </c>
      <c r="P5" s="8" t="s">
        <v>195</v>
      </c>
      <c r="Q5" s="9">
        <v>-10000</v>
      </c>
      <c r="R5" s="9"/>
      <c r="S5" s="48">
        <v>0</v>
      </c>
      <c r="T5" s="21">
        <f t="shared" ref="T5:T30" si="4">IF(COUNTA($F5,$K5,$P5)&gt;0,T4+SUM(Q5:S5),"")</f>
        <v>19500</v>
      </c>
      <c r="U5" s="53">
        <f>IF($J5="","",ROUND(($J5-$J$3)/1000,1)+(_xlfn.RANK.AVG($J5,($J5,$O5,$T5),1)-2)*20)</f>
        <v>7</v>
      </c>
      <c r="V5" s="54">
        <f>IF($O5="","",ROUND(($O5-$O$3)/1000,1)+(_xlfn.RANK.AVG($O5,($J5,$O5,$T5),1)-2)*20)</f>
        <v>28.5</v>
      </c>
      <c r="W5" s="55">
        <f>IF($T5="","",ROUND(($T5-$T$3)/1000,1)+(_xlfn.RANK.AVG($T5,($J5,$O5,$T5),1)-2)*20)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10</v>
      </c>
      <c r="AY5" s="30" t="s">
        <v>196</v>
      </c>
      <c r="AZ5" s="40" t="s">
        <v>104</v>
      </c>
      <c r="BA5" s="41" t="s">
        <v>96</v>
      </c>
      <c r="BB5" s="41" t="s">
        <v>98</v>
      </c>
      <c r="BC5" s="41" t="s">
        <v>86</v>
      </c>
      <c r="BD5" s="41" t="s">
        <v>200</v>
      </c>
      <c r="BE5" s="41" t="s">
        <v>79</v>
      </c>
      <c r="BF5" s="41" t="s">
        <v>79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まっつん</v>
      </c>
      <c r="F6" s="8" t="s">
        <v>195</v>
      </c>
      <c r="G6" s="9">
        <v>-2500</v>
      </c>
      <c r="H6" s="9"/>
      <c r="I6" s="48">
        <v>0</v>
      </c>
      <c r="J6" s="21">
        <f t="shared" si="2"/>
        <v>39500</v>
      </c>
      <c r="K6" s="8" t="s">
        <v>195</v>
      </c>
      <c r="L6" s="9">
        <v>-1500</v>
      </c>
      <c r="M6" s="9"/>
      <c r="N6" s="48">
        <v>0</v>
      </c>
      <c r="O6" s="21">
        <f t="shared" si="3"/>
        <v>42000</v>
      </c>
      <c r="P6" s="8" t="s">
        <v>194</v>
      </c>
      <c r="Q6" s="9">
        <v>4000</v>
      </c>
      <c r="R6" s="9"/>
      <c r="S6" s="48">
        <v>0</v>
      </c>
      <c r="T6" s="21">
        <f t="shared" si="4"/>
        <v>23500</v>
      </c>
      <c r="U6" s="53">
        <f>IF($J6="","",ROUND(($J6-$J$3)/1000,1)+(_xlfn.RANK.AVG($J6,($J6,$O6,$T6),1)-2)*20)</f>
        <v>4.5</v>
      </c>
      <c r="V6" s="54">
        <f>IF($O6="","",ROUND(($O6-$O$3)/1000,1)+(_xlfn.RANK.AVG($O6,($J6,$O6,$T6),1)-2)*20)</f>
        <v>27</v>
      </c>
      <c r="W6" s="55">
        <f>IF($T6="","",ROUND(($T6-$T$3)/1000,1)+(_xlfn.RANK.AVG($T6,($J6,$O6,$T6),1)-2)*20)</f>
        <v>-31.5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-4500</v>
      </c>
      <c r="H7" s="9"/>
      <c r="I7" s="48">
        <v>0</v>
      </c>
      <c r="J7" s="21">
        <f t="shared" si="2"/>
        <v>35000</v>
      </c>
      <c r="K7" s="8" t="s">
        <v>195</v>
      </c>
      <c r="L7" s="9">
        <v>-7500</v>
      </c>
      <c r="M7" s="9"/>
      <c r="N7" s="48">
        <v>0</v>
      </c>
      <c r="O7" s="21">
        <f t="shared" si="3"/>
        <v>34500</v>
      </c>
      <c r="P7" s="8" t="s">
        <v>194</v>
      </c>
      <c r="Q7" s="9">
        <v>12000</v>
      </c>
      <c r="R7" s="9"/>
      <c r="S7" s="48">
        <v>0</v>
      </c>
      <c r="T7" s="21">
        <f t="shared" si="4"/>
        <v>35500</v>
      </c>
      <c r="U7" s="53">
        <f>IF($J7="","",ROUND(($J7-$J$3)/1000,1)+(_xlfn.RANK.AVG($J7,($J7,$O7,$T7),1)-2)*20)</f>
        <v>0</v>
      </c>
      <c r="V7" s="54">
        <f>IF($O7="","",ROUND(($O7-$O$3)/1000,1)+(_xlfn.RANK.AVG($O7,($J7,$O7,$T7),1)-2)*20)</f>
        <v>-20.5</v>
      </c>
      <c r="W7" s="55">
        <f>IF($T7="","",ROUND(($T7-$T$3)/1000,1)+(_xlfn.RANK.AVG($T7,($J7,$O7,$T7),1)-2)*20)</f>
        <v>20.5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196</v>
      </c>
      <c r="BU7" s="40" t="s">
        <v>82</v>
      </c>
      <c r="BV7" s="41" t="s">
        <v>104</v>
      </c>
      <c r="BW7" s="41" t="s">
        <v>84</v>
      </c>
      <c r="BX7" s="41" t="s">
        <v>86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194</v>
      </c>
      <c r="G8" s="9">
        <v>8000</v>
      </c>
      <c r="H8" s="9"/>
      <c r="I8" s="48">
        <v>0</v>
      </c>
      <c r="J8" s="21">
        <f t="shared" si="2"/>
        <v>43000</v>
      </c>
      <c r="K8" s="8" t="s">
        <v>195</v>
      </c>
      <c r="L8" s="9">
        <v>-3000</v>
      </c>
      <c r="M8" s="9"/>
      <c r="N8" s="48">
        <v>0</v>
      </c>
      <c r="O8" s="21">
        <f t="shared" si="3"/>
        <v>31500</v>
      </c>
      <c r="P8" s="8" t="s">
        <v>195</v>
      </c>
      <c r="Q8" s="9">
        <v>-5000</v>
      </c>
      <c r="R8" s="9"/>
      <c r="S8" s="48">
        <v>0</v>
      </c>
      <c r="T8" s="21">
        <f t="shared" si="4"/>
        <v>30500</v>
      </c>
      <c r="U8" s="53">
        <f>IF($J8="","",ROUND(($J8-$J$3)/1000,1)+(_xlfn.RANK.AVG($J8,($J8,$O8,$T8),1)-2)*20)</f>
        <v>28</v>
      </c>
      <c r="V8" s="54">
        <f>IF($O8="","",ROUND(($O8-$O$3)/1000,1)+(_xlfn.RANK.AVG($O8,($J8,$O8,$T8),1)-2)*20)</f>
        <v>-3.5</v>
      </c>
      <c r="W8" s="55">
        <f>IF($T8="","",ROUND(($T8-$T$3)/1000,1)+(_xlfn.RANK.AVG($T8,($J8,$O8,$T8),1)-2)*20)</f>
        <v>-24.5</v>
      </c>
      <c r="Y8" s="8"/>
      <c r="Z8" s="34"/>
      <c r="AA8" s="26"/>
      <c r="AB8" s="26"/>
      <c r="AC8" s="26">
        <v>4</v>
      </c>
      <c r="AD8" s="30">
        <v>40</v>
      </c>
      <c r="AE8" s="40" t="s">
        <v>82</v>
      </c>
      <c r="AF8" s="41" t="s">
        <v>96</v>
      </c>
      <c r="AG8" s="41" t="s">
        <v>200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203</v>
      </c>
      <c r="G9" s="9">
        <v>-1500</v>
      </c>
      <c r="H9" s="9"/>
      <c r="I9" s="48"/>
      <c r="J9" s="21">
        <f t="shared" si="2"/>
        <v>41500</v>
      </c>
      <c r="K9" s="8" t="s">
        <v>203</v>
      </c>
      <c r="L9" s="9">
        <v>3000</v>
      </c>
      <c r="M9" s="9"/>
      <c r="N9" s="48"/>
      <c r="O9" s="21">
        <f t="shared" si="3"/>
        <v>34500</v>
      </c>
      <c r="P9" s="8" t="s">
        <v>203</v>
      </c>
      <c r="Q9" s="9">
        <v>-1500</v>
      </c>
      <c r="R9" s="9"/>
      <c r="S9" s="48"/>
      <c r="T9" s="21">
        <f t="shared" si="4"/>
        <v>29000</v>
      </c>
      <c r="U9" s="53">
        <f>IF($J9="","",ROUND(($J9-$J$3)/1000,1)+(_xlfn.RANK.AVG($J9,($J9,$O9,$T9),1)-2)*20)</f>
        <v>26.5</v>
      </c>
      <c r="V9" s="54">
        <f>IF($O9="","",ROUND(($O9-$O$3)/1000,1)+(_xlfn.RANK.AVG($O9,($J9,$O9,$T9),1)-2)*20)</f>
        <v>-0.5</v>
      </c>
      <c r="W9" s="55">
        <f>IF($T9="","",ROUND(($T9-$T$3)/1000,1)+(_xlfn.RANK.AVG($T9,($J9,$O9,$T9),1)-2)*20)</f>
        <v>-26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DB2EEC0A-3836-4DED-B680-EE49C9E91C01}">
      <formula1>$U$2:$W$2</formula1>
    </dataValidation>
    <dataValidation type="list" showInputMessage="1" showErrorMessage="1" sqref="K4:K30 P4:P30 F4:F30" xr:uid="{C670BEFC-3C84-4D89-93BF-576C3CCBC880}">
      <formula1>"ロン,ツモ,放銃,ツモ支払,流局,チョンボ"</formula1>
    </dataValidation>
    <dataValidation type="list" allowBlank="1" showInputMessage="1" sqref="F1:T1" xr:uid="{C6A6CA3D-1305-4C04-AA5F-5FC2CEF6183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6A0AB-E2F1-455F-9577-812E96D8C794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203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203</v>
      </c>
      <c r="L4" s="9">
        <v>-3000</v>
      </c>
      <c r="M4" s="9"/>
      <c r="N4" s="48"/>
      <c r="O4" s="21">
        <f>IF(COUNTA($F4,$K4,$P4)&gt;0,O3+SUM(L4:N4),"")</f>
        <v>32000</v>
      </c>
      <c r="P4" s="8" t="s">
        <v>203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21.5</v>
      </c>
      <c r="Y4" s="8" t="s">
        <v>202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201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IF($P$1="","",$P$1)</f>
        <v>だいち</v>
      </c>
      <c r="F5" s="8" t="s">
        <v>195</v>
      </c>
      <c r="G5" s="9">
        <v>-9000</v>
      </c>
      <c r="H5" s="9"/>
      <c r="I5" s="48">
        <v>-500</v>
      </c>
      <c r="J5" s="21">
        <f t="shared" ref="J5:J30" si="2">IF(COUNTA($F5,$K5,$P5)&gt;0,J4+SUM(G5:I5),"")</f>
        <v>26000</v>
      </c>
      <c r="K5" s="8" t="s">
        <v>195</v>
      </c>
      <c r="L5" s="9">
        <v>-9000</v>
      </c>
      <c r="M5" s="9"/>
      <c r="N5" s="48">
        <v>-500</v>
      </c>
      <c r="O5" s="21">
        <f t="shared" ref="O5:O30" si="3">IF(COUNTA($F5,$K5,$P5)&gt;0,O4+SUM(L5:N5),"")</f>
        <v>22500</v>
      </c>
      <c r="P5" s="8" t="s">
        <v>194</v>
      </c>
      <c r="Q5" s="9">
        <v>18000</v>
      </c>
      <c r="R5" s="9">
        <v>1000</v>
      </c>
      <c r="S5" s="48">
        <v>1000</v>
      </c>
      <c r="T5" s="21">
        <f t="shared" ref="T5:T30" si="4">IF(COUNTA($F5,$K5,$P5)&gt;0,T4+SUM(Q5:S5),"")</f>
        <v>56500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-32.5</v>
      </c>
      <c r="W5" s="55">
        <f>IF($T5="","",ROUND(($T5-$T$3)/1000,1)+(_xlfn.RANK.AVG($T5,($J5,$O5,$T5),1)-2)*20)</f>
        <v>41.5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196</v>
      </c>
      <c r="BU5" s="40" t="s">
        <v>82</v>
      </c>
      <c r="BV5" s="41" t="s">
        <v>104</v>
      </c>
      <c r="BW5" s="41" t="s">
        <v>84</v>
      </c>
      <c r="BX5" s="41" t="s">
        <v>200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だいち</v>
      </c>
      <c r="F6" s="8" t="s">
        <v>199</v>
      </c>
      <c r="G6" s="9">
        <v>-2600</v>
      </c>
      <c r="H6" s="9"/>
      <c r="I6" s="48">
        <v>-2000</v>
      </c>
      <c r="J6" s="21">
        <f t="shared" si="2"/>
        <v>21400</v>
      </c>
      <c r="K6" s="8" t="s">
        <v>198</v>
      </c>
      <c r="L6" s="9">
        <v>2600</v>
      </c>
      <c r="M6" s="9"/>
      <c r="N6" s="48">
        <v>2000</v>
      </c>
      <c r="O6" s="21">
        <f t="shared" si="3"/>
        <v>27100</v>
      </c>
      <c r="P6" s="8"/>
      <c r="Q6" s="9"/>
      <c r="R6" s="9"/>
      <c r="S6" s="48"/>
      <c r="T6" s="21">
        <f t="shared" si="4"/>
        <v>56500</v>
      </c>
      <c r="U6" s="53">
        <f>IF($J6="","",ROUND(($J6-$J$3)/1000,1)+(_xlfn.RANK.AVG($J6,($J6,$O6,$T6),1)-2)*20)</f>
        <v>-33.6</v>
      </c>
      <c r="V6" s="54">
        <f>IF($O6="","",ROUND(($O6-$O$3)/1000,1)+(_xlfn.RANK.AVG($O6,($J6,$O6,$T6),1)-2)*20)</f>
        <v>-7.9</v>
      </c>
      <c r="W6" s="55">
        <f>IF($T6="","",ROUND(($T6-$T$3)/1000,1)+(_xlfn.RANK.AVG($T6,($J6,$O6,$T6),1)-2)*20)</f>
        <v>41.5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86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195</v>
      </c>
      <c r="G7" s="9">
        <v>-7500</v>
      </c>
      <c r="H7" s="9"/>
      <c r="I7" s="48">
        <v>0</v>
      </c>
      <c r="J7" s="21">
        <f t="shared" si="2"/>
        <v>13900</v>
      </c>
      <c r="K7" s="8" t="s">
        <v>194</v>
      </c>
      <c r="L7" s="9">
        <v>12000</v>
      </c>
      <c r="M7" s="9"/>
      <c r="N7" s="48">
        <v>0</v>
      </c>
      <c r="O7" s="21">
        <f t="shared" si="3"/>
        <v>39100</v>
      </c>
      <c r="P7" s="8" t="s">
        <v>195</v>
      </c>
      <c r="Q7" s="9">
        <v>-4500</v>
      </c>
      <c r="R7" s="9"/>
      <c r="S7" s="48">
        <v>0</v>
      </c>
      <c r="T7" s="21">
        <f t="shared" si="4"/>
        <v>52000</v>
      </c>
      <c r="U7" s="53">
        <f>IF($J7="","",ROUND(($J7-$J$3)/1000,1)+(_xlfn.RANK.AVG($J7,($J7,$O7,$T7),1)-2)*20)</f>
        <v>-41.1</v>
      </c>
      <c r="V7" s="54">
        <f>IF($O7="","",ROUND(($O7-$O$3)/1000,1)+(_xlfn.RANK.AVG($O7,($J7,$O7,$T7),1)-2)*20)</f>
        <v>4.0999999999999996</v>
      </c>
      <c r="W7" s="55">
        <f>IF($T7="","",ROUND(($T7-$T$3)/1000,1)+(_xlfn.RANK.AVG($T7,($J7,$O7,$T7),1)-2)*20)</f>
        <v>37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196</v>
      </c>
      <c r="AZ7" s="40" t="s">
        <v>86</v>
      </c>
      <c r="BA7" s="41" t="s">
        <v>79</v>
      </c>
      <c r="BB7" s="41" t="s">
        <v>79</v>
      </c>
      <c r="BC7" s="41" t="s">
        <v>79</v>
      </c>
      <c r="BD7" s="41" t="s">
        <v>79</v>
      </c>
      <c r="BE7" s="41" t="s">
        <v>89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195</v>
      </c>
      <c r="G8" s="9">
        <v>-500</v>
      </c>
      <c r="H8" s="9"/>
      <c r="I8" s="48">
        <v>0</v>
      </c>
      <c r="J8" s="21">
        <f t="shared" si="2"/>
        <v>13400</v>
      </c>
      <c r="K8" s="8" t="s">
        <v>195</v>
      </c>
      <c r="L8" s="9">
        <v>-700</v>
      </c>
      <c r="M8" s="9">
        <v>-1000</v>
      </c>
      <c r="N8" s="48">
        <v>0</v>
      </c>
      <c r="O8" s="21">
        <f t="shared" si="3"/>
        <v>37400</v>
      </c>
      <c r="P8" s="8" t="s">
        <v>194</v>
      </c>
      <c r="Q8" s="9">
        <v>1200</v>
      </c>
      <c r="R8" s="9">
        <v>1000</v>
      </c>
      <c r="S8" s="48">
        <v>0</v>
      </c>
      <c r="T8" s="21">
        <f t="shared" si="4"/>
        <v>54200</v>
      </c>
      <c r="U8" s="53">
        <f>IF($J8="","",ROUND(($J8-$J$3)/1000,1)+(_xlfn.RANK.AVG($J8,($J8,$O8,$T8),1)-2)*20)</f>
        <v>-41.6</v>
      </c>
      <c r="V8" s="54">
        <f>IF($O8="","",ROUND(($O8-$O$3)/1000,1)+(_xlfn.RANK.AVG($O8,($J8,$O8,$T8),1)-2)*20)</f>
        <v>2.4</v>
      </c>
      <c r="W8" s="55">
        <f>IF($T8="","",ROUND(($T8-$T$3)/1000,1)+(_xlfn.RANK.AVG($T8,($J8,$O8,$T8),1)-2)*20)</f>
        <v>39.200000000000003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13400</v>
      </c>
      <c r="K9" s="8" t="s">
        <v>199</v>
      </c>
      <c r="L9" s="9">
        <v>-48000</v>
      </c>
      <c r="M9" s="9"/>
      <c r="N9" s="48">
        <v>0</v>
      </c>
      <c r="O9" s="21">
        <f t="shared" si="3"/>
        <v>-10600</v>
      </c>
      <c r="P9" s="8" t="s">
        <v>198</v>
      </c>
      <c r="Q9" s="9">
        <v>48000</v>
      </c>
      <c r="R9" s="9"/>
      <c r="S9" s="48">
        <v>0</v>
      </c>
      <c r="T9" s="21">
        <f t="shared" si="4"/>
        <v>102200</v>
      </c>
      <c r="U9" s="53">
        <f>IF($J9="","",ROUND(($J9-$J$3)/1000,1)+(_xlfn.RANK.AVG($J9,($J9,$O9,$T9),1)-2)*20)</f>
        <v>-21.6</v>
      </c>
      <c r="V9" s="54">
        <f>IF($O9="","",ROUND(($O9-$O$3)/1000,1)+(_xlfn.RANK.AVG($O9,($J9,$O9,$T9),1)-2)*20)</f>
        <v>-65.599999999999994</v>
      </c>
      <c r="W9" s="55">
        <f>IF($T9="","",ROUND(($T9-$T$3)/1000,1)+(_xlfn.RANK.AVG($T9,($J9,$O9,$T9),1)-2)*20)</f>
        <v>87.2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13</v>
      </c>
      <c r="BT9" s="30" t="s">
        <v>196</v>
      </c>
      <c r="BU9" s="40" t="s">
        <v>107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disablePrompts="1" count="3">
    <dataValidation type="list" allowBlank="1" showInputMessage="1" sqref="F1:T1" xr:uid="{C5BF65D6-BE52-4340-B1FB-05F6BB959C1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C4DE7292-22F1-4F91-AD41-A5D07AC94F7F}">
      <formula1>"ロン,ツモ,放銃,ツモ支払,流局,チョンボ"</formula1>
    </dataValidation>
    <dataValidation type="list" allowBlank="1" showInputMessage="1" showErrorMessage="1" sqref="E4:E30" xr:uid="{5B265691-E6F2-4827-A887-EDB54682D01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09E4-7615-4896-8F57-E0E5A5852207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195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195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25.3</v>
      </c>
      <c r="W4" s="55">
        <f>IF($T4="","",ROUND(($T4-$T$3)/1000,1)+(_xlfn.RANK.AVG($T4,($J4,$O4,$T4),1)-2)*20)</f>
        <v>-2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197</v>
      </c>
      <c r="BA4" s="41" t="s">
        <v>82</v>
      </c>
      <c r="BB4" s="41" t="s">
        <v>83</v>
      </c>
      <c r="BC4" s="41" t="s">
        <v>200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195</v>
      </c>
      <c r="G5" s="9">
        <v>-1500</v>
      </c>
      <c r="H5" s="9"/>
      <c r="I5" s="48">
        <v>0</v>
      </c>
      <c r="J5" s="21">
        <f t="shared" ref="J5:J30" si="2">IF(COUNTA($F5,$K5,$P5)&gt;0,J4+SUM(G5:I5),"")</f>
        <v>30200</v>
      </c>
      <c r="K5" s="8" t="s">
        <v>195</v>
      </c>
      <c r="L5" s="9">
        <v>-2500</v>
      </c>
      <c r="M5" s="9"/>
      <c r="N5" s="48">
        <v>0</v>
      </c>
      <c r="O5" s="21">
        <f t="shared" ref="O5:O30" si="3">IF(COUNTA($F5,$K5,$P5)&gt;0,O4+SUM(L5:N5),"")</f>
        <v>37800</v>
      </c>
      <c r="P5" s="8" t="s">
        <v>194</v>
      </c>
      <c r="Q5" s="9">
        <v>4000</v>
      </c>
      <c r="R5" s="9"/>
      <c r="S5" s="48">
        <v>0</v>
      </c>
      <c r="T5" s="21">
        <f t="shared" ref="T5:T30" si="4">IF(COUNTA($F5,$K5,$P5)&gt;0,T4+SUM(Q5:S5),"")</f>
        <v>37000</v>
      </c>
      <c r="U5" s="53">
        <f>IF($J5="","",ROUND(($J5-$J$3)/1000,1)+(_xlfn.RANK.AVG($J5,($J5,$O5,$T5),1)-2)*20)</f>
        <v>-24.8</v>
      </c>
      <c r="V5" s="54">
        <f>IF($O5="","",ROUND(($O5-$O$3)/1000,1)+(_xlfn.RANK.AVG($O5,($J5,$O5,$T5),1)-2)*20)</f>
        <v>22.8</v>
      </c>
      <c r="W5" s="55">
        <f>IF($T5="","",ROUND(($T5-$T$3)/1000,1)+(_xlfn.RANK.AVG($T5,($J5,$O5,$T5),1)-2)*20)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197</v>
      </c>
      <c r="BV5" s="41" t="s">
        <v>82</v>
      </c>
      <c r="BW5" s="41" t="s">
        <v>200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23200</v>
      </c>
      <c r="K6" s="8" t="s">
        <v>194</v>
      </c>
      <c r="L6" s="9">
        <v>16000</v>
      </c>
      <c r="M6" s="9">
        <v>1000</v>
      </c>
      <c r="N6" s="48">
        <v>0</v>
      </c>
      <c r="O6" s="21">
        <f t="shared" si="3"/>
        <v>54800</v>
      </c>
      <c r="P6" s="8" t="s">
        <v>195</v>
      </c>
      <c r="Q6" s="9">
        <v>-10000</v>
      </c>
      <c r="R6" s="9"/>
      <c r="S6" s="48">
        <v>0</v>
      </c>
      <c r="T6" s="21">
        <f t="shared" si="4"/>
        <v>27000</v>
      </c>
      <c r="U6" s="53">
        <f>IF($J6="","",ROUND(($J6-$J$3)/1000,1)+(_xlfn.RANK.AVG($J6,($J6,$O6,$T6),1)-2)*20)</f>
        <v>-31.8</v>
      </c>
      <c r="V6" s="54">
        <f>IF($O6="","",ROUND(($O6-$O$3)/1000,1)+(_xlfn.RANK.AVG($O6,($J6,$O6,$T6),1)-2)*20)</f>
        <v>39.799999999999997</v>
      </c>
      <c r="W6" s="55">
        <f>IF($T6="","",ROUND(($T6-$T$3)/1000,1)+(_xlfn.RANK.AVG($T6,($J6,$O6,$T6),1)-2)*20)</f>
        <v>-8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10</v>
      </c>
      <c r="AY6" s="30" t="s">
        <v>196</v>
      </c>
      <c r="AZ6" s="40" t="s">
        <v>96</v>
      </c>
      <c r="BA6" s="41" t="s">
        <v>98</v>
      </c>
      <c r="BB6" s="41" t="s">
        <v>104</v>
      </c>
      <c r="BC6" s="41" t="s">
        <v>86</v>
      </c>
      <c r="BD6" s="41" t="s">
        <v>86</v>
      </c>
      <c r="BE6" s="41" t="s">
        <v>79</v>
      </c>
      <c r="BF6" s="41" t="s">
        <v>79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198</v>
      </c>
      <c r="G7" s="9">
        <v>2000</v>
      </c>
      <c r="H7" s="9">
        <v>1000</v>
      </c>
      <c r="I7" s="48">
        <v>0</v>
      </c>
      <c r="J7" s="21">
        <f t="shared" si="2"/>
        <v>26200</v>
      </c>
      <c r="K7" s="8" t="s">
        <v>199</v>
      </c>
      <c r="L7" s="9">
        <v>-2000</v>
      </c>
      <c r="M7" s="9">
        <v>-1000</v>
      </c>
      <c r="N7" s="48">
        <v>0</v>
      </c>
      <c r="O7" s="21">
        <f t="shared" si="3"/>
        <v>51800</v>
      </c>
      <c r="P7" s="8"/>
      <c r="Q7" s="9"/>
      <c r="R7" s="9"/>
      <c r="S7" s="48"/>
      <c r="T7" s="21">
        <f t="shared" si="4"/>
        <v>27000</v>
      </c>
      <c r="U7" s="53">
        <f>IF($J7="","",ROUND(($J7-$J$3)/1000,1)+(_xlfn.RANK.AVG($J7,($J7,$O7,$T7),1)-2)*20)</f>
        <v>-28.8</v>
      </c>
      <c r="V7" s="54">
        <f>IF($O7="","",ROUND(($O7-$O$3)/1000,1)+(_xlfn.RANK.AVG($O7,($J7,$O7,$T7),1)-2)*20)</f>
        <v>36.799999999999997</v>
      </c>
      <c r="W7" s="55">
        <f>IF($T7="","",ROUND(($T7-$T$3)/1000,1)+(_xlfn.RANK.AVG($T7,($J7,$O7,$T7),1)-2)*20)</f>
        <v>-8</v>
      </c>
      <c r="Y7" s="8"/>
      <c r="Z7" s="34"/>
      <c r="AA7" s="26"/>
      <c r="AB7" s="26"/>
      <c r="AC7" s="26">
        <v>1</v>
      </c>
      <c r="AD7" s="30">
        <v>40</v>
      </c>
      <c r="AE7" s="40" t="s">
        <v>85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まっつん</v>
      </c>
      <c r="F8" s="8" t="s">
        <v>195</v>
      </c>
      <c r="G8" s="9">
        <v>-5000</v>
      </c>
      <c r="H8" s="9"/>
      <c r="I8" s="48">
        <v>-500</v>
      </c>
      <c r="J8" s="21">
        <f t="shared" si="2"/>
        <v>20700</v>
      </c>
      <c r="K8" s="8" t="s">
        <v>195</v>
      </c>
      <c r="L8" s="9">
        <v>-3000</v>
      </c>
      <c r="M8" s="9"/>
      <c r="N8" s="48">
        <v>-500</v>
      </c>
      <c r="O8" s="21">
        <f t="shared" si="3"/>
        <v>48300</v>
      </c>
      <c r="P8" s="8" t="s">
        <v>194</v>
      </c>
      <c r="Q8" s="9">
        <v>8000</v>
      </c>
      <c r="R8" s="9"/>
      <c r="S8" s="48">
        <v>1000</v>
      </c>
      <c r="T8" s="21">
        <f t="shared" si="4"/>
        <v>36000</v>
      </c>
      <c r="U8" s="53">
        <f>IF($J8="","",ROUND(($J8-$J$3)/1000,1)+(_xlfn.RANK.AVG($J8,($J8,$O8,$T8),1)-2)*20)</f>
        <v>-34.299999999999997</v>
      </c>
      <c r="V8" s="54">
        <f>IF($O8="","",ROUND(($O8-$O$3)/1000,1)+(_xlfn.RANK.AVG($O8,($J8,$O8,$T8),1)-2)*20)</f>
        <v>33.299999999999997</v>
      </c>
      <c r="W8" s="55">
        <f>IF($T8="","",ROUND(($T8-$T$3)/1000,1)+(_xlfn.RANK.AVG($T8,($J8,$O8,$T8),1)-2)*20)</f>
        <v>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196</v>
      </c>
      <c r="BU8" s="40" t="s">
        <v>197</v>
      </c>
      <c r="BV8" s="41" t="s">
        <v>82</v>
      </c>
      <c r="BW8" s="41" t="s">
        <v>83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/>
      <c r="G9" s="9"/>
      <c r="H9" s="9"/>
      <c r="I9" s="48"/>
      <c r="J9" s="21">
        <f t="shared" si="2"/>
        <v>20700</v>
      </c>
      <c r="K9" s="8" t="s">
        <v>198</v>
      </c>
      <c r="L9" s="9">
        <v>2400</v>
      </c>
      <c r="M9" s="9">
        <v>1000</v>
      </c>
      <c r="N9" s="48">
        <v>0</v>
      </c>
      <c r="O9" s="21">
        <f t="shared" si="3"/>
        <v>51700</v>
      </c>
      <c r="P9" s="8" t="s">
        <v>199</v>
      </c>
      <c r="Q9" s="9">
        <v>-2400</v>
      </c>
      <c r="R9" s="9">
        <v>-1000</v>
      </c>
      <c r="S9" s="48">
        <v>0</v>
      </c>
      <c r="T9" s="21">
        <f t="shared" si="4"/>
        <v>32600</v>
      </c>
      <c r="U9" s="53">
        <f>IF($J9="","",ROUND(($J9-$J$3)/1000,1)+(_xlfn.RANK.AVG($J9,($J9,$O9,$T9),1)-2)*20)</f>
        <v>-34.299999999999997</v>
      </c>
      <c r="V9" s="54">
        <f>IF($O9="","",ROUND(($O9-$O$3)/1000,1)+(_xlfn.RANK.AVG($O9,($J9,$O9,$T9),1)-2)*20)</f>
        <v>36.700000000000003</v>
      </c>
      <c r="W9" s="55">
        <f>IF($T9="","",ROUND(($T9-$T$3)/1000,1)+(_xlfn.RANK.AVG($T9,($J9,$O9,$T9),1)-2)*20)</f>
        <v>-2.4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50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りくと</v>
      </c>
      <c r="F10" s="8" t="s">
        <v>195</v>
      </c>
      <c r="G10" s="9">
        <v>-2000</v>
      </c>
      <c r="H10" s="9"/>
      <c r="I10" s="48">
        <v>-500</v>
      </c>
      <c r="J10" s="21">
        <f t="shared" si="2"/>
        <v>18200</v>
      </c>
      <c r="K10" s="8" t="s">
        <v>195</v>
      </c>
      <c r="L10" s="9">
        <v>-3300</v>
      </c>
      <c r="M10" s="9"/>
      <c r="N10" s="48">
        <v>-500</v>
      </c>
      <c r="O10" s="21">
        <f t="shared" si="3"/>
        <v>47900</v>
      </c>
      <c r="P10" s="8" t="s">
        <v>194</v>
      </c>
      <c r="Q10" s="9">
        <v>5300</v>
      </c>
      <c r="R10" s="9"/>
      <c r="S10" s="48">
        <v>1000</v>
      </c>
      <c r="T10" s="21">
        <f t="shared" si="4"/>
        <v>38900</v>
      </c>
      <c r="U10" s="53">
        <f>IF($J10="","",ROUND(($J10-$J$3)/1000,1)+(_xlfn.RANK.AVG($J10,($J10,$O10,$T10),1)-2)*20)</f>
        <v>-36.799999999999997</v>
      </c>
      <c r="V10" s="54">
        <f>IF($O10="","",ROUND(($O10-$O$3)/1000,1)+(_xlfn.RANK.AVG($O10,($J10,$O10,$T10),1)-2)*20)</f>
        <v>32.9</v>
      </c>
      <c r="W10" s="55">
        <f>IF($T10="","",ROUND(($T10-$T$3)/1000,1)+(_xlfn.RANK.AVG($T10,($J10,$O10,$T10),1)-2)*20)</f>
        <v>3.9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197</v>
      </c>
      <c r="BV10" s="41" t="s">
        <v>82</v>
      </c>
      <c r="BW10" s="41" t="s">
        <v>200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194</v>
      </c>
      <c r="G11" s="9">
        <v>12000</v>
      </c>
      <c r="H11" s="9"/>
      <c r="I11" s="48">
        <v>0</v>
      </c>
      <c r="J11" s="21">
        <f t="shared" si="2"/>
        <v>30200</v>
      </c>
      <c r="K11" s="8" t="s">
        <v>195</v>
      </c>
      <c r="L11" s="9">
        <v>-4500</v>
      </c>
      <c r="M11" s="9"/>
      <c r="N11" s="48">
        <v>0</v>
      </c>
      <c r="O11" s="21">
        <f t="shared" si="3"/>
        <v>43400</v>
      </c>
      <c r="P11" s="8" t="s">
        <v>195</v>
      </c>
      <c r="Q11" s="9">
        <v>-7500</v>
      </c>
      <c r="R11" s="9"/>
      <c r="S11" s="48">
        <v>0</v>
      </c>
      <c r="T11" s="21">
        <f t="shared" si="4"/>
        <v>31400</v>
      </c>
      <c r="U11" s="53">
        <f>IF($J11="","",ROUND(($J11-$J$3)/1000,1)+(_xlfn.RANK.AVG($J11,($J11,$O11,$T11),1)-2)*20)</f>
        <v>-24.8</v>
      </c>
      <c r="V11" s="54">
        <f>IF($O11="","",ROUND(($O11-$O$3)/1000,1)+(_xlfn.RANK.AVG($O11,($J11,$O11,$T11),1)-2)*20)</f>
        <v>28.4</v>
      </c>
      <c r="W11" s="55">
        <f>IF($T11="","",ROUND(($T11-$T$3)/1000,1)+(_xlfn.RANK.AVG($T11,($J11,$O11,$T11),1)-2)*20)</f>
        <v>-3.6</v>
      </c>
      <c r="Y11" s="8"/>
      <c r="Z11" s="34"/>
      <c r="AA11" s="26">
        <v>1</v>
      </c>
      <c r="AB11" s="26"/>
      <c r="AC11" s="26">
        <v>7</v>
      </c>
      <c r="AD11" s="30" t="s">
        <v>196</v>
      </c>
      <c r="AE11" s="40" t="s">
        <v>197</v>
      </c>
      <c r="AF11" s="41" t="s">
        <v>82</v>
      </c>
      <c r="AG11" s="41" t="s">
        <v>204</v>
      </c>
      <c r="AH11" s="41" t="s">
        <v>96</v>
      </c>
      <c r="AI11" s="41" t="s">
        <v>86</v>
      </c>
      <c r="AJ11" s="41" t="s">
        <v>200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2616F959-9C60-4440-9C78-28459BF3C99B}">
      <formula1>$U$2:$W$2</formula1>
    </dataValidation>
    <dataValidation type="list" showInputMessage="1" showErrorMessage="1" sqref="K4:K30 P4:P30 F4:F30" xr:uid="{86CF5A27-B672-48CA-ABE9-6EAB19B9F032}">
      <formula1>"ロン,ツモ,放銃,ツモ支払,流局,チョンボ"</formula1>
    </dataValidation>
    <dataValidation type="list" allowBlank="1" showInputMessage="1" sqref="F1:T1" xr:uid="{9903871E-61ED-4734-9B9F-4316FB4249A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8D3C1-19CA-4F48-A8A5-90FCF781E1B6}">
  <sheetPr codeName="Sheet2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りくと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>
        <v>1</v>
      </c>
      <c r="AB4" s="26"/>
      <c r="AC4" s="26">
        <v>5</v>
      </c>
      <c r="AD4" s="30" t="s">
        <v>196</v>
      </c>
      <c r="AE4" s="40" t="s">
        <v>197</v>
      </c>
      <c r="AF4" s="41" t="s">
        <v>82</v>
      </c>
      <c r="AG4" s="41" t="s">
        <v>200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 t="s">
        <v>195</v>
      </c>
      <c r="G5" s="9">
        <v>-4800</v>
      </c>
      <c r="H5" s="9"/>
      <c r="I5" s="48">
        <v>-500</v>
      </c>
      <c r="J5" s="21">
        <f t="shared" ref="J5:J30" si="2">IF(COUNTA($F5,$K5,$P5)&gt;0,J4+SUM(G5:I5),"")</f>
        <v>41700</v>
      </c>
      <c r="K5" s="8" t="s">
        <v>194</v>
      </c>
      <c r="L5" s="9">
        <v>7700</v>
      </c>
      <c r="M5" s="9"/>
      <c r="N5" s="48">
        <v>1000</v>
      </c>
      <c r="O5" s="21">
        <f t="shared" ref="O5:O30" si="3">IF(COUNTA($F5,$K5,$P5)&gt;0,O4+SUM(L5:N5),"")</f>
        <v>37700</v>
      </c>
      <c r="P5" s="8" t="s">
        <v>195</v>
      </c>
      <c r="Q5" s="9">
        <v>-2900</v>
      </c>
      <c r="R5" s="9"/>
      <c r="S5" s="48">
        <v>-500</v>
      </c>
      <c r="T5" s="21">
        <f t="shared" ref="T5:T30" si="4">IF(COUNTA($F5,$K5,$P5)&gt;0,T4+SUM(Q5:S5),"")</f>
        <v>25600</v>
      </c>
      <c r="U5" s="53">
        <f>IF($J5="","",ROUND(($J5-$J$3)/1000,1)+(_xlfn.RANK.AVG($J5,($J5,$O5,$T5),1)-2)*20)</f>
        <v>26.7</v>
      </c>
      <c r="V5" s="54">
        <f>IF($O5="","",ROUND(($O5-$O$3)/1000,1)+(_xlfn.RANK.AVG($O5,($J5,$O5,$T5),1)-2)*20)</f>
        <v>2.7</v>
      </c>
      <c r="W5" s="55">
        <f>IF($T5="","",ROUND(($T5-$T$3)/1000,1)+(_xlfn.RANK.AVG($T5,($J5,$O5,$T5),1)-2)*20)</f>
        <v>-29.4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82</v>
      </c>
      <c r="BA5" s="41" t="s">
        <v>85</v>
      </c>
      <c r="BB5" s="41" t="s">
        <v>200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199</v>
      </c>
      <c r="G6" s="9">
        <v>-3900</v>
      </c>
      <c r="H6" s="9">
        <v>-1000</v>
      </c>
      <c r="I6" s="48">
        <v>0</v>
      </c>
      <c r="J6" s="21">
        <f t="shared" si="2"/>
        <v>36800</v>
      </c>
      <c r="K6" s="8" t="s">
        <v>198</v>
      </c>
      <c r="L6" s="9">
        <v>3900</v>
      </c>
      <c r="M6" s="9">
        <v>1000</v>
      </c>
      <c r="N6" s="48">
        <v>0</v>
      </c>
      <c r="O6" s="21">
        <f t="shared" si="3"/>
        <v>42600</v>
      </c>
      <c r="P6" s="8"/>
      <c r="Q6" s="9"/>
      <c r="R6" s="9"/>
      <c r="S6" s="48"/>
      <c r="T6" s="21">
        <f t="shared" si="4"/>
        <v>25600</v>
      </c>
      <c r="U6" s="53">
        <f>IF($J6="","",ROUND(($J6-$J$3)/1000,1)+(_xlfn.RANK.AVG($J6,($J6,$O6,$T6),1)-2)*20)</f>
        <v>1.8</v>
      </c>
      <c r="V6" s="54">
        <f>IF($O6="","",ROUND(($O6-$O$3)/1000,1)+(_xlfn.RANK.AVG($O6,($J6,$O6,$T6),1)-2)*20)</f>
        <v>27.6</v>
      </c>
      <c r="W6" s="55">
        <f>IF($T6="","",ROUND(($T6-$T$3)/1000,1)+(_xlfn.RANK.AVG($T6,($J6,$O6,$T6),1)-2)*20)</f>
        <v>-29.4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197</v>
      </c>
      <c r="BA6" s="41" t="s">
        <v>204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りくと</v>
      </c>
      <c r="F7" s="8" t="s">
        <v>195</v>
      </c>
      <c r="G7" s="9">
        <v>-9000</v>
      </c>
      <c r="H7" s="9"/>
      <c r="I7" s="48">
        <v>-500</v>
      </c>
      <c r="J7" s="21">
        <f t="shared" si="2"/>
        <v>27300</v>
      </c>
      <c r="K7" s="8" t="s">
        <v>194</v>
      </c>
      <c r="L7" s="9">
        <v>18000</v>
      </c>
      <c r="M7" s="9"/>
      <c r="N7" s="48">
        <v>1000</v>
      </c>
      <c r="O7" s="21">
        <f t="shared" si="3"/>
        <v>61600</v>
      </c>
      <c r="P7" s="8" t="s">
        <v>195</v>
      </c>
      <c r="Q7" s="9">
        <v>-9000</v>
      </c>
      <c r="R7" s="9"/>
      <c r="S7" s="48">
        <v>-500</v>
      </c>
      <c r="T7" s="21">
        <f t="shared" si="4"/>
        <v>16100</v>
      </c>
      <c r="U7" s="53">
        <f>IF($J7="","",ROUND(($J7-$J$3)/1000,1)+(_xlfn.RANK.AVG($J7,($J7,$O7,$T7),1)-2)*20)</f>
        <v>-7.7</v>
      </c>
      <c r="V7" s="54">
        <f>IF($O7="","",ROUND(($O7-$O$3)/1000,1)+(_xlfn.RANK.AVG($O7,($J7,$O7,$T7),1)-2)*20)</f>
        <v>46.6</v>
      </c>
      <c r="W7" s="55">
        <f>IF($T7="","",ROUND(($T7-$T$3)/1000,1)+(_xlfn.RANK.AVG($T7,($J7,$O7,$T7),1)-2)*20)</f>
        <v>-38.9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196</v>
      </c>
      <c r="AZ7" s="40" t="s">
        <v>197</v>
      </c>
      <c r="BA7" s="41" t="s">
        <v>82</v>
      </c>
      <c r="BB7" s="41" t="s">
        <v>204</v>
      </c>
      <c r="BC7" s="41" t="s">
        <v>101</v>
      </c>
      <c r="BD7" s="41" t="s">
        <v>200</v>
      </c>
      <c r="BE7" s="41" t="s">
        <v>200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りくと</v>
      </c>
      <c r="F8" s="8" t="s">
        <v>198</v>
      </c>
      <c r="G8" s="9">
        <v>3900</v>
      </c>
      <c r="H8" s="9"/>
      <c r="I8" s="48">
        <v>2000</v>
      </c>
      <c r="J8" s="21">
        <f t="shared" si="2"/>
        <v>33200</v>
      </c>
      <c r="K8" s="8" t="s">
        <v>199</v>
      </c>
      <c r="L8" s="9">
        <v>-3900</v>
      </c>
      <c r="M8" s="9"/>
      <c r="N8" s="48">
        <v>-2000</v>
      </c>
      <c r="O8" s="21">
        <f t="shared" si="3"/>
        <v>55700</v>
      </c>
      <c r="P8" s="8"/>
      <c r="Q8" s="9"/>
      <c r="R8" s="9"/>
      <c r="S8" s="48"/>
      <c r="T8" s="21">
        <f t="shared" si="4"/>
        <v>16100</v>
      </c>
      <c r="U8" s="53">
        <f>IF($J8="","",ROUND(($J8-$J$3)/1000,1)+(_xlfn.RANK.AVG($J8,($J8,$O8,$T8),1)-2)*20)</f>
        <v>-1.8</v>
      </c>
      <c r="V8" s="54">
        <f>IF($O8="","",ROUND(($O8-$O$3)/1000,1)+(_xlfn.RANK.AVG($O8,($J8,$O8,$T8),1)-2)*20)</f>
        <v>40.700000000000003</v>
      </c>
      <c r="W8" s="55">
        <f>IF($T8="","",ROUND(($T8-$T$3)/1000,1)+(_xlfn.RANK.AVG($T8,($J8,$O8,$T8),1)-2)*20)</f>
        <v>-38.9</v>
      </c>
      <c r="Y8" s="8"/>
      <c r="Z8" s="34"/>
      <c r="AA8" s="26"/>
      <c r="AB8" s="26">
        <v>1</v>
      </c>
      <c r="AC8" s="26">
        <v>2</v>
      </c>
      <c r="AD8" s="30">
        <v>60</v>
      </c>
      <c r="AE8" s="40" t="s">
        <v>86</v>
      </c>
      <c r="AF8" s="41" t="s">
        <v>200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>
        <v>-1000</v>
      </c>
      <c r="I9" s="48"/>
      <c r="J9" s="21">
        <f t="shared" si="2"/>
        <v>32200</v>
      </c>
      <c r="K9" s="8" t="s">
        <v>199</v>
      </c>
      <c r="L9" s="9">
        <v>-18000</v>
      </c>
      <c r="M9" s="9"/>
      <c r="N9" s="48">
        <v>0</v>
      </c>
      <c r="O9" s="21">
        <f t="shared" si="3"/>
        <v>37700</v>
      </c>
      <c r="P9" s="8" t="s">
        <v>198</v>
      </c>
      <c r="Q9" s="9">
        <v>18000</v>
      </c>
      <c r="R9" s="9">
        <v>1000</v>
      </c>
      <c r="S9" s="48">
        <v>0</v>
      </c>
      <c r="T9" s="21">
        <f t="shared" si="4"/>
        <v>35100</v>
      </c>
      <c r="U9" s="53">
        <f>IF($J9="","",ROUND(($J9-$J$3)/1000,1)+(_xlfn.RANK.AVG($J9,($J9,$O9,$T9),1)-2)*20)</f>
        <v>-22.8</v>
      </c>
      <c r="V9" s="54">
        <f>IF($O9="","",ROUND(($O9-$O$3)/1000,1)+(_xlfn.RANK.AVG($O9,($J9,$O9,$T9),1)-2)*20)</f>
        <v>22.7</v>
      </c>
      <c r="W9" s="55">
        <f>IF($T9="","",ROUND(($T9-$T$3)/1000,1)+(_xlfn.RANK.AVG($T9,($J9,$O9,$T9),1)-2)*20)</f>
        <v>0.1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196</v>
      </c>
      <c r="BU9" s="40" t="s">
        <v>197</v>
      </c>
      <c r="BV9" s="41" t="s">
        <v>92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 t="s">
        <v>198</v>
      </c>
      <c r="G10" s="9">
        <v>12000</v>
      </c>
      <c r="H10" s="9"/>
      <c r="I10" s="48">
        <v>1000</v>
      </c>
      <c r="J10" s="21">
        <f t="shared" si="2"/>
        <v>45200</v>
      </c>
      <c r="K10" s="8"/>
      <c r="L10" s="9"/>
      <c r="M10" s="9"/>
      <c r="N10" s="48"/>
      <c r="O10" s="21">
        <f t="shared" si="3"/>
        <v>37700</v>
      </c>
      <c r="P10" s="8" t="s">
        <v>199</v>
      </c>
      <c r="Q10" s="9">
        <v>-12000</v>
      </c>
      <c r="R10" s="9"/>
      <c r="S10" s="48">
        <v>-1000</v>
      </c>
      <c r="T10" s="21">
        <f t="shared" si="4"/>
        <v>22100</v>
      </c>
      <c r="U10" s="53">
        <f>IF($J10="","",ROUND(($J10-$J$3)/1000,1)+(_xlfn.RANK.AVG($J10,($J10,$O10,$T10),1)-2)*20)</f>
        <v>30.2</v>
      </c>
      <c r="V10" s="54">
        <f>IF($O10="","",ROUND(($O10-$O$3)/1000,1)+(_xlfn.RANK.AVG($O10,($J10,$O10,$T10),1)-2)*20)</f>
        <v>2.7</v>
      </c>
      <c r="W10" s="55">
        <f>IF($T10="","",ROUND(($T10-$T$3)/1000,1)+(_xlfn.RANK.AVG($T10,($J10,$O10,$T10),1)-2)*20)</f>
        <v>-32.9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197</v>
      </c>
      <c r="AF10" s="41" t="s">
        <v>84</v>
      </c>
      <c r="AG10" s="41" t="s">
        <v>200</v>
      </c>
      <c r="AH10" s="41" t="s">
        <v>200</v>
      </c>
      <c r="AI10" s="41" t="s">
        <v>80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まっつん</v>
      </c>
      <c r="F11" s="8" t="s">
        <v>203</v>
      </c>
      <c r="G11" s="9">
        <v>0</v>
      </c>
      <c r="H11" s="9"/>
      <c r="I11" s="48"/>
      <c r="J11" s="21">
        <f t="shared" si="2"/>
        <v>45200</v>
      </c>
      <c r="K11" s="8" t="s">
        <v>203</v>
      </c>
      <c r="L11" s="9">
        <v>0</v>
      </c>
      <c r="M11" s="9"/>
      <c r="N11" s="48"/>
      <c r="O11" s="21">
        <f t="shared" si="3"/>
        <v>37700</v>
      </c>
      <c r="P11" s="8" t="s">
        <v>203</v>
      </c>
      <c r="Q11" s="9">
        <v>0</v>
      </c>
      <c r="R11" s="9"/>
      <c r="S11" s="48"/>
      <c r="T11" s="21">
        <f t="shared" si="4"/>
        <v>22100</v>
      </c>
      <c r="U11" s="53">
        <f>IF($J11="","",ROUND(($J11-$J$3)/1000,1)+(_xlfn.RANK.AVG($J11,($J11,$O11,$T11),1)-2)*20)</f>
        <v>30.2</v>
      </c>
      <c r="V11" s="54">
        <f>IF($O11="","",ROUND(($O11-$O$3)/1000,1)+(_xlfn.RANK.AVG($O11,($J11,$O11,$T11),1)-2)*20)</f>
        <v>2.7</v>
      </c>
      <c r="W11" s="55">
        <f>IF($T11="","",ROUND(($T11-$T$3)/1000,1)+(_xlfn.RANK.AVG($T11,($J11,$O11,$T11),1)-2)*20)</f>
        <v>-32.9</v>
      </c>
      <c r="Y11" s="8" t="s">
        <v>201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りくと</v>
      </c>
      <c r="F12" s="8" t="s">
        <v>199</v>
      </c>
      <c r="G12" s="9">
        <v>-11600</v>
      </c>
      <c r="H12" s="9"/>
      <c r="I12" s="48">
        <v>-1000</v>
      </c>
      <c r="J12" s="21">
        <f t="shared" si="2"/>
        <v>32600</v>
      </c>
      <c r="K12" s="8" t="s">
        <v>198</v>
      </c>
      <c r="L12" s="9">
        <v>11600</v>
      </c>
      <c r="M12" s="9"/>
      <c r="N12" s="48">
        <v>1000</v>
      </c>
      <c r="O12" s="21">
        <f t="shared" si="3"/>
        <v>50300</v>
      </c>
      <c r="P12" s="8"/>
      <c r="Q12" s="9"/>
      <c r="R12" s="9"/>
      <c r="S12" s="48"/>
      <c r="T12" s="21">
        <f t="shared" si="4"/>
        <v>22100</v>
      </c>
      <c r="U12" s="53">
        <f>IF($J12="","",ROUND(($J12-$J$3)/1000,1)+(_xlfn.RANK.AVG($J12,($J12,$O12,$T12),1)-2)*20)</f>
        <v>-2.4</v>
      </c>
      <c r="V12" s="54">
        <f>IF($O12="","",ROUND(($O12-$O$3)/1000,1)+(_xlfn.RANK.AVG($O12,($J12,$O12,$T12),1)-2)*20)</f>
        <v>35.299999999999997</v>
      </c>
      <c r="W12" s="55">
        <f>IF($T12="","",ROUND(($T12-$T$3)/1000,1)+(_xlfn.RANK.AVG($T12,($J12,$O12,$T12),1)-2)*20)</f>
        <v>-32.9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30</v>
      </c>
      <c r="AZ12" s="40" t="s">
        <v>86</v>
      </c>
      <c r="BA12" s="41" t="s">
        <v>79</v>
      </c>
      <c r="BB12" s="41" t="s">
        <v>79</v>
      </c>
      <c r="BC12" s="41" t="s">
        <v>200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IF($K$1="","",$K$1)</f>
        <v>りくと</v>
      </c>
      <c r="F13" s="8" t="s">
        <v>195</v>
      </c>
      <c r="G13" s="9">
        <v>-12000</v>
      </c>
      <c r="H13" s="9"/>
      <c r="I13" s="48">
        <v>-1000</v>
      </c>
      <c r="J13" s="21">
        <f t="shared" si="2"/>
        <v>19600</v>
      </c>
      <c r="K13" s="8" t="s">
        <v>194</v>
      </c>
      <c r="L13" s="9">
        <v>24000</v>
      </c>
      <c r="M13" s="9">
        <v>1000</v>
      </c>
      <c r="N13" s="48">
        <v>2000</v>
      </c>
      <c r="O13" s="21">
        <f t="shared" si="3"/>
        <v>77300</v>
      </c>
      <c r="P13" s="8" t="s">
        <v>195</v>
      </c>
      <c r="Q13" s="9">
        <v>-12000</v>
      </c>
      <c r="R13" s="9">
        <v>-1000</v>
      </c>
      <c r="S13" s="48">
        <v>-1000</v>
      </c>
      <c r="T13" s="21">
        <f t="shared" si="4"/>
        <v>8100</v>
      </c>
      <c r="U13" s="53">
        <f>IF($J13="","",ROUND(($J13-$J$3)/1000,1)+(_xlfn.RANK.AVG($J13,($J13,$O13,$T13),1)-2)*20)</f>
        <v>-15.4</v>
      </c>
      <c r="V13" s="54">
        <f>IF($O13="","",ROUND(($O13-$O$3)/1000,1)+(_xlfn.RANK.AVG($O13,($J13,$O13,$T13),1)-2)*20)</f>
        <v>62.3</v>
      </c>
      <c r="W13" s="55">
        <f>IF($T13="","",ROUND(($T13-$T$3)/1000,1)+(_xlfn.RANK.AVG($T13,($J13,$O13,$T13),1)-2)*20)</f>
        <v>-46.9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8</v>
      </c>
      <c r="AY13" s="30" t="s">
        <v>196</v>
      </c>
      <c r="AZ13" s="40" t="s">
        <v>104</v>
      </c>
      <c r="BA13" s="41" t="s">
        <v>82</v>
      </c>
      <c r="BB13" s="41" t="s">
        <v>86</v>
      </c>
      <c r="BC13" s="41" t="s">
        <v>86</v>
      </c>
      <c r="BD13" s="41" t="s">
        <v>84</v>
      </c>
      <c r="BE13" s="41" t="s">
        <v>200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tr">
        <f>IF($K$1="","",$K$1)</f>
        <v>りくと</v>
      </c>
      <c r="F14" s="8" t="s">
        <v>195</v>
      </c>
      <c r="G14" s="9">
        <v>-2000</v>
      </c>
      <c r="H14" s="9"/>
      <c r="I14" s="48">
        <v>-1500</v>
      </c>
      <c r="J14" s="21">
        <f t="shared" si="2"/>
        <v>16100</v>
      </c>
      <c r="K14" s="8" t="s">
        <v>194</v>
      </c>
      <c r="L14" s="9">
        <v>4000</v>
      </c>
      <c r="M14" s="9"/>
      <c r="N14" s="48">
        <v>3000</v>
      </c>
      <c r="O14" s="21">
        <f t="shared" si="3"/>
        <v>84300</v>
      </c>
      <c r="P14" s="8" t="s">
        <v>195</v>
      </c>
      <c r="Q14" s="9">
        <v>-2000</v>
      </c>
      <c r="R14" s="9"/>
      <c r="S14" s="48">
        <v>-1500</v>
      </c>
      <c r="T14" s="21">
        <f t="shared" si="4"/>
        <v>4600</v>
      </c>
      <c r="U14" s="53">
        <f>IF($J14="","",ROUND(($J14-$J$3)/1000,1)+(_xlfn.RANK.AVG($J14,($J14,$O14,$T14),1)-2)*20)</f>
        <v>-18.899999999999999</v>
      </c>
      <c r="V14" s="54">
        <f>IF($O14="","",ROUND(($O14-$O$3)/1000,1)+(_xlfn.RANK.AVG($O14,($J14,$O14,$T14),1)-2)*20)</f>
        <v>69.3</v>
      </c>
      <c r="W14" s="55">
        <f>IF($T14="","",ROUND(($T14-$T$3)/1000,1)+(_xlfn.RANK.AVG($T14,($J14,$O14,$T14),1)-2)*20)</f>
        <v>-50.4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3</v>
      </c>
      <c r="AY14" s="30">
        <v>20</v>
      </c>
      <c r="AZ14" s="40" t="s">
        <v>197</v>
      </c>
      <c r="BA14" s="41" t="s">
        <v>82</v>
      </c>
      <c r="BB14" s="41" t="s">
        <v>83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4</v>
      </c>
      <c r="D15" s="18">
        <f t="shared" si="1"/>
        <v>0</v>
      </c>
      <c r="E15" s="4" t="str">
        <f>IF($K$1="","",$K$1)</f>
        <v>りくと</v>
      </c>
      <c r="F15" s="8" t="s">
        <v>199</v>
      </c>
      <c r="G15" s="9">
        <v>-17200</v>
      </c>
      <c r="H15" s="9">
        <v>-1000</v>
      </c>
      <c r="I15" s="48">
        <v>-4000</v>
      </c>
      <c r="J15" s="21">
        <f t="shared" si="2"/>
        <v>-6100</v>
      </c>
      <c r="K15" s="8" t="s">
        <v>198</v>
      </c>
      <c r="L15" s="9">
        <v>12000</v>
      </c>
      <c r="M15" s="9">
        <v>1000</v>
      </c>
      <c r="N15" s="48">
        <v>4000</v>
      </c>
      <c r="O15" s="21">
        <f t="shared" si="3"/>
        <v>101300</v>
      </c>
      <c r="P15" s="8" t="s">
        <v>198</v>
      </c>
      <c r="Q15" s="9">
        <v>5200</v>
      </c>
      <c r="R15" s="9"/>
      <c r="S15" s="48"/>
      <c r="T15" s="21">
        <f t="shared" si="4"/>
        <v>9800</v>
      </c>
      <c r="U15" s="53">
        <f>IF($J15="","",ROUND(($J15-$J$3)/1000,1)+(_xlfn.RANK.AVG($J15,($J15,$O15,$T15),1)-2)*20)</f>
        <v>-61.1</v>
      </c>
      <c r="V15" s="54">
        <f>IF($O15="","",ROUND(($O15-$O$3)/1000,1)+(_xlfn.RANK.AVG($O15,($J15,$O15,$T15),1)-2)*20)</f>
        <v>86.3</v>
      </c>
      <c r="W15" s="55">
        <f>IF($T15="","",ROUND(($T15-$T$3)/1000,1)+(_xlfn.RANK.AVG($T15,($J15,$O15,$T15),1)-2)*20)</f>
        <v>-25.2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5</v>
      </c>
      <c r="AY15" s="30" t="s">
        <v>196</v>
      </c>
      <c r="AZ15" s="40" t="s">
        <v>86</v>
      </c>
      <c r="BA15" s="41" t="s">
        <v>200</v>
      </c>
      <c r="BB15" s="41" t="s">
        <v>79</v>
      </c>
      <c r="BC15" s="41" t="s">
        <v>79</v>
      </c>
      <c r="BD15" s="41" t="s">
        <v>79</v>
      </c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3</v>
      </c>
      <c r="BT15" s="30">
        <v>40</v>
      </c>
      <c r="BU15" s="40" t="s">
        <v>86</v>
      </c>
      <c r="BV15" s="41" t="s">
        <v>197</v>
      </c>
      <c r="BW15" s="41" t="s">
        <v>80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5</v>
      </c>
      <c r="D16" s="18">
        <f t="shared" si="1"/>
        <v>0</v>
      </c>
      <c r="E16" s="4" t="str">
        <f>IF($K$1="","",$K$1)</f>
        <v>りくと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DD81768-FE26-466A-881B-C9C923F5323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94ADC605-2AB1-44EE-8256-C6ED18F16F47}">
      <formula1>"ロン,ツモ,放銃,ツモ支払,流局,チョンボ"</formula1>
    </dataValidation>
    <dataValidation type="list" allowBlank="1" showInputMessage="1" showErrorMessage="1" sqref="E4:E30" xr:uid="{92EB68C8-F1D4-4807-9E7C-5D1380C8D23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cp:lastPrinted>2018-10-03T09:15:05Z</cp:lastPrinted>
  <dcterms:created xsi:type="dcterms:W3CDTF">2018-10-02T11:54:05Z</dcterms:created>
  <dcterms:modified xsi:type="dcterms:W3CDTF">2024-04-28T08:57:42Z</dcterms:modified>
</cp:coreProperties>
</file>