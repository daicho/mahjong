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EF4D20FF-B4B6-493E-9294-F79A0446D654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25" l="1"/>
  <c r="E10" i="25"/>
  <c r="C10" i="25" s="1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D10" i="25"/>
  <c r="C8" i="25"/>
  <c r="C7" i="25"/>
  <c r="D7" i="25"/>
  <c r="O6" i="25"/>
  <c r="O7" i="25" s="1"/>
  <c r="D6" i="25"/>
  <c r="C6" i="25"/>
  <c r="O5" i="25"/>
  <c r="J5" i="25"/>
  <c r="J6" i="25" s="1"/>
  <c r="D5" i="25"/>
  <c r="B5" i="25"/>
  <c r="T4" i="25"/>
  <c r="T5" i="25" s="1"/>
  <c r="O4" i="25"/>
  <c r="J4" i="25"/>
  <c r="W3" i="25"/>
  <c r="V3" i="25"/>
  <c r="U3" i="25"/>
  <c r="W2" i="25"/>
  <c r="V2" i="25"/>
  <c r="U2" i="25"/>
  <c r="BO1" i="25"/>
  <c r="AT1" i="25"/>
  <c r="Y1" i="25"/>
  <c r="U4" i="25" l="1"/>
  <c r="V4" i="25"/>
  <c r="O8" i="25"/>
  <c r="J7" i="25"/>
  <c r="T6" i="25"/>
  <c r="U6" i="25" s="1"/>
  <c r="W5" i="25"/>
  <c r="V5" i="25"/>
  <c r="B6" i="25"/>
  <c r="D8" i="25"/>
  <c r="C11" i="25"/>
  <c r="C12" i="25" s="1"/>
  <c r="C9" i="25"/>
  <c r="W4" i="25"/>
  <c r="B7" i="25"/>
  <c r="D9" i="25"/>
  <c r="A5" i="25"/>
  <c r="U5" i="25"/>
  <c r="C5" i="25"/>
  <c r="T7" i="25" l="1"/>
  <c r="W6" i="25"/>
  <c r="V6" i="25"/>
  <c r="J8" i="25"/>
  <c r="U7" i="25"/>
  <c r="A7" i="25"/>
  <c r="B8" i="25"/>
  <c r="A6" i="25"/>
  <c r="V7" i="25"/>
  <c r="O9" i="25"/>
  <c r="C13" i="24"/>
  <c r="E12" i="24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D12" i="24"/>
  <c r="C12" i="24"/>
  <c r="D10" i="24"/>
  <c r="C10" i="24"/>
  <c r="D9" i="24"/>
  <c r="C9" i="24"/>
  <c r="D7" i="24"/>
  <c r="T5" i="24"/>
  <c r="T6" i="24" s="1"/>
  <c r="O5" i="24"/>
  <c r="O6" i="24" s="1"/>
  <c r="J5" i="24"/>
  <c r="J6" i="24" s="1"/>
  <c r="D5" i="24"/>
  <c r="T4" i="24"/>
  <c r="O4" i="24"/>
  <c r="J4" i="24"/>
  <c r="U4" i="24" s="1"/>
  <c r="W3" i="24"/>
  <c r="V3" i="24"/>
  <c r="U3" i="24"/>
  <c r="W2" i="24"/>
  <c r="V2" i="24"/>
  <c r="U2" i="24"/>
  <c r="BO1" i="24"/>
  <c r="AT1" i="24"/>
  <c r="Y1" i="24"/>
  <c r="E12" i="23"/>
  <c r="E11" i="23"/>
  <c r="E10" i="23"/>
  <c r="E9" i="23"/>
  <c r="E8" i="23"/>
  <c r="E7" i="23"/>
  <c r="D7" i="23" s="1"/>
  <c r="E6" i="23"/>
  <c r="D6" i="23" s="1"/>
  <c r="E5" i="23"/>
  <c r="D5" i="23" s="1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D12" i="23"/>
  <c r="D8" i="23"/>
  <c r="T6" i="23"/>
  <c r="T7" i="23" s="1"/>
  <c r="B6" i="23"/>
  <c r="T5" i="23"/>
  <c r="O5" i="23"/>
  <c r="O6" i="23" s="1"/>
  <c r="C5" i="23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C14" i="22"/>
  <c r="E13" i="22"/>
  <c r="E12" i="22"/>
  <c r="C12" i="22" s="1"/>
  <c r="C13" i="22" s="1"/>
  <c r="E11" i="22"/>
  <c r="E10" i="22"/>
  <c r="E9" i="22"/>
  <c r="E8" i="22"/>
  <c r="E7" i="22"/>
  <c r="E6" i="22"/>
  <c r="E5" i="22"/>
  <c r="C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D13" i="22"/>
  <c r="D12" i="22"/>
  <c r="D11" i="22"/>
  <c r="D8" i="22"/>
  <c r="C8" i="22"/>
  <c r="C6" i="22"/>
  <c r="C7" i="22" s="1"/>
  <c r="T5" i="22"/>
  <c r="T6" i="22" s="1"/>
  <c r="B5" i="22"/>
  <c r="D5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E14" i="21"/>
  <c r="E13" i="21"/>
  <c r="C13" i="21" s="1"/>
  <c r="E12" i="21"/>
  <c r="D12" i="21" s="1"/>
  <c r="E11" i="21"/>
  <c r="C11" i="21" s="1"/>
  <c r="E10" i="21"/>
  <c r="E9" i="21"/>
  <c r="E8" i="21"/>
  <c r="D8" i="21" s="1"/>
  <c r="E7" i="21"/>
  <c r="D7" i="21" s="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D14" i="21"/>
  <c r="C14" i="21"/>
  <c r="D13" i="21"/>
  <c r="T8" i="21"/>
  <c r="T9" i="21" s="1"/>
  <c r="T7" i="21"/>
  <c r="T6" i="21"/>
  <c r="T5" i="21"/>
  <c r="O5" i="21"/>
  <c r="O6" i="21" s="1"/>
  <c r="B5" i="21"/>
  <c r="A5" i="21" s="1"/>
  <c r="D5" i="21"/>
  <c r="C5" i="21"/>
  <c r="T4" i="21"/>
  <c r="O4" i="21"/>
  <c r="J4" i="21"/>
  <c r="W3" i="21"/>
  <c r="V3" i="21"/>
  <c r="U3" i="21"/>
  <c r="W2" i="21"/>
  <c r="V2" i="21"/>
  <c r="U2" i="21"/>
  <c r="BO1" i="21"/>
  <c r="AT1" i="21"/>
  <c r="Y1" i="21"/>
  <c r="D15" i="20"/>
  <c r="E14" i="20"/>
  <c r="B14" i="20" s="1"/>
  <c r="E13" i="20"/>
  <c r="D13" i="20" s="1"/>
  <c r="E12" i="20"/>
  <c r="A12" i="20" s="1"/>
  <c r="E11" i="20"/>
  <c r="D11" i="20" s="1"/>
  <c r="E10" i="20"/>
  <c r="B10" i="20" s="1"/>
  <c r="A10" i="20" s="1"/>
  <c r="E9" i="20"/>
  <c r="C9" i="20" s="1"/>
  <c r="E8" i="20"/>
  <c r="E7" i="20"/>
  <c r="C7" i="20" s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C15" i="20"/>
  <c r="B15" i="20"/>
  <c r="A15" i="20"/>
  <c r="T14" i="20"/>
  <c r="O14" i="20"/>
  <c r="J14" i="20"/>
  <c r="T13" i="20"/>
  <c r="O13" i="20"/>
  <c r="J13" i="20"/>
  <c r="U13" i="20" s="1"/>
  <c r="T12" i="20"/>
  <c r="O12" i="20"/>
  <c r="J12" i="20"/>
  <c r="D12" i="20"/>
  <c r="C12" i="20"/>
  <c r="B12" i="20"/>
  <c r="T11" i="20"/>
  <c r="O11" i="20"/>
  <c r="V11" i="20" s="1"/>
  <c r="J11" i="20"/>
  <c r="U11" i="20" s="1"/>
  <c r="B11" i="20"/>
  <c r="A11" i="20" s="1"/>
  <c r="T10" i="20"/>
  <c r="O10" i="20"/>
  <c r="J10" i="20"/>
  <c r="D10" i="20"/>
  <c r="C10" i="20"/>
  <c r="T9" i="20"/>
  <c r="O9" i="20"/>
  <c r="J9" i="20"/>
  <c r="U9" i="20" s="1"/>
  <c r="D9" i="20"/>
  <c r="D8" i="20"/>
  <c r="D6" i="20"/>
  <c r="C6" i="20"/>
  <c r="O5" i="20"/>
  <c r="O6" i="20" s="1"/>
  <c r="J5" i="20"/>
  <c r="C5" i="20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B9" i="25" l="1"/>
  <c r="J9" i="25"/>
  <c r="O10" i="25"/>
  <c r="T8" i="25"/>
  <c r="U8" i="25" s="1"/>
  <c r="W7" i="25"/>
  <c r="A8" i="25"/>
  <c r="B13" i="24"/>
  <c r="A13" i="24" s="1"/>
  <c r="W4" i="24"/>
  <c r="V4" i="24"/>
  <c r="J7" i="24"/>
  <c r="U6" i="24"/>
  <c r="O7" i="24"/>
  <c r="V6" i="24"/>
  <c r="T7" i="24"/>
  <c r="W6" i="24"/>
  <c r="D8" i="24"/>
  <c r="C11" i="24"/>
  <c r="C6" i="24"/>
  <c r="D11" i="24"/>
  <c r="D6" i="24"/>
  <c r="U5" i="24"/>
  <c r="C7" i="24"/>
  <c r="C8" i="24" s="1"/>
  <c r="B5" i="24"/>
  <c r="B6" i="24" s="1"/>
  <c r="V5" i="24"/>
  <c r="C5" i="24"/>
  <c r="W5" i="24"/>
  <c r="W4" i="23"/>
  <c r="T8" i="23"/>
  <c r="O7" i="23"/>
  <c r="B8" i="23"/>
  <c r="U4" i="23"/>
  <c r="J5" i="23"/>
  <c r="C6" i="23"/>
  <c r="C7" i="23" s="1"/>
  <c r="D11" i="23"/>
  <c r="C9" i="23"/>
  <c r="C10" i="23" s="1"/>
  <c r="C11" i="23" s="1"/>
  <c r="V4" i="23"/>
  <c r="B7" i="23"/>
  <c r="D9" i="23"/>
  <c r="D10" i="23" s="1"/>
  <c r="C12" i="23"/>
  <c r="C13" i="23" s="1"/>
  <c r="V5" i="23"/>
  <c r="A6" i="23"/>
  <c r="C8" i="23"/>
  <c r="W4" i="22"/>
  <c r="J6" i="22"/>
  <c r="A5" i="22"/>
  <c r="T7" i="22"/>
  <c r="V4" i="22"/>
  <c r="O5" i="22"/>
  <c r="W5" i="22" s="1"/>
  <c r="D6" i="22"/>
  <c r="C9" i="22"/>
  <c r="C10" i="22" s="1"/>
  <c r="C11" i="22" s="1"/>
  <c r="D14" i="22"/>
  <c r="B7" i="22"/>
  <c r="B8" i="22" s="1"/>
  <c r="D9" i="22"/>
  <c r="D7" i="22"/>
  <c r="D10" i="22"/>
  <c r="B6" i="22"/>
  <c r="A6" i="22" s="1"/>
  <c r="A7" i="22" s="1"/>
  <c r="U4" i="22"/>
  <c r="D11" i="21"/>
  <c r="C7" i="21"/>
  <c r="C6" i="21"/>
  <c r="W4" i="21"/>
  <c r="O7" i="21"/>
  <c r="T10" i="21"/>
  <c r="B6" i="21"/>
  <c r="V4" i="21"/>
  <c r="U4" i="21"/>
  <c r="J5" i="21"/>
  <c r="B7" i="21"/>
  <c r="D9" i="21"/>
  <c r="D10" i="21" s="1"/>
  <c r="C12" i="21"/>
  <c r="C8" i="21"/>
  <c r="C9" i="21" s="1"/>
  <c r="C10" i="21" s="1"/>
  <c r="U14" i="20"/>
  <c r="V14" i="20"/>
  <c r="W14" i="20"/>
  <c r="C14" i="20"/>
  <c r="A14" i="20"/>
  <c r="D14" i="20"/>
  <c r="W13" i="20"/>
  <c r="V13" i="20"/>
  <c r="B13" i="20"/>
  <c r="A13" i="20" s="1"/>
  <c r="C13" i="20"/>
  <c r="U12" i="20"/>
  <c r="V12" i="20"/>
  <c r="W12" i="20"/>
  <c r="W11" i="20"/>
  <c r="C11" i="20"/>
  <c r="W10" i="20"/>
  <c r="U10" i="20"/>
  <c r="V10" i="20"/>
  <c r="W9" i="20"/>
  <c r="V9" i="20"/>
  <c r="B9" i="20"/>
  <c r="A9" i="20" s="1"/>
  <c r="U5" i="20"/>
  <c r="U4" i="20"/>
  <c r="V4" i="20"/>
  <c r="O7" i="20"/>
  <c r="W5" i="20"/>
  <c r="T6" i="20"/>
  <c r="B5" i="20"/>
  <c r="A5" i="20" s="1"/>
  <c r="V5" i="20"/>
  <c r="D7" i="20"/>
  <c r="J6" i="20"/>
  <c r="D5" i="20"/>
  <c r="C8" i="20"/>
  <c r="W4" i="20"/>
  <c r="E8" i="19"/>
  <c r="E7" i="19"/>
  <c r="E6" i="19"/>
  <c r="E5" i="19"/>
  <c r="J10" i="25" l="1"/>
  <c r="B10" i="25"/>
  <c r="T9" i="25"/>
  <c r="W8" i="25"/>
  <c r="V8" i="25"/>
  <c r="O11" i="25"/>
  <c r="A9" i="25"/>
  <c r="B7" i="24"/>
  <c r="T8" i="24"/>
  <c r="W7" i="24"/>
  <c r="A5" i="24"/>
  <c r="A6" i="24" s="1"/>
  <c r="O8" i="24"/>
  <c r="V7" i="24"/>
  <c r="J8" i="24"/>
  <c r="U7" i="24"/>
  <c r="O8" i="23"/>
  <c r="B9" i="23"/>
  <c r="T9" i="23"/>
  <c r="W5" i="23"/>
  <c r="J6" i="23"/>
  <c r="U5" i="23"/>
  <c r="A7" i="23"/>
  <c r="A8" i="23" s="1"/>
  <c r="B9" i="22"/>
  <c r="O6" i="22"/>
  <c r="V5" i="22"/>
  <c r="U5" i="22"/>
  <c r="A8" i="22"/>
  <c r="T8" i="22"/>
  <c r="J7" i="22"/>
  <c r="W5" i="21"/>
  <c r="U5" i="21"/>
  <c r="J6" i="21"/>
  <c r="T11" i="21"/>
  <c r="A6" i="21"/>
  <c r="A7" i="21" s="1"/>
  <c r="B8" i="21"/>
  <c r="V5" i="21"/>
  <c r="O8" i="21"/>
  <c r="J7" i="20"/>
  <c r="U6" i="20"/>
  <c r="O8" i="20"/>
  <c r="W6" i="20"/>
  <c r="T7" i="20"/>
  <c r="V6" i="20"/>
  <c r="B6" i="20"/>
  <c r="A6" i="20" s="1"/>
  <c r="W3" i="19"/>
  <c r="V3" i="19"/>
  <c r="U3" i="19"/>
  <c r="O12" i="25" l="1"/>
  <c r="T10" i="25"/>
  <c r="U10" i="25" s="1"/>
  <c r="W9" i="25"/>
  <c r="V9" i="25"/>
  <c r="U9" i="25"/>
  <c r="B11" i="25"/>
  <c r="A11" i="25" s="1"/>
  <c r="A10" i="25"/>
  <c r="J11" i="25"/>
  <c r="O9" i="24"/>
  <c r="V8" i="24"/>
  <c r="T9" i="24"/>
  <c r="W8" i="24"/>
  <c r="B8" i="24"/>
  <c r="A8" i="24" s="1"/>
  <c r="J9" i="24"/>
  <c r="U8" i="24"/>
  <c r="A7" i="24"/>
  <c r="T10" i="23"/>
  <c r="B10" i="23"/>
  <c r="J7" i="23"/>
  <c r="U6" i="23"/>
  <c r="W6" i="23"/>
  <c r="V6" i="23"/>
  <c r="O9" i="23"/>
  <c r="A9" i="23"/>
  <c r="T9" i="22"/>
  <c r="O7" i="22"/>
  <c r="V6" i="22"/>
  <c r="W6" i="22"/>
  <c r="B10" i="22"/>
  <c r="A10" i="22"/>
  <c r="J8" i="22"/>
  <c r="U6" i="22"/>
  <c r="A9" i="22"/>
  <c r="T12" i="21"/>
  <c r="B9" i="21"/>
  <c r="O9" i="21"/>
  <c r="W6" i="21"/>
  <c r="J7" i="21"/>
  <c r="U6" i="21"/>
  <c r="V6" i="21"/>
  <c r="A8" i="21"/>
  <c r="V7" i="20"/>
  <c r="B7" i="20"/>
  <c r="U7" i="20"/>
  <c r="J8" i="20"/>
  <c r="W7" i="20"/>
  <c r="T8" i="20"/>
  <c r="W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2" i="25" l="1"/>
  <c r="A12" i="25" s="1"/>
  <c r="T11" i="25"/>
  <c r="W10" i="25"/>
  <c r="V10" i="25"/>
  <c r="J12" i="25"/>
  <c r="U11" i="25"/>
  <c r="V11" i="25"/>
  <c r="J10" i="24"/>
  <c r="U9" i="24"/>
  <c r="T10" i="24"/>
  <c r="W9" i="24"/>
  <c r="B9" i="24"/>
  <c r="A9" i="24" s="1"/>
  <c r="O10" i="24"/>
  <c r="V9" i="24"/>
  <c r="U7" i="23"/>
  <c r="J8" i="23"/>
  <c r="W7" i="23"/>
  <c r="V7" i="23"/>
  <c r="B11" i="23"/>
  <c r="A10" i="23"/>
  <c r="O10" i="23"/>
  <c r="T11" i="23"/>
  <c r="J9" i="22"/>
  <c r="B11" i="22"/>
  <c r="O8" i="22"/>
  <c r="W8" i="22" s="1"/>
  <c r="V7" i="22"/>
  <c r="W7" i="22"/>
  <c r="T10" i="22"/>
  <c r="U7" i="22"/>
  <c r="W7" i="21"/>
  <c r="J8" i="21"/>
  <c r="U7" i="21"/>
  <c r="V7" i="21"/>
  <c r="O10" i="21"/>
  <c r="B10" i="21"/>
  <c r="A9" i="21"/>
  <c r="T13" i="21"/>
  <c r="V8" i="20"/>
  <c r="U8" i="20"/>
  <c r="B8" i="20"/>
  <c r="A7" i="20"/>
  <c r="W8" i="19"/>
  <c r="U8" i="19"/>
  <c r="V8" i="19"/>
  <c r="W7" i="19"/>
  <c r="V7" i="19"/>
  <c r="C6" i="19"/>
  <c r="W4" i="19"/>
  <c r="V6" i="19"/>
  <c r="W6" i="19"/>
  <c r="U4" i="19"/>
  <c r="V4" i="19"/>
  <c r="T5" i="19"/>
  <c r="J5" i="19"/>
  <c r="O5" i="19"/>
  <c r="T12" i="25" l="1"/>
  <c r="W12" i="25" s="1"/>
  <c r="W11" i="25"/>
  <c r="V12" i="25"/>
  <c r="O11" i="24"/>
  <c r="V10" i="24"/>
  <c r="B10" i="24"/>
  <c r="T11" i="24"/>
  <c r="W10" i="24"/>
  <c r="J11" i="24"/>
  <c r="U10" i="24"/>
  <c r="B12" i="23"/>
  <c r="A11" i="23"/>
  <c r="T12" i="23"/>
  <c r="J9" i="23"/>
  <c r="U8" i="23"/>
  <c r="W8" i="23"/>
  <c r="V8" i="23"/>
  <c r="O11" i="23"/>
  <c r="B12" i="22"/>
  <c r="A11" i="22"/>
  <c r="T11" i="22"/>
  <c r="O9" i="22"/>
  <c r="V8" i="22"/>
  <c r="U8" i="22"/>
  <c r="J10" i="22"/>
  <c r="B11" i="21"/>
  <c r="A10" i="21"/>
  <c r="T14" i="21"/>
  <c r="J9" i="21"/>
  <c r="U8" i="21"/>
  <c r="W8" i="21"/>
  <c r="V8" i="21"/>
  <c r="O11" i="21"/>
  <c r="A8" i="20"/>
  <c r="V5" i="19"/>
  <c r="U5" i="19"/>
  <c r="W5" i="19"/>
  <c r="U12" i="25" l="1"/>
  <c r="T12" i="24"/>
  <c r="W11" i="24"/>
  <c r="J12" i="24"/>
  <c r="U11" i="24"/>
  <c r="B11" i="24"/>
  <c r="A10" i="24"/>
  <c r="O12" i="24"/>
  <c r="V12" i="24" s="1"/>
  <c r="V11" i="24"/>
  <c r="A12" i="23"/>
  <c r="O12" i="23"/>
  <c r="J10" i="23"/>
  <c r="U9" i="23"/>
  <c r="W9" i="23"/>
  <c r="V9" i="23"/>
  <c r="T13" i="23"/>
  <c r="B13" i="23"/>
  <c r="A13" i="23" s="1"/>
  <c r="A12" i="22"/>
  <c r="O10" i="22"/>
  <c r="V9" i="22"/>
  <c r="W9" i="22"/>
  <c r="T12" i="22"/>
  <c r="U9" i="22"/>
  <c r="J11" i="22"/>
  <c r="U10" i="22"/>
  <c r="B13" i="22"/>
  <c r="J10" i="21"/>
  <c r="U9" i="21"/>
  <c r="W9" i="21"/>
  <c r="V9" i="21"/>
  <c r="O12" i="21"/>
  <c r="B12" i="21"/>
  <c r="A11" i="21"/>
  <c r="U12" i="24" l="1"/>
  <c r="B12" i="24"/>
  <c r="A12" i="24" s="1"/>
  <c r="A11" i="24"/>
  <c r="W12" i="24"/>
  <c r="J11" i="23"/>
  <c r="U10" i="23"/>
  <c r="W10" i="23"/>
  <c r="V10" i="23"/>
  <c r="O13" i="23"/>
  <c r="J12" i="22"/>
  <c r="T13" i="22"/>
  <c r="B14" i="22"/>
  <c r="A14" i="22" s="1"/>
  <c r="A13" i="22"/>
  <c r="V10" i="22"/>
  <c r="O11" i="22"/>
  <c r="U11" i="22" s="1"/>
  <c r="W10" i="22"/>
  <c r="B13" i="21"/>
  <c r="A12" i="21"/>
  <c r="O13" i="21"/>
  <c r="J11" i="21"/>
  <c r="U10" i="21"/>
  <c r="W10" i="21"/>
  <c r="V10" i="21"/>
  <c r="U11" i="23" l="1"/>
  <c r="J12" i="23"/>
  <c r="W11" i="23"/>
  <c r="V11" i="23"/>
  <c r="W11" i="22"/>
  <c r="T14" i="22"/>
  <c r="O12" i="22"/>
  <c r="V11" i="22"/>
  <c r="J13" i="22"/>
  <c r="U12" i="22"/>
  <c r="J12" i="21"/>
  <c r="U11" i="21"/>
  <c r="W11" i="21"/>
  <c r="V11" i="21"/>
  <c r="B14" i="21"/>
  <c r="A14" i="21" s="1"/>
  <c r="O14" i="21"/>
  <c r="A13" i="21"/>
  <c r="J13" i="23" l="1"/>
  <c r="U12" i="23"/>
  <c r="W12" i="23"/>
  <c r="V12" i="23"/>
  <c r="J14" i="22"/>
  <c r="O13" i="22"/>
  <c r="V12" i="22"/>
  <c r="W12" i="22"/>
  <c r="U12" i="21"/>
  <c r="J13" i="21"/>
  <c r="W12" i="21"/>
  <c r="V12" i="21"/>
  <c r="U13" i="23" l="1"/>
  <c r="W13" i="23"/>
  <c r="V13" i="23"/>
  <c r="O14" i="22"/>
  <c r="V13" i="22"/>
  <c r="W13" i="22"/>
  <c r="U13" i="22"/>
  <c r="W14" i="22"/>
  <c r="J14" i="21"/>
  <c r="U13" i="21"/>
  <c r="W13" i="21"/>
  <c r="V13" i="21"/>
  <c r="V14" i="22" l="1"/>
  <c r="U14" i="22"/>
  <c r="U14" i="21"/>
  <c r="W14" i="21"/>
  <c r="V14" i="21"/>
</calcChain>
</file>

<file path=xl/sharedStrings.xml><?xml version="1.0" encoding="utf-8"?>
<sst xmlns="http://schemas.openxmlformats.org/spreadsheetml/2006/main" count="1164" uniqueCount="207">
  <si>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</si>
  <si>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</si>
  <si>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</si>
  <si>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</si>
  <si>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</si>
  <si>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</si>
  <si>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</si>
  <si>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</si>
  <si>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</si>
  <si>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</si>
  <si>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</si>
  <si>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</si>
  <si>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</si>
  <si>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</si>
  <si>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</si>
  <si>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</si>
  <si>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</si>
  <si>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</si>
  <si>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</si>
  <si>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</si>
  <si>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</si>
  <si>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</si>
  <si>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</si>
  <si>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</si>
  <si>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</si>
  <si>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</si>
  <si>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</si>
  <si>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</si>
  <si>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</si>
  <si>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</si>
  <si>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</si>
  <si>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</si>
  <si>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</si>
  <si>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</si>
  <si>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</si>
  <si>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</si>
  <si>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</si>
  <si>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</si>
  <si>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</si>
  <si>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</si>
  <si>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</si>
  <si>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</si>
  <si>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</si>
  <si>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</si>
  <si>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</si>
  <si>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</si>
  <si>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</si>
  <si>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</si>
  <si>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</si>
  <si>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</si>
  <si>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</si>
  <si>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</si>
  <si>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</si>
  <si>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</si>
  <si>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</si>
  <si>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</si>
  <si>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</si>
  <si>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</si>
  <si>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</si>
  <si>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</si>
  <si>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</si>
  <si>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</si>
  <si>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</si>
  <si>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</si>
  <si>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</si>
  <si>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</si>
  <si>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</si>
  <si>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</si>
  <si>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</si>
  <si>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</si>
  <si>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</si>
  <si>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</si>
  <si>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</si>
  <si>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</si>
  <si>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</si>
  <si>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</si>
  <si>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</si>
  <si>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</si>
  <si>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</si>
  <si>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</si>
  <si>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</si>
  <si>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</si>
  <si>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</si>
  <si>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</si>
  <si>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</si>
  <si>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</si>
  <si>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</si>
  <si>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</si>
  <si>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</si>
  <si>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</si>
  <si>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</si>
  <si>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</si>
  <si>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</si>
  <si>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</si>
  <si>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</si>
  <si>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</si>
  <si>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</si>
  <si>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</si>
  <si>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</si>
  <si>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</si>
  <si>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</si>
  <si>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</si>
  <si>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</si>
  <si>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</si>
  <si>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</si>
  <si>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</si>
  <si>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</si>
  <si>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</si>
  <si>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</si>
  <si>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</si>
  <si>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</si>
  <si>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</si>
  <si>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</si>
  <si>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</si>
  <si>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</si>
  <si>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</si>
  <si>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</si>
  <si>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</si>
  <si>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</si>
  <si>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</si>
  <si>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</si>
  <si>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</si>
  <si>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</si>
  <si>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</si>
  <si>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</si>
  <si>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</si>
  <si>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</si>
  <si>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</si>
  <si>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</si>
  <si>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</si>
  <si>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</si>
  <si>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</si>
  <si>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</si>
  <si>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</si>
  <si>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</si>
  <si>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</si>
  <si>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</si>
  <si>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</si>
  <si>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</si>
  <si>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</si>
  <si>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</si>
  <si>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</si>
  <si>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</si>
  <si>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</si>
  <si>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</si>
  <si>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</si>
  <si>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</si>
  <si>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</si>
  <si>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</si>
  <si>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</si>
  <si>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</si>
  <si>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</si>
  <si>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</si>
  <si>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</si>
  <si>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</si>
  <si>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</si>
  <si>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</si>
  <si>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</si>
  <si>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</si>
  <si>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</si>
  <si>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</si>
  <si>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</si>
  <si>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</si>
  <si>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</si>
  <si>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</si>
  <si>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</si>
  <si>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</si>
  <si>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</si>
  <si>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</si>
  <si>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</si>
  <si>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</si>
  <si>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</si>
  <si>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</si>
  <si>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</si>
  <si>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</si>
  <si>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</si>
  <si>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</si>
  <si>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</si>
  <si>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</si>
  <si>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</si>
  <si>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</si>
  <si>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</si>
  <si>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</si>
  <si>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</si>
  <si>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</si>
  <si>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</si>
  <si>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</si>
  <si>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</si>
  <si>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</si>
  <si>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</si>
  <si>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</si>
  <si>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</si>
  <si>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りくと</t>
    <phoneticPr fontId="1"/>
  </si>
  <si>
    <t>ただ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</si>
  <si>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</si>
  <si>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</si>
  <si>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</si>
  <si>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</si>
  <si>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</si>
  <si>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</si>
  <si>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ツモ支払</t>
  </si>
  <si>
    <t>ツモ</t>
  </si>
  <si>
    <t>02</t>
  </si>
  <si>
    <t>52</t>
  </si>
  <si>
    <t>T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</si>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</sst>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197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104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197</v>
      </c>
      <c r="G5" s="9">
        <v>-8000</v>
      </c>
      <c r="H5" s="9"/>
      <c r="I5" s="48">
        <v>0</v>
      </c>
      <c r="J5" s="21">
        <f t="shared" ref="J5:J30" si="2">IF(COUNTA($F5,$K5,$P5)&gt;0,J4+SUM(G5:I5),"")</f>
        <v>30900</v>
      </c>
      <c r="K5" s="8"/>
      <c r="L5" s="9"/>
      <c r="M5" s="9">
        <v>-1000</v>
      </c>
      <c r="N5" s="48"/>
      <c r="O5" s="21">
        <f t="shared" ref="O5:O30" si="3">IF(COUNTA($F5,$K5,$P5)&gt;0,O4+SUM(L5:N5),"")</f>
        <v>30100</v>
      </c>
      <c r="P5" s="8" t="s">
        <v>196</v>
      </c>
      <c r="Q5" s="9">
        <v>8000</v>
      </c>
      <c r="R5" s="9">
        <v>1000</v>
      </c>
      <c r="S5" s="48">
        <v>0</v>
      </c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-4.0999999999999996</v>
      </c>
      <c r="V5" s="54">
        <f>IF($O5="","",ROUND(($O5-$O$3)/1000,1)+(_xlfn.RANK.AVG($O5,($J5,$O5,$T5),1)-2)*20)</f>
        <v>-24.9</v>
      </c>
      <c r="W5" s="55">
        <f>IF($T5="","",ROUND(($T5-$T$3)/1000,1)+(_xlfn.RANK.AVG($T5,($J5,$O5,$T5),1)-2)*20)</f>
        <v>29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198</v>
      </c>
      <c r="BU5" s="40" t="s">
        <v>199</v>
      </c>
      <c r="BV5" s="41" t="s">
        <v>101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197</v>
      </c>
      <c r="G6" s="9">
        <v>-1300</v>
      </c>
      <c r="H6" s="9">
        <v>-1000</v>
      </c>
      <c r="I6" s="48">
        <v>0</v>
      </c>
      <c r="J6" s="21">
        <f t="shared" si="2"/>
        <v>28600</v>
      </c>
      <c r="K6" s="8"/>
      <c r="L6" s="9"/>
      <c r="M6" s="9"/>
      <c r="N6" s="48"/>
      <c r="O6" s="21">
        <f t="shared" si="3"/>
        <v>30100</v>
      </c>
      <c r="P6" s="8" t="s">
        <v>196</v>
      </c>
      <c r="Q6" s="9">
        <v>1300</v>
      </c>
      <c r="R6" s="9">
        <v>1000</v>
      </c>
      <c r="S6" s="48">
        <v>0</v>
      </c>
      <c r="T6" s="21">
        <f t="shared" si="4"/>
        <v>46300</v>
      </c>
      <c r="U6" s="53">
        <f>IF($J6="","",ROUND(($J6-$J$3)/1000,1)+(_xlfn.RANK.AVG($J6,($J6,$O6,$T6),1)-2)*20)</f>
        <v>-26.4</v>
      </c>
      <c r="V6" s="54">
        <f>IF($O6="","",ROUND(($O6-$O$3)/1000,1)+(_xlfn.RANK.AVG($O6,($J6,$O6,$T6),1)-2)*20)</f>
        <v>-4.9000000000000004</v>
      </c>
      <c r="W6" s="55">
        <f>IF($T6="","",ROUND(($T6-$T$3)/1000,1)+(_xlfn.RANK.AVG($T6,($J6,$O6,$T6),1)-2)*20)</f>
        <v>31.3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199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200</v>
      </c>
      <c r="G7" s="9">
        <v>-24000</v>
      </c>
      <c r="H7" s="9"/>
      <c r="I7" s="48">
        <v>0</v>
      </c>
      <c r="J7" s="21">
        <f t="shared" si="2"/>
        <v>4600</v>
      </c>
      <c r="K7" s="8" t="s">
        <v>200</v>
      </c>
      <c r="L7" s="9">
        <v>-24000</v>
      </c>
      <c r="M7" s="9"/>
      <c r="N7" s="48">
        <v>0</v>
      </c>
      <c r="O7" s="21">
        <f t="shared" si="3"/>
        <v>6100</v>
      </c>
      <c r="P7" s="8" t="s">
        <v>201</v>
      </c>
      <c r="Q7" s="9">
        <v>48000</v>
      </c>
      <c r="R7" s="9"/>
      <c r="S7" s="48">
        <v>0</v>
      </c>
      <c r="T7" s="21">
        <f t="shared" si="4"/>
        <v>94300</v>
      </c>
      <c r="U7" s="53">
        <f>IF($J7="","",ROUND(($J7-$J$3)/1000,1)+(_xlfn.RANK.AVG($J7,($J7,$O7,$T7),1)-2)*20)</f>
        <v>-50.4</v>
      </c>
      <c r="V7" s="54">
        <f>IF($O7="","",ROUND(($O7-$O$3)/1000,1)+(_xlfn.RANK.AVG($O7,($J7,$O7,$T7),1)-2)*20)</f>
        <v>-28.9</v>
      </c>
      <c r="W7" s="55">
        <f>IF($T7="","",ROUND(($T7-$T$3)/1000,1)+(_xlfn.RANK.AVG($T7,($J7,$O7,$T7),1)-2)*20)</f>
        <v>79.3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13</v>
      </c>
      <c r="BT7" s="30" t="s">
        <v>198</v>
      </c>
      <c r="BU7" s="40" t="s">
        <v>108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197</v>
      </c>
      <c r="G8" s="9">
        <v>-48000</v>
      </c>
      <c r="H8" s="9"/>
      <c r="I8" s="48">
        <v>-1000</v>
      </c>
      <c r="J8" s="21">
        <f t="shared" si="2"/>
        <v>-44400</v>
      </c>
      <c r="K8" s="8"/>
      <c r="L8" s="9"/>
      <c r="M8" s="9">
        <v>-1000</v>
      </c>
      <c r="N8" s="48"/>
      <c r="O8" s="21">
        <f t="shared" si="3"/>
        <v>5100</v>
      </c>
      <c r="P8" s="8" t="s">
        <v>196</v>
      </c>
      <c r="Q8" s="9">
        <v>48000</v>
      </c>
      <c r="R8" s="9">
        <v>1000</v>
      </c>
      <c r="S8" s="48">
        <v>1000</v>
      </c>
      <c r="T8" s="21">
        <f t="shared" si="4"/>
        <v>144300</v>
      </c>
      <c r="U8" s="53">
        <f>IF($J8="","",ROUND(($J8-$J$3)/1000,1)+(_xlfn.RANK.AVG($J8,($J8,$O8,$T8),1)-2)*20)</f>
        <v>-99.4</v>
      </c>
      <c r="V8" s="54">
        <f>IF($O8="","",ROUND(($O8-$O$3)/1000,1)+(_xlfn.RANK.AVG($O8,($J8,$O8,$T8),1)-2)*20)</f>
        <v>-29.9</v>
      </c>
      <c r="W8" s="55">
        <f>IF($T8="","",ROUND(($T8-$T$3)/1000,1)+(_xlfn.RANK.AVG($T8,($J8,$O8,$T8),1)-2)*20)</f>
        <v>129.30000000000001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13</v>
      </c>
      <c r="BT8" s="30" t="s">
        <v>198</v>
      </c>
      <c r="BU8" s="40" t="s">
        <v>199</v>
      </c>
      <c r="BV8" s="41" t="s">
        <v>202</v>
      </c>
      <c r="BW8" s="41" t="s">
        <v>106</v>
      </c>
      <c r="BX8" s="41" t="s">
        <v>84</v>
      </c>
      <c r="BY8" s="41" t="s">
        <v>203</v>
      </c>
      <c r="BZ8" s="41" t="s">
        <v>79</v>
      </c>
      <c r="CA8" s="41" t="s">
        <v>79</v>
      </c>
      <c r="CB8" s="41" t="s">
        <v>79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F4D7EEC-88D5-4E84-96BB-4648FEBFC8F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A6E5B-94ED-4A35-A0F8-682F52EE245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0</v>
      </c>
      <c r="H4" s="9"/>
      <c r="I4" s="48"/>
      <c r="J4" s="21">
        <f>IF(COUNTA($F4,$K4,$P4)&gt;0,J3+SUM(G4:I4),"")</f>
        <v>35000</v>
      </c>
      <c r="K4" s="8" t="s">
        <v>205</v>
      </c>
      <c r="L4" s="9">
        <v>0</v>
      </c>
      <c r="M4" s="9"/>
      <c r="N4" s="48"/>
      <c r="O4" s="21">
        <f>IF(COUNTA($F4,$K4,$P4)&gt;0,O3+SUM(L4:N4),"")</f>
        <v>35000</v>
      </c>
      <c r="P4" s="8" t="s">
        <v>205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10</v>
      </c>
      <c r="W4" s="55">
        <f>IF($T4="","",ROUND(($T4-$T$3)/1000,1)+(_xlfn.RANK.AVG($T4,($J4,$O4,$T4),1)-2)*20)</f>
        <v>-21</v>
      </c>
      <c r="Y4" s="8" t="s">
        <v>204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ただ</v>
      </c>
      <c r="F5" s="8" t="s">
        <v>205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205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205</v>
      </c>
      <c r="Q5" s="9">
        <v>1500</v>
      </c>
      <c r="R5" s="9">
        <v>-1000</v>
      </c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-23</v>
      </c>
      <c r="V5" s="54">
        <f>IF($O5="","",ROUND(($O5-$O$3)/1000,1)+(_xlfn.RANK.AVG($O5,($J5,$O5,$T5),1)-2)*20)</f>
        <v>21.5</v>
      </c>
      <c r="W5" s="55">
        <f>IF($T5="","",ROUND(($T5-$T$3)/1000,1)+(_xlfn.RANK.AVG($T5,($J5,$O5,$T5),1)-2)*20)</f>
        <v>-0.5</v>
      </c>
      <c r="Y5" s="8" t="s">
        <v>206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tr">
        <f>IF($K$1="","",$K$1)</f>
        <v>ただ</v>
      </c>
      <c r="F6" s="8"/>
      <c r="G6" s="9"/>
      <c r="H6" s="9"/>
      <c r="I6" s="48"/>
      <c r="J6" s="21">
        <f t="shared" si="2"/>
        <v>32000</v>
      </c>
      <c r="K6" s="8" t="s">
        <v>196</v>
      </c>
      <c r="L6" s="9">
        <v>3900</v>
      </c>
      <c r="M6" s="9">
        <v>3000</v>
      </c>
      <c r="N6" s="48">
        <v>2000</v>
      </c>
      <c r="O6" s="21">
        <f t="shared" si="3"/>
        <v>45400</v>
      </c>
      <c r="P6" s="8" t="s">
        <v>197</v>
      </c>
      <c r="Q6" s="9">
        <v>-3900</v>
      </c>
      <c r="R6" s="9">
        <v>-1000</v>
      </c>
      <c r="S6" s="48">
        <v>-2000</v>
      </c>
      <c r="T6" s="21">
        <f t="shared" si="4"/>
        <v>27600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30.4</v>
      </c>
      <c r="W6" s="55">
        <f>IF($T6="","",ROUND(($T6-$T$3)/1000,1)+(_xlfn.RANK.AVG($T6,($J6,$O6,$T6),1)-2)*20)</f>
        <v>-27.4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84</v>
      </c>
      <c r="BA6" s="41" t="s">
        <v>203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IF($K$1="","",$K$1)</f>
        <v>ただ</v>
      </c>
      <c r="F7" s="8" t="s">
        <v>197</v>
      </c>
      <c r="G7" s="9">
        <v>-9600</v>
      </c>
      <c r="H7" s="9"/>
      <c r="I7" s="48">
        <v>-3000</v>
      </c>
      <c r="J7" s="21">
        <f t="shared" si="2"/>
        <v>19400</v>
      </c>
      <c r="K7" s="8" t="s">
        <v>196</v>
      </c>
      <c r="L7" s="9">
        <v>9600</v>
      </c>
      <c r="M7" s="9"/>
      <c r="N7" s="48">
        <v>3000</v>
      </c>
      <c r="O7" s="21">
        <f t="shared" si="3"/>
        <v>58000</v>
      </c>
      <c r="P7" s="8"/>
      <c r="Q7" s="9"/>
      <c r="R7" s="9"/>
      <c r="S7" s="48"/>
      <c r="T7" s="21">
        <f t="shared" si="4"/>
        <v>27600</v>
      </c>
      <c r="U7" s="53">
        <f>IF($J7="","",ROUND(($J7-$J$3)/1000,1)+(_xlfn.RANK.AVG($J7,($J7,$O7,$T7),1)-2)*20)</f>
        <v>-35.6</v>
      </c>
      <c r="V7" s="54">
        <f>IF($O7="","",ROUND(($O7-$O$3)/1000,1)+(_xlfn.RANK.AVG($O7,($J7,$O7,$T7),1)-2)*20)</f>
        <v>43</v>
      </c>
      <c r="W7" s="55">
        <f>IF($T7="","",ROUND(($T7-$T$3)/1000,1)+(_xlfn.RANK.AVG($T7,($J7,$O7,$T7),1)-2)*20)</f>
        <v>-7.4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50</v>
      </c>
      <c r="AZ7" s="40" t="s">
        <v>199</v>
      </c>
      <c r="BA7" s="41" t="s">
        <v>86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>
        <f t="shared" si="2"/>
        <v>19400</v>
      </c>
      <c r="K8" s="8" t="s">
        <v>196</v>
      </c>
      <c r="L8" s="9">
        <v>4800</v>
      </c>
      <c r="M8" s="9"/>
      <c r="N8" s="48">
        <v>4000</v>
      </c>
      <c r="O8" s="21">
        <f t="shared" si="3"/>
        <v>66800</v>
      </c>
      <c r="P8" s="8" t="s">
        <v>197</v>
      </c>
      <c r="Q8" s="9">
        <v>-4800</v>
      </c>
      <c r="R8" s="9"/>
      <c r="S8" s="48">
        <v>-4000</v>
      </c>
      <c r="T8" s="21">
        <f t="shared" si="4"/>
        <v>18800</v>
      </c>
      <c r="U8" s="53">
        <f>IF($J8="","",ROUND(($J8-$J$3)/1000,1)+(_xlfn.RANK.AVG($J8,($J8,$O8,$T8),1)-2)*20)</f>
        <v>-15.6</v>
      </c>
      <c r="V8" s="54">
        <f>IF($O8="","",ROUND(($O8-$O$3)/1000,1)+(_xlfn.RANK.AVG($O8,($J8,$O8,$T8),1)-2)*20)</f>
        <v>51.8</v>
      </c>
      <c r="W8" s="55">
        <f>IF($T8="","",ROUND(($T8-$T$3)/1000,1)+(_xlfn.RANK.AVG($T8,($J8,$O8,$T8),1)-2)*20)</f>
        <v>-36.200000000000003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25</v>
      </c>
      <c r="AZ8" s="40" t="s">
        <v>101</v>
      </c>
      <c r="BA8" s="41" t="s">
        <v>203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tr">
        <f>IF($K$1="","",$K$1)</f>
        <v>ただ</v>
      </c>
      <c r="F9" s="8" t="s">
        <v>205</v>
      </c>
      <c r="G9" s="9">
        <v>-1500</v>
      </c>
      <c r="H9" s="9"/>
      <c r="I9" s="48"/>
      <c r="J9" s="21">
        <f t="shared" si="2"/>
        <v>17900</v>
      </c>
      <c r="K9" s="8" t="s">
        <v>205</v>
      </c>
      <c r="L9" s="9">
        <v>-1500</v>
      </c>
      <c r="M9" s="9"/>
      <c r="N9" s="48"/>
      <c r="O9" s="21">
        <f t="shared" si="3"/>
        <v>65300</v>
      </c>
      <c r="P9" s="8" t="s">
        <v>205</v>
      </c>
      <c r="Q9" s="9">
        <v>3000</v>
      </c>
      <c r="R9" s="9">
        <v>-1000</v>
      </c>
      <c r="S9" s="48"/>
      <c r="T9" s="21">
        <f t="shared" si="4"/>
        <v>20800</v>
      </c>
      <c r="U9" s="53">
        <f>IF($J9="","",ROUND(($J9-$J$3)/1000,1)+(_xlfn.RANK.AVG($J9,($J9,$O9,$T9),1)-2)*20)</f>
        <v>-37.1</v>
      </c>
      <c r="V9" s="54">
        <f>IF($O9="","",ROUND(($O9-$O$3)/1000,1)+(_xlfn.RANK.AVG($O9,($J9,$O9,$T9),1)-2)*20)</f>
        <v>50.3</v>
      </c>
      <c r="W9" s="55">
        <f>IF($T9="","",ROUND(($T9-$T$3)/1000,1)+(_xlfn.RANK.AVG($T9,($J9,$O9,$T9),1)-2)*20)</f>
        <v>-14.2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6</v>
      </c>
      <c r="D10" s="18">
        <f t="shared" si="1"/>
        <v>1</v>
      </c>
      <c r="E10" s="4" t="str">
        <f>IF($P$1="","",$P$1)</f>
        <v>だいち</v>
      </c>
      <c r="F10" s="8" t="s">
        <v>197</v>
      </c>
      <c r="G10" s="9">
        <v>-2600</v>
      </c>
      <c r="H10" s="9"/>
      <c r="I10" s="48">
        <v>-6000</v>
      </c>
      <c r="J10" s="21">
        <f t="shared" si="2"/>
        <v>9300</v>
      </c>
      <c r="K10" s="8" t="s">
        <v>196</v>
      </c>
      <c r="L10" s="9">
        <v>2600</v>
      </c>
      <c r="M10" s="9">
        <v>2000</v>
      </c>
      <c r="N10" s="48">
        <v>6000</v>
      </c>
      <c r="O10" s="21">
        <f t="shared" si="3"/>
        <v>75900</v>
      </c>
      <c r="P10" s="8"/>
      <c r="Q10" s="9"/>
      <c r="R10" s="9">
        <v>-1000</v>
      </c>
      <c r="S10" s="48"/>
      <c r="T10" s="21">
        <f t="shared" si="4"/>
        <v>19800</v>
      </c>
      <c r="U10" s="53">
        <f>IF($J10="","",ROUND(($J10-$J$3)/1000,1)+(_xlfn.RANK.AVG($J10,($J10,$O10,$T10),1)-2)*20)</f>
        <v>-45.7</v>
      </c>
      <c r="V10" s="54">
        <f>IF($O10="","",ROUND(($O10-$O$3)/1000,1)+(_xlfn.RANK.AVG($O10,($J10,$O10,$T10),1)-2)*20)</f>
        <v>60.9</v>
      </c>
      <c r="W10" s="55">
        <f>IF($T10="","",ROUND(($T10-$T$3)/1000,1)+(_xlfn.RANK.AVG($T10,($J10,$O10,$T10),1)-2)*20)</f>
        <v>-15.2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40</v>
      </c>
      <c r="AZ10" s="40" t="s">
        <v>199</v>
      </c>
      <c r="BA10" s="41" t="s">
        <v>80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196</v>
      </c>
      <c r="G11" s="9">
        <v>11600</v>
      </c>
      <c r="H11" s="9"/>
      <c r="I11" s="48">
        <v>0</v>
      </c>
      <c r="J11" s="21">
        <f t="shared" si="2"/>
        <v>20900</v>
      </c>
      <c r="K11" s="8"/>
      <c r="L11" s="9"/>
      <c r="M11" s="9"/>
      <c r="N11" s="48"/>
      <c r="O11" s="21">
        <f t="shared" si="3"/>
        <v>75900</v>
      </c>
      <c r="P11" s="8" t="s">
        <v>197</v>
      </c>
      <c r="Q11" s="9">
        <v>-11600</v>
      </c>
      <c r="R11" s="9"/>
      <c r="S11" s="48">
        <v>0</v>
      </c>
      <c r="T11" s="21">
        <f t="shared" si="4"/>
        <v>8200</v>
      </c>
      <c r="U11" s="53">
        <f>IF($J11="","",ROUND(($J11-$J$3)/1000,1)+(_xlfn.RANK.AVG($J11,($J11,$O11,$T11),1)-2)*20)</f>
        <v>-14.1</v>
      </c>
      <c r="V11" s="54">
        <f>IF($O11="","",ROUND(($O11-$O$3)/1000,1)+(_xlfn.RANK.AVG($O11,($J11,$O11,$T11),1)-2)*20)</f>
        <v>60.9</v>
      </c>
      <c r="W11" s="55">
        <f>IF($T11="","",ROUND(($T11-$T$3)/1000,1)+(_xlfn.RANK.AVG($T11,($J11,$O11,$T11),1)-2)*20)</f>
        <v>-46.8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199</v>
      </c>
      <c r="AF11" s="41" t="s">
        <v>83</v>
      </c>
      <c r="AG11" s="41" t="s">
        <v>84</v>
      </c>
      <c r="AH11" s="41" t="s">
        <v>202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IF($F$1="","",$F$1)</f>
        <v>りくと</v>
      </c>
      <c r="F12" s="8" t="s">
        <v>197</v>
      </c>
      <c r="G12" s="9">
        <v>-5200</v>
      </c>
      <c r="H12" s="9"/>
      <c r="I12" s="48">
        <v>-1000</v>
      </c>
      <c r="J12" s="21">
        <f t="shared" si="2"/>
        <v>14700</v>
      </c>
      <c r="K12" s="8"/>
      <c r="L12" s="9"/>
      <c r="M12" s="9"/>
      <c r="N12" s="48"/>
      <c r="O12" s="21">
        <f t="shared" si="3"/>
        <v>75900</v>
      </c>
      <c r="P12" s="8" t="s">
        <v>196</v>
      </c>
      <c r="Q12" s="9">
        <v>5200</v>
      </c>
      <c r="R12" s="9"/>
      <c r="S12" s="48">
        <v>1000</v>
      </c>
      <c r="T12" s="21">
        <f t="shared" si="4"/>
        <v>14400</v>
      </c>
      <c r="U12" s="53">
        <f>IF($J12="","",ROUND(($J12-$J$3)/1000,1)+(_xlfn.RANK.AVG($J12,($J12,$O12,$T12),1)-2)*20)</f>
        <v>-20.3</v>
      </c>
      <c r="V12" s="54">
        <f>IF($O12="","",ROUND(($O12-$O$3)/1000,1)+(_xlfn.RANK.AVG($O12,($J12,$O12,$T12),1)-2)*20)</f>
        <v>60.9</v>
      </c>
      <c r="W12" s="55">
        <f>IF($T12="","",ROUND(($T12-$T$3)/1000,1)+(_xlfn.RANK.AVG($T12,($J12,$O12,$T12),1)-2)*20)</f>
        <v>-40.6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40</v>
      </c>
      <c r="BU12" s="40" t="s">
        <v>199</v>
      </c>
      <c r="BV12" s="41" t="s">
        <v>79</v>
      </c>
      <c r="BW12" s="41" t="s">
        <v>202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197</v>
      </c>
      <c r="G13" s="9">
        <v>-4800</v>
      </c>
      <c r="H13" s="9"/>
      <c r="I13" s="48">
        <v>0</v>
      </c>
      <c r="J13" s="21">
        <f t="shared" si="2"/>
        <v>9900</v>
      </c>
      <c r="K13" s="8" t="s">
        <v>196</v>
      </c>
      <c r="L13" s="9">
        <v>4800</v>
      </c>
      <c r="M13" s="9"/>
      <c r="N13" s="48">
        <v>0</v>
      </c>
      <c r="O13" s="21">
        <f t="shared" si="3"/>
        <v>80700</v>
      </c>
      <c r="P13" s="8"/>
      <c r="Q13" s="9"/>
      <c r="R13" s="9"/>
      <c r="S13" s="48"/>
      <c r="T13" s="21">
        <f t="shared" si="4"/>
        <v>14400</v>
      </c>
      <c r="U13" s="53">
        <f>IF($J13="","",ROUND(($J13-$J$3)/1000,1)+(_xlfn.RANK.AVG($J13,($J13,$O13,$T13),1)-2)*20)</f>
        <v>-45.1</v>
      </c>
      <c r="V13" s="54">
        <f>IF($O13="","",ROUND(($O13-$O$3)/1000,1)+(_xlfn.RANK.AVG($O13,($J13,$O13,$T13),1)-2)*20)</f>
        <v>65.7</v>
      </c>
      <c r="W13" s="55">
        <f>IF($T13="","",ROUND(($T13-$T$3)/1000,1)+(_xlfn.RANK.AVG($T13,($J13,$O13,$T13),1)-2)*20)</f>
        <v>-20.6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3</v>
      </c>
      <c r="AY13" s="30">
        <v>25</v>
      </c>
      <c r="AZ13" s="40" t="s">
        <v>101</v>
      </c>
      <c r="BA13" s="41" t="s">
        <v>203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tr">
        <f>IF($K$1="","",$K$1)</f>
        <v>ただ</v>
      </c>
      <c r="F14" s="8" t="s">
        <v>197</v>
      </c>
      <c r="G14" s="9">
        <v>-12000</v>
      </c>
      <c r="H14" s="9"/>
      <c r="I14" s="48">
        <v>-1000</v>
      </c>
      <c r="J14" s="21">
        <f t="shared" si="2"/>
        <v>-3100</v>
      </c>
      <c r="K14" s="8"/>
      <c r="L14" s="9"/>
      <c r="M14" s="9"/>
      <c r="N14" s="48"/>
      <c r="O14" s="21">
        <f t="shared" si="3"/>
        <v>80700</v>
      </c>
      <c r="P14" s="8" t="s">
        <v>196</v>
      </c>
      <c r="Q14" s="9">
        <v>12000</v>
      </c>
      <c r="R14" s="9"/>
      <c r="S14" s="48">
        <v>1000</v>
      </c>
      <c r="T14" s="21">
        <f t="shared" si="4"/>
        <v>27400</v>
      </c>
      <c r="U14" s="53">
        <f>IF($J14="","",ROUND(($J14-$J$3)/1000,1)+(_xlfn.RANK.AVG($J14,($J14,$O14,$T14),1)-2)*20)</f>
        <v>-58.1</v>
      </c>
      <c r="V14" s="54">
        <f>IF($O14="","",ROUND(($O14-$O$3)/1000,1)+(_xlfn.RANK.AVG($O14,($J14,$O14,$T14),1)-2)*20)</f>
        <v>65.7</v>
      </c>
      <c r="W14" s="55">
        <f>IF($T14="","",ROUND(($T14-$T$3)/1000,1)+(_xlfn.RANK.AVG($T14,($J14,$O14,$T14),1)-2)*20)</f>
        <v>-7.6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7</v>
      </c>
      <c r="BT14" s="30" t="s">
        <v>198</v>
      </c>
      <c r="BU14" s="40" t="s">
        <v>199</v>
      </c>
      <c r="BV14" s="41" t="s">
        <v>106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D3AA0F0B-2BE1-49F8-9C13-A04EABBA1F1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AD6DF235-6285-4C9B-B762-4F31C2ABB493}">
      <formula1>"ロン,ツモ,放銃,ツモ支払,流局,チョンボ"</formula1>
    </dataValidation>
    <dataValidation type="list" allowBlank="1" showInputMessage="1" showErrorMessage="1" sqref="E4:E30" xr:uid="{F9EA5E73-712D-4B38-85B5-2831E727E3D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7A7B5-B915-40FB-9034-FD4B6C39BF1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85</v>
      </c>
      <c r="BW4" s="41" t="s">
        <v>83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201</v>
      </c>
      <c r="G5" s="9">
        <v>8000</v>
      </c>
      <c r="H5" s="9"/>
      <c r="I5" s="48">
        <v>0</v>
      </c>
      <c r="J5" s="21">
        <f t="shared" ref="J5:J30" si="2">IF(COUNTA($F5,$K5,$P5)&gt;0,J4+SUM(G5:I5),"")</f>
        <v>39100</v>
      </c>
      <c r="K5" s="8" t="s">
        <v>200</v>
      </c>
      <c r="L5" s="9">
        <v>-3000</v>
      </c>
      <c r="M5" s="9"/>
      <c r="N5" s="48">
        <v>0</v>
      </c>
      <c r="O5" s="21">
        <f t="shared" ref="O5:O30" si="3">IF(COUNTA($F5,$K5,$P5)&gt;0,O4+SUM(L5:N5),"")</f>
        <v>32000</v>
      </c>
      <c r="P5" s="8" t="s">
        <v>200</v>
      </c>
      <c r="Q5" s="9">
        <v>-5000</v>
      </c>
      <c r="R5" s="9"/>
      <c r="S5" s="48">
        <v>0</v>
      </c>
      <c r="T5" s="21">
        <f t="shared" ref="T5:T30" si="4">IF(COUNTA($F5,$K5,$P5)&gt;0,T4+SUM(Q5:S5),"")</f>
        <v>33900</v>
      </c>
      <c r="U5" s="53">
        <f>IF($J5="","",ROUND(($J5-$J$3)/1000,1)+(_xlfn.RANK.AVG($J5,($J5,$O5,$T5),1)-2)*20)</f>
        <v>24.1</v>
      </c>
      <c r="V5" s="54">
        <f>IF($O5="","",ROUND(($O5-$O$3)/1000,1)+(_xlfn.RANK.AVG($O5,($J5,$O5,$T5),1)-2)*20)</f>
        <v>-23</v>
      </c>
      <c r="W5" s="55">
        <f>IF($T5="","",ROUND(($T5-$T$3)/1000,1)+(_xlfn.RANK.AVG($T5,($J5,$O5,$T5),1)-2)*20)</f>
        <v>-1.1000000000000001</v>
      </c>
      <c r="Y5" s="8"/>
      <c r="Z5" s="34"/>
      <c r="AA5" s="26"/>
      <c r="AB5" s="26"/>
      <c r="AC5" s="26">
        <v>4</v>
      </c>
      <c r="AD5" s="30">
        <v>40</v>
      </c>
      <c r="AE5" s="40" t="s">
        <v>82</v>
      </c>
      <c r="AF5" s="41" t="s">
        <v>96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12000</v>
      </c>
      <c r="H6" s="9"/>
      <c r="I6" s="48">
        <v>0</v>
      </c>
      <c r="J6" s="21">
        <f t="shared" si="2"/>
        <v>51100</v>
      </c>
      <c r="K6" s="8" t="s">
        <v>200</v>
      </c>
      <c r="L6" s="9">
        <v>-6000</v>
      </c>
      <c r="M6" s="9"/>
      <c r="N6" s="48">
        <v>0</v>
      </c>
      <c r="O6" s="21">
        <f t="shared" si="3"/>
        <v>26000</v>
      </c>
      <c r="P6" s="8" t="s">
        <v>200</v>
      </c>
      <c r="Q6" s="9">
        <v>-6000</v>
      </c>
      <c r="R6" s="9"/>
      <c r="S6" s="48">
        <v>0</v>
      </c>
      <c r="T6" s="21">
        <f t="shared" si="4"/>
        <v>27900</v>
      </c>
      <c r="U6" s="53">
        <f>IF($J6="","",ROUND(($J6-$J$3)/1000,1)+(_xlfn.RANK.AVG($J6,($J6,$O6,$T6),1)-2)*20)</f>
        <v>36.1</v>
      </c>
      <c r="V6" s="54">
        <f>IF($O6="","",ROUND(($O6-$O$3)/1000,1)+(_xlfn.RANK.AVG($O6,($J6,$O6,$T6),1)-2)*20)</f>
        <v>-29</v>
      </c>
      <c r="W6" s="55">
        <f>IF($T6="","",ROUND(($T6-$T$3)/1000,1)+(_xlfn.RANK.AVG($T6,($J6,$O6,$T6),1)-2)*20)</f>
        <v>-7.1</v>
      </c>
      <c r="Y6" s="8"/>
      <c r="Z6" s="34"/>
      <c r="AA6" s="26">
        <v>1</v>
      </c>
      <c r="AB6" s="26"/>
      <c r="AC6" s="26">
        <v>5</v>
      </c>
      <c r="AD6" s="30" t="s">
        <v>198</v>
      </c>
      <c r="AE6" s="40" t="s">
        <v>199</v>
      </c>
      <c r="AF6" s="41" t="s">
        <v>82</v>
      </c>
      <c r="AG6" s="41" t="s">
        <v>101</v>
      </c>
      <c r="AH6" s="41" t="s">
        <v>203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197</v>
      </c>
      <c r="G7" s="9">
        <v>-6400</v>
      </c>
      <c r="H7" s="9"/>
      <c r="I7" s="48">
        <v>-1000</v>
      </c>
      <c r="J7" s="21">
        <f t="shared" si="2"/>
        <v>43700</v>
      </c>
      <c r="K7" s="8"/>
      <c r="L7" s="9"/>
      <c r="M7" s="9">
        <v>-1000</v>
      </c>
      <c r="N7" s="48"/>
      <c r="O7" s="21">
        <f t="shared" si="3"/>
        <v>25000</v>
      </c>
      <c r="P7" s="8" t="s">
        <v>196</v>
      </c>
      <c r="Q7" s="9">
        <v>6400</v>
      </c>
      <c r="R7" s="9">
        <v>1000</v>
      </c>
      <c r="S7" s="48">
        <v>1000</v>
      </c>
      <c r="T7" s="21">
        <f t="shared" si="4"/>
        <v>36300</v>
      </c>
      <c r="U7" s="53">
        <f>IF($J7="","",ROUND(($J7-$J$3)/1000,1)+(_xlfn.RANK.AVG($J7,($J7,$O7,$T7),1)-2)*20)</f>
        <v>28.7</v>
      </c>
      <c r="V7" s="54">
        <f>IF($O7="","",ROUND(($O7-$O$3)/1000,1)+(_xlfn.RANK.AVG($O7,($J7,$O7,$T7),1)-2)*20)</f>
        <v>-30</v>
      </c>
      <c r="W7" s="55">
        <f>IF($T7="","",ROUND(($T7-$T$3)/1000,1)+(_xlfn.RANK.AVG($T7,($J7,$O7,$T7),1)-2)*20)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25</v>
      </c>
      <c r="BU7" s="40" t="s">
        <v>199</v>
      </c>
      <c r="BV7" s="41" t="s">
        <v>202</v>
      </c>
      <c r="BW7" s="41" t="s">
        <v>101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>
        <f t="shared" si="2"/>
        <v>43700</v>
      </c>
      <c r="K8" s="8" t="s">
        <v>196</v>
      </c>
      <c r="L8" s="9">
        <v>11600</v>
      </c>
      <c r="M8" s="9"/>
      <c r="N8" s="48">
        <v>0</v>
      </c>
      <c r="O8" s="21">
        <f t="shared" si="3"/>
        <v>36600</v>
      </c>
      <c r="P8" s="8" t="s">
        <v>197</v>
      </c>
      <c r="Q8" s="9">
        <v>-11600</v>
      </c>
      <c r="R8" s="9"/>
      <c r="S8" s="48">
        <v>0</v>
      </c>
      <c r="T8" s="21">
        <f t="shared" si="4"/>
        <v>24700</v>
      </c>
      <c r="U8" s="53">
        <f>IF($J8="","",ROUND(($J8-$J$3)/1000,1)+(_xlfn.RANK.AVG($J8,($J8,$O8,$T8),1)-2)*20)</f>
        <v>28.7</v>
      </c>
      <c r="V8" s="54">
        <f>IF($O8="","",ROUND(($O8-$O$3)/1000,1)+(_xlfn.RANK.AVG($O8,($J8,$O8,$T8),1)-2)*20)</f>
        <v>1.6</v>
      </c>
      <c r="W8" s="55">
        <f>IF($T8="","",ROUND(($T8-$T$3)/1000,1)+(_xlfn.RANK.AVG($T8,($J8,$O8,$T8),1)-2)*20)</f>
        <v>-30.3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104</v>
      </c>
      <c r="BA8" s="41" t="s">
        <v>86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43700</v>
      </c>
      <c r="K9" s="8" t="s">
        <v>196</v>
      </c>
      <c r="L9" s="9">
        <v>4800</v>
      </c>
      <c r="M9" s="9"/>
      <c r="N9" s="48">
        <v>1000</v>
      </c>
      <c r="O9" s="21">
        <f t="shared" si="3"/>
        <v>42400</v>
      </c>
      <c r="P9" s="8" t="s">
        <v>197</v>
      </c>
      <c r="Q9" s="9">
        <v>-4800</v>
      </c>
      <c r="R9" s="9"/>
      <c r="S9" s="48">
        <v>-1000</v>
      </c>
      <c r="T9" s="21">
        <f t="shared" si="4"/>
        <v>18900</v>
      </c>
      <c r="U9" s="53">
        <f>IF($J9="","",ROUND(($J9-$J$3)/1000,1)+(_xlfn.RANK.AVG($J9,($J9,$O9,$T9),1)-2)*20)</f>
        <v>28.7</v>
      </c>
      <c r="V9" s="54">
        <f>IF($O9="","",ROUND(($O9-$O$3)/1000,1)+(_xlfn.RANK.AVG($O9,($J9,$O9,$T9),1)-2)*20)</f>
        <v>7.4</v>
      </c>
      <c r="W9" s="55">
        <f>IF($T9="","",ROUND(($T9-$T$3)/1000,1)+(_xlfn.RANK.AVG($T9,($J9,$O9,$T9),1)-2)*20)</f>
        <v>-36.1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50</v>
      </c>
      <c r="AZ9" s="40" t="s">
        <v>86</v>
      </c>
      <c r="BA9" s="41" t="s">
        <v>84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IF($K$1="","",$K$1)</f>
        <v>ただ</v>
      </c>
      <c r="F10" s="8" t="s">
        <v>200</v>
      </c>
      <c r="G10" s="9">
        <v>-9000</v>
      </c>
      <c r="H10" s="9"/>
      <c r="I10" s="48">
        <v>-1000</v>
      </c>
      <c r="J10" s="21">
        <f t="shared" si="2"/>
        <v>33700</v>
      </c>
      <c r="K10" s="8" t="s">
        <v>201</v>
      </c>
      <c r="L10" s="9">
        <v>18000</v>
      </c>
      <c r="M10" s="9"/>
      <c r="N10" s="48">
        <v>2000</v>
      </c>
      <c r="O10" s="21">
        <f t="shared" si="3"/>
        <v>62400</v>
      </c>
      <c r="P10" s="8" t="s">
        <v>200</v>
      </c>
      <c r="Q10" s="9">
        <v>-9000</v>
      </c>
      <c r="R10" s="9"/>
      <c r="S10" s="48">
        <v>-1000</v>
      </c>
      <c r="T10" s="21">
        <f t="shared" si="4"/>
        <v>8900</v>
      </c>
      <c r="U10" s="53">
        <f>IF($J10="","",ROUND(($J10-$J$3)/1000,1)+(_xlfn.RANK.AVG($J10,($J10,$O10,$T10),1)-2)*20)</f>
        <v>-1.3</v>
      </c>
      <c r="V10" s="54">
        <f>IF($O10="","",ROUND(($O10-$O$3)/1000,1)+(_xlfn.RANK.AVG($O10,($J10,$O10,$T10),1)-2)*20)</f>
        <v>47.4</v>
      </c>
      <c r="W10" s="55">
        <f>IF($T10="","",ROUND(($T10-$T$3)/1000,1)+(_xlfn.RANK.AVG($T10,($J10,$O10,$T10),1)-2)*20)</f>
        <v>-46.1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198</v>
      </c>
      <c r="AZ10" s="40" t="s">
        <v>199</v>
      </c>
      <c r="BA10" s="41" t="s">
        <v>82</v>
      </c>
      <c r="BB10" s="41" t="s">
        <v>202</v>
      </c>
      <c r="BC10" s="41" t="s">
        <v>96</v>
      </c>
      <c r="BD10" s="41" t="s">
        <v>86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IF($K$1="","",$K$1)</f>
        <v>ただ</v>
      </c>
      <c r="F11" s="8"/>
      <c r="G11" s="9"/>
      <c r="H11" s="9"/>
      <c r="I11" s="48"/>
      <c r="J11" s="21">
        <f t="shared" si="2"/>
        <v>33700</v>
      </c>
      <c r="K11" s="8" t="s">
        <v>197</v>
      </c>
      <c r="L11" s="9">
        <v>-1300</v>
      </c>
      <c r="M11" s="9"/>
      <c r="N11" s="48">
        <v>-3000</v>
      </c>
      <c r="O11" s="21">
        <f t="shared" si="3"/>
        <v>58100</v>
      </c>
      <c r="P11" s="8" t="s">
        <v>196</v>
      </c>
      <c r="Q11" s="9">
        <v>1300</v>
      </c>
      <c r="R11" s="9"/>
      <c r="S11" s="48">
        <v>3000</v>
      </c>
      <c r="T11" s="21">
        <f t="shared" si="4"/>
        <v>13200</v>
      </c>
      <c r="U11" s="53">
        <f>IF($J11="","",ROUND(($J11-$J$3)/1000,1)+(_xlfn.RANK.AVG($J11,($J11,$O11,$T11),1)-2)*20)</f>
        <v>-1.3</v>
      </c>
      <c r="V11" s="54">
        <f>IF($O11="","",ROUND(($O11-$O$3)/1000,1)+(_xlfn.RANK.AVG($O11,($J11,$O11,$T11),1)-2)*20)</f>
        <v>43.1</v>
      </c>
      <c r="W11" s="55">
        <f>IF($T11="","",ROUND(($T11-$T$3)/1000,1)+(_xlfn.RANK.AVG($T11,($J11,$O11,$T11),1)-2)*20)</f>
        <v>-41.8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1</v>
      </c>
      <c r="BT11" s="30">
        <v>40</v>
      </c>
      <c r="BU11" s="40" t="s">
        <v>199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197</v>
      </c>
      <c r="G12" s="9">
        <v>-3900</v>
      </c>
      <c r="H12" s="9"/>
      <c r="I12" s="48">
        <v>0</v>
      </c>
      <c r="J12" s="21">
        <f t="shared" si="2"/>
        <v>29800</v>
      </c>
      <c r="K12" s="8"/>
      <c r="L12" s="9"/>
      <c r="M12" s="9"/>
      <c r="N12" s="48"/>
      <c r="O12" s="21">
        <f t="shared" si="3"/>
        <v>58100</v>
      </c>
      <c r="P12" s="8" t="s">
        <v>196</v>
      </c>
      <c r="Q12" s="9">
        <v>3900</v>
      </c>
      <c r="R12" s="9"/>
      <c r="S12" s="48">
        <v>0</v>
      </c>
      <c r="T12" s="21">
        <f t="shared" si="4"/>
        <v>17100</v>
      </c>
      <c r="U12" s="53">
        <f>IF($J12="","",ROUND(($J12-$J$3)/1000,1)+(_xlfn.RANK.AVG($J12,($J12,$O12,$T12),1)-2)*20)</f>
        <v>-5.2</v>
      </c>
      <c r="V12" s="54">
        <f>IF($O12="","",ROUND(($O12-$O$3)/1000,1)+(_xlfn.RANK.AVG($O12,($J12,$O12,$T12),1)-2)*20)</f>
        <v>43.1</v>
      </c>
      <c r="W12" s="55">
        <f>IF($T12="","",ROUND(($T12-$T$3)/1000,1)+(_xlfn.RANK.AVG($T12,($J12,$O12,$T12),1)-2)*20)</f>
        <v>-37.9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2</v>
      </c>
      <c r="BT12" s="30">
        <v>40</v>
      </c>
      <c r="BU12" s="40" t="s">
        <v>85</v>
      </c>
      <c r="BV12" s="41" t="s">
        <v>203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IF($P$1="","",$P$1)</f>
        <v>だいち</v>
      </c>
      <c r="F13" s="8" t="s">
        <v>196</v>
      </c>
      <c r="G13" s="9">
        <v>5200</v>
      </c>
      <c r="H13" s="9"/>
      <c r="I13" s="48">
        <v>1000</v>
      </c>
      <c r="J13" s="21">
        <f t="shared" si="2"/>
        <v>36000</v>
      </c>
      <c r="K13" s="8" t="s">
        <v>197</v>
      </c>
      <c r="L13" s="9">
        <v>-5200</v>
      </c>
      <c r="M13" s="9"/>
      <c r="N13" s="48">
        <v>-1000</v>
      </c>
      <c r="O13" s="21">
        <f t="shared" si="3"/>
        <v>51900</v>
      </c>
      <c r="P13" s="8"/>
      <c r="Q13" s="9"/>
      <c r="R13" s="9"/>
      <c r="S13" s="48"/>
      <c r="T13" s="21">
        <f t="shared" si="4"/>
        <v>17100</v>
      </c>
      <c r="U13" s="53">
        <f>IF($J13="","",ROUND(($J13-$J$3)/1000,1)+(_xlfn.RANK.AVG($J13,($J13,$O13,$T13),1)-2)*20)</f>
        <v>1</v>
      </c>
      <c r="V13" s="54">
        <f>IF($O13="","",ROUND(($O13-$O$3)/1000,1)+(_xlfn.RANK.AVG($O13,($J13,$O13,$T13),1)-2)*20)</f>
        <v>36.9</v>
      </c>
      <c r="W13" s="55">
        <f>IF($T13="","",ROUND(($T13-$T$3)/1000,1)+(_xlfn.RANK.AVG($T13,($J13,$O13,$T13),1)-2)*20)</f>
        <v>-37.9</v>
      </c>
      <c r="Y13" s="8"/>
      <c r="Z13" s="34"/>
      <c r="AA13" s="26"/>
      <c r="AB13" s="26"/>
      <c r="AC13" s="26">
        <v>3</v>
      </c>
      <c r="AD13" s="30">
        <v>40</v>
      </c>
      <c r="AE13" s="40" t="s">
        <v>84</v>
      </c>
      <c r="AF13" s="41" t="s">
        <v>79</v>
      </c>
      <c r="AG13" s="41" t="s">
        <v>79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IF($F$1="","",$F$1)</f>
        <v>りくと</v>
      </c>
      <c r="F14" s="8"/>
      <c r="G14" s="9"/>
      <c r="H14" s="9"/>
      <c r="I14" s="48"/>
      <c r="J14" s="21">
        <f t="shared" si="2"/>
        <v>36000</v>
      </c>
      <c r="K14" s="8" t="s">
        <v>197</v>
      </c>
      <c r="L14" s="9">
        <v>-2600</v>
      </c>
      <c r="M14" s="9"/>
      <c r="N14" s="48">
        <v>0</v>
      </c>
      <c r="O14" s="21">
        <f t="shared" si="3"/>
        <v>49300</v>
      </c>
      <c r="P14" s="8" t="s">
        <v>196</v>
      </c>
      <c r="Q14" s="9">
        <v>2600</v>
      </c>
      <c r="R14" s="9"/>
      <c r="S14" s="48">
        <v>0</v>
      </c>
      <c r="T14" s="21">
        <f t="shared" si="4"/>
        <v>19700</v>
      </c>
      <c r="U14" s="53">
        <f>IF($J14="","",ROUND(($J14-$J$3)/1000,1)+(_xlfn.RANK.AVG($J14,($J14,$O14,$T14),1)-2)*20)</f>
        <v>1</v>
      </c>
      <c r="V14" s="54">
        <f>IF($O14="","",ROUND(($O14-$O$3)/1000,1)+(_xlfn.RANK.AVG($O14,($J14,$O14,$T14),1)-2)*20)</f>
        <v>34.299999999999997</v>
      </c>
      <c r="W14" s="55">
        <f>IF($T14="","",ROUND(($T14-$T$3)/1000,1)+(_xlfn.RANK.AVG($T14,($J14,$O14,$T14),1)-2)*20)</f>
        <v>-35.299999999999997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2</v>
      </c>
      <c r="BT14" s="30">
        <v>40</v>
      </c>
      <c r="BU14" s="40" t="s">
        <v>86</v>
      </c>
      <c r="BV14" s="41" t="s">
        <v>203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C12B6222-4856-497F-9A7E-2193576E431B}">
      <formula1>$U$2:$W$2</formula1>
    </dataValidation>
    <dataValidation type="list" showInputMessage="1" showErrorMessage="1" sqref="K4:K30 P4:P30 F4:F30" xr:uid="{F8A96223-CDA6-4FB3-A596-5FAC8802081E}">
      <formula1>"ロン,ツモ,放銃,ツモ支払,流局,チョンボ"</formula1>
    </dataValidation>
    <dataValidation type="list" allowBlank="1" showInputMessage="1" sqref="F1:T1" xr:uid="{B6628500-8E40-41D2-9E7D-400D7D77701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76418-D7E0-4B16-81B6-13298AFD43A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196</v>
      </c>
      <c r="L4" s="9">
        <v>3900</v>
      </c>
      <c r="M4" s="9">
        <v>1000</v>
      </c>
      <c r="N4" s="48">
        <v>0</v>
      </c>
      <c r="O4" s="21">
        <f>IF(COUNTA($F4,$K4,$P4)&gt;0,O3+SUM(L4:N4),"")</f>
        <v>39900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24.9</v>
      </c>
      <c r="W4" s="55">
        <f>IF($T4="","",ROUND(($T4-$T$3)/1000,1)+(_xlfn.RANK.AVG($T4,($J4,$O4,$T4),1)-2)*20)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84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200</v>
      </c>
      <c r="G5" s="9">
        <v>-800</v>
      </c>
      <c r="H5" s="9">
        <v>-1000</v>
      </c>
      <c r="I5" s="48">
        <v>0</v>
      </c>
      <c r="J5" s="21">
        <f t="shared" ref="J5:J30" si="2">IF(COUNTA($F5,$K5,$P5)&gt;0,J4+SUM(G5:I5),"")</f>
        <v>29300</v>
      </c>
      <c r="K5" s="8" t="s">
        <v>200</v>
      </c>
      <c r="L5" s="9">
        <v>-1300</v>
      </c>
      <c r="M5" s="9"/>
      <c r="N5" s="48">
        <v>0</v>
      </c>
      <c r="O5" s="21">
        <f t="shared" ref="O5:O30" si="3">IF(COUNTA($F5,$K5,$P5)&gt;0,O4+SUM(L5:N5),"")</f>
        <v>38600</v>
      </c>
      <c r="P5" s="8" t="s">
        <v>201</v>
      </c>
      <c r="Q5" s="9">
        <v>2100</v>
      </c>
      <c r="R5" s="9">
        <v>1000</v>
      </c>
      <c r="S5" s="48">
        <v>0</v>
      </c>
      <c r="T5" s="21">
        <f t="shared" ref="T5:T30" si="4">IF(COUNTA($F5,$K5,$P5)&gt;0,T4+SUM(Q5:S5),"")</f>
        <v>37100</v>
      </c>
      <c r="U5" s="53">
        <f>IF($J5="","",ROUND(($J5-$J$3)/1000,1)+(_xlfn.RANK.AVG($J5,($J5,$O5,$T5),1)-2)*20)</f>
        <v>-25.7</v>
      </c>
      <c r="V5" s="54">
        <f>IF($O5="","",ROUND(($O5-$O$3)/1000,1)+(_xlfn.RANK.AVG($O5,($J5,$O5,$T5),1)-2)*20)</f>
        <v>23.6</v>
      </c>
      <c r="W5" s="55">
        <f>IF($T5="","",ROUND(($T5-$T$3)/1000,1)+(_xlfn.RANK.AVG($T5,($J5,$O5,$T5),1)-2)*20)</f>
        <v>2.1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30</v>
      </c>
      <c r="BU5" s="40" t="s">
        <v>199</v>
      </c>
      <c r="BV5" s="41" t="s">
        <v>82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200</v>
      </c>
      <c r="G6" s="9">
        <v>-800</v>
      </c>
      <c r="H6" s="9"/>
      <c r="I6" s="48">
        <v>0</v>
      </c>
      <c r="J6" s="21">
        <f t="shared" si="2"/>
        <v>28500</v>
      </c>
      <c r="K6" s="8" t="s">
        <v>200</v>
      </c>
      <c r="L6" s="9">
        <v>-800</v>
      </c>
      <c r="M6" s="9">
        <v>-1000</v>
      </c>
      <c r="N6" s="48">
        <v>0</v>
      </c>
      <c r="O6" s="21">
        <f t="shared" si="3"/>
        <v>36800</v>
      </c>
      <c r="P6" s="8" t="s">
        <v>201</v>
      </c>
      <c r="Q6" s="9">
        <v>1600</v>
      </c>
      <c r="R6" s="9">
        <v>1000</v>
      </c>
      <c r="S6" s="48">
        <v>0</v>
      </c>
      <c r="T6" s="21">
        <f t="shared" si="4"/>
        <v>39700</v>
      </c>
      <c r="U6" s="53">
        <f>IF($J6="","",ROUND(($J6-$J$3)/1000,1)+(_xlfn.RANK.AVG($J6,($J6,$O6,$T6),1)-2)*20)</f>
        <v>-26.5</v>
      </c>
      <c r="V6" s="54">
        <f>IF($O6="","",ROUND(($O6-$O$3)/1000,1)+(_xlfn.RANK.AVG($O6,($J6,$O6,$T6),1)-2)*20)</f>
        <v>1.8</v>
      </c>
      <c r="W6" s="55">
        <f>IF($T6="","",ROUND(($T6-$T$3)/1000,1)+(_xlfn.RANK.AVG($T6,($J6,$O6,$T6),1)-2)*20)</f>
        <v>24.7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197</v>
      </c>
      <c r="G7" s="9">
        <v>-2600</v>
      </c>
      <c r="H7" s="9"/>
      <c r="I7" s="48">
        <v>-1000</v>
      </c>
      <c r="J7" s="21">
        <f t="shared" si="2"/>
        <v>24900</v>
      </c>
      <c r="K7" s="8" t="s">
        <v>196</v>
      </c>
      <c r="L7" s="9">
        <v>2600</v>
      </c>
      <c r="M7" s="9"/>
      <c r="N7" s="48">
        <v>1000</v>
      </c>
      <c r="O7" s="21">
        <f t="shared" si="3"/>
        <v>40400</v>
      </c>
      <c r="P7" s="8"/>
      <c r="Q7" s="9"/>
      <c r="R7" s="9"/>
      <c r="S7" s="48"/>
      <c r="T7" s="21">
        <f t="shared" si="4"/>
        <v>39700</v>
      </c>
      <c r="U7" s="53">
        <f>IF($J7="","",ROUND(($J7-$J$3)/1000,1)+(_xlfn.RANK.AVG($J7,($J7,$O7,$T7),1)-2)*20)</f>
        <v>-30.1</v>
      </c>
      <c r="V7" s="54">
        <f>IF($O7="","",ROUND(($O7-$O$3)/1000,1)+(_xlfn.RANK.AVG($O7,($J7,$O7,$T7),1)-2)*20)</f>
        <v>25.4</v>
      </c>
      <c r="W7" s="55">
        <f>IF($T7="","",ROUND(($T7-$T$3)/1000,1)+(_xlfn.RANK.AVG($T7,($J7,$O7,$T7),1)-2)*20)</f>
        <v>4.7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84</v>
      </c>
      <c r="BA7" s="41" t="s">
        <v>199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205</v>
      </c>
      <c r="G8" s="9">
        <v>-3000</v>
      </c>
      <c r="H8" s="9"/>
      <c r="I8" s="48"/>
      <c r="J8" s="21">
        <f t="shared" si="2"/>
        <v>21900</v>
      </c>
      <c r="K8" s="8" t="s">
        <v>205</v>
      </c>
      <c r="L8" s="9">
        <v>1500</v>
      </c>
      <c r="M8" s="9"/>
      <c r="N8" s="48"/>
      <c r="O8" s="21">
        <f t="shared" si="3"/>
        <v>41900</v>
      </c>
      <c r="P8" s="8" t="s">
        <v>205</v>
      </c>
      <c r="Q8" s="9">
        <v>1500</v>
      </c>
      <c r="R8" s="9"/>
      <c r="S8" s="48"/>
      <c r="T8" s="21">
        <f t="shared" si="4"/>
        <v>41200</v>
      </c>
      <c r="U8" s="53">
        <f>IF($J8="","",ROUND(($J8-$J$3)/1000,1)+(_xlfn.RANK.AVG($J8,($J8,$O8,$T8),1)-2)*20)</f>
        <v>-33.1</v>
      </c>
      <c r="V8" s="54">
        <f>IF($O8="","",ROUND(($O8-$O$3)/1000,1)+(_xlfn.RANK.AVG($O8,($J8,$O8,$T8),1)-2)*20)</f>
        <v>26.9</v>
      </c>
      <c r="W8" s="55">
        <f>IF($T8="","",ROUND(($T8-$T$3)/1000,1)+(_xlfn.RANK.AVG($T8,($J8,$O8,$T8),1)-2)*20)</f>
        <v>6.2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205</v>
      </c>
      <c r="G9" s="9">
        <v>-3000</v>
      </c>
      <c r="H9" s="9"/>
      <c r="I9" s="48"/>
      <c r="J9" s="21">
        <f t="shared" si="2"/>
        <v>18900</v>
      </c>
      <c r="K9" s="8" t="s">
        <v>205</v>
      </c>
      <c r="L9" s="9">
        <v>1500</v>
      </c>
      <c r="M9" s="9"/>
      <c r="N9" s="48"/>
      <c r="O9" s="21">
        <f t="shared" si="3"/>
        <v>43400</v>
      </c>
      <c r="P9" s="8" t="s">
        <v>205</v>
      </c>
      <c r="Q9" s="9">
        <v>1500</v>
      </c>
      <c r="R9" s="9">
        <v>-1000</v>
      </c>
      <c r="S9" s="48"/>
      <c r="T9" s="21">
        <f t="shared" si="4"/>
        <v>41700</v>
      </c>
      <c r="U9" s="53">
        <f>IF($J9="","",ROUND(($J9-$J$3)/1000,1)+(_xlfn.RANK.AVG($J9,($J9,$O9,$T9),1)-2)*20)</f>
        <v>-36.1</v>
      </c>
      <c r="V9" s="54">
        <f>IF($O9="","",ROUND(($O9-$O$3)/1000,1)+(_xlfn.RANK.AVG($O9,($J9,$O9,$T9),1)-2)*20)</f>
        <v>28.4</v>
      </c>
      <c r="W9" s="55">
        <f>IF($T9="","",ROUND(($T9-$T$3)/1000,1)+(_xlfn.RANK.AVG($T9,($J9,$O9,$T9),1)-2)*20)</f>
        <v>6.7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tr">
        <f>IF($K$1="","",$K$1)</f>
        <v>ただ</v>
      </c>
      <c r="F10" s="8" t="s">
        <v>197</v>
      </c>
      <c r="G10" s="9">
        <v>-12000</v>
      </c>
      <c r="H10" s="9"/>
      <c r="I10" s="48">
        <v>-2000</v>
      </c>
      <c r="J10" s="21">
        <f t="shared" si="2"/>
        <v>4900</v>
      </c>
      <c r="K10" s="8" t="s">
        <v>196</v>
      </c>
      <c r="L10" s="9">
        <v>12000</v>
      </c>
      <c r="M10" s="9">
        <v>1000</v>
      </c>
      <c r="N10" s="48">
        <v>2000</v>
      </c>
      <c r="O10" s="21">
        <f t="shared" si="3"/>
        <v>58400</v>
      </c>
      <c r="P10" s="8"/>
      <c r="Q10" s="9"/>
      <c r="R10" s="9"/>
      <c r="S10" s="48"/>
      <c r="T10" s="21">
        <f t="shared" si="4"/>
        <v>41700</v>
      </c>
      <c r="U10" s="53">
        <f>IF($J10="","",ROUND(($J10-$J$3)/1000,1)+(_xlfn.RANK.AVG($J10,($J10,$O10,$T10),1)-2)*20)</f>
        <v>-50.1</v>
      </c>
      <c r="V10" s="54">
        <f>IF($O10="","",ROUND(($O10-$O$3)/1000,1)+(_xlfn.RANK.AVG($O10,($J10,$O10,$T10),1)-2)*20)</f>
        <v>43.4</v>
      </c>
      <c r="W10" s="55">
        <f>IF($T10="","",ROUND(($T10-$T$3)/1000,1)+(_xlfn.RANK.AVG($T10,($J10,$O10,$T10),1)-2)*20)</f>
        <v>6.7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198</v>
      </c>
      <c r="AZ10" s="40" t="s">
        <v>86</v>
      </c>
      <c r="BA10" s="41" t="s">
        <v>104</v>
      </c>
      <c r="BB10" s="41" t="s">
        <v>203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tr">
        <f>IF($K$1="","",$K$1)</f>
        <v>ただ</v>
      </c>
      <c r="F11" s="8" t="s">
        <v>196</v>
      </c>
      <c r="G11" s="9">
        <v>2600</v>
      </c>
      <c r="H11" s="9"/>
      <c r="I11" s="48">
        <v>3000</v>
      </c>
      <c r="J11" s="21">
        <f t="shared" si="2"/>
        <v>10500</v>
      </c>
      <c r="K11" s="8"/>
      <c r="L11" s="9"/>
      <c r="M11" s="9"/>
      <c r="N11" s="48"/>
      <c r="O11" s="21">
        <f t="shared" si="3"/>
        <v>58400</v>
      </c>
      <c r="P11" s="8" t="s">
        <v>197</v>
      </c>
      <c r="Q11" s="9">
        <v>-2600</v>
      </c>
      <c r="R11" s="9"/>
      <c r="S11" s="48">
        <v>-3000</v>
      </c>
      <c r="T11" s="21">
        <f t="shared" si="4"/>
        <v>36100</v>
      </c>
      <c r="U11" s="53">
        <f>IF($J11="","",ROUND(($J11-$J$3)/1000,1)+(_xlfn.RANK.AVG($J11,($J11,$O11,$T11),1)-2)*20)</f>
        <v>-44.5</v>
      </c>
      <c r="V11" s="54">
        <f>IF($O11="","",ROUND(($O11-$O$3)/1000,1)+(_xlfn.RANK.AVG($O11,($J11,$O11,$T11),1)-2)*20)</f>
        <v>43.4</v>
      </c>
      <c r="W11" s="55">
        <f>IF($T11="","",ROUND(($T11-$T$3)/1000,1)+(_xlfn.RANK.AVG($T11,($J11,$O11,$T11),1)-2)*20)</f>
        <v>1.1000000000000001</v>
      </c>
      <c r="Y11" s="8"/>
      <c r="Z11" s="34"/>
      <c r="AA11" s="26"/>
      <c r="AB11" s="26"/>
      <c r="AC11" s="26">
        <v>2</v>
      </c>
      <c r="AD11" s="30">
        <v>40</v>
      </c>
      <c r="AE11" s="40" t="s">
        <v>84</v>
      </c>
      <c r="AF11" s="41" t="s">
        <v>203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/>
      <c r="G12" s="9"/>
      <c r="H12" s="9">
        <v>-1000</v>
      </c>
      <c r="I12" s="48"/>
      <c r="J12" s="21">
        <f t="shared" si="2"/>
        <v>9500</v>
      </c>
      <c r="K12" s="8" t="s">
        <v>197</v>
      </c>
      <c r="L12" s="9">
        <v>-2900</v>
      </c>
      <c r="M12" s="9"/>
      <c r="N12" s="48">
        <v>0</v>
      </c>
      <c r="O12" s="21">
        <f t="shared" si="3"/>
        <v>55500</v>
      </c>
      <c r="P12" s="8" t="s">
        <v>196</v>
      </c>
      <c r="Q12" s="9">
        <v>2900</v>
      </c>
      <c r="R12" s="9">
        <v>1000</v>
      </c>
      <c r="S12" s="48">
        <v>0</v>
      </c>
      <c r="T12" s="21">
        <f t="shared" si="4"/>
        <v>40000</v>
      </c>
      <c r="U12" s="53">
        <f>IF($J12="","",ROUND(($J12-$J$3)/1000,1)+(_xlfn.RANK.AVG($J12,($J12,$O12,$T12),1)-2)*20)</f>
        <v>-45.5</v>
      </c>
      <c r="V12" s="54">
        <f>IF($O12="","",ROUND(($O12-$O$3)/1000,1)+(_xlfn.RANK.AVG($O12,($J12,$O12,$T12),1)-2)*20)</f>
        <v>40.5</v>
      </c>
      <c r="W12" s="55">
        <f>IF($T12="","",ROUND(($T12-$T$3)/1000,1)+(_xlfn.RANK.AVG($T12,($J12,$O12,$T12),1)-2)*20)</f>
        <v>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だいち</v>
      </c>
      <c r="F13" s="8" t="s">
        <v>200</v>
      </c>
      <c r="G13" s="9">
        <v>-2000</v>
      </c>
      <c r="H13" s="9"/>
      <c r="I13" s="48">
        <v>-500</v>
      </c>
      <c r="J13" s="21">
        <f t="shared" si="2"/>
        <v>7000</v>
      </c>
      <c r="K13" s="8" t="s">
        <v>201</v>
      </c>
      <c r="L13" s="9">
        <v>5300</v>
      </c>
      <c r="M13" s="9"/>
      <c r="N13" s="48">
        <v>1000</v>
      </c>
      <c r="O13" s="21">
        <f t="shared" si="3"/>
        <v>61800</v>
      </c>
      <c r="P13" s="8" t="s">
        <v>200</v>
      </c>
      <c r="Q13" s="9">
        <v>-3300</v>
      </c>
      <c r="R13" s="9"/>
      <c r="S13" s="48">
        <v>-500</v>
      </c>
      <c r="T13" s="21">
        <f t="shared" si="4"/>
        <v>36200</v>
      </c>
      <c r="U13" s="53">
        <f>IF($J13="","",ROUND(($J13-$J$3)/1000,1)+(_xlfn.RANK.AVG($J13,($J13,$O13,$T13),1)-2)*20)</f>
        <v>-48</v>
      </c>
      <c r="V13" s="54">
        <f>IF($O13="","",ROUND(($O13-$O$3)/1000,1)+(_xlfn.RANK.AVG($O13,($J13,$O13,$T13),1)-2)*20)</f>
        <v>46.8</v>
      </c>
      <c r="W13" s="55">
        <f>IF($T13="","",ROUND(($T13-$T$3)/1000,1)+(_xlfn.RANK.AVG($T13,($J13,$O13,$T13),1)-2)*20)</f>
        <v>1.2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3</v>
      </c>
      <c r="AY13" s="30">
        <v>40</v>
      </c>
      <c r="AZ13" s="40" t="s">
        <v>82</v>
      </c>
      <c r="BA13" s="41" t="s">
        <v>86</v>
      </c>
      <c r="BB13" s="41" t="s">
        <v>79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ADFEBF5F-1D52-40EC-8D83-904E85ADD28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DC633016-3702-47BD-9CB9-CFCF2B5C9721}">
      <formula1>"ロン,ツモ,放銃,ツモ支払,流局,チョンボ"</formula1>
    </dataValidation>
    <dataValidation type="list" allowBlank="1" showInputMessage="1" showErrorMessage="1" sqref="E4:E30" xr:uid="{DD6CD3AD-CAAA-4EE0-A123-1C2FA83D49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E80B-0D00-4401-8868-3E2C9EEC4F0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200</v>
      </c>
      <c r="G4" s="9">
        <v>-7500</v>
      </c>
      <c r="H4" s="9">
        <v>-1000</v>
      </c>
      <c r="I4" s="48">
        <v>0</v>
      </c>
      <c r="J4" s="21">
        <f>IF(COUNTA($F4,$K4,$P4)&gt;0,J3+SUM(G4:I4),"")</f>
        <v>26500</v>
      </c>
      <c r="K4" s="8" t="s">
        <v>201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200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IF($J4="","",ROUND(($J4-$J$3)/1000,1)+(_xlfn.RANK.AVG($J4,($J4,$O4,$T4),1)-2)*20)</f>
        <v>-28.5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-4.5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198</v>
      </c>
      <c r="AZ4" s="40" t="s">
        <v>98</v>
      </c>
      <c r="BA4" s="41" t="s">
        <v>96</v>
      </c>
      <c r="BB4" s="41" t="s">
        <v>86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197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13500</v>
      </c>
      <c r="K5" s="8" t="s">
        <v>196</v>
      </c>
      <c r="L5" s="9">
        <v>12000</v>
      </c>
      <c r="M5" s="9">
        <v>2000</v>
      </c>
      <c r="N5" s="48">
        <v>0</v>
      </c>
      <c r="O5" s="21">
        <f t="shared" ref="O5:O30" si="3">IF(COUNTA($F5,$K5,$P5)&gt;0,O4+SUM(L5:N5),"")</f>
        <v>62000</v>
      </c>
      <c r="P5" s="8"/>
      <c r="Q5" s="9"/>
      <c r="R5" s="9">
        <v>-1000</v>
      </c>
      <c r="S5" s="48"/>
      <c r="T5" s="21">
        <f t="shared" ref="T5:T30" si="4">IF(COUNTA($F5,$K5,$P5)&gt;0,T4+SUM(Q5:S5),"")</f>
        <v>29500</v>
      </c>
      <c r="U5" s="53">
        <f>IF($J5="","",ROUND(($J5-$J$3)/1000,1)+(_xlfn.RANK.AVG($J5,($J5,$O5,$T5),1)-2)*20)</f>
        <v>-41.5</v>
      </c>
      <c r="V5" s="54">
        <f>IF($O5="","",ROUND(($O5-$O$3)/1000,1)+(_xlfn.RANK.AVG($O5,($J5,$O5,$T5),1)-2)*20)</f>
        <v>47</v>
      </c>
      <c r="W5" s="55">
        <f>IF($T5="","",ROUND(($T5-$T$3)/1000,1)+(_xlfn.RANK.AVG($T5,($J5,$O5,$T5),1)-2)*20)</f>
        <v>-5.5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199</v>
      </c>
      <c r="BA5" s="41" t="s">
        <v>86</v>
      </c>
      <c r="BB5" s="41" t="s">
        <v>86</v>
      </c>
      <c r="BC5" s="41" t="s">
        <v>203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201</v>
      </c>
      <c r="G6" s="9">
        <v>5300</v>
      </c>
      <c r="H6" s="9">
        <v>1000</v>
      </c>
      <c r="I6" s="48">
        <v>1000</v>
      </c>
      <c r="J6" s="21">
        <f t="shared" si="2"/>
        <v>20800</v>
      </c>
      <c r="K6" s="8" t="s">
        <v>200</v>
      </c>
      <c r="L6" s="9">
        <v>-3300</v>
      </c>
      <c r="M6" s="9"/>
      <c r="N6" s="48">
        <v>-500</v>
      </c>
      <c r="O6" s="21">
        <f t="shared" si="3"/>
        <v>58200</v>
      </c>
      <c r="P6" s="8" t="s">
        <v>200</v>
      </c>
      <c r="Q6" s="9">
        <v>-2000</v>
      </c>
      <c r="R6" s="9">
        <v>-1000</v>
      </c>
      <c r="S6" s="48">
        <v>-500</v>
      </c>
      <c r="T6" s="21">
        <f t="shared" si="4"/>
        <v>26000</v>
      </c>
      <c r="U6" s="53">
        <f>IF($J6="","",ROUND(($J6-$J$3)/1000,1)+(_xlfn.RANK.AVG($J6,($J6,$O6,$T6),1)-2)*20)</f>
        <v>-34.200000000000003</v>
      </c>
      <c r="V6" s="54">
        <f>IF($O6="","",ROUND(($O6-$O$3)/1000,1)+(_xlfn.RANK.AVG($O6,($J6,$O6,$T6),1)-2)*20)</f>
        <v>43.2</v>
      </c>
      <c r="W6" s="55">
        <f>IF($T6="","",ROUND(($T6-$T$3)/1000,1)+(_xlfn.RANK.AVG($T6,($J6,$O6,$T6),1)-2)*20)</f>
        <v>-9</v>
      </c>
      <c r="Y6" s="8"/>
      <c r="Z6" s="34"/>
      <c r="AA6" s="26">
        <v>1</v>
      </c>
      <c r="AB6" s="26"/>
      <c r="AC6" s="26">
        <v>4</v>
      </c>
      <c r="AD6" s="30">
        <v>20</v>
      </c>
      <c r="AE6" s="40" t="s">
        <v>199</v>
      </c>
      <c r="AF6" s="41" t="s">
        <v>82</v>
      </c>
      <c r="AG6" s="41" t="s">
        <v>83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/>
      <c r="G7" s="9"/>
      <c r="H7" s="9">
        <v>-1000</v>
      </c>
      <c r="I7" s="48"/>
      <c r="J7" s="21">
        <f t="shared" si="2"/>
        <v>19800</v>
      </c>
      <c r="K7" s="8" t="s">
        <v>197</v>
      </c>
      <c r="L7" s="9">
        <v>-4800</v>
      </c>
      <c r="M7" s="9"/>
      <c r="N7" s="48">
        <v>0</v>
      </c>
      <c r="O7" s="21">
        <f t="shared" si="3"/>
        <v>53400</v>
      </c>
      <c r="P7" s="8" t="s">
        <v>196</v>
      </c>
      <c r="Q7" s="9">
        <v>4800</v>
      </c>
      <c r="R7" s="9">
        <v>1000</v>
      </c>
      <c r="S7" s="48">
        <v>0</v>
      </c>
      <c r="T7" s="21">
        <f t="shared" si="4"/>
        <v>31800</v>
      </c>
      <c r="U7" s="53">
        <f>IF($J7="","",ROUND(($J7-$J$3)/1000,1)+(_xlfn.RANK.AVG($J7,($J7,$O7,$T7),1)-2)*20)</f>
        <v>-35.200000000000003</v>
      </c>
      <c r="V7" s="54">
        <f>IF($O7="","",ROUND(($O7-$O$3)/1000,1)+(_xlfn.RANK.AVG($O7,($J7,$O7,$T7),1)-2)*20)</f>
        <v>38.4</v>
      </c>
      <c r="W7" s="55">
        <f>IF($T7="","",ROUND(($T7-$T$3)/1000,1)+(_xlfn.RANK.AVG($T7,($J7,$O7,$T7),1)-2)*20)</f>
        <v>-3.2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25</v>
      </c>
      <c r="BU7" s="40" t="s">
        <v>199</v>
      </c>
      <c r="BV7" s="41" t="s">
        <v>101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196</v>
      </c>
      <c r="G8" s="9">
        <v>8000</v>
      </c>
      <c r="H8" s="9"/>
      <c r="I8" s="48">
        <v>1000</v>
      </c>
      <c r="J8" s="21">
        <f t="shared" si="2"/>
        <v>28800</v>
      </c>
      <c r="K8" s="8" t="s">
        <v>197</v>
      </c>
      <c r="L8" s="9">
        <v>-8000</v>
      </c>
      <c r="M8" s="9"/>
      <c r="N8" s="48">
        <v>-1000</v>
      </c>
      <c r="O8" s="21">
        <f t="shared" si="3"/>
        <v>44400</v>
      </c>
      <c r="P8" s="8"/>
      <c r="Q8" s="9"/>
      <c r="R8" s="9"/>
      <c r="S8" s="48"/>
      <c r="T8" s="21">
        <f t="shared" si="4"/>
        <v>31800</v>
      </c>
      <c r="U8" s="53">
        <f>IF($J8="","",ROUND(($J8-$J$3)/1000,1)+(_xlfn.RANK.AVG($J8,($J8,$O8,$T8),1)-2)*20)</f>
        <v>-26.2</v>
      </c>
      <c r="V8" s="54">
        <f>IF($O8="","",ROUND(($O8-$O$3)/1000,1)+(_xlfn.RANK.AVG($O8,($J8,$O8,$T8),1)-2)*20)</f>
        <v>29.4</v>
      </c>
      <c r="W8" s="55">
        <f>IF($T8="","",ROUND(($T8-$T$3)/1000,1)+(_xlfn.RANK.AVG($T8,($J8,$O8,$T8),1)-2)*20)</f>
        <v>-3.2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86</v>
      </c>
      <c r="AF8" s="41" t="s">
        <v>104</v>
      </c>
      <c r="AG8" s="41" t="s">
        <v>203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200</v>
      </c>
      <c r="G9" s="9">
        <v>-5000</v>
      </c>
      <c r="H9" s="9"/>
      <c r="I9" s="48">
        <v>0</v>
      </c>
      <c r="J9" s="21">
        <f t="shared" si="2"/>
        <v>23800</v>
      </c>
      <c r="K9" s="8" t="s">
        <v>201</v>
      </c>
      <c r="L9" s="9">
        <v>8000</v>
      </c>
      <c r="M9" s="9"/>
      <c r="N9" s="48">
        <v>0</v>
      </c>
      <c r="O9" s="21">
        <f t="shared" si="3"/>
        <v>52400</v>
      </c>
      <c r="P9" s="8" t="s">
        <v>200</v>
      </c>
      <c r="Q9" s="9">
        <v>-3000</v>
      </c>
      <c r="R9" s="9"/>
      <c r="S9" s="48">
        <v>0</v>
      </c>
      <c r="T9" s="21">
        <f t="shared" si="4"/>
        <v>28800</v>
      </c>
      <c r="U9" s="53">
        <f>IF($J9="","",ROUND(($J9-$J$3)/1000,1)+(_xlfn.RANK.AVG($J9,($J9,$O9,$T9),1)-2)*20)</f>
        <v>-31.2</v>
      </c>
      <c r="V9" s="54">
        <f>IF($O9="","",ROUND(($O9-$O$3)/1000,1)+(_xlfn.RANK.AVG($O9,($J9,$O9,$T9),1)-2)*20)</f>
        <v>37.4</v>
      </c>
      <c r="W9" s="55">
        <f>IF($T9="","",ROUND(($T9-$T$3)/1000,1)+(_xlfn.RANK.AVG($T9,($J9,$O9,$T9),1)-2)*20)</f>
        <v>-6.2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198</v>
      </c>
      <c r="AZ9" s="40" t="s">
        <v>199</v>
      </c>
      <c r="BA9" s="41" t="s">
        <v>82</v>
      </c>
      <c r="BB9" s="41" t="s">
        <v>202</v>
      </c>
      <c r="BC9" s="41" t="s">
        <v>83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197</v>
      </c>
      <c r="G10" s="9">
        <v>-2000</v>
      </c>
      <c r="H10" s="9"/>
      <c r="I10" s="48">
        <v>0</v>
      </c>
      <c r="J10" s="21">
        <f t="shared" si="2"/>
        <v>21800</v>
      </c>
      <c r="K10" s="8" t="s">
        <v>196</v>
      </c>
      <c r="L10" s="9">
        <v>2000</v>
      </c>
      <c r="M10" s="9">
        <v>1000</v>
      </c>
      <c r="N10" s="48">
        <v>0</v>
      </c>
      <c r="O10" s="21">
        <f t="shared" si="3"/>
        <v>55400</v>
      </c>
      <c r="P10" s="8"/>
      <c r="Q10" s="9"/>
      <c r="R10" s="9">
        <v>-1000</v>
      </c>
      <c r="S10" s="48"/>
      <c r="T10" s="21">
        <f t="shared" si="4"/>
        <v>27800</v>
      </c>
      <c r="U10" s="53">
        <f>IF($J10="","",ROUND(($J10-$J$3)/1000,1)+(_xlfn.RANK.AVG($J10,($J10,$O10,$T10),1)-2)*20)</f>
        <v>-33.200000000000003</v>
      </c>
      <c r="V10" s="54">
        <f>IF($O10="","",ROUND(($O10-$O$3)/1000,1)+(_xlfn.RANK.AVG($O10,($J10,$O10,$T10),1)-2)*20)</f>
        <v>40.4</v>
      </c>
      <c r="W10" s="55">
        <f>IF($T10="","",ROUND(($T10-$T$3)/1000,1)+(_xlfn.RANK.AVG($T10,($J10,$O10,$T10),1)-2)*20)</f>
        <v>-7.2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40</v>
      </c>
      <c r="AZ10" s="40" t="s">
        <v>84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201</v>
      </c>
      <c r="G11" s="9">
        <v>2800</v>
      </c>
      <c r="H11" s="9"/>
      <c r="I11" s="48">
        <v>1000</v>
      </c>
      <c r="J11" s="21">
        <f t="shared" si="2"/>
        <v>25600</v>
      </c>
      <c r="K11" s="8" t="s">
        <v>200</v>
      </c>
      <c r="L11" s="9">
        <v>-1700</v>
      </c>
      <c r="M11" s="9"/>
      <c r="N11" s="48">
        <v>-500</v>
      </c>
      <c r="O11" s="21">
        <f t="shared" si="3"/>
        <v>53200</v>
      </c>
      <c r="P11" s="8" t="s">
        <v>200</v>
      </c>
      <c r="Q11" s="9">
        <v>-1100</v>
      </c>
      <c r="R11" s="9"/>
      <c r="S11" s="48">
        <v>-500</v>
      </c>
      <c r="T11" s="21">
        <f t="shared" si="4"/>
        <v>26200</v>
      </c>
      <c r="U11" s="53">
        <f>IF($J11="","",ROUND(($J11-$J$3)/1000,1)+(_xlfn.RANK.AVG($J11,($J11,$O11,$T11),1)-2)*20)</f>
        <v>-29.4</v>
      </c>
      <c r="V11" s="54">
        <f>IF($O11="","",ROUND(($O11-$O$3)/1000,1)+(_xlfn.RANK.AVG($O11,($J11,$O11,$T11),1)-2)*20)</f>
        <v>38.200000000000003</v>
      </c>
      <c r="W11" s="55">
        <f>IF($T11="","",ROUND(($T11-$T$3)/1000,1)+(_xlfn.RANK.AVG($T11,($J11,$O11,$T11),1)-2)*20)</f>
        <v>-8.8000000000000007</v>
      </c>
      <c r="Y11" s="8"/>
      <c r="Z11" s="34"/>
      <c r="AA11" s="26"/>
      <c r="AB11" s="26">
        <v>1</v>
      </c>
      <c r="AC11" s="26">
        <v>2</v>
      </c>
      <c r="AD11" s="30">
        <v>40</v>
      </c>
      <c r="AE11" s="40" t="s">
        <v>86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196</v>
      </c>
      <c r="G12" s="9">
        <v>8000</v>
      </c>
      <c r="H12" s="9">
        <v>1000</v>
      </c>
      <c r="I12" s="48">
        <v>0</v>
      </c>
      <c r="J12" s="21">
        <f t="shared" si="2"/>
        <v>34600</v>
      </c>
      <c r="K12" s="8"/>
      <c r="L12" s="9"/>
      <c r="M12" s="9"/>
      <c r="N12" s="48"/>
      <c r="O12" s="21">
        <f t="shared" si="3"/>
        <v>53200</v>
      </c>
      <c r="P12" s="8" t="s">
        <v>197</v>
      </c>
      <c r="Q12" s="9">
        <v>-8000</v>
      </c>
      <c r="R12" s="9">
        <v>-1000</v>
      </c>
      <c r="S12" s="48">
        <v>0</v>
      </c>
      <c r="T12" s="21">
        <f t="shared" si="4"/>
        <v>17200</v>
      </c>
      <c r="U12" s="53">
        <f>IF($J12="","",ROUND(($J12-$J$3)/1000,1)+(_xlfn.RANK.AVG($J12,($J12,$O12,$T12),1)-2)*20)</f>
        <v>-0.4</v>
      </c>
      <c r="V12" s="54">
        <f>IF($O12="","",ROUND(($O12-$O$3)/1000,1)+(_xlfn.RANK.AVG($O12,($J12,$O12,$T12),1)-2)*20)</f>
        <v>38.200000000000003</v>
      </c>
      <c r="W12" s="55">
        <f>IF($T12="","",ROUND(($T12-$T$3)/1000,1)+(_xlfn.RANK.AVG($T12,($J12,$O12,$T12),1)-2)*20)</f>
        <v>-37.799999999999997</v>
      </c>
      <c r="Y12" s="8"/>
      <c r="Z12" s="34"/>
      <c r="AA12" s="26">
        <v>1</v>
      </c>
      <c r="AB12" s="26"/>
      <c r="AC12" s="26">
        <v>5</v>
      </c>
      <c r="AD12" s="30" t="s">
        <v>198</v>
      </c>
      <c r="AE12" s="40" t="s">
        <v>199</v>
      </c>
      <c r="AF12" s="41" t="s">
        <v>82</v>
      </c>
      <c r="AG12" s="41" t="s">
        <v>86</v>
      </c>
      <c r="AH12" s="41" t="s">
        <v>80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6DF8FB3E-2757-4E2E-9195-188F6A06258D}">
      <formula1>$U$2:$W$2</formula1>
    </dataValidation>
    <dataValidation type="list" showInputMessage="1" showErrorMessage="1" sqref="K4:K30 P4:P30 F4:F30" xr:uid="{37B6C643-21CB-4C46-AA0A-A7F8E8504D89}">
      <formula1>"ロン,ツモ,放銃,ツモ支払,流局,チョンボ"</formula1>
    </dataValidation>
    <dataValidation type="list" allowBlank="1" showInputMessage="1" sqref="F1:T1" xr:uid="{AD21BB38-A38B-4571-91BA-553BE47AD20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D93B-C46A-40E3-A334-5C40590BF856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5800</v>
      </c>
      <c r="R4" s="9"/>
      <c r="S4" s="48">
        <v>0</v>
      </c>
      <c r="T4" s="21">
        <f>IF(COUNTA($F4,$K4,$P4)&gt;0,T3+SUM(Q4:S4),"")</f>
        <v>40800</v>
      </c>
      <c r="U4" s="53">
        <f>IF($J4="","",ROUND(($J4-$J$3)/1000,1)+(_xlfn.RANK.AVG($J4,($J4,$O4,$T4),1)-2)*20)</f>
        <v>-25.8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104</v>
      </c>
      <c r="BV4" s="41" t="s">
        <v>203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196</v>
      </c>
      <c r="G5" s="9">
        <v>7700</v>
      </c>
      <c r="H5" s="9">
        <v>1000</v>
      </c>
      <c r="I5" s="48">
        <v>1000</v>
      </c>
      <c r="J5" s="21">
        <f t="shared" ref="J5:J30" si="2">IF(COUNTA($F5,$K5,$P5)&gt;0,J4+SUM(G5:I5),"")</f>
        <v>38900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197</v>
      </c>
      <c r="Q5" s="9">
        <v>-7700</v>
      </c>
      <c r="R5" s="9">
        <v>-1000</v>
      </c>
      <c r="S5" s="48">
        <v>-1000</v>
      </c>
      <c r="T5" s="21">
        <f t="shared" ref="T5:T30" si="4">IF(COUNTA($F5,$K5,$P5)&gt;0,T4+SUM(Q5:S5),"")</f>
        <v>31100</v>
      </c>
      <c r="U5" s="53">
        <f>IF($J5="","",ROUND(($J5-$J$3)/1000,1)+(_xlfn.RANK.AVG($J5,($J5,$O5,$T5),1)-2)*20)</f>
        <v>23.9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-23.9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86</v>
      </c>
      <c r="AG5" s="41" t="s">
        <v>79</v>
      </c>
      <c r="AH5" s="41" t="s">
        <v>93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1600</v>
      </c>
      <c r="H6" s="9">
        <v>1000</v>
      </c>
      <c r="I6" s="48">
        <v>0</v>
      </c>
      <c r="J6" s="21">
        <f t="shared" si="2"/>
        <v>41500</v>
      </c>
      <c r="K6" s="8" t="s">
        <v>200</v>
      </c>
      <c r="L6" s="9">
        <v>-800</v>
      </c>
      <c r="M6" s="9"/>
      <c r="N6" s="48">
        <v>0</v>
      </c>
      <c r="O6" s="21">
        <f t="shared" si="3"/>
        <v>34200</v>
      </c>
      <c r="P6" s="8" t="s">
        <v>200</v>
      </c>
      <c r="Q6" s="9">
        <v>-800</v>
      </c>
      <c r="R6" s="9">
        <v>-1000</v>
      </c>
      <c r="S6" s="48">
        <v>0</v>
      </c>
      <c r="T6" s="21">
        <f t="shared" si="4"/>
        <v>29300</v>
      </c>
      <c r="U6" s="53">
        <f>IF($J6="","",ROUND(($J6-$J$3)/1000,1)+(_xlfn.RANK.AVG($J6,($J6,$O6,$T6),1)-2)*20)</f>
        <v>26.5</v>
      </c>
      <c r="V6" s="54">
        <f>IF($O6="","",ROUND(($O6-$O$3)/1000,1)+(_xlfn.RANK.AVG($O6,($J6,$O6,$T6),1)-2)*20)</f>
        <v>-0.8</v>
      </c>
      <c r="W6" s="55">
        <f>IF($T6="","",ROUND(($T6-$T$3)/1000,1)+(_xlfn.RANK.AVG($T6,($J6,$O6,$T6),1)-2)*20)</f>
        <v>-25.7</v>
      </c>
      <c r="Y6" s="8"/>
      <c r="Z6" s="34"/>
      <c r="AA6" s="26"/>
      <c r="AB6" s="26"/>
      <c r="AC6" s="26">
        <v>1</v>
      </c>
      <c r="AD6" s="30">
        <v>30</v>
      </c>
      <c r="AE6" s="40" t="s">
        <v>82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200</v>
      </c>
      <c r="G7" s="9">
        <v>-7500</v>
      </c>
      <c r="H7" s="9">
        <v>-2000</v>
      </c>
      <c r="I7" s="48">
        <v>-500</v>
      </c>
      <c r="J7" s="21">
        <f t="shared" si="2"/>
        <v>31500</v>
      </c>
      <c r="K7" s="8" t="s">
        <v>201</v>
      </c>
      <c r="L7" s="9">
        <v>12000</v>
      </c>
      <c r="M7" s="9">
        <v>3000</v>
      </c>
      <c r="N7" s="48">
        <v>1000</v>
      </c>
      <c r="O7" s="21">
        <f t="shared" si="3"/>
        <v>50200</v>
      </c>
      <c r="P7" s="8" t="s">
        <v>200</v>
      </c>
      <c r="Q7" s="9">
        <v>-4500</v>
      </c>
      <c r="R7" s="9">
        <v>-1000</v>
      </c>
      <c r="S7" s="48">
        <v>-500</v>
      </c>
      <c r="T7" s="21">
        <f t="shared" si="4"/>
        <v>23300</v>
      </c>
      <c r="U7" s="53">
        <f>IF($J7="","",ROUND(($J7-$J$3)/1000,1)+(_xlfn.RANK.AVG($J7,($J7,$O7,$T7),1)-2)*20)</f>
        <v>-3.5</v>
      </c>
      <c r="V7" s="54">
        <f>IF($O7="","",ROUND(($O7-$O$3)/1000,1)+(_xlfn.RANK.AVG($O7,($J7,$O7,$T7),1)-2)*20)</f>
        <v>35.200000000000003</v>
      </c>
      <c r="W7" s="55">
        <f>IF($T7="","",ROUND(($T7-$T$3)/1000,1)+(_xlfn.RANK.AVG($T7,($J7,$O7,$T7),1)-2)*20)</f>
        <v>-31.7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198</v>
      </c>
      <c r="AZ7" s="40" t="s">
        <v>199</v>
      </c>
      <c r="BA7" s="41" t="s">
        <v>82</v>
      </c>
      <c r="BB7" s="41" t="s">
        <v>202</v>
      </c>
      <c r="BC7" s="41" t="s">
        <v>83</v>
      </c>
      <c r="BD7" s="41" t="s">
        <v>203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197</v>
      </c>
      <c r="G8" s="9">
        <v>-5800</v>
      </c>
      <c r="H8" s="9">
        <v>-1000</v>
      </c>
      <c r="I8" s="48">
        <v>0</v>
      </c>
      <c r="J8" s="21">
        <f t="shared" si="2"/>
        <v>24700</v>
      </c>
      <c r="K8" s="8" t="s">
        <v>196</v>
      </c>
      <c r="L8" s="9">
        <v>5800</v>
      </c>
      <c r="M8" s="9">
        <v>1000</v>
      </c>
      <c r="N8" s="48">
        <v>0</v>
      </c>
      <c r="O8" s="21">
        <f t="shared" si="3"/>
        <v>57000</v>
      </c>
      <c r="P8" s="8"/>
      <c r="Q8" s="9"/>
      <c r="R8" s="9"/>
      <c r="S8" s="48"/>
      <c r="T8" s="21">
        <f t="shared" si="4"/>
        <v>23300</v>
      </c>
      <c r="U8" s="53">
        <f>IF($J8="","",ROUND(($J8-$J$3)/1000,1)+(_xlfn.RANK.AVG($J8,($J8,$O8,$T8),1)-2)*20)</f>
        <v>-10.3</v>
      </c>
      <c r="V8" s="54">
        <f>IF($O8="","",ROUND(($O8-$O$3)/1000,1)+(_xlfn.RANK.AVG($O8,($J8,$O8,$T8),1)-2)*20)</f>
        <v>42</v>
      </c>
      <c r="W8" s="55">
        <f>IF($T8="","",ROUND(($T8-$T$3)/1000,1)+(_xlfn.RANK.AVG($T8,($J8,$O8,$T8),1)-2)*20)</f>
        <v>-31.7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86</v>
      </c>
      <c r="BB8" s="41" t="s">
        <v>203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196</v>
      </c>
      <c r="G9" s="9">
        <v>12000</v>
      </c>
      <c r="H9" s="9">
        <v>1000</v>
      </c>
      <c r="I9" s="48">
        <v>1000</v>
      </c>
      <c r="J9" s="21">
        <f t="shared" si="2"/>
        <v>38700</v>
      </c>
      <c r="K9" s="8"/>
      <c r="L9" s="9"/>
      <c r="M9" s="9"/>
      <c r="N9" s="48"/>
      <c r="O9" s="21">
        <f t="shared" si="3"/>
        <v>57000</v>
      </c>
      <c r="P9" s="8" t="s">
        <v>197</v>
      </c>
      <c r="Q9" s="9">
        <v>-12000</v>
      </c>
      <c r="R9" s="9">
        <v>-1000</v>
      </c>
      <c r="S9" s="48">
        <v>-1000</v>
      </c>
      <c r="T9" s="21">
        <f t="shared" si="4"/>
        <v>9300</v>
      </c>
      <c r="U9" s="53">
        <f>IF($J9="","",ROUND(($J9-$J$3)/1000,1)+(_xlfn.RANK.AVG($J9,($J9,$O9,$T9),1)-2)*20)</f>
        <v>3.7</v>
      </c>
      <c r="V9" s="54">
        <f>IF($O9="","",ROUND(($O9-$O$3)/1000,1)+(_xlfn.RANK.AVG($O9,($J9,$O9,$T9),1)-2)*20)</f>
        <v>42</v>
      </c>
      <c r="W9" s="55">
        <f>IF($T9="","",ROUND(($T9-$T$3)/1000,1)+(_xlfn.RANK.AVG($T9,($J9,$O9,$T9),1)-2)*20)</f>
        <v>-45.7</v>
      </c>
      <c r="Y9" s="8"/>
      <c r="Z9" s="34"/>
      <c r="AA9" s="26">
        <v>1</v>
      </c>
      <c r="AB9" s="26"/>
      <c r="AC9" s="26">
        <v>7</v>
      </c>
      <c r="AD9" s="30" t="s">
        <v>198</v>
      </c>
      <c r="AE9" s="40" t="s">
        <v>199</v>
      </c>
      <c r="AF9" s="41" t="s">
        <v>202</v>
      </c>
      <c r="AG9" s="41" t="s">
        <v>86</v>
      </c>
      <c r="AH9" s="41" t="s">
        <v>84</v>
      </c>
      <c r="AI9" s="41" t="s">
        <v>203</v>
      </c>
      <c r="AJ9" s="41" t="s">
        <v>203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200</v>
      </c>
      <c r="G10" s="9">
        <v>-1500</v>
      </c>
      <c r="H10" s="9"/>
      <c r="I10" s="48">
        <v>0</v>
      </c>
      <c r="J10" s="21">
        <f t="shared" si="2"/>
        <v>37200</v>
      </c>
      <c r="K10" s="8" t="s">
        <v>201</v>
      </c>
      <c r="L10" s="9">
        <v>4000</v>
      </c>
      <c r="M10" s="9"/>
      <c r="N10" s="48">
        <v>0</v>
      </c>
      <c r="O10" s="21">
        <f t="shared" si="3"/>
        <v>61000</v>
      </c>
      <c r="P10" s="8" t="s">
        <v>200</v>
      </c>
      <c r="Q10" s="9">
        <v>-2500</v>
      </c>
      <c r="R10" s="9"/>
      <c r="S10" s="48">
        <v>0</v>
      </c>
      <c r="T10" s="21">
        <f t="shared" si="4"/>
        <v>6800</v>
      </c>
      <c r="U10" s="53">
        <f>IF($J10="","",ROUND(($J10-$J$3)/1000,1)+(_xlfn.RANK.AVG($J10,($J10,$O10,$T10),1)-2)*20)</f>
        <v>2.2000000000000002</v>
      </c>
      <c r="V10" s="54">
        <f>IF($O10="","",ROUND(($O10-$O$3)/1000,1)+(_xlfn.RANK.AVG($O10,($J10,$O10,$T10),1)-2)*20)</f>
        <v>46</v>
      </c>
      <c r="W10" s="55">
        <f>IF($T10="","",ROUND(($T10-$T$3)/1000,1)+(_xlfn.RANK.AVG($T10,($J10,$O10,$T10),1)-2)*20)</f>
        <v>-48.2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86</v>
      </c>
      <c r="BA10" s="41" t="s">
        <v>203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205</v>
      </c>
      <c r="G11" s="9">
        <v>-1500</v>
      </c>
      <c r="H11" s="9"/>
      <c r="I11" s="48"/>
      <c r="J11" s="21">
        <f t="shared" si="2"/>
        <v>35700</v>
      </c>
      <c r="K11" s="8" t="s">
        <v>205</v>
      </c>
      <c r="L11" s="9">
        <v>-1500</v>
      </c>
      <c r="M11" s="9"/>
      <c r="N11" s="48"/>
      <c r="O11" s="21">
        <f t="shared" si="3"/>
        <v>59500</v>
      </c>
      <c r="P11" s="8" t="s">
        <v>205</v>
      </c>
      <c r="Q11" s="9">
        <v>3000</v>
      </c>
      <c r="R11" s="9">
        <v>-1000</v>
      </c>
      <c r="S11" s="48"/>
      <c r="T11" s="21">
        <f t="shared" si="4"/>
        <v>8800</v>
      </c>
      <c r="U11" s="53">
        <f>IF($J11="","",ROUND(($J11-$J$3)/1000,1)+(_xlfn.RANK.AVG($J11,($J11,$O11,$T11),1)-2)*20)</f>
        <v>0.7</v>
      </c>
      <c r="V11" s="54">
        <f>IF($O11="","",ROUND(($O11-$O$3)/1000,1)+(_xlfn.RANK.AVG($O11,($J11,$O11,$T11),1)-2)*20)</f>
        <v>44.5</v>
      </c>
      <c r="W11" s="55">
        <f>IF($T11="","",ROUND(($T11-$T$3)/1000,1)+(_xlfn.RANK.AVG($T11,($J11,$O11,$T11),1)-2)*20)</f>
        <v>-46.2</v>
      </c>
      <c r="Y11" s="8" t="s">
        <v>206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IF($K$1="","",$K$1)</f>
        <v>ただ</v>
      </c>
      <c r="F12" s="8" t="s">
        <v>200</v>
      </c>
      <c r="G12" s="9">
        <v>-6000</v>
      </c>
      <c r="H12" s="9"/>
      <c r="I12" s="48">
        <v>-500</v>
      </c>
      <c r="J12" s="21">
        <f t="shared" si="2"/>
        <v>29200</v>
      </c>
      <c r="K12" s="8" t="s">
        <v>201</v>
      </c>
      <c r="L12" s="9">
        <v>12000</v>
      </c>
      <c r="M12" s="9">
        <v>1000</v>
      </c>
      <c r="N12" s="48">
        <v>1000</v>
      </c>
      <c r="O12" s="21">
        <f t="shared" si="3"/>
        <v>73500</v>
      </c>
      <c r="P12" s="8" t="s">
        <v>200</v>
      </c>
      <c r="Q12" s="9">
        <v>-6000</v>
      </c>
      <c r="R12" s="9"/>
      <c r="S12" s="48">
        <v>-500</v>
      </c>
      <c r="T12" s="21">
        <f t="shared" si="4"/>
        <v>2300</v>
      </c>
      <c r="U12" s="53">
        <f>IF($J12="","",ROUND(($J12-$J$3)/1000,1)+(_xlfn.RANK.AVG($J12,($J12,$O12,$T12),1)-2)*20)</f>
        <v>-5.8</v>
      </c>
      <c r="V12" s="54">
        <f>IF($O12="","",ROUND(($O12-$O$3)/1000,1)+(_xlfn.RANK.AVG($O12,($J12,$O12,$T12),1)-2)*20)</f>
        <v>58.5</v>
      </c>
      <c r="W12" s="55">
        <f>IF($T12="","",ROUND(($T12-$T$3)/1000,1)+(_xlfn.RANK.AVG($T12,($J12,$O12,$T12),1)-2)*20)</f>
        <v>-52.7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198</v>
      </c>
      <c r="AZ12" s="40" t="s">
        <v>199</v>
      </c>
      <c r="BA12" s="41" t="s">
        <v>82</v>
      </c>
      <c r="BB12" s="41" t="s">
        <v>202</v>
      </c>
      <c r="BC12" s="41" t="s">
        <v>86</v>
      </c>
      <c r="BD12" s="41" t="s">
        <v>203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67180FB-6A52-4575-931A-FEFD43636E0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54ADCD3A-0EB2-4BF0-8468-837EA820019F}">
      <formula1>"ロン,ツモ,放銃,ツモ支払,流局,チョンボ"</formula1>
    </dataValidation>
    <dataValidation type="list" allowBlank="1" showInputMessage="1" showErrorMessage="1" sqref="E4:E30" xr:uid="{35BB4F5D-0909-44E4-9781-A4F88482751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E7359-FAAF-4C4A-A616-87ED6E1A8952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197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25.2</v>
      </c>
      <c r="W4" s="55">
        <f>IF($T4="","",ROUND(($T4-$T$3)/1000,1)+(_xlfn.RANK.AVG($T4,($J4,$O4,$T4),1)-2)*20)</f>
        <v>-25.2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79</v>
      </c>
      <c r="BB4" s="41" t="s">
        <v>84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200</v>
      </c>
      <c r="G5" s="9">
        <v>-800</v>
      </c>
      <c r="H5" s="9"/>
      <c r="I5" s="48">
        <v>0</v>
      </c>
      <c r="J5" s="21">
        <f t="shared" ref="J5:J30" si="2">IF(COUNTA($F5,$K5,$P5)&gt;0,J4+SUM(G5:I5),"")</f>
        <v>34200</v>
      </c>
      <c r="K5" s="8" t="s">
        <v>200</v>
      </c>
      <c r="L5" s="9">
        <v>-1300</v>
      </c>
      <c r="M5" s="9"/>
      <c r="N5" s="48">
        <v>0</v>
      </c>
      <c r="O5" s="21">
        <f t="shared" ref="O5:O30" si="3">IF(COUNTA($F5,$K5,$P5)&gt;0,O4+SUM(L5:N5),"")</f>
        <v>38900</v>
      </c>
      <c r="P5" s="8" t="s">
        <v>201</v>
      </c>
      <c r="Q5" s="9">
        <v>2100</v>
      </c>
      <c r="R5" s="9"/>
      <c r="S5" s="48">
        <v>0</v>
      </c>
      <c r="T5" s="21">
        <f t="shared" ref="T5:T30" si="4">IF(COUNTA($F5,$K5,$P5)&gt;0,T4+SUM(Q5:S5),"")</f>
        <v>31900</v>
      </c>
      <c r="U5" s="53">
        <f>IF($J5="","",ROUND(($J5-$J$3)/1000,1)+(_xlfn.RANK.AVG($J5,($J5,$O5,$T5),1)-2)*20)</f>
        <v>-0.8</v>
      </c>
      <c r="V5" s="54">
        <f>IF($O5="","",ROUND(($O5-$O$3)/1000,1)+(_xlfn.RANK.AVG($O5,($J5,$O5,$T5),1)-2)*20)</f>
        <v>23.9</v>
      </c>
      <c r="W5" s="55">
        <f>IF($T5="","",ROUND(($T5-$T$3)/1000,1)+(_xlfn.RANK.AVG($T5,($J5,$O5,$T5),1)-2)*20)</f>
        <v>-23.1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82</v>
      </c>
      <c r="BV5" s="41" t="s">
        <v>84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34200</v>
      </c>
      <c r="K6" s="8" t="s">
        <v>196</v>
      </c>
      <c r="L6" s="9">
        <v>5200</v>
      </c>
      <c r="M6" s="9">
        <v>1000</v>
      </c>
      <c r="N6" s="48">
        <v>0</v>
      </c>
      <c r="O6" s="21">
        <f t="shared" si="3"/>
        <v>45100</v>
      </c>
      <c r="P6" s="8" t="s">
        <v>197</v>
      </c>
      <c r="Q6" s="9">
        <v>-5200</v>
      </c>
      <c r="R6" s="9">
        <v>-1000</v>
      </c>
      <c r="S6" s="48">
        <v>0</v>
      </c>
      <c r="T6" s="21">
        <f t="shared" si="4"/>
        <v>25700</v>
      </c>
      <c r="U6" s="53">
        <f>IF($J6="","",ROUND(($J6-$J$3)/1000,1)+(_xlfn.RANK.AVG($J6,($J6,$O6,$T6),1)-2)*20)</f>
        <v>-0.8</v>
      </c>
      <c r="V6" s="54">
        <f>IF($O6="","",ROUND(($O6-$O$3)/1000,1)+(_xlfn.RANK.AVG($O6,($J6,$O6,$T6),1)-2)*20)</f>
        <v>30.1</v>
      </c>
      <c r="W6" s="55">
        <f>IF($T6="","",ROUND(($T6-$T$3)/1000,1)+(_xlfn.RANK.AVG($T6,($J6,$O6,$T6),1)-2)*20)</f>
        <v>-29.3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86</v>
      </c>
      <c r="BA6" s="41" t="s">
        <v>86</v>
      </c>
      <c r="BB6" s="41" t="s">
        <v>203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196</v>
      </c>
      <c r="G7" s="9">
        <v>2900</v>
      </c>
      <c r="H7" s="9"/>
      <c r="I7" s="48">
        <v>0</v>
      </c>
      <c r="J7" s="21">
        <f t="shared" si="2"/>
        <v>37100</v>
      </c>
      <c r="K7" s="8"/>
      <c r="L7" s="9"/>
      <c r="M7" s="9"/>
      <c r="N7" s="48"/>
      <c r="O7" s="21">
        <f t="shared" si="3"/>
        <v>45100</v>
      </c>
      <c r="P7" s="8" t="s">
        <v>197</v>
      </c>
      <c r="Q7" s="9">
        <v>-2900</v>
      </c>
      <c r="R7" s="9"/>
      <c r="S7" s="48">
        <v>0</v>
      </c>
      <c r="T7" s="21">
        <f t="shared" si="4"/>
        <v>22800</v>
      </c>
      <c r="U7" s="53">
        <f>IF($J7="","",ROUND(($J7-$J$3)/1000,1)+(_xlfn.RANK.AVG($J7,($J7,$O7,$T7),1)-2)*20)</f>
        <v>2.1</v>
      </c>
      <c r="V7" s="54">
        <f>IF($O7="","",ROUND(($O7-$O$3)/1000,1)+(_xlfn.RANK.AVG($O7,($J7,$O7,$T7),1)-2)*20)</f>
        <v>30.1</v>
      </c>
      <c r="W7" s="55">
        <f>IF($T7="","",ROUND(($T7-$T$3)/1000,1)+(_xlfn.RANK.AVG($T7,($J7,$O7,$T7),1)-2)*20)</f>
        <v>-32.200000000000003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203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 t="s">
        <v>197</v>
      </c>
      <c r="G8" s="9">
        <v>-2600</v>
      </c>
      <c r="H8" s="9">
        <v>-1000</v>
      </c>
      <c r="I8" s="48">
        <v>-1000</v>
      </c>
      <c r="J8" s="21">
        <f t="shared" si="2"/>
        <v>32500</v>
      </c>
      <c r="K8" s="8"/>
      <c r="L8" s="9"/>
      <c r="M8" s="9"/>
      <c r="N8" s="48"/>
      <c r="O8" s="21">
        <f t="shared" si="3"/>
        <v>45100</v>
      </c>
      <c r="P8" s="8" t="s">
        <v>196</v>
      </c>
      <c r="Q8" s="9">
        <v>2600</v>
      </c>
      <c r="R8" s="9">
        <v>1000</v>
      </c>
      <c r="S8" s="48">
        <v>1000</v>
      </c>
      <c r="T8" s="21">
        <f t="shared" si="4"/>
        <v>27400</v>
      </c>
      <c r="U8" s="53">
        <f>IF($J8="","",ROUND(($J8-$J$3)/1000,1)+(_xlfn.RANK.AVG($J8,($J8,$O8,$T8),1)-2)*20)</f>
        <v>-2.5</v>
      </c>
      <c r="V8" s="54">
        <f>IF($O8="","",ROUND(($O8-$O$3)/1000,1)+(_xlfn.RANK.AVG($O8,($J8,$O8,$T8),1)-2)*20)</f>
        <v>30.1</v>
      </c>
      <c r="W8" s="55">
        <f>IF($T8="","",ROUND(($T8-$T$3)/1000,1)+(_xlfn.RANK.AVG($T8,($J8,$O8,$T8),1)-2)*20)</f>
        <v>-27.6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199</v>
      </c>
      <c r="BV8" s="41" t="s">
        <v>202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201</v>
      </c>
      <c r="G9" s="9">
        <v>8000</v>
      </c>
      <c r="H9" s="9">
        <v>1000</v>
      </c>
      <c r="I9" s="48">
        <v>0</v>
      </c>
      <c r="J9" s="21">
        <f t="shared" si="2"/>
        <v>41500</v>
      </c>
      <c r="K9" s="8" t="s">
        <v>200</v>
      </c>
      <c r="L9" s="9">
        <v>-5000</v>
      </c>
      <c r="M9" s="9"/>
      <c r="N9" s="48">
        <v>0</v>
      </c>
      <c r="O9" s="21">
        <f t="shared" si="3"/>
        <v>40100</v>
      </c>
      <c r="P9" s="8" t="s">
        <v>200</v>
      </c>
      <c r="Q9" s="9">
        <v>-3000</v>
      </c>
      <c r="R9" s="9">
        <v>-1000</v>
      </c>
      <c r="S9" s="48">
        <v>0</v>
      </c>
      <c r="T9" s="21">
        <f t="shared" si="4"/>
        <v>23400</v>
      </c>
      <c r="U9" s="53">
        <f>IF($J9="","",ROUND(($J9-$J$3)/1000,1)+(_xlfn.RANK.AVG($J9,($J9,$O9,$T9),1)-2)*20)</f>
        <v>26.5</v>
      </c>
      <c r="V9" s="54">
        <f>IF($O9="","",ROUND(($O9-$O$3)/1000,1)+(_xlfn.RANK.AVG($O9,($J9,$O9,$T9),1)-2)*20)</f>
        <v>5.0999999999999996</v>
      </c>
      <c r="W9" s="55">
        <f>IF($T9="","",ROUND(($T9-$T$3)/1000,1)+(_xlfn.RANK.AVG($T9,($J9,$O9,$T9),1)-2)*20)</f>
        <v>-31.6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199</v>
      </c>
      <c r="AF9" s="41" t="s">
        <v>82</v>
      </c>
      <c r="AG9" s="41" t="s">
        <v>202</v>
      </c>
      <c r="AH9" s="41" t="s">
        <v>85</v>
      </c>
      <c r="AI9" s="41" t="s">
        <v>203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200</v>
      </c>
      <c r="G10" s="9">
        <v>-9000</v>
      </c>
      <c r="H10" s="9"/>
      <c r="I10" s="48">
        <v>0</v>
      </c>
      <c r="J10" s="21">
        <f t="shared" si="2"/>
        <v>32500</v>
      </c>
      <c r="K10" s="8" t="s">
        <v>200</v>
      </c>
      <c r="L10" s="9">
        <v>-9000</v>
      </c>
      <c r="M10" s="9"/>
      <c r="N10" s="48">
        <v>0</v>
      </c>
      <c r="O10" s="21">
        <f t="shared" si="3"/>
        <v>31100</v>
      </c>
      <c r="P10" s="8" t="s">
        <v>201</v>
      </c>
      <c r="Q10" s="9">
        <v>18000</v>
      </c>
      <c r="R10" s="9"/>
      <c r="S10" s="48">
        <v>0</v>
      </c>
      <c r="T10" s="21">
        <f t="shared" si="4"/>
        <v>41400</v>
      </c>
      <c r="U10" s="53">
        <f>IF($J10="","",ROUND(($J10-$J$3)/1000,1)+(_xlfn.RANK.AVG($J10,($J10,$O10,$T10),1)-2)*20)</f>
        <v>-2.5</v>
      </c>
      <c r="V10" s="54">
        <f>IF($O10="","",ROUND(($O10-$O$3)/1000,1)+(_xlfn.RANK.AVG($O10,($J10,$O10,$T10),1)-2)*20)</f>
        <v>-23.9</v>
      </c>
      <c r="W10" s="55">
        <f>IF($T10="","",ROUND(($T10-$T$3)/1000,1)+(_xlfn.RANK.AVG($T10,($J10,$O10,$T10),1)-2)*20)</f>
        <v>26.4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198</v>
      </c>
      <c r="BU10" s="40" t="s">
        <v>199</v>
      </c>
      <c r="BV10" s="41" t="s">
        <v>82</v>
      </c>
      <c r="BW10" s="41" t="s">
        <v>96</v>
      </c>
      <c r="BX10" s="41" t="s">
        <v>86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A29D42F2-654C-4DF3-A0EB-7881ABB41FEE}">
      <formula1>$U$2:$W$2</formula1>
    </dataValidation>
    <dataValidation type="list" showInputMessage="1" showErrorMessage="1" sqref="K4:K30 P4:P30 F4:F30" xr:uid="{C81062E4-5C0E-49DF-8B46-29B39498BA57}">
      <formula1>"ロン,ツモ,放銃,ツモ支払,流局,チョンボ"</formula1>
    </dataValidation>
    <dataValidation type="list" allowBlank="1" showInputMessage="1" sqref="F1:T1" xr:uid="{64B877C7-76E8-4CE6-B687-592F7E540C95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2024-01-04T08:44:56Z</dcterms:modified>
</cp:coreProperties>
</file>