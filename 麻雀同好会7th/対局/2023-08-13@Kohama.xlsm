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対局\"/>
    </mc:Choice>
  </mc:AlternateContent>
  <xr:revisionPtr revIDLastSave="0" documentId="13_ncr:1_{0FB1B04F-3A03-47DE-9242-65C6EB73954A}" xr6:coauthVersionLast="47" xr6:coauthVersionMax="47" xr10:uidLastSave="{00000000-0000-0000-0000-000000000000}"/>
  <bookViews>
    <workbookView xWindow="-120" yWindow="-120" windowWidth="29040" windowHeight="15990" activeTab="6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5" l="1"/>
  <c r="E11" i="25"/>
  <c r="E10" i="25"/>
  <c r="E9" i="25"/>
  <c r="D9" i="25" s="1"/>
  <c r="E8" i="25"/>
  <c r="E7" i="25"/>
  <c r="E6" i="25"/>
  <c r="E5" i="25"/>
  <c r="A5" i="25" s="1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D13" i="25"/>
  <c r="C13" i="25"/>
  <c r="C11" i="25"/>
  <c r="D10" i="25"/>
  <c r="C10" i="25"/>
  <c r="D8" i="25"/>
  <c r="T6" i="25"/>
  <c r="T7" i="25" s="1"/>
  <c r="B6" i="25"/>
  <c r="D6" i="25"/>
  <c r="T5" i="25"/>
  <c r="O5" i="25"/>
  <c r="O6" i="25" s="1"/>
  <c r="B5" i="25"/>
  <c r="T4" i="25"/>
  <c r="O4" i="25"/>
  <c r="J4" i="25"/>
  <c r="W3" i="25"/>
  <c r="V3" i="25"/>
  <c r="U3" i="25"/>
  <c r="W2" i="25"/>
  <c r="V2" i="25"/>
  <c r="U2" i="25"/>
  <c r="BO1" i="25"/>
  <c r="AT1" i="25"/>
  <c r="Y1" i="25"/>
  <c r="E13" i="24"/>
  <c r="E12" i="24"/>
  <c r="E11" i="24"/>
  <c r="E10" i="24"/>
  <c r="E9" i="24"/>
  <c r="E8" i="24"/>
  <c r="E7" i="24"/>
  <c r="E6" i="24"/>
  <c r="D6" i="24" s="1"/>
  <c r="E5" i="24"/>
  <c r="D5" i="24" s="1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O13" i="24"/>
  <c r="J13" i="24"/>
  <c r="D13" i="24"/>
  <c r="C13" i="24"/>
  <c r="B13" i="24"/>
  <c r="A13" i="24"/>
  <c r="T12" i="24"/>
  <c r="O12" i="24"/>
  <c r="J12" i="24"/>
  <c r="D12" i="24"/>
  <c r="C12" i="24"/>
  <c r="B12" i="24"/>
  <c r="A12" i="24" s="1"/>
  <c r="T11" i="24"/>
  <c r="O11" i="24"/>
  <c r="J11" i="24"/>
  <c r="D11" i="24"/>
  <c r="C11" i="24"/>
  <c r="B11" i="24"/>
  <c r="A11" i="24" s="1"/>
  <c r="C10" i="24"/>
  <c r="D9" i="24"/>
  <c r="D8" i="24"/>
  <c r="C8" i="24"/>
  <c r="D7" i="24"/>
  <c r="B5" i="24"/>
  <c r="T4" i="24"/>
  <c r="T5" i="24" s="1"/>
  <c r="O4" i="24"/>
  <c r="O5" i="24" s="1"/>
  <c r="J4" i="24"/>
  <c r="U4" i="24" s="1"/>
  <c r="W3" i="24"/>
  <c r="V3" i="24"/>
  <c r="U3" i="24"/>
  <c r="W2" i="24"/>
  <c r="V2" i="24"/>
  <c r="U2" i="24"/>
  <c r="BO1" i="24"/>
  <c r="AT1" i="24"/>
  <c r="Y1" i="24"/>
  <c r="E10" i="23"/>
  <c r="E9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D13" i="23"/>
  <c r="C13" i="23"/>
  <c r="C10" i="23"/>
  <c r="D10" i="23"/>
  <c r="D9" i="23"/>
  <c r="C9" i="23"/>
  <c r="D8" i="23"/>
  <c r="C8" i="23"/>
  <c r="T6" i="23"/>
  <c r="T7" i="23" s="1"/>
  <c r="B6" i="23"/>
  <c r="D6" i="23"/>
  <c r="T5" i="23"/>
  <c r="O5" i="23"/>
  <c r="O6" i="23" s="1"/>
  <c r="A5" i="23"/>
  <c r="D5" i="23"/>
  <c r="C5" i="23"/>
  <c r="B5" i="23"/>
  <c r="T4" i="23"/>
  <c r="O4" i="23"/>
  <c r="J4" i="23"/>
  <c r="W3" i="23"/>
  <c r="V3" i="23"/>
  <c r="U3" i="23"/>
  <c r="W2" i="23"/>
  <c r="V2" i="23"/>
  <c r="U2" i="23"/>
  <c r="BO1" i="23"/>
  <c r="AT1" i="23"/>
  <c r="Y1" i="23"/>
  <c r="E13" i="22"/>
  <c r="C13" i="22" s="1"/>
  <c r="E12" i="22"/>
  <c r="E11" i="22"/>
  <c r="E10" i="22"/>
  <c r="E9" i="22"/>
  <c r="E8" i="22"/>
  <c r="C8" i="22" s="1"/>
  <c r="C9" i="22" s="1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O13" i="22"/>
  <c r="J13" i="22"/>
  <c r="D13" i="22"/>
  <c r="T12" i="22"/>
  <c r="O12" i="22"/>
  <c r="V12" i="22" s="1"/>
  <c r="J12" i="22"/>
  <c r="D12" i="22"/>
  <c r="C12" i="22"/>
  <c r="B12" i="22"/>
  <c r="A12" i="22" s="1"/>
  <c r="T11" i="22"/>
  <c r="O11" i="22"/>
  <c r="J11" i="22"/>
  <c r="U11" i="22" s="1"/>
  <c r="D11" i="22"/>
  <c r="C11" i="22"/>
  <c r="B11" i="22"/>
  <c r="A11" i="22" s="1"/>
  <c r="C10" i="22"/>
  <c r="D9" i="22"/>
  <c r="D8" i="22"/>
  <c r="D7" i="22"/>
  <c r="T5" i="22"/>
  <c r="T6" i="22" s="1"/>
  <c r="B5" i="22"/>
  <c r="D5" i="22"/>
  <c r="C5" i="22"/>
  <c r="T4" i="22"/>
  <c r="O4" i="22"/>
  <c r="J4" i="22"/>
  <c r="J5" i="22" s="1"/>
  <c r="W3" i="22"/>
  <c r="V3" i="22"/>
  <c r="U3" i="22"/>
  <c r="W2" i="22"/>
  <c r="V2" i="22"/>
  <c r="U2" i="22"/>
  <c r="BO1" i="22"/>
  <c r="AT1" i="22"/>
  <c r="Y1" i="22"/>
  <c r="D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D13" i="21"/>
  <c r="C9" i="21"/>
  <c r="D9" i="21"/>
  <c r="D8" i="21"/>
  <c r="C8" i="21"/>
  <c r="D6" i="21"/>
  <c r="T5" i="21"/>
  <c r="T6" i="21" s="1"/>
  <c r="C5" i="21"/>
  <c r="D5" i="21"/>
  <c r="T4" i="21"/>
  <c r="O4" i="21"/>
  <c r="O5" i="21" s="1"/>
  <c r="J4" i="21"/>
  <c r="J5" i="21" s="1"/>
  <c r="W3" i="21"/>
  <c r="V3" i="21"/>
  <c r="U3" i="21"/>
  <c r="W2" i="21"/>
  <c r="V2" i="21"/>
  <c r="U2" i="21"/>
  <c r="BO1" i="21"/>
  <c r="AT1" i="21"/>
  <c r="Y1" i="21"/>
  <c r="C5" i="25" l="1"/>
  <c r="D5" i="25"/>
  <c r="V4" i="25"/>
  <c r="W4" i="25"/>
  <c r="T8" i="25"/>
  <c r="O7" i="25"/>
  <c r="A7" i="25"/>
  <c r="U4" i="25"/>
  <c r="J5" i="25"/>
  <c r="C6" i="25"/>
  <c r="D11" i="25"/>
  <c r="B7" i="25"/>
  <c r="B8" i="25" s="1"/>
  <c r="C12" i="25"/>
  <c r="C7" i="25"/>
  <c r="C8" i="25" s="1"/>
  <c r="C9" i="25" s="1"/>
  <c r="D12" i="25"/>
  <c r="V5" i="25"/>
  <c r="D7" i="25"/>
  <c r="A6" i="25"/>
  <c r="W13" i="24"/>
  <c r="U13" i="24"/>
  <c r="V13" i="24"/>
  <c r="U12" i="24"/>
  <c r="W12" i="24"/>
  <c r="V12" i="24"/>
  <c r="U11" i="24"/>
  <c r="W11" i="24"/>
  <c r="V11" i="24"/>
  <c r="C5" i="24"/>
  <c r="O6" i="24"/>
  <c r="A5" i="24"/>
  <c r="T6" i="24"/>
  <c r="W5" i="24"/>
  <c r="B8" i="24"/>
  <c r="D10" i="24"/>
  <c r="J5" i="24"/>
  <c r="C6" i="24"/>
  <c r="C7" i="24" s="1"/>
  <c r="B9" i="24"/>
  <c r="V4" i="24"/>
  <c r="C9" i="24"/>
  <c r="B6" i="24"/>
  <c r="A6" i="24" s="1"/>
  <c r="W4" i="24"/>
  <c r="B7" i="24"/>
  <c r="A8" i="24" s="1"/>
  <c r="B10" i="24"/>
  <c r="V4" i="23"/>
  <c r="W4" i="23"/>
  <c r="A6" i="23"/>
  <c r="T8" i="23"/>
  <c r="C11" i="23"/>
  <c r="C12" i="23" s="1"/>
  <c r="O7" i="23"/>
  <c r="U4" i="23"/>
  <c r="J5" i="23"/>
  <c r="C6" i="23"/>
  <c r="B9" i="23"/>
  <c r="D11" i="23"/>
  <c r="B7" i="23"/>
  <c r="C7" i="23"/>
  <c r="D12" i="23"/>
  <c r="D7" i="23"/>
  <c r="B8" i="23"/>
  <c r="V13" i="22"/>
  <c r="W13" i="22"/>
  <c r="U13" i="22"/>
  <c r="B13" i="22"/>
  <c r="A13" i="22" s="1"/>
  <c r="W12" i="22"/>
  <c r="U12" i="22"/>
  <c r="V11" i="22"/>
  <c r="W11" i="22"/>
  <c r="W4" i="22"/>
  <c r="T7" i="22"/>
  <c r="J6" i="22"/>
  <c r="D10" i="22"/>
  <c r="B6" i="22"/>
  <c r="U4" i="22"/>
  <c r="C6" i="22"/>
  <c r="V4" i="22"/>
  <c r="O5" i="22"/>
  <c r="D6" i="22"/>
  <c r="A5" i="22"/>
  <c r="C7" i="22"/>
  <c r="C11" i="21"/>
  <c r="C12" i="21" s="1"/>
  <c r="C13" i="21" s="1"/>
  <c r="C14" i="21" s="1"/>
  <c r="C15" i="21" s="1"/>
  <c r="T7" i="21"/>
  <c r="J6" i="21"/>
  <c r="U5" i="21"/>
  <c r="O6" i="21"/>
  <c r="V5" i="21"/>
  <c r="D14" i="21"/>
  <c r="C7" i="21"/>
  <c r="D12" i="21"/>
  <c r="B5" i="21"/>
  <c r="A5" i="21" s="1"/>
  <c r="D7" i="21"/>
  <c r="C10" i="21"/>
  <c r="D15" i="21"/>
  <c r="W4" i="21"/>
  <c r="B7" i="21"/>
  <c r="W5" i="21"/>
  <c r="D10" i="21"/>
  <c r="B6" i="21"/>
  <c r="U4" i="21"/>
  <c r="C6" i="21"/>
  <c r="V4" i="21"/>
  <c r="A16" i="20"/>
  <c r="E15" i="20"/>
  <c r="B15" i="20" s="1"/>
  <c r="A15" i="20" s="1"/>
  <c r="E14" i="20"/>
  <c r="D14" i="20" s="1"/>
  <c r="E13" i="20"/>
  <c r="E12" i="20"/>
  <c r="A12" i="20" s="1"/>
  <c r="E11" i="20"/>
  <c r="E10" i="20"/>
  <c r="E9" i="20"/>
  <c r="C9" i="20" s="1"/>
  <c r="E8" i="20"/>
  <c r="E7" i="20"/>
  <c r="D7" i="20" s="1"/>
  <c r="E6" i="20"/>
  <c r="E5" i="20"/>
  <c r="B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T15" i="20"/>
  <c r="O15" i="20"/>
  <c r="J15" i="20"/>
  <c r="C15" i="20"/>
  <c r="T14" i="20"/>
  <c r="O14" i="20"/>
  <c r="J14" i="20"/>
  <c r="T13" i="20"/>
  <c r="O13" i="20"/>
  <c r="J13" i="20"/>
  <c r="U13" i="20" s="1"/>
  <c r="D13" i="20"/>
  <c r="C13" i="20"/>
  <c r="B13" i="20"/>
  <c r="A13" i="20"/>
  <c r="T12" i="20"/>
  <c r="O12" i="20"/>
  <c r="J12" i="20"/>
  <c r="D12" i="20"/>
  <c r="C12" i="20"/>
  <c r="B12" i="20"/>
  <c r="T11" i="20"/>
  <c r="O11" i="20"/>
  <c r="J11" i="20"/>
  <c r="D11" i="20"/>
  <c r="C11" i="20"/>
  <c r="B11" i="20"/>
  <c r="A11" i="20"/>
  <c r="C10" i="20"/>
  <c r="D9" i="20"/>
  <c r="D8" i="20"/>
  <c r="C8" i="20"/>
  <c r="T5" i="20"/>
  <c r="T6" i="20" s="1"/>
  <c r="D5" i="20"/>
  <c r="C5" i="20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W3" i="19"/>
  <c r="V3" i="19"/>
  <c r="U3" i="19"/>
  <c r="B9" i="25" l="1"/>
  <c r="A9" i="25" s="1"/>
  <c r="O8" i="25"/>
  <c r="W5" i="25"/>
  <c r="J6" i="25"/>
  <c r="U5" i="25"/>
  <c r="A8" i="25"/>
  <c r="T9" i="25"/>
  <c r="A7" i="24"/>
  <c r="A9" i="24"/>
  <c r="A10" i="24"/>
  <c r="T7" i="24"/>
  <c r="J6" i="24"/>
  <c r="V6" i="24" s="1"/>
  <c r="U5" i="24"/>
  <c r="V5" i="24"/>
  <c r="O7" i="24"/>
  <c r="O8" i="23"/>
  <c r="W5" i="23"/>
  <c r="J6" i="23"/>
  <c r="U5" i="23"/>
  <c r="T9" i="23"/>
  <c r="B10" i="23"/>
  <c r="A8" i="23"/>
  <c r="A9" i="23" s="1"/>
  <c r="V5" i="23"/>
  <c r="A7" i="23"/>
  <c r="O6" i="22"/>
  <c r="V5" i="22"/>
  <c r="U6" i="22"/>
  <c r="J7" i="22"/>
  <c r="U5" i="22"/>
  <c r="B7" i="22"/>
  <c r="A6" i="22"/>
  <c r="W6" i="22"/>
  <c r="W5" i="22"/>
  <c r="T8" i="22"/>
  <c r="A7" i="21"/>
  <c r="O7" i="21"/>
  <c r="V6" i="21"/>
  <c r="A6" i="21"/>
  <c r="J7" i="21"/>
  <c r="U6" i="21"/>
  <c r="W6" i="21"/>
  <c r="B8" i="21"/>
  <c r="T8" i="21"/>
  <c r="V15" i="20"/>
  <c r="U15" i="20"/>
  <c r="W15" i="20"/>
  <c r="D15" i="20"/>
  <c r="U14" i="20"/>
  <c r="V14" i="20"/>
  <c r="W14" i="20"/>
  <c r="C14" i="20"/>
  <c r="B14" i="20"/>
  <c r="A14" i="20" s="1"/>
  <c r="V13" i="20"/>
  <c r="W13" i="20"/>
  <c r="W12" i="20"/>
  <c r="V12" i="20"/>
  <c r="U12" i="20"/>
  <c r="V11" i="20"/>
  <c r="U11" i="20"/>
  <c r="W11" i="20"/>
  <c r="W4" i="20"/>
  <c r="J6" i="20"/>
  <c r="T7" i="20"/>
  <c r="D10" i="20"/>
  <c r="B6" i="20"/>
  <c r="U4" i="20"/>
  <c r="C6" i="20"/>
  <c r="C7" i="20" s="1"/>
  <c r="V4" i="20"/>
  <c r="O5" i="20"/>
  <c r="W5" i="20" s="1"/>
  <c r="D6" i="20"/>
  <c r="A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V7" i="19" s="1"/>
  <c r="J7" i="19"/>
  <c r="U7" i="19" s="1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T10" i="25" l="1"/>
  <c r="B10" i="25"/>
  <c r="A10" i="25" s="1"/>
  <c r="O9" i="25"/>
  <c r="J7" i="25"/>
  <c r="U6" i="25"/>
  <c r="W6" i="25"/>
  <c r="V6" i="25"/>
  <c r="O8" i="24"/>
  <c r="U6" i="24"/>
  <c r="J7" i="24"/>
  <c r="W6" i="24"/>
  <c r="T8" i="24"/>
  <c r="W7" i="24"/>
  <c r="O9" i="23"/>
  <c r="B11" i="23"/>
  <c r="A10" i="23"/>
  <c r="A11" i="23" s="1"/>
  <c r="T10" i="23"/>
  <c r="J7" i="23"/>
  <c r="U6" i="23"/>
  <c r="W6" i="23"/>
  <c r="V6" i="23"/>
  <c r="T9" i="22"/>
  <c r="O7" i="22"/>
  <c r="V6" i="22"/>
  <c r="B8" i="22"/>
  <c r="A7" i="22"/>
  <c r="A8" i="22" s="1"/>
  <c r="J8" i="22"/>
  <c r="T9" i="21"/>
  <c r="B9" i="21"/>
  <c r="J8" i="21"/>
  <c r="U7" i="21"/>
  <c r="W7" i="21"/>
  <c r="O8" i="21"/>
  <c r="V7" i="21"/>
  <c r="A8" i="21"/>
  <c r="T8" i="20"/>
  <c r="O6" i="20"/>
  <c r="V5" i="20"/>
  <c r="U5" i="20"/>
  <c r="U6" i="20"/>
  <c r="J7" i="20"/>
  <c r="B7" i="20"/>
  <c r="A7" i="20" s="1"/>
  <c r="A6" i="20"/>
  <c r="W10" i="19"/>
  <c r="U10" i="19"/>
  <c r="V10" i="19"/>
  <c r="V9" i="19"/>
  <c r="W9" i="19"/>
  <c r="U8" i="19"/>
  <c r="V8" i="19"/>
  <c r="W8" i="19"/>
  <c r="W7" i="19"/>
  <c r="U6" i="19"/>
  <c r="W4" i="19"/>
  <c r="V6" i="19"/>
  <c r="W6" i="19"/>
  <c r="U4" i="19"/>
  <c r="V4" i="19"/>
  <c r="T5" i="19"/>
  <c r="J5" i="19"/>
  <c r="O5" i="19"/>
  <c r="O10" i="25" l="1"/>
  <c r="U7" i="25"/>
  <c r="J8" i="25"/>
  <c r="W7" i="25"/>
  <c r="V7" i="25"/>
  <c r="B11" i="25"/>
  <c r="T11" i="25"/>
  <c r="T9" i="24"/>
  <c r="J8" i="24"/>
  <c r="U7" i="24"/>
  <c r="V7" i="24"/>
  <c r="O9" i="24"/>
  <c r="V8" i="24"/>
  <c r="U7" i="23"/>
  <c r="J8" i="23"/>
  <c r="W7" i="23"/>
  <c r="V7" i="23"/>
  <c r="B12" i="23"/>
  <c r="T11" i="23"/>
  <c r="O10" i="23"/>
  <c r="O8" i="22"/>
  <c r="V7" i="22"/>
  <c r="W7" i="22"/>
  <c r="J9" i="22"/>
  <c r="U8" i="22"/>
  <c r="B9" i="22"/>
  <c r="U7" i="22"/>
  <c r="T10" i="22"/>
  <c r="O9" i="21"/>
  <c r="V8" i="21"/>
  <c r="T10" i="21"/>
  <c r="J9" i="21"/>
  <c r="U8" i="21"/>
  <c r="B10" i="21"/>
  <c r="A9" i="21"/>
  <c r="W8" i="21"/>
  <c r="J8" i="20"/>
  <c r="O7" i="20"/>
  <c r="W7" i="20" s="1"/>
  <c r="V6" i="20"/>
  <c r="W6" i="20"/>
  <c r="B8" i="20"/>
  <c r="A8" i="20" s="1"/>
  <c r="T9" i="20"/>
  <c r="V5" i="19"/>
  <c r="U5" i="19"/>
  <c r="W5" i="19"/>
  <c r="B12" i="25" l="1"/>
  <c r="A11" i="25"/>
  <c r="J9" i="25"/>
  <c r="U8" i="25"/>
  <c r="W8" i="25"/>
  <c r="V8" i="25"/>
  <c r="T12" i="25"/>
  <c r="O11" i="25"/>
  <c r="T10" i="24"/>
  <c r="O10" i="24"/>
  <c r="J9" i="24"/>
  <c r="U8" i="24"/>
  <c r="W8" i="24"/>
  <c r="B13" i="23"/>
  <c r="A13" i="23" s="1"/>
  <c r="T12" i="23"/>
  <c r="A12" i="23"/>
  <c r="J9" i="23"/>
  <c r="U8" i="23"/>
  <c r="W8" i="23"/>
  <c r="V8" i="23"/>
  <c r="O11" i="23"/>
  <c r="B10" i="22"/>
  <c r="A9" i="22"/>
  <c r="A10" i="22" s="1"/>
  <c r="O9" i="22"/>
  <c r="V8" i="22"/>
  <c r="J10" i="22"/>
  <c r="U9" i="22"/>
  <c r="W8" i="22"/>
  <c r="W9" i="21"/>
  <c r="A10" i="21"/>
  <c r="O10" i="21"/>
  <c r="V9" i="21"/>
  <c r="B11" i="21"/>
  <c r="A11" i="21" s="1"/>
  <c r="T11" i="21"/>
  <c r="U9" i="21"/>
  <c r="J10" i="21"/>
  <c r="B9" i="20"/>
  <c r="A9" i="20" s="1"/>
  <c r="O8" i="20"/>
  <c r="U8" i="20" s="1"/>
  <c r="V7" i="20"/>
  <c r="U7" i="20"/>
  <c r="T10" i="20"/>
  <c r="J9" i="20"/>
  <c r="T13" i="25" l="1"/>
  <c r="J10" i="25"/>
  <c r="U9" i="25"/>
  <c r="W9" i="25"/>
  <c r="V9" i="25"/>
  <c r="B13" i="25"/>
  <c r="A13" i="25" s="1"/>
  <c r="O12" i="25"/>
  <c r="A12" i="25"/>
  <c r="J10" i="24"/>
  <c r="U10" i="24" s="1"/>
  <c r="U9" i="24"/>
  <c r="V9" i="24"/>
  <c r="W9" i="24"/>
  <c r="J10" i="23"/>
  <c r="U9" i="23"/>
  <c r="W9" i="23"/>
  <c r="V9" i="23"/>
  <c r="T13" i="23"/>
  <c r="O12" i="23"/>
  <c r="O10" i="22"/>
  <c r="V10" i="22" s="1"/>
  <c r="V9" i="22"/>
  <c r="W9" i="22"/>
  <c r="W11" i="21"/>
  <c r="T12" i="21"/>
  <c r="O11" i="21"/>
  <c r="V10" i="21"/>
  <c r="J11" i="21"/>
  <c r="U10" i="21"/>
  <c r="W10" i="21"/>
  <c r="B12" i="21"/>
  <c r="A12" i="21" s="1"/>
  <c r="J10" i="20"/>
  <c r="B10" i="20"/>
  <c r="A10" i="20" s="1"/>
  <c r="O9" i="20"/>
  <c r="V8" i="20"/>
  <c r="W8" i="20"/>
  <c r="J11" i="25" l="1"/>
  <c r="U10" i="25"/>
  <c r="W10" i="25"/>
  <c r="V10" i="25"/>
  <c r="O13" i="25"/>
  <c r="W10" i="24"/>
  <c r="V10" i="24"/>
  <c r="O13" i="23"/>
  <c r="J11" i="23"/>
  <c r="U10" i="23"/>
  <c r="W10" i="23"/>
  <c r="V10" i="23"/>
  <c r="U10" i="22"/>
  <c r="W10" i="22"/>
  <c r="B13" i="21"/>
  <c r="A13" i="21"/>
  <c r="J12" i="21"/>
  <c r="U11" i="21"/>
  <c r="O12" i="21"/>
  <c r="V11" i="21"/>
  <c r="T13" i="21"/>
  <c r="W12" i="21"/>
  <c r="O10" i="20"/>
  <c r="V9" i="20"/>
  <c r="W9" i="20"/>
  <c r="U10" i="20"/>
  <c r="U9" i="20"/>
  <c r="J12" i="25" l="1"/>
  <c r="U11" i="25"/>
  <c r="W11" i="25"/>
  <c r="V11" i="25"/>
  <c r="J12" i="23"/>
  <c r="U11" i="23"/>
  <c r="W11" i="23"/>
  <c r="V11" i="23"/>
  <c r="O13" i="21"/>
  <c r="W13" i="21" s="1"/>
  <c r="V12" i="21"/>
  <c r="B14" i="21"/>
  <c r="A14" i="21" s="1"/>
  <c r="T14" i="21"/>
  <c r="J13" i="21"/>
  <c r="U12" i="21"/>
  <c r="V10" i="20"/>
  <c r="W10" i="20"/>
  <c r="J13" i="25" l="1"/>
  <c r="U12" i="25"/>
  <c r="W12" i="25"/>
  <c r="V12" i="25"/>
  <c r="J13" i="23"/>
  <c r="U12" i="23"/>
  <c r="W12" i="23"/>
  <c r="V12" i="23"/>
  <c r="J14" i="21"/>
  <c r="U13" i="21"/>
  <c r="T15" i="21"/>
  <c r="O14" i="21"/>
  <c r="W14" i="21" s="1"/>
  <c r="V13" i="21"/>
  <c r="B15" i="21"/>
  <c r="A15" i="21" s="1"/>
  <c r="U13" i="25" l="1"/>
  <c r="W13" i="25"/>
  <c r="V13" i="25"/>
  <c r="U13" i="23"/>
  <c r="W13" i="23"/>
  <c r="V13" i="23"/>
  <c r="O15" i="21"/>
  <c r="V15" i="21" s="1"/>
  <c r="V14" i="21"/>
  <c r="J15" i="21"/>
  <c r="U15" i="21" s="1"/>
  <c r="U14" i="21"/>
  <c r="W15" i="21" l="1"/>
</calcChain>
</file>

<file path=xl/sharedStrings.xml><?xml version="1.0" encoding="utf-8"?>
<sst xmlns="http://schemas.openxmlformats.org/spreadsheetml/2006/main" count="1226" uniqueCount="207">
  <si>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</si>
  <si>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</si>
  <si>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</si>
  <si>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</si>
  <si>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</si>
  <si>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</si>
  <si>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</si>
  <si>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</si>
  <si>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</si>
  <si>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</si>
  <si>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</si>
  <si>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</si>
  <si>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</si>
  <si>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</si>
  <si>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</si>
  <si>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</si>
  <si>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</si>
  <si>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</si>
  <si>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</si>
  <si>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</si>
  <si>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</si>
  <si>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</si>
  <si>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</si>
  <si>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</si>
  <si>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</si>
  <si>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</si>
  <si>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</si>
  <si>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</si>
  <si>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</si>
  <si>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</si>
  <si>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</si>
  <si>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</si>
  <si>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</si>
  <si>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</si>
  <si>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</si>
  <si>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</si>
  <si>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</si>
  <si>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</si>
  <si>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</si>
  <si>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</si>
  <si>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</si>
  <si>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</si>
  <si>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</si>
  <si>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</si>
  <si>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</si>
  <si>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</si>
  <si>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</si>
  <si>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</si>
  <si>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</si>
  <si>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</si>
  <si>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</si>
  <si>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</si>
  <si>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</si>
  <si>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</si>
  <si>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</si>
  <si>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</si>
  <si>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</si>
  <si>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</si>
  <si>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</si>
  <si>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</si>
  <si>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</si>
  <si>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</si>
  <si>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</si>
  <si>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</si>
  <si>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</si>
  <si>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</si>
  <si>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</si>
  <si>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</si>
  <si>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</si>
  <si>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</si>
  <si>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</si>
  <si>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</si>
  <si>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</si>
  <si>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</si>
  <si>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</si>
  <si>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</si>
  <si>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</si>
  <si>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</si>
  <si>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</si>
  <si>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</si>
  <si>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</si>
  <si>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</si>
  <si>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</si>
  <si>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</si>
  <si>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</si>
  <si>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</si>
  <si>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</si>
  <si>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</si>
  <si>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</si>
  <si>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</si>
  <si>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</si>
  <si>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</si>
  <si>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</si>
  <si>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</si>
  <si>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</si>
  <si>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</si>
  <si>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</si>
  <si>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</si>
  <si>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</si>
  <si>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</si>
  <si>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</si>
  <si>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</si>
  <si>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</si>
  <si>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</si>
  <si>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</si>
  <si>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</si>
  <si>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</si>
  <si>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</si>
  <si>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</si>
  <si>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</si>
  <si>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</si>
  <si>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</si>
  <si>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</si>
  <si>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</si>
  <si>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</si>
  <si>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</si>
  <si>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</si>
  <si>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</si>
  <si>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</si>
  <si>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</si>
  <si>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</si>
  <si>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</si>
  <si>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</si>
  <si>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</si>
  <si>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</si>
  <si>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</si>
  <si>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</si>
  <si>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</si>
  <si>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</si>
  <si>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</si>
  <si>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</si>
  <si>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</si>
  <si>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</si>
  <si>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</si>
  <si>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</si>
  <si>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</si>
  <si>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</si>
  <si>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</si>
  <si>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</si>
  <si>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</si>
  <si>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</si>
  <si>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</si>
  <si>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</si>
  <si>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</si>
  <si>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</si>
  <si>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</si>
  <si>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</si>
  <si>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</si>
  <si>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</si>
  <si>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</si>
  <si>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</si>
  <si>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</si>
  <si>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</si>
  <si>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</si>
  <si>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</si>
  <si>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</si>
  <si>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</si>
  <si>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</si>
  <si>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</si>
  <si>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</si>
  <si>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</si>
  <si>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</si>
  <si>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</si>
  <si>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</si>
  <si>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</si>
  <si>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</si>
  <si>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</si>
  <si>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</si>
  <si>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</si>
  <si>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</si>
  <si>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</si>
  <si>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</si>
  <si>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</si>
  <si>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</si>
  <si>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</si>
  <si>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</si>
  <si>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</si>
  <si>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</si>
  <si>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</si>
  <si>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</si>
  <si>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</si>
  <si>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</si>
  <si>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</si>
  <si>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</si>
  <si>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</si>
  <si>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</si>
  <si>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</si>
  <si>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</si>
  <si>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</si>
  <si>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</si>
  <si>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</si>
  <si>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</si>
  <si>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ただ</t>
    <phoneticPr fontId="1"/>
  </si>
  <si>
    <t>りくと</t>
    <phoneticPr fontId="1"/>
  </si>
  <si>
    <t>だいち</t>
  </si>
  <si>
    <t>だいち</t>
    <phoneticPr fontId="1"/>
  </si>
  <si>
    <t>ツモ</t>
  </si>
  <si>
    <t>ツモ支払</t>
  </si>
  <si>
    <t>N</t>
  </si>
  <si>
    <t>T</t>
  </si>
  <si>
    <t>流局</t>
    <phoneticPr fontId="1"/>
  </si>
  <si>
    <t>ロン</t>
  </si>
  <si>
    <t>放銃</t>
  </si>
  <si>
    <t>*</t>
  </si>
  <si>
    <t>01</t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</si>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</sst>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りくと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197</v>
      </c>
      <c r="Q4" s="9">
        <v>-5000</v>
      </c>
      <c r="R4" s="9"/>
      <c r="S4" s="48">
        <v>0</v>
      </c>
      <c r="T4" s="21">
        <f>IF(COUNTA($F4,$K4,$P4)&gt;0,T3+SUM(Q4:S4),"")</f>
        <v>30000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-25</v>
      </c>
      <c r="Y4" s="8"/>
      <c r="Z4" s="34"/>
      <c r="AA4" s="26"/>
      <c r="AB4" s="26">
        <v>1</v>
      </c>
      <c r="AC4" s="26">
        <v>4</v>
      </c>
      <c r="AD4" s="30">
        <v>70</v>
      </c>
      <c r="AE4" s="40" t="s">
        <v>104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200</v>
      </c>
      <c r="G5" s="9">
        <v>-3000</v>
      </c>
      <c r="H5" s="9"/>
      <c r="I5" s="48"/>
      <c r="J5" s="21">
        <f t="shared" ref="J5:J30" si="2">IF(COUNTA($F5,$K5,$P5)&gt;0,J4+SUM(G5:I5),"")</f>
        <v>40000</v>
      </c>
      <c r="K5" s="8" t="s">
        <v>200</v>
      </c>
      <c r="L5" s="9">
        <v>1500</v>
      </c>
      <c r="M5" s="9">
        <v>-1000</v>
      </c>
      <c r="N5" s="48"/>
      <c r="O5" s="21">
        <f t="shared" ref="O5:O30" si="3">IF(COUNTA($F5,$K5,$P5)&gt;0,O4+SUM(L5:N5),"")</f>
        <v>32500</v>
      </c>
      <c r="P5" s="8" t="s">
        <v>200</v>
      </c>
      <c r="Q5" s="9">
        <v>1500</v>
      </c>
      <c r="R5" s="9"/>
      <c r="S5" s="48"/>
      <c r="T5" s="21">
        <f t="shared" ref="T5:T30" si="4">IF(COUNTA($F5,$K5,$P5)&gt;0,T4+SUM(Q5:S5),"")</f>
        <v>31500</v>
      </c>
      <c r="U5" s="53">
        <f>IF($J5="","",ROUND(($J5-$J$3)/1000,1)+(_xlfn.RANK.AVG($J5,($J5,$O5,$T5),1)-2)*20)</f>
        <v>25</v>
      </c>
      <c r="V5" s="54">
        <f>IF($O5="","",ROUND(($O5-$O$3)/1000,1)+(_xlfn.RANK.AVG($O5,($J5,$O5,$T5),1)-2)*20)</f>
        <v>-2.5</v>
      </c>
      <c r="W5" s="55">
        <f>IF($T5="","",ROUND(($T5-$T$3)/1000,1)+(_xlfn.RANK.AVG($T5,($J5,$O5,$T5),1)-2)*20)</f>
        <v>-23.5</v>
      </c>
      <c r="Y5" s="8" t="s">
        <v>198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199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199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IF($K$1="","",$K$1)</f>
        <v>りくと</v>
      </c>
      <c r="F6" s="8"/>
      <c r="G6" s="9"/>
      <c r="H6" s="9"/>
      <c r="I6" s="48"/>
      <c r="J6" s="21">
        <f t="shared" si="2"/>
        <v>40000</v>
      </c>
      <c r="K6" s="8" t="s">
        <v>201</v>
      </c>
      <c r="L6" s="9">
        <v>24000</v>
      </c>
      <c r="M6" s="9">
        <v>2000</v>
      </c>
      <c r="N6" s="48">
        <v>1000</v>
      </c>
      <c r="O6" s="21">
        <f t="shared" si="3"/>
        <v>59500</v>
      </c>
      <c r="P6" s="8" t="s">
        <v>202</v>
      </c>
      <c r="Q6" s="9">
        <v>-24000</v>
      </c>
      <c r="R6" s="9">
        <v>-1000</v>
      </c>
      <c r="S6" s="48">
        <v>-1000</v>
      </c>
      <c r="T6" s="21">
        <f t="shared" si="4"/>
        <v>5500</v>
      </c>
      <c r="U6" s="53">
        <f>IF($J6="","",ROUND(($J6-$J$3)/1000,1)+(_xlfn.RANK.AVG($J6,($J6,$O6,$T6),1)-2)*20)</f>
        <v>5</v>
      </c>
      <c r="V6" s="54">
        <f>IF($O6="","",ROUND(($O6-$O$3)/1000,1)+(_xlfn.RANK.AVG($O6,($J6,$O6,$T6),1)-2)*20)</f>
        <v>44.5</v>
      </c>
      <c r="W6" s="55">
        <f>IF($T6="","",ROUND(($T6-$T$3)/1000,1)+(_xlfn.RANK.AVG($T6,($J6,$O6,$T6),1)-2)*20)</f>
        <v>-49.5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9</v>
      </c>
      <c r="AY6" s="30" t="s">
        <v>203</v>
      </c>
      <c r="AZ6" s="40" t="s">
        <v>101</v>
      </c>
      <c r="BA6" s="41" t="s">
        <v>204</v>
      </c>
      <c r="BB6" s="41" t="s">
        <v>104</v>
      </c>
      <c r="BC6" s="41" t="s">
        <v>205</v>
      </c>
      <c r="BD6" s="41" t="s">
        <v>80</v>
      </c>
      <c r="BE6" s="41" t="s">
        <v>80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0</v>
      </c>
      <c r="E7" s="4" t="str">
        <f>IF($K$1="","",$K$1)</f>
        <v>りくと</v>
      </c>
      <c r="F7" s="8" t="s">
        <v>202</v>
      </c>
      <c r="G7" s="9">
        <v>-3900</v>
      </c>
      <c r="H7" s="9"/>
      <c r="I7" s="48">
        <v>-2000</v>
      </c>
      <c r="J7" s="21">
        <f t="shared" si="2"/>
        <v>34100</v>
      </c>
      <c r="K7" s="8"/>
      <c r="L7" s="9"/>
      <c r="M7" s="9"/>
      <c r="N7" s="48"/>
      <c r="O7" s="21">
        <f t="shared" si="3"/>
        <v>59500</v>
      </c>
      <c r="P7" s="8" t="s">
        <v>201</v>
      </c>
      <c r="Q7" s="9">
        <v>3900</v>
      </c>
      <c r="R7" s="9"/>
      <c r="S7" s="48">
        <v>2000</v>
      </c>
      <c r="T7" s="21">
        <f t="shared" si="4"/>
        <v>11400</v>
      </c>
      <c r="U7" s="53">
        <f>IF($J7="","",ROUND(($J7-$J$3)/1000,1)+(_xlfn.RANK.AVG($J7,($J7,$O7,$T7),1)-2)*20)</f>
        <v>-0.9</v>
      </c>
      <c r="V7" s="54">
        <f>IF($O7="","",ROUND(($O7-$O$3)/1000,1)+(_xlfn.RANK.AVG($O7,($J7,$O7,$T7),1)-2)*20)</f>
        <v>44.5</v>
      </c>
      <c r="W7" s="55">
        <f>IF($T7="","",ROUND(($T7-$T$3)/1000,1)+(_xlfn.RANK.AVG($T7,($J7,$O7,$T7),1)-2)*20)</f>
        <v>-43.6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30</v>
      </c>
      <c r="BU7" s="40" t="s">
        <v>104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196</v>
      </c>
      <c r="G8" s="9">
        <v>7700</v>
      </c>
      <c r="H8" s="9"/>
      <c r="I8" s="48">
        <v>0</v>
      </c>
      <c r="J8" s="21">
        <f t="shared" si="2"/>
        <v>41800</v>
      </c>
      <c r="K8" s="8" t="s">
        <v>197</v>
      </c>
      <c r="L8" s="9">
        <v>-2900</v>
      </c>
      <c r="M8" s="9"/>
      <c r="N8" s="48">
        <v>0</v>
      </c>
      <c r="O8" s="21">
        <f t="shared" si="3"/>
        <v>56600</v>
      </c>
      <c r="P8" s="8" t="s">
        <v>197</v>
      </c>
      <c r="Q8" s="9">
        <v>-4800</v>
      </c>
      <c r="R8" s="9"/>
      <c r="S8" s="48">
        <v>0</v>
      </c>
      <c r="T8" s="21">
        <f t="shared" si="4"/>
        <v>6600</v>
      </c>
      <c r="U8" s="53">
        <f>IF($J8="","",ROUND(($J8-$J$3)/1000,1)+(_xlfn.RANK.AVG($J8,($J8,$O8,$T8),1)-2)*20)</f>
        <v>6.8</v>
      </c>
      <c r="V8" s="54">
        <f>IF($O8="","",ROUND(($O8-$O$3)/1000,1)+(_xlfn.RANK.AVG($O8,($J8,$O8,$T8),1)-2)*20)</f>
        <v>41.6</v>
      </c>
      <c r="W8" s="55">
        <f>IF($T8="","",ROUND(($T8-$T$3)/1000,1)+(_xlfn.RANK.AVG($T8,($J8,$O8,$T8),1)-2)*20)</f>
        <v>-48.4</v>
      </c>
      <c r="Y8" s="8"/>
      <c r="Z8" s="34"/>
      <c r="AA8" s="26"/>
      <c r="AB8" s="26">
        <v>1</v>
      </c>
      <c r="AC8" s="26">
        <v>4</v>
      </c>
      <c r="AD8" s="30">
        <v>30</v>
      </c>
      <c r="AE8" s="40" t="s">
        <v>86</v>
      </c>
      <c r="AF8" s="41" t="s">
        <v>79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ただ</v>
      </c>
      <c r="F9" s="8" t="s">
        <v>202</v>
      </c>
      <c r="G9" s="9">
        <v>-8000</v>
      </c>
      <c r="H9" s="9"/>
      <c r="I9" s="48">
        <v>0</v>
      </c>
      <c r="J9" s="21">
        <f t="shared" si="2"/>
        <v>33800</v>
      </c>
      <c r="K9" s="8" t="s">
        <v>201</v>
      </c>
      <c r="L9" s="9">
        <v>8000</v>
      </c>
      <c r="M9" s="9"/>
      <c r="N9" s="48">
        <v>0</v>
      </c>
      <c r="O9" s="21">
        <f t="shared" si="3"/>
        <v>64600</v>
      </c>
      <c r="P9" s="8"/>
      <c r="Q9" s="9"/>
      <c r="R9" s="9"/>
      <c r="S9" s="48"/>
      <c r="T9" s="21">
        <f t="shared" si="4"/>
        <v>6600</v>
      </c>
      <c r="U9" s="53">
        <f>IF($J9="","",ROUND(($J9-$J$3)/1000,1)+(_xlfn.RANK.AVG($J9,($J9,$O9,$T9),1)-2)*20)</f>
        <v>-1.2</v>
      </c>
      <c r="V9" s="54">
        <f>IF($O9="","",ROUND(($O9-$O$3)/1000,1)+(_xlfn.RANK.AVG($O9,($J9,$O9,$T9),1)-2)*20)</f>
        <v>49.6</v>
      </c>
      <c r="W9" s="55">
        <f>IF($T9="","",ROUND(($T9-$T$3)/1000,1)+(_xlfn.RANK.AVG($T9,($J9,$O9,$T9),1)-2)*20)</f>
        <v>-48.4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203</v>
      </c>
      <c r="AZ9" s="40" t="s">
        <v>204</v>
      </c>
      <c r="BA9" s="41" t="s">
        <v>83</v>
      </c>
      <c r="BB9" s="41" t="s">
        <v>205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りくと</v>
      </c>
      <c r="F10" s="8" t="s">
        <v>197</v>
      </c>
      <c r="G10" s="9">
        <v>-9000</v>
      </c>
      <c r="H10" s="9"/>
      <c r="I10" s="48">
        <v>0</v>
      </c>
      <c r="J10" s="21">
        <f t="shared" si="2"/>
        <v>24800</v>
      </c>
      <c r="K10" s="8" t="s">
        <v>196</v>
      </c>
      <c r="L10" s="9">
        <v>18000</v>
      </c>
      <c r="M10" s="9"/>
      <c r="N10" s="48">
        <v>0</v>
      </c>
      <c r="O10" s="21">
        <f t="shared" si="3"/>
        <v>82600</v>
      </c>
      <c r="P10" s="8" t="s">
        <v>197</v>
      </c>
      <c r="Q10" s="9">
        <v>-9000</v>
      </c>
      <c r="R10" s="9"/>
      <c r="S10" s="48">
        <v>0</v>
      </c>
      <c r="T10" s="21">
        <f t="shared" si="4"/>
        <v>-2400</v>
      </c>
      <c r="U10" s="53">
        <f>IF($J10="","",ROUND(($J10-$J$3)/1000,1)+(_xlfn.RANK.AVG($J10,($J10,$O10,$T10),1)-2)*20)</f>
        <v>-10.199999999999999</v>
      </c>
      <c r="V10" s="54">
        <f>IF($O10="","",ROUND(($O10-$O$3)/1000,1)+(_xlfn.RANK.AVG($O10,($J10,$O10,$T10),1)-2)*20)</f>
        <v>67.599999999999994</v>
      </c>
      <c r="W10" s="55">
        <f>IF($T10="","",ROUND(($T10-$T$3)/1000,1)+(_xlfn.RANK.AVG($T10,($J10,$O10,$T10),1)-2)*20)</f>
        <v>-57.4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7</v>
      </c>
      <c r="AY10" s="30" t="s">
        <v>203</v>
      </c>
      <c r="AZ10" s="40" t="s">
        <v>204</v>
      </c>
      <c r="BA10" s="41" t="s">
        <v>82</v>
      </c>
      <c r="BB10" s="41" t="s">
        <v>83</v>
      </c>
      <c r="BC10" s="41" t="s">
        <v>82</v>
      </c>
      <c r="BD10" s="41" t="s">
        <v>205</v>
      </c>
      <c r="BE10" s="41" t="s">
        <v>205</v>
      </c>
      <c r="BF10" s="41" t="s">
        <v>79</v>
      </c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185CA4E-5153-4FC6-BB22-36291224BA6B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31272-5B9B-4980-A243-2C37E9F9CFD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200</v>
      </c>
      <c r="G4" s="9">
        <v>0</v>
      </c>
      <c r="H4" s="9"/>
      <c r="I4" s="48"/>
      <c r="J4" s="21">
        <f>IF(COUNTA($F4,$K4,$P4)&gt;0,J3+SUM(G4:I4),"")</f>
        <v>35000</v>
      </c>
      <c r="K4" s="8" t="s">
        <v>200</v>
      </c>
      <c r="L4" s="9">
        <v>0</v>
      </c>
      <c r="M4" s="9"/>
      <c r="N4" s="48"/>
      <c r="O4" s="21">
        <f>IF(COUNTA($F4,$K4,$P4)&gt;0,O3+SUM(L4:N4),"")</f>
        <v>35000</v>
      </c>
      <c r="P4" s="8" t="s">
        <v>200</v>
      </c>
      <c r="Q4" s="9">
        <v>0</v>
      </c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10</v>
      </c>
      <c r="V4" s="54">
        <f>IF($O4="","",ROUND(($O4-$O$3)/1000,1)+(_xlfn.RANK.AVG($O4,($J4,$O4,$T4),1)-2)*20)</f>
        <v>10</v>
      </c>
      <c r="W4" s="55">
        <f>IF($T4="","",ROUND(($T4-$T$3)/1000,1)+(_xlfn.RANK.AVG($T4,($J4,$O4,$T4),1)-2)*20)</f>
        <v>-21</v>
      </c>
      <c r="Y4" s="8" t="s">
        <v>199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199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199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りくと</v>
      </c>
      <c r="F5" s="8" t="s">
        <v>202</v>
      </c>
      <c r="G5" s="9">
        <v>-7700</v>
      </c>
      <c r="H5" s="9"/>
      <c r="I5" s="48">
        <v>-1000</v>
      </c>
      <c r="J5" s="21">
        <f t="shared" ref="J5:J30" si="2">IF(COUNTA($F5,$K5,$P5)&gt;0,J4+SUM(G5:I5),"")</f>
        <v>26300</v>
      </c>
      <c r="K5" s="8" t="s">
        <v>201</v>
      </c>
      <c r="L5" s="9">
        <v>7700</v>
      </c>
      <c r="M5" s="9">
        <v>1000</v>
      </c>
      <c r="N5" s="48">
        <v>1000</v>
      </c>
      <c r="O5" s="21">
        <f t="shared" ref="O5:O30" si="3">IF(COUNTA($F5,$K5,$P5)&gt;0,O4+SUM(L5:N5),"")</f>
        <v>44700</v>
      </c>
      <c r="P5" s="8"/>
      <c r="Q5" s="9"/>
      <c r="R5" s="9"/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IF($J5="","",ROUND(($J5-$J$3)/1000,1)+(_xlfn.RANK.AVG($J5,($J5,$O5,$T5),1)-2)*20)</f>
        <v>-28.7</v>
      </c>
      <c r="V5" s="54">
        <f>IF($O5="","",ROUND(($O5-$O$3)/1000,1)+(_xlfn.RANK.AVG($O5,($J5,$O5,$T5),1)-2)*20)</f>
        <v>29.7</v>
      </c>
      <c r="W5" s="55">
        <f>IF($T5="","",ROUND(($T5-$T$3)/1000,1)+(_xlfn.RANK.AVG($T5,($J5,$O5,$T5),1)-2)*20)</f>
        <v>-1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204</v>
      </c>
      <c r="BA5" s="41" t="s">
        <v>205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りくと</v>
      </c>
      <c r="F6" s="8" t="s">
        <v>202</v>
      </c>
      <c r="G6" s="9">
        <v>-8000</v>
      </c>
      <c r="H6" s="9"/>
      <c r="I6" s="48">
        <v>-2000</v>
      </c>
      <c r="J6" s="21">
        <f t="shared" si="2"/>
        <v>16300</v>
      </c>
      <c r="K6" s="8"/>
      <c r="L6" s="9"/>
      <c r="M6" s="9"/>
      <c r="N6" s="48"/>
      <c r="O6" s="21">
        <f t="shared" si="3"/>
        <v>44700</v>
      </c>
      <c r="P6" s="8" t="s">
        <v>201</v>
      </c>
      <c r="Q6" s="9">
        <v>8000</v>
      </c>
      <c r="R6" s="9"/>
      <c r="S6" s="48">
        <v>2000</v>
      </c>
      <c r="T6" s="21">
        <f t="shared" si="4"/>
        <v>44000</v>
      </c>
      <c r="U6" s="53">
        <f>IF($J6="","",ROUND(($J6-$J$3)/1000,1)+(_xlfn.RANK.AVG($J6,($J6,$O6,$T6),1)-2)*20)</f>
        <v>-38.700000000000003</v>
      </c>
      <c r="V6" s="54">
        <f>IF($O6="","",ROUND(($O6-$O$3)/1000,1)+(_xlfn.RANK.AVG($O6,($J6,$O6,$T6),1)-2)*20)</f>
        <v>29.7</v>
      </c>
      <c r="W6" s="55">
        <f>IF($T6="","",ROUND(($T6-$T$3)/1000,1)+(_xlfn.RANK.AVG($T6,($J6,$O6,$T6),1)-2)*20)</f>
        <v>9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40</v>
      </c>
      <c r="BU6" s="40" t="s">
        <v>104</v>
      </c>
      <c r="BV6" s="41" t="s">
        <v>205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201</v>
      </c>
      <c r="G7" s="9">
        <v>5200</v>
      </c>
      <c r="H7" s="9">
        <v>1000</v>
      </c>
      <c r="I7" s="48">
        <v>0</v>
      </c>
      <c r="J7" s="21">
        <f t="shared" si="2"/>
        <v>22500</v>
      </c>
      <c r="K7" s="8"/>
      <c r="L7" s="9"/>
      <c r="M7" s="9"/>
      <c r="N7" s="48"/>
      <c r="O7" s="21">
        <f t="shared" si="3"/>
        <v>44700</v>
      </c>
      <c r="P7" s="8" t="s">
        <v>202</v>
      </c>
      <c r="Q7" s="9">
        <v>-5200</v>
      </c>
      <c r="R7" s="9">
        <v>-1000</v>
      </c>
      <c r="S7" s="48">
        <v>0</v>
      </c>
      <c r="T7" s="21">
        <f t="shared" si="4"/>
        <v>37800</v>
      </c>
      <c r="U7" s="53">
        <f>IF($J7="","",ROUND(($J7-$J$3)/1000,1)+(_xlfn.RANK.AVG($J7,($J7,$O7,$T7),1)-2)*20)</f>
        <v>-32.5</v>
      </c>
      <c r="V7" s="54">
        <f>IF($O7="","",ROUND(($O7-$O$3)/1000,1)+(_xlfn.RANK.AVG($O7,($J7,$O7,$T7),1)-2)*20)</f>
        <v>29.7</v>
      </c>
      <c r="W7" s="55">
        <f>IF($T7="","",ROUND(($T7-$T$3)/1000,1)+(_xlfn.RANK.AVG($T7,($J7,$O7,$T7),1)-2)*20)</f>
        <v>2.8</v>
      </c>
      <c r="Y7" s="8"/>
      <c r="Z7" s="34"/>
      <c r="AA7" s="26"/>
      <c r="AB7" s="26"/>
      <c r="AC7" s="26">
        <v>3</v>
      </c>
      <c r="AD7" s="30">
        <v>40</v>
      </c>
      <c r="AE7" s="40" t="s">
        <v>85</v>
      </c>
      <c r="AF7" s="41" t="s">
        <v>79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IF($F$1="","",$F$1)</f>
        <v>ただ</v>
      </c>
      <c r="F8" s="8"/>
      <c r="G8" s="9"/>
      <c r="H8" s="9"/>
      <c r="I8" s="48"/>
      <c r="J8" s="21">
        <f t="shared" si="2"/>
        <v>22500</v>
      </c>
      <c r="K8" s="8" t="s">
        <v>201</v>
      </c>
      <c r="L8" s="9">
        <v>7700</v>
      </c>
      <c r="M8" s="9"/>
      <c r="N8" s="48">
        <v>0</v>
      </c>
      <c r="O8" s="21">
        <f t="shared" si="3"/>
        <v>52400</v>
      </c>
      <c r="P8" s="8" t="s">
        <v>202</v>
      </c>
      <c r="Q8" s="9">
        <v>-7700</v>
      </c>
      <c r="R8" s="9"/>
      <c r="S8" s="48">
        <v>0</v>
      </c>
      <c r="T8" s="21">
        <f t="shared" si="4"/>
        <v>30100</v>
      </c>
      <c r="U8" s="53">
        <f>IF($J8="","",ROUND(($J8-$J$3)/1000,1)+(_xlfn.RANK.AVG($J8,($J8,$O8,$T8),1)-2)*20)</f>
        <v>-32.5</v>
      </c>
      <c r="V8" s="54">
        <f>IF($O8="","",ROUND(($O8-$O$3)/1000,1)+(_xlfn.RANK.AVG($O8,($J8,$O8,$T8),1)-2)*20)</f>
        <v>37.4</v>
      </c>
      <c r="W8" s="55">
        <f>IF($T8="","",ROUND(($T8-$T$3)/1000,1)+(_xlfn.RANK.AVG($T8,($J8,$O8,$T8),1)-2)*20)</f>
        <v>-4.9000000000000004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30</v>
      </c>
      <c r="AZ8" s="40" t="s">
        <v>204</v>
      </c>
      <c r="BA8" s="41" t="s">
        <v>83</v>
      </c>
      <c r="BB8" s="41" t="s">
        <v>79</v>
      </c>
      <c r="BC8" s="41" t="s">
        <v>205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りくと</v>
      </c>
      <c r="F9" s="8" t="s">
        <v>196</v>
      </c>
      <c r="G9" s="9">
        <v>8000</v>
      </c>
      <c r="H9" s="9"/>
      <c r="I9" s="48">
        <v>0</v>
      </c>
      <c r="J9" s="21">
        <f t="shared" si="2"/>
        <v>30500</v>
      </c>
      <c r="K9" s="8" t="s">
        <v>197</v>
      </c>
      <c r="L9" s="9">
        <v>-5000</v>
      </c>
      <c r="M9" s="9"/>
      <c r="N9" s="48">
        <v>0</v>
      </c>
      <c r="O9" s="21">
        <f t="shared" si="3"/>
        <v>47400</v>
      </c>
      <c r="P9" s="8" t="s">
        <v>197</v>
      </c>
      <c r="Q9" s="9">
        <v>-3000</v>
      </c>
      <c r="R9" s="9"/>
      <c r="S9" s="48">
        <v>0</v>
      </c>
      <c r="T9" s="21">
        <f t="shared" si="4"/>
        <v>27100</v>
      </c>
      <c r="U9" s="53">
        <f>IF($J9="","",ROUND(($J9-$J$3)/1000,1)+(_xlfn.RANK.AVG($J9,($J9,$O9,$T9),1)-2)*20)</f>
        <v>-4.5</v>
      </c>
      <c r="V9" s="54">
        <f>IF($O9="","",ROUND(($O9-$O$3)/1000,1)+(_xlfn.RANK.AVG($O9,($J9,$O9,$T9),1)-2)*20)</f>
        <v>32.4</v>
      </c>
      <c r="W9" s="55">
        <f>IF($T9="","",ROUND(($T9-$T$3)/1000,1)+(_xlfn.RANK.AVG($T9,($J9,$O9,$T9),1)-2)*20)</f>
        <v>-27.9</v>
      </c>
      <c r="Y9" s="8"/>
      <c r="Z9" s="34"/>
      <c r="AA9" s="26"/>
      <c r="AB9" s="26"/>
      <c r="AC9" s="26">
        <v>5</v>
      </c>
      <c r="AD9" s="30" t="s">
        <v>203</v>
      </c>
      <c r="AE9" s="40" t="s">
        <v>82</v>
      </c>
      <c r="AF9" s="41" t="s">
        <v>84</v>
      </c>
      <c r="AG9" s="41" t="s">
        <v>92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/>
      <c r="G10" s="9"/>
      <c r="H10" s="9"/>
      <c r="I10" s="48"/>
      <c r="J10" s="21">
        <f t="shared" si="2"/>
        <v>30500</v>
      </c>
      <c r="K10" s="8" t="s">
        <v>202</v>
      </c>
      <c r="L10" s="9">
        <v>-3900</v>
      </c>
      <c r="M10" s="9"/>
      <c r="N10" s="48">
        <v>0</v>
      </c>
      <c r="O10" s="21">
        <f t="shared" si="3"/>
        <v>43500</v>
      </c>
      <c r="P10" s="8" t="s">
        <v>201</v>
      </c>
      <c r="Q10" s="9">
        <v>3900</v>
      </c>
      <c r="R10" s="9"/>
      <c r="S10" s="48">
        <v>0</v>
      </c>
      <c r="T10" s="21">
        <f t="shared" si="4"/>
        <v>31000</v>
      </c>
      <c r="U10" s="53">
        <f>IF($J10="","",ROUND(($J10-$J$3)/1000,1)+(_xlfn.RANK.AVG($J10,($J10,$O10,$T10),1)-2)*20)</f>
        <v>-24.5</v>
      </c>
      <c r="V10" s="54">
        <f>IF($O10="","",ROUND(($O10-$O$3)/1000,1)+(_xlfn.RANK.AVG($O10,($J10,$O10,$T10),1)-2)*20)</f>
        <v>28.5</v>
      </c>
      <c r="W10" s="55">
        <f>IF($T10="","",ROUND(($T10-$T$3)/1000,1)+(_xlfn.RANK.AVG($T10,($J10,$O10,$T10),1)-2)*20)</f>
        <v>-4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2</v>
      </c>
      <c r="BT10" s="30">
        <v>40</v>
      </c>
      <c r="BU10" s="40" t="s">
        <v>204</v>
      </c>
      <c r="BV10" s="41" t="s">
        <v>86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IF($P$1="","",$P$1)</f>
        <v>だいち</v>
      </c>
      <c r="F11" s="8" t="s">
        <v>197</v>
      </c>
      <c r="G11" s="9">
        <v>-9000</v>
      </c>
      <c r="H11" s="9"/>
      <c r="I11" s="48">
        <v>-500</v>
      </c>
      <c r="J11" s="21">
        <f t="shared" si="2"/>
        <v>21000</v>
      </c>
      <c r="K11" s="8" t="s">
        <v>197</v>
      </c>
      <c r="L11" s="9">
        <v>-9000</v>
      </c>
      <c r="M11" s="9"/>
      <c r="N11" s="48">
        <v>-500</v>
      </c>
      <c r="O11" s="21">
        <f t="shared" si="3"/>
        <v>34000</v>
      </c>
      <c r="P11" s="8" t="s">
        <v>196</v>
      </c>
      <c r="Q11" s="9">
        <v>18000</v>
      </c>
      <c r="R11" s="9"/>
      <c r="S11" s="48">
        <v>1000</v>
      </c>
      <c r="T11" s="21">
        <f t="shared" si="4"/>
        <v>50000</v>
      </c>
      <c r="U11" s="53">
        <f>IF($J11="","",ROUND(($J11-$J$3)/1000,1)+(_xlfn.RANK.AVG($J11,($J11,$O11,$T11),1)-2)*20)</f>
        <v>-34</v>
      </c>
      <c r="V11" s="54">
        <f>IF($O11="","",ROUND(($O11-$O$3)/1000,1)+(_xlfn.RANK.AVG($O11,($J11,$O11,$T11),1)-2)*20)</f>
        <v>-1</v>
      </c>
      <c r="W11" s="55">
        <f>IF($T11="","",ROUND(($T11-$T$3)/1000,1)+(_xlfn.RANK.AVG($T11,($J11,$O11,$T11),1)-2)*20)</f>
        <v>35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6</v>
      </c>
      <c r="BT11" s="30" t="s">
        <v>203</v>
      </c>
      <c r="BU11" s="40" t="s">
        <v>204</v>
      </c>
      <c r="BV11" s="41" t="s">
        <v>82</v>
      </c>
      <c r="BW11" s="41" t="s">
        <v>206</v>
      </c>
      <c r="BX11" s="41" t="s">
        <v>205</v>
      </c>
      <c r="BY11" s="41" t="s">
        <v>79</v>
      </c>
      <c r="BZ11" s="41" t="s">
        <v>80</v>
      </c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IF($P$1="","",$P$1)</f>
        <v>だいち</v>
      </c>
      <c r="F12" s="8" t="s">
        <v>197</v>
      </c>
      <c r="G12" s="9">
        <v>-5800</v>
      </c>
      <c r="H12" s="9"/>
      <c r="I12" s="48">
        <v>-1000</v>
      </c>
      <c r="J12" s="21">
        <f t="shared" si="2"/>
        <v>14200</v>
      </c>
      <c r="K12" s="8" t="s">
        <v>197</v>
      </c>
      <c r="L12" s="9">
        <v>-5800</v>
      </c>
      <c r="M12" s="9"/>
      <c r="N12" s="48">
        <v>-1000</v>
      </c>
      <c r="O12" s="21">
        <f t="shared" si="3"/>
        <v>27200</v>
      </c>
      <c r="P12" s="8" t="s">
        <v>196</v>
      </c>
      <c r="Q12" s="9">
        <v>11600</v>
      </c>
      <c r="R12" s="9"/>
      <c r="S12" s="48">
        <v>2000</v>
      </c>
      <c r="T12" s="21">
        <f t="shared" si="4"/>
        <v>63600</v>
      </c>
      <c r="U12" s="53">
        <f>IF($J12="","",ROUND(($J12-$J$3)/1000,1)+(_xlfn.RANK.AVG($J12,($J12,$O12,$T12),1)-2)*20)</f>
        <v>-40.799999999999997</v>
      </c>
      <c r="V12" s="54">
        <f>IF($O12="","",ROUND(($O12-$O$3)/1000,1)+(_xlfn.RANK.AVG($O12,($J12,$O12,$T12),1)-2)*20)</f>
        <v>-7.8</v>
      </c>
      <c r="W12" s="55">
        <f>IF($T12="","",ROUND(($T12-$T$3)/1000,1)+(_xlfn.RANK.AVG($T12,($J12,$O12,$T12),1)-2)*20)</f>
        <v>48.6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4</v>
      </c>
      <c r="BT12" s="30">
        <v>30</v>
      </c>
      <c r="BU12" s="40" t="s">
        <v>86</v>
      </c>
      <c r="BV12" s="41" t="s">
        <v>86</v>
      </c>
      <c r="BW12" s="41" t="s">
        <v>79</v>
      </c>
      <c r="BX12" s="41" t="s">
        <v>205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tr">
        <f>IF($P$1="","",$P$1)</f>
        <v>だいち</v>
      </c>
      <c r="F13" s="8" t="s">
        <v>200</v>
      </c>
      <c r="G13" s="9">
        <v>1500</v>
      </c>
      <c r="H13" s="9"/>
      <c r="I13" s="48"/>
      <c r="J13" s="21">
        <f t="shared" si="2"/>
        <v>15700</v>
      </c>
      <c r="K13" s="8" t="s">
        <v>200</v>
      </c>
      <c r="L13" s="9">
        <v>1500</v>
      </c>
      <c r="M13" s="9">
        <v>-1000</v>
      </c>
      <c r="N13" s="48"/>
      <c r="O13" s="21">
        <f t="shared" si="3"/>
        <v>27700</v>
      </c>
      <c r="P13" s="8" t="s">
        <v>200</v>
      </c>
      <c r="Q13" s="9">
        <v>-3000</v>
      </c>
      <c r="R13" s="9"/>
      <c r="S13" s="48"/>
      <c r="T13" s="21">
        <f t="shared" si="4"/>
        <v>60600</v>
      </c>
      <c r="U13" s="53">
        <f>IF($J13="","",ROUND(($J13-$J$3)/1000,1)+(_xlfn.RANK.AVG($J13,($J13,$O13,$T13),1)-2)*20)</f>
        <v>-39.299999999999997</v>
      </c>
      <c r="V13" s="54">
        <f>IF($O13="","",ROUND(($O13-$O$3)/1000,1)+(_xlfn.RANK.AVG($O13,($J13,$O13,$T13),1)-2)*20)</f>
        <v>-7.3</v>
      </c>
      <c r="W13" s="55">
        <f>IF($T13="","",ROUND(($T13-$T$3)/1000,1)+(_xlfn.RANK.AVG($T13,($J13,$O13,$T13),1)-2)*20)</f>
        <v>45.6</v>
      </c>
      <c r="Y13" s="8" t="s">
        <v>199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199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198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4</v>
      </c>
      <c r="D14" s="18">
        <f t="shared" si="1"/>
        <v>1</v>
      </c>
      <c r="E14" s="4" t="str">
        <f>IF($F$1="","",$F$1)</f>
        <v>ただ</v>
      </c>
      <c r="F14" s="8" t="s">
        <v>196</v>
      </c>
      <c r="G14" s="9">
        <v>7800</v>
      </c>
      <c r="H14" s="9">
        <v>2000</v>
      </c>
      <c r="I14" s="48">
        <v>4000</v>
      </c>
      <c r="J14" s="21">
        <f t="shared" si="2"/>
        <v>29500</v>
      </c>
      <c r="K14" s="8" t="s">
        <v>197</v>
      </c>
      <c r="L14" s="9">
        <v>-3900</v>
      </c>
      <c r="M14" s="9">
        <v>-1000</v>
      </c>
      <c r="N14" s="48">
        <v>-2000</v>
      </c>
      <c r="O14" s="21">
        <f t="shared" si="3"/>
        <v>20800</v>
      </c>
      <c r="P14" s="8" t="s">
        <v>197</v>
      </c>
      <c r="Q14" s="9">
        <v>-3900</v>
      </c>
      <c r="R14" s="9"/>
      <c r="S14" s="48">
        <v>-2000</v>
      </c>
      <c r="T14" s="21">
        <f t="shared" si="4"/>
        <v>54700</v>
      </c>
      <c r="U14" s="53">
        <f>IF($J14="","",ROUND(($J14-$J$3)/1000,1)+(_xlfn.RANK.AVG($J14,($J14,$O14,$T14),1)-2)*20)</f>
        <v>-5.5</v>
      </c>
      <c r="V14" s="54">
        <f>IF($O14="","",ROUND(($O14-$O$3)/1000,1)+(_xlfn.RANK.AVG($O14,($J14,$O14,$T14),1)-2)*20)</f>
        <v>-34.200000000000003</v>
      </c>
      <c r="W14" s="55">
        <f>IF($T14="","",ROUND(($T14-$T$3)/1000,1)+(_xlfn.RANK.AVG($T14,($J14,$O14,$T14),1)-2)*20)</f>
        <v>39.700000000000003</v>
      </c>
      <c r="Y14" s="8"/>
      <c r="Z14" s="34"/>
      <c r="AA14" s="26"/>
      <c r="AB14" s="26">
        <v>1</v>
      </c>
      <c r="AC14" s="26">
        <v>3</v>
      </c>
      <c r="AD14" s="30">
        <v>40</v>
      </c>
      <c r="AE14" s="40" t="s">
        <v>86</v>
      </c>
      <c r="AF14" s="41" t="s">
        <v>86</v>
      </c>
      <c r="AG14" s="41" t="s">
        <v>205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5</v>
      </c>
      <c r="D15" s="18">
        <f t="shared" si="1"/>
        <v>0</v>
      </c>
      <c r="E15" s="4" t="str">
        <f>IF($F$1="","",$F$1)</f>
        <v>ただ</v>
      </c>
      <c r="F15" s="8" t="s">
        <v>197</v>
      </c>
      <c r="G15" s="9">
        <v>-5000</v>
      </c>
      <c r="H15" s="9"/>
      <c r="I15" s="48">
        <v>-2500</v>
      </c>
      <c r="J15" s="21">
        <f t="shared" si="2"/>
        <v>22000</v>
      </c>
      <c r="K15" s="8" t="s">
        <v>196</v>
      </c>
      <c r="L15" s="9">
        <v>8000</v>
      </c>
      <c r="M15" s="9"/>
      <c r="N15" s="48">
        <v>5000</v>
      </c>
      <c r="O15" s="21">
        <f t="shared" si="3"/>
        <v>33800</v>
      </c>
      <c r="P15" s="8" t="s">
        <v>197</v>
      </c>
      <c r="Q15" s="9">
        <v>-3000</v>
      </c>
      <c r="R15" s="9"/>
      <c r="S15" s="48">
        <v>-2500</v>
      </c>
      <c r="T15" s="21">
        <f t="shared" si="4"/>
        <v>49200</v>
      </c>
      <c r="U15" s="53">
        <f>IF($J15="","",ROUND(($J15-$J$3)/1000,1)+(_xlfn.RANK.AVG($J15,($J15,$O15,$T15),1)-2)*20)</f>
        <v>-33</v>
      </c>
      <c r="V15" s="54">
        <f>IF($O15="","",ROUND(($O15-$O$3)/1000,1)+(_xlfn.RANK.AVG($O15,($J15,$O15,$T15),1)-2)*20)</f>
        <v>-1.2</v>
      </c>
      <c r="W15" s="55">
        <f>IF($T15="","",ROUND(($T15-$T$3)/1000,1)+(_xlfn.RANK.AVG($T15,($J15,$O15,$T15),1)-2)*20)</f>
        <v>34.200000000000003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4</v>
      </c>
      <c r="AY15" s="30">
        <v>40</v>
      </c>
      <c r="AZ15" s="40" t="s">
        <v>204</v>
      </c>
      <c r="BA15" s="41" t="s">
        <v>82</v>
      </c>
      <c r="BB15" s="41" t="s">
        <v>86</v>
      </c>
      <c r="BC15" s="41" t="s">
        <v>79</v>
      </c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showInputMessage="1" showErrorMessage="1" sqref="K4:K30 P4:P30 F4:F30" xr:uid="{8F639D0C-8322-43F4-84F5-1C06A8332DCD}">
      <formula1>"ロン,ツモ,放銃,ツモ支払,流局,チョンボ"</formula1>
    </dataValidation>
    <dataValidation type="list" allowBlank="1" showInputMessage="1" showErrorMessage="1" sqref="E4:E30" xr:uid="{F67213C4-3E8A-46C5-832E-1FE8AE037AA4}">
      <formula1>$U$2:$W$2</formula1>
    </dataValidation>
    <dataValidation type="list" allowBlank="1" showInputMessage="1" sqref="F1:T1" xr:uid="{E079341B-E013-4516-8B64-2F697A932968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E7965-4BA2-4354-B74D-844A1AD463E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16000</v>
      </c>
      <c r="M4" s="9">
        <v>1000</v>
      </c>
      <c r="N4" s="48">
        <v>0</v>
      </c>
      <c r="O4" s="21">
        <f>IF(COUNTA($F4,$K4,$P4)&gt;0,O3+SUM(L4:N4),"")</f>
        <v>52000</v>
      </c>
      <c r="P4" s="8" t="s">
        <v>202</v>
      </c>
      <c r="Q4" s="9">
        <v>-16000</v>
      </c>
      <c r="R4" s="9">
        <v>-1000</v>
      </c>
      <c r="S4" s="48">
        <v>0</v>
      </c>
      <c r="T4" s="21">
        <f>IF(COUNTA($F4,$K4,$P4)&gt;0,T3+SUM(Q4:S4),"")</f>
        <v>18000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37</v>
      </c>
      <c r="W4" s="55">
        <f>IF($T4="","",ROUND(($T4-$T$3)/1000,1)+(_xlfn.RANK.AVG($T4,($J4,$O4,$T4),1)-2)*20)</f>
        <v>-37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8</v>
      </c>
      <c r="AY4" s="30" t="s">
        <v>203</v>
      </c>
      <c r="AZ4" s="40" t="s">
        <v>86</v>
      </c>
      <c r="BA4" s="41" t="s">
        <v>86</v>
      </c>
      <c r="BB4" s="41" t="s">
        <v>86</v>
      </c>
      <c r="BC4" s="41" t="s">
        <v>104</v>
      </c>
      <c r="BD4" s="41" t="s">
        <v>98</v>
      </c>
      <c r="BE4" s="41" t="s">
        <v>205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197</v>
      </c>
      <c r="G5" s="9">
        <v>-2500</v>
      </c>
      <c r="H5" s="9"/>
      <c r="I5" s="48">
        <v>0</v>
      </c>
      <c r="J5" s="21">
        <f t="shared" ref="J5:J30" si="2">IF(COUNTA($F5,$K5,$P5)&gt;0,J4+SUM(G5:I5),"")</f>
        <v>32500</v>
      </c>
      <c r="K5" s="8" t="s">
        <v>196</v>
      </c>
      <c r="L5" s="9">
        <v>4000</v>
      </c>
      <c r="M5" s="9"/>
      <c r="N5" s="48">
        <v>0</v>
      </c>
      <c r="O5" s="21">
        <f t="shared" ref="O5:O30" si="3">IF(COUNTA($F5,$K5,$P5)&gt;0,O4+SUM(L5:N5),"")</f>
        <v>56000</v>
      </c>
      <c r="P5" s="8" t="s">
        <v>197</v>
      </c>
      <c r="Q5" s="9">
        <v>-1500</v>
      </c>
      <c r="R5" s="9"/>
      <c r="S5" s="48">
        <v>0</v>
      </c>
      <c r="T5" s="21">
        <f t="shared" ref="T5:T30" si="4">IF(COUNTA($F5,$K5,$P5)&gt;0,T4+SUM(Q5:S5),"")</f>
        <v>16500</v>
      </c>
      <c r="U5" s="53">
        <f>IF($J5="","",ROUND(($J5-$J$3)/1000,1)+(_xlfn.RANK.AVG($J5,($J5,$O5,$T5),1)-2)*20)</f>
        <v>-2.5</v>
      </c>
      <c r="V5" s="54">
        <f>IF($O5="","",ROUND(($O5-$O$3)/1000,1)+(_xlfn.RANK.AVG($O5,($J5,$O5,$T5),1)-2)*20)</f>
        <v>41</v>
      </c>
      <c r="W5" s="55">
        <f>IF($T5="","",ROUND(($T5-$T$3)/1000,1)+(_xlfn.RANK.AVG($T5,($J5,$O5,$T5),1)-2)*20)</f>
        <v>-38.5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204</v>
      </c>
      <c r="BA5" s="41" t="s">
        <v>82</v>
      </c>
      <c r="BB5" s="41" t="s">
        <v>86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202</v>
      </c>
      <c r="G6" s="9">
        <v>-2600</v>
      </c>
      <c r="H6" s="9"/>
      <c r="I6" s="48">
        <v>0</v>
      </c>
      <c r="J6" s="21">
        <f t="shared" si="2"/>
        <v>29900</v>
      </c>
      <c r="K6" s="8"/>
      <c r="L6" s="9"/>
      <c r="M6" s="9"/>
      <c r="N6" s="48"/>
      <c r="O6" s="21">
        <f t="shared" si="3"/>
        <v>56000</v>
      </c>
      <c r="P6" s="8" t="s">
        <v>201</v>
      </c>
      <c r="Q6" s="9">
        <v>2600</v>
      </c>
      <c r="R6" s="9"/>
      <c r="S6" s="48">
        <v>0</v>
      </c>
      <c r="T6" s="21">
        <f t="shared" si="4"/>
        <v>19100</v>
      </c>
      <c r="U6" s="53">
        <f>IF($J6="","",ROUND(($J6-$J$3)/1000,1)+(_xlfn.RANK.AVG($J6,($J6,$O6,$T6),1)-2)*20)</f>
        <v>-5.0999999999999996</v>
      </c>
      <c r="V6" s="54">
        <f>IF($O6="","",ROUND(($O6-$O$3)/1000,1)+(_xlfn.RANK.AVG($O6,($J6,$O6,$T6),1)-2)*20)</f>
        <v>41</v>
      </c>
      <c r="W6" s="55">
        <f>IF($T6="","",ROUND(($T6-$T$3)/1000,1)+(_xlfn.RANK.AVG($T6,($J6,$O6,$T6),1)-2)*20)</f>
        <v>-35.9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204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196</v>
      </c>
      <c r="G7" s="9">
        <v>8000</v>
      </c>
      <c r="H7" s="9"/>
      <c r="I7" s="48">
        <v>0</v>
      </c>
      <c r="J7" s="21">
        <f t="shared" si="2"/>
        <v>37900</v>
      </c>
      <c r="K7" s="8" t="s">
        <v>197</v>
      </c>
      <c r="L7" s="9">
        <v>-3000</v>
      </c>
      <c r="M7" s="9"/>
      <c r="N7" s="48">
        <v>0</v>
      </c>
      <c r="O7" s="21">
        <f t="shared" si="3"/>
        <v>53000</v>
      </c>
      <c r="P7" s="8" t="s">
        <v>197</v>
      </c>
      <c r="Q7" s="9">
        <v>-5000</v>
      </c>
      <c r="R7" s="9"/>
      <c r="S7" s="48">
        <v>0</v>
      </c>
      <c r="T7" s="21">
        <f t="shared" si="4"/>
        <v>14100</v>
      </c>
      <c r="U7" s="53">
        <f>IF($J7="","",ROUND(($J7-$J$3)/1000,1)+(_xlfn.RANK.AVG($J7,($J7,$O7,$T7),1)-2)*20)</f>
        <v>2.9</v>
      </c>
      <c r="V7" s="54">
        <f>IF($O7="","",ROUND(($O7-$O$3)/1000,1)+(_xlfn.RANK.AVG($O7,($J7,$O7,$T7),1)-2)*20)</f>
        <v>38</v>
      </c>
      <c r="W7" s="55">
        <f>IF($T7="","",ROUND(($T7-$T$3)/1000,1)+(_xlfn.RANK.AVG($T7,($J7,$O7,$T7),1)-2)*20)</f>
        <v>-40.9</v>
      </c>
      <c r="Y7" s="8"/>
      <c r="Z7" s="34"/>
      <c r="AA7" s="26"/>
      <c r="AB7" s="26">
        <v>1</v>
      </c>
      <c r="AC7" s="26">
        <v>4</v>
      </c>
      <c r="AD7" s="30">
        <v>40</v>
      </c>
      <c r="AE7" s="40" t="s">
        <v>86</v>
      </c>
      <c r="AF7" s="41" t="s">
        <v>104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200</v>
      </c>
      <c r="G8" s="9">
        <v>1500</v>
      </c>
      <c r="H8" s="9"/>
      <c r="I8" s="48"/>
      <c r="J8" s="21">
        <f t="shared" si="2"/>
        <v>39400</v>
      </c>
      <c r="K8" s="8" t="s">
        <v>200</v>
      </c>
      <c r="L8" s="9">
        <v>-3000</v>
      </c>
      <c r="M8" s="9"/>
      <c r="N8" s="48"/>
      <c r="O8" s="21">
        <f t="shared" si="3"/>
        <v>50000</v>
      </c>
      <c r="P8" s="8" t="s">
        <v>200</v>
      </c>
      <c r="Q8" s="9">
        <v>1500</v>
      </c>
      <c r="R8" s="9">
        <v>-1000</v>
      </c>
      <c r="S8" s="48"/>
      <c r="T8" s="21">
        <f t="shared" si="4"/>
        <v>14600</v>
      </c>
      <c r="U8" s="53">
        <f>IF($J8="","",ROUND(($J8-$J$3)/1000,1)+(_xlfn.RANK.AVG($J8,($J8,$O8,$T8),1)-2)*20)</f>
        <v>4.4000000000000004</v>
      </c>
      <c r="V8" s="54">
        <f>IF($O8="","",ROUND(($O8-$O$3)/1000,1)+(_xlfn.RANK.AVG($O8,($J8,$O8,$T8),1)-2)*20)</f>
        <v>35</v>
      </c>
      <c r="W8" s="55">
        <f>IF($T8="","",ROUND(($T8-$T$3)/1000,1)+(_xlfn.RANK.AVG($T8,($J8,$O8,$T8),1)-2)*20)</f>
        <v>-40.4</v>
      </c>
      <c r="Y8" s="8" t="s">
        <v>199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198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199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tr">
        <f>IF($F$1="","",$F$1)</f>
        <v>りくと</v>
      </c>
      <c r="F9" s="8"/>
      <c r="G9" s="9"/>
      <c r="H9" s="9"/>
      <c r="I9" s="48"/>
      <c r="J9" s="21">
        <f t="shared" si="2"/>
        <v>39400</v>
      </c>
      <c r="K9" s="8" t="s">
        <v>201</v>
      </c>
      <c r="L9" s="9">
        <v>12000</v>
      </c>
      <c r="M9" s="9">
        <v>1000</v>
      </c>
      <c r="N9" s="48">
        <v>1000</v>
      </c>
      <c r="O9" s="21">
        <f t="shared" si="3"/>
        <v>64000</v>
      </c>
      <c r="P9" s="8" t="s">
        <v>202</v>
      </c>
      <c r="Q9" s="9">
        <v>-12000</v>
      </c>
      <c r="R9" s="9"/>
      <c r="S9" s="48">
        <v>-1000</v>
      </c>
      <c r="T9" s="21">
        <f t="shared" si="4"/>
        <v>1600</v>
      </c>
      <c r="U9" s="53">
        <f>IF($J9="","",ROUND(($J9-$J$3)/1000,1)+(_xlfn.RANK.AVG($J9,($J9,$O9,$T9),1)-2)*20)</f>
        <v>4.4000000000000004</v>
      </c>
      <c r="V9" s="54">
        <f>IF($O9="","",ROUND(($O9-$O$3)/1000,1)+(_xlfn.RANK.AVG($O9,($J9,$O9,$T9),1)-2)*20)</f>
        <v>49</v>
      </c>
      <c r="W9" s="55">
        <f>IF($T9="","",ROUND(($T9-$T$3)/1000,1)+(_xlfn.RANK.AVG($T9,($J9,$O9,$T9),1)-2)*20)</f>
        <v>-53.4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6</v>
      </c>
      <c r="AY9" s="30" t="s">
        <v>203</v>
      </c>
      <c r="AZ9" s="40" t="s">
        <v>104</v>
      </c>
      <c r="BA9" s="41" t="s">
        <v>79</v>
      </c>
      <c r="BB9" s="41" t="s">
        <v>205</v>
      </c>
      <c r="BC9" s="41" t="s">
        <v>86</v>
      </c>
      <c r="BD9" s="41" t="s">
        <v>86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197</v>
      </c>
      <c r="G10" s="9">
        <v>-2000</v>
      </c>
      <c r="H10" s="9"/>
      <c r="I10" s="48">
        <v>0</v>
      </c>
      <c r="J10" s="21">
        <f t="shared" si="2"/>
        <v>37400</v>
      </c>
      <c r="K10" s="8" t="s">
        <v>197</v>
      </c>
      <c r="L10" s="9">
        <v>-3300</v>
      </c>
      <c r="M10" s="9"/>
      <c r="N10" s="48">
        <v>0</v>
      </c>
      <c r="O10" s="21">
        <f t="shared" si="3"/>
        <v>60700</v>
      </c>
      <c r="P10" s="8" t="s">
        <v>196</v>
      </c>
      <c r="Q10" s="9">
        <v>5300</v>
      </c>
      <c r="R10" s="9"/>
      <c r="S10" s="48">
        <v>0</v>
      </c>
      <c r="T10" s="21">
        <f t="shared" si="4"/>
        <v>6900</v>
      </c>
      <c r="U10" s="53">
        <f>IF($J10="","",ROUND(($J10-$J$3)/1000,1)+(_xlfn.RANK.AVG($J10,($J10,$O10,$T10),1)-2)*20)</f>
        <v>2.4</v>
      </c>
      <c r="V10" s="54">
        <f>IF($O10="","",ROUND(($O10-$O$3)/1000,1)+(_xlfn.RANK.AVG($O10,($J10,$O10,$T10),1)-2)*20)</f>
        <v>45.7</v>
      </c>
      <c r="W10" s="55">
        <f>IF($T10="","",ROUND(($T10-$T$3)/1000,1)+(_xlfn.RANK.AVG($T10,($J10,$O10,$T10),1)-2)*20)</f>
        <v>-48.1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204</v>
      </c>
      <c r="BV10" s="41" t="s">
        <v>82</v>
      </c>
      <c r="BW10" s="41" t="s">
        <v>205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125E4D4B-80BE-4A3A-BB0E-84311C8E3FC0}">
      <formula1>$U$2:$W$2</formula1>
    </dataValidation>
    <dataValidation type="list" showInputMessage="1" showErrorMessage="1" sqref="K4:K30 P4:P30 F4:F30" xr:uid="{2726C4B1-49C2-43B8-89BA-240EE8BDCF1F}">
      <formula1>"ロン,ツモ,放銃,ツモ支払,流局,チョンボ"</formula1>
    </dataValidation>
    <dataValidation type="list" allowBlank="1" showInputMessage="1" sqref="F1:T1" xr:uid="{4EAE5E72-9733-44F2-B435-E33AFE11417A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FB6B6-253E-48F0-BB01-231FAFF873E0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200</v>
      </c>
      <c r="G4" s="9">
        <v>3000</v>
      </c>
      <c r="H4" s="9"/>
      <c r="I4" s="48"/>
      <c r="J4" s="21">
        <f>IF(COUNTA($F4,$K4,$P4)&gt;0,J3+SUM(G4:I4),"")</f>
        <v>38000</v>
      </c>
      <c r="K4" s="8" t="s">
        <v>200</v>
      </c>
      <c r="L4" s="9">
        <v>-1500</v>
      </c>
      <c r="M4" s="9"/>
      <c r="N4" s="48"/>
      <c r="O4" s="21">
        <f>IF(COUNTA($F4,$K4,$P4)&gt;0,O3+SUM(L4:N4),"")</f>
        <v>33500</v>
      </c>
      <c r="P4" s="8" t="s">
        <v>200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23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-11.5</v>
      </c>
      <c r="Y4" s="8" t="s">
        <v>199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201</v>
      </c>
      <c r="G5" s="9">
        <v>7700</v>
      </c>
      <c r="H5" s="9"/>
      <c r="I5" s="48">
        <v>1000</v>
      </c>
      <c r="J5" s="21">
        <f t="shared" ref="J5:J30" si="2">IF(COUNTA($F5,$K5,$P5)&gt;0,J4+SUM(G5:I5),"")</f>
        <v>46700</v>
      </c>
      <c r="K5" s="8"/>
      <c r="L5" s="9"/>
      <c r="M5" s="9"/>
      <c r="N5" s="48"/>
      <c r="O5" s="21">
        <f t="shared" ref="O5:O30" si="3">IF(COUNTA($F5,$K5,$P5)&gt;0,O4+SUM(L5:N5),"")</f>
        <v>33500</v>
      </c>
      <c r="P5" s="8" t="s">
        <v>202</v>
      </c>
      <c r="Q5" s="9">
        <v>-7700</v>
      </c>
      <c r="R5" s="9"/>
      <c r="S5" s="48">
        <v>-1000</v>
      </c>
      <c r="T5" s="21">
        <f t="shared" ref="T5:T30" si="4">IF(COUNTA($F5,$K5,$P5)&gt;0,T4+SUM(Q5:S5),"")</f>
        <v>24800</v>
      </c>
      <c r="U5" s="53">
        <f>IF($J5="","",ROUND(($J5-$J$3)/1000,1)+(_xlfn.RANK.AVG($J5,($J5,$O5,$T5),1)-2)*20)</f>
        <v>31.7</v>
      </c>
      <c r="V5" s="54">
        <f>IF($O5="","",ROUND(($O5-$O$3)/1000,1)+(_xlfn.RANK.AVG($O5,($J5,$O5,$T5),1)-2)*20)</f>
        <v>-1.5</v>
      </c>
      <c r="W5" s="55">
        <f>IF($T5="","",ROUND(($T5-$T$3)/1000,1)+(_xlfn.RANK.AVG($T5,($J5,$O5,$T5),1)-2)*20)</f>
        <v>-30.2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86</v>
      </c>
      <c r="AG5" s="41" t="s">
        <v>104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りくと</v>
      </c>
      <c r="F6" s="8" t="s">
        <v>201</v>
      </c>
      <c r="G6" s="9">
        <v>11600</v>
      </c>
      <c r="H6" s="9"/>
      <c r="I6" s="48">
        <v>0</v>
      </c>
      <c r="J6" s="21">
        <f t="shared" si="2"/>
        <v>58300</v>
      </c>
      <c r="K6" s="8"/>
      <c r="L6" s="9"/>
      <c r="M6" s="9"/>
      <c r="N6" s="48"/>
      <c r="O6" s="21">
        <f t="shared" si="3"/>
        <v>33500</v>
      </c>
      <c r="P6" s="8" t="s">
        <v>202</v>
      </c>
      <c r="Q6" s="9">
        <v>-11600</v>
      </c>
      <c r="R6" s="9"/>
      <c r="S6" s="48">
        <v>0</v>
      </c>
      <c r="T6" s="21">
        <f t="shared" si="4"/>
        <v>13200</v>
      </c>
      <c r="U6" s="53">
        <f>IF($J6="","",ROUND(($J6-$J$3)/1000,1)+(_xlfn.RANK.AVG($J6,($J6,$O6,$T6),1)-2)*20)</f>
        <v>43.3</v>
      </c>
      <c r="V6" s="54">
        <f>IF($O6="","",ROUND(($O6-$O$3)/1000,1)+(_xlfn.RANK.AVG($O6,($J6,$O6,$T6),1)-2)*20)</f>
        <v>-1.5</v>
      </c>
      <c r="W6" s="55">
        <f>IF($T6="","",ROUND(($T6-$T$3)/1000,1)+(_xlfn.RANK.AVG($T6,($J6,$O6,$T6),1)-2)*20)</f>
        <v>-41.8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86</v>
      </c>
      <c r="AF6" s="41" t="s">
        <v>79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IF($F$1="","",$F$1)</f>
        <v>りくと</v>
      </c>
      <c r="F7" s="8" t="s">
        <v>197</v>
      </c>
      <c r="G7" s="9">
        <v>-900</v>
      </c>
      <c r="H7" s="9"/>
      <c r="I7" s="48">
        <v>-500</v>
      </c>
      <c r="J7" s="21">
        <f t="shared" si="2"/>
        <v>56900</v>
      </c>
      <c r="K7" s="8" t="s">
        <v>197</v>
      </c>
      <c r="L7" s="9">
        <v>-600</v>
      </c>
      <c r="M7" s="9"/>
      <c r="N7" s="48">
        <v>-500</v>
      </c>
      <c r="O7" s="21">
        <f t="shared" si="3"/>
        <v>32400</v>
      </c>
      <c r="P7" s="8" t="s">
        <v>196</v>
      </c>
      <c r="Q7" s="9">
        <v>1500</v>
      </c>
      <c r="R7" s="9"/>
      <c r="S7" s="48">
        <v>1000</v>
      </c>
      <c r="T7" s="21">
        <f t="shared" si="4"/>
        <v>15700</v>
      </c>
      <c r="U7" s="53">
        <f>IF($J7="","",ROUND(($J7-$J$3)/1000,1)+(_xlfn.RANK.AVG($J7,($J7,$O7,$T7),1)-2)*20)</f>
        <v>41.9</v>
      </c>
      <c r="V7" s="54">
        <f>IF($O7="","",ROUND(($O7-$O$3)/1000,1)+(_xlfn.RANK.AVG($O7,($J7,$O7,$T7),1)-2)*20)</f>
        <v>-2.6</v>
      </c>
      <c r="W7" s="55">
        <f>IF($T7="","",ROUND(($T7-$T$3)/1000,1)+(_xlfn.RANK.AVG($T7,($J7,$O7,$T7),1)-2)*20)</f>
        <v>-39.299999999999997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40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/>
      <c r="G8" s="9"/>
      <c r="H8" s="9"/>
      <c r="I8" s="48"/>
      <c r="J8" s="21">
        <f t="shared" si="2"/>
        <v>56900</v>
      </c>
      <c r="K8" s="8" t="s">
        <v>202</v>
      </c>
      <c r="L8" s="9">
        <v>-2600</v>
      </c>
      <c r="M8" s="9">
        <v>-1000</v>
      </c>
      <c r="N8" s="48">
        <v>0</v>
      </c>
      <c r="O8" s="21">
        <f t="shared" si="3"/>
        <v>28800</v>
      </c>
      <c r="P8" s="8" t="s">
        <v>201</v>
      </c>
      <c r="Q8" s="9">
        <v>2600</v>
      </c>
      <c r="R8" s="9">
        <v>1000</v>
      </c>
      <c r="S8" s="48">
        <v>0</v>
      </c>
      <c r="T8" s="21">
        <f t="shared" si="4"/>
        <v>19300</v>
      </c>
      <c r="U8" s="53">
        <f>IF($J8="","",ROUND(($J8-$J$3)/1000,1)+(_xlfn.RANK.AVG($J8,($J8,$O8,$T8),1)-2)*20)</f>
        <v>41.9</v>
      </c>
      <c r="V8" s="54">
        <f>IF($O8="","",ROUND(($O8-$O$3)/1000,1)+(_xlfn.RANK.AVG($O8,($J8,$O8,$T8),1)-2)*20)</f>
        <v>-6.2</v>
      </c>
      <c r="W8" s="55">
        <f>IF($T8="","",ROUND(($T8-$T$3)/1000,1)+(_xlfn.RANK.AVG($T8,($J8,$O8,$T8),1)-2)*20)</f>
        <v>-35.700000000000003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40</v>
      </c>
      <c r="BU8" s="40" t="s">
        <v>86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197</v>
      </c>
      <c r="G9" s="9">
        <v>-12000</v>
      </c>
      <c r="H9" s="9"/>
      <c r="I9" s="48">
        <v>0</v>
      </c>
      <c r="J9" s="21">
        <f t="shared" si="2"/>
        <v>44900</v>
      </c>
      <c r="K9" s="8" t="s">
        <v>197</v>
      </c>
      <c r="L9" s="9">
        <v>-12000</v>
      </c>
      <c r="M9" s="9"/>
      <c r="N9" s="48">
        <v>0</v>
      </c>
      <c r="O9" s="21">
        <f t="shared" si="3"/>
        <v>16800</v>
      </c>
      <c r="P9" s="8" t="s">
        <v>196</v>
      </c>
      <c r="Q9" s="9">
        <v>24000</v>
      </c>
      <c r="R9" s="9"/>
      <c r="S9" s="48">
        <v>0</v>
      </c>
      <c r="T9" s="21">
        <f t="shared" si="4"/>
        <v>43300</v>
      </c>
      <c r="U9" s="53">
        <f>IF($J9="","",ROUND(($J9-$J$3)/1000,1)+(_xlfn.RANK.AVG($J9,($J9,$O9,$T9),1)-2)*20)</f>
        <v>29.9</v>
      </c>
      <c r="V9" s="54">
        <f>IF($O9="","",ROUND(($O9-$O$3)/1000,1)+(_xlfn.RANK.AVG($O9,($J9,$O9,$T9),1)-2)*20)</f>
        <v>-38.200000000000003</v>
      </c>
      <c r="W9" s="55">
        <f>IF($T9="","",ROUND(($T9-$T$3)/1000,1)+(_xlfn.RANK.AVG($T9,($J9,$O9,$T9),1)-2)*20)</f>
        <v>8.3000000000000007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10</v>
      </c>
      <c r="BT9" s="30" t="s">
        <v>203</v>
      </c>
      <c r="BU9" s="40" t="s">
        <v>106</v>
      </c>
      <c r="BV9" s="41" t="s">
        <v>82</v>
      </c>
      <c r="BW9" s="41" t="s">
        <v>92</v>
      </c>
      <c r="BX9" s="41" t="s">
        <v>205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IF($P$1="","",$P$1)</f>
        <v>だいち</v>
      </c>
      <c r="F10" s="8"/>
      <c r="G10" s="9"/>
      <c r="H10" s="9"/>
      <c r="I10" s="48"/>
      <c r="J10" s="21">
        <f t="shared" si="2"/>
        <v>44900</v>
      </c>
      <c r="K10" s="8" t="s">
        <v>202</v>
      </c>
      <c r="L10" s="9">
        <v>-3900</v>
      </c>
      <c r="M10" s="9">
        <v>-1000</v>
      </c>
      <c r="N10" s="48">
        <v>-1000</v>
      </c>
      <c r="O10" s="21">
        <f t="shared" si="3"/>
        <v>10900</v>
      </c>
      <c r="P10" s="8" t="s">
        <v>201</v>
      </c>
      <c r="Q10" s="9">
        <v>3900</v>
      </c>
      <c r="R10" s="9">
        <v>1000</v>
      </c>
      <c r="S10" s="48">
        <v>1000</v>
      </c>
      <c r="T10" s="21">
        <f t="shared" si="4"/>
        <v>49200</v>
      </c>
      <c r="U10" s="53">
        <f>IF($J10="","",ROUND(($J10-$J$3)/1000,1)+(_xlfn.RANK.AVG($J10,($J10,$O10,$T10),1)-2)*20)</f>
        <v>9.9</v>
      </c>
      <c r="V10" s="54">
        <f>IF($O10="","",ROUND(($O10-$O$3)/1000,1)+(_xlfn.RANK.AVG($O10,($J10,$O10,$T10),1)-2)*20)</f>
        <v>-44.1</v>
      </c>
      <c r="W10" s="55">
        <f>IF($T10="","",ROUND(($T10-$T$3)/1000,1)+(_xlfn.RANK.AVG($T10,($J10,$O10,$T10),1)-2)*20)</f>
        <v>34.200000000000003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40</v>
      </c>
      <c r="BU10" s="40" t="s">
        <v>85</v>
      </c>
      <c r="BV10" s="41" t="s">
        <v>205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IF($P$1="","",$P$1)</f>
        <v>だいち</v>
      </c>
      <c r="F11" s="8" t="s">
        <v>200</v>
      </c>
      <c r="G11" s="9">
        <v>1500</v>
      </c>
      <c r="H11" s="9">
        <v>-1000</v>
      </c>
      <c r="I11" s="48"/>
      <c r="J11" s="21">
        <f t="shared" si="2"/>
        <v>45400</v>
      </c>
      <c r="K11" s="8" t="s">
        <v>200</v>
      </c>
      <c r="L11" s="9">
        <v>-3000</v>
      </c>
      <c r="M11" s="9"/>
      <c r="N11" s="48"/>
      <c r="O11" s="21">
        <f t="shared" si="3"/>
        <v>7900</v>
      </c>
      <c r="P11" s="8" t="s">
        <v>200</v>
      </c>
      <c r="Q11" s="9">
        <v>1500</v>
      </c>
      <c r="R11" s="9">
        <v>-1000</v>
      </c>
      <c r="S11" s="48"/>
      <c r="T11" s="21">
        <f t="shared" si="4"/>
        <v>49700</v>
      </c>
      <c r="U11" s="53">
        <f>IF($J11="","",ROUND(($J11-$J$3)/1000,1)+(_xlfn.RANK.AVG($J11,($J11,$O11,$T11),1)-2)*20)</f>
        <v>10.4</v>
      </c>
      <c r="V11" s="54">
        <f>IF($O11="","",ROUND(($O11-$O$3)/1000,1)+(_xlfn.RANK.AVG($O11,($J11,$O11,$T11),1)-2)*20)</f>
        <v>-47.1</v>
      </c>
      <c r="W11" s="55">
        <f>IF($T11="","",ROUND(($T11-$T$3)/1000,1)+(_xlfn.RANK.AVG($T11,($J11,$O11,$T11),1)-2)*20)</f>
        <v>34.700000000000003</v>
      </c>
      <c r="Y11" s="8" t="s">
        <v>199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198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199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2</v>
      </c>
      <c r="E12" s="4" t="str">
        <f>IF($P$1="","",$P$1)</f>
        <v>だいち</v>
      </c>
      <c r="F12" s="8" t="s">
        <v>196</v>
      </c>
      <c r="G12" s="9">
        <v>8000</v>
      </c>
      <c r="H12" s="9">
        <v>2000</v>
      </c>
      <c r="I12" s="48">
        <v>3000</v>
      </c>
      <c r="J12" s="21">
        <f t="shared" si="2"/>
        <v>58400</v>
      </c>
      <c r="K12" s="8" t="s">
        <v>197</v>
      </c>
      <c r="L12" s="9">
        <v>-3000</v>
      </c>
      <c r="M12" s="9"/>
      <c r="N12" s="48">
        <v>-1500</v>
      </c>
      <c r="O12" s="21">
        <f t="shared" si="3"/>
        <v>3400</v>
      </c>
      <c r="P12" s="8" t="s">
        <v>197</v>
      </c>
      <c r="Q12" s="9">
        <v>-5000</v>
      </c>
      <c r="R12" s="9"/>
      <c r="S12" s="48">
        <v>-1500</v>
      </c>
      <c r="T12" s="21">
        <f t="shared" si="4"/>
        <v>43200</v>
      </c>
      <c r="U12" s="53">
        <f>IF($J12="","",ROUND(($J12-$J$3)/1000,1)+(_xlfn.RANK.AVG($J12,($J12,$O12,$T12),1)-2)*20)</f>
        <v>43.4</v>
      </c>
      <c r="V12" s="54">
        <f>IF($O12="","",ROUND(($O12-$O$3)/1000,1)+(_xlfn.RANK.AVG($O12,($J12,$O12,$T12),1)-2)*20)</f>
        <v>-51.6</v>
      </c>
      <c r="W12" s="55">
        <f>IF($T12="","",ROUND(($T12-$T$3)/1000,1)+(_xlfn.RANK.AVG($T12,($J12,$O12,$T12),1)-2)*20)</f>
        <v>8.1999999999999993</v>
      </c>
      <c r="Y12" s="8"/>
      <c r="Z12" s="34"/>
      <c r="AA12" s="26">
        <v>1</v>
      </c>
      <c r="AB12" s="26"/>
      <c r="AC12" s="26">
        <v>5</v>
      </c>
      <c r="AD12" s="30" t="s">
        <v>203</v>
      </c>
      <c r="AE12" s="40" t="s">
        <v>204</v>
      </c>
      <c r="AF12" s="41" t="s">
        <v>82</v>
      </c>
      <c r="AG12" s="41" t="s">
        <v>83</v>
      </c>
      <c r="AH12" s="41" t="s">
        <v>79</v>
      </c>
      <c r="AI12" s="41" t="s">
        <v>80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IF($F$1="","",$F$1)</f>
        <v>りくと</v>
      </c>
      <c r="F13" s="8" t="s">
        <v>201</v>
      </c>
      <c r="G13" s="9">
        <v>18000</v>
      </c>
      <c r="H13" s="9"/>
      <c r="I13" s="48">
        <v>0</v>
      </c>
      <c r="J13" s="21">
        <f t="shared" si="2"/>
        <v>76400</v>
      </c>
      <c r="K13" s="8"/>
      <c r="L13" s="9"/>
      <c r="M13" s="9"/>
      <c r="N13" s="48"/>
      <c r="O13" s="21">
        <f t="shared" si="3"/>
        <v>3400</v>
      </c>
      <c r="P13" s="8" t="s">
        <v>202</v>
      </c>
      <c r="Q13" s="9">
        <v>-18000</v>
      </c>
      <c r="R13" s="9"/>
      <c r="S13" s="48">
        <v>0</v>
      </c>
      <c r="T13" s="21">
        <f t="shared" si="4"/>
        <v>25200</v>
      </c>
      <c r="U13" s="53">
        <f>IF($J13="","",ROUND(($J13-$J$3)/1000,1)+(_xlfn.RANK.AVG($J13,($J13,$O13,$T13),1)-2)*20)</f>
        <v>61.4</v>
      </c>
      <c r="V13" s="54">
        <f>IF($O13="","",ROUND(($O13-$O$3)/1000,1)+(_xlfn.RANK.AVG($O13,($J13,$O13,$T13),1)-2)*20)</f>
        <v>-51.6</v>
      </c>
      <c r="W13" s="55">
        <f>IF($T13="","",ROUND(($T13-$T$3)/1000,1)+(_xlfn.RANK.AVG($T13,($J13,$O13,$T13),1)-2)*20)</f>
        <v>-9.8000000000000007</v>
      </c>
      <c r="Y13" s="8"/>
      <c r="Z13" s="34"/>
      <c r="AA13" s="26">
        <v>1</v>
      </c>
      <c r="AB13" s="26"/>
      <c r="AC13" s="26">
        <v>6</v>
      </c>
      <c r="AD13" s="30" t="s">
        <v>203</v>
      </c>
      <c r="AE13" s="40" t="s">
        <v>204</v>
      </c>
      <c r="AF13" s="41" t="s">
        <v>83</v>
      </c>
      <c r="AG13" s="41" t="s">
        <v>205</v>
      </c>
      <c r="AH13" s="41" t="s">
        <v>80</v>
      </c>
      <c r="AI13" s="41" t="s">
        <v>80</v>
      </c>
      <c r="AJ13" s="41" t="s">
        <v>80</v>
      </c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59EEF93C-A9C1-4A7F-A43C-256A187BA6A9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93F7039C-ADA6-441D-A257-81D447AEF4B9}">
      <formula1>"ロン,ツモ,放銃,ツモ支払,流局,チョンボ"</formula1>
    </dataValidation>
    <dataValidation type="list" allowBlank="1" showInputMessage="1" showErrorMessage="1" sqref="E4:E30" xr:uid="{452E0CCA-B061-4B6C-BFF7-9E5A5E3038D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C6902-4602-4802-81E7-0BFC14AF18D6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-1700</v>
      </c>
      <c r="H4" s="9">
        <v>-1000</v>
      </c>
      <c r="I4" s="48">
        <v>0</v>
      </c>
      <c r="J4" s="21">
        <f>IF(COUNTA($F4,$K4,$P4)&gt;0,J3+SUM(G4:I4),"")</f>
        <v>32300</v>
      </c>
      <c r="K4" s="8" t="s">
        <v>197</v>
      </c>
      <c r="L4" s="9">
        <v>-1100</v>
      </c>
      <c r="M4" s="9"/>
      <c r="N4" s="48">
        <v>0</v>
      </c>
      <c r="O4" s="21">
        <f>IF(COUNTA($F4,$K4,$P4)&gt;0,O3+SUM(L4:N4),"")</f>
        <v>33900</v>
      </c>
      <c r="P4" s="8" t="s">
        <v>196</v>
      </c>
      <c r="Q4" s="9">
        <v>2800</v>
      </c>
      <c r="R4" s="9">
        <v>1000</v>
      </c>
      <c r="S4" s="48">
        <v>0</v>
      </c>
      <c r="T4" s="21">
        <f>IF(COUNTA($F4,$K4,$P4)&gt;0,T3+SUM(Q4:S4),"")</f>
        <v>38800</v>
      </c>
      <c r="U4" s="53">
        <f>IF($J4="","",ROUND(($J4-$J$3)/1000,1)+(_xlfn.RANK.AVG($J4,($J4,$O4,$T4),1)-2)*20)</f>
        <v>-22.7</v>
      </c>
      <c r="V4" s="54">
        <f>IF($O4="","",ROUND(($O4-$O$3)/1000,1)+(_xlfn.RANK.AVG($O4,($J4,$O4,$T4),1)-2)*20)</f>
        <v>-1.1000000000000001</v>
      </c>
      <c r="W4" s="55">
        <f>IF($T4="","",ROUND(($T4-$T$3)/1000,1)+(_xlfn.RANK.AVG($T4,($J4,$O4,$T4),1)-2)*20)</f>
        <v>23.8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40</v>
      </c>
      <c r="BU4" s="40" t="s">
        <v>86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202</v>
      </c>
      <c r="G5" s="9">
        <v>-8000</v>
      </c>
      <c r="H5" s="9"/>
      <c r="I5" s="48">
        <v>0</v>
      </c>
      <c r="J5" s="21">
        <f t="shared" ref="J5:J30" si="2">IF(COUNTA($F5,$K5,$P5)&gt;0,J4+SUM(G5:I5),"")</f>
        <v>24300</v>
      </c>
      <c r="K5" s="8"/>
      <c r="L5" s="9"/>
      <c r="M5" s="9">
        <v>-1000</v>
      </c>
      <c r="N5" s="48"/>
      <c r="O5" s="21">
        <f t="shared" ref="O5:O30" si="3">IF(COUNTA($F5,$K5,$P5)&gt;0,O4+SUM(L5:N5),"")</f>
        <v>32900</v>
      </c>
      <c r="P5" s="8" t="s">
        <v>201</v>
      </c>
      <c r="Q5" s="9">
        <v>8000</v>
      </c>
      <c r="R5" s="9">
        <v>1000</v>
      </c>
      <c r="S5" s="48">
        <v>0</v>
      </c>
      <c r="T5" s="21">
        <f t="shared" ref="T5:T30" si="4">IF(COUNTA($F5,$K5,$P5)&gt;0,T4+SUM(Q5:S5),"")</f>
        <v>47800</v>
      </c>
      <c r="U5" s="53">
        <f>IF($J5="","",ROUND(($J5-$J$3)/1000,1)+(_xlfn.RANK.AVG($J5,($J5,$O5,$T5),1)-2)*20)</f>
        <v>-30.7</v>
      </c>
      <c r="V5" s="54">
        <f>IF($O5="","",ROUND(($O5-$O$3)/1000,1)+(_xlfn.RANK.AVG($O5,($J5,$O5,$T5),1)-2)*20)</f>
        <v>-2.1</v>
      </c>
      <c r="W5" s="55">
        <f>IF($T5="","",ROUND(($T5-$T$3)/1000,1)+(_xlfn.RANK.AVG($T5,($J5,$O5,$T5),1)-2)*20)</f>
        <v>32.799999999999997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40</v>
      </c>
      <c r="BU5" s="40" t="s">
        <v>104</v>
      </c>
      <c r="BV5" s="41" t="s">
        <v>86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197</v>
      </c>
      <c r="G6" s="9">
        <v>-9000</v>
      </c>
      <c r="H6" s="9">
        <v>-1000</v>
      </c>
      <c r="I6" s="48">
        <v>0</v>
      </c>
      <c r="J6" s="21">
        <f t="shared" si="2"/>
        <v>14300</v>
      </c>
      <c r="K6" s="8" t="s">
        <v>197</v>
      </c>
      <c r="L6" s="9">
        <v>-9000</v>
      </c>
      <c r="M6" s="9"/>
      <c r="N6" s="48">
        <v>0</v>
      </c>
      <c r="O6" s="21">
        <f t="shared" si="3"/>
        <v>23900</v>
      </c>
      <c r="P6" s="8" t="s">
        <v>196</v>
      </c>
      <c r="Q6" s="9">
        <v>18000</v>
      </c>
      <c r="R6" s="9">
        <v>1000</v>
      </c>
      <c r="S6" s="48">
        <v>0</v>
      </c>
      <c r="T6" s="21">
        <f t="shared" si="4"/>
        <v>66800</v>
      </c>
      <c r="U6" s="53">
        <f>IF($J6="","",ROUND(($J6-$J$3)/1000,1)+(_xlfn.RANK.AVG($J6,($J6,$O6,$T6),1)-2)*20)</f>
        <v>-40.700000000000003</v>
      </c>
      <c r="V6" s="54">
        <f>IF($O6="","",ROUND(($O6-$O$3)/1000,1)+(_xlfn.RANK.AVG($O6,($J6,$O6,$T6),1)-2)*20)</f>
        <v>-11.1</v>
      </c>
      <c r="W6" s="55">
        <f>IF($T6="","",ROUND(($T6-$T$3)/1000,1)+(_xlfn.RANK.AVG($T6,($J6,$O6,$T6),1)-2)*20)</f>
        <v>51.8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203</v>
      </c>
      <c r="BU6" s="40" t="s">
        <v>204</v>
      </c>
      <c r="BV6" s="41" t="s">
        <v>82</v>
      </c>
      <c r="BW6" s="41" t="s">
        <v>79</v>
      </c>
      <c r="BX6" s="41" t="s">
        <v>80</v>
      </c>
      <c r="BY6" s="41" t="s">
        <v>80</v>
      </c>
      <c r="BZ6" s="41" t="s">
        <v>205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196</v>
      </c>
      <c r="G7" s="9">
        <v>4000</v>
      </c>
      <c r="H7" s="9"/>
      <c r="I7" s="48">
        <v>1000</v>
      </c>
      <c r="J7" s="21">
        <f t="shared" si="2"/>
        <v>19300</v>
      </c>
      <c r="K7" s="8" t="s">
        <v>197</v>
      </c>
      <c r="L7" s="9">
        <v>-1500</v>
      </c>
      <c r="M7" s="9"/>
      <c r="N7" s="48">
        <v>-500</v>
      </c>
      <c r="O7" s="21">
        <f t="shared" si="3"/>
        <v>21900</v>
      </c>
      <c r="P7" s="8" t="s">
        <v>197</v>
      </c>
      <c r="Q7" s="9">
        <v>-2500</v>
      </c>
      <c r="R7" s="9"/>
      <c r="S7" s="48">
        <v>-500</v>
      </c>
      <c r="T7" s="21">
        <f t="shared" si="4"/>
        <v>63800</v>
      </c>
      <c r="U7" s="53">
        <f>IF($J7="","",ROUND(($J7-$J$3)/1000,1)+(_xlfn.RANK.AVG($J7,($J7,$O7,$T7),1)-2)*20)</f>
        <v>-35.700000000000003</v>
      </c>
      <c r="V7" s="54">
        <f>IF($O7="","",ROUND(($O7-$O$3)/1000,1)+(_xlfn.RANK.AVG($O7,($J7,$O7,$T7),1)-2)*20)</f>
        <v>-13.1</v>
      </c>
      <c r="W7" s="55">
        <f>IF($T7="","",ROUND(($T7-$T$3)/1000,1)+(_xlfn.RANK.AVG($T7,($J7,$O7,$T7),1)-2)*20)</f>
        <v>48.8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204</v>
      </c>
      <c r="AF7" s="41" t="s">
        <v>82</v>
      </c>
      <c r="AG7" s="41" t="s">
        <v>206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197</v>
      </c>
      <c r="G8" s="9">
        <v>-10000</v>
      </c>
      <c r="H8" s="9"/>
      <c r="I8" s="48">
        <v>0</v>
      </c>
      <c r="J8" s="21">
        <f t="shared" si="2"/>
        <v>9300</v>
      </c>
      <c r="K8" s="8" t="s">
        <v>197</v>
      </c>
      <c r="L8" s="9">
        <v>-6000</v>
      </c>
      <c r="M8" s="9">
        <v>-1000</v>
      </c>
      <c r="N8" s="48">
        <v>0</v>
      </c>
      <c r="O8" s="21">
        <f t="shared" si="3"/>
        <v>14900</v>
      </c>
      <c r="P8" s="8" t="s">
        <v>196</v>
      </c>
      <c r="Q8" s="9">
        <v>16000</v>
      </c>
      <c r="R8" s="9">
        <v>1000</v>
      </c>
      <c r="S8" s="48">
        <v>0</v>
      </c>
      <c r="T8" s="21">
        <f t="shared" si="4"/>
        <v>80800</v>
      </c>
      <c r="U8" s="53">
        <f>IF($J8="","",ROUND(($J8-$J$3)/1000,1)+(_xlfn.RANK.AVG($J8,($J8,$O8,$T8),1)-2)*20)</f>
        <v>-45.7</v>
      </c>
      <c r="V8" s="54">
        <f>IF($O8="","",ROUND(($O8-$O$3)/1000,1)+(_xlfn.RANK.AVG($O8,($J8,$O8,$T8),1)-2)*20)</f>
        <v>-20.100000000000001</v>
      </c>
      <c r="W8" s="55">
        <f>IF($T8="","",ROUND(($T8-$T$3)/1000,1)+(_xlfn.RANK.AVG($T8,($J8,$O8,$T8),1)-2)*20)</f>
        <v>65.8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8</v>
      </c>
      <c r="BT8" s="30" t="s">
        <v>203</v>
      </c>
      <c r="BU8" s="40" t="s">
        <v>204</v>
      </c>
      <c r="BV8" s="41" t="s">
        <v>82</v>
      </c>
      <c r="BW8" s="41" t="s">
        <v>79</v>
      </c>
      <c r="BX8" s="41" t="s">
        <v>79</v>
      </c>
      <c r="BY8" s="41" t="s">
        <v>79</v>
      </c>
      <c r="BZ8" s="41" t="s">
        <v>80</v>
      </c>
      <c r="CA8" s="41" t="s">
        <v>80</v>
      </c>
      <c r="CB8" s="41" t="s">
        <v>80</v>
      </c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201</v>
      </c>
      <c r="G9" s="9">
        <v>8000</v>
      </c>
      <c r="H9" s="9"/>
      <c r="I9" s="48">
        <v>0</v>
      </c>
      <c r="J9" s="21">
        <f t="shared" si="2"/>
        <v>17300</v>
      </c>
      <c r="K9" s="8"/>
      <c r="L9" s="9"/>
      <c r="M9" s="9"/>
      <c r="N9" s="48"/>
      <c r="O9" s="21">
        <f t="shared" si="3"/>
        <v>14900</v>
      </c>
      <c r="P9" s="8" t="s">
        <v>202</v>
      </c>
      <c r="Q9" s="9">
        <v>-8000</v>
      </c>
      <c r="R9" s="9"/>
      <c r="S9" s="48">
        <v>0</v>
      </c>
      <c r="T9" s="21">
        <f t="shared" si="4"/>
        <v>72800</v>
      </c>
      <c r="U9" s="53">
        <f>IF($J9="","",ROUND(($J9-$J$3)/1000,1)+(_xlfn.RANK.AVG($J9,($J9,$O9,$T9),1)-2)*20)</f>
        <v>-17.7</v>
      </c>
      <c r="V9" s="54">
        <f>IF($O9="","",ROUND(($O9-$O$3)/1000,1)+(_xlfn.RANK.AVG($O9,($J9,$O9,$T9),1)-2)*20)</f>
        <v>-40.1</v>
      </c>
      <c r="W9" s="55">
        <f>IF($T9="","",ROUND(($T9-$T$3)/1000,1)+(_xlfn.RANK.AVG($T9,($J9,$O9,$T9),1)-2)*20)</f>
        <v>57.8</v>
      </c>
      <c r="Y9" s="8"/>
      <c r="Z9" s="34"/>
      <c r="AA9" s="26"/>
      <c r="AB9" s="26">
        <v>1</v>
      </c>
      <c r="AC9" s="26">
        <v>5</v>
      </c>
      <c r="AD9" s="30" t="s">
        <v>203</v>
      </c>
      <c r="AE9" s="40" t="s">
        <v>86</v>
      </c>
      <c r="AF9" s="41" t="s">
        <v>205</v>
      </c>
      <c r="AG9" s="41" t="s">
        <v>205</v>
      </c>
      <c r="AH9" s="41" t="s">
        <v>79</v>
      </c>
      <c r="AI9" s="41" t="s">
        <v>79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201</v>
      </c>
      <c r="G10" s="9">
        <v>8000</v>
      </c>
      <c r="H10" s="9"/>
      <c r="I10" s="48">
        <v>0</v>
      </c>
      <c r="J10" s="21">
        <f t="shared" si="2"/>
        <v>25300</v>
      </c>
      <c r="K10" s="8"/>
      <c r="L10" s="9"/>
      <c r="M10" s="9"/>
      <c r="N10" s="48"/>
      <c r="O10" s="21">
        <f t="shared" si="3"/>
        <v>14900</v>
      </c>
      <c r="P10" s="8" t="s">
        <v>202</v>
      </c>
      <c r="Q10" s="9">
        <v>-8000</v>
      </c>
      <c r="R10" s="9"/>
      <c r="S10" s="48">
        <v>0</v>
      </c>
      <c r="T10" s="21">
        <f t="shared" si="4"/>
        <v>64800</v>
      </c>
      <c r="U10" s="53">
        <f>IF($J10="","",ROUND(($J10-$J$3)/1000,1)+(_xlfn.RANK.AVG($J10,($J10,$O10,$T10),1)-2)*20)</f>
        <v>-9.6999999999999993</v>
      </c>
      <c r="V10" s="54">
        <f>IF($O10="","",ROUND(($O10-$O$3)/1000,1)+(_xlfn.RANK.AVG($O10,($J10,$O10,$T10),1)-2)*20)</f>
        <v>-40.1</v>
      </c>
      <c r="W10" s="55">
        <f>IF($T10="","",ROUND(($T10-$T$3)/1000,1)+(_xlfn.RANK.AVG($T10,($J10,$O10,$T10),1)-2)*20)</f>
        <v>49.8</v>
      </c>
      <c r="Y10" s="8"/>
      <c r="Z10" s="34"/>
      <c r="AA10" s="26"/>
      <c r="AB10" s="26"/>
      <c r="AC10" s="26">
        <v>4</v>
      </c>
      <c r="AD10" s="30">
        <v>40</v>
      </c>
      <c r="AE10" s="40" t="s">
        <v>104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0F582290-13D4-4BA1-9C65-DBFAEF876EA5}">
      <formula1>$U$2:$W$2</formula1>
    </dataValidation>
    <dataValidation type="list" showInputMessage="1" showErrorMessage="1" sqref="K4:K30 P4:P30 F4:F30" xr:uid="{A4945C76-F590-49FC-8ACB-87718FDC1CBE}">
      <formula1>"ロン,ツモ,放銃,ツモ支払,流局,チョンボ"</formula1>
    </dataValidation>
    <dataValidation type="list" allowBlank="1" showInputMessage="1" sqref="F1:T1" xr:uid="{07831301-0CBD-4953-8946-AF9A4653EE98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A4627-A201-45FB-BAD8-EBFB2D1E87FD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201</v>
      </c>
      <c r="G4" s="9">
        <v>24000</v>
      </c>
      <c r="H4" s="9"/>
      <c r="I4" s="48">
        <v>0</v>
      </c>
      <c r="J4" s="21">
        <f>IF(COUNTA($F4,$K4,$P4)&gt;0,J3+SUM(G4:I4),"")</f>
        <v>59000</v>
      </c>
      <c r="K4" s="8" t="s">
        <v>202</v>
      </c>
      <c r="L4" s="9">
        <v>-24000</v>
      </c>
      <c r="M4" s="9"/>
      <c r="N4" s="48">
        <v>0</v>
      </c>
      <c r="O4" s="21">
        <f>IF(COUNTA($F4,$K4,$P4)&gt;0,O3+SUM(L4:N4),"")</f>
        <v>11000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44</v>
      </c>
      <c r="V4" s="54">
        <f>IF($O4="","",ROUND(($O4-$O$3)/1000,1)+(_xlfn.RANK.AVG($O4,($J4,$O4,$T4),1)-2)*20)</f>
        <v>-44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9</v>
      </c>
      <c r="AD4" s="30" t="s">
        <v>203</v>
      </c>
      <c r="AE4" s="40" t="s">
        <v>204</v>
      </c>
      <c r="AF4" s="41" t="s">
        <v>206</v>
      </c>
      <c r="AG4" s="41" t="s">
        <v>106</v>
      </c>
      <c r="AH4" s="41" t="s">
        <v>84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202</v>
      </c>
      <c r="G5" s="9">
        <v>-5200</v>
      </c>
      <c r="H5" s="9"/>
      <c r="I5" s="48">
        <v>-1000</v>
      </c>
      <c r="J5" s="21">
        <f t="shared" ref="J5:J30" si="2">IF(COUNTA($F5,$K5,$P5)&gt;0,J4+SUM(G5:I5),"")</f>
        <v>52800</v>
      </c>
      <c r="K5" s="8"/>
      <c r="L5" s="9"/>
      <c r="M5" s="9"/>
      <c r="N5" s="48"/>
      <c r="O5" s="21">
        <f t="shared" ref="O5:O30" si="3">IF(COUNTA($F5,$K5,$P5)&gt;0,O4+SUM(L5:N5),"")</f>
        <v>11000</v>
      </c>
      <c r="P5" s="8" t="s">
        <v>201</v>
      </c>
      <c r="Q5" s="9">
        <v>5200</v>
      </c>
      <c r="R5" s="9"/>
      <c r="S5" s="48">
        <v>1000</v>
      </c>
      <c r="T5" s="21">
        <f t="shared" ref="T5:T30" si="4">IF(COUNTA($F5,$K5,$P5)&gt;0,T4+SUM(Q5:S5),"")</f>
        <v>41200</v>
      </c>
      <c r="U5" s="53">
        <f>IF($J5="","",ROUND(($J5-$J$3)/1000,1)+(_xlfn.RANK.AVG($J5,($J5,$O5,$T5),1)-2)*20)</f>
        <v>37.799999999999997</v>
      </c>
      <c r="V5" s="54">
        <f>IF($O5="","",ROUND(($O5-$O$3)/1000,1)+(_xlfn.RANK.AVG($O5,($J5,$O5,$T5),1)-2)*20)</f>
        <v>-44</v>
      </c>
      <c r="W5" s="55">
        <f>IF($T5="","",ROUND(($T5-$T$3)/1000,1)+(_xlfn.RANK.AVG($T5,($J5,$O5,$T5),1)-2)*20)</f>
        <v>6.2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204</v>
      </c>
      <c r="BV5" s="41" t="s">
        <v>206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202</v>
      </c>
      <c r="G6" s="9">
        <v>-12000</v>
      </c>
      <c r="H6" s="9"/>
      <c r="I6" s="48">
        <v>0</v>
      </c>
      <c r="J6" s="21">
        <f t="shared" si="2"/>
        <v>40800</v>
      </c>
      <c r="K6" s="8" t="s">
        <v>201</v>
      </c>
      <c r="L6" s="9">
        <v>12000</v>
      </c>
      <c r="M6" s="9"/>
      <c r="N6" s="48">
        <v>0</v>
      </c>
      <c r="O6" s="21">
        <f t="shared" si="3"/>
        <v>23000</v>
      </c>
      <c r="P6" s="8"/>
      <c r="Q6" s="9"/>
      <c r="R6" s="9"/>
      <c r="S6" s="48"/>
      <c r="T6" s="21">
        <f t="shared" si="4"/>
        <v>41200</v>
      </c>
      <c r="U6" s="53">
        <f>IF($J6="","",ROUND(($J6-$J$3)/1000,1)+(_xlfn.RANK.AVG($J6,($J6,$O6,$T6),1)-2)*20)</f>
        <v>5.8</v>
      </c>
      <c r="V6" s="54">
        <f>IF($O6="","",ROUND(($O6-$O$3)/1000,1)+(_xlfn.RANK.AVG($O6,($J6,$O6,$T6),1)-2)*20)</f>
        <v>-32</v>
      </c>
      <c r="W6" s="55">
        <f>IF($T6="","",ROUND(($T6-$T$3)/1000,1)+(_xlfn.RANK.AVG($T6,($J6,$O6,$T6),1)-2)*20)</f>
        <v>26.2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204</v>
      </c>
      <c r="BA6" s="41" t="s">
        <v>206</v>
      </c>
      <c r="BB6" s="41" t="s">
        <v>79</v>
      </c>
      <c r="BC6" s="41" t="s">
        <v>205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ただ</v>
      </c>
      <c r="F7" s="8" t="s">
        <v>197</v>
      </c>
      <c r="G7" s="9">
        <v>-9000</v>
      </c>
      <c r="H7" s="9">
        <v>-1000</v>
      </c>
      <c r="I7" s="48">
        <v>-500</v>
      </c>
      <c r="J7" s="21">
        <f t="shared" si="2"/>
        <v>30300</v>
      </c>
      <c r="K7" s="8" t="s">
        <v>196</v>
      </c>
      <c r="L7" s="9">
        <v>18000</v>
      </c>
      <c r="M7" s="9">
        <v>1000</v>
      </c>
      <c r="N7" s="48">
        <v>1000</v>
      </c>
      <c r="O7" s="21">
        <f t="shared" si="3"/>
        <v>43000</v>
      </c>
      <c r="P7" s="8" t="s">
        <v>197</v>
      </c>
      <c r="Q7" s="9">
        <v>-9000</v>
      </c>
      <c r="R7" s="9"/>
      <c r="S7" s="48">
        <v>-500</v>
      </c>
      <c r="T7" s="21">
        <f t="shared" si="4"/>
        <v>31700</v>
      </c>
      <c r="U7" s="53">
        <f>IF($J7="","",ROUND(($J7-$J$3)/1000,1)+(_xlfn.RANK.AVG($J7,($J7,$O7,$T7),1)-2)*20)</f>
        <v>-24.7</v>
      </c>
      <c r="V7" s="54">
        <f>IF($O7="","",ROUND(($O7-$O$3)/1000,1)+(_xlfn.RANK.AVG($O7,($J7,$O7,$T7),1)-2)*20)</f>
        <v>28</v>
      </c>
      <c r="W7" s="55">
        <f>IF($T7="","",ROUND(($T7-$T$3)/1000,1)+(_xlfn.RANK.AVG($T7,($J7,$O7,$T7),1)-2)*20)</f>
        <v>-3.3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203</v>
      </c>
      <c r="AZ7" s="40" t="s">
        <v>204</v>
      </c>
      <c r="BA7" s="41" t="s">
        <v>82</v>
      </c>
      <c r="BB7" s="41" t="s">
        <v>79</v>
      </c>
      <c r="BC7" s="41" t="s">
        <v>79</v>
      </c>
      <c r="BD7" s="41" t="s">
        <v>79</v>
      </c>
      <c r="BE7" s="41" t="s">
        <v>205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IF($K$1="","",$K$1)</f>
        <v>ただ</v>
      </c>
      <c r="F8" s="8" t="s">
        <v>202</v>
      </c>
      <c r="G8" s="9">
        <v>-3900</v>
      </c>
      <c r="H8" s="9"/>
      <c r="I8" s="48">
        <v>-2000</v>
      </c>
      <c r="J8" s="21">
        <f t="shared" si="2"/>
        <v>24400</v>
      </c>
      <c r="K8" s="8" t="s">
        <v>201</v>
      </c>
      <c r="L8" s="9">
        <v>3900</v>
      </c>
      <c r="M8" s="9"/>
      <c r="N8" s="48">
        <v>2000</v>
      </c>
      <c r="O8" s="21">
        <f t="shared" si="3"/>
        <v>48900</v>
      </c>
      <c r="P8" s="8"/>
      <c r="Q8" s="9"/>
      <c r="R8" s="9"/>
      <c r="S8" s="48"/>
      <c r="T8" s="21">
        <f t="shared" si="4"/>
        <v>31700</v>
      </c>
      <c r="U8" s="53">
        <f>IF($J8="","",ROUND(($J8-$J$3)/1000,1)+(_xlfn.RANK.AVG($J8,($J8,$O8,$T8),1)-2)*20)</f>
        <v>-30.6</v>
      </c>
      <c r="V8" s="54">
        <f>IF($O8="","",ROUND(($O8-$O$3)/1000,1)+(_xlfn.RANK.AVG($O8,($J8,$O8,$T8),1)-2)*20)</f>
        <v>33.9</v>
      </c>
      <c r="W8" s="55">
        <f>IF($T8="","",ROUND(($T8-$T$3)/1000,1)+(_xlfn.RANK.AVG($T8,($J8,$O8,$T8),1)-2)*20)</f>
        <v>-3.3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204</v>
      </c>
      <c r="BA8" s="41" t="s">
        <v>86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tr">
        <f>IF($K$1="","",$K$1)</f>
        <v>ただ</v>
      </c>
      <c r="F9" s="8" t="s">
        <v>197</v>
      </c>
      <c r="G9" s="9">
        <v>-4500</v>
      </c>
      <c r="H9" s="9"/>
      <c r="I9" s="48">
        <v>-1500</v>
      </c>
      <c r="J9" s="21">
        <f t="shared" si="2"/>
        <v>18400</v>
      </c>
      <c r="K9" s="8" t="s">
        <v>197</v>
      </c>
      <c r="L9" s="9">
        <v>-7500</v>
      </c>
      <c r="M9" s="9">
        <v>-1000</v>
      </c>
      <c r="N9" s="48">
        <v>-1500</v>
      </c>
      <c r="O9" s="21">
        <f t="shared" si="3"/>
        <v>38900</v>
      </c>
      <c r="P9" s="8" t="s">
        <v>196</v>
      </c>
      <c r="Q9" s="9">
        <v>12000</v>
      </c>
      <c r="R9" s="9">
        <v>1000</v>
      </c>
      <c r="S9" s="48">
        <v>3000</v>
      </c>
      <c r="T9" s="21">
        <f t="shared" si="4"/>
        <v>47700</v>
      </c>
      <c r="U9" s="53">
        <f>IF($J9="","",ROUND(($J9-$J$3)/1000,1)+(_xlfn.RANK.AVG($J9,($J9,$O9,$T9),1)-2)*20)</f>
        <v>-36.6</v>
      </c>
      <c r="V9" s="54">
        <f>IF($O9="","",ROUND(($O9-$O$3)/1000,1)+(_xlfn.RANK.AVG($O9,($J9,$O9,$T9),1)-2)*20)</f>
        <v>3.9</v>
      </c>
      <c r="W9" s="55">
        <f>IF($T9="","",ROUND(($T9-$T$3)/1000,1)+(_xlfn.RANK.AVG($T9,($J9,$O9,$T9),1)-2)*20)</f>
        <v>32.700000000000003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203</v>
      </c>
      <c r="BU9" s="40" t="s">
        <v>204</v>
      </c>
      <c r="BV9" s="41" t="s">
        <v>82</v>
      </c>
      <c r="BW9" s="41" t="s">
        <v>83</v>
      </c>
      <c r="BX9" s="41" t="s">
        <v>205</v>
      </c>
      <c r="BY9" s="41" t="s">
        <v>79</v>
      </c>
      <c r="BZ9" s="41" t="s">
        <v>79</v>
      </c>
      <c r="CA9" s="41" t="s">
        <v>80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197</v>
      </c>
      <c r="G10" s="9">
        <v>-3000</v>
      </c>
      <c r="H10" s="9"/>
      <c r="I10" s="48">
        <v>0</v>
      </c>
      <c r="J10" s="21">
        <f t="shared" si="2"/>
        <v>15400</v>
      </c>
      <c r="K10" s="8" t="s">
        <v>196</v>
      </c>
      <c r="L10" s="9">
        <v>8000</v>
      </c>
      <c r="M10" s="9"/>
      <c r="N10" s="48">
        <v>0</v>
      </c>
      <c r="O10" s="21">
        <f t="shared" si="3"/>
        <v>46900</v>
      </c>
      <c r="P10" s="8" t="s">
        <v>197</v>
      </c>
      <c r="Q10" s="9">
        <v>-5000</v>
      </c>
      <c r="R10" s="9"/>
      <c r="S10" s="48">
        <v>0</v>
      </c>
      <c r="T10" s="21">
        <f t="shared" si="4"/>
        <v>42700</v>
      </c>
      <c r="U10" s="53">
        <f>IF($J10="","",ROUND(($J10-$J$3)/1000,1)+(_xlfn.RANK.AVG($J10,($J10,$O10,$T10),1)-2)*20)</f>
        <v>-39.6</v>
      </c>
      <c r="V10" s="54">
        <f>IF($O10="","",ROUND(($O10-$O$3)/1000,1)+(_xlfn.RANK.AVG($O10,($J10,$O10,$T10),1)-2)*20)</f>
        <v>31.9</v>
      </c>
      <c r="W10" s="55">
        <f>IF($T10="","",ROUND(($T10-$T$3)/1000,1)+(_xlfn.RANK.AVG($T10,($J10,$O10,$T10),1)-2)*20)</f>
        <v>7.7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203</v>
      </c>
      <c r="AZ10" s="40" t="s">
        <v>86</v>
      </c>
      <c r="BA10" s="41" t="s">
        <v>205</v>
      </c>
      <c r="BB10" s="41" t="s">
        <v>79</v>
      </c>
      <c r="BC10" s="41" t="s">
        <v>79</v>
      </c>
      <c r="BD10" s="41" t="s">
        <v>79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りくと</v>
      </c>
      <c r="F11" s="8" t="s">
        <v>197</v>
      </c>
      <c r="G11" s="9">
        <v>-7500</v>
      </c>
      <c r="H11" s="9"/>
      <c r="I11" s="48">
        <v>0</v>
      </c>
      <c r="J11" s="21">
        <f t="shared" si="2"/>
        <v>7900</v>
      </c>
      <c r="K11" s="8" t="s">
        <v>197</v>
      </c>
      <c r="L11" s="9">
        <v>-4500</v>
      </c>
      <c r="M11" s="9"/>
      <c r="N11" s="48">
        <v>0</v>
      </c>
      <c r="O11" s="21">
        <f t="shared" si="3"/>
        <v>42400</v>
      </c>
      <c r="P11" s="8" t="s">
        <v>196</v>
      </c>
      <c r="Q11" s="9">
        <v>12000</v>
      </c>
      <c r="R11" s="9"/>
      <c r="S11" s="48">
        <v>0</v>
      </c>
      <c r="T11" s="21">
        <f t="shared" si="4"/>
        <v>54700</v>
      </c>
      <c r="U11" s="53">
        <f>IF($J11="","",ROUND(($J11-$J$3)/1000,1)+(_xlfn.RANK.AVG($J11,($J11,$O11,$T11),1)-2)*20)</f>
        <v>-47.1</v>
      </c>
      <c r="V11" s="54">
        <f>IF($O11="","",ROUND(($O11-$O$3)/1000,1)+(_xlfn.RANK.AVG($O11,($J11,$O11,$T11),1)-2)*20)</f>
        <v>7.4</v>
      </c>
      <c r="W11" s="55">
        <f>IF($T11="","",ROUND(($T11-$T$3)/1000,1)+(_xlfn.RANK.AVG($T11,($J11,$O11,$T11),1)-2)*20)</f>
        <v>39.700000000000003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7</v>
      </c>
      <c r="BT11" s="30" t="s">
        <v>203</v>
      </c>
      <c r="BU11" s="40" t="s">
        <v>204</v>
      </c>
      <c r="BV11" s="41" t="s">
        <v>82</v>
      </c>
      <c r="BW11" s="41" t="s">
        <v>79</v>
      </c>
      <c r="BX11" s="41" t="s">
        <v>104</v>
      </c>
      <c r="BY11" s="41" t="s">
        <v>86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ただ</v>
      </c>
      <c r="F12" s="8" t="s">
        <v>196</v>
      </c>
      <c r="G12" s="9">
        <v>12000</v>
      </c>
      <c r="H12" s="9"/>
      <c r="I12" s="48">
        <v>0</v>
      </c>
      <c r="J12" s="21">
        <f t="shared" si="2"/>
        <v>19900</v>
      </c>
      <c r="K12" s="8" t="s">
        <v>197</v>
      </c>
      <c r="L12" s="9">
        <v>-7500</v>
      </c>
      <c r="M12" s="9"/>
      <c r="N12" s="48">
        <v>0</v>
      </c>
      <c r="O12" s="21">
        <f t="shared" si="3"/>
        <v>34900</v>
      </c>
      <c r="P12" s="8" t="s">
        <v>197</v>
      </c>
      <c r="Q12" s="9">
        <v>-4500</v>
      </c>
      <c r="R12" s="9"/>
      <c r="S12" s="48">
        <v>0</v>
      </c>
      <c r="T12" s="21">
        <f t="shared" si="4"/>
        <v>50200</v>
      </c>
      <c r="U12" s="53">
        <f>IF($J12="","",ROUND(($J12-$J$3)/1000,1)+(_xlfn.RANK.AVG($J12,($J12,$O12,$T12),1)-2)*20)</f>
        <v>-35.1</v>
      </c>
      <c r="V12" s="54">
        <f>IF($O12="","",ROUND(($O12-$O$3)/1000,1)+(_xlfn.RANK.AVG($O12,($J12,$O12,$T12),1)-2)*20)</f>
        <v>-0.1</v>
      </c>
      <c r="W12" s="55">
        <f>IF($T12="","",ROUND(($T12-$T$3)/1000,1)+(_xlfn.RANK.AVG($T12,($J12,$O12,$T12),1)-2)*20)</f>
        <v>35.200000000000003</v>
      </c>
      <c r="Y12" s="8"/>
      <c r="Z12" s="34"/>
      <c r="AA12" s="26">
        <v>1</v>
      </c>
      <c r="AB12" s="26"/>
      <c r="AC12" s="26">
        <v>6</v>
      </c>
      <c r="AD12" s="30" t="s">
        <v>203</v>
      </c>
      <c r="AE12" s="40" t="s">
        <v>204</v>
      </c>
      <c r="AF12" s="41" t="s">
        <v>82</v>
      </c>
      <c r="AG12" s="41" t="s">
        <v>205</v>
      </c>
      <c r="AH12" s="41" t="s">
        <v>79</v>
      </c>
      <c r="AI12" s="41" t="s">
        <v>79</v>
      </c>
      <c r="AJ12" s="41" t="s">
        <v>80</v>
      </c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だいち</v>
      </c>
      <c r="F13" s="8" t="s">
        <v>197</v>
      </c>
      <c r="G13" s="9">
        <v>-9000</v>
      </c>
      <c r="H13" s="9">
        <v>-1000</v>
      </c>
      <c r="I13" s="48">
        <v>0</v>
      </c>
      <c r="J13" s="21">
        <f t="shared" si="2"/>
        <v>9900</v>
      </c>
      <c r="K13" s="8" t="s">
        <v>197</v>
      </c>
      <c r="L13" s="9">
        <v>-9000</v>
      </c>
      <c r="M13" s="9"/>
      <c r="N13" s="48">
        <v>0</v>
      </c>
      <c r="O13" s="21">
        <f t="shared" si="3"/>
        <v>25900</v>
      </c>
      <c r="P13" s="8" t="s">
        <v>196</v>
      </c>
      <c r="Q13" s="9">
        <v>18000</v>
      </c>
      <c r="R13" s="9">
        <v>1000</v>
      </c>
      <c r="S13" s="48">
        <v>0</v>
      </c>
      <c r="T13" s="21">
        <f t="shared" si="4"/>
        <v>69200</v>
      </c>
      <c r="U13" s="53">
        <f>IF($J13="","",ROUND(($J13-$J$3)/1000,1)+(_xlfn.RANK.AVG($J13,($J13,$O13,$T13),1)-2)*20)</f>
        <v>-45.1</v>
      </c>
      <c r="V13" s="54">
        <f>IF($O13="","",ROUND(($O13-$O$3)/1000,1)+(_xlfn.RANK.AVG($O13,($J13,$O13,$T13),1)-2)*20)</f>
        <v>-9.1</v>
      </c>
      <c r="W13" s="55">
        <f>IF($T13="","",ROUND(($T13-$T$3)/1000,1)+(_xlfn.RANK.AVG($T13,($J13,$O13,$T13),1)-2)*20)</f>
        <v>54.2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7</v>
      </c>
      <c r="BT13" s="30" t="s">
        <v>203</v>
      </c>
      <c r="BU13" s="40" t="s">
        <v>89</v>
      </c>
      <c r="BV13" s="41" t="s">
        <v>86</v>
      </c>
      <c r="BW13" s="41" t="s">
        <v>205</v>
      </c>
      <c r="BX13" s="41" t="s">
        <v>79</v>
      </c>
      <c r="BY13" s="41" t="s">
        <v>79</v>
      </c>
      <c r="BZ13" s="41" t="s">
        <v>79</v>
      </c>
      <c r="CA13" s="41" t="s">
        <v>79</v>
      </c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92AE55F-C179-4D3A-A60F-CDC0D2B658B1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933A7A50-007B-40B9-88FF-ACE376E97EBE}">
      <formula1>"ロン,ツモ,放銃,ツモ支払,流局,チョンボ"</formula1>
    </dataValidation>
    <dataValidation type="list" allowBlank="1" showInputMessage="1" showErrorMessage="1" sqref="E4:E30" xr:uid="{89A3CB2F-86EE-4CF5-8993-5BCF564ECB7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415E5-8761-42F4-B66D-78EEB290FC5C}">
  <sheetPr codeName="Sheet16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202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 t="s">
        <v>201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29</v>
      </c>
      <c r="W4" s="55">
        <f>IF($T4="","",ROUND(($T4-$T$3)/1000,1)+(_xlfn.RANK.AVG($T4,($J4,$O4,$T4),1)-2)*20)</f>
        <v>-1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203</v>
      </c>
      <c r="AZ4" s="40" t="s">
        <v>101</v>
      </c>
      <c r="BA4" s="41" t="s">
        <v>205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202</v>
      </c>
      <c r="G5" s="9">
        <v>-8000</v>
      </c>
      <c r="H5" s="9"/>
      <c r="I5" s="48">
        <v>0</v>
      </c>
      <c r="J5" s="21">
        <f t="shared" ref="J5:J30" si="2">IF(COUNTA($F5,$K5,$P5)&gt;0,J4+SUM(G5:I5),"")</f>
        <v>19000</v>
      </c>
      <c r="K5" s="8" t="s">
        <v>201</v>
      </c>
      <c r="L5" s="9">
        <v>8000</v>
      </c>
      <c r="M5" s="9"/>
      <c r="N5" s="48">
        <v>0</v>
      </c>
      <c r="O5" s="21">
        <f t="shared" ref="O5:O30" si="3">IF(COUNTA($F5,$K5,$P5)&gt;0,O4+SUM(L5:N5),"")</f>
        <v>52000</v>
      </c>
      <c r="P5" s="8"/>
      <c r="Q5" s="9"/>
      <c r="R5" s="9"/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IF($J5="","",ROUND(($J5-$J$3)/1000,1)+(_xlfn.RANK.AVG($J5,($J5,$O5,$T5),1)-2)*20)</f>
        <v>-36</v>
      </c>
      <c r="V5" s="54">
        <f>IF($O5="","",ROUND(($O5-$O$3)/1000,1)+(_xlfn.RANK.AVG($O5,($J5,$O5,$T5),1)-2)*20)</f>
        <v>37</v>
      </c>
      <c r="W5" s="55">
        <f>IF($T5="","",ROUND(($T5-$T$3)/1000,1)+(_xlfn.RANK.AVG($T5,($J5,$O5,$T5),1)-2)*20)</f>
        <v>-1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203</v>
      </c>
      <c r="AZ5" s="40" t="s">
        <v>204</v>
      </c>
      <c r="BA5" s="41" t="s">
        <v>83</v>
      </c>
      <c r="BB5" s="41" t="s">
        <v>205</v>
      </c>
      <c r="BC5" s="41" t="s">
        <v>79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197</v>
      </c>
      <c r="G6" s="9">
        <v>-12000</v>
      </c>
      <c r="H6" s="9">
        <v>-1000</v>
      </c>
      <c r="I6" s="48">
        <v>0</v>
      </c>
      <c r="J6" s="21">
        <f t="shared" si="2"/>
        <v>6000</v>
      </c>
      <c r="K6" s="8" t="s">
        <v>196</v>
      </c>
      <c r="L6" s="9">
        <v>24000</v>
      </c>
      <c r="M6" s="9">
        <v>1000</v>
      </c>
      <c r="N6" s="48">
        <v>0</v>
      </c>
      <c r="O6" s="21">
        <f t="shared" si="3"/>
        <v>77000</v>
      </c>
      <c r="P6" s="8" t="s">
        <v>197</v>
      </c>
      <c r="Q6" s="9">
        <v>-12000</v>
      </c>
      <c r="R6" s="9"/>
      <c r="S6" s="48">
        <v>0</v>
      </c>
      <c r="T6" s="21">
        <f t="shared" si="4"/>
        <v>22000</v>
      </c>
      <c r="U6" s="53">
        <f>IF($J6="","",ROUND(($J6-$J$3)/1000,1)+(_xlfn.RANK.AVG($J6,($J6,$O6,$T6),1)-2)*20)</f>
        <v>-49</v>
      </c>
      <c r="V6" s="54">
        <f>IF($O6="","",ROUND(($O6-$O$3)/1000,1)+(_xlfn.RANK.AVG($O6,($J6,$O6,$T6),1)-2)*20)</f>
        <v>62</v>
      </c>
      <c r="W6" s="55">
        <f>IF($T6="","",ROUND(($T6-$T$3)/1000,1)+(_xlfn.RANK.AVG($T6,($J6,$O6,$T6),1)-2)*20)</f>
        <v>-13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10</v>
      </c>
      <c r="AY6" s="30" t="s">
        <v>203</v>
      </c>
      <c r="AZ6" s="40" t="s">
        <v>87</v>
      </c>
      <c r="BA6" s="41" t="s">
        <v>82</v>
      </c>
      <c r="BB6" s="41" t="s">
        <v>106</v>
      </c>
      <c r="BC6" s="41" t="s">
        <v>83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IF($K$1="","",$K$1)</f>
        <v>ただ</v>
      </c>
      <c r="F7" s="8" t="s">
        <v>201</v>
      </c>
      <c r="G7" s="9">
        <v>8000</v>
      </c>
      <c r="H7" s="9">
        <v>1000</v>
      </c>
      <c r="I7" s="48">
        <v>1000</v>
      </c>
      <c r="J7" s="21">
        <f t="shared" si="2"/>
        <v>16000</v>
      </c>
      <c r="K7" s="8" t="s">
        <v>202</v>
      </c>
      <c r="L7" s="9">
        <v>-8000</v>
      </c>
      <c r="M7" s="9">
        <v>-1000</v>
      </c>
      <c r="N7" s="48">
        <v>-1000</v>
      </c>
      <c r="O7" s="21">
        <f t="shared" si="3"/>
        <v>67000</v>
      </c>
      <c r="P7" s="8"/>
      <c r="Q7" s="9"/>
      <c r="R7" s="9"/>
      <c r="S7" s="48"/>
      <c r="T7" s="21">
        <f t="shared" si="4"/>
        <v>22000</v>
      </c>
      <c r="U7" s="53">
        <f>IF($J7="","",ROUND(($J7-$J$3)/1000,1)+(_xlfn.RANK.AVG($J7,($J7,$O7,$T7),1)-2)*20)</f>
        <v>-39</v>
      </c>
      <c r="V7" s="54">
        <f>IF($O7="","",ROUND(($O7-$O$3)/1000,1)+(_xlfn.RANK.AVG($O7,($J7,$O7,$T7),1)-2)*20)</f>
        <v>52</v>
      </c>
      <c r="W7" s="55">
        <f>IF($T7="","",ROUND(($T7-$T$3)/1000,1)+(_xlfn.RANK.AVG($T7,($J7,$O7,$T7),1)-2)*20)</f>
        <v>-13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204</v>
      </c>
      <c r="AF7" s="41" t="s">
        <v>84</v>
      </c>
      <c r="AG7" s="41" t="s">
        <v>79</v>
      </c>
      <c r="AH7" s="41" t="s">
        <v>205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/>
      <c r="G8" s="9"/>
      <c r="H8" s="9"/>
      <c r="I8" s="48"/>
      <c r="J8" s="21">
        <f t="shared" si="2"/>
        <v>16000</v>
      </c>
      <c r="K8" s="8" t="s">
        <v>201</v>
      </c>
      <c r="L8" s="9">
        <v>8000</v>
      </c>
      <c r="M8" s="9"/>
      <c r="N8" s="48">
        <v>0</v>
      </c>
      <c r="O8" s="21">
        <f t="shared" si="3"/>
        <v>75000</v>
      </c>
      <c r="P8" s="8" t="s">
        <v>202</v>
      </c>
      <c r="Q8" s="9">
        <v>-8000</v>
      </c>
      <c r="R8" s="9"/>
      <c r="S8" s="48">
        <v>0</v>
      </c>
      <c r="T8" s="21">
        <f t="shared" si="4"/>
        <v>14000</v>
      </c>
      <c r="U8" s="53">
        <f>IF($J8="","",ROUND(($J8-$J$3)/1000,1)+(_xlfn.RANK.AVG($J8,($J8,$O8,$T8),1)-2)*20)</f>
        <v>-19</v>
      </c>
      <c r="V8" s="54">
        <f>IF($O8="","",ROUND(($O8-$O$3)/1000,1)+(_xlfn.RANK.AVG($O8,($J8,$O8,$T8),1)-2)*20)</f>
        <v>60</v>
      </c>
      <c r="W8" s="55">
        <f>IF($T8="","",ROUND(($T8-$T$3)/1000,1)+(_xlfn.RANK.AVG($T8,($J8,$O8,$T8),1)-2)*20)</f>
        <v>-41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5</v>
      </c>
      <c r="AY8" s="30" t="s">
        <v>203</v>
      </c>
      <c r="AZ8" s="40" t="s">
        <v>104</v>
      </c>
      <c r="BA8" s="41" t="s">
        <v>84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りくと</v>
      </c>
      <c r="F9" s="8" t="s">
        <v>196</v>
      </c>
      <c r="G9" s="9">
        <v>4000</v>
      </c>
      <c r="H9" s="9"/>
      <c r="I9" s="48">
        <v>0</v>
      </c>
      <c r="J9" s="21">
        <f t="shared" si="2"/>
        <v>20000</v>
      </c>
      <c r="K9" s="8" t="s">
        <v>197</v>
      </c>
      <c r="L9" s="9">
        <v>-2000</v>
      </c>
      <c r="M9" s="9"/>
      <c r="N9" s="48">
        <v>0</v>
      </c>
      <c r="O9" s="21">
        <f t="shared" si="3"/>
        <v>73000</v>
      </c>
      <c r="P9" s="8" t="s">
        <v>197</v>
      </c>
      <c r="Q9" s="9">
        <v>-2000</v>
      </c>
      <c r="R9" s="9"/>
      <c r="S9" s="48">
        <v>0</v>
      </c>
      <c r="T9" s="21">
        <f t="shared" si="4"/>
        <v>12000</v>
      </c>
      <c r="U9" s="53">
        <f>IF($J9="","",ROUND(($J9-$J$3)/1000,1)+(_xlfn.RANK.AVG($J9,($J9,$O9,$T9),1)-2)*20)</f>
        <v>-15</v>
      </c>
      <c r="V9" s="54">
        <f>IF($O9="","",ROUND(($O9-$O$3)/1000,1)+(_xlfn.RANK.AVG($O9,($J9,$O9,$T9),1)-2)*20)</f>
        <v>58</v>
      </c>
      <c r="W9" s="55">
        <f>IF($T9="","",ROUND(($T9-$T$3)/1000,1)+(_xlfn.RANK.AVG($T9,($J9,$O9,$T9),1)-2)*20)</f>
        <v>-43</v>
      </c>
      <c r="Y9" s="8"/>
      <c r="Z9" s="34"/>
      <c r="AA9" s="26">
        <v>1</v>
      </c>
      <c r="AB9" s="26"/>
      <c r="AC9" s="26">
        <v>2</v>
      </c>
      <c r="AD9" s="30">
        <v>40</v>
      </c>
      <c r="AE9" s="40" t="s">
        <v>204</v>
      </c>
      <c r="AF9" s="41" t="s">
        <v>82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IF($F$1="","",$F$1)</f>
        <v>りくと</v>
      </c>
      <c r="F10" s="8" t="s">
        <v>202</v>
      </c>
      <c r="G10" s="9">
        <v>-5200</v>
      </c>
      <c r="H10" s="9"/>
      <c r="I10" s="48">
        <v>-1000</v>
      </c>
      <c r="J10" s="21">
        <f t="shared" si="2"/>
        <v>13800</v>
      </c>
      <c r="K10" s="8" t="s">
        <v>201</v>
      </c>
      <c r="L10" s="9">
        <v>5200</v>
      </c>
      <c r="M10" s="9"/>
      <c r="N10" s="48">
        <v>1000</v>
      </c>
      <c r="O10" s="21">
        <f t="shared" si="3"/>
        <v>79200</v>
      </c>
      <c r="P10" s="8"/>
      <c r="Q10" s="9"/>
      <c r="R10" s="9"/>
      <c r="S10" s="48"/>
      <c r="T10" s="21">
        <f t="shared" si="4"/>
        <v>12000</v>
      </c>
      <c r="U10" s="53">
        <f>IF($J10="","",ROUND(($J10-$J$3)/1000,1)+(_xlfn.RANK.AVG($J10,($J10,$O10,$T10),1)-2)*20)</f>
        <v>-21.2</v>
      </c>
      <c r="V10" s="54">
        <f>IF($O10="","",ROUND(($O10-$O$3)/1000,1)+(_xlfn.RANK.AVG($O10,($J10,$O10,$T10),1)-2)*20)</f>
        <v>64.2</v>
      </c>
      <c r="W10" s="55">
        <f>IF($T10="","",ROUND(($T10-$T$3)/1000,1)+(_xlfn.RANK.AVG($T10,($J10,$O10,$T10),1)-2)*20)</f>
        <v>-43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40</v>
      </c>
      <c r="AZ10" s="40" t="s">
        <v>98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IF($K$1="","",$K$1)</f>
        <v>ただ</v>
      </c>
      <c r="F11" s="8" t="s">
        <v>202</v>
      </c>
      <c r="G11" s="9">
        <v>-2900</v>
      </c>
      <c r="H11" s="9"/>
      <c r="I11" s="48">
        <v>0</v>
      </c>
      <c r="J11" s="21">
        <f t="shared" si="2"/>
        <v>10900</v>
      </c>
      <c r="K11" s="8" t="s">
        <v>201</v>
      </c>
      <c r="L11" s="9">
        <v>2900</v>
      </c>
      <c r="M11" s="9"/>
      <c r="N11" s="48">
        <v>0</v>
      </c>
      <c r="O11" s="21">
        <f t="shared" si="3"/>
        <v>82100</v>
      </c>
      <c r="P11" s="8"/>
      <c r="Q11" s="9"/>
      <c r="R11" s="9"/>
      <c r="S11" s="48"/>
      <c r="T11" s="21">
        <f t="shared" si="4"/>
        <v>12000</v>
      </c>
      <c r="U11" s="53">
        <f>IF($J11="","",ROUND(($J11-$J$3)/1000,1)+(_xlfn.RANK.AVG($J11,($J11,$O11,$T11),1)-2)*20)</f>
        <v>-44.1</v>
      </c>
      <c r="V11" s="54">
        <f>IF($O11="","",ROUND(($O11-$O$3)/1000,1)+(_xlfn.RANK.AVG($O11,($J11,$O11,$T11),1)-2)*20)</f>
        <v>67.099999999999994</v>
      </c>
      <c r="W11" s="55">
        <f>IF($T11="","",ROUND(($T11-$T$3)/1000,1)+(_xlfn.RANK.AVG($T11,($J11,$O11,$T11),1)-2)*20)</f>
        <v>-23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205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IF($K$1="","",$K$1)</f>
        <v>ただ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446788DF-1EF0-4A11-B8A6-C5C8E4591E4D}">
      <formula1>$U$2:$W$2</formula1>
    </dataValidation>
    <dataValidation type="list" showInputMessage="1" showErrorMessage="1" sqref="K4:K30 P4:P30 F4:F30" xr:uid="{5EE98CBC-081D-46D6-A0B9-8BC31FEC0F01}">
      <formula1>"ロン,ツモ,放銃,ツモ支払,流局,チョンボ"</formula1>
    </dataValidation>
    <dataValidation type="list" allowBlank="1" showInputMessage="1" sqref="F1:T1" xr:uid="{2A52C6BC-908E-440D-9E09-19B5CC123C3F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2018-10-03T09:15:05Z</cp:lastPrinted>
  <dcterms:created xsi:type="dcterms:W3CDTF">2018-10-02T11:54:05Z</dcterms:created>
  <dcterms:modified xsi:type="dcterms:W3CDTF">2023-08-13T18:12:04Z</dcterms:modified>
</cp:coreProperties>
</file>