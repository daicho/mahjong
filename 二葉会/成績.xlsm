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AA72E1F-10F4-481A-B6BF-B1F380A5EB6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56" r:id="rId6"/>
    <sheet name="だいち" sheetId="4158" r:id="rId7"/>
    <sheet name="かこたろう" sheetId="4160" r:id="rId8"/>
    <sheet name="ともき" sheetId="4162" r:id="rId9"/>
    <sheet name="りくと" sheetId="4164" r:id="rId10"/>
    <sheet name="いっしー" sheetId="4166" r:id="rId11"/>
    <sheet name="がくと" sheetId="4168" r:id="rId12"/>
    <sheet name="たかの" sheetId="4170" r:id="rId13"/>
    <sheet name="ただ" sheetId="4172" r:id="rId14"/>
    <sheet name="やがさき" sheetId="4174" r:id="rId15"/>
    <sheet name="れんたろう" sheetId="4176" r:id="rId16"/>
    <sheet name="あさひ" sheetId="4178" r:id="rId17"/>
    <sheet name="まっつん" sheetId="4180" r:id="rId18"/>
    <sheet name="ぱぱ" sheetId="4182" r:id="rId19"/>
    <sheet name="ぱぱ2" sheetId="4183" state="hidden" r:id="rId20"/>
    <sheet name="まっつん2" sheetId="4181" state="hidden" r:id="rId21"/>
    <sheet name="あさひ2" sheetId="4179" state="hidden" r:id="rId22"/>
    <sheet name="れんたろう2" sheetId="4177" state="hidden" r:id="rId23"/>
    <sheet name="やがさき2" sheetId="4175" state="hidden" r:id="rId24"/>
    <sheet name="ただ2" sheetId="4173" state="hidden" r:id="rId25"/>
    <sheet name="たかの2" sheetId="4171" state="hidden" r:id="rId26"/>
    <sheet name="がくと2" sheetId="4169" state="hidden" r:id="rId27"/>
    <sheet name="いっしー2" sheetId="4167" state="hidden" r:id="rId28"/>
    <sheet name="りくと2" sheetId="4165" state="hidden" r:id="rId29"/>
    <sheet name="ともき2" sheetId="4163" state="hidden" r:id="rId30"/>
    <sheet name="かこたろう2" sheetId="4161" state="hidden" r:id="rId31"/>
    <sheet name="だいち2" sheetId="4159" state="hidden" r:id="rId32"/>
    <sheet name="全体2" sheetId="4157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76" l="1"/>
  <c r="O18" i="4182"/>
  <c r="O15" i="4164" l="1"/>
  <c r="O20" i="4182"/>
  <c r="O18" i="4174" l="1"/>
  <c r="O19" i="4182"/>
  <c r="O16" i="4182"/>
  <c r="O17" i="4158"/>
  <c r="O22" i="4166"/>
  <c r="O17" i="4166"/>
  <c r="O15" i="4182"/>
  <c r="O17" i="4182"/>
  <c r="H51" i="4182"/>
  <c r="H50" i="4182"/>
  <c r="H49" i="4182"/>
  <c r="H48" i="4182"/>
  <c r="H47" i="4182"/>
  <c r="H46" i="4182"/>
  <c r="H45" i="4182"/>
  <c r="H44" i="4182"/>
  <c r="H43" i="4182"/>
  <c r="H42" i="4182"/>
  <c r="H41" i="4182"/>
  <c r="H40" i="4182"/>
  <c r="H39" i="4182"/>
  <c r="H38" i="4182"/>
  <c r="H37" i="4182"/>
  <c r="H36" i="4182"/>
  <c r="H35" i="4182"/>
  <c r="H34" i="4182"/>
  <c r="H33" i="4182"/>
  <c r="H32" i="4182"/>
  <c r="H31" i="4182"/>
  <c r="H30" i="4182"/>
  <c r="H9" i="4182"/>
  <c r="H29" i="4182"/>
  <c r="H28" i="4182"/>
  <c r="H13" i="4182"/>
  <c r="H27" i="4182"/>
  <c r="C25" i="4182"/>
  <c r="H26" i="4182"/>
  <c r="H10" i="4182"/>
  <c r="H25" i="4182"/>
  <c r="B22" i="4182"/>
  <c r="H12" i="4182"/>
  <c r="H24" i="4182"/>
  <c r="C20" i="4182"/>
  <c r="H23" i="4182"/>
  <c r="H11" i="4182"/>
  <c r="H22" i="4182"/>
  <c r="B17" i="4182"/>
  <c r="B21" i="4182" s="1"/>
  <c r="H21" i="4182"/>
  <c r="C16" i="4182"/>
  <c r="H20" i="4182"/>
  <c r="C15" i="4182"/>
  <c r="H19" i="4182"/>
  <c r="C14" i="4182"/>
  <c r="H18" i="4182"/>
  <c r="C13" i="4182"/>
  <c r="O12" i="4182"/>
  <c r="H17" i="4182"/>
  <c r="C12" i="4182"/>
  <c r="O11" i="4182"/>
  <c r="H3" i="4182"/>
  <c r="C11" i="4182"/>
  <c r="O10" i="4182"/>
  <c r="H16" i="4182"/>
  <c r="C10" i="4182"/>
  <c r="H8" i="4182"/>
  <c r="C9" i="4182"/>
  <c r="H15" i="4182"/>
  <c r="C8" i="4182"/>
  <c r="O7" i="4182"/>
  <c r="H7" i="4182"/>
  <c r="C7" i="4182"/>
  <c r="O6" i="4182"/>
  <c r="H2" i="4182"/>
  <c r="B6" i="4182"/>
  <c r="O5" i="4182"/>
  <c r="H6" i="4182"/>
  <c r="B5" i="4182"/>
  <c r="O4" i="4182"/>
  <c r="H4" i="4182"/>
  <c r="O3" i="4182"/>
  <c r="H14" i="4182"/>
  <c r="O2" i="4182"/>
  <c r="H5" i="4182"/>
  <c r="O21" i="4180"/>
  <c r="O19" i="4180"/>
  <c r="O17" i="4156"/>
  <c r="C18" i="4182" l="1"/>
  <c r="C17" i="4182"/>
  <c r="C19" i="4182"/>
  <c r="O15" i="4166" l="1"/>
  <c r="O21" i="4174"/>
  <c r="O20" i="4174"/>
  <c r="O17" i="4176"/>
  <c r="O19" i="4164" l="1"/>
  <c r="O17" i="4174"/>
  <c r="O19" i="4172"/>
  <c r="O16" i="4174"/>
  <c r="O21" i="4164" l="1"/>
  <c r="O16" i="4180"/>
  <c r="O22" i="4180" l="1"/>
  <c r="O18" i="4158"/>
  <c r="O21" i="4172" l="1"/>
  <c r="O17" i="4178"/>
  <c r="O15" i="4168"/>
  <c r="O16" i="4168"/>
  <c r="O18" i="4176"/>
  <c r="O25" i="4176"/>
  <c r="O15" i="4180"/>
  <c r="O17" i="4180"/>
  <c r="O21" i="4166"/>
  <c r="O18" i="4170"/>
  <c r="O20" i="4180" l="1"/>
  <c r="O18" i="4180"/>
  <c r="H51" i="4180"/>
  <c r="H50" i="4180"/>
  <c r="H49" i="4180"/>
  <c r="H48" i="4180"/>
  <c r="H47" i="4180"/>
  <c r="H46" i="4180"/>
  <c r="H45" i="4180"/>
  <c r="H44" i="4180"/>
  <c r="H43" i="4180"/>
  <c r="H42" i="4180"/>
  <c r="H41" i="4180"/>
  <c r="H40" i="4180"/>
  <c r="H39" i="4180"/>
  <c r="H38" i="4180"/>
  <c r="H37" i="4180"/>
  <c r="H36" i="4180"/>
  <c r="H35" i="4180"/>
  <c r="H34" i="4180"/>
  <c r="H33" i="4180"/>
  <c r="H21" i="4180"/>
  <c r="H20" i="4180"/>
  <c r="H32" i="4180"/>
  <c r="H8" i="4180"/>
  <c r="H31" i="4180"/>
  <c r="H30" i="4180"/>
  <c r="H12" i="4180"/>
  <c r="H19" i="4180"/>
  <c r="C25" i="4180"/>
  <c r="H29" i="4180"/>
  <c r="H7" i="4180"/>
  <c r="H28" i="4180"/>
  <c r="B22" i="4180"/>
  <c r="H17" i="4180"/>
  <c r="H27" i="4180"/>
  <c r="C20" i="4180"/>
  <c r="H26" i="4180"/>
  <c r="H16" i="4180"/>
  <c r="H13" i="4180"/>
  <c r="B17" i="4180"/>
  <c r="B21" i="4180" s="1"/>
  <c r="H18" i="4180"/>
  <c r="C16" i="4180"/>
  <c r="H25" i="4180"/>
  <c r="C15" i="4180"/>
  <c r="H24" i="4180"/>
  <c r="C14" i="4180"/>
  <c r="H23" i="4180"/>
  <c r="C13" i="4180"/>
  <c r="O12" i="4180"/>
  <c r="H22" i="4180"/>
  <c r="C12" i="4180"/>
  <c r="O11" i="4180"/>
  <c r="H3" i="4180"/>
  <c r="C11" i="4180"/>
  <c r="O10" i="4180"/>
  <c r="H15" i="4180"/>
  <c r="C10" i="4180"/>
  <c r="H10" i="4180"/>
  <c r="C9" i="4180"/>
  <c r="H14" i="4180"/>
  <c r="C8" i="4180"/>
  <c r="O7" i="4180"/>
  <c r="H6" i="4180"/>
  <c r="C7" i="4180"/>
  <c r="O6" i="4180"/>
  <c r="H2" i="4180"/>
  <c r="B6" i="4180"/>
  <c r="O5" i="4180"/>
  <c r="H9" i="4180"/>
  <c r="B5" i="4180"/>
  <c r="O4" i="4180"/>
  <c r="H4" i="4180"/>
  <c r="O3" i="4180"/>
  <c r="H11" i="4180"/>
  <c r="O2" i="4180"/>
  <c r="H5" i="4180"/>
  <c r="O15" i="4170"/>
  <c r="O16" i="4172"/>
  <c r="O18" i="4156"/>
  <c r="O24" i="4166"/>
  <c r="O18" i="4168"/>
  <c r="O18" i="4178"/>
  <c r="O15" i="4178"/>
  <c r="C17" i="4180" l="1"/>
  <c r="C18" i="4180"/>
  <c r="C19" i="4180"/>
  <c r="O21" i="4176" l="1"/>
  <c r="O17" i="4164"/>
  <c r="O16" i="4162"/>
  <c r="O18" i="4162"/>
  <c r="O16" i="4176"/>
  <c r="O24" i="4164"/>
  <c r="O27" i="4156"/>
  <c r="O19" i="4178"/>
  <c r="O16" i="4178"/>
  <c r="H51" i="4178"/>
  <c r="H50" i="4178"/>
  <c r="H49" i="4178"/>
  <c r="H48" i="4178"/>
  <c r="H47" i="4178"/>
  <c r="H46" i="4178"/>
  <c r="H45" i="4178"/>
  <c r="H44" i="4178"/>
  <c r="H43" i="4178"/>
  <c r="H42" i="4178"/>
  <c r="H41" i="4178"/>
  <c r="H40" i="4178"/>
  <c r="H39" i="4178"/>
  <c r="H38" i="4178"/>
  <c r="H37" i="4178"/>
  <c r="H36" i="4178"/>
  <c r="H35" i="4178"/>
  <c r="H34" i="4178"/>
  <c r="H33" i="4178"/>
  <c r="H32" i="4178"/>
  <c r="H14" i="4178"/>
  <c r="H31" i="4178"/>
  <c r="H12" i="4178"/>
  <c r="H30" i="4178"/>
  <c r="H29" i="4178"/>
  <c r="H11" i="4178"/>
  <c r="H28" i="4178"/>
  <c r="C25" i="4178"/>
  <c r="H27" i="4178"/>
  <c r="H26" i="4178"/>
  <c r="H25" i="4178"/>
  <c r="B22" i="4178"/>
  <c r="H24" i="4178"/>
  <c r="H23" i="4178"/>
  <c r="C20" i="4178"/>
  <c r="H22" i="4178"/>
  <c r="H21" i="4178"/>
  <c r="H20" i="4178"/>
  <c r="B17" i="4178"/>
  <c r="B21" i="4178" s="1"/>
  <c r="H19" i="4178"/>
  <c r="C16" i="4178"/>
  <c r="H18" i="4178"/>
  <c r="C15" i="4178"/>
  <c r="H17" i="4178"/>
  <c r="C14" i="4178"/>
  <c r="H16" i="4178"/>
  <c r="C13" i="4178"/>
  <c r="O12" i="4178"/>
  <c r="H15" i="4178"/>
  <c r="C12" i="4178"/>
  <c r="O11" i="4178"/>
  <c r="H5" i="4178"/>
  <c r="C11" i="4178"/>
  <c r="O10" i="4178"/>
  <c r="H13" i="4178"/>
  <c r="C10" i="4178"/>
  <c r="H8" i="4178"/>
  <c r="C9" i="4178"/>
  <c r="H10" i="4178"/>
  <c r="C8" i="4178"/>
  <c r="O7" i="4178"/>
  <c r="H7" i="4178"/>
  <c r="C7" i="4178"/>
  <c r="O6" i="4178"/>
  <c r="H4" i="4178"/>
  <c r="B6" i="4178"/>
  <c r="O5" i="4178"/>
  <c r="H6" i="4178"/>
  <c r="B5" i="4178"/>
  <c r="O4" i="4178"/>
  <c r="H3" i="4178"/>
  <c r="O3" i="4178"/>
  <c r="H9" i="4178"/>
  <c r="O2" i="4178"/>
  <c r="H2" i="4178"/>
  <c r="C17" i="4178" l="1"/>
  <c r="C18" i="4178"/>
  <c r="C19" i="4178"/>
  <c r="O16" i="4170" l="1"/>
  <c r="O22" i="4176"/>
  <c r="O16" i="4164"/>
  <c r="O21" i="4170"/>
  <c r="O22" i="4172" l="1"/>
  <c r="O20" i="4166"/>
  <c r="O17" i="4172" l="1"/>
  <c r="O24" i="4176"/>
  <c r="O25" i="4166" l="1"/>
  <c r="O19" i="4176"/>
  <c r="O18" i="4164" l="1"/>
  <c r="O23" i="4176"/>
  <c r="O20" i="4176"/>
  <c r="H51" i="4176"/>
  <c r="H50" i="4176"/>
  <c r="H49" i="4176"/>
  <c r="H48" i="4176"/>
  <c r="H47" i="4176"/>
  <c r="H46" i="4176"/>
  <c r="H45" i="4176"/>
  <c r="H44" i="4176"/>
  <c r="H43" i="4176"/>
  <c r="H42" i="4176"/>
  <c r="H41" i="4176"/>
  <c r="H40" i="4176"/>
  <c r="H39" i="4176"/>
  <c r="H38" i="4176"/>
  <c r="H37" i="4176"/>
  <c r="H36" i="4176"/>
  <c r="H35" i="4176"/>
  <c r="H34" i="4176"/>
  <c r="H21" i="4176"/>
  <c r="H27" i="4176"/>
  <c r="H18" i="4176"/>
  <c r="H26" i="4176"/>
  <c r="H9" i="4176"/>
  <c r="H33" i="4176"/>
  <c r="H32" i="4176"/>
  <c r="H12" i="4176"/>
  <c r="H25" i="4176"/>
  <c r="C25" i="4176"/>
  <c r="H24" i="4176"/>
  <c r="H14" i="4176"/>
  <c r="H31" i="4176"/>
  <c r="B22" i="4176"/>
  <c r="H16" i="4176"/>
  <c r="H30" i="4176"/>
  <c r="C20" i="4176"/>
  <c r="H29" i="4176"/>
  <c r="H20" i="4176"/>
  <c r="H13" i="4176"/>
  <c r="B17" i="4176"/>
  <c r="B21" i="4176" s="1"/>
  <c r="H23" i="4176"/>
  <c r="C16" i="4176"/>
  <c r="H28" i="4176"/>
  <c r="C15" i="4176"/>
  <c r="H19" i="4176"/>
  <c r="C14" i="4176"/>
  <c r="H22" i="4176"/>
  <c r="C13" i="4176"/>
  <c r="O12" i="4176"/>
  <c r="H17" i="4176"/>
  <c r="C12" i="4176"/>
  <c r="O11" i="4176"/>
  <c r="H5" i="4176"/>
  <c r="C11" i="4176"/>
  <c r="O10" i="4176"/>
  <c r="H15" i="4176"/>
  <c r="C10" i="4176"/>
  <c r="H10" i="4176"/>
  <c r="C9" i="4176"/>
  <c r="H8" i="4176"/>
  <c r="C8" i="4176"/>
  <c r="O7" i="4176"/>
  <c r="H7" i="4176"/>
  <c r="C7" i="4176"/>
  <c r="O6" i="4176"/>
  <c r="H2" i="4176"/>
  <c r="B6" i="4176"/>
  <c r="O5" i="4176"/>
  <c r="H6" i="4176"/>
  <c r="B5" i="4176"/>
  <c r="O4" i="4176"/>
  <c r="H3" i="4176"/>
  <c r="O3" i="4176"/>
  <c r="H11" i="4176"/>
  <c r="O2" i="4176"/>
  <c r="H4" i="4176"/>
  <c r="O20" i="4158"/>
  <c r="O21" i="4156"/>
  <c r="C17" i="4176" l="1"/>
  <c r="C18" i="4176"/>
  <c r="C19" i="4176"/>
  <c r="O23" i="4164" l="1"/>
  <c r="O15" i="4172"/>
  <c r="O15" i="4174" l="1"/>
  <c r="O19" i="4174"/>
  <c r="H51" i="4174"/>
  <c r="H50" i="4174"/>
  <c r="H49" i="4174"/>
  <c r="H48" i="4174"/>
  <c r="H47" i="4174"/>
  <c r="H46" i="4174"/>
  <c r="H45" i="4174"/>
  <c r="H44" i="4174"/>
  <c r="H43" i="4174"/>
  <c r="H42" i="4174"/>
  <c r="H41" i="4174"/>
  <c r="H40" i="4174"/>
  <c r="H39" i="4174"/>
  <c r="H38" i="4174"/>
  <c r="H37" i="4174"/>
  <c r="H36" i="4174"/>
  <c r="H35" i="4174"/>
  <c r="H34" i="4174"/>
  <c r="H33" i="4174"/>
  <c r="H19" i="4174"/>
  <c r="H18" i="4174"/>
  <c r="H32" i="4174"/>
  <c r="H9" i="4174"/>
  <c r="H31" i="4174"/>
  <c r="H30" i="4174"/>
  <c r="H17" i="4174"/>
  <c r="H29" i="4174"/>
  <c r="C25" i="4174"/>
  <c r="H28" i="4174"/>
  <c r="H16" i="4174"/>
  <c r="H27" i="4174"/>
  <c r="B22" i="4174"/>
  <c r="H26" i="4174"/>
  <c r="H25" i="4174"/>
  <c r="C20" i="4174"/>
  <c r="H24" i="4174"/>
  <c r="H15" i="4174"/>
  <c r="H13" i="4174"/>
  <c r="B17" i="4174"/>
  <c r="B21" i="4174" s="1"/>
  <c r="H23" i="4174"/>
  <c r="C16" i="4174"/>
  <c r="H22" i="4174"/>
  <c r="C15" i="4174"/>
  <c r="H21" i="4174"/>
  <c r="C14" i="4174"/>
  <c r="H20" i="4174"/>
  <c r="C13" i="4174"/>
  <c r="O12" i="4174"/>
  <c r="H14" i="4174"/>
  <c r="C12" i="4174"/>
  <c r="O11" i="4174"/>
  <c r="H6" i="4174"/>
  <c r="C11" i="4174"/>
  <c r="O10" i="4174"/>
  <c r="H12" i="4174"/>
  <c r="C10" i="4174"/>
  <c r="H11" i="4174"/>
  <c r="C9" i="4174"/>
  <c r="H10" i="4174"/>
  <c r="C8" i="4174"/>
  <c r="O7" i="4174"/>
  <c r="H7" i="4174"/>
  <c r="C7" i="4174"/>
  <c r="O6" i="4174"/>
  <c r="H2" i="4174"/>
  <c r="B6" i="4174"/>
  <c r="O5" i="4174"/>
  <c r="H4" i="4174"/>
  <c r="B5" i="4174"/>
  <c r="O4" i="4174"/>
  <c r="H5" i="4174"/>
  <c r="O3" i="4174"/>
  <c r="H8" i="4174"/>
  <c r="O2" i="4174"/>
  <c r="H3" i="4174"/>
  <c r="O20" i="4170"/>
  <c r="O21" i="4158"/>
  <c r="O23" i="4156"/>
  <c r="C17" i="4174" l="1"/>
  <c r="C18" i="4174"/>
  <c r="C19" i="4174"/>
  <c r="O16" i="4166" l="1"/>
  <c r="O15" i="4160"/>
  <c r="O18" i="4172" l="1"/>
  <c r="O20" i="4172"/>
  <c r="H51" i="4172"/>
  <c r="H50" i="4172"/>
  <c r="H49" i="4172"/>
  <c r="H48" i="4172"/>
  <c r="H47" i="4172"/>
  <c r="H46" i="4172"/>
  <c r="H45" i="4172"/>
  <c r="H44" i="4172"/>
  <c r="H43" i="4172"/>
  <c r="H42" i="4172"/>
  <c r="H41" i="4172"/>
  <c r="H40" i="4172"/>
  <c r="H39" i="4172"/>
  <c r="H38" i="4172"/>
  <c r="H37" i="4172"/>
  <c r="H36" i="4172"/>
  <c r="H35" i="4172"/>
  <c r="H34" i="4172"/>
  <c r="H21" i="4172"/>
  <c r="H33" i="4172"/>
  <c r="H18" i="4172"/>
  <c r="H32" i="4172"/>
  <c r="H9" i="4172"/>
  <c r="H31" i="4172"/>
  <c r="H30" i="4172"/>
  <c r="H14" i="4172"/>
  <c r="H29" i="4172"/>
  <c r="C25" i="4172"/>
  <c r="H24" i="4172"/>
  <c r="H16" i="4172"/>
  <c r="H28" i="4172"/>
  <c r="B22" i="4172"/>
  <c r="H15" i="4172"/>
  <c r="H27" i="4172"/>
  <c r="C20" i="4172"/>
  <c r="H26" i="4172"/>
  <c r="H20" i="4172"/>
  <c r="H12" i="4172"/>
  <c r="B17" i="4172"/>
  <c r="B21" i="4172" s="1"/>
  <c r="H19" i="4172"/>
  <c r="C16" i="4172"/>
  <c r="H25" i="4172"/>
  <c r="C15" i="4172"/>
  <c r="H23" i="4172"/>
  <c r="C14" i="4172"/>
  <c r="H22" i="4172"/>
  <c r="C13" i="4172"/>
  <c r="O12" i="4172"/>
  <c r="H17" i="4172"/>
  <c r="C12" i="4172"/>
  <c r="O11" i="4172"/>
  <c r="H4" i="4172"/>
  <c r="C11" i="4172"/>
  <c r="O10" i="4172"/>
  <c r="H13" i="4172"/>
  <c r="C10" i="4172"/>
  <c r="H11" i="4172"/>
  <c r="C9" i="4172"/>
  <c r="H8" i="4172"/>
  <c r="C8" i="4172"/>
  <c r="O7" i="4172"/>
  <c r="H7" i="4172"/>
  <c r="C7" i="4172"/>
  <c r="O6" i="4172"/>
  <c r="H2" i="4172"/>
  <c r="B6" i="4172"/>
  <c r="O5" i="4172"/>
  <c r="H6" i="4172"/>
  <c r="B5" i="4172"/>
  <c r="O4" i="4172"/>
  <c r="H3" i="4172"/>
  <c r="O3" i="4172"/>
  <c r="H10" i="4172"/>
  <c r="O2" i="4172"/>
  <c r="H5" i="4172"/>
  <c r="O19" i="4170"/>
  <c r="O17" i="4170"/>
  <c r="H51" i="4170"/>
  <c r="H50" i="4170"/>
  <c r="H49" i="4170"/>
  <c r="H48" i="4170"/>
  <c r="H47" i="4170"/>
  <c r="H46" i="4170"/>
  <c r="H45" i="4170"/>
  <c r="H44" i="4170"/>
  <c r="H43" i="4170"/>
  <c r="H42" i="4170"/>
  <c r="H41" i="4170"/>
  <c r="H40" i="4170"/>
  <c r="H39" i="4170"/>
  <c r="H38" i="4170"/>
  <c r="H37" i="4170"/>
  <c r="H36" i="4170"/>
  <c r="H35" i="4170"/>
  <c r="H34" i="4170"/>
  <c r="H33" i="4170"/>
  <c r="H32" i="4170"/>
  <c r="H31" i="4170"/>
  <c r="H30" i="4170"/>
  <c r="H10" i="4170"/>
  <c r="H29" i="4170"/>
  <c r="H28" i="4170"/>
  <c r="H15" i="4170"/>
  <c r="H27" i="4170"/>
  <c r="C25" i="4170"/>
  <c r="H26" i="4170"/>
  <c r="H16" i="4170"/>
  <c r="H25" i="4170"/>
  <c r="B22" i="4170"/>
  <c r="H18" i="4170"/>
  <c r="H24" i="4170"/>
  <c r="C20" i="4170"/>
  <c r="H23" i="4170"/>
  <c r="H14" i="4170"/>
  <c r="H13" i="4170"/>
  <c r="B17" i="4170"/>
  <c r="B21" i="4170" s="1"/>
  <c r="H22" i="4170"/>
  <c r="C16" i="4170"/>
  <c r="H21" i="4170"/>
  <c r="C15" i="4170"/>
  <c r="H17" i="4170"/>
  <c r="C14" i="4170"/>
  <c r="H20" i="4170"/>
  <c r="C13" i="4170"/>
  <c r="O12" i="4170"/>
  <c r="H19" i="4170"/>
  <c r="C12" i="4170"/>
  <c r="O11" i="4170"/>
  <c r="H4" i="4170"/>
  <c r="C11" i="4170"/>
  <c r="O10" i="4170"/>
  <c r="H12" i="4170"/>
  <c r="C10" i="4170"/>
  <c r="H11" i="4170"/>
  <c r="C9" i="4170"/>
  <c r="H8" i="4170"/>
  <c r="C8" i="4170"/>
  <c r="O7" i="4170"/>
  <c r="H6" i="4170"/>
  <c r="C7" i="4170"/>
  <c r="O6" i="4170"/>
  <c r="H2" i="4170"/>
  <c r="B6" i="4170"/>
  <c r="O5" i="4170"/>
  <c r="H9" i="4170"/>
  <c r="B5" i="4170"/>
  <c r="O4" i="4170"/>
  <c r="H3" i="4170"/>
  <c r="O3" i="4170"/>
  <c r="H7" i="4170"/>
  <c r="O2" i="4170"/>
  <c r="H5" i="4170"/>
  <c r="O24" i="4158"/>
  <c r="O19" i="4158"/>
  <c r="O24" i="4156"/>
  <c r="O19" i="4156"/>
  <c r="C17" i="4172" l="1"/>
  <c r="C18" i="4172"/>
  <c r="C19" i="4172"/>
  <c r="C18" i="4170"/>
  <c r="C19" i="4170"/>
  <c r="C17" i="4170"/>
  <c r="O18" i="4166" l="1"/>
  <c r="O19" i="4168"/>
  <c r="O17" i="4168"/>
  <c r="H51" i="4168"/>
  <c r="H50" i="4168"/>
  <c r="H49" i="4168"/>
  <c r="H48" i="4168"/>
  <c r="H47" i="4168"/>
  <c r="H46" i="4168"/>
  <c r="H45" i="4168"/>
  <c r="H44" i="4168"/>
  <c r="H43" i="4168"/>
  <c r="H42" i="4168"/>
  <c r="H41" i="4168"/>
  <c r="H40" i="4168"/>
  <c r="H39" i="4168"/>
  <c r="H38" i="4168"/>
  <c r="H37" i="4168"/>
  <c r="H36" i="4168"/>
  <c r="H35" i="4168"/>
  <c r="H34" i="4168"/>
  <c r="H33" i="4168"/>
  <c r="H32" i="4168"/>
  <c r="H31" i="4168"/>
  <c r="H30" i="4168"/>
  <c r="H29" i="4168"/>
  <c r="H28" i="4168"/>
  <c r="H27" i="4168"/>
  <c r="H11" i="4168"/>
  <c r="H26" i="4168"/>
  <c r="C25" i="4168"/>
  <c r="H25" i="4168"/>
  <c r="H24" i="4168"/>
  <c r="H23" i="4168"/>
  <c r="B22" i="4168"/>
  <c r="H22" i="4168"/>
  <c r="H21" i="4168"/>
  <c r="C20" i="4168"/>
  <c r="H20" i="4168"/>
  <c r="H8" i="4168"/>
  <c r="H19" i="4168"/>
  <c r="B17" i="4168"/>
  <c r="B21" i="4168" s="1"/>
  <c r="H18" i="4168"/>
  <c r="C16" i="4168"/>
  <c r="H17" i="4168"/>
  <c r="C15" i="4168"/>
  <c r="H16" i="4168"/>
  <c r="C14" i="4168"/>
  <c r="H15" i="4168"/>
  <c r="C13" i="4168"/>
  <c r="O12" i="4168"/>
  <c r="H14" i="4168"/>
  <c r="C12" i="4168"/>
  <c r="O11" i="4168"/>
  <c r="H5" i="4168"/>
  <c r="C11" i="4168"/>
  <c r="O10" i="4168"/>
  <c r="H13" i="4168"/>
  <c r="C10" i="4168"/>
  <c r="H12" i="4168"/>
  <c r="C9" i="4168"/>
  <c r="H10" i="4168"/>
  <c r="C8" i="4168"/>
  <c r="O7" i="4168"/>
  <c r="H6" i="4168"/>
  <c r="C7" i="4168"/>
  <c r="O6" i="4168"/>
  <c r="H3" i="4168"/>
  <c r="B6" i="4168"/>
  <c r="O5" i="4168"/>
  <c r="H7" i="4168"/>
  <c r="B5" i="4168"/>
  <c r="O4" i="4168"/>
  <c r="H9" i="4168"/>
  <c r="O3" i="4168"/>
  <c r="H4" i="4168"/>
  <c r="O2" i="4168"/>
  <c r="H2" i="4168"/>
  <c r="O15" i="4158"/>
  <c r="O16" i="4156"/>
  <c r="C17" i="4168" l="1"/>
  <c r="C18" i="4168"/>
  <c r="C19" i="4168"/>
  <c r="O19" i="4166" l="1"/>
  <c r="O23" i="4166"/>
  <c r="H51" i="4166"/>
  <c r="H50" i="4166"/>
  <c r="H49" i="4166"/>
  <c r="H48" i="4166"/>
  <c r="H47" i="4166"/>
  <c r="H46" i="4166"/>
  <c r="H45" i="4166"/>
  <c r="H44" i="4166"/>
  <c r="H43" i="4166"/>
  <c r="H42" i="4166"/>
  <c r="H41" i="4166"/>
  <c r="H40" i="4166"/>
  <c r="H39" i="4166"/>
  <c r="H38" i="4166"/>
  <c r="H37" i="4166"/>
  <c r="H36" i="4166"/>
  <c r="H35" i="4166"/>
  <c r="H34" i="4166"/>
  <c r="H18" i="4166"/>
  <c r="H33" i="4166"/>
  <c r="H17" i="4166"/>
  <c r="H32" i="4166"/>
  <c r="H10" i="4166"/>
  <c r="H31" i="4166"/>
  <c r="H30" i="4166"/>
  <c r="H14" i="4166"/>
  <c r="H29" i="4166"/>
  <c r="C25" i="4166"/>
  <c r="H28" i="4166"/>
  <c r="H8" i="4166"/>
  <c r="H27" i="4166"/>
  <c r="B22" i="4166"/>
  <c r="H13" i="4166"/>
  <c r="H26" i="4166"/>
  <c r="C20" i="4166"/>
  <c r="H25" i="4166"/>
  <c r="H24" i="4166"/>
  <c r="H16" i="4166"/>
  <c r="B17" i="4166"/>
  <c r="B21" i="4166" s="1"/>
  <c r="H23" i="4166"/>
  <c r="C16" i="4166"/>
  <c r="H22" i="4166"/>
  <c r="C15" i="4166"/>
  <c r="H21" i="4166"/>
  <c r="C14" i="4166"/>
  <c r="H20" i="4166"/>
  <c r="C13" i="4166"/>
  <c r="O12" i="4166"/>
  <c r="H19" i="4166"/>
  <c r="C12" i="4166"/>
  <c r="O11" i="4166"/>
  <c r="H4" i="4166"/>
  <c r="C11" i="4166"/>
  <c r="O10" i="4166"/>
  <c r="H15" i="4166"/>
  <c r="C10" i="4166"/>
  <c r="H12" i="4166"/>
  <c r="C9" i="4166"/>
  <c r="H9" i="4166"/>
  <c r="C8" i="4166"/>
  <c r="O7" i="4166"/>
  <c r="H6" i="4166"/>
  <c r="C7" i="4166"/>
  <c r="O6" i="4166"/>
  <c r="H2" i="4166"/>
  <c r="B6" i="4166"/>
  <c r="O5" i="4166"/>
  <c r="H7" i="4166"/>
  <c r="B5" i="4166"/>
  <c r="O4" i="4166"/>
  <c r="H3" i="4166"/>
  <c r="O3" i="4166"/>
  <c r="H11" i="4166"/>
  <c r="O2" i="4166"/>
  <c r="H5" i="4166"/>
  <c r="O20" i="4164"/>
  <c r="O22" i="4164"/>
  <c r="H51" i="4164"/>
  <c r="H50" i="4164"/>
  <c r="H49" i="4164"/>
  <c r="H48" i="4164"/>
  <c r="H47" i="4164"/>
  <c r="H46" i="4164"/>
  <c r="H45" i="4164"/>
  <c r="H44" i="4164"/>
  <c r="H43" i="4164"/>
  <c r="H42" i="4164"/>
  <c r="H41" i="4164"/>
  <c r="H40" i="4164"/>
  <c r="H39" i="4164"/>
  <c r="H38" i="4164"/>
  <c r="H37" i="4164"/>
  <c r="H36" i="4164"/>
  <c r="H35" i="4164"/>
  <c r="H34" i="4164"/>
  <c r="H33" i="4164"/>
  <c r="H21" i="4164"/>
  <c r="H15" i="4164"/>
  <c r="H32" i="4164"/>
  <c r="H8" i="4164"/>
  <c r="H26" i="4164"/>
  <c r="H25" i="4164"/>
  <c r="H12" i="4164"/>
  <c r="H20" i="4164"/>
  <c r="C25" i="4164"/>
  <c r="H19" i="4164"/>
  <c r="H13" i="4164"/>
  <c r="H31" i="4164"/>
  <c r="B22" i="4164"/>
  <c r="H14" i="4164"/>
  <c r="H24" i="4164"/>
  <c r="C20" i="4164"/>
  <c r="H30" i="4164"/>
  <c r="H18" i="4164"/>
  <c r="H17" i="4164"/>
  <c r="B17" i="4164"/>
  <c r="C18" i="4164" s="1"/>
  <c r="H29" i="4164"/>
  <c r="C16" i="4164"/>
  <c r="H28" i="4164"/>
  <c r="C15" i="4164"/>
  <c r="H27" i="4164"/>
  <c r="C14" i="4164"/>
  <c r="H23" i="4164"/>
  <c r="C13" i="4164"/>
  <c r="O12" i="4164"/>
  <c r="H22" i="4164"/>
  <c r="C12" i="4164"/>
  <c r="O11" i="4164"/>
  <c r="H5" i="4164"/>
  <c r="C11" i="4164"/>
  <c r="O10" i="4164"/>
  <c r="H16" i="4164"/>
  <c r="C10" i="4164"/>
  <c r="H11" i="4164"/>
  <c r="C9" i="4164"/>
  <c r="H9" i="4164"/>
  <c r="C8" i="4164"/>
  <c r="O7" i="4164"/>
  <c r="H6" i="4164"/>
  <c r="C7" i="4164"/>
  <c r="O6" i="4164"/>
  <c r="H2" i="4164"/>
  <c r="B6" i="4164"/>
  <c r="O5" i="4164"/>
  <c r="H7" i="4164"/>
  <c r="B5" i="4164"/>
  <c r="O4" i="4164"/>
  <c r="H3" i="4164"/>
  <c r="O3" i="4164"/>
  <c r="H10" i="4164"/>
  <c r="O2" i="4164"/>
  <c r="H4" i="4164"/>
  <c r="O25" i="4158"/>
  <c r="O22" i="4158"/>
  <c r="O25" i="4156"/>
  <c r="O22" i="4156"/>
  <c r="C17" i="4166" l="1"/>
  <c r="C18" i="4166"/>
  <c r="C19" i="4166"/>
  <c r="C19" i="4164"/>
  <c r="B21" i="4164"/>
  <c r="C17" i="4164"/>
  <c r="O15" i="4162" l="1"/>
  <c r="O17" i="4162"/>
  <c r="H51" i="4162"/>
  <c r="H50" i="4162"/>
  <c r="H49" i="4162"/>
  <c r="H48" i="4162"/>
  <c r="H47" i="4162"/>
  <c r="H46" i="4162"/>
  <c r="H45" i="4162"/>
  <c r="H44" i="4162"/>
  <c r="H43" i="4162"/>
  <c r="H42" i="4162"/>
  <c r="H41" i="4162"/>
  <c r="H40" i="4162"/>
  <c r="H39" i="4162"/>
  <c r="H38" i="4162"/>
  <c r="H37" i="4162"/>
  <c r="H36" i="4162"/>
  <c r="H35" i="4162"/>
  <c r="H34" i="4162"/>
  <c r="H33" i="4162"/>
  <c r="H32" i="4162"/>
  <c r="H31" i="4162"/>
  <c r="H30" i="4162"/>
  <c r="H7" i="4162"/>
  <c r="H29" i="4162"/>
  <c r="H28" i="4162"/>
  <c r="H12" i="4162"/>
  <c r="H27" i="4162"/>
  <c r="C25" i="4162"/>
  <c r="H26" i="4162"/>
  <c r="H11" i="4162"/>
  <c r="H25" i="4162"/>
  <c r="B22" i="4162"/>
  <c r="H24" i="4162"/>
  <c r="H23" i="4162"/>
  <c r="C20" i="4162"/>
  <c r="H22" i="4162"/>
  <c r="H21" i="4162"/>
  <c r="H20" i="4162"/>
  <c r="B17" i="4162"/>
  <c r="C18" i="4162" s="1"/>
  <c r="H19" i="4162"/>
  <c r="C16" i="4162"/>
  <c r="H18" i="4162"/>
  <c r="C15" i="4162"/>
  <c r="H17" i="4162"/>
  <c r="C14" i="4162"/>
  <c r="H16" i="4162"/>
  <c r="C13" i="4162"/>
  <c r="O12" i="4162"/>
  <c r="H15" i="4162"/>
  <c r="C12" i="4162"/>
  <c r="O11" i="4162"/>
  <c r="H3" i="4162"/>
  <c r="C11" i="4162"/>
  <c r="O10" i="4162"/>
  <c r="H10" i="4162"/>
  <c r="C10" i="4162"/>
  <c r="H14" i="4162"/>
  <c r="C9" i="4162"/>
  <c r="H9" i="4162"/>
  <c r="C8" i="4162"/>
  <c r="O7" i="4162"/>
  <c r="H8" i="4162"/>
  <c r="C7" i="4162"/>
  <c r="O6" i="4162"/>
  <c r="H6" i="4162"/>
  <c r="B6" i="4162"/>
  <c r="O5" i="4162"/>
  <c r="H5" i="4162"/>
  <c r="B5" i="4162"/>
  <c r="O4" i="4162"/>
  <c r="H2" i="4162"/>
  <c r="O3" i="4162"/>
  <c r="H13" i="4162"/>
  <c r="O2" i="4162"/>
  <c r="H4" i="4162"/>
  <c r="O17" i="4160"/>
  <c r="O16" i="4160"/>
  <c r="H51" i="4160"/>
  <c r="H50" i="4160"/>
  <c r="H49" i="4160"/>
  <c r="H48" i="4160"/>
  <c r="H47" i="4160"/>
  <c r="H46" i="4160"/>
  <c r="H45" i="4160"/>
  <c r="H44" i="4160"/>
  <c r="H43" i="4160"/>
  <c r="H42" i="4160"/>
  <c r="H41" i="4160"/>
  <c r="H40" i="4160"/>
  <c r="H39" i="4160"/>
  <c r="H38" i="4160"/>
  <c r="H37" i="4160"/>
  <c r="H36" i="4160"/>
  <c r="H35" i="4160"/>
  <c r="H34" i="4160"/>
  <c r="H33" i="4160"/>
  <c r="H32" i="4160"/>
  <c r="H31" i="4160"/>
  <c r="H30" i="4160"/>
  <c r="H29" i="4160"/>
  <c r="H28" i="4160"/>
  <c r="H27" i="4160"/>
  <c r="H26" i="4160"/>
  <c r="H25" i="4160"/>
  <c r="C25" i="4160"/>
  <c r="H24" i="4160"/>
  <c r="H23" i="4160"/>
  <c r="H22" i="4160"/>
  <c r="B22" i="4160"/>
  <c r="H21" i="4160"/>
  <c r="H20" i="4160"/>
  <c r="C20" i="4160"/>
  <c r="H19" i="4160"/>
  <c r="H18" i="4160"/>
  <c r="H17" i="4160"/>
  <c r="C17" i="4160"/>
  <c r="B17" i="4160"/>
  <c r="C18" i="4160" s="1"/>
  <c r="H16" i="4160"/>
  <c r="C16" i="4160"/>
  <c r="H15" i="4160"/>
  <c r="C15" i="4160"/>
  <c r="H14" i="4160"/>
  <c r="C14" i="4160"/>
  <c r="H13" i="4160"/>
  <c r="C13" i="4160"/>
  <c r="O12" i="4160"/>
  <c r="H12" i="4160"/>
  <c r="C12" i="4160"/>
  <c r="O11" i="4160"/>
  <c r="H11" i="4160"/>
  <c r="C11" i="4160"/>
  <c r="O10" i="4160"/>
  <c r="H10" i="4160"/>
  <c r="C10" i="4160"/>
  <c r="H9" i="4160"/>
  <c r="C9" i="4160"/>
  <c r="H8" i="4160"/>
  <c r="C8" i="4160"/>
  <c r="O7" i="4160"/>
  <c r="H7" i="4160"/>
  <c r="C7" i="4160"/>
  <c r="O6" i="4160"/>
  <c r="H6" i="4160"/>
  <c r="B6" i="4160"/>
  <c r="O5" i="4160"/>
  <c r="H5" i="4160"/>
  <c r="B5" i="4160"/>
  <c r="O4" i="4160"/>
  <c r="H4" i="4160"/>
  <c r="O3" i="4160"/>
  <c r="H3" i="4160"/>
  <c r="O2" i="4160"/>
  <c r="H2" i="4160"/>
  <c r="O26" i="4156"/>
  <c r="O23" i="4158"/>
  <c r="O16" i="4158"/>
  <c r="H51" i="4158"/>
  <c r="H50" i="4158"/>
  <c r="H49" i="4158"/>
  <c r="H48" i="4158"/>
  <c r="H47" i="4158"/>
  <c r="H29" i="4158"/>
  <c r="H46" i="4158"/>
  <c r="H45" i="4158"/>
  <c r="H44" i="4158"/>
  <c r="H43" i="4158"/>
  <c r="H42" i="4158"/>
  <c r="H41" i="4158"/>
  <c r="H40" i="4158"/>
  <c r="H39" i="4158"/>
  <c r="H38" i="4158"/>
  <c r="H37" i="4158"/>
  <c r="H28" i="4158"/>
  <c r="H36" i="4158"/>
  <c r="H27" i="4158"/>
  <c r="H22" i="4158"/>
  <c r="H16" i="4158"/>
  <c r="H26" i="4158"/>
  <c r="H8" i="4158"/>
  <c r="H35" i="4158"/>
  <c r="H24" i="4158"/>
  <c r="H13" i="4158"/>
  <c r="H25" i="4158"/>
  <c r="C25" i="4158"/>
  <c r="H34" i="4158"/>
  <c r="H14" i="4158"/>
  <c r="H33" i="4158"/>
  <c r="B22" i="4158"/>
  <c r="H15" i="4158"/>
  <c r="H32" i="4158"/>
  <c r="C20" i="4158"/>
  <c r="H31" i="4158"/>
  <c r="H18" i="4158"/>
  <c r="H17" i="4158"/>
  <c r="B17" i="4158"/>
  <c r="B21" i="4158" s="1"/>
  <c r="H20" i="4158"/>
  <c r="C16" i="4158"/>
  <c r="H30" i="4158"/>
  <c r="C15" i="4158"/>
  <c r="H19" i="4158"/>
  <c r="C14" i="4158"/>
  <c r="H23" i="4158"/>
  <c r="C13" i="4158"/>
  <c r="O12" i="4158"/>
  <c r="H21" i="4158"/>
  <c r="C12" i="4158"/>
  <c r="O11" i="4158"/>
  <c r="H5" i="4158"/>
  <c r="C11" i="4158"/>
  <c r="O10" i="4158"/>
  <c r="H12" i="4158"/>
  <c r="C10" i="4158"/>
  <c r="H11" i="4158"/>
  <c r="C9" i="4158"/>
  <c r="H9" i="4158"/>
  <c r="C8" i="4158"/>
  <c r="O7" i="4158"/>
  <c r="H7" i="4158"/>
  <c r="C7" i="4158"/>
  <c r="O6" i="4158"/>
  <c r="H2" i="4158"/>
  <c r="B6" i="4158"/>
  <c r="O5" i="4158"/>
  <c r="H6" i="4158"/>
  <c r="B5" i="4158"/>
  <c r="O4" i="4158"/>
  <c r="H3" i="4158"/>
  <c r="O3" i="4158"/>
  <c r="H10" i="4158"/>
  <c r="O2" i="4158"/>
  <c r="H4" i="4158"/>
  <c r="O20" i="4156"/>
  <c r="O15" i="4156"/>
  <c r="H51" i="4156"/>
  <c r="H50" i="4156"/>
  <c r="H49" i="4156"/>
  <c r="H48" i="4156"/>
  <c r="H47" i="4156"/>
  <c r="H32" i="4156"/>
  <c r="H46" i="4156"/>
  <c r="H45" i="4156"/>
  <c r="H44" i="4156"/>
  <c r="H43" i="4156"/>
  <c r="H42" i="4156"/>
  <c r="H41" i="4156"/>
  <c r="H40" i="4156"/>
  <c r="H39" i="4156"/>
  <c r="H38" i="4156"/>
  <c r="H37" i="4156"/>
  <c r="H31" i="4156"/>
  <c r="H36" i="4156"/>
  <c r="H23" i="4156"/>
  <c r="H22" i="4156"/>
  <c r="H17" i="4156"/>
  <c r="H28" i="4156"/>
  <c r="H8" i="4156"/>
  <c r="H30" i="4156"/>
  <c r="H27" i="4156"/>
  <c r="H12" i="4156"/>
  <c r="H25" i="4156"/>
  <c r="C25" i="4156"/>
  <c r="H26" i="4156"/>
  <c r="H14" i="4156"/>
  <c r="H35" i="4156"/>
  <c r="B22" i="4156"/>
  <c r="H16" i="4156"/>
  <c r="H29" i="4156"/>
  <c r="C20" i="4156"/>
  <c r="H34" i="4156"/>
  <c r="H18" i="4156"/>
  <c r="H15" i="4156"/>
  <c r="B17" i="4156"/>
  <c r="C18" i="4156" s="1"/>
  <c r="H21" i="4156"/>
  <c r="C16" i="4156"/>
  <c r="H33" i="4156"/>
  <c r="C15" i="4156"/>
  <c r="H20" i="4156"/>
  <c r="C14" i="4156"/>
  <c r="H24" i="4156"/>
  <c r="C13" i="4156"/>
  <c r="O12" i="4156"/>
  <c r="H19" i="4156"/>
  <c r="C12" i="4156"/>
  <c r="O11" i="4156"/>
  <c r="H4" i="4156"/>
  <c r="C11" i="4156"/>
  <c r="O10" i="4156"/>
  <c r="H13" i="4156"/>
  <c r="C10" i="4156"/>
  <c r="H11" i="4156"/>
  <c r="C9" i="4156"/>
  <c r="H9" i="4156"/>
  <c r="C8" i="4156"/>
  <c r="O7" i="4156"/>
  <c r="H6" i="4156"/>
  <c r="C7" i="4156"/>
  <c r="O6" i="4156"/>
  <c r="H2" i="4156"/>
  <c r="B6" i="4156"/>
  <c r="O5" i="4156"/>
  <c r="H7" i="4156"/>
  <c r="B5" i="4156"/>
  <c r="O4" i="4156"/>
  <c r="H3" i="4156"/>
  <c r="O3" i="4156"/>
  <c r="H10" i="4156"/>
  <c r="O2" i="4156"/>
  <c r="H5" i="4156"/>
  <c r="C19" i="4162" l="1"/>
  <c r="B21" i="4162"/>
  <c r="C17" i="4162"/>
  <c r="C19" i="4160"/>
  <c r="B21" i="4160"/>
  <c r="C17" i="4158"/>
  <c r="C18" i="4158"/>
  <c r="C19" i="4158"/>
  <c r="B21" i="4156"/>
  <c r="C19" i="4156"/>
  <c r="C17" i="4156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<sst xmlns="http://schemas.openxmlformats.org/spreadsheetml/2006/main" count="3587" uniqueCount="259">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</sst>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全体!$K$2:$K$812</c:f>
              <c:numCache>
                <c:formatCode>General</c:formatCode>
                <c:ptCount val="8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</c:numCache>
            </c:numRef>
          </c:xVal>
          <c:yVal>
            <c:numRef>
              <c:f>全体!$L$2:$L$812</c:f>
              <c:numCache>
                <c:formatCode>\+0.0;\-0.0;\±0</c:formatCode>
                <c:ptCount val="81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E7-4DC8-B624-B9541ACC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-16.290726817042607</c:v>
                </c:pt>
                <c:pt idx="1">
                  <c:v>-2.6041666666666665</c:v>
                </c:pt>
                <c:pt idx="2">
                  <c:v>5.5788005578800561</c:v>
                </c:pt>
                <c:pt idx="3">
                  <c:v>3.1152647975077881</c:v>
                </c:pt>
                <c:pt idx="4">
                  <c:v>10.695187165775401</c:v>
                </c:pt>
                <c:pt idx="5">
                  <c:v>-4.5045045045045047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1-4D40-A181-5B59B3084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だいち!$K$2:$K$232</c:f>
              <c:numCache>
                <c:formatCode>General</c:formatCode>
                <c:ptCount val="2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</c:numCache>
            </c:numRef>
          </c:xVal>
          <c:yVal>
            <c:numRef>
              <c:f>だいち!$L$2:$L$232</c:f>
              <c:numCache>
                <c:formatCode>\+0.0;\-0.0;\±0</c:formatCode>
                <c:ptCount val="23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F-4ECA-BE8B-430D052A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1386.7256637168141</c:v>
                </c:pt>
                <c:pt idx="1">
                  <c:v>372.93577981651379</c:v>
                </c:pt>
                <c:pt idx="2">
                  <c:v>1864.039408866995</c:v>
                </c:pt>
                <c:pt idx="3">
                  <c:v>1374.7252747252746</c:v>
                </c:pt>
                <c:pt idx="4">
                  <c:v>1489.9371069182389</c:v>
                </c:pt>
                <c:pt idx="5">
                  <c:v>1937.3015873015872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3-4848-97FD-712472D22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A-443B-AFE2-8C8B75DF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2-443C-81F2-09E2DE6B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2-4615-91B1-63A3A8060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55A-A638-2975813F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りくと!$L$2:$L$133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E-4DF1-8188-64BF2C95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-600.77519379844966</c:v>
                </c:pt>
                <c:pt idx="1">
                  <c:v>-1015.2</c:v>
                </c:pt>
                <c:pt idx="2">
                  <c:v>1363.6363636363637</c:v>
                </c:pt>
                <c:pt idx="3">
                  <c:v>-1027.7777777777778</c:v>
                </c:pt>
                <c:pt idx="4">
                  <c:v>-1981.5217391304348</c:v>
                </c:pt>
                <c:pt idx="5">
                  <c:v>-2033.3333333333333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5-465C-AC9C-6E39E2B3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5-473F-B177-6116F11D2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5-4A4E-9CE1-53735C0B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0-494E-BBEC-DF46FD772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3-4DD9-9FE8-898A8EAD3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8-452F-8EDC-5EFB004EA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-1573.1343283582089</c:v>
                </c:pt>
                <c:pt idx="1">
                  <c:v>-3320.6349206349205</c:v>
                </c:pt>
                <c:pt idx="2">
                  <c:v>-1152.7272727272727</c:v>
                </c:pt>
                <c:pt idx="3">
                  <c:v>1198.1132075471698</c:v>
                </c:pt>
                <c:pt idx="4">
                  <c:v>-2623.2558139534885</c:v>
                </c:pt>
                <c:pt idx="5">
                  <c:v>-1193.939393939394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6-43DD-BBE8-F049562BB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ただ!$L$2:$L$113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8-4510-8E4B-169E60347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1764.2201834862385</c:v>
                </c:pt>
                <c:pt idx="1">
                  <c:v>505.82524271844659</c:v>
                </c:pt>
                <c:pt idx="2">
                  <c:v>-113.68421052631579</c:v>
                </c:pt>
                <c:pt idx="3">
                  <c:v>-1394.3820224719102</c:v>
                </c:pt>
                <c:pt idx="4">
                  <c:v>1049.3506493506493</c:v>
                </c:pt>
                <c:pt idx="5">
                  <c:v>-215.38461538461539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F-4481-846B-9B218FAD8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やがさき!$L$2:$L$34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A-4855-980B-AFA79926D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543.75</c:v>
                </c:pt>
                <c:pt idx="1">
                  <c:v>2250</c:v>
                </c:pt>
                <c:pt idx="2">
                  <c:v>-900</c:v>
                </c:pt>
                <c:pt idx="3">
                  <c:v>608</c:v>
                </c:pt>
                <c:pt idx="4">
                  <c:v>-1685.7142857142858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3-46B4-B4F8-1B6B1E7FB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れんたろう!$L$2:$L$119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C-4684-BCC6-93B41110A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-1760.1769911504425</c:v>
                </c:pt>
                <c:pt idx="1">
                  <c:v>696.39639639639643</c:v>
                </c:pt>
                <c:pt idx="2">
                  <c:v>-197.14285714285714</c:v>
                </c:pt>
                <c:pt idx="3">
                  <c:v>-422.10526315789474</c:v>
                </c:pt>
                <c:pt idx="4">
                  <c:v>-2438.6363636363635</c:v>
                </c:pt>
                <c:pt idx="5">
                  <c:v>798.57142857142856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5-4160-912E-91E3D3AC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D-4772-ABC1-4DAEE29A6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9-4F95-BDF8-F4FF246B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5-48EA-AFB1-8DF9E190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0-4A95-8760-132EB6D4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5-483F-904C-3298330A1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-381.81818181818181</c:v>
                </c:pt>
                <c:pt idx="1">
                  <c:v>-3318.181818181818</c:v>
                </c:pt>
                <c:pt idx="2">
                  <c:v>-8363.636363636364</c:v>
                </c:pt>
                <c:pt idx="3">
                  <c:v>662.5</c:v>
                </c:pt>
                <c:pt idx="4">
                  <c:v>-1985.7142857142858</c:v>
                </c:pt>
                <c:pt idx="5">
                  <c:v>-460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7-4DF4-BF08-AB996E76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</c:formatCode>
                <c:ptCount val="12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2"/>
      <c r="C1" s="153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8">
        <v>0</v>
      </c>
      <c r="C2" s="149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4">
        <v>0</v>
      </c>
      <c r="C3" s="155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6">
        <v>0</v>
      </c>
      <c r="C4" s="157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8">
        <f>IF(B$2=0,0,B$4/B$2)</f>
        <v>0</v>
      </c>
      <c r="C5" s="159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6">
        <f>IF(B$2=0,0,(B$7*1+B$8*2+B$9*3)/B$2)</f>
        <v>0</v>
      </c>
      <c r="C6" s="147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44">
        <v>0</v>
      </c>
      <c r="C23" s="145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42">
        <v>0</v>
      </c>
      <c r="C24" s="143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8">
        <v>0</v>
      </c>
      <c r="C26" s="149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0">
        <v>0</v>
      </c>
      <c r="C27" s="151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2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246</v>
      </c>
      <c r="K1" s="161"/>
      <c r="L1" s="160" t="s">
        <v>195</v>
      </c>
      <c r="M1" s="161"/>
      <c r="N1" s="160" t="s">
        <v>196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156</v>
      </c>
      <c r="W1" s="161"/>
      <c r="X1" s="160" t="s">
        <v>241</v>
      </c>
      <c r="Y1" s="161"/>
      <c r="Z1" s="160" t="s">
        <v>129</v>
      </c>
      <c r="AA1" s="161"/>
      <c r="AB1" s="160" t="s">
        <v>124</v>
      </c>
      <c r="AC1" s="161"/>
      <c r="AD1" s="160" t="s">
        <v>132</v>
      </c>
      <c r="AE1" s="161"/>
      <c r="AF1" s="160" t="s">
        <v>197</v>
      </c>
      <c r="AG1" s="161"/>
      <c r="AH1" s="160" t="s">
        <v>160</v>
      </c>
      <c r="AI1" s="161"/>
      <c r="AJ1" s="160" t="s">
        <v>198</v>
      </c>
      <c r="AK1" s="161"/>
      <c r="AL1" s="160" t="s">
        <v>200</v>
      </c>
      <c r="AM1" s="161"/>
      <c r="AN1" s="160" t="s">
        <v>247</v>
      </c>
      <c r="AO1" s="161"/>
    </row>
    <row r="2" spans="1:41" x14ac:dyDescent="0.4">
      <c r="A2" s="74" t="s">
        <v>245</v>
      </c>
      <c r="B2" s="162"/>
      <c r="C2" s="163"/>
      <c r="D2" s="162"/>
      <c r="E2" s="163"/>
      <c r="F2" s="164">
        <v>0.98800415928935803</v>
      </c>
      <c r="G2" s="165"/>
      <c r="H2" s="164">
        <v>0.94771619434369281</v>
      </c>
      <c r="I2" s="165"/>
      <c r="J2" s="164">
        <v>0.97816376736089339</v>
      </c>
      <c r="K2" s="165"/>
      <c r="L2" s="164">
        <v>0.9544460758912775</v>
      </c>
      <c r="M2" s="165"/>
      <c r="N2" s="164">
        <v>0.89227331373877017</v>
      </c>
      <c r="O2" s="165"/>
      <c r="P2" s="164">
        <v>0.49212514176753913</v>
      </c>
      <c r="Q2" s="165"/>
      <c r="R2" s="164">
        <v>0.15340343564634756</v>
      </c>
      <c r="S2" s="165"/>
      <c r="T2" s="164">
        <v>0.94026160988708996</v>
      </c>
      <c r="U2" s="165"/>
      <c r="V2" s="164">
        <v>0.98159490038644592</v>
      </c>
      <c r="W2" s="165"/>
      <c r="X2" s="164">
        <v>0.40430956463465084</v>
      </c>
      <c r="Y2" s="165"/>
      <c r="Z2" s="164">
        <v>0.73629918716661702</v>
      </c>
      <c r="AA2" s="165"/>
      <c r="AB2" s="164">
        <v>-0.45556232945604064</v>
      </c>
      <c r="AC2" s="165"/>
      <c r="AD2" s="164">
        <v>0.86936388058609182</v>
      </c>
      <c r="AE2" s="165"/>
      <c r="AF2" s="164">
        <v>0.53537520290586793</v>
      </c>
      <c r="AG2" s="165"/>
      <c r="AH2" s="164">
        <v>0.18782473131166963</v>
      </c>
      <c r="AI2" s="165"/>
      <c r="AJ2" s="164">
        <v>0.74081815502517578</v>
      </c>
      <c r="AK2" s="165"/>
      <c r="AL2" s="164">
        <v>0.83451784085369796</v>
      </c>
      <c r="AM2" s="165"/>
      <c r="AN2" s="164">
        <v>0.11401956535182682</v>
      </c>
      <c r="AO2" s="165"/>
    </row>
    <row r="3" spans="1:41" x14ac:dyDescent="0.4">
      <c r="A3" s="76">
        <v>1</v>
      </c>
      <c r="B3" s="77" t="s">
        <v>133</v>
      </c>
      <c r="C3" s="78">
        <v>1540.2999999999997</v>
      </c>
      <c r="D3" s="79" t="s">
        <v>194</v>
      </c>
      <c r="E3" s="102">
        <v>7.833333333333333</v>
      </c>
      <c r="F3" s="79" t="s">
        <v>133</v>
      </c>
      <c r="G3" s="80">
        <v>1.7695652173913043</v>
      </c>
      <c r="H3" s="79" t="s">
        <v>194</v>
      </c>
      <c r="I3" s="81">
        <v>0.5</v>
      </c>
      <c r="J3" s="79" t="s">
        <v>133</v>
      </c>
      <c r="K3" s="81">
        <v>0.20869565217391303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6.6969565217391294</v>
      </c>
      <c r="F4" s="89" t="s">
        <v>194</v>
      </c>
      <c r="G4" s="90">
        <v>1.8333333333333333</v>
      </c>
      <c r="H4" s="89" t="s">
        <v>133</v>
      </c>
      <c r="I4" s="91">
        <v>0.43913043478260871</v>
      </c>
      <c r="J4" s="89" t="s">
        <v>167</v>
      </c>
      <c r="K4" s="91">
        <v>0.25</v>
      </c>
      <c r="L4" s="89" t="s">
        <v>133</v>
      </c>
      <c r="M4" s="92">
        <v>0.355080831408776</v>
      </c>
      <c r="N4" s="89" t="s">
        <v>133</v>
      </c>
      <c r="O4" s="92">
        <v>0.14318706697459585</v>
      </c>
      <c r="P4" s="89" t="s">
        <v>134</v>
      </c>
      <c r="Q4" s="93">
        <v>11045.112781954887</v>
      </c>
      <c r="R4" s="89" t="s">
        <v>157</v>
      </c>
      <c r="S4" s="93">
        <v>-8586.95652173913</v>
      </c>
      <c r="T4" s="89" t="s">
        <v>133</v>
      </c>
      <c r="U4" s="91">
        <v>0.10434782608695652</v>
      </c>
      <c r="V4" s="89" t="s">
        <v>133</v>
      </c>
      <c r="W4" s="91">
        <v>0.19565217391304349</v>
      </c>
      <c r="X4" s="89" t="s">
        <v>133</v>
      </c>
      <c r="Y4" s="91">
        <v>0.10434782608695652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0.63775510204081631</v>
      </c>
      <c r="AF4" s="89" t="s">
        <v>194</v>
      </c>
      <c r="AG4" s="92">
        <v>0.5</v>
      </c>
      <c r="AH4" s="89" t="s">
        <v>138</v>
      </c>
      <c r="AI4" s="92">
        <v>0.45833333333333331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216.99999999999983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0.36936936936936937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135</v>
      </c>
      <c r="O5" s="92">
        <v>0.15646258503401361</v>
      </c>
      <c r="P5" s="89" t="s">
        <v>138</v>
      </c>
      <c r="Q5" s="93">
        <v>11041.666666666666</v>
      </c>
      <c r="R5" s="89" t="s">
        <v>138</v>
      </c>
      <c r="S5" s="93">
        <v>-8928.8888888888887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139</v>
      </c>
      <c r="Y5" s="91">
        <v>0.10256410256410256</v>
      </c>
      <c r="Z5" s="89" t="s">
        <v>138</v>
      </c>
      <c r="AA5" s="92">
        <v>0.31111111111111112</v>
      </c>
      <c r="AB5" s="89" t="s">
        <v>250</v>
      </c>
      <c r="AC5" s="92">
        <v>0.28048780487804881</v>
      </c>
      <c r="AD5" s="89" t="s">
        <v>194</v>
      </c>
      <c r="AE5" s="92">
        <v>0.61904761904761907</v>
      </c>
      <c r="AF5" s="89" t="s">
        <v>133</v>
      </c>
      <c r="AG5" s="92">
        <v>0.49049429657794674</v>
      </c>
      <c r="AH5" s="89" t="s">
        <v>136</v>
      </c>
      <c r="AI5" s="92">
        <v>0.45185185185185184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1.9549549549549534</v>
      </c>
      <c r="F6" s="89" t="s">
        <v>137</v>
      </c>
      <c r="G6" s="90">
        <v>1.9369369369369369</v>
      </c>
      <c r="H6" s="89" t="s">
        <v>135</v>
      </c>
      <c r="I6" s="91">
        <v>0.34426229508196721</v>
      </c>
      <c r="J6" s="89" t="s">
        <v>137</v>
      </c>
      <c r="K6" s="91">
        <v>0.30630630630630629</v>
      </c>
      <c r="L6" s="89" t="s">
        <v>161</v>
      </c>
      <c r="M6" s="92">
        <v>0.30136319376825704</v>
      </c>
      <c r="N6" s="89" t="s">
        <v>137</v>
      </c>
      <c r="O6" s="92">
        <v>0.16348448687350836</v>
      </c>
      <c r="P6" s="89" t="s">
        <v>139</v>
      </c>
      <c r="Q6" s="93">
        <v>10541.221374045801</v>
      </c>
      <c r="R6" s="89" t="s">
        <v>135</v>
      </c>
      <c r="S6" s="93">
        <v>-8992.753623188406</v>
      </c>
      <c r="T6" s="89" t="s">
        <v>137</v>
      </c>
      <c r="U6" s="91">
        <v>0.11711711711711711</v>
      </c>
      <c r="V6" s="89" t="s">
        <v>137</v>
      </c>
      <c r="W6" s="91">
        <v>0.17117117117117117</v>
      </c>
      <c r="X6" s="89" t="s">
        <v>137</v>
      </c>
      <c r="Y6" s="91">
        <v>9.90990990990991E-2</v>
      </c>
      <c r="Z6" s="89" t="s">
        <v>133</v>
      </c>
      <c r="AA6" s="92">
        <v>0.30721003134796238</v>
      </c>
      <c r="AB6" s="89" t="s">
        <v>136</v>
      </c>
      <c r="AC6" s="92">
        <v>0.26726726726726729</v>
      </c>
      <c r="AD6" s="89" t="s">
        <v>139</v>
      </c>
      <c r="AE6" s="92">
        <v>0.59160305343511455</v>
      </c>
      <c r="AF6" s="89" t="s">
        <v>135</v>
      </c>
      <c r="AG6" s="92">
        <v>0.40625</v>
      </c>
      <c r="AH6" s="89" t="s">
        <v>137</v>
      </c>
      <c r="AI6" s="92">
        <v>0.44841269841269843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138</v>
      </c>
      <c r="C7" s="88">
        <v>8.2000000000000242</v>
      </c>
      <c r="D7" s="89" t="s">
        <v>138</v>
      </c>
      <c r="E7" s="103">
        <v>0.25625000000000075</v>
      </c>
      <c r="F7" s="89" t="s">
        <v>161</v>
      </c>
      <c r="G7" s="90">
        <v>2</v>
      </c>
      <c r="H7" s="89" t="s">
        <v>138</v>
      </c>
      <c r="I7" s="91">
        <v>0.34375</v>
      </c>
      <c r="J7" s="89" t="s">
        <v>161</v>
      </c>
      <c r="K7" s="91">
        <v>0.33333333333333331</v>
      </c>
      <c r="L7" s="89" t="s">
        <v>137</v>
      </c>
      <c r="M7" s="92">
        <v>0.30071599045346065</v>
      </c>
      <c r="N7" s="89" t="s">
        <v>167</v>
      </c>
      <c r="O7" s="92">
        <v>0.16666666666666666</v>
      </c>
      <c r="P7" s="89" t="s">
        <v>137</v>
      </c>
      <c r="Q7" s="93">
        <v>10511.507936507936</v>
      </c>
      <c r="R7" s="89" t="s">
        <v>137</v>
      </c>
      <c r="S7" s="93">
        <v>-9275.9124087591244</v>
      </c>
      <c r="T7" s="89" t="s">
        <v>161</v>
      </c>
      <c r="U7" s="91">
        <v>0.15925925925925927</v>
      </c>
      <c r="V7" s="89" t="s">
        <v>194</v>
      </c>
      <c r="W7" s="91">
        <v>0.16666666666666666</v>
      </c>
      <c r="X7" s="89" t="s">
        <v>138</v>
      </c>
      <c r="Y7" s="91">
        <v>9.375E-2</v>
      </c>
      <c r="Z7" s="89" t="s">
        <v>137</v>
      </c>
      <c r="AA7" s="92">
        <v>0.3061797752808989</v>
      </c>
      <c r="AB7" s="89" t="s">
        <v>161</v>
      </c>
      <c r="AC7" s="92">
        <v>0.21997471554993678</v>
      </c>
      <c r="AD7" s="89" t="s">
        <v>135</v>
      </c>
      <c r="AE7" s="92">
        <v>0.58333333333333337</v>
      </c>
      <c r="AF7" s="89" t="s">
        <v>161</v>
      </c>
      <c r="AG7" s="92">
        <v>0.39655172413793105</v>
      </c>
      <c r="AH7" s="89" t="s">
        <v>135</v>
      </c>
      <c r="AI7" s="92">
        <v>0.44444444444444442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-4.9999999999999396</v>
      </c>
      <c r="D8" s="89" t="s">
        <v>161</v>
      </c>
      <c r="E8" s="103">
        <v>-6.1728395061727646E-3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0.29046563192904656</v>
      </c>
      <c r="N8" s="89" t="s">
        <v>138</v>
      </c>
      <c r="O8" s="92">
        <v>0.1717557251908397</v>
      </c>
      <c r="P8" s="89" t="s">
        <v>161</v>
      </c>
      <c r="Q8" s="93">
        <v>10186.645126548196</v>
      </c>
      <c r="R8" s="89" t="s">
        <v>133</v>
      </c>
      <c r="S8" s="93">
        <v>-9315.7258064516136</v>
      </c>
      <c r="T8" s="89" t="s">
        <v>194</v>
      </c>
      <c r="U8" s="91">
        <v>0.16666666666666666</v>
      </c>
      <c r="V8" s="89" t="s">
        <v>161</v>
      </c>
      <c r="W8" s="91">
        <v>0.15925925925925927</v>
      </c>
      <c r="X8" s="89" t="s">
        <v>250</v>
      </c>
      <c r="Y8" s="91">
        <v>9.0909090909090912E-2</v>
      </c>
      <c r="Z8" s="89" t="s">
        <v>139</v>
      </c>
      <c r="AA8" s="92">
        <v>0.30289017341040464</v>
      </c>
      <c r="AB8" s="89" t="s">
        <v>137</v>
      </c>
      <c r="AC8" s="92">
        <v>0.21629213483146068</v>
      </c>
      <c r="AD8" s="89" t="s">
        <v>161</v>
      </c>
      <c r="AE8" s="92">
        <v>0.58029197080291972</v>
      </c>
      <c r="AF8" s="89" t="s">
        <v>134</v>
      </c>
      <c r="AG8" s="92">
        <v>0.38805970149253732</v>
      </c>
      <c r="AH8" s="89" t="s">
        <v>139</v>
      </c>
      <c r="AI8" s="92">
        <v>0.43893129770992367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-3.3671755725190837</v>
      </c>
      <c r="F9" s="89" t="s">
        <v>138</v>
      </c>
      <c r="G9" s="90">
        <v>2.03125</v>
      </c>
      <c r="H9" s="89" t="s">
        <v>134</v>
      </c>
      <c r="I9" s="91">
        <v>0.29770992366412213</v>
      </c>
      <c r="J9" s="89" t="s">
        <v>138</v>
      </c>
      <c r="K9" s="91">
        <v>0.375</v>
      </c>
      <c r="L9" s="89" t="s">
        <v>138</v>
      </c>
      <c r="M9" s="92">
        <v>0.27480916030534353</v>
      </c>
      <c r="N9" s="89" t="s">
        <v>161</v>
      </c>
      <c r="O9" s="92">
        <v>0.17250892567348264</v>
      </c>
      <c r="P9" s="89" t="s">
        <v>133</v>
      </c>
      <c r="Q9" s="93">
        <v>9889.1056910569114</v>
      </c>
      <c r="R9" s="89" t="s">
        <v>161</v>
      </c>
      <c r="S9" s="93">
        <v>-9425.2116650987773</v>
      </c>
      <c r="T9" s="89" t="s">
        <v>138</v>
      </c>
      <c r="U9" s="91">
        <v>0.1875</v>
      </c>
      <c r="V9" s="89" t="s">
        <v>138</v>
      </c>
      <c r="W9" s="91">
        <v>0.15625</v>
      </c>
      <c r="X9" s="89" t="s">
        <v>161</v>
      </c>
      <c r="Y9" s="91">
        <v>8.5185185185185183E-2</v>
      </c>
      <c r="Z9" s="89" t="s">
        <v>134</v>
      </c>
      <c r="AA9" s="92">
        <v>0.29590488771466317</v>
      </c>
      <c r="AB9" s="89" t="s">
        <v>133</v>
      </c>
      <c r="AC9" s="92">
        <v>0.2061128526645768</v>
      </c>
      <c r="AD9" s="89" t="s">
        <v>134</v>
      </c>
      <c r="AE9" s="92">
        <v>0.5758928571428571</v>
      </c>
      <c r="AF9" s="89" t="s">
        <v>139</v>
      </c>
      <c r="AG9" s="92">
        <v>0.38596491228070173</v>
      </c>
      <c r="AH9" s="89" t="s">
        <v>250</v>
      </c>
      <c r="AI9" s="92">
        <v>0.4375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2.0916030534351147</v>
      </c>
      <c r="H10" s="89" t="s">
        <v>167</v>
      </c>
      <c r="I10" s="91">
        <v>0.25</v>
      </c>
      <c r="J10" s="89" t="s">
        <v>134</v>
      </c>
      <c r="K10" s="91">
        <v>0.38931297709923662</v>
      </c>
      <c r="L10" s="89" t="s">
        <v>171</v>
      </c>
      <c r="M10" s="92">
        <v>0.27027027027027029</v>
      </c>
      <c r="N10" s="89" t="s">
        <v>136</v>
      </c>
      <c r="O10" s="92">
        <v>0.18323586744639375</v>
      </c>
      <c r="P10" s="89" t="s">
        <v>135</v>
      </c>
      <c r="Q10" s="93">
        <v>9726.1437908496737</v>
      </c>
      <c r="R10" s="89" t="s">
        <v>250</v>
      </c>
      <c r="S10" s="93">
        <v>-9550</v>
      </c>
      <c r="T10" s="89" t="s">
        <v>134</v>
      </c>
      <c r="U10" s="91">
        <v>0.19083969465648856</v>
      </c>
      <c r="V10" s="89" t="s">
        <v>139</v>
      </c>
      <c r="W10" s="91">
        <v>0.14529914529914531</v>
      </c>
      <c r="X10" s="89" t="s">
        <v>134</v>
      </c>
      <c r="Y10" s="91">
        <v>7.6335877862595422E-2</v>
      </c>
      <c r="Z10" s="89" t="s">
        <v>161</v>
      </c>
      <c r="AA10" s="92">
        <v>0.28866413822166037</v>
      </c>
      <c r="AB10" s="89" t="s">
        <v>138</v>
      </c>
      <c r="AC10" s="92">
        <v>0.20555555555555555</v>
      </c>
      <c r="AD10" s="89" t="s">
        <v>137</v>
      </c>
      <c r="AE10" s="92">
        <v>0.55504587155963303</v>
      </c>
      <c r="AF10" s="89" t="s">
        <v>137</v>
      </c>
      <c r="AG10" s="92">
        <v>0.38311688311688313</v>
      </c>
      <c r="AH10" s="89" t="s">
        <v>134</v>
      </c>
      <c r="AI10" s="92">
        <v>0.43609022556390975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-3.8752136752136743</v>
      </c>
      <c r="F11" s="89" t="s">
        <v>139</v>
      </c>
      <c r="G11" s="90">
        <v>2.1709401709401708</v>
      </c>
      <c r="H11" s="89" t="s">
        <v>139</v>
      </c>
      <c r="I11" s="91">
        <v>0.24786324786324787</v>
      </c>
      <c r="J11" s="89" t="s">
        <v>171</v>
      </c>
      <c r="K11" s="91">
        <v>0.4</v>
      </c>
      <c r="L11" s="89" t="s">
        <v>136</v>
      </c>
      <c r="M11" s="92">
        <v>0.26315789473684209</v>
      </c>
      <c r="N11" s="89" t="s">
        <v>134</v>
      </c>
      <c r="O11" s="92">
        <v>0.19056974459724951</v>
      </c>
      <c r="P11" s="89" t="s">
        <v>157</v>
      </c>
      <c r="Q11" s="93">
        <v>9544</v>
      </c>
      <c r="R11" s="89" t="s">
        <v>139</v>
      </c>
      <c r="S11" s="93">
        <v>-9569.565217391304</v>
      </c>
      <c r="T11" s="89" t="s">
        <v>136</v>
      </c>
      <c r="U11" s="91">
        <v>0.19402985074626866</v>
      </c>
      <c r="V11" s="89" t="s">
        <v>136</v>
      </c>
      <c r="W11" s="91">
        <v>0.13432835820895522</v>
      </c>
      <c r="X11" s="89" t="s">
        <v>136</v>
      </c>
      <c r="Y11" s="91">
        <v>5.9701492537313432E-2</v>
      </c>
      <c r="Z11" s="89" t="s">
        <v>136</v>
      </c>
      <c r="AA11" s="92">
        <v>0.26126126126126126</v>
      </c>
      <c r="AB11" s="89" t="s">
        <v>139</v>
      </c>
      <c r="AC11" s="92">
        <v>0.19768786127167631</v>
      </c>
      <c r="AD11" s="89" t="s">
        <v>138</v>
      </c>
      <c r="AE11" s="92">
        <v>0.5178571428571429</v>
      </c>
      <c r="AF11" s="89" t="s">
        <v>136</v>
      </c>
      <c r="AG11" s="92">
        <v>0.3707865168539326</v>
      </c>
      <c r="AH11" s="89" t="s">
        <v>161</v>
      </c>
      <c r="AI11" s="92">
        <v>0.41572428648357568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-143.6</v>
      </c>
      <c r="D12" s="89" t="s">
        <v>136</v>
      </c>
      <c r="E12" s="103">
        <v>-6.9656716417910447</v>
      </c>
      <c r="F12" s="89" t="s">
        <v>171</v>
      </c>
      <c r="G12" s="90">
        <v>2.2000000000000002</v>
      </c>
      <c r="H12" s="89" t="s">
        <v>157</v>
      </c>
      <c r="I12" s="91">
        <v>0.22580645161290322</v>
      </c>
      <c r="J12" s="89" t="s">
        <v>136</v>
      </c>
      <c r="K12" s="91">
        <v>0.41791044776119401</v>
      </c>
      <c r="L12" s="89" t="s">
        <v>134</v>
      </c>
      <c r="M12" s="92">
        <v>0.26129666011787817</v>
      </c>
      <c r="N12" s="89" t="s">
        <v>157</v>
      </c>
      <c r="O12" s="92">
        <v>0.19327731092436976</v>
      </c>
      <c r="P12" s="89" t="s">
        <v>136</v>
      </c>
      <c r="Q12" s="93">
        <v>9329.6296296296296</v>
      </c>
      <c r="R12" s="89" t="s">
        <v>134</v>
      </c>
      <c r="S12" s="93">
        <v>-9575.7731958762888</v>
      </c>
      <c r="T12" s="89" t="s">
        <v>139</v>
      </c>
      <c r="U12" s="91">
        <v>0.19658119658119658</v>
      </c>
      <c r="V12" s="89" t="s">
        <v>134</v>
      </c>
      <c r="W12" s="91">
        <v>0.12977099236641221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0.17701453104359313</v>
      </c>
      <c r="AD12" s="89" t="s">
        <v>136</v>
      </c>
      <c r="AE12" s="92">
        <v>0.48275862068965519</v>
      </c>
      <c r="AF12" s="89" t="s">
        <v>250</v>
      </c>
      <c r="AG12" s="92">
        <v>0.30434782608695654</v>
      </c>
      <c r="AH12" s="89" t="s">
        <v>133</v>
      </c>
      <c r="AI12" s="92">
        <v>0.37560975609756098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136</v>
      </c>
      <c r="G13" s="90">
        <v>2.2089552238805972</v>
      </c>
      <c r="H13" s="89" t="s">
        <v>136</v>
      </c>
      <c r="I13" s="91">
        <v>0.20895522388059701</v>
      </c>
      <c r="J13" s="89" t="s">
        <v>139</v>
      </c>
      <c r="K13" s="91">
        <v>0.41880341880341881</v>
      </c>
      <c r="L13" s="89" t="s">
        <v>167</v>
      </c>
      <c r="M13" s="92">
        <v>0.25</v>
      </c>
      <c r="N13" s="89" t="s">
        <v>139</v>
      </c>
      <c r="O13" s="92">
        <v>0.2039911308203991</v>
      </c>
      <c r="P13" s="89" t="s">
        <v>194</v>
      </c>
      <c r="Q13" s="93">
        <v>9163.1578947368416</v>
      </c>
      <c r="R13" s="89" t="s">
        <v>136</v>
      </c>
      <c r="S13" s="93">
        <v>-10007.446808510638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-441.09999999999997</v>
      </c>
      <c r="D14" s="89" t="s">
        <v>250</v>
      </c>
      <c r="E14" s="103">
        <v>-13.054545454545455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250</v>
      </c>
      <c r="K14" s="91">
        <v>0.54545454545454541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8712.5</v>
      </c>
      <c r="R14" s="89" t="s">
        <v>194</v>
      </c>
      <c r="S14" s="93">
        <v>-10025</v>
      </c>
      <c r="T14" s="89" t="s">
        <v>250</v>
      </c>
      <c r="U14" s="91">
        <v>0.36363636363636365</v>
      </c>
      <c r="V14" s="89" t="s">
        <v>250</v>
      </c>
      <c r="W14" s="91">
        <v>9.0909090909090912E-2</v>
      </c>
      <c r="X14" s="89" t="s">
        <v>166</v>
      </c>
      <c r="Y14" s="91">
        <v>0</v>
      </c>
      <c r="Z14" s="89" t="s">
        <v>250</v>
      </c>
      <c r="AA14" s="92">
        <v>0.14634146341463414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0.21621621621621623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139</v>
      </c>
      <c r="C15" s="88">
        <v>-453.39999999999992</v>
      </c>
      <c r="D15" s="89" t="s">
        <v>171</v>
      </c>
      <c r="E15" s="103">
        <v>-17.28</v>
      </c>
      <c r="F15" s="89" t="s">
        <v>250</v>
      </c>
      <c r="G15" s="90">
        <v>2.3636363636363638</v>
      </c>
      <c r="H15" s="89" t="s">
        <v>250</v>
      </c>
      <c r="I15" s="91">
        <v>0.18181818181818182</v>
      </c>
      <c r="J15" s="89" t="s">
        <v>157</v>
      </c>
      <c r="K15" s="91">
        <v>0.54838709677419351</v>
      </c>
      <c r="L15" s="89" t="s">
        <v>250</v>
      </c>
      <c r="M15" s="92">
        <v>0.1951219512195122</v>
      </c>
      <c r="N15" s="89" t="s">
        <v>250</v>
      </c>
      <c r="O15" s="92">
        <v>0.24390243902439024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-466.7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B0F33-1B95-447A-9344-DF061135EEC4}">
  <sheetPr codeName="Sheet4"/>
  <dimension ref="A1:Q81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161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810</v>
      </c>
      <c r="C2" s="149"/>
      <c r="E2" s="64" t="s">
        <v>71</v>
      </c>
      <c r="F2" s="61" t="s">
        <v>25</v>
      </c>
      <c r="G2" s="48">
        <v>1243</v>
      </c>
      <c r="H2" s="137">
        <f>IF(B$27=0,0,G2/B$27)</f>
        <v>0.87350667603654253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-16.290726817042607</v>
      </c>
      <c r="P2" s="124">
        <v>798</v>
      </c>
      <c r="Q2" s="108">
        <v>-13000</v>
      </c>
    </row>
    <row r="3" spans="1:17" x14ac:dyDescent="0.4">
      <c r="A3" s="57" t="s">
        <v>8</v>
      </c>
      <c r="B3" s="154">
        <v>6162</v>
      </c>
      <c r="C3" s="155"/>
      <c r="E3" s="65" t="s">
        <v>69</v>
      </c>
      <c r="F3" s="62" t="s">
        <v>23</v>
      </c>
      <c r="G3" s="49">
        <v>1037</v>
      </c>
      <c r="H3" s="138">
        <f>IF(B$27=0,0,G3/B$27)</f>
        <v>0.72874209416725233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0"/>
        <v>-2.6041666666666665</v>
      </c>
      <c r="P3" s="125">
        <v>768</v>
      </c>
      <c r="Q3" s="109">
        <v>-2000</v>
      </c>
    </row>
    <row r="4" spans="1:17" x14ac:dyDescent="0.4">
      <c r="A4" s="57" t="s">
        <v>6</v>
      </c>
      <c r="B4" s="156">
        <v>-4.9999999999999396</v>
      </c>
      <c r="C4" s="157"/>
      <c r="E4" s="65" t="s">
        <v>76</v>
      </c>
      <c r="F4" s="62" t="s">
        <v>29</v>
      </c>
      <c r="G4" s="49">
        <v>796</v>
      </c>
      <c r="H4" s="138">
        <f>IF(B$27=0,0,G4/B$27)</f>
        <v>0.55938158819395645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0"/>
        <v>5.5788005578800561</v>
      </c>
      <c r="P4" s="125">
        <v>717</v>
      </c>
      <c r="Q4" s="109">
        <v>4000</v>
      </c>
    </row>
    <row r="5" spans="1:17" x14ac:dyDescent="0.4">
      <c r="A5" s="57" t="s">
        <v>7</v>
      </c>
      <c r="B5" s="158">
        <f>IF(B$2=0,0,B$4/B$2)</f>
        <v>-6.1728395061727646E-3</v>
      </c>
      <c r="C5" s="159"/>
      <c r="E5" s="65" t="s">
        <v>67</v>
      </c>
      <c r="F5" s="62" t="s">
        <v>21</v>
      </c>
      <c r="G5" s="49">
        <v>785</v>
      </c>
      <c r="H5" s="138">
        <f>IF(B$27=0,0,G5/B$27)</f>
        <v>0.55165144061841176</v>
      </c>
      <c r="I5" s="100">
        <v>7</v>
      </c>
      <c r="K5" s="40">
        <v>3</v>
      </c>
      <c r="L5" s="105">
        <v>0</v>
      </c>
      <c r="N5" s="121" t="s">
        <v>150</v>
      </c>
      <c r="O5" s="128">
        <f t="shared" si="0"/>
        <v>3.1152647975077881</v>
      </c>
      <c r="P5" s="125">
        <v>642</v>
      </c>
      <c r="Q5" s="109">
        <v>2000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72</v>
      </c>
      <c r="F6" s="62" t="s">
        <v>12</v>
      </c>
      <c r="G6" s="49">
        <v>434</v>
      </c>
      <c r="H6" s="138">
        <f>IF(B$27=0,0,G6/B$27)</f>
        <v>0.30498945888966972</v>
      </c>
      <c r="I6" s="100">
        <v>6</v>
      </c>
      <c r="K6" s="40">
        <v>4</v>
      </c>
      <c r="L6" s="105">
        <v>-1</v>
      </c>
      <c r="N6" s="121" t="s">
        <v>151</v>
      </c>
      <c r="O6" s="128">
        <f t="shared" si="0"/>
        <v>10.695187165775401</v>
      </c>
      <c r="P6" s="125">
        <v>561</v>
      </c>
      <c r="Q6" s="109">
        <v>6000</v>
      </c>
    </row>
    <row r="7" spans="1:17" x14ac:dyDescent="0.4">
      <c r="A7" s="57" t="s">
        <v>2</v>
      </c>
      <c r="B7" s="49">
        <v>270</v>
      </c>
      <c r="C7" s="41">
        <f>IF(B$2=0,0,B7/B$2)</f>
        <v>0.33333333333333331</v>
      </c>
      <c r="E7" s="65" t="s">
        <v>70</v>
      </c>
      <c r="F7" s="62" t="s">
        <v>24</v>
      </c>
      <c r="G7" s="49">
        <v>433</v>
      </c>
      <c r="H7" s="138">
        <f>IF(B$27=0,0,G7/B$27)</f>
        <v>0.30428671820098385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-4.5045045045045047</v>
      </c>
      <c r="P7" s="126">
        <v>444</v>
      </c>
      <c r="Q7" s="110">
        <v>-2000</v>
      </c>
    </row>
    <row r="8" spans="1:17" x14ac:dyDescent="0.4">
      <c r="A8" s="57" t="s">
        <v>3</v>
      </c>
      <c r="B8" s="49">
        <v>270</v>
      </c>
      <c r="C8" s="41">
        <f>IF(B$2=0,0,B8/B$2)</f>
        <v>0.33333333333333331</v>
      </c>
      <c r="E8" s="65" t="s">
        <v>94</v>
      </c>
      <c r="F8" s="62" t="s">
        <v>47</v>
      </c>
      <c r="G8" s="49">
        <v>217</v>
      </c>
      <c r="H8" s="138">
        <f>IF(B$27=0,0,G8/B$27)</f>
        <v>0.15249472944483486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270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210</v>
      </c>
      <c r="H9" s="138">
        <f>IF(B$27=0,0,G9/B$27)</f>
        <v>0.14757554462403374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129</v>
      </c>
      <c r="C10" s="42">
        <f>IF(B$2=0,0,B10/B$2)</f>
        <v>0.15925925925925927</v>
      </c>
      <c r="E10" s="65" t="s">
        <v>68</v>
      </c>
      <c r="F10" s="62" t="s">
        <v>22</v>
      </c>
      <c r="G10" s="49">
        <v>167</v>
      </c>
      <c r="H10" s="138">
        <f>IF(B$27=0,0,G10/B$27)</f>
        <v>0.11735769501054111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-2.3595505617977524</v>
      </c>
      <c r="P10" s="124">
        <v>267</v>
      </c>
      <c r="Q10" s="112">
        <v>-629.99999999999989</v>
      </c>
    </row>
    <row r="11" spans="1:17" x14ac:dyDescent="0.4">
      <c r="A11" s="58" t="s">
        <v>155</v>
      </c>
      <c r="B11" s="50">
        <v>129</v>
      </c>
      <c r="C11" s="42">
        <f>IF(B$2=0,0,B11/B$2)</f>
        <v>0.15925925925925927</v>
      </c>
      <c r="E11" s="65" t="s">
        <v>74</v>
      </c>
      <c r="F11" s="62" t="s">
        <v>27</v>
      </c>
      <c r="G11" s="49">
        <v>143</v>
      </c>
      <c r="H11" s="138">
        <f>IF(B$27=0,0,G11/B$27)</f>
        <v>0.10049191848208011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0.41498127340824015</v>
      </c>
      <c r="P11" s="125">
        <v>267</v>
      </c>
      <c r="Q11" s="113">
        <v>110.80000000000013</v>
      </c>
    </row>
    <row r="12" spans="1:17" x14ac:dyDescent="0.4">
      <c r="A12" s="59" t="s">
        <v>239</v>
      </c>
      <c r="B12" s="51">
        <v>69</v>
      </c>
      <c r="C12" s="44">
        <f>IF(B$2=0,0,B12/B$2)</f>
        <v>8.5185185185185183E-2</v>
      </c>
      <c r="E12" s="65" t="s">
        <v>91</v>
      </c>
      <c r="F12" s="62" t="s">
        <v>44</v>
      </c>
      <c r="G12" s="49">
        <v>94</v>
      </c>
      <c r="H12" s="138">
        <f>IF(B$27=0,0,G12/B$27)</f>
        <v>6.605762473647224E-2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1.9258426966292141</v>
      </c>
      <c r="P12" s="126">
        <v>267</v>
      </c>
      <c r="Q12" s="114">
        <v>514.20000000000016</v>
      </c>
    </row>
    <row r="13" spans="1:17" x14ac:dyDescent="0.4">
      <c r="A13" s="60" t="s">
        <v>128</v>
      </c>
      <c r="B13" s="52">
        <v>1370</v>
      </c>
      <c r="C13" s="46">
        <f>IF(B$26=0,0,B13/B$26)</f>
        <v>0.28866413822166037</v>
      </c>
      <c r="E13" s="65" t="s">
        <v>75</v>
      </c>
      <c r="F13" s="62" t="s">
        <v>28</v>
      </c>
      <c r="G13" s="49">
        <v>68</v>
      </c>
      <c r="H13" s="138">
        <f>IF(B$27=0,0,G13/B$27)</f>
        <v>4.7786366830639491E-2</v>
      </c>
      <c r="I13" s="100">
        <v>5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1044</v>
      </c>
      <c r="C14" s="41">
        <f>IF(B$26=0,0,B14/B$26)</f>
        <v>0.21997471554993678</v>
      </c>
      <c r="E14" s="65" t="s">
        <v>88</v>
      </c>
      <c r="F14" s="62" t="s">
        <v>41</v>
      </c>
      <c r="G14" s="49">
        <v>66</v>
      </c>
      <c r="H14" s="138">
        <f>IF(B$27=0,0,G14/B$27)</f>
        <v>4.6380885453267746E-2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795</v>
      </c>
      <c r="C15" s="39">
        <f>IF(B$13=0,0,B15/B$13)</f>
        <v>0.58029197080291972</v>
      </c>
      <c r="E15" s="65" t="s">
        <v>82</v>
      </c>
      <c r="F15" s="62" t="s">
        <v>35</v>
      </c>
      <c r="G15" s="49">
        <v>46</v>
      </c>
      <c r="H15" s="138">
        <f>IF(B$27=0,0,G15/B$27)</f>
        <v>3.2326071679550247E-2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414</v>
      </c>
      <c r="C16" s="39">
        <f>IF(B$14=0,0,B16/B$14)</f>
        <v>0.39655172413793105</v>
      </c>
      <c r="E16" s="65" t="s">
        <v>86</v>
      </c>
      <c r="F16" s="62" t="s">
        <v>39</v>
      </c>
      <c r="G16" s="49">
        <v>42</v>
      </c>
      <c r="H16" s="138">
        <f>IF(B$27=0,0,G16/B$27)</f>
        <v>2.9515108924806747E-2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1857</v>
      </c>
      <c r="C17" s="39">
        <f>IF(B$3=0,0,B17/B$3)</f>
        <v>0.30136319376825704</v>
      </c>
      <c r="E17" s="65" t="s">
        <v>96</v>
      </c>
      <c r="F17" s="62" t="s">
        <v>49</v>
      </c>
      <c r="G17" s="49">
        <v>27</v>
      </c>
      <c r="H17" s="138">
        <f>IF(B$27=0,0,G17/B$27)</f>
        <v>1.8973998594518624E-2</v>
      </c>
      <c r="I17" s="100">
        <v>5</v>
      </c>
      <c r="K17" s="40">
        <v>15</v>
      </c>
      <c r="L17" s="105">
        <v>0</v>
      </c>
      <c r="N17" s="121" t="s">
        <v>250</v>
      </c>
      <c r="O17" s="131">
        <f>IF(P17=0,0,Q17/P17)</f>
        <v>19.581818181818178</v>
      </c>
      <c r="P17" s="125">
        <v>22</v>
      </c>
      <c r="Q17" s="113">
        <v>430.79999999999995</v>
      </c>
    </row>
    <row r="18" spans="1:17" x14ac:dyDescent="0.4">
      <c r="A18" s="57" t="s">
        <v>12</v>
      </c>
      <c r="B18" s="49">
        <v>772</v>
      </c>
      <c r="C18" s="41">
        <f>IF(B$17=0,0,B18/B$17)</f>
        <v>0.41572428648357568</v>
      </c>
      <c r="E18" s="65" t="s">
        <v>83</v>
      </c>
      <c r="F18" s="62" t="s">
        <v>36</v>
      </c>
      <c r="G18" s="49">
        <v>22</v>
      </c>
      <c r="H18" s="138">
        <f>IF(B$27=0,0,G18/B$27)</f>
        <v>1.5460295151089248E-2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1085</v>
      </c>
      <c r="C19" s="41">
        <f>IF(B$17=0,0,B19/B$17)</f>
        <v>0.58427571351642438</v>
      </c>
      <c r="E19" s="65" t="s">
        <v>77</v>
      </c>
      <c r="F19" s="62" t="s">
        <v>30</v>
      </c>
      <c r="G19" s="49">
        <v>13</v>
      </c>
      <c r="H19" s="138">
        <f>IF(B$27=0,0,G19/B$27)</f>
        <v>9.1356289529163741E-3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10.448507462686569</v>
      </c>
      <c r="P19" s="125">
        <v>134</v>
      </c>
      <c r="Q19" s="113">
        <v>1400.1000000000004</v>
      </c>
    </row>
    <row r="20" spans="1:17" x14ac:dyDescent="0.4">
      <c r="A20" s="57" t="s">
        <v>13</v>
      </c>
      <c r="B20" s="49">
        <v>1063</v>
      </c>
      <c r="C20" s="41">
        <f>IF(B$3=0,0,B20/B$3)</f>
        <v>0.17250892567348264</v>
      </c>
      <c r="E20" s="65" t="s">
        <v>79</v>
      </c>
      <c r="F20" s="62" t="s">
        <v>32</v>
      </c>
      <c r="G20" s="49">
        <v>9</v>
      </c>
      <c r="H20" s="138">
        <f>IF(B$27=0,0,G20/B$27)</f>
        <v>6.3246661981728744E-3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10186.645126548196</v>
      </c>
      <c r="C21" s="43">
        <v>18916600</v>
      </c>
      <c r="E21" s="65" t="s">
        <v>81</v>
      </c>
      <c r="F21" s="62" t="s">
        <v>34</v>
      </c>
      <c r="G21" s="49">
        <v>8</v>
      </c>
      <c r="H21" s="138">
        <f>IF(B$27=0,0,G21/B$27)</f>
        <v>5.6219255094869993E-3</v>
      </c>
      <c r="I21" s="100">
        <v>4</v>
      </c>
      <c r="K21" s="40">
        <v>19</v>
      </c>
      <c r="L21" s="105">
        <v>-6.1</v>
      </c>
      <c r="N21" s="121" t="s">
        <v>139</v>
      </c>
      <c r="O21" s="131">
        <f>IF(P21=0,0,Q21/P21)</f>
        <v>5.8085470085470057</v>
      </c>
      <c r="P21" s="125">
        <v>234</v>
      </c>
      <c r="Q21" s="113">
        <v>1359.1999999999994</v>
      </c>
    </row>
    <row r="22" spans="1:17" x14ac:dyDescent="0.4">
      <c r="A22" s="59" t="s">
        <v>14</v>
      </c>
      <c r="B22" s="54">
        <f>IF(B$20=0,0,C22/B$20)</f>
        <v>-9425.2116650987773</v>
      </c>
      <c r="C22" s="47">
        <v>-10019000</v>
      </c>
      <c r="E22" s="65" t="s">
        <v>97</v>
      </c>
      <c r="F22" s="62" t="s">
        <v>50</v>
      </c>
      <c r="G22" s="49">
        <v>8</v>
      </c>
      <c r="H22" s="138">
        <f>IF(B$27=0,0,G22/B$27)</f>
        <v>5.6219255094869993E-3</v>
      </c>
      <c r="I22" s="100">
        <v>5</v>
      </c>
      <c r="K22" s="40">
        <v>20</v>
      </c>
      <c r="L22" s="105">
        <v>4.9000000000000004</v>
      </c>
      <c r="N22" s="121" t="s">
        <v>134</v>
      </c>
      <c r="O22" s="131">
        <f>IF(P22=0,0,Q22/P22)</f>
        <v>5.0354961832061038</v>
      </c>
      <c r="P22" s="125">
        <v>262</v>
      </c>
      <c r="Q22" s="113">
        <v>1319.2999999999993</v>
      </c>
    </row>
    <row r="23" spans="1:17" x14ac:dyDescent="0.4">
      <c r="A23" s="96" t="s">
        <v>158</v>
      </c>
      <c r="B23" s="144">
        <v>10</v>
      </c>
      <c r="C23" s="145"/>
      <c r="E23" s="65" t="s">
        <v>98</v>
      </c>
      <c r="F23" s="62" t="s">
        <v>51</v>
      </c>
      <c r="G23" s="49">
        <v>6</v>
      </c>
      <c r="H23" s="138">
        <f>IF(B$27=0,0,G23/B$27)</f>
        <v>4.216444132115249E-3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-0.38437499999999858</v>
      </c>
      <c r="P23" s="125">
        <v>64</v>
      </c>
      <c r="Q23" s="113">
        <v>-24.599999999999909</v>
      </c>
    </row>
    <row r="24" spans="1:17" x14ac:dyDescent="0.4">
      <c r="A24" s="60" t="s">
        <v>199</v>
      </c>
      <c r="B24" s="142">
        <v>124700</v>
      </c>
      <c r="C24" s="143"/>
      <c r="E24" s="65" t="s">
        <v>78</v>
      </c>
      <c r="F24" s="62" t="s">
        <v>31</v>
      </c>
      <c r="G24" s="49">
        <v>5</v>
      </c>
      <c r="H24" s="138">
        <f>IF(B$27=0,0,G24/B$27)</f>
        <v>3.5137034434293743E-3</v>
      </c>
      <c r="I24" s="100">
        <v>5</v>
      </c>
      <c r="K24" s="40">
        <v>22</v>
      </c>
      <c r="L24" s="105">
        <v>-36</v>
      </c>
      <c r="N24" s="121" t="s">
        <v>137</v>
      </c>
      <c r="O24" s="131">
        <f>IF(P24=0,0,Q24/P24)</f>
        <v>-2.9414414414414405</v>
      </c>
      <c r="P24" s="125">
        <v>222</v>
      </c>
      <c r="Q24" s="113">
        <v>-652.99999999999977</v>
      </c>
    </row>
    <row r="25" spans="1:17" x14ac:dyDescent="0.4">
      <c r="A25" s="59" t="s">
        <v>159</v>
      </c>
      <c r="B25" s="67">
        <v>20</v>
      </c>
      <c r="C25" s="44">
        <f>IF(B$3=0,0,B25/B$3)</f>
        <v>3.2456994482310936E-3</v>
      </c>
      <c r="E25" s="65" t="s">
        <v>90</v>
      </c>
      <c r="F25" s="62" t="s">
        <v>43</v>
      </c>
      <c r="G25" s="49">
        <v>5</v>
      </c>
      <c r="H25" s="138">
        <f>IF(B$27=0,0,G25/B$27)</f>
        <v>3.5137034434293743E-3</v>
      </c>
      <c r="I25" s="100">
        <v>4</v>
      </c>
      <c r="K25" s="40">
        <v>23</v>
      </c>
      <c r="L25" s="105">
        <v>-3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8">
        <v>4746</v>
      </c>
      <c r="C26" s="149"/>
      <c r="E26" s="65" t="s">
        <v>89</v>
      </c>
      <c r="F26" s="62" t="s">
        <v>42</v>
      </c>
      <c r="G26" s="49">
        <v>4</v>
      </c>
      <c r="H26" s="138">
        <f>IF(B$27=0,0,G26/B$27)</f>
        <v>2.8109627547434997E-3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-10.054130434782602</v>
      </c>
      <c r="P26" s="125">
        <v>460</v>
      </c>
      <c r="Q26" s="113">
        <v>-4624.8999999999969</v>
      </c>
    </row>
    <row r="27" spans="1:17" x14ac:dyDescent="0.4">
      <c r="A27" s="59" t="s">
        <v>127</v>
      </c>
      <c r="B27" s="150">
        <v>1423</v>
      </c>
      <c r="C27" s="151"/>
      <c r="E27" s="65" t="s">
        <v>92</v>
      </c>
      <c r="F27" s="62" t="s">
        <v>45</v>
      </c>
      <c r="G27" s="49">
        <v>3</v>
      </c>
      <c r="H27" s="138">
        <f>IF(B$27=0,0,G27/B$27)</f>
        <v>2.1082220660576245E-3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1.4054813773717498E-3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7.0274068868587491E-4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7.0274068868587491E-4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7.0274068868587491E-4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7.0274068868587491E-4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E855E-782C-41BD-9D1D-605E7E53E39D}">
  <sheetPr codeName="Sheet7"/>
  <dimension ref="A1:Q23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133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230</v>
      </c>
      <c r="C2" s="149"/>
      <c r="E2" s="64" t="s">
        <v>71</v>
      </c>
      <c r="F2" s="61" t="s">
        <v>25</v>
      </c>
      <c r="G2" s="48">
        <v>393</v>
      </c>
      <c r="H2" s="137">
        <f>IF(B$27=0,0,G2/B$27)</f>
        <v>0.85620915032679734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1386.7256637168141</v>
      </c>
      <c r="P2" s="124">
        <v>226</v>
      </c>
      <c r="Q2" s="108">
        <v>313400</v>
      </c>
    </row>
    <row r="3" spans="1:17" x14ac:dyDescent="0.4">
      <c r="A3" s="57" t="s">
        <v>8</v>
      </c>
      <c r="B3" s="154">
        <v>1732</v>
      </c>
      <c r="C3" s="155"/>
      <c r="E3" s="65" t="s">
        <v>69</v>
      </c>
      <c r="F3" s="62" t="s">
        <v>23</v>
      </c>
      <c r="G3" s="49">
        <v>327</v>
      </c>
      <c r="H3" s="138">
        <f>IF(B$27=0,0,G3/B$27)</f>
        <v>0.71241830065359479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372.93577981651379</v>
      </c>
      <c r="P3" s="125">
        <v>218</v>
      </c>
      <c r="Q3" s="109">
        <v>81300</v>
      </c>
    </row>
    <row r="4" spans="1:17" x14ac:dyDescent="0.4">
      <c r="A4" s="57" t="s">
        <v>6</v>
      </c>
      <c r="B4" s="156">
        <v>1540.2999999999997</v>
      </c>
      <c r="C4" s="157"/>
      <c r="E4" s="65" t="s">
        <v>67</v>
      </c>
      <c r="F4" s="62" t="s">
        <v>21</v>
      </c>
      <c r="G4" s="49">
        <v>248</v>
      </c>
      <c r="H4" s="138">
        <f>IF(B$27=0,0,G4/B$27)</f>
        <v>0.54030501089324623</v>
      </c>
      <c r="I4" s="100">
        <v>8</v>
      </c>
      <c r="K4" s="40">
        <v>2</v>
      </c>
      <c r="L4" s="105">
        <v>14</v>
      </c>
      <c r="N4" s="121" t="s">
        <v>149</v>
      </c>
      <c r="O4" s="128">
        <f t="shared" si="0"/>
        <v>1864.039408866995</v>
      </c>
      <c r="P4" s="125">
        <v>203</v>
      </c>
      <c r="Q4" s="109">
        <v>378400</v>
      </c>
    </row>
    <row r="5" spans="1:17" x14ac:dyDescent="0.4">
      <c r="A5" s="57" t="s">
        <v>7</v>
      </c>
      <c r="B5" s="158">
        <f>IF(B$2=0,0,B$4/B$2)</f>
        <v>6.6969565217391294</v>
      </c>
      <c r="C5" s="159"/>
      <c r="E5" s="65" t="s">
        <v>76</v>
      </c>
      <c r="F5" s="62" t="s">
        <v>29</v>
      </c>
      <c r="G5" s="49">
        <v>241</v>
      </c>
      <c r="H5" s="138">
        <f>IF(B$27=0,0,G5/B$27)</f>
        <v>0.52505446623093677</v>
      </c>
      <c r="I5" s="100">
        <v>10</v>
      </c>
      <c r="K5" s="40">
        <v>3</v>
      </c>
      <c r="L5" s="105">
        <v>29.1</v>
      </c>
      <c r="N5" s="121" t="s">
        <v>150</v>
      </c>
      <c r="O5" s="128">
        <f t="shared" si="0"/>
        <v>1374.7252747252746</v>
      </c>
      <c r="P5" s="125">
        <v>182</v>
      </c>
      <c r="Q5" s="109">
        <v>250200</v>
      </c>
    </row>
    <row r="6" spans="1:17" x14ac:dyDescent="0.4">
      <c r="A6" s="57" t="s">
        <v>1</v>
      </c>
      <c r="B6" s="146">
        <f>IF(B$2=0,0,(B$7*1+B$8*2+B$9*3)/B$2)</f>
        <v>1.7695652173913043</v>
      </c>
      <c r="C6" s="147"/>
      <c r="E6" s="65" t="s">
        <v>70</v>
      </c>
      <c r="F6" s="62" t="s">
        <v>24</v>
      </c>
      <c r="G6" s="49">
        <v>131</v>
      </c>
      <c r="H6" s="138">
        <f>IF(B$27=0,0,G6/B$27)</f>
        <v>0.28540305010893247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1489.9371069182389</v>
      </c>
      <c r="P6" s="125">
        <v>159</v>
      </c>
      <c r="Q6" s="109">
        <v>236900</v>
      </c>
    </row>
    <row r="7" spans="1:17" x14ac:dyDescent="0.4">
      <c r="A7" s="57" t="s">
        <v>2</v>
      </c>
      <c r="B7" s="49">
        <v>101</v>
      </c>
      <c r="C7" s="41">
        <f>IF(B$2=0,0,B7/B$2)</f>
        <v>0.43913043478260871</v>
      </c>
      <c r="E7" s="65" t="s">
        <v>72</v>
      </c>
      <c r="F7" s="62" t="s">
        <v>12</v>
      </c>
      <c r="G7" s="49">
        <v>131</v>
      </c>
      <c r="H7" s="138">
        <f>IF(B$27=0,0,G7/B$27)</f>
        <v>0.28540305010893247</v>
      </c>
      <c r="I7" s="100">
        <v>9</v>
      </c>
      <c r="K7" s="40">
        <v>5</v>
      </c>
      <c r="L7" s="105">
        <v>145.80000000000001</v>
      </c>
      <c r="N7" s="122" t="s">
        <v>152</v>
      </c>
      <c r="O7" s="129">
        <f t="shared" si="0"/>
        <v>1937.3015873015872</v>
      </c>
      <c r="P7" s="126">
        <v>126</v>
      </c>
      <c r="Q7" s="110">
        <v>244100</v>
      </c>
    </row>
    <row r="8" spans="1:17" x14ac:dyDescent="0.4">
      <c r="A8" s="57" t="s">
        <v>3</v>
      </c>
      <c r="B8" s="49">
        <v>81</v>
      </c>
      <c r="C8" s="41">
        <f>IF(B$2=0,0,B8/B$2)</f>
        <v>0.35217391304347828</v>
      </c>
      <c r="E8" s="65" t="s">
        <v>94</v>
      </c>
      <c r="F8" s="62" t="s">
        <v>47</v>
      </c>
      <c r="G8" s="49">
        <v>81</v>
      </c>
      <c r="H8" s="138">
        <f>IF(B$27=0,0,G8/B$27)</f>
        <v>0.17647058823529413</v>
      </c>
      <c r="I8" s="100">
        <v>4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48</v>
      </c>
      <c r="C9" s="42">
        <f t="shared" ref="C9" si="1">IF(B$2=0,0,B9/B$2)</f>
        <v>0.20869565217391303</v>
      </c>
      <c r="E9" s="65" t="s">
        <v>73</v>
      </c>
      <c r="F9" s="62" t="s">
        <v>26</v>
      </c>
      <c r="G9" s="49">
        <v>71</v>
      </c>
      <c r="H9" s="138">
        <f>IF(B$27=0,0,G9/B$27)</f>
        <v>0.15468409586056645</v>
      </c>
      <c r="I9" s="100">
        <v>6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0.10434782608695652</v>
      </c>
      <c r="E10" s="65" t="s">
        <v>68</v>
      </c>
      <c r="F10" s="62" t="s">
        <v>22</v>
      </c>
      <c r="G10" s="49">
        <v>51</v>
      </c>
      <c r="H10" s="138">
        <f>IF(B$27=0,0,G10/B$27)</f>
        <v>0.1111111111111111</v>
      </c>
      <c r="I10" s="100">
        <v>8</v>
      </c>
      <c r="K10" s="40">
        <v>8</v>
      </c>
      <c r="L10" s="105">
        <v>55.700000000000017</v>
      </c>
      <c r="N10" s="120" t="s">
        <v>253</v>
      </c>
      <c r="O10" s="130">
        <f>IF(P10=0,0,Q10/P10)</f>
        <v>8.4333333333333353</v>
      </c>
      <c r="P10" s="124">
        <v>51</v>
      </c>
      <c r="Q10" s="112">
        <v>430.10000000000014</v>
      </c>
    </row>
    <row r="11" spans="1:17" x14ac:dyDescent="0.4">
      <c r="A11" s="58" t="s">
        <v>155</v>
      </c>
      <c r="B11" s="50">
        <v>45</v>
      </c>
      <c r="C11" s="42">
        <f>IF(B$2=0,0,B11/B$2)</f>
        <v>0.19565217391304349</v>
      </c>
      <c r="E11" s="65" t="s">
        <v>74</v>
      </c>
      <c r="F11" s="62" t="s">
        <v>27</v>
      </c>
      <c r="G11" s="49">
        <v>39</v>
      </c>
      <c r="H11" s="138">
        <f>IF(B$27=0,0,G11/B$27)</f>
        <v>8.4967320261437912E-2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5.6228571428571428</v>
      </c>
      <c r="P11" s="125">
        <v>70</v>
      </c>
      <c r="Q11" s="113">
        <v>393.6</v>
      </c>
    </row>
    <row r="12" spans="1:17" x14ac:dyDescent="0.4">
      <c r="A12" s="59" t="s">
        <v>239</v>
      </c>
      <c r="B12" s="51">
        <v>24</v>
      </c>
      <c r="C12" s="44">
        <f>IF(B$2=0,0,B12/B$2)</f>
        <v>0.10434782608695652</v>
      </c>
      <c r="E12" s="65" t="s">
        <v>75</v>
      </c>
      <c r="F12" s="62" t="s">
        <v>28</v>
      </c>
      <c r="G12" s="49">
        <v>31</v>
      </c>
      <c r="H12" s="138">
        <f>IF(B$27=0,0,G12/B$27)</f>
        <v>6.7538126361655779E-2</v>
      </c>
      <c r="I12" s="100">
        <v>2</v>
      </c>
      <c r="K12" s="40">
        <v>10</v>
      </c>
      <c r="L12" s="105">
        <v>-16.799999999999983</v>
      </c>
      <c r="N12" s="122" t="s">
        <v>255</v>
      </c>
      <c r="O12" s="132">
        <f>IF(P12=0,0,Q12/P12)</f>
        <v>6.5</v>
      </c>
      <c r="P12" s="126">
        <v>106</v>
      </c>
      <c r="Q12" s="114">
        <v>689</v>
      </c>
    </row>
    <row r="13" spans="1:17" x14ac:dyDescent="0.4">
      <c r="A13" s="60" t="s">
        <v>128</v>
      </c>
      <c r="B13" s="52">
        <v>392</v>
      </c>
      <c r="C13" s="46">
        <f>IF(B$26=0,0,B13/B$26)</f>
        <v>0.30721003134796238</v>
      </c>
      <c r="E13" s="65" t="s">
        <v>91</v>
      </c>
      <c r="F13" s="62" t="s">
        <v>44</v>
      </c>
      <c r="G13" s="49">
        <v>28</v>
      </c>
      <c r="H13" s="138">
        <f>IF(B$27=0,0,G13/B$27)</f>
        <v>6.1002178649237473E-2</v>
      </c>
      <c r="I13" s="100">
        <v>9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263</v>
      </c>
      <c r="C14" s="41">
        <f>IF(B$26=0,0,B14/B$26)</f>
        <v>0.2061128526645768</v>
      </c>
      <c r="E14" s="65" t="s">
        <v>88</v>
      </c>
      <c r="F14" s="62" t="s">
        <v>41</v>
      </c>
      <c r="G14" s="49">
        <v>13</v>
      </c>
      <c r="H14" s="138">
        <f>IF(B$27=0,0,G14/B$27)</f>
        <v>2.8322440087145968E-2</v>
      </c>
      <c r="I14" s="100">
        <v>9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250</v>
      </c>
      <c r="C15" s="39">
        <f>IF(B$13=0,0,B15/B$13)</f>
        <v>0.63775510204081631</v>
      </c>
      <c r="E15" s="65" t="s">
        <v>86</v>
      </c>
      <c r="F15" s="62" t="s">
        <v>39</v>
      </c>
      <c r="G15" s="49">
        <v>10</v>
      </c>
      <c r="H15" s="138">
        <f>IF(B$27=0,0,G15/B$27)</f>
        <v>2.178649237472767E-2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129</v>
      </c>
      <c r="C16" s="39">
        <f>IF(B$14=0,0,B16/B$14)</f>
        <v>0.49049429657794674</v>
      </c>
      <c r="E16" s="65" t="s">
        <v>96</v>
      </c>
      <c r="F16" s="62" t="s">
        <v>49</v>
      </c>
      <c r="G16" s="49">
        <v>8</v>
      </c>
      <c r="H16" s="138">
        <f>IF(B$27=0,0,G16/B$27)</f>
        <v>1.7429193899782137E-2</v>
      </c>
      <c r="I16" s="100">
        <v>7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615</v>
      </c>
      <c r="C17" s="39">
        <f>IF(B$3=0,0,B17/B$3)</f>
        <v>0.355080831408776</v>
      </c>
      <c r="E17" s="65" t="s">
        <v>82</v>
      </c>
      <c r="F17" s="62" t="s">
        <v>35</v>
      </c>
      <c r="G17" s="49">
        <v>7</v>
      </c>
      <c r="H17" s="138">
        <f>IF(B$27=0,0,G17/B$27)</f>
        <v>1.5250544662309368E-2</v>
      </c>
      <c r="I17" s="100">
        <v>8</v>
      </c>
      <c r="K17" s="40">
        <v>15</v>
      </c>
      <c r="L17" s="105">
        <v>-9.6999999999999886</v>
      </c>
      <c r="N17" s="121" t="s">
        <v>250</v>
      </c>
      <c r="O17" s="131">
        <f>IF(P17=0,0,Q17/P17)</f>
        <v>30.228571428571424</v>
      </c>
      <c r="P17" s="125">
        <v>7</v>
      </c>
      <c r="Q17" s="113">
        <v>211.59999999999997</v>
      </c>
    </row>
    <row r="18" spans="1:17" x14ac:dyDescent="0.4">
      <c r="A18" s="57" t="s">
        <v>12</v>
      </c>
      <c r="B18" s="49">
        <v>231</v>
      </c>
      <c r="C18" s="41">
        <f>IF(B$17=0,0,B18/B$17)</f>
        <v>0.37560975609756098</v>
      </c>
      <c r="E18" s="65" t="s">
        <v>83</v>
      </c>
      <c r="F18" s="62" t="s">
        <v>36</v>
      </c>
      <c r="G18" s="49">
        <v>5</v>
      </c>
      <c r="H18" s="138">
        <f>IF(B$27=0,0,G18/B$27)</f>
        <v>1.0893246187363835E-2</v>
      </c>
      <c r="I18" s="100">
        <v>9</v>
      </c>
      <c r="K18" s="40">
        <v>16</v>
      </c>
      <c r="L18" s="105">
        <v>-8.099999999999989</v>
      </c>
      <c r="N18" s="121" t="s">
        <v>157</v>
      </c>
      <c r="O18" s="131">
        <f>IF(P18=0,0,Q18/P18)</f>
        <v>27.285714285714285</v>
      </c>
      <c r="P18" s="125">
        <v>21</v>
      </c>
      <c r="Q18" s="113">
        <v>573</v>
      </c>
    </row>
    <row r="19" spans="1:17" x14ac:dyDescent="0.4">
      <c r="A19" s="57" t="s">
        <v>11</v>
      </c>
      <c r="B19" s="49">
        <v>384</v>
      </c>
      <c r="C19" s="41">
        <f>IF(B$17=0,0,B19/B$17)</f>
        <v>0.62439024390243902</v>
      </c>
      <c r="E19" s="65" t="s">
        <v>79</v>
      </c>
      <c r="F19" s="62" t="s">
        <v>32</v>
      </c>
      <c r="G19" s="49">
        <v>4</v>
      </c>
      <c r="H19" s="138">
        <f>IF(B$27=0,0,G19/B$27)</f>
        <v>8.7145969498910684E-3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14.775471698113213</v>
      </c>
      <c r="P19" s="125">
        <v>53</v>
      </c>
      <c r="Q19" s="113">
        <v>783.10000000000025</v>
      </c>
    </row>
    <row r="20" spans="1:17" x14ac:dyDescent="0.4">
      <c r="A20" s="57" t="s">
        <v>13</v>
      </c>
      <c r="B20" s="49">
        <v>248</v>
      </c>
      <c r="C20" s="41">
        <f>IF(B$3=0,0,B20/B$3)</f>
        <v>0.14318706697459585</v>
      </c>
      <c r="E20" s="65" t="s">
        <v>81</v>
      </c>
      <c r="F20" s="62" t="s">
        <v>34</v>
      </c>
      <c r="G20" s="49">
        <v>4</v>
      </c>
      <c r="H20" s="138">
        <f>IF(B$27=0,0,G20/B$27)</f>
        <v>8.7145969498910684E-3</v>
      </c>
      <c r="I20" s="100">
        <v>3</v>
      </c>
      <c r="K20" s="40">
        <v>18</v>
      </c>
      <c r="L20" s="105">
        <v>-14.599999999999985</v>
      </c>
      <c r="N20" s="121" t="s">
        <v>139</v>
      </c>
      <c r="O20" s="131">
        <f>IF(P20=0,0,Q20/P20)</f>
        <v>11.311827956989248</v>
      </c>
      <c r="P20" s="125">
        <v>93</v>
      </c>
      <c r="Q20" s="113">
        <v>1052</v>
      </c>
    </row>
    <row r="21" spans="1:17" x14ac:dyDescent="0.4">
      <c r="A21" s="57" t="s">
        <v>5</v>
      </c>
      <c r="B21" s="53">
        <f>IF(B$17=0,0,C21/B$17)</f>
        <v>9889.1056910569114</v>
      </c>
      <c r="C21" s="43">
        <v>6081800</v>
      </c>
      <c r="E21" s="65" t="s">
        <v>77</v>
      </c>
      <c r="F21" s="62" t="s">
        <v>30</v>
      </c>
      <c r="G21" s="49">
        <v>3</v>
      </c>
      <c r="H21" s="138">
        <f>IF(B$27=0,0,G21/B$27)</f>
        <v>6.5359477124183009E-3</v>
      </c>
      <c r="I21" s="100">
        <v>5</v>
      </c>
      <c r="K21" s="40">
        <v>19</v>
      </c>
      <c r="L21" s="105">
        <v>42.600000000000016</v>
      </c>
      <c r="N21" s="121" t="s">
        <v>138</v>
      </c>
      <c r="O21" s="131">
        <f>IF(P21=0,0,Q21/P21)</f>
        <v>9.1555555555555568</v>
      </c>
      <c r="P21" s="125">
        <v>27</v>
      </c>
      <c r="Q21" s="113">
        <v>247.20000000000005</v>
      </c>
    </row>
    <row r="22" spans="1:17" x14ac:dyDescent="0.4">
      <c r="A22" s="59" t="s">
        <v>14</v>
      </c>
      <c r="B22" s="54">
        <f>IF(B$20=0,0,C22/B$20)</f>
        <v>-9315.7258064516136</v>
      </c>
      <c r="C22" s="47">
        <v>-2310300</v>
      </c>
      <c r="E22" s="65" t="s">
        <v>97</v>
      </c>
      <c r="F22" s="62" t="s">
        <v>50</v>
      </c>
      <c r="G22" s="49">
        <v>3</v>
      </c>
      <c r="H22" s="138">
        <f>IF(B$27=0,0,G22/B$27)</f>
        <v>6.5359477124183009E-3</v>
      </c>
      <c r="I22" s="100">
        <v>4</v>
      </c>
      <c r="K22" s="40">
        <v>20</v>
      </c>
      <c r="L22" s="105">
        <v>68.800000000000011</v>
      </c>
      <c r="N22" s="121" t="s">
        <v>134</v>
      </c>
      <c r="O22" s="131">
        <f>IF(P22=0,0,Q22/P22)</f>
        <v>8.562385321100912</v>
      </c>
      <c r="P22" s="125">
        <v>109</v>
      </c>
      <c r="Q22" s="113">
        <v>933.2999999999995</v>
      </c>
    </row>
    <row r="23" spans="1:17" x14ac:dyDescent="0.4">
      <c r="A23" s="96" t="s">
        <v>158</v>
      </c>
      <c r="B23" s="144">
        <v>10</v>
      </c>
      <c r="C23" s="145"/>
      <c r="E23" s="65" t="s">
        <v>78</v>
      </c>
      <c r="F23" s="62" t="s">
        <v>31</v>
      </c>
      <c r="G23" s="49">
        <v>2</v>
      </c>
      <c r="H23" s="138">
        <f>IF(B$27=0,0,G23/B$27)</f>
        <v>4.3572984749455342E-3</v>
      </c>
      <c r="I23" s="100">
        <v>3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2">
        <v>120200</v>
      </c>
      <c r="C24" s="143"/>
      <c r="E24" s="65" t="s">
        <v>92</v>
      </c>
      <c r="F24" s="62" t="s">
        <v>45</v>
      </c>
      <c r="G24" s="49">
        <v>2</v>
      </c>
      <c r="H24" s="138">
        <f>IF(B$27=0,0,G24/B$27)</f>
        <v>4.3572984749455342E-3</v>
      </c>
      <c r="I24" s="100">
        <v>2</v>
      </c>
      <c r="K24" s="40">
        <v>22</v>
      </c>
      <c r="L24" s="105">
        <v>99.800000000000011</v>
      </c>
      <c r="N24" s="121" t="s">
        <v>137</v>
      </c>
      <c r="O24" s="131">
        <f>IF(P24=0,0,Q24/P24)</f>
        <v>3.9043478260869553</v>
      </c>
      <c r="P24" s="125">
        <v>92</v>
      </c>
      <c r="Q24" s="113">
        <v>359.19999999999987</v>
      </c>
    </row>
    <row r="25" spans="1:17" x14ac:dyDescent="0.4">
      <c r="A25" s="59" t="s">
        <v>159</v>
      </c>
      <c r="B25" s="67">
        <v>2</v>
      </c>
      <c r="C25" s="44">
        <f>IF(B$3=0,0,B25/B$3)</f>
        <v>1.1547344110854503E-3</v>
      </c>
      <c r="E25" s="65" t="s">
        <v>90</v>
      </c>
      <c r="F25" s="62" t="s">
        <v>43</v>
      </c>
      <c r="G25" s="49">
        <v>1</v>
      </c>
      <c r="H25" s="138">
        <f>IF(B$27=0,0,G25/B$27)</f>
        <v>2.1786492374727671E-3</v>
      </c>
      <c r="I25" s="100">
        <v>5</v>
      </c>
      <c r="K25" s="40">
        <v>23</v>
      </c>
      <c r="L25" s="105">
        <v>124.50000000000001</v>
      </c>
      <c r="N25" s="121" t="s">
        <v>135</v>
      </c>
      <c r="O25" s="131">
        <f>IF(P25=0,0,Q25/P25)</f>
        <v>0.85769230769230687</v>
      </c>
      <c r="P25" s="125">
        <v>52</v>
      </c>
      <c r="Q25" s="113">
        <v>44.599999999999959</v>
      </c>
    </row>
    <row r="26" spans="1:17" x14ac:dyDescent="0.4">
      <c r="A26" s="56" t="s">
        <v>126</v>
      </c>
      <c r="B26" s="148">
        <v>1276</v>
      </c>
      <c r="C26" s="149"/>
      <c r="E26" s="65" t="s">
        <v>95</v>
      </c>
      <c r="F26" s="62" t="s">
        <v>48</v>
      </c>
      <c r="G26" s="49">
        <v>1</v>
      </c>
      <c r="H26" s="138">
        <f>IF(B$27=0,0,G26/B$27)</f>
        <v>2.1786492374727671E-3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0">
        <v>459</v>
      </c>
      <c r="C27" s="151"/>
      <c r="E27" s="65" t="s">
        <v>98</v>
      </c>
      <c r="F27" s="62" t="s">
        <v>51</v>
      </c>
      <c r="G27" s="49">
        <v>1</v>
      </c>
      <c r="H27" s="138">
        <f>IF(B$27=0,0,G27/B$27)</f>
        <v>2.1786492374727671E-3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2.1786492374727671E-3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2.1786492374727671E-3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E21E-9B88-4A1A-90DF-0EA9F293567F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166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4</v>
      </c>
      <c r="C2" s="149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4">
        <v>25</v>
      </c>
      <c r="C3" s="155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6">
        <v>-132.1</v>
      </c>
      <c r="C4" s="157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8">
        <f>IF(B$2=0,0,B$4/B$2)</f>
        <v>-33.024999999999999</v>
      </c>
      <c r="C5" s="159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6">
        <f>IF(B$2=0,0,(B$7*1+B$8*2+B$9*3)/B$2)</f>
        <v>3</v>
      </c>
      <c r="C6" s="147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6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0</v>
      </c>
      <c r="C23" s="145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42">
        <v>13000</v>
      </c>
      <c r="C24" s="143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8">
        <v>0</v>
      </c>
      <c r="C26" s="149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0">
        <v>0</v>
      </c>
      <c r="C27" s="151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8D48E-51BA-4762-AF2A-315E44646569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4</v>
      </c>
      <c r="C2" s="149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4">
        <v>24</v>
      </c>
      <c r="C3" s="155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6">
        <v>-15.5</v>
      </c>
      <c r="C4" s="157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8">
        <f>IF(B$2=0,0,B$4/B$2)</f>
        <v>-3.875</v>
      </c>
      <c r="C5" s="159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6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3</v>
      </c>
      <c r="C23" s="14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2">
        <v>46000</v>
      </c>
      <c r="C24" s="14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19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0">
        <v>4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C66B-0345-4E5C-A739-F30DF8F43708}">
  <sheetPr codeName="Sheet13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134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131</v>
      </c>
      <c r="C2" s="149"/>
      <c r="E2" s="64" t="s">
        <v>71</v>
      </c>
      <c r="F2" s="61" t="s">
        <v>25</v>
      </c>
      <c r="G2" s="48">
        <v>157</v>
      </c>
      <c r="H2" s="137">
        <f>IF(B$27=0,0,G2/B$27)</f>
        <v>0.76585365853658538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-600.77519379844966</v>
      </c>
      <c r="P2" s="124">
        <v>129</v>
      </c>
      <c r="Q2" s="108">
        <v>-77500</v>
      </c>
    </row>
    <row r="3" spans="1:17" x14ac:dyDescent="0.4">
      <c r="A3" s="57" t="s">
        <v>8</v>
      </c>
      <c r="B3" s="154">
        <v>1018</v>
      </c>
      <c r="C3" s="155"/>
      <c r="E3" s="65" t="s">
        <v>69</v>
      </c>
      <c r="F3" s="62" t="s">
        <v>23</v>
      </c>
      <c r="G3" s="49">
        <v>145</v>
      </c>
      <c r="H3" s="138">
        <f>IF(B$27=0,0,G3/B$27)</f>
        <v>0.70731707317073167</v>
      </c>
      <c r="I3" s="100">
        <v>7</v>
      </c>
      <c r="K3" s="40">
        <v>1</v>
      </c>
      <c r="L3" s="105">
        <v>40.9</v>
      </c>
      <c r="N3" s="121" t="s">
        <v>148</v>
      </c>
      <c r="O3" s="128">
        <f t="shared" si="0"/>
        <v>-1015.2</v>
      </c>
      <c r="P3" s="125">
        <v>125</v>
      </c>
      <c r="Q3" s="109">
        <v>-126900</v>
      </c>
    </row>
    <row r="4" spans="1:17" x14ac:dyDescent="0.4">
      <c r="A4" s="57" t="s">
        <v>6</v>
      </c>
      <c r="B4" s="156">
        <v>-441.09999999999997</v>
      </c>
      <c r="C4" s="157"/>
      <c r="E4" s="65" t="s">
        <v>67</v>
      </c>
      <c r="F4" s="62" t="s">
        <v>21</v>
      </c>
      <c r="G4" s="49">
        <v>128</v>
      </c>
      <c r="H4" s="138">
        <f>IF(B$27=0,0,G4/B$27)</f>
        <v>0.62439024390243902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1363.6363636363637</v>
      </c>
      <c r="P4" s="125">
        <v>121</v>
      </c>
      <c r="Q4" s="109">
        <v>165000</v>
      </c>
    </row>
    <row r="5" spans="1:17" x14ac:dyDescent="0.4">
      <c r="A5" s="57" t="s">
        <v>7</v>
      </c>
      <c r="B5" s="158">
        <f>IF(B$2=0,0,B$4/B$2)</f>
        <v>-3.3671755725190837</v>
      </c>
      <c r="C5" s="159"/>
      <c r="E5" s="65" t="s">
        <v>76</v>
      </c>
      <c r="F5" s="62" t="s">
        <v>29</v>
      </c>
      <c r="G5" s="49">
        <v>103</v>
      </c>
      <c r="H5" s="138">
        <f>IF(B$27=0,0,G5/B$27)</f>
        <v>0.5024390243902439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-1027.7777777777778</v>
      </c>
      <c r="P5" s="125">
        <v>108</v>
      </c>
      <c r="Q5" s="109">
        <v>-111000</v>
      </c>
    </row>
    <row r="6" spans="1:17" x14ac:dyDescent="0.4">
      <c r="A6" s="57" t="s">
        <v>1</v>
      </c>
      <c r="B6" s="146">
        <f>IF(B$2=0,0,(B$7*1+B$8*2+B$9*3)/B$2)</f>
        <v>2.0916030534351147</v>
      </c>
      <c r="C6" s="147"/>
      <c r="E6" s="65" t="s">
        <v>72</v>
      </c>
      <c r="F6" s="62" t="s">
        <v>12</v>
      </c>
      <c r="G6" s="49">
        <v>73</v>
      </c>
      <c r="H6" s="138">
        <f>IF(B$27=0,0,G6/B$27)</f>
        <v>0.35609756097560974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-1981.5217391304348</v>
      </c>
      <c r="P6" s="125">
        <v>92</v>
      </c>
      <c r="Q6" s="109">
        <v>-182300</v>
      </c>
    </row>
    <row r="7" spans="1:17" x14ac:dyDescent="0.4">
      <c r="A7" s="57" t="s">
        <v>2</v>
      </c>
      <c r="B7" s="49">
        <v>39</v>
      </c>
      <c r="C7" s="41">
        <f>IF(B$2=0,0,B7/B$2)</f>
        <v>0.29770992366412213</v>
      </c>
      <c r="E7" s="65" t="s">
        <v>70</v>
      </c>
      <c r="F7" s="62" t="s">
        <v>24</v>
      </c>
      <c r="G7" s="49">
        <v>65</v>
      </c>
      <c r="H7" s="138">
        <f>IF(B$27=0,0,G7/B$27)</f>
        <v>0.31707317073170732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-2033.3333333333333</v>
      </c>
      <c r="P7" s="126">
        <v>72</v>
      </c>
      <c r="Q7" s="110">
        <v>-146400</v>
      </c>
    </row>
    <row r="8" spans="1:17" x14ac:dyDescent="0.4">
      <c r="A8" s="57" t="s">
        <v>3</v>
      </c>
      <c r="B8" s="49">
        <v>41</v>
      </c>
      <c r="C8" s="41">
        <f>IF(B$2=0,0,B8/B$2)</f>
        <v>0.31297709923664124</v>
      </c>
      <c r="E8" s="65" t="s">
        <v>94</v>
      </c>
      <c r="F8" s="62" t="s">
        <v>47</v>
      </c>
      <c r="G8" s="49">
        <v>35</v>
      </c>
      <c r="H8" s="138">
        <f>IF(B$27=0,0,G8/B$27)</f>
        <v>0.17073170731707318</v>
      </c>
      <c r="I8" s="100">
        <v>5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0.38931297709923662</v>
      </c>
      <c r="E9" s="65" t="s">
        <v>73</v>
      </c>
      <c r="F9" s="62" t="s">
        <v>26</v>
      </c>
      <c r="G9" s="49">
        <v>32</v>
      </c>
      <c r="H9" s="138">
        <f>IF(B$27=0,0,G9/B$27)</f>
        <v>0.15609756097560976</v>
      </c>
      <c r="I9" s="100">
        <v>4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0.19083969465648856</v>
      </c>
      <c r="E10" s="65" t="s">
        <v>68</v>
      </c>
      <c r="F10" s="62" t="s">
        <v>22</v>
      </c>
      <c r="G10" s="49">
        <v>30</v>
      </c>
      <c r="H10" s="138">
        <f>IF(B$27=0,0,G10/B$27)</f>
        <v>0.14634146341463414</v>
      </c>
      <c r="I10" s="100">
        <v>4</v>
      </c>
      <c r="K10" s="40">
        <v>8</v>
      </c>
      <c r="L10" s="105">
        <v>60.199999999999996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0.12977099236641221</v>
      </c>
      <c r="E11" s="65" t="s">
        <v>74</v>
      </c>
      <c r="F11" s="62" t="s">
        <v>27</v>
      </c>
      <c r="G11" s="49">
        <v>29</v>
      </c>
      <c r="H11" s="138">
        <f>IF(B$27=0,0,G11/B$27)</f>
        <v>0.14146341463414633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-4.5624999999999991</v>
      </c>
      <c r="P11" s="125">
        <v>48</v>
      </c>
      <c r="Q11" s="113">
        <v>-218.99999999999997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7.6335877862595422E-2</v>
      </c>
      <c r="E12" s="65" t="s">
        <v>91</v>
      </c>
      <c r="F12" s="62" t="s">
        <v>44</v>
      </c>
      <c r="G12" s="49">
        <v>19</v>
      </c>
      <c r="H12" s="138">
        <f>IF(B$27=0,0,G12/B$27)</f>
        <v>9.2682926829268292E-2</v>
      </c>
      <c r="I12" s="100">
        <v>4</v>
      </c>
      <c r="K12" s="40">
        <v>10</v>
      </c>
      <c r="L12" s="105">
        <v>-20.100000000000001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224</v>
      </c>
      <c r="C13" s="46">
        <f>IF(B$26=0,0,B13/B$26)</f>
        <v>0.29590488771466317</v>
      </c>
      <c r="E13" s="65" t="s">
        <v>88</v>
      </c>
      <c r="F13" s="62" t="s">
        <v>41</v>
      </c>
      <c r="G13" s="49">
        <v>16</v>
      </c>
      <c r="H13" s="138">
        <f>IF(B$27=0,0,G13/B$27)</f>
        <v>7.8048780487804878E-2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134</v>
      </c>
      <c r="C14" s="41">
        <f>IF(B$26=0,0,B14/B$26)</f>
        <v>0.17701453104359313</v>
      </c>
      <c r="E14" s="65" t="s">
        <v>86</v>
      </c>
      <c r="F14" s="62" t="s">
        <v>39</v>
      </c>
      <c r="G14" s="49">
        <v>10</v>
      </c>
      <c r="H14" s="138">
        <f>IF(B$27=0,0,G14/B$27)</f>
        <v>4.878048780487805E-2</v>
      </c>
      <c r="I14" s="100">
        <v>3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129</v>
      </c>
      <c r="C15" s="39">
        <f>IF(B$13=0,0,B15/B$13)</f>
        <v>0.5758928571428571</v>
      </c>
      <c r="E15" s="65" t="s">
        <v>96</v>
      </c>
      <c r="F15" s="62" t="s">
        <v>49</v>
      </c>
      <c r="G15" s="49">
        <v>7</v>
      </c>
      <c r="H15" s="138">
        <f>IF(B$27=0,0,G15/B$27)</f>
        <v>3.4146341463414637E-2</v>
      </c>
      <c r="I15" s="100">
        <v>2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0.38805970149253732</v>
      </c>
      <c r="E16" s="65" t="s">
        <v>75</v>
      </c>
      <c r="F16" s="62" t="s">
        <v>28</v>
      </c>
      <c r="G16" s="49">
        <v>6</v>
      </c>
      <c r="H16" s="138">
        <f>IF(B$27=0,0,G16/B$27)</f>
        <v>2.9268292682926831E-2</v>
      </c>
      <c r="I16" s="100">
        <v>9</v>
      </c>
      <c r="K16" s="40">
        <v>14</v>
      </c>
      <c r="L16" s="105">
        <v>33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266</v>
      </c>
      <c r="C17" s="39">
        <f>IF(B$3=0,0,B17/B$3)</f>
        <v>0.26129666011787817</v>
      </c>
      <c r="E17" s="65" t="s">
        <v>82</v>
      </c>
      <c r="F17" s="62" t="s">
        <v>35</v>
      </c>
      <c r="G17" s="49">
        <v>5</v>
      </c>
      <c r="H17" s="138">
        <f>IF(B$27=0,0,G17/B$27)</f>
        <v>2.4390243902439025E-2</v>
      </c>
      <c r="I17" s="100">
        <v>7</v>
      </c>
      <c r="K17" s="40">
        <v>15</v>
      </c>
      <c r="L17" s="105">
        <v>38.5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116</v>
      </c>
      <c r="C18" s="41">
        <f>IF(B$17=0,0,B18/B$17)</f>
        <v>0.43609022556390975</v>
      </c>
      <c r="E18" s="65" t="s">
        <v>83</v>
      </c>
      <c r="F18" s="62" t="s">
        <v>36</v>
      </c>
      <c r="G18" s="49">
        <v>3</v>
      </c>
      <c r="H18" s="138">
        <f>IF(B$27=0,0,G18/B$27)</f>
        <v>1.4634146341463415E-2</v>
      </c>
      <c r="I18" s="100">
        <v>7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0.56390977443609025</v>
      </c>
      <c r="E19" s="65" t="s">
        <v>89</v>
      </c>
      <c r="F19" s="62" t="s">
        <v>42</v>
      </c>
      <c r="G19" s="49">
        <v>2</v>
      </c>
      <c r="H19" s="138">
        <f>IF(B$27=0,0,G19/B$27)</f>
        <v>9.7560975609756097E-3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194</v>
      </c>
      <c r="C20" s="41">
        <f>IF(B$3=0,0,B20/B$3)</f>
        <v>0.19056974459724951</v>
      </c>
      <c r="E20" s="65" t="s">
        <v>90</v>
      </c>
      <c r="F20" s="62" t="s">
        <v>43</v>
      </c>
      <c r="G20" s="49">
        <v>2</v>
      </c>
      <c r="H20" s="138">
        <f>IF(B$27=0,0,G20/B$27)</f>
        <v>9.7560975609756097E-3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-8.562385321100912</v>
      </c>
      <c r="P20" s="125">
        <v>109</v>
      </c>
      <c r="Q20" s="113">
        <v>-933.2999999999995</v>
      </c>
    </row>
    <row r="21" spans="1:17" x14ac:dyDescent="0.4">
      <c r="A21" s="57" t="s">
        <v>5</v>
      </c>
      <c r="B21" s="53">
        <f>IF(B$17=0,0,C21/B$17)</f>
        <v>11045.112781954887</v>
      </c>
      <c r="C21" s="43">
        <v>2938000</v>
      </c>
      <c r="E21" s="65" t="s">
        <v>97</v>
      </c>
      <c r="F21" s="62" t="s">
        <v>50</v>
      </c>
      <c r="G21" s="49">
        <v>2</v>
      </c>
      <c r="H21" s="138">
        <f>IF(B$27=0,0,G21/B$27)</f>
        <v>9.7560975609756097E-3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-9575.7731958762888</v>
      </c>
      <c r="C22" s="47">
        <v>-1857700</v>
      </c>
      <c r="E22" s="65" t="s">
        <v>77</v>
      </c>
      <c r="F22" s="62" t="s">
        <v>30</v>
      </c>
      <c r="G22" s="49">
        <v>1</v>
      </c>
      <c r="H22" s="138">
        <f>IF(B$27=0,0,G22/B$27)</f>
        <v>4.8780487804878049E-3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44">
        <v>10</v>
      </c>
      <c r="C23" s="145"/>
      <c r="E23" s="65" t="s">
        <v>78</v>
      </c>
      <c r="F23" s="62" t="s">
        <v>31</v>
      </c>
      <c r="G23" s="49">
        <v>1</v>
      </c>
      <c r="H23" s="138">
        <f>IF(B$27=0,0,G23/B$27)</f>
        <v>4.8780487804878049E-3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-15.664705882352939</v>
      </c>
      <c r="P23" s="125">
        <v>34</v>
      </c>
      <c r="Q23" s="113">
        <v>-532.59999999999991</v>
      </c>
    </row>
    <row r="24" spans="1:17" x14ac:dyDescent="0.4">
      <c r="A24" s="60" t="s">
        <v>199</v>
      </c>
      <c r="B24" s="142">
        <v>97700</v>
      </c>
      <c r="C24" s="143"/>
      <c r="E24" s="65" t="s">
        <v>85</v>
      </c>
      <c r="F24" s="62" t="s">
        <v>38</v>
      </c>
      <c r="G24" s="49">
        <v>1</v>
      </c>
      <c r="H24" s="138">
        <f>IF(B$27=0,0,G24/B$27)</f>
        <v>4.8780487804878049E-3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3.929273084479371E-3</v>
      </c>
      <c r="E25" s="65" t="s">
        <v>92</v>
      </c>
      <c r="F25" s="62" t="s">
        <v>45</v>
      </c>
      <c r="G25" s="49">
        <v>1</v>
      </c>
      <c r="H25" s="138">
        <f>IF(B$27=0,0,G25/B$27)</f>
        <v>4.8780487804878049E-3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8">
        <v>757</v>
      </c>
      <c r="C26" s="149"/>
      <c r="E26" s="65" t="s">
        <v>93</v>
      </c>
      <c r="F26" s="62" t="s">
        <v>46</v>
      </c>
      <c r="G26" s="49">
        <v>1</v>
      </c>
      <c r="H26" s="138">
        <f>IF(B$27=0,0,G26/B$27)</f>
        <v>4.8780487804878049E-3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0">
        <v>205</v>
      </c>
      <c r="C27" s="151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5830-C844-4225-8E28-CBA41B9D4F56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135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61</v>
      </c>
      <c r="C2" s="149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54">
        <v>441</v>
      </c>
      <c r="C3" s="155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56">
        <v>256.20000000000005</v>
      </c>
      <c r="C4" s="157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8">
        <f>IF(B$2=0,0,B$4/B$2)</f>
        <v>4.2000000000000011</v>
      </c>
      <c r="C5" s="159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46">
        <f>IF(B$2=0,0,(B$7*1+B$8*2+B$9*3)/B$2)</f>
        <v>1.9180327868852458</v>
      </c>
      <c r="C6" s="147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7</v>
      </c>
      <c r="K6" s="40">
        <v>4</v>
      </c>
      <c r="L6" s="105">
        <v>-53.7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10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9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69.8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42">
        <v>118000</v>
      </c>
      <c r="C24" s="143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8">
        <v>203</v>
      </c>
      <c r="C26" s="149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0">
        <v>66</v>
      </c>
      <c r="C27" s="151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9956B-318B-4D6A-B96A-47BE777A18D8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171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5</v>
      </c>
      <c r="C2" s="149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4">
        <v>37</v>
      </c>
      <c r="C3" s="155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6">
        <v>-86.4</v>
      </c>
      <c r="C4" s="157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8">
        <f>IF(B$2=0,0,B$4/B$2)</f>
        <v>-17.28</v>
      </c>
      <c r="C5" s="159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12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6">
        <f>IF(B$2=0,0,(B$7*1+B$8*2+B$9*3)/B$2)</f>
        <v>2.2000000000000002</v>
      </c>
      <c r="C6" s="147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10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6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4">
        <v>3</v>
      </c>
      <c r="C23" s="145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2">
        <v>57800</v>
      </c>
      <c r="C24" s="143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8">
        <v>31</v>
      </c>
      <c r="C26" s="149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0">
        <v>9</v>
      </c>
      <c r="C27" s="151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0A56-B950-4520-8F4C-C8F01B2E7B40}">
  <sheetPr codeName="Sheet19"/>
  <dimension ref="A1:Q6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136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67</v>
      </c>
      <c r="C2" s="149"/>
      <c r="E2" s="64" t="s">
        <v>71</v>
      </c>
      <c r="F2" s="61" t="s">
        <v>25</v>
      </c>
      <c r="G2" s="48">
        <v>80</v>
      </c>
      <c r="H2" s="137">
        <f>IF(B$27=0,0,G2/B$27)</f>
        <v>0.95238095238095233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-1573.1343283582089</v>
      </c>
      <c r="P2" s="124">
        <v>67</v>
      </c>
      <c r="Q2" s="108">
        <v>-105400</v>
      </c>
    </row>
    <row r="3" spans="1:17" x14ac:dyDescent="0.4">
      <c r="A3" s="57" t="s">
        <v>8</v>
      </c>
      <c r="B3" s="154">
        <v>513</v>
      </c>
      <c r="C3" s="155"/>
      <c r="E3" s="65" t="s">
        <v>69</v>
      </c>
      <c r="F3" s="62" t="s">
        <v>23</v>
      </c>
      <c r="G3" s="49">
        <v>59</v>
      </c>
      <c r="H3" s="138">
        <f>IF(B$27=0,0,G3/B$27)</f>
        <v>0.70238095238095233</v>
      </c>
      <c r="I3" s="100">
        <v>8</v>
      </c>
      <c r="K3" s="40">
        <v>1</v>
      </c>
      <c r="L3" s="105">
        <v>68.2</v>
      </c>
      <c r="N3" s="121" t="s">
        <v>148</v>
      </c>
      <c r="O3" s="128">
        <f t="shared" si="0"/>
        <v>-3320.6349206349205</v>
      </c>
      <c r="P3" s="125">
        <v>63</v>
      </c>
      <c r="Q3" s="109">
        <v>-209200</v>
      </c>
    </row>
    <row r="4" spans="1:17" x14ac:dyDescent="0.4">
      <c r="A4" s="57" t="s">
        <v>6</v>
      </c>
      <c r="B4" s="156">
        <v>-466.7</v>
      </c>
      <c r="C4" s="157"/>
      <c r="E4" s="65" t="s">
        <v>76</v>
      </c>
      <c r="F4" s="62" t="s">
        <v>29</v>
      </c>
      <c r="G4" s="49">
        <v>52</v>
      </c>
      <c r="H4" s="138">
        <f>IF(B$27=0,0,G4/B$27)</f>
        <v>0.61904761904761907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0"/>
        <v>-1152.7272727272727</v>
      </c>
      <c r="P4" s="125">
        <v>55</v>
      </c>
      <c r="Q4" s="109">
        <v>-63400</v>
      </c>
    </row>
    <row r="5" spans="1:17" x14ac:dyDescent="0.4">
      <c r="A5" s="57" t="s">
        <v>7</v>
      </c>
      <c r="B5" s="158">
        <f>IF(B$2=0,0,B$4/B$2)</f>
        <v>-6.9656716417910447</v>
      </c>
      <c r="C5" s="159"/>
      <c r="E5" s="65" t="s">
        <v>67</v>
      </c>
      <c r="F5" s="62" t="s">
        <v>21</v>
      </c>
      <c r="G5" s="49">
        <v>41</v>
      </c>
      <c r="H5" s="138">
        <f>IF(B$27=0,0,G5/B$27)</f>
        <v>0.48809523809523808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1198.1132075471698</v>
      </c>
      <c r="P5" s="125">
        <v>53</v>
      </c>
      <c r="Q5" s="109">
        <v>63500</v>
      </c>
    </row>
    <row r="6" spans="1:17" x14ac:dyDescent="0.4">
      <c r="A6" s="57" t="s">
        <v>1</v>
      </c>
      <c r="B6" s="146">
        <f>IF(B$2=0,0,(B$7*1+B$8*2+B$9*3)/B$2)</f>
        <v>2.2089552238805972</v>
      </c>
      <c r="C6" s="147"/>
      <c r="E6" s="65" t="s">
        <v>72</v>
      </c>
      <c r="F6" s="62" t="s">
        <v>12</v>
      </c>
      <c r="G6" s="49">
        <v>24</v>
      </c>
      <c r="H6" s="138">
        <f>IF(B$27=0,0,G6/B$27)</f>
        <v>0.2857142857142857</v>
      </c>
      <c r="I6" s="100">
        <v>8</v>
      </c>
      <c r="K6" s="40">
        <v>4</v>
      </c>
      <c r="L6" s="105">
        <v>57.699999999999996</v>
      </c>
      <c r="N6" s="121" t="s">
        <v>151</v>
      </c>
      <c r="O6" s="128">
        <f t="shared" si="0"/>
        <v>-2623.2558139534885</v>
      </c>
      <c r="P6" s="125">
        <v>43</v>
      </c>
      <c r="Q6" s="109">
        <v>-112800</v>
      </c>
    </row>
    <row r="7" spans="1:17" x14ac:dyDescent="0.4">
      <c r="A7" s="57" t="s">
        <v>2</v>
      </c>
      <c r="B7" s="49">
        <v>14</v>
      </c>
      <c r="C7" s="41">
        <f>IF(B$2=0,0,B7/B$2)</f>
        <v>0.20895522388059701</v>
      </c>
      <c r="E7" s="65" t="s">
        <v>68</v>
      </c>
      <c r="F7" s="62" t="s">
        <v>22</v>
      </c>
      <c r="G7" s="49">
        <v>12</v>
      </c>
      <c r="H7" s="138">
        <f>IF(B$27=0,0,G7/B$27)</f>
        <v>0.14285714285714285</v>
      </c>
      <c r="I7" s="100">
        <v>5</v>
      </c>
      <c r="K7" s="40">
        <v>5</v>
      </c>
      <c r="L7" s="105">
        <v>123.69999999999999</v>
      </c>
      <c r="N7" s="122" t="s">
        <v>152</v>
      </c>
      <c r="O7" s="129">
        <f t="shared" si="0"/>
        <v>-1193.939393939394</v>
      </c>
      <c r="P7" s="126">
        <v>33</v>
      </c>
      <c r="Q7" s="110">
        <v>-39400</v>
      </c>
    </row>
    <row r="8" spans="1:17" x14ac:dyDescent="0.4">
      <c r="A8" s="57" t="s">
        <v>3</v>
      </c>
      <c r="B8" s="49">
        <v>25</v>
      </c>
      <c r="C8" s="41">
        <f>IF(B$2=0,0,B8/B$2)</f>
        <v>0.37313432835820898</v>
      </c>
      <c r="E8" s="65" t="s">
        <v>73</v>
      </c>
      <c r="F8" s="62" t="s">
        <v>26</v>
      </c>
      <c r="G8" s="49">
        <v>10</v>
      </c>
      <c r="H8" s="138">
        <f>IF(B$27=0,0,G8/B$27)</f>
        <v>0.11904761904761904</v>
      </c>
      <c r="I8" s="100">
        <v>8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28</v>
      </c>
      <c r="C9" s="42">
        <f t="shared" ref="C9" si="1">IF(B$2=0,0,B9/B$2)</f>
        <v>0.41791044776119401</v>
      </c>
      <c r="E9" s="65" t="s">
        <v>70</v>
      </c>
      <c r="F9" s="62" t="s">
        <v>24</v>
      </c>
      <c r="G9" s="49">
        <v>8</v>
      </c>
      <c r="H9" s="138">
        <f>IF(B$27=0,0,G9/B$27)</f>
        <v>9.5238095238095233E-2</v>
      </c>
      <c r="I9" s="100">
        <v>13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0.19402985074626866</v>
      </c>
      <c r="E10" s="65" t="s">
        <v>94</v>
      </c>
      <c r="F10" s="62" t="s">
        <v>47</v>
      </c>
      <c r="G10" s="49">
        <v>6</v>
      </c>
      <c r="H10" s="138">
        <f>IF(B$27=0,0,G10/B$27)</f>
        <v>7.1428571428571425E-2</v>
      </c>
      <c r="I10" s="100">
        <v>12</v>
      </c>
      <c r="K10" s="40">
        <v>8</v>
      </c>
      <c r="L10" s="105">
        <v>96.5</v>
      </c>
      <c r="N10" s="120" t="s">
        <v>253</v>
      </c>
      <c r="O10" s="130">
        <f>IF(P10=0,0,Q10/P10)</f>
        <v>-9.6142857142857157</v>
      </c>
      <c r="P10" s="124">
        <v>28</v>
      </c>
      <c r="Q10" s="112">
        <v>-269.20000000000005</v>
      </c>
    </row>
    <row r="11" spans="1:17" x14ac:dyDescent="0.4">
      <c r="A11" s="58" t="s">
        <v>155</v>
      </c>
      <c r="B11" s="50">
        <v>9</v>
      </c>
      <c r="C11" s="42">
        <f>IF(B$2=0,0,B11/B$2)</f>
        <v>0.13432835820895522</v>
      </c>
      <c r="E11" s="65" t="s">
        <v>74</v>
      </c>
      <c r="F11" s="62" t="s">
        <v>27</v>
      </c>
      <c r="G11" s="49">
        <v>5</v>
      </c>
      <c r="H11" s="138">
        <f>IF(B$27=0,0,G11/B$27)</f>
        <v>5.9523809523809521E-2</v>
      </c>
      <c r="I11" s="100">
        <v>11</v>
      </c>
      <c r="K11" s="40">
        <v>9</v>
      </c>
      <c r="L11" s="105">
        <v>82.8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5.9701492537313432E-2</v>
      </c>
      <c r="E12" s="65" t="s">
        <v>75</v>
      </c>
      <c r="F12" s="62" t="s">
        <v>28</v>
      </c>
      <c r="G12" s="49">
        <v>4</v>
      </c>
      <c r="H12" s="138">
        <f>IF(B$27=0,0,G12/B$27)</f>
        <v>4.7619047619047616E-2</v>
      </c>
      <c r="I12" s="100">
        <v>6</v>
      </c>
      <c r="K12" s="40">
        <v>10</v>
      </c>
      <c r="L12" s="105">
        <v>110.5</v>
      </c>
      <c r="N12" s="122" t="s">
        <v>255</v>
      </c>
      <c r="O12" s="132">
        <f>IF(P12=0,0,Q12/P12)</f>
        <v>-3.7315789473684213</v>
      </c>
      <c r="P12" s="126">
        <v>19</v>
      </c>
      <c r="Q12" s="114">
        <v>-70.900000000000006</v>
      </c>
    </row>
    <row r="13" spans="1:17" x14ac:dyDescent="0.4">
      <c r="A13" s="60" t="s">
        <v>128</v>
      </c>
      <c r="B13" s="52">
        <v>87</v>
      </c>
      <c r="C13" s="46">
        <f>IF(B$26=0,0,B13/B$26)</f>
        <v>0.26126126126126126</v>
      </c>
      <c r="E13" s="65" t="s">
        <v>82</v>
      </c>
      <c r="F13" s="62" t="s">
        <v>35</v>
      </c>
      <c r="G13" s="49">
        <v>4</v>
      </c>
      <c r="H13" s="138">
        <f>IF(B$27=0,0,G13/B$27)</f>
        <v>4.7619047619047616E-2</v>
      </c>
      <c r="I13" s="100">
        <v>3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89</v>
      </c>
      <c r="C14" s="41">
        <f>IF(B$26=0,0,B14/B$26)</f>
        <v>0.26726726726726729</v>
      </c>
      <c r="E14" s="65" t="s">
        <v>83</v>
      </c>
      <c r="F14" s="62" t="s">
        <v>36</v>
      </c>
      <c r="G14" s="49">
        <v>3</v>
      </c>
      <c r="H14" s="138">
        <f>IF(B$27=0,0,G14/B$27)</f>
        <v>3.5714285714285712E-2</v>
      </c>
      <c r="I14" s="100">
        <v>4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42</v>
      </c>
      <c r="C15" s="39">
        <f>IF(B$13=0,0,B15/B$13)</f>
        <v>0.48275862068965519</v>
      </c>
      <c r="E15" s="65" t="s">
        <v>91</v>
      </c>
      <c r="F15" s="62" t="s">
        <v>44</v>
      </c>
      <c r="G15" s="49">
        <v>3</v>
      </c>
      <c r="H15" s="138">
        <f>IF(B$27=0,0,G15/B$27)</f>
        <v>3.5714285714285712E-2</v>
      </c>
      <c r="I15" s="100">
        <v>12</v>
      </c>
      <c r="K15" s="40">
        <v>13</v>
      </c>
      <c r="L15" s="105">
        <v>13.299999999999994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33</v>
      </c>
      <c r="C16" s="39">
        <f>IF(B$14=0,0,B16/B$14)</f>
        <v>0.3707865168539326</v>
      </c>
      <c r="E16" s="65" t="s">
        <v>88</v>
      </c>
      <c r="F16" s="62" t="s">
        <v>41</v>
      </c>
      <c r="G16" s="49">
        <v>2</v>
      </c>
      <c r="H16" s="138">
        <f>IF(B$27=0,0,G16/B$27)</f>
        <v>2.3809523809523808E-2</v>
      </c>
      <c r="I16" s="100">
        <v>10</v>
      </c>
      <c r="K16" s="40">
        <v>14</v>
      </c>
      <c r="L16" s="105">
        <v>4.7999999999999936</v>
      </c>
      <c r="N16" s="121" t="s">
        <v>139</v>
      </c>
      <c r="O16" s="131">
        <f>IF(P16=0,0,Q16/P16)</f>
        <v>9.2181818181818205</v>
      </c>
      <c r="P16" s="125">
        <v>11</v>
      </c>
      <c r="Q16" s="113">
        <v>101.40000000000003</v>
      </c>
    </row>
    <row r="17" spans="1:17" x14ac:dyDescent="0.4">
      <c r="A17" s="56" t="s">
        <v>10</v>
      </c>
      <c r="B17" s="48">
        <f>B19+B18</f>
        <v>135</v>
      </c>
      <c r="C17" s="39">
        <f>IF(B$3=0,0,B17/B$3)</f>
        <v>0.26315789473684209</v>
      </c>
      <c r="E17" s="65" t="s">
        <v>79</v>
      </c>
      <c r="F17" s="62" t="s">
        <v>32</v>
      </c>
      <c r="G17" s="49">
        <v>1</v>
      </c>
      <c r="H17" s="138">
        <f>IF(B$27=0,0,G17/B$27)</f>
        <v>1.1904761904761904E-2</v>
      </c>
      <c r="I17" s="100">
        <v>1</v>
      </c>
      <c r="K17" s="40">
        <v>15</v>
      </c>
      <c r="L17" s="105">
        <v>-33.700000000000003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61</v>
      </c>
      <c r="C18" s="41">
        <f>IF(B$17=0,0,B18/B$17)</f>
        <v>0.45185185185185184</v>
      </c>
      <c r="E18" s="65" t="s">
        <v>86</v>
      </c>
      <c r="F18" s="62" t="s">
        <v>39</v>
      </c>
      <c r="G18" s="49">
        <v>1</v>
      </c>
      <c r="H18" s="138">
        <f>IF(B$27=0,0,G18/B$27)</f>
        <v>1.1904761904761904E-2</v>
      </c>
      <c r="I18" s="100">
        <v>9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74</v>
      </c>
      <c r="C19" s="41">
        <f>IF(B$17=0,0,B19/B$17)</f>
        <v>0.54814814814814816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-45.000000000000007</v>
      </c>
      <c r="N19" s="121" t="s">
        <v>133</v>
      </c>
      <c r="O19" s="131">
        <f>IF(P19=0,0,Q19/P19)</f>
        <v>-14.775471698113213</v>
      </c>
      <c r="P19" s="125">
        <v>53</v>
      </c>
      <c r="Q19" s="113">
        <v>-783.10000000000025</v>
      </c>
    </row>
    <row r="20" spans="1:17" x14ac:dyDescent="0.4">
      <c r="A20" s="57" t="s">
        <v>13</v>
      </c>
      <c r="B20" s="49">
        <v>94</v>
      </c>
      <c r="C20" s="41">
        <f>IF(B$3=0,0,B20/B$3)</f>
        <v>0.18323586744639375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-30.300000000000008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9329.6296296296296</v>
      </c>
      <c r="C21" s="43">
        <v>1259500</v>
      </c>
      <c r="E21" s="65" t="s">
        <v>80</v>
      </c>
      <c r="F21" s="62" t="s">
        <v>33</v>
      </c>
      <c r="G21" s="49">
        <v>0</v>
      </c>
      <c r="H21" s="138">
        <f>IF(B$27=0,0,G21/B$27)</f>
        <v>0</v>
      </c>
      <c r="I21" s="100">
        <v>1</v>
      </c>
      <c r="K21" s="40">
        <v>19</v>
      </c>
      <c r="L21" s="105">
        <v>17.699999999999992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-10007.446808510638</v>
      </c>
      <c r="C22" s="47">
        <v>-940700</v>
      </c>
      <c r="E22" s="65" t="s">
        <v>81</v>
      </c>
      <c r="F22" s="62" t="s">
        <v>34</v>
      </c>
      <c r="G22" s="49">
        <v>0</v>
      </c>
      <c r="H22" s="138">
        <f>IF(B$27=0,0,G22/B$27)</f>
        <v>0</v>
      </c>
      <c r="I22" s="100">
        <v>6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44">
        <v>6</v>
      </c>
      <c r="C23" s="14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42">
        <v>103200</v>
      </c>
      <c r="C24" s="14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3.8986354775828458E-3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8">
        <v>333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0">
        <v>84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4BC47-3766-4D03-A3C9-35608600F7E7}">
  <sheetPr codeName="Sheet21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111</v>
      </c>
      <c r="C2" s="149"/>
      <c r="E2" s="64" t="s">
        <v>71</v>
      </c>
      <c r="F2" s="61" t="s">
        <v>25</v>
      </c>
      <c r="G2" s="48">
        <v>192</v>
      </c>
      <c r="H2" s="137">
        <f>IF(B$27=0,0,G2/B$27)</f>
        <v>0.89302325581395348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1764.2201834862385</v>
      </c>
      <c r="P2" s="124">
        <v>109</v>
      </c>
      <c r="Q2" s="108">
        <v>192300</v>
      </c>
    </row>
    <row r="3" spans="1:17" x14ac:dyDescent="0.4">
      <c r="A3" s="57" t="s">
        <v>8</v>
      </c>
      <c r="B3" s="154">
        <v>838</v>
      </c>
      <c r="C3" s="155"/>
      <c r="E3" s="65" t="s">
        <v>69</v>
      </c>
      <c r="F3" s="62" t="s">
        <v>23</v>
      </c>
      <c r="G3" s="49">
        <v>164</v>
      </c>
      <c r="H3" s="138">
        <f>IF(B$27=0,0,G3/B$27)</f>
        <v>0.76279069767441865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505.82524271844659</v>
      </c>
      <c r="P3" s="125">
        <v>103</v>
      </c>
      <c r="Q3" s="109">
        <v>52100</v>
      </c>
    </row>
    <row r="4" spans="1:17" x14ac:dyDescent="0.4">
      <c r="A4" s="57" t="s">
        <v>6</v>
      </c>
      <c r="B4" s="156">
        <v>216.99999999999983</v>
      </c>
      <c r="C4" s="157"/>
      <c r="E4" s="65" t="s">
        <v>76</v>
      </c>
      <c r="F4" s="62" t="s">
        <v>29</v>
      </c>
      <c r="G4" s="49">
        <v>121</v>
      </c>
      <c r="H4" s="138">
        <f>IF(B$27=0,0,G4/B$27)</f>
        <v>0.56279069767441858</v>
      </c>
      <c r="I4" s="100">
        <v>7</v>
      </c>
      <c r="K4" s="40">
        <v>2</v>
      </c>
      <c r="L4" s="105">
        <v>-45.300000000000004</v>
      </c>
      <c r="N4" s="121" t="s">
        <v>149</v>
      </c>
      <c r="O4" s="128">
        <f t="shared" si="0"/>
        <v>-113.68421052631579</v>
      </c>
      <c r="P4" s="125">
        <v>95</v>
      </c>
      <c r="Q4" s="109">
        <v>-10800</v>
      </c>
    </row>
    <row r="5" spans="1:17" x14ac:dyDescent="0.4">
      <c r="A5" s="57" t="s">
        <v>7</v>
      </c>
      <c r="B5" s="158">
        <f>IF(B$2=0,0,B$4/B$2)</f>
        <v>1.9549549549549534</v>
      </c>
      <c r="C5" s="159"/>
      <c r="E5" s="65" t="s">
        <v>67</v>
      </c>
      <c r="F5" s="62" t="s">
        <v>21</v>
      </c>
      <c r="G5" s="49">
        <v>119</v>
      </c>
      <c r="H5" s="138">
        <f>IF(B$27=0,0,G5/B$27)</f>
        <v>0.55348837209302326</v>
      </c>
      <c r="I5" s="100">
        <v>6</v>
      </c>
      <c r="K5" s="40">
        <v>3</v>
      </c>
      <c r="L5" s="105">
        <v>-81.7</v>
      </c>
      <c r="N5" s="121" t="s">
        <v>150</v>
      </c>
      <c r="O5" s="128">
        <f t="shared" si="0"/>
        <v>-1394.3820224719102</v>
      </c>
      <c r="P5" s="125">
        <v>89</v>
      </c>
      <c r="Q5" s="109">
        <v>-124100</v>
      </c>
    </row>
    <row r="6" spans="1:17" x14ac:dyDescent="0.4">
      <c r="A6" s="57" t="s">
        <v>1</v>
      </c>
      <c r="B6" s="146">
        <f>IF(B$2=0,0,(B$7*1+B$8*2+B$9*3)/B$2)</f>
        <v>1.9369369369369369</v>
      </c>
      <c r="C6" s="147"/>
      <c r="E6" s="65" t="s">
        <v>70</v>
      </c>
      <c r="F6" s="62" t="s">
        <v>24</v>
      </c>
      <c r="G6" s="49">
        <v>80</v>
      </c>
      <c r="H6" s="138">
        <f>IF(B$27=0,0,G6/B$27)</f>
        <v>0.37209302325581395</v>
      </c>
      <c r="I6" s="100">
        <v>3</v>
      </c>
      <c r="K6" s="40">
        <v>4</v>
      </c>
      <c r="L6" s="105">
        <v>-114.30000000000001</v>
      </c>
      <c r="N6" s="121" t="s">
        <v>151</v>
      </c>
      <c r="O6" s="128">
        <f t="shared" si="0"/>
        <v>1049.3506493506493</v>
      </c>
      <c r="P6" s="125">
        <v>77</v>
      </c>
      <c r="Q6" s="109">
        <v>80800</v>
      </c>
    </row>
    <row r="7" spans="1:17" x14ac:dyDescent="0.4">
      <c r="A7" s="57" t="s">
        <v>2</v>
      </c>
      <c r="B7" s="49">
        <v>41</v>
      </c>
      <c r="C7" s="41">
        <f>IF(B$2=0,0,B7/B$2)</f>
        <v>0.36936936936936937</v>
      </c>
      <c r="E7" s="65" t="s">
        <v>72</v>
      </c>
      <c r="F7" s="62" t="s">
        <v>12</v>
      </c>
      <c r="G7" s="49">
        <v>70</v>
      </c>
      <c r="H7" s="138">
        <f>IF(B$27=0,0,G7/B$27)</f>
        <v>0.32558139534883723</v>
      </c>
      <c r="I7" s="100">
        <v>4</v>
      </c>
      <c r="K7" s="40">
        <v>5</v>
      </c>
      <c r="L7" s="105">
        <v>-136.30000000000001</v>
      </c>
      <c r="N7" s="122" t="s">
        <v>152</v>
      </c>
      <c r="O7" s="129">
        <f t="shared" si="0"/>
        <v>-215.38461538461539</v>
      </c>
      <c r="P7" s="126">
        <v>65</v>
      </c>
      <c r="Q7" s="110">
        <v>-14000</v>
      </c>
    </row>
    <row r="8" spans="1:17" x14ac:dyDescent="0.4">
      <c r="A8" s="57" t="s">
        <v>3</v>
      </c>
      <c r="B8" s="49">
        <v>36</v>
      </c>
      <c r="C8" s="41">
        <f>IF(B$2=0,0,B8/B$2)</f>
        <v>0.32432432432432434</v>
      </c>
      <c r="E8" s="65" t="s">
        <v>73</v>
      </c>
      <c r="F8" s="62" t="s">
        <v>26</v>
      </c>
      <c r="G8" s="49">
        <v>40</v>
      </c>
      <c r="H8" s="138">
        <f>IF(B$27=0,0,G8/B$27)</f>
        <v>0.18604651162790697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0.30630630630630629</v>
      </c>
      <c r="E9" s="65" t="s">
        <v>94</v>
      </c>
      <c r="F9" s="62" t="s">
        <v>47</v>
      </c>
      <c r="G9" s="49">
        <v>33</v>
      </c>
      <c r="H9" s="138">
        <f>IF(B$27=0,0,G9/B$27)</f>
        <v>0.15348837209302327</v>
      </c>
      <c r="I9" s="100">
        <v>7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0.11711711711711711</v>
      </c>
      <c r="E10" s="65" t="s">
        <v>68</v>
      </c>
      <c r="F10" s="62" t="s">
        <v>22</v>
      </c>
      <c r="G10" s="49">
        <v>25</v>
      </c>
      <c r="H10" s="138">
        <f>IF(B$27=0,0,G10/B$27)</f>
        <v>0.11627906976744186</v>
      </c>
      <c r="I10" s="100">
        <v>7</v>
      </c>
      <c r="K10" s="40">
        <v>8</v>
      </c>
      <c r="L10" s="105">
        <v>-52.300000000000018</v>
      </c>
      <c r="N10" s="120" t="s">
        <v>253</v>
      </c>
      <c r="O10" s="130">
        <f>IF(P10=0,0,Q10/P10)</f>
        <v>4.6319999999999979</v>
      </c>
      <c r="P10" s="124">
        <v>50</v>
      </c>
      <c r="Q10" s="112">
        <v>231.59999999999991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0.17117117117117117</v>
      </c>
      <c r="E11" s="65" t="s">
        <v>74</v>
      </c>
      <c r="F11" s="62" t="s">
        <v>27</v>
      </c>
      <c r="G11" s="49">
        <v>19</v>
      </c>
      <c r="H11" s="138">
        <f>IF(B$27=0,0,G11/B$27)</f>
        <v>8.8372093023255813E-2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9.90990990990991E-2</v>
      </c>
      <c r="E12" s="65" t="s">
        <v>82</v>
      </c>
      <c r="F12" s="62" t="s">
        <v>35</v>
      </c>
      <c r="G12" s="49">
        <v>14</v>
      </c>
      <c r="H12" s="138">
        <f>IF(B$27=0,0,G12/B$27)</f>
        <v>6.5116279069767441E-2</v>
      </c>
      <c r="I12" s="100">
        <v>1</v>
      </c>
      <c r="K12" s="40">
        <v>10</v>
      </c>
      <c r="L12" s="105">
        <v>-72.800000000000026</v>
      </c>
      <c r="N12" s="122" t="s">
        <v>255</v>
      </c>
      <c r="O12" s="132">
        <f>IF(P12=0,0,Q12/P12)</f>
        <v>4.5178571428571432</v>
      </c>
      <c r="P12" s="126">
        <v>28</v>
      </c>
      <c r="Q12" s="114">
        <v>126.5</v>
      </c>
    </row>
    <row r="13" spans="1:17" x14ac:dyDescent="0.4">
      <c r="A13" s="60" t="s">
        <v>128</v>
      </c>
      <c r="B13" s="52">
        <v>218</v>
      </c>
      <c r="C13" s="46">
        <f>IF(B$26=0,0,B13/B$26)</f>
        <v>0.3061797752808989</v>
      </c>
      <c r="E13" s="65" t="s">
        <v>75</v>
      </c>
      <c r="F13" s="62" t="s">
        <v>28</v>
      </c>
      <c r="G13" s="49">
        <v>13</v>
      </c>
      <c r="H13" s="138">
        <f>IF(B$27=0,0,G13/B$27)</f>
        <v>6.0465116279069767E-2</v>
      </c>
      <c r="I13" s="100">
        <v>3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154</v>
      </c>
      <c r="C14" s="41">
        <f>IF(B$26=0,0,B14/B$26)</f>
        <v>0.21629213483146068</v>
      </c>
      <c r="E14" s="65" t="s">
        <v>91</v>
      </c>
      <c r="F14" s="62" t="s">
        <v>44</v>
      </c>
      <c r="G14" s="49">
        <v>9</v>
      </c>
      <c r="H14" s="138">
        <f>IF(B$27=0,0,G14/B$27)</f>
        <v>4.1860465116279069E-2</v>
      </c>
      <c r="I14" s="100">
        <v>11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121</v>
      </c>
      <c r="C15" s="39">
        <f>IF(B$13=0,0,B15/B$13)</f>
        <v>0.55504587155963303</v>
      </c>
      <c r="E15" s="65" t="s">
        <v>86</v>
      </c>
      <c r="F15" s="62" t="s">
        <v>39</v>
      </c>
      <c r="G15" s="49">
        <v>8</v>
      </c>
      <c r="H15" s="138">
        <f>IF(B$27=0,0,G15/B$27)</f>
        <v>3.7209302325581395E-2</v>
      </c>
      <c r="I15" s="100">
        <v>5</v>
      </c>
      <c r="K15" s="40">
        <v>13</v>
      </c>
      <c r="L15" s="105">
        <v>-43.200000000000024</v>
      </c>
      <c r="N15" s="120" t="s">
        <v>134</v>
      </c>
      <c r="O15" s="130">
        <f>IF(P15=0,0,Q15/P15)</f>
        <v>15.664705882352939</v>
      </c>
      <c r="P15" s="124">
        <v>34</v>
      </c>
      <c r="Q15" s="112">
        <v>532.59999999999991</v>
      </c>
    </row>
    <row r="16" spans="1:17" x14ac:dyDescent="0.4">
      <c r="A16" s="56" t="s">
        <v>131</v>
      </c>
      <c r="B16" s="48">
        <v>59</v>
      </c>
      <c r="C16" s="39">
        <f>IF(B$14=0,0,B16/B$14)</f>
        <v>0.38311688311688313</v>
      </c>
      <c r="E16" s="65" t="s">
        <v>88</v>
      </c>
      <c r="F16" s="62" t="s">
        <v>41</v>
      </c>
      <c r="G16" s="49">
        <v>7</v>
      </c>
      <c r="H16" s="138">
        <f>IF(B$27=0,0,G16/B$27)</f>
        <v>3.255813953488372E-2</v>
      </c>
      <c r="I16" s="100">
        <v>7</v>
      </c>
      <c r="K16" s="40">
        <v>14</v>
      </c>
      <c r="L16" s="105">
        <v>-50.400000000000027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252</v>
      </c>
      <c r="C17" s="39">
        <f>IF(B$3=0,0,B17/B$3)</f>
        <v>0.30071599045346065</v>
      </c>
      <c r="E17" s="65" t="s">
        <v>77</v>
      </c>
      <c r="F17" s="62" t="s">
        <v>30</v>
      </c>
      <c r="G17" s="49">
        <v>4</v>
      </c>
      <c r="H17" s="138">
        <f>IF(B$27=0,0,G17/B$27)</f>
        <v>1.8604651162790697E-2</v>
      </c>
      <c r="I17" s="100">
        <v>2</v>
      </c>
      <c r="K17" s="40">
        <v>15</v>
      </c>
      <c r="L17" s="105">
        <v>23.89999999999997</v>
      </c>
      <c r="N17" s="121" t="s">
        <v>139</v>
      </c>
      <c r="O17" s="131">
        <f>IF(P17=0,0,Q17/P17)</f>
        <v>14.182499999999996</v>
      </c>
      <c r="P17" s="125">
        <v>40</v>
      </c>
      <c r="Q17" s="113">
        <v>567.29999999999984</v>
      </c>
    </row>
    <row r="18" spans="1:17" x14ac:dyDescent="0.4">
      <c r="A18" s="57" t="s">
        <v>12</v>
      </c>
      <c r="B18" s="49">
        <v>113</v>
      </c>
      <c r="C18" s="41">
        <f>IF(B$17=0,0,B18/B$17)</f>
        <v>0.44841269841269843</v>
      </c>
      <c r="E18" s="65" t="s">
        <v>96</v>
      </c>
      <c r="F18" s="62" t="s">
        <v>49</v>
      </c>
      <c r="G18" s="49">
        <v>4</v>
      </c>
      <c r="H18" s="138">
        <f>IF(B$27=0,0,G18/B$27)</f>
        <v>1.8604651162790697E-2</v>
      </c>
      <c r="I18" s="100">
        <v>6</v>
      </c>
      <c r="K18" s="40">
        <v>16</v>
      </c>
      <c r="L18" s="105">
        <v>58.89999999999997</v>
      </c>
      <c r="N18" s="121" t="s">
        <v>136</v>
      </c>
      <c r="O18" s="131">
        <f>IF(P18=0,0,Q18/P18)</f>
        <v>-3.3548387096774213</v>
      </c>
      <c r="P18" s="125">
        <v>31</v>
      </c>
      <c r="Q18" s="113">
        <v>-104.00000000000006</v>
      </c>
    </row>
    <row r="19" spans="1:17" x14ac:dyDescent="0.4">
      <c r="A19" s="57" t="s">
        <v>11</v>
      </c>
      <c r="B19" s="49">
        <v>139</v>
      </c>
      <c r="C19" s="41">
        <f>IF(B$17=0,0,B19/B$17)</f>
        <v>0.55158730158730163</v>
      </c>
      <c r="E19" s="65" t="s">
        <v>81</v>
      </c>
      <c r="F19" s="62" t="s">
        <v>34</v>
      </c>
      <c r="G19" s="49">
        <v>2</v>
      </c>
      <c r="H19" s="138">
        <f>IF(B$27=0,0,G19/B$27)</f>
        <v>9.3023255813953487E-3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-3.38</v>
      </c>
      <c r="P19" s="125">
        <v>5</v>
      </c>
      <c r="Q19" s="113">
        <v>-16.899999999999999</v>
      </c>
    </row>
    <row r="20" spans="1:17" x14ac:dyDescent="0.4">
      <c r="A20" s="57" t="s">
        <v>13</v>
      </c>
      <c r="B20" s="49">
        <v>137</v>
      </c>
      <c r="C20" s="41">
        <f>IF(B$3=0,0,B20/B$3)</f>
        <v>0.16348448687350836</v>
      </c>
      <c r="E20" s="65" t="s">
        <v>83</v>
      </c>
      <c r="F20" s="62" t="s">
        <v>36</v>
      </c>
      <c r="G20" s="49">
        <v>2</v>
      </c>
      <c r="H20" s="138">
        <f>IF(B$27=0,0,G20/B$27)</f>
        <v>9.3023255813953487E-3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-3.9043478260869557</v>
      </c>
      <c r="P20" s="125">
        <v>92</v>
      </c>
      <c r="Q20" s="113">
        <v>-359.19999999999993</v>
      </c>
    </row>
    <row r="21" spans="1:17" x14ac:dyDescent="0.4">
      <c r="A21" s="57" t="s">
        <v>5</v>
      </c>
      <c r="B21" s="53">
        <f>IF(B$17=0,0,C21/B$17)</f>
        <v>10511.507936507936</v>
      </c>
      <c r="C21" s="43">
        <v>2648900</v>
      </c>
      <c r="E21" s="65" t="s">
        <v>98</v>
      </c>
      <c r="F21" s="62" t="s">
        <v>51</v>
      </c>
      <c r="G21" s="49">
        <v>2</v>
      </c>
      <c r="H21" s="138">
        <f>IF(B$27=0,0,G21/B$27)</f>
        <v>9.3023255813953487E-3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-9275.9124087591244</v>
      </c>
      <c r="C22" s="47">
        <v>-1270800</v>
      </c>
      <c r="E22" s="65" t="s">
        <v>78</v>
      </c>
      <c r="F22" s="62" t="s">
        <v>31</v>
      </c>
      <c r="G22" s="49">
        <v>1</v>
      </c>
      <c r="H22" s="138">
        <f>IF(B$27=0,0,G22/B$27)</f>
        <v>4.6511627906976744E-3</v>
      </c>
      <c r="I22" s="100">
        <v>2</v>
      </c>
      <c r="K22" s="40">
        <v>20</v>
      </c>
      <c r="L22" s="105">
        <v>126.89999999999996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44">
        <v>9</v>
      </c>
      <c r="C23" s="145"/>
      <c r="E23" s="65" t="s">
        <v>79</v>
      </c>
      <c r="F23" s="62" t="s">
        <v>32</v>
      </c>
      <c r="G23" s="49">
        <v>1</v>
      </c>
      <c r="H23" s="138">
        <f>IF(B$27=0,0,G23/B$27)</f>
        <v>4.6511627906976744E-3</v>
      </c>
      <c r="I23" s="100">
        <v>5</v>
      </c>
      <c r="K23" s="40">
        <v>21</v>
      </c>
      <c r="L23" s="105">
        <v>129.69999999999996</v>
      </c>
    </row>
    <row r="24" spans="1:17" x14ac:dyDescent="0.4">
      <c r="A24" s="60" t="s">
        <v>199</v>
      </c>
      <c r="B24" s="142">
        <v>109300</v>
      </c>
      <c r="C24" s="143"/>
      <c r="E24" s="65" t="s">
        <v>89</v>
      </c>
      <c r="F24" s="62" t="s">
        <v>42</v>
      </c>
      <c r="G24" s="49">
        <v>1</v>
      </c>
      <c r="H24" s="138">
        <f>IF(B$27=0,0,G24/B$27)</f>
        <v>4.6511627906976744E-3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3.5799522673031028E-3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8">
        <v>712</v>
      </c>
      <c r="C26" s="149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0">
        <v>215</v>
      </c>
      <c r="C27" s="151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91D7-9C18-4418-9DFA-5B22FF25AFF4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138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32</v>
      </c>
      <c r="C2" s="149"/>
      <c r="E2" s="64" t="s">
        <v>71</v>
      </c>
      <c r="F2" s="61" t="s">
        <v>25</v>
      </c>
      <c r="G2" s="48">
        <v>43</v>
      </c>
      <c r="H2" s="137">
        <f>IF(B$27=0,0,G2/B$27)</f>
        <v>0.97727272727272729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543.75</v>
      </c>
      <c r="P2" s="124">
        <v>32</v>
      </c>
      <c r="Q2" s="108">
        <v>17400</v>
      </c>
    </row>
    <row r="3" spans="1:17" x14ac:dyDescent="0.4">
      <c r="A3" s="57" t="s">
        <v>8</v>
      </c>
      <c r="B3" s="154">
        <v>262</v>
      </c>
      <c r="C3" s="155"/>
      <c r="E3" s="65" t="s">
        <v>67</v>
      </c>
      <c r="F3" s="62" t="s">
        <v>21</v>
      </c>
      <c r="G3" s="49">
        <v>30</v>
      </c>
      <c r="H3" s="138">
        <f>IF(B$27=0,0,G3/B$27)</f>
        <v>0.68181818181818177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2250</v>
      </c>
      <c r="P3" s="125">
        <v>30</v>
      </c>
      <c r="Q3" s="109">
        <v>67500</v>
      </c>
    </row>
    <row r="4" spans="1:17" x14ac:dyDescent="0.4">
      <c r="A4" s="57" t="s">
        <v>6</v>
      </c>
      <c r="B4" s="156">
        <v>8.2000000000000242</v>
      </c>
      <c r="C4" s="157"/>
      <c r="E4" s="65" t="s">
        <v>70</v>
      </c>
      <c r="F4" s="62" t="s">
        <v>24</v>
      </c>
      <c r="G4" s="49">
        <v>24</v>
      </c>
      <c r="H4" s="138">
        <f>IF(B$27=0,0,G4/B$27)</f>
        <v>0.54545454545454541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-900</v>
      </c>
      <c r="P4" s="125">
        <v>27</v>
      </c>
      <c r="Q4" s="109">
        <v>-24300</v>
      </c>
    </row>
    <row r="5" spans="1:17" x14ac:dyDescent="0.4">
      <c r="A5" s="57" t="s">
        <v>7</v>
      </c>
      <c r="B5" s="158">
        <f>IF(B$2=0,0,B$4/B$2)</f>
        <v>0.25625000000000075</v>
      </c>
      <c r="C5" s="159"/>
      <c r="E5" s="65" t="s">
        <v>69</v>
      </c>
      <c r="F5" s="62" t="s">
        <v>23</v>
      </c>
      <c r="G5" s="49">
        <v>23</v>
      </c>
      <c r="H5" s="138">
        <f>IF(B$27=0,0,G5/B$27)</f>
        <v>0.52272727272727271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608</v>
      </c>
      <c r="P5" s="125">
        <v>25</v>
      </c>
      <c r="Q5" s="109">
        <v>15200</v>
      </c>
    </row>
    <row r="6" spans="1:17" x14ac:dyDescent="0.4">
      <c r="A6" s="57" t="s">
        <v>1</v>
      </c>
      <c r="B6" s="146">
        <f>IF(B$2=0,0,(B$7*1+B$8*2+B$9*3)/B$2)</f>
        <v>2.03125</v>
      </c>
      <c r="C6" s="147"/>
      <c r="E6" s="65" t="s">
        <v>76</v>
      </c>
      <c r="F6" s="62" t="s">
        <v>29</v>
      </c>
      <c r="G6" s="49">
        <v>19</v>
      </c>
      <c r="H6" s="138">
        <f>IF(B$27=0,0,G6/B$27)</f>
        <v>0.43181818181818182</v>
      </c>
      <c r="I6" s="100">
        <v>13</v>
      </c>
      <c r="K6" s="40">
        <v>4</v>
      </c>
      <c r="L6" s="105">
        <v>-44.3</v>
      </c>
      <c r="N6" s="121" t="s">
        <v>151</v>
      </c>
      <c r="O6" s="128">
        <f t="shared" si="0"/>
        <v>-1685.7142857142858</v>
      </c>
      <c r="P6" s="125">
        <v>21</v>
      </c>
      <c r="Q6" s="109">
        <v>-35400</v>
      </c>
    </row>
    <row r="7" spans="1:17" x14ac:dyDescent="0.4">
      <c r="A7" s="57" t="s">
        <v>2</v>
      </c>
      <c r="B7" s="49">
        <v>11</v>
      </c>
      <c r="C7" s="41">
        <f>IF(B$2=0,0,B7/B$2)</f>
        <v>0.34375</v>
      </c>
      <c r="E7" s="65" t="s">
        <v>72</v>
      </c>
      <c r="F7" s="62" t="s">
        <v>12</v>
      </c>
      <c r="G7" s="49">
        <v>17</v>
      </c>
      <c r="H7" s="138">
        <f>IF(B$27=0,0,G7/B$27)</f>
        <v>0.38636363636363635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-1788.8888888888889</v>
      </c>
      <c r="P7" s="126">
        <v>18</v>
      </c>
      <c r="Q7" s="110">
        <v>-32200</v>
      </c>
    </row>
    <row r="8" spans="1:17" x14ac:dyDescent="0.4">
      <c r="A8" s="57" t="s">
        <v>3</v>
      </c>
      <c r="B8" s="49">
        <v>9</v>
      </c>
      <c r="C8" s="41">
        <f>IF(B$2=0,0,B8/B$2)</f>
        <v>0.28125</v>
      </c>
      <c r="E8" s="65" t="s">
        <v>68</v>
      </c>
      <c r="F8" s="62" t="s">
        <v>22</v>
      </c>
      <c r="G8" s="49">
        <v>7</v>
      </c>
      <c r="H8" s="138">
        <f>IF(B$27=0,0,G8/B$27)</f>
        <v>0.15909090909090909</v>
      </c>
      <c r="I8" s="100">
        <v>2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12</v>
      </c>
      <c r="C9" s="42">
        <f t="shared" ref="C9" si="1">IF(B$2=0,0,B9/B$2)</f>
        <v>0.375</v>
      </c>
      <c r="E9" s="65" t="s">
        <v>94</v>
      </c>
      <c r="F9" s="62" t="s">
        <v>47</v>
      </c>
      <c r="G9" s="49">
        <v>6</v>
      </c>
      <c r="H9" s="138">
        <f>IF(B$27=0,0,G9/B$27)</f>
        <v>0.13636363636363635</v>
      </c>
      <c r="I9" s="100">
        <v>9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0.1875</v>
      </c>
      <c r="E10" s="65" t="s">
        <v>73</v>
      </c>
      <c r="F10" s="62" t="s">
        <v>26</v>
      </c>
      <c r="G10" s="49">
        <v>5</v>
      </c>
      <c r="H10" s="138">
        <f>IF(B$27=0,0,G10/B$27)</f>
        <v>0.11363636363636363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0.15625</v>
      </c>
      <c r="E11" s="65" t="s">
        <v>74</v>
      </c>
      <c r="F11" s="62" t="s">
        <v>27</v>
      </c>
      <c r="G11" s="49">
        <v>4</v>
      </c>
      <c r="H11" s="138">
        <f>IF(B$27=0,0,G11/B$27)</f>
        <v>9.0909090909090912E-2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9.259999999999998</v>
      </c>
      <c r="P11" s="125">
        <v>10</v>
      </c>
      <c r="Q11" s="113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9.375E-2</v>
      </c>
      <c r="E12" s="65" t="s">
        <v>75</v>
      </c>
      <c r="F12" s="62" t="s">
        <v>28</v>
      </c>
      <c r="G12" s="49">
        <v>2</v>
      </c>
      <c r="H12" s="138">
        <f>IF(B$27=0,0,G12/B$27)</f>
        <v>4.5454545454545456E-2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56</v>
      </c>
      <c r="C13" s="46">
        <f>IF(B$26=0,0,B13/B$26)</f>
        <v>0.31111111111111112</v>
      </c>
      <c r="E13" s="65" t="s">
        <v>82</v>
      </c>
      <c r="F13" s="62" t="s">
        <v>35</v>
      </c>
      <c r="G13" s="49">
        <v>2</v>
      </c>
      <c r="H13" s="138">
        <f>IF(B$27=0,0,G13/B$27)</f>
        <v>4.5454545454545456E-2</v>
      </c>
      <c r="I13" s="100">
        <v>4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37</v>
      </c>
      <c r="C14" s="41">
        <f>IF(B$26=0,0,B14/B$26)</f>
        <v>0.20555555555555555</v>
      </c>
      <c r="E14" s="65" t="s">
        <v>77</v>
      </c>
      <c r="F14" s="62" t="s">
        <v>30</v>
      </c>
      <c r="G14" s="49">
        <v>1</v>
      </c>
      <c r="H14" s="138">
        <f>IF(B$27=0,0,G14/B$27)</f>
        <v>2.2727272727272728E-2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0.5178571428571429</v>
      </c>
      <c r="E15" s="65" t="s">
        <v>83</v>
      </c>
      <c r="F15" s="62" t="s">
        <v>36</v>
      </c>
      <c r="G15" s="49">
        <v>1</v>
      </c>
      <c r="H15" s="138">
        <f>IF(B$27=0,0,G15/B$27)</f>
        <v>2.2727272727272728E-2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8</v>
      </c>
      <c r="C16" s="39">
        <f>IF(B$14=0,0,B16/B$14)</f>
        <v>0.21621621621621623</v>
      </c>
      <c r="E16" s="65" t="s">
        <v>88</v>
      </c>
      <c r="F16" s="62" t="s">
        <v>41</v>
      </c>
      <c r="G16" s="49">
        <v>1</v>
      </c>
      <c r="H16" s="138">
        <f>IF(B$27=0,0,G16/B$27)</f>
        <v>2.2727272727272728E-2</v>
      </c>
      <c r="I16" s="100">
        <v>11</v>
      </c>
      <c r="K16" s="40">
        <v>14</v>
      </c>
      <c r="L16" s="105">
        <v>147.10000000000002</v>
      </c>
      <c r="N16" s="121" t="s">
        <v>137</v>
      </c>
      <c r="O16" s="131">
        <f>IF(P16=0,0,Q16/P16)</f>
        <v>3.38</v>
      </c>
      <c r="P16" s="125">
        <v>5</v>
      </c>
      <c r="Q16" s="113">
        <v>16.899999999999999</v>
      </c>
    </row>
    <row r="17" spans="1:17" x14ac:dyDescent="0.4">
      <c r="A17" s="56" t="s">
        <v>10</v>
      </c>
      <c r="B17" s="48">
        <f>B19+B18</f>
        <v>72</v>
      </c>
      <c r="C17" s="39">
        <f>IF(B$3=0,0,B17/B$3)</f>
        <v>0.27480916030534353</v>
      </c>
      <c r="E17" s="65" t="s">
        <v>91</v>
      </c>
      <c r="F17" s="62" t="s">
        <v>44</v>
      </c>
      <c r="G17" s="49">
        <v>1</v>
      </c>
      <c r="H17" s="138">
        <f>IF(B$27=0,0,G17/B$27)</f>
        <v>2.2727272727272728E-2</v>
      </c>
      <c r="I17" s="100">
        <v>13</v>
      </c>
      <c r="K17" s="40">
        <v>15</v>
      </c>
      <c r="L17" s="105">
        <v>148.80000000000001</v>
      </c>
      <c r="N17" s="121" t="s">
        <v>134</v>
      </c>
      <c r="O17" s="131">
        <f>IF(P17=0,0,Q17/P17)</f>
        <v>0.14444444444444493</v>
      </c>
      <c r="P17" s="125">
        <v>9</v>
      </c>
      <c r="Q17" s="113">
        <v>1.3000000000000043</v>
      </c>
    </row>
    <row r="18" spans="1:17" x14ac:dyDescent="0.4">
      <c r="A18" s="57" t="s">
        <v>12</v>
      </c>
      <c r="B18" s="49">
        <v>33</v>
      </c>
      <c r="C18" s="41">
        <f>IF(B$17=0,0,B18/B$17)</f>
        <v>0.45833333333333331</v>
      </c>
      <c r="E18" s="65" t="s">
        <v>96</v>
      </c>
      <c r="F18" s="62" t="s">
        <v>49</v>
      </c>
      <c r="G18" s="49">
        <v>1</v>
      </c>
      <c r="H18" s="138">
        <f>IF(B$27=0,0,G18/B$27)</f>
        <v>2.2727272727272728E-2</v>
      </c>
      <c r="I18" s="100">
        <v>3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39</v>
      </c>
      <c r="C19" s="41">
        <f>IF(B$17=0,0,B19/B$17)</f>
        <v>0.54166666666666663</v>
      </c>
      <c r="E19" s="65" t="s">
        <v>97</v>
      </c>
      <c r="F19" s="62" t="s">
        <v>50</v>
      </c>
      <c r="G19" s="49">
        <v>1</v>
      </c>
      <c r="H19" s="138">
        <f>IF(B$27=0,0,G19/B$27)</f>
        <v>2.2727272727272728E-2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45</v>
      </c>
      <c r="C20" s="41">
        <f>IF(B$3=0,0,B20/B$3)</f>
        <v>0.1717557251908397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-23.366666666666671</v>
      </c>
      <c r="P20" s="125">
        <v>3</v>
      </c>
      <c r="Q20" s="113">
        <v>-70.100000000000009</v>
      </c>
    </row>
    <row r="21" spans="1:17" x14ac:dyDescent="0.4">
      <c r="A21" s="57" t="s">
        <v>5</v>
      </c>
      <c r="B21" s="53">
        <f>IF(B$17=0,0,C21/B$17)</f>
        <v>11041.666666666666</v>
      </c>
      <c r="C21" s="43">
        <v>795000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-8928.8888888888887</v>
      </c>
      <c r="C22" s="47">
        <v>-401800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42">
        <v>109300</v>
      </c>
      <c r="C24" s="143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8">
        <v>180</v>
      </c>
      <c r="C26" s="149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0">
        <v>44</v>
      </c>
      <c r="C27" s="151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88D5C-8921-45E0-87B7-374D4073E537}">
  <sheetPr codeName="Sheet25"/>
  <dimension ref="A1:Q11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139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117</v>
      </c>
      <c r="C2" s="149"/>
      <c r="E2" s="64" t="s">
        <v>71</v>
      </c>
      <c r="F2" s="61" t="s">
        <v>25</v>
      </c>
      <c r="G2" s="48">
        <v>231</v>
      </c>
      <c r="H2" s="137">
        <f>IF(B$27=0,0,G2/B$27)</f>
        <v>0.91666666666666663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-1760.1769911504425</v>
      </c>
      <c r="P2" s="124">
        <v>113</v>
      </c>
      <c r="Q2" s="108">
        <v>-198900</v>
      </c>
    </row>
    <row r="3" spans="1:17" x14ac:dyDescent="0.4">
      <c r="A3" s="57" t="s">
        <v>8</v>
      </c>
      <c r="B3" s="154">
        <v>902</v>
      </c>
      <c r="C3" s="155"/>
      <c r="E3" s="65" t="s">
        <v>69</v>
      </c>
      <c r="F3" s="62" t="s">
        <v>23</v>
      </c>
      <c r="G3" s="49">
        <v>199</v>
      </c>
      <c r="H3" s="138">
        <f>IF(B$27=0,0,G3/B$27)</f>
        <v>0.78968253968253965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696.39639639639643</v>
      </c>
      <c r="P3" s="125">
        <v>111</v>
      </c>
      <c r="Q3" s="109">
        <v>77300</v>
      </c>
    </row>
    <row r="4" spans="1:17" x14ac:dyDescent="0.4">
      <c r="A4" s="57" t="s">
        <v>6</v>
      </c>
      <c r="B4" s="156">
        <v>-453.39999999999992</v>
      </c>
      <c r="C4" s="157"/>
      <c r="E4" s="65" t="s">
        <v>67</v>
      </c>
      <c r="F4" s="62" t="s">
        <v>21</v>
      </c>
      <c r="G4" s="49">
        <v>152</v>
      </c>
      <c r="H4" s="138">
        <f>IF(B$27=0,0,G4/B$27)</f>
        <v>0.60317460317460314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-197.14285714285714</v>
      </c>
      <c r="P4" s="125">
        <v>105</v>
      </c>
      <c r="Q4" s="109">
        <v>-20700</v>
      </c>
    </row>
    <row r="5" spans="1:17" x14ac:dyDescent="0.4">
      <c r="A5" s="57" t="s">
        <v>7</v>
      </c>
      <c r="B5" s="158">
        <f>IF(B$2=0,0,B$4/B$2)</f>
        <v>-3.8752136752136743</v>
      </c>
      <c r="C5" s="159"/>
      <c r="E5" s="65" t="s">
        <v>76</v>
      </c>
      <c r="F5" s="62" t="s">
        <v>29</v>
      </c>
      <c r="G5" s="49">
        <v>150</v>
      </c>
      <c r="H5" s="138">
        <f>IF(B$27=0,0,G5/B$27)</f>
        <v>0.59523809523809523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0"/>
        <v>-422.10526315789474</v>
      </c>
      <c r="P5" s="125">
        <v>95</v>
      </c>
      <c r="Q5" s="109">
        <v>-40100</v>
      </c>
    </row>
    <row r="6" spans="1:17" x14ac:dyDescent="0.4">
      <c r="A6" s="57" t="s">
        <v>1</v>
      </c>
      <c r="B6" s="146">
        <f>IF(B$2=0,0,(B$7*1+B$8*2+B$9*3)/B$2)</f>
        <v>2.1709401709401708</v>
      </c>
      <c r="C6" s="147"/>
      <c r="E6" s="65" t="s">
        <v>70</v>
      </c>
      <c r="F6" s="62" t="s">
        <v>24</v>
      </c>
      <c r="G6" s="49">
        <v>88</v>
      </c>
      <c r="H6" s="138">
        <f>IF(B$27=0,0,G6/B$27)</f>
        <v>0.34920634920634919</v>
      </c>
      <c r="I6" s="100">
        <v>5</v>
      </c>
      <c r="K6" s="40">
        <v>4</v>
      </c>
      <c r="L6" s="105">
        <v>-35.099999999999994</v>
      </c>
      <c r="N6" s="121" t="s">
        <v>151</v>
      </c>
      <c r="O6" s="128">
        <f t="shared" si="0"/>
        <v>-2438.6363636363635</v>
      </c>
      <c r="P6" s="125">
        <v>88</v>
      </c>
      <c r="Q6" s="109">
        <v>-214600</v>
      </c>
    </row>
    <row r="7" spans="1:17" x14ac:dyDescent="0.4">
      <c r="A7" s="57" t="s">
        <v>2</v>
      </c>
      <c r="B7" s="49">
        <v>29</v>
      </c>
      <c r="C7" s="41">
        <f>IF(B$2=0,0,B7/B$2)</f>
        <v>0.24786324786324787</v>
      </c>
      <c r="E7" s="65" t="s">
        <v>72</v>
      </c>
      <c r="F7" s="62" t="s">
        <v>12</v>
      </c>
      <c r="G7" s="49">
        <v>80</v>
      </c>
      <c r="H7" s="138">
        <f>IF(B$27=0,0,G7/B$27)</f>
        <v>0.31746031746031744</v>
      </c>
      <c r="I7" s="100">
        <v>5</v>
      </c>
      <c r="K7" s="40">
        <v>5</v>
      </c>
      <c r="L7" s="105">
        <v>-80.099999999999994</v>
      </c>
      <c r="N7" s="122" t="s">
        <v>152</v>
      </c>
      <c r="O7" s="129">
        <f t="shared" si="0"/>
        <v>798.57142857142856</v>
      </c>
      <c r="P7" s="126">
        <v>70</v>
      </c>
      <c r="Q7" s="110">
        <v>55900</v>
      </c>
    </row>
    <row r="8" spans="1:17" x14ac:dyDescent="0.4">
      <c r="A8" s="57" t="s">
        <v>3</v>
      </c>
      <c r="B8" s="49">
        <v>39</v>
      </c>
      <c r="C8" s="41">
        <f>IF(B$2=0,0,B8/B$2)</f>
        <v>0.33333333333333331</v>
      </c>
      <c r="E8" s="65" t="s">
        <v>73</v>
      </c>
      <c r="F8" s="62" t="s">
        <v>26</v>
      </c>
      <c r="G8" s="49">
        <v>39</v>
      </c>
      <c r="H8" s="138">
        <f>IF(B$27=0,0,G8/B$27)</f>
        <v>0.15476190476190477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0.41880341880341881</v>
      </c>
      <c r="E9" s="65" t="s">
        <v>94</v>
      </c>
      <c r="F9" s="62" t="s">
        <v>47</v>
      </c>
      <c r="G9" s="49">
        <v>33</v>
      </c>
      <c r="H9" s="138">
        <f>IF(B$27=0,0,G9/B$27)</f>
        <v>0.13095238095238096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0.19658119658119658</v>
      </c>
      <c r="E10" s="65" t="s">
        <v>74</v>
      </c>
      <c r="F10" s="62" t="s">
        <v>27</v>
      </c>
      <c r="G10" s="49">
        <v>30</v>
      </c>
      <c r="H10" s="138">
        <f>IF(B$27=0,0,G10/B$27)</f>
        <v>0.11904761904761904</v>
      </c>
      <c r="I10" s="100">
        <v>5</v>
      </c>
      <c r="K10" s="40">
        <v>8</v>
      </c>
      <c r="L10" s="105">
        <v>-146</v>
      </c>
      <c r="N10" s="120" t="s">
        <v>253</v>
      </c>
      <c r="O10" s="130">
        <f>IF(P10=0,0,Q10/P10)</f>
        <v>-11.826829268292686</v>
      </c>
      <c r="P10" s="124">
        <v>41</v>
      </c>
      <c r="Q10" s="112">
        <v>-484.90000000000009</v>
      </c>
    </row>
    <row r="11" spans="1:17" x14ac:dyDescent="0.4">
      <c r="A11" s="58" t="s">
        <v>155</v>
      </c>
      <c r="B11" s="50">
        <v>17</v>
      </c>
      <c r="C11" s="42">
        <f>IF(B$2=0,0,B11/B$2)</f>
        <v>0.14529914529914531</v>
      </c>
      <c r="E11" s="65" t="s">
        <v>68</v>
      </c>
      <c r="F11" s="62" t="s">
        <v>22</v>
      </c>
      <c r="G11" s="49">
        <v>25</v>
      </c>
      <c r="H11" s="138">
        <f>IF(B$27=0,0,G11/B$27)</f>
        <v>9.9206349206349201E-2</v>
      </c>
      <c r="I11" s="100">
        <v>10</v>
      </c>
      <c r="K11" s="40">
        <v>9</v>
      </c>
      <c r="L11" s="105">
        <v>-173</v>
      </c>
      <c r="N11" s="121" t="s">
        <v>254</v>
      </c>
      <c r="O11" s="131">
        <f>IF(P11=0,0,Q11/P11)</f>
        <v>2.8731707317073174</v>
      </c>
      <c r="P11" s="125">
        <v>41</v>
      </c>
      <c r="Q11" s="113">
        <v>117.80000000000001</v>
      </c>
    </row>
    <row r="12" spans="1:17" x14ac:dyDescent="0.4">
      <c r="A12" s="59" t="s">
        <v>239</v>
      </c>
      <c r="B12" s="51">
        <v>12</v>
      </c>
      <c r="C12" s="44">
        <f>IF(B$2=0,0,B12/B$2)</f>
        <v>0.10256410256410256</v>
      </c>
      <c r="E12" s="65" t="s">
        <v>91</v>
      </c>
      <c r="F12" s="62" t="s">
        <v>44</v>
      </c>
      <c r="G12" s="49">
        <v>21</v>
      </c>
      <c r="H12" s="138">
        <f>IF(B$27=0,0,G12/B$27)</f>
        <v>8.3333333333333329E-2</v>
      </c>
      <c r="I12" s="100">
        <v>5</v>
      </c>
      <c r="K12" s="40">
        <v>10</v>
      </c>
      <c r="L12" s="105">
        <v>-206.1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262</v>
      </c>
      <c r="C13" s="46">
        <f>IF(B$26=0,0,B13/B$26)</f>
        <v>0.30289017341040464</v>
      </c>
      <c r="E13" s="65" t="s">
        <v>82</v>
      </c>
      <c r="F13" s="62" t="s">
        <v>35</v>
      </c>
      <c r="G13" s="49">
        <v>10</v>
      </c>
      <c r="H13" s="138">
        <f>IF(B$27=0,0,G13/B$27)</f>
        <v>3.968253968253968E-2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171</v>
      </c>
      <c r="C14" s="41">
        <f>IF(B$26=0,0,B14/B$26)</f>
        <v>0.19768786127167631</v>
      </c>
      <c r="E14" s="65" t="s">
        <v>88</v>
      </c>
      <c r="F14" s="62" t="s">
        <v>41</v>
      </c>
      <c r="G14" s="49">
        <v>8</v>
      </c>
      <c r="H14" s="138">
        <f>IF(B$27=0,0,G14/B$27)</f>
        <v>3.1746031746031744E-2</v>
      </c>
      <c r="I14" s="100">
        <v>8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155</v>
      </c>
      <c r="C15" s="39">
        <f>IF(B$13=0,0,B15/B$13)</f>
        <v>0.59160305343511455</v>
      </c>
      <c r="E15" s="65" t="s">
        <v>75</v>
      </c>
      <c r="F15" s="62" t="s">
        <v>28</v>
      </c>
      <c r="G15" s="49">
        <v>7</v>
      </c>
      <c r="H15" s="138">
        <f>IF(B$27=0,0,G15/B$27)</f>
        <v>2.7777777777777776E-2</v>
      </c>
      <c r="I15" s="100">
        <v>10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66</v>
      </c>
      <c r="C16" s="39">
        <f>IF(B$14=0,0,B16/B$14)</f>
        <v>0.38596491228070173</v>
      </c>
      <c r="E16" s="65" t="s">
        <v>86</v>
      </c>
      <c r="F16" s="62" t="s">
        <v>39</v>
      </c>
      <c r="G16" s="49">
        <v>6</v>
      </c>
      <c r="H16" s="138">
        <f>IF(B$27=0,0,G16/B$27)</f>
        <v>2.3809523809523808E-2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262</v>
      </c>
      <c r="C17" s="39">
        <f>IF(B$3=0,0,B17/B$3)</f>
        <v>0.29046563192904656</v>
      </c>
      <c r="E17" s="65" t="s">
        <v>77</v>
      </c>
      <c r="F17" s="62" t="s">
        <v>30</v>
      </c>
      <c r="G17" s="49">
        <v>4</v>
      </c>
      <c r="H17" s="138">
        <f>IF(B$27=0,0,G17/B$27)</f>
        <v>1.5873015873015872E-2</v>
      </c>
      <c r="I17" s="100">
        <v>3</v>
      </c>
      <c r="K17" s="40">
        <v>15</v>
      </c>
      <c r="L17" s="105">
        <v>-212.5</v>
      </c>
      <c r="N17" s="121" t="s">
        <v>138</v>
      </c>
      <c r="O17" s="131">
        <f>IF(P17=0,0,Q17/P17)</f>
        <v>23.366666666666664</v>
      </c>
      <c r="P17" s="125">
        <v>3</v>
      </c>
      <c r="Q17" s="113">
        <v>70.099999999999994</v>
      </c>
    </row>
    <row r="18" spans="1:17" x14ac:dyDescent="0.4">
      <c r="A18" s="57" t="s">
        <v>12</v>
      </c>
      <c r="B18" s="49">
        <v>115</v>
      </c>
      <c r="C18" s="41">
        <f>IF(B$17=0,0,B18/B$17)</f>
        <v>0.43893129770992367</v>
      </c>
      <c r="E18" s="65" t="s">
        <v>96</v>
      </c>
      <c r="F18" s="62" t="s">
        <v>49</v>
      </c>
      <c r="G18" s="49">
        <v>4</v>
      </c>
      <c r="H18" s="138">
        <f>IF(B$27=0,0,G18/B$27)</f>
        <v>1.5873015873015872E-2</v>
      </c>
      <c r="I18" s="100">
        <v>8</v>
      </c>
      <c r="K18" s="40">
        <v>16</v>
      </c>
      <c r="L18" s="105">
        <v>-233.2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147</v>
      </c>
      <c r="C19" s="41">
        <f>IF(B$17=0,0,B19/B$17)</f>
        <v>0.56106870229007633</v>
      </c>
      <c r="E19" s="65" t="s">
        <v>79</v>
      </c>
      <c r="F19" s="62" t="s">
        <v>32</v>
      </c>
      <c r="G19" s="49">
        <v>3</v>
      </c>
      <c r="H19" s="138">
        <f>IF(B$27=0,0,G19/B$27)</f>
        <v>1.1904761904761904E-2</v>
      </c>
      <c r="I19" s="100">
        <v>1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184</v>
      </c>
      <c r="C20" s="41">
        <f>IF(B$3=0,0,B20/B$3)</f>
        <v>0.2039911308203991</v>
      </c>
      <c r="E20" s="65" t="s">
        <v>83</v>
      </c>
      <c r="F20" s="62" t="s">
        <v>36</v>
      </c>
      <c r="G20" s="49">
        <v>3</v>
      </c>
      <c r="H20" s="138">
        <f>IF(B$27=0,0,G20/B$27)</f>
        <v>1.1904761904761904E-2</v>
      </c>
      <c r="I20" s="100">
        <v>8</v>
      </c>
      <c r="K20" s="40">
        <v>18</v>
      </c>
      <c r="L20" s="105">
        <v>-295.8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10541.221374045801</v>
      </c>
      <c r="C21" s="43">
        <v>2761800</v>
      </c>
      <c r="E21" s="65" t="s">
        <v>98</v>
      </c>
      <c r="F21" s="62" t="s">
        <v>51</v>
      </c>
      <c r="G21" s="49">
        <v>2</v>
      </c>
      <c r="H21" s="138">
        <f>IF(B$27=0,0,G21/B$27)</f>
        <v>7.9365079365079361E-3</v>
      </c>
      <c r="I21" s="100">
        <v>3</v>
      </c>
      <c r="K21" s="40">
        <v>19</v>
      </c>
      <c r="L21" s="105">
        <v>-273.2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-9569.565217391304</v>
      </c>
      <c r="C22" s="47">
        <v>-1760800</v>
      </c>
      <c r="E22" s="65" t="s">
        <v>78</v>
      </c>
      <c r="F22" s="62" t="s">
        <v>31</v>
      </c>
      <c r="G22" s="49">
        <v>1</v>
      </c>
      <c r="H22" s="138">
        <f>IF(B$27=0,0,G22/B$27)</f>
        <v>3.968253968253968E-3</v>
      </c>
      <c r="I22" s="100">
        <v>4</v>
      </c>
      <c r="K22" s="40">
        <v>20</v>
      </c>
      <c r="L22" s="105">
        <v>-270</v>
      </c>
      <c r="N22" s="121" t="s">
        <v>136</v>
      </c>
      <c r="O22" s="131">
        <f>IF(P22=0,0,Q22/P22)</f>
        <v>-9.2181818181818187</v>
      </c>
      <c r="P22" s="125">
        <v>11</v>
      </c>
      <c r="Q22" s="113">
        <v>-101.4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1</v>
      </c>
      <c r="H23" s="138">
        <f>IF(B$27=0,0,G23/B$27)</f>
        <v>3.968253968253968E-3</v>
      </c>
      <c r="I23" s="100">
        <v>5</v>
      </c>
      <c r="K23" s="40">
        <v>21</v>
      </c>
      <c r="L23" s="105">
        <v>-242</v>
      </c>
      <c r="N23" s="121" t="s">
        <v>133</v>
      </c>
      <c r="O23" s="131">
        <f>IF(P23=0,0,Q23/P23)</f>
        <v>-11.311827956989244</v>
      </c>
      <c r="P23" s="125">
        <v>93</v>
      </c>
      <c r="Q23" s="113">
        <v>-1051.9999999999998</v>
      </c>
    </row>
    <row r="24" spans="1:17" x14ac:dyDescent="0.4">
      <c r="A24" s="60" t="s">
        <v>199</v>
      </c>
      <c r="B24" s="142">
        <v>124700</v>
      </c>
      <c r="C24" s="143"/>
      <c r="E24" s="65" t="s">
        <v>89</v>
      </c>
      <c r="F24" s="62" t="s">
        <v>42</v>
      </c>
      <c r="G24" s="49">
        <v>1</v>
      </c>
      <c r="H24" s="138">
        <f>IF(B$27=0,0,G24/B$27)</f>
        <v>3.968253968253968E-3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-14.182499999999999</v>
      </c>
      <c r="P24" s="125">
        <v>40</v>
      </c>
      <c r="Q24" s="113">
        <v>-567.29999999999995</v>
      </c>
    </row>
    <row r="25" spans="1:17" x14ac:dyDescent="0.4">
      <c r="A25" s="59" t="s">
        <v>159</v>
      </c>
      <c r="B25" s="67">
        <v>7</v>
      </c>
      <c r="C25" s="44">
        <f>IF(B$3=0,0,B25/B$3)</f>
        <v>7.7605321507760536E-3</v>
      </c>
      <c r="E25" s="65" t="s">
        <v>90</v>
      </c>
      <c r="F25" s="62" t="s">
        <v>43</v>
      </c>
      <c r="G25" s="49">
        <v>1</v>
      </c>
      <c r="H25" s="138">
        <f>IF(B$27=0,0,G25/B$27)</f>
        <v>3.968253968253968E-3</v>
      </c>
      <c r="I25" s="100">
        <v>3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8">
        <v>865</v>
      </c>
      <c r="C26" s="149"/>
      <c r="E26" s="65" t="s">
        <v>95</v>
      </c>
      <c r="F26" s="62" t="s">
        <v>48</v>
      </c>
      <c r="G26" s="49">
        <v>1</v>
      </c>
      <c r="H26" s="138">
        <f>IF(B$27=0,0,G26/B$27)</f>
        <v>3.968253968253968E-3</v>
      </c>
      <c r="I26" s="100">
        <v>1</v>
      </c>
      <c r="K26" s="40">
        <v>24</v>
      </c>
      <c r="L26" s="105">
        <v>-168.2</v>
      </c>
    </row>
    <row r="27" spans="1:17" x14ac:dyDescent="0.4">
      <c r="A27" s="59" t="s">
        <v>127</v>
      </c>
      <c r="B27" s="150">
        <v>252</v>
      </c>
      <c r="C27" s="151"/>
      <c r="E27" s="65" t="s">
        <v>97</v>
      </c>
      <c r="F27" s="62" t="s">
        <v>50</v>
      </c>
      <c r="G27" s="49">
        <v>1</v>
      </c>
      <c r="H27" s="138">
        <f>IF(B$27=0,0,G27/B$27)</f>
        <v>3.968253968253968E-3</v>
      </c>
      <c r="I27" s="100">
        <v>6</v>
      </c>
      <c r="K27" s="40">
        <v>25</v>
      </c>
      <c r="L27" s="105">
        <v>-216.89999999999998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-290.19999999999993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-239.19999999999993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23B9-8514-4584-8049-32EDC4CDF0B8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194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6</v>
      </c>
      <c r="C2" s="149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4">
        <v>50</v>
      </c>
      <c r="C3" s="155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6">
        <v>47</v>
      </c>
      <c r="C4" s="157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8">
        <f>IF(B$2=0,0,B$4/B$2)</f>
        <v>7.833333333333333</v>
      </c>
      <c r="C5" s="159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9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6">
        <f>IF(B$2=0,0,(B$7*1+B$8*2+B$9*3)/B$2)</f>
        <v>1.8333333333333333</v>
      </c>
      <c r="C6" s="147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4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6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5</v>
      </c>
      <c r="C23" s="14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2">
        <v>78000</v>
      </c>
      <c r="C24" s="14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50</v>
      </c>
      <c r="C26" s="149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0">
        <v>19</v>
      </c>
      <c r="C27" s="151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2E76-28E7-4A5F-A152-150F0E3D544C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157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31</v>
      </c>
      <c r="C2" s="149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54">
        <v>238</v>
      </c>
      <c r="C3" s="155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56">
        <v>-334.9</v>
      </c>
      <c r="C4" s="157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10</v>
      </c>
      <c r="K4" s="40">
        <v>2</v>
      </c>
      <c r="L4" s="105">
        <v>-24.299999999999997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8">
        <f>IF(B$2=0,0,B$4/B$2)</f>
        <v>-10.803225806451612</v>
      </c>
      <c r="C5" s="159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-15.599999999999998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46">
        <f>IF(B$2=0,0,(B$7*1+B$8*2+B$9*3)/B$2)</f>
        <v>2.3225806451612905</v>
      </c>
      <c r="C6" s="147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13</v>
      </c>
      <c r="K6" s="40">
        <v>4</v>
      </c>
      <c r="L6" s="105">
        <v>5.1000000000000014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3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12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-4.4999999999999964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9</v>
      </c>
      <c r="K11" s="40">
        <v>9</v>
      </c>
      <c r="L11" s="105">
        <v>-9.3999999999999968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-24.299999999999997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-44.199999999999996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-60.4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-60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44">
        <v>5</v>
      </c>
      <c r="C23" s="145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42">
        <v>67700</v>
      </c>
      <c r="C24" s="143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8">
        <v>238</v>
      </c>
      <c r="C26" s="149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0">
        <v>50</v>
      </c>
      <c r="C27" s="151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F223-70F9-4EA4-B545-CF25C971F3AE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250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11</v>
      </c>
      <c r="C2" s="149"/>
      <c r="E2" s="64" t="s">
        <v>71</v>
      </c>
      <c r="F2" s="61" t="s">
        <v>25</v>
      </c>
      <c r="G2" s="48">
        <v>16</v>
      </c>
      <c r="H2" s="137">
        <f>IF(B$27=0,0,G2/B$27)</f>
        <v>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-381.81818181818181</v>
      </c>
      <c r="P2" s="124">
        <v>11</v>
      </c>
      <c r="Q2" s="108">
        <v>-4200</v>
      </c>
    </row>
    <row r="3" spans="1:17" x14ac:dyDescent="0.4">
      <c r="A3" s="57" t="s">
        <v>8</v>
      </c>
      <c r="B3" s="154">
        <v>82</v>
      </c>
      <c r="C3" s="155"/>
      <c r="E3" s="65" t="s">
        <v>76</v>
      </c>
      <c r="F3" s="62" t="s">
        <v>29</v>
      </c>
      <c r="G3" s="49">
        <v>12</v>
      </c>
      <c r="H3" s="138">
        <f>IF(B$27=0,0,G3/B$27)</f>
        <v>0.75</v>
      </c>
      <c r="I3" s="100">
        <v>2</v>
      </c>
      <c r="K3" s="40">
        <v>1</v>
      </c>
      <c r="L3" s="105">
        <v>4</v>
      </c>
      <c r="N3" s="121" t="s">
        <v>148</v>
      </c>
      <c r="O3" s="128">
        <f t="shared" si="0"/>
        <v>-3318.181818181818</v>
      </c>
      <c r="P3" s="125">
        <v>11</v>
      </c>
      <c r="Q3" s="109">
        <v>-36500</v>
      </c>
    </row>
    <row r="4" spans="1:17" x14ac:dyDescent="0.4">
      <c r="A4" s="57" t="s">
        <v>6</v>
      </c>
      <c r="B4" s="156">
        <v>-143.6</v>
      </c>
      <c r="C4" s="157"/>
      <c r="E4" s="65" t="s">
        <v>69</v>
      </c>
      <c r="F4" s="62" t="s">
        <v>23</v>
      </c>
      <c r="G4" s="49">
        <v>11</v>
      </c>
      <c r="H4" s="138">
        <f>IF(B$27=0,0,G4/B$27)</f>
        <v>0.6875</v>
      </c>
      <c r="I4" s="100">
        <v>9</v>
      </c>
      <c r="K4" s="40">
        <v>2</v>
      </c>
      <c r="L4" s="105">
        <v>3.7</v>
      </c>
      <c r="N4" s="121" t="s">
        <v>149</v>
      </c>
      <c r="O4" s="128">
        <f t="shared" si="0"/>
        <v>-8363.636363636364</v>
      </c>
      <c r="P4" s="125">
        <v>11</v>
      </c>
      <c r="Q4" s="109">
        <v>-92000</v>
      </c>
    </row>
    <row r="5" spans="1:17" x14ac:dyDescent="0.4">
      <c r="A5" s="57" t="s">
        <v>7</v>
      </c>
      <c r="B5" s="158">
        <f>IF(B$2=0,0,B$4/B$2)</f>
        <v>-13.054545454545455</v>
      </c>
      <c r="C5" s="159"/>
      <c r="E5" s="65" t="s">
        <v>67</v>
      </c>
      <c r="F5" s="62" t="s">
        <v>21</v>
      </c>
      <c r="G5" s="49">
        <v>5</v>
      </c>
      <c r="H5" s="138">
        <f>IF(B$27=0,0,G5/B$27)</f>
        <v>0.3125</v>
      </c>
      <c r="I5" s="100">
        <v>12</v>
      </c>
      <c r="K5" s="40">
        <v>3</v>
      </c>
      <c r="L5" s="105">
        <v>27.8</v>
      </c>
      <c r="N5" s="121" t="s">
        <v>150</v>
      </c>
      <c r="O5" s="128">
        <f t="shared" si="0"/>
        <v>662.5</v>
      </c>
      <c r="P5" s="125">
        <v>8</v>
      </c>
      <c r="Q5" s="109">
        <v>5300</v>
      </c>
    </row>
    <row r="6" spans="1:17" x14ac:dyDescent="0.4">
      <c r="A6" s="57" t="s">
        <v>1</v>
      </c>
      <c r="B6" s="146">
        <f>IF(B$2=0,0,(B$7*1+B$8*2+B$9*3)/B$2)</f>
        <v>2.3636363636363638</v>
      </c>
      <c r="C6" s="147"/>
      <c r="E6" s="65" t="s">
        <v>70</v>
      </c>
      <c r="F6" s="62" t="s">
        <v>24</v>
      </c>
      <c r="G6" s="49">
        <v>3</v>
      </c>
      <c r="H6" s="138">
        <f>IF(B$27=0,0,G6/B$27)</f>
        <v>0.1875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-1985.7142857142858</v>
      </c>
      <c r="P6" s="125">
        <v>7</v>
      </c>
      <c r="Q6" s="109">
        <v>-13900</v>
      </c>
    </row>
    <row r="7" spans="1:17" x14ac:dyDescent="0.4">
      <c r="A7" s="57" t="s">
        <v>2</v>
      </c>
      <c r="B7" s="49">
        <v>2</v>
      </c>
      <c r="C7" s="41">
        <f>IF(B$2=0,0,B7/B$2)</f>
        <v>0.18181818181818182</v>
      </c>
      <c r="E7" s="65" t="s">
        <v>72</v>
      </c>
      <c r="F7" s="62" t="s">
        <v>12</v>
      </c>
      <c r="G7" s="49">
        <v>3</v>
      </c>
      <c r="H7" s="138">
        <f>IF(B$27=0,0,G7/B$27)</f>
        <v>0.1875</v>
      </c>
      <c r="I7" s="100">
        <v>12</v>
      </c>
      <c r="K7" s="40">
        <v>5</v>
      </c>
      <c r="L7" s="105">
        <v>15</v>
      </c>
      <c r="N7" s="122" t="s">
        <v>152</v>
      </c>
      <c r="O7" s="129">
        <f t="shared" si="0"/>
        <v>-460</v>
      </c>
      <c r="P7" s="126">
        <v>5</v>
      </c>
      <c r="Q7" s="110">
        <v>-2300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74</v>
      </c>
      <c r="F8" s="62" t="s">
        <v>27</v>
      </c>
      <c r="G8" s="49">
        <v>3</v>
      </c>
      <c r="H8" s="138">
        <f>IF(B$27=0,0,G8/B$27)</f>
        <v>0.1875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0.54545454545454541</v>
      </c>
      <c r="E9" s="65" t="s">
        <v>94</v>
      </c>
      <c r="F9" s="62" t="s">
        <v>47</v>
      </c>
      <c r="G9" s="49">
        <v>3</v>
      </c>
      <c r="H9" s="138">
        <f>IF(B$27=0,0,G9/B$27)</f>
        <v>0.1875</v>
      </c>
      <c r="I9" s="100">
        <v>2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0.36363636363636365</v>
      </c>
      <c r="E10" s="65" t="s">
        <v>88</v>
      </c>
      <c r="F10" s="62" t="s">
        <v>41</v>
      </c>
      <c r="G10" s="49">
        <v>2</v>
      </c>
      <c r="H10" s="138">
        <f>IF(B$27=0,0,G10/B$27)</f>
        <v>0.125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-14.612499999999999</v>
      </c>
      <c r="P10" s="124">
        <v>8</v>
      </c>
      <c r="Q10" s="112">
        <v>-116.89999999999999</v>
      </c>
    </row>
    <row r="11" spans="1:17" x14ac:dyDescent="0.4">
      <c r="A11" s="58" t="s">
        <v>155</v>
      </c>
      <c r="B11" s="50">
        <v>1</v>
      </c>
      <c r="C11" s="42">
        <f>IF(B$2=0,0,B11/B$2)</f>
        <v>9.0909090909090912E-2</v>
      </c>
      <c r="E11" s="65" t="s">
        <v>83</v>
      </c>
      <c r="F11" s="62" t="s">
        <v>36</v>
      </c>
      <c r="G11" s="49">
        <v>1</v>
      </c>
      <c r="H11" s="138">
        <f>IF(B$27=0,0,G11/B$27)</f>
        <v>6.25E-2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9.0909090909090912E-2</v>
      </c>
      <c r="E12" s="65" t="s">
        <v>86</v>
      </c>
      <c r="F12" s="62" t="s">
        <v>39</v>
      </c>
      <c r="G12" s="49">
        <v>1</v>
      </c>
      <c r="H12" s="138">
        <f>IF(B$27=0,0,G12/B$27)</f>
        <v>6.25E-2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0.14634146341463414</v>
      </c>
      <c r="E13" s="65" t="s">
        <v>91</v>
      </c>
      <c r="F13" s="62" t="s">
        <v>44</v>
      </c>
      <c r="G13" s="49">
        <v>1</v>
      </c>
      <c r="H13" s="138">
        <f>IF(B$27=0,0,G13/B$27)</f>
        <v>6.25E-2</v>
      </c>
      <c r="I13" s="100">
        <v>8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0.28048780487804881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7</v>
      </c>
      <c r="C16" s="39">
        <f>IF(B$14=0,0,B16/B$14)</f>
        <v>0.30434782608695654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0.1951219512195122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0.4375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139</v>
      </c>
      <c r="O18" s="131">
        <f>IF(P18=0,0,Q18/P18)</f>
        <v>-28.18</v>
      </c>
      <c r="P18" s="125">
        <v>5</v>
      </c>
      <c r="Q18" s="113">
        <v>-140.9</v>
      </c>
    </row>
    <row r="19" spans="1:17" x14ac:dyDescent="0.4">
      <c r="A19" s="57" t="s">
        <v>11</v>
      </c>
      <c r="B19" s="49">
        <v>9</v>
      </c>
      <c r="C19" s="41">
        <f>IF(B$17=0,0,B19/B$17)</f>
        <v>0.5625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133</v>
      </c>
      <c r="O19" s="131">
        <f>IF(P19=0,0,Q19/P19)</f>
        <v>-30.228571428571424</v>
      </c>
      <c r="P19" s="125">
        <v>7</v>
      </c>
      <c r="Q19" s="113">
        <v>-211.59999999999997</v>
      </c>
    </row>
    <row r="20" spans="1:17" x14ac:dyDescent="0.4">
      <c r="A20" s="57" t="s">
        <v>13</v>
      </c>
      <c r="B20" s="49">
        <v>20</v>
      </c>
      <c r="C20" s="41">
        <f>IF(B$3=0,0,B20/B$3)</f>
        <v>0.24390243902439024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134</v>
      </c>
      <c r="O20" s="131">
        <f>IF(P20=0,0,Q20/P20)</f>
        <v>-53.3</v>
      </c>
      <c r="P20" s="125">
        <v>2</v>
      </c>
      <c r="Q20" s="113">
        <v>-106.6</v>
      </c>
    </row>
    <row r="21" spans="1:17" x14ac:dyDescent="0.4">
      <c r="A21" s="57" t="s">
        <v>5</v>
      </c>
      <c r="B21" s="53">
        <f>IF(B$17=0,0,C21/B$17)</f>
        <v>8712.5</v>
      </c>
      <c r="C21" s="43">
        <v>139400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6</v>
      </c>
    </row>
    <row r="22" spans="1:17" x14ac:dyDescent="0.4">
      <c r="A22" s="59" t="s">
        <v>14</v>
      </c>
      <c r="B22" s="54">
        <f>IF(B$20=0,0,C22/B$20)</f>
        <v>-9550</v>
      </c>
      <c r="C22" s="47">
        <v>-191000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4">
        <v>5</v>
      </c>
      <c r="C23" s="14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2">
        <v>59500</v>
      </c>
      <c r="C24" s="14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82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0">
        <v>16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F81A1-7344-41D4-B0AE-B400125C7F25}">
  <sheetPr codeName="Sheet33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A146-D476-4165-AB0E-68964781F572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9222D-EB45-46B3-B16B-4D5FD4219CD5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F34EA-5FE3-4AC9-8E82-4F4CA35D594D}">
  <sheetPr codeName="Sheet26"/>
  <dimension ref="A1:Q12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8624-35EC-49D1-AB85-4621FF6A3533}">
  <sheetPr codeName="Sheet24"/>
  <dimension ref="A1:Q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CD46B-99B1-41EB-9216-6B8239775B8A}">
  <sheetPr codeName="Sheet22"/>
  <dimension ref="A1:Q1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E8A0B-8847-4DFE-B12B-50100695104A}">
  <sheetPr codeName="Sheet20"/>
  <dimension ref="A1:Q7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8E46C-CDD5-4866-BAF9-42CB5F4BE764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06CC-1200-4B96-A6F0-82F7DDA3591D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5F3D-3D1D-4D9C-B105-4B08A98A3C07}">
  <sheetPr codeName="Sheet14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9E82-8CB3-415D-842F-0DB3D3587A68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413F-FCA1-4FF3-BD32-E3BA9470FBB1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4FA5-3B0C-4B45-8125-E73D451311C2}">
  <sheetPr codeName="Sheet8"/>
  <dimension ref="A1:Q23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1D845-874A-4625-9461-10B0B2970253}">
  <sheetPr codeName="Sheet6"/>
  <dimension ref="A1:Q27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2019-02-18T07:51:08Z</dcterms:modified>
</cp:coreProperties>
</file>