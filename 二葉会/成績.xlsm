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"/>
    </mc:Choice>
  </mc:AlternateContent>
  <xr:revisionPtr revIDLastSave="0" documentId="13_ncr:1_{DF2F5F05-3C2F-469A-866D-C925CDF98F1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84" r:id="rId6"/>
    <sheet name="だいち" sheetId="4186" r:id="rId7"/>
    <sheet name="あやめ" sheetId="4188" r:id="rId8"/>
    <sheet name="はんまー" sheetId="4190" r:id="rId9"/>
    <sheet name="はんまー2" sheetId="4191" state="hidden" r:id="rId10"/>
    <sheet name="あやめ2" sheetId="4189" state="hidden" r:id="rId11"/>
    <sheet name="だいち2" sheetId="4187" state="hidden" r:id="rId12"/>
    <sheet name="全体2" sheetId="4185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90" l="1"/>
  <c r="O16" i="4190"/>
  <c r="H53" i="4190"/>
  <c r="H52" i="4190"/>
  <c r="H51" i="4190"/>
  <c r="H50" i="4190"/>
  <c r="H49" i="4190"/>
  <c r="H48" i="4190"/>
  <c r="H47" i="4190"/>
  <c r="H46" i="4190"/>
  <c r="H45" i="4190"/>
  <c r="H44" i="4190"/>
  <c r="H43" i="4190"/>
  <c r="H42" i="4190"/>
  <c r="H41" i="4190"/>
  <c r="H40" i="4190"/>
  <c r="H39" i="4190"/>
  <c r="H38" i="4190"/>
  <c r="H37" i="4190"/>
  <c r="H36" i="4190"/>
  <c r="H35" i="4190"/>
  <c r="H34" i="4190"/>
  <c r="H33" i="4190"/>
  <c r="H32" i="4190"/>
  <c r="H31" i="4190"/>
  <c r="H30" i="4190"/>
  <c r="H11" i="4190"/>
  <c r="H29" i="4190"/>
  <c r="H28" i="4190"/>
  <c r="H10" i="4190"/>
  <c r="H27" i="4190"/>
  <c r="C25" i="4190"/>
  <c r="H26" i="4190"/>
  <c r="H9" i="4190"/>
  <c r="H25" i="4190"/>
  <c r="B22" i="4190"/>
  <c r="H24" i="4190"/>
  <c r="H23" i="4190"/>
  <c r="C20" i="4190"/>
  <c r="H22" i="4190"/>
  <c r="H21" i="4190"/>
  <c r="C18" i="4190"/>
  <c r="H20" i="4190"/>
  <c r="B17" i="4190"/>
  <c r="C19" i="4190" s="1"/>
  <c r="H19" i="4190"/>
  <c r="C16" i="4190"/>
  <c r="H18" i="4190"/>
  <c r="C15" i="4190"/>
  <c r="H17" i="4190"/>
  <c r="C14" i="4190"/>
  <c r="H16" i="4190"/>
  <c r="C13" i="4190"/>
  <c r="O12" i="4190"/>
  <c r="H15" i="4190"/>
  <c r="C12" i="4190"/>
  <c r="O11" i="4190"/>
  <c r="H8" i="4190"/>
  <c r="C11" i="4190"/>
  <c r="O10" i="4190"/>
  <c r="H14" i="4190"/>
  <c r="C10" i="4190"/>
  <c r="H13" i="4190"/>
  <c r="C9" i="4190"/>
  <c r="H12" i="4190"/>
  <c r="C8" i="4190"/>
  <c r="O7" i="4190"/>
  <c r="H7" i="4190"/>
  <c r="C7" i="4190"/>
  <c r="O6" i="4190"/>
  <c r="H2" i="4190"/>
  <c r="B6" i="4190"/>
  <c r="O5" i="4190"/>
  <c r="H3" i="4190"/>
  <c r="B5" i="4190"/>
  <c r="O4" i="4190"/>
  <c r="H5" i="4190"/>
  <c r="O3" i="4190"/>
  <c r="H6" i="4190"/>
  <c r="O2" i="4190"/>
  <c r="H4" i="4190"/>
  <c r="O15" i="4188"/>
  <c r="O16" i="4188"/>
  <c r="H53" i="4188"/>
  <c r="H52" i="4188"/>
  <c r="H51" i="4188"/>
  <c r="H50" i="4188"/>
  <c r="H49" i="4188"/>
  <c r="H48" i="4188"/>
  <c r="H47" i="4188"/>
  <c r="H46" i="4188"/>
  <c r="H45" i="4188"/>
  <c r="H44" i="4188"/>
  <c r="H43" i="4188"/>
  <c r="H42" i="4188"/>
  <c r="H41" i="4188"/>
  <c r="H40" i="4188"/>
  <c r="H39" i="4188"/>
  <c r="H38" i="4188"/>
  <c r="H37" i="4188"/>
  <c r="H36" i="4188"/>
  <c r="H35" i="4188"/>
  <c r="H34" i="4188"/>
  <c r="H33" i="4188"/>
  <c r="H32" i="4188"/>
  <c r="H31" i="4188"/>
  <c r="H30" i="4188"/>
  <c r="H29" i="4188"/>
  <c r="H28" i="4188"/>
  <c r="H27" i="4188"/>
  <c r="H26" i="4188"/>
  <c r="H25" i="4188"/>
  <c r="C25" i="4188"/>
  <c r="H24" i="4188"/>
  <c r="H23" i="4188"/>
  <c r="H22" i="4188"/>
  <c r="B22" i="4188"/>
  <c r="H21" i="4188"/>
  <c r="H20" i="4188"/>
  <c r="C20" i="4188"/>
  <c r="H19" i="4188"/>
  <c r="H18" i="4188"/>
  <c r="C18" i="4188"/>
  <c r="H17" i="4188"/>
  <c r="C17" i="4188"/>
  <c r="B17" i="4188"/>
  <c r="B21" i="4188" s="1"/>
  <c r="H16" i="4188"/>
  <c r="C16" i="4188"/>
  <c r="H15" i="4188"/>
  <c r="C15" i="4188"/>
  <c r="H14" i="4188"/>
  <c r="C14" i="4188"/>
  <c r="H13" i="4188"/>
  <c r="C13" i="4188"/>
  <c r="O12" i="4188"/>
  <c r="H12" i="4188"/>
  <c r="C12" i="4188"/>
  <c r="O11" i="4188"/>
  <c r="H11" i="4188"/>
  <c r="C11" i="4188"/>
  <c r="O10" i="4188"/>
  <c r="H10" i="4188"/>
  <c r="C10" i="4188"/>
  <c r="H9" i="4188"/>
  <c r="C9" i="4188"/>
  <c r="H8" i="4188"/>
  <c r="C8" i="4188"/>
  <c r="O7" i="4188"/>
  <c r="H7" i="4188"/>
  <c r="C7" i="4188"/>
  <c r="O6" i="4188"/>
  <c r="H6" i="4188"/>
  <c r="B6" i="4188"/>
  <c r="O5" i="4188"/>
  <c r="H5" i="4188"/>
  <c r="B5" i="4188"/>
  <c r="O4" i="4188"/>
  <c r="H4" i="4188"/>
  <c r="O3" i="4188"/>
  <c r="H3" i="4188"/>
  <c r="O2" i="4188"/>
  <c r="H2" i="4188"/>
  <c r="O16" i="4184"/>
  <c r="O16" i="4186"/>
  <c r="O15" i="4186"/>
  <c r="H53" i="4186"/>
  <c r="H52" i="4186"/>
  <c r="H51" i="4186"/>
  <c r="H50" i="4186"/>
  <c r="H49" i="4186"/>
  <c r="H48" i="4186"/>
  <c r="H47" i="4186"/>
  <c r="H46" i="4186"/>
  <c r="H45" i="4186"/>
  <c r="H44" i="4186"/>
  <c r="H43" i="4186"/>
  <c r="H42" i="4186"/>
  <c r="H41" i="4186"/>
  <c r="H40" i="4186"/>
  <c r="H39" i="4186"/>
  <c r="H38" i="4186"/>
  <c r="H37" i="4186"/>
  <c r="H36" i="4186"/>
  <c r="H35" i="4186"/>
  <c r="H34" i="4186"/>
  <c r="H33" i="4186"/>
  <c r="H32" i="4186"/>
  <c r="H31" i="4186"/>
  <c r="H30" i="4186"/>
  <c r="H29" i="4186"/>
  <c r="H28" i="4186"/>
  <c r="H27" i="4186"/>
  <c r="H26" i="4186"/>
  <c r="H25" i="4186"/>
  <c r="C25" i="4186"/>
  <c r="H24" i="4186"/>
  <c r="H23" i="4186"/>
  <c r="H22" i="4186"/>
  <c r="B22" i="4186"/>
  <c r="H21" i="4186"/>
  <c r="H20" i="4186"/>
  <c r="C20" i="4186"/>
  <c r="H19" i="4186"/>
  <c r="H18" i="4186"/>
  <c r="C18" i="4186"/>
  <c r="H17" i="4186"/>
  <c r="B17" i="4186"/>
  <c r="B21" i="4186" s="1"/>
  <c r="H16" i="4186"/>
  <c r="C16" i="4186"/>
  <c r="H15" i="4186"/>
  <c r="C15" i="4186"/>
  <c r="H14" i="4186"/>
  <c r="C14" i="4186"/>
  <c r="H13" i="4186"/>
  <c r="C13" i="4186"/>
  <c r="O12" i="4186"/>
  <c r="H12" i="4186"/>
  <c r="C12" i="4186"/>
  <c r="O11" i="4186"/>
  <c r="H9" i="4186"/>
  <c r="C11" i="4186"/>
  <c r="O10" i="4186"/>
  <c r="H11" i="4186"/>
  <c r="C10" i="4186"/>
  <c r="H10" i="4186"/>
  <c r="C9" i="4186"/>
  <c r="H8" i="4186"/>
  <c r="C8" i="4186"/>
  <c r="O7" i="4186"/>
  <c r="H7" i="4186"/>
  <c r="C7" i="4186"/>
  <c r="O6" i="4186"/>
  <c r="H3" i="4186"/>
  <c r="B6" i="4186"/>
  <c r="O5" i="4186"/>
  <c r="H6" i="4186"/>
  <c r="B5" i="4186"/>
  <c r="O4" i="4186"/>
  <c r="H4" i="4186"/>
  <c r="O3" i="4186"/>
  <c r="H5" i="4186"/>
  <c r="O2" i="4186"/>
  <c r="H2" i="4186"/>
  <c r="O17" i="4184"/>
  <c r="O15" i="4184"/>
  <c r="H53" i="4184"/>
  <c r="H52" i="4184"/>
  <c r="H51" i="4184"/>
  <c r="H50" i="4184"/>
  <c r="H49" i="4184"/>
  <c r="H48" i="4184"/>
  <c r="H47" i="4184"/>
  <c r="H46" i="4184"/>
  <c r="H45" i="4184"/>
  <c r="H44" i="4184"/>
  <c r="H43" i="4184"/>
  <c r="H42" i="4184"/>
  <c r="H41" i="4184"/>
  <c r="H40" i="4184"/>
  <c r="H39" i="4184"/>
  <c r="H38" i="4184"/>
  <c r="H37" i="4184"/>
  <c r="H36" i="4184"/>
  <c r="H35" i="4184"/>
  <c r="H34" i="4184"/>
  <c r="H33" i="4184"/>
  <c r="H32" i="4184"/>
  <c r="H31" i="4184"/>
  <c r="H30" i="4184"/>
  <c r="H12" i="4184"/>
  <c r="H29" i="4184"/>
  <c r="H28" i="4184"/>
  <c r="H11" i="4184"/>
  <c r="H27" i="4184"/>
  <c r="C25" i="4184"/>
  <c r="H26" i="4184"/>
  <c r="H10" i="4184"/>
  <c r="H25" i="4184"/>
  <c r="B22" i="4184"/>
  <c r="H24" i="4184"/>
  <c r="H23" i="4184"/>
  <c r="C20" i="4184"/>
  <c r="H22" i="4184"/>
  <c r="H21" i="4184"/>
  <c r="C18" i="4184"/>
  <c r="H20" i="4184"/>
  <c r="B17" i="4184"/>
  <c r="B21" i="4184" s="1"/>
  <c r="H19" i="4184"/>
  <c r="C16" i="4184"/>
  <c r="H18" i="4184"/>
  <c r="C15" i="4184"/>
  <c r="H17" i="4184"/>
  <c r="C14" i="4184"/>
  <c r="H16" i="4184"/>
  <c r="C13" i="4184"/>
  <c r="O12" i="4184"/>
  <c r="H15" i="4184"/>
  <c r="C12" i="4184"/>
  <c r="O11" i="4184"/>
  <c r="H9" i="4184"/>
  <c r="C11" i="4184"/>
  <c r="O10" i="4184"/>
  <c r="H14" i="4184"/>
  <c r="C10" i="4184"/>
  <c r="H13" i="4184"/>
  <c r="C9" i="4184"/>
  <c r="H8" i="4184"/>
  <c r="C8" i="4184"/>
  <c r="O7" i="4184"/>
  <c r="H7" i="4184"/>
  <c r="C7" i="4184"/>
  <c r="O6" i="4184"/>
  <c r="H2" i="4184"/>
  <c r="B6" i="4184"/>
  <c r="O5" i="4184"/>
  <c r="H4" i="4184"/>
  <c r="B5" i="4184"/>
  <c r="O4" i="4184"/>
  <c r="H5" i="4184"/>
  <c r="O3" i="4184"/>
  <c r="H6" i="4184"/>
  <c r="O2" i="4184"/>
  <c r="H3" i="4184"/>
  <c r="C17" i="4190" l="1"/>
  <c r="B21" i="4190"/>
  <c r="C19" i="4188"/>
  <c r="C17" i="4186"/>
  <c r="C19" i="4186"/>
  <c r="C17" i="4184"/>
  <c r="C19" i="4184"/>
  <c r="H53" i="2228" l="1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<sst xmlns="http://schemas.openxmlformats.org/spreadsheetml/2006/main" count="1068" uniqueCount="182">
  <si>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</si>
  <si>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</si>
  <si>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</si>
  <si>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</si>
  <si>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</si>
  <si>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</si>
  <si>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</si>
  <si>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</si>
  <si>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</si>
  <si>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</si>
  <si>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</si>
  <si>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</si>
  <si>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</si>
  <si>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</si>
  <si>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</si>
  <si>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</si>
  <si>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</si>
  <si>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</si>
  <si>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</si>
  <si>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</si>
  <si>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</si>
  <si>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</si>
  <si>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</si>
  <si>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</si>
  <si>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</si>
  <si>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</si>
  <si>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</si>
  <si>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</si>
  <si>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</si>
  <si>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</si>
  <si>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</si>
  <si>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</si>
  <si>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</si>
  <si>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</si>
  <si>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</si>
  <si>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</si>
  <si>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</si>
  <si>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</si>
  <si>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</si>
  <si>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</si>
  <si>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</si>
  <si>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</si>
  <si>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</si>
  <si>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</si>
  <si>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</si>
  <si>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</si>
  <si>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</si>
  <si>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</si>
  <si>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</si>
  <si>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</si>
  <si>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</si>
  <si>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</si>
  <si>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</si>
  <si>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</si>
  <si>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</si>
  <si>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</si>
  <si>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</si>
  <si>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</si>
  <si>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</si>
  <si>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</si>
  <si>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</si>
  <si>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</si>
  <si>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</si>
  <si>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</si>
  <si>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</si>
  <si>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</si>
  <si>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</si>
  <si>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</si>
  <si>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</si>
  <si>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</si>
  <si>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</si>
  <si>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</si>
  <si>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</si>
  <si>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</si>
  <si>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</si>
  <si>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</si>
  <si>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</si>
  <si>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</si>
  <si>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</si>
  <si>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</si>
  <si>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</si>
  <si>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</si>
  <si>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</si>
  <si>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</si>
  <si>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</si>
  <si>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</si>
  <si>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</si>
  <si>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</si>
  <si>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</si>
  <si>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</si>
  <si>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</si>
  <si>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</si>
  <si>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</si>
  <si>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</si>
  <si>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</si>
  <si>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</si>
  <si>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</si>
  <si>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</si>
  <si>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</si>
  <si>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</si>
  <si>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</si>
  <si>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</si>
  <si>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</si>
  <si>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</si>
  <si>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</si>
  <si>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</si>
  <si>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</si>
  <si>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</si>
  <si>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</si>
  <si>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</si>
  <si>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</si>
  <si>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</si>
  <si>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</si>
  <si>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</si>
  <si>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</si>
  <si>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</si>
  <si>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</si>
  <si>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</si>
  <si>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</si>
  <si>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</si>
  <si>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</si>
  <si>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</si>
  <si>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</si>
  <si>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</si>
  <si>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</si>
  <si>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</si>
  <si>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</si>
  <si>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</si>
  <si>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</si>
  <si>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</si>
  <si>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</si>
  <si>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</si>
  <si>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</si>
  <si>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</si>
  <si>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</si>
  <si>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</si>
  <si>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</si>
  <si>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</si>
  <si>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</si>
  <si>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</si>
  <si>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</si>
  <si>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</si>
  <si>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</si>
  <si>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</si>
  <si>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</si>
  <si>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</si>
  <si>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</si>
  <si>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</si>
  <si>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</si>
  <si>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</si>
  <si>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</si>
  <si>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</si>
  <si>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</si>
  <si>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</si>
  <si>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</si>
  <si>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</si>
  <si>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</si>
  <si>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</si>
  <si>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</si>
  <si>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</si>
  <si>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</si>
  <si>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</si>
  <si>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</si>
  <si>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</si>
  <si>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</si>
  <si>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</si>
  <si>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</si>
  <si>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</si>
  <si>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</si>
  <si>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</si>
  <si>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</si>
  <si>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</si>
  <si>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</si>
  <si>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</si>
  <si>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</si>
  <si>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</si>
  <si>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52</t>
    <phoneticPr fontId="1"/>
  </si>
  <si>
    <t>オープン立直</t>
    <phoneticPr fontId="1"/>
  </si>
  <si>
    <t>赤ドラ</t>
    <rPh sb="0" eb="1">
      <t>アカ</t>
    </rPh>
    <phoneticPr fontId="1"/>
  </si>
  <si>
    <t>2019-03-09.xlsm</t>
  </si>
  <si>
    <t>あやめ</t>
  </si>
  <si>
    <t>はんまー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</si>
</sst>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全体!$L$2:$L$5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-10.7</c:v>
                </c:pt>
                <c:pt idx="2">
                  <c:v>-35.099999999999994</c:v>
                </c:pt>
                <c:pt idx="3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5-473A-A6BD-12C7E6E8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5-4BEE-8785-72DB8493B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だいち!$L$2:$L$3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135-A2C2-6DA03CE29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10000</c:v>
                </c:pt>
                <c:pt idx="1">
                  <c:v>-8700</c:v>
                </c:pt>
                <c:pt idx="2">
                  <c:v>-6000</c:v>
                </c:pt>
                <c:pt idx="3">
                  <c:v>7000</c:v>
                </c:pt>
                <c:pt idx="4">
                  <c:v>-3000</c:v>
                </c:pt>
                <c:pt idx="5">
                  <c:v>-10000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1-47B6-9FF1-DAD9AD754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あやめ!$L$1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あやめ!$L$2:$L$3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B-4874-BF7E-08DF14574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あやめ!$O$1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あやめ!$N$2:$N$7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あやめ!$O$2:$O$7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-4900</c:v>
                </c:pt>
                <c:pt idx="2">
                  <c:v>-3000</c:v>
                </c:pt>
                <c:pt idx="3">
                  <c:v>-6000</c:v>
                </c:pt>
                <c:pt idx="4">
                  <c:v>-3500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3-4FE5-BBD2-0A9400287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はんまー!$L$2:$L$3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6-46D3-9190-5C088D1B9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はんまー!$O$1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はんまー!$N$2:$N$7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はんまー!$O$2:$O$7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13600</c:v>
                </c:pt>
                <c:pt idx="2">
                  <c:v>9000</c:v>
                </c:pt>
                <c:pt idx="3">
                  <c:v>-1000</c:v>
                </c:pt>
                <c:pt idx="4">
                  <c:v>6500</c:v>
                </c:pt>
                <c:pt idx="5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B-42DD-9509-366404351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(はんまー2!$A$1:$A$2,はんまー2!$B$1:$B$2)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(はんまー2!$A$3,はんまー2!$B$3)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(はんまー2!$A$1:$A$2,はんまー2!$B$1:$B$2)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(はんまー2!$A$4,はんまー2!$B$4)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A-4C03-92CE-D1E11F343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(はんまー2!$A$3,はんまー2!$C$3)</c:f>
              <c:numCache>
                <c:formatCode>\+0.0;\-0.0;\±0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(はんまー2!$A$4,はんまー2!$C$4)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B-4EC8-A860-C213A3D8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(はんまー2!$A$3,はんまー2!$D$3)</c:f>
              <c:numCache>
                <c:formatCode>0.00\ "位"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(はんまー2!$A$4,はんまー2!$D$4)</c:f>
              <c:numCache>
                <c:formatCode>0.00\ "位"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6-4EC3-8BEF-504E93053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(はんまー2!$A$3,はんまー2!$E$3)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(はんまー2!$A$4,はんまー2!$E$4)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C-43AE-B838-8A24BD284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(はんまー2!$A$1:$A$2,はんまー2!$F$1:$F$2)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(はんまー2!$A$3,はんまー2!$F$3)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(はんまー2!$A$1:$A$2,はんまー2!$F$1:$F$2)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(はんまー2!$A$4,はんまー2!$F$4)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7-4A2A-9D98-82EB30A0C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(はんまー2!$A$1:$A$2,はんまー2!$G$1:$G$2)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(はんまー2!$A$3,はんまー2!$G$3)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(はんまー2!$A$1:$A$2,はんまー2!$G$1:$G$2)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(はんまー2!$A$4,はんまー2!$G$4)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25-49E0-8DF2-DE2D61220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(はんまー2!$A$1:$A$2,はんまー2!$H$1:$H$2)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(はんまー2!$A$3,はんまー2!$H$3)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(はんまー2!$A$1:$A$2,はんまー2!$H$1:$H$2)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(はんまー2!$A$4,はんまー2!$H$4)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8120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4-4B18-8639-71F16AFA4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(はんまー2!$A$1:$A$2,はんまー2!$I$1:$I$2)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(はんまー2!$A$3,はんまー2!$I$3)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(はんまー2!$A$1:$A$2,はんまー2!$I$1:$I$2)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(はんまー2!$A$4,はんまー2!$I$4)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6-473A-BBC4-A4498D29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(はんまー2!$A$1:$A$2,はんまー2!$J$1:$J$2)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(はんまー2!$A$3,はんまー2!$J$3)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(はんまー2!$A$1:$A$2,はんまー2!$J$1:$J$2)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(はんまー2!$A$4,はんまー2!$J$4)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F-4CED-AEFD-5209542DE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(はんまー2!$A$3,はんまー2!$K$3)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(はんまー2!$A$4,はんまー2!$K$4)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3-4B47-9A8B-95BCE148D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(はんまー2!$A$3,はんまー2!$M$3)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(はんまー2!$A$4,はんまー2!$M$4)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3C-41B3-B2C6-4762F199E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(はんまー2!$A$3,はんまー2!$N$3)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(はんまー2!$A$4,はんまー2!$N$4)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71-44C7-8BE2-0C08C6443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(はんまー2!$A$3,はんまー2!$O$3)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(はんまー2!$A$4,はんまー2!$O$4)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8B-41C9-B96F-253152A96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(はんまー2!$A$3,はんまー2!$P$3)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(はんまー2!$A$4,はんまー2!$P$4)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D-4B81-9066-CECD060B0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(はんまー2!$A$3,はんまー2!$Q$3)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(はんまー2!$A$4,はんまー2!$Q$4)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8-4F83-89A6-CDED99C6F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(はんまー2!$A$1:$A$2,はんまー2!$L$1:$L$2)</c:f>
              <c:multiLvlStrCache>
                <c:ptCount val="2"/>
                <c:lvl>
                  <c:pt idx="0">
                    <c:v>対戦数</c:v>
                  </c:pt>
                  <c:pt idx="1">
                    <c:v>逆転率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(はんまー2!$A$3,はんまー2!$L$3)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(はんまー2!$A$1:$A$2,はんまー2!$L$1:$L$2)</c:f>
              <c:multiLvlStrCache>
                <c:ptCount val="2"/>
                <c:lvl>
                  <c:pt idx="0">
                    <c:v>対戦数</c:v>
                  </c:pt>
                  <c:pt idx="1">
                    <c:v>逆転率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(はんまー2!$A$4,はんまー2!$L$4)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6-4844-B0BE-7AB254E6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0"/>
      <c r="C1" s="151"/>
      <c r="E1" s="133" t="s">
        <v>174</v>
      </c>
      <c r="F1" s="12" t="s">
        <v>120</v>
      </c>
      <c r="G1" s="26" t="s">
        <v>121</v>
      </c>
      <c r="H1" s="134" t="s">
        <v>122</v>
      </c>
      <c r="I1" s="104" t="s">
        <v>158</v>
      </c>
      <c r="K1" s="2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163</v>
      </c>
    </row>
    <row r="2" spans="1:17" x14ac:dyDescent="0.4">
      <c r="A2" s="21" t="s">
        <v>9</v>
      </c>
      <c r="B2" s="146">
        <v>0</v>
      </c>
      <c r="C2" s="147"/>
      <c r="E2" s="62" t="s">
        <v>67</v>
      </c>
      <c r="F2" s="27" t="s">
        <v>21</v>
      </c>
      <c r="G2" s="14">
        <v>0</v>
      </c>
      <c r="H2" s="135">
        <f t="shared" ref="H2:H33" si="0">IF(B$27=0,0,G2/B$27)</f>
        <v>0</v>
      </c>
      <c r="I2" s="97"/>
      <c r="K2" s="3">
        <v>0</v>
      </c>
      <c r="L2" s="102">
        <v>0</v>
      </c>
      <c r="N2" s="118" t="s">
        <v>135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2">
        <v>0</v>
      </c>
      <c r="C3" s="153"/>
      <c r="E3" s="63" t="s">
        <v>68</v>
      </c>
      <c r="F3" s="28" t="s">
        <v>22</v>
      </c>
      <c r="G3" s="15">
        <v>0</v>
      </c>
      <c r="H3" s="136">
        <f t="shared" si="0"/>
        <v>0</v>
      </c>
      <c r="I3" s="98"/>
      <c r="N3" s="119" t="s">
        <v>136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4">
        <v>0</v>
      </c>
      <c r="C4" s="155"/>
      <c r="E4" s="63" t="s">
        <v>69</v>
      </c>
      <c r="F4" s="28" t="s">
        <v>23</v>
      </c>
      <c r="G4" s="15">
        <v>0</v>
      </c>
      <c r="H4" s="136">
        <f t="shared" si="0"/>
        <v>0</v>
      </c>
      <c r="I4" s="98"/>
      <c r="N4" s="119" t="s">
        <v>137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70</v>
      </c>
      <c r="F5" s="28" t="s">
        <v>24</v>
      </c>
      <c r="G5" s="15">
        <v>0</v>
      </c>
      <c r="H5" s="136">
        <f t="shared" si="0"/>
        <v>0</v>
      </c>
      <c r="I5" s="98"/>
      <c r="N5" s="119" t="s">
        <v>138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71</v>
      </c>
      <c r="F6" s="28" t="s">
        <v>25</v>
      </c>
      <c r="G6" s="15">
        <v>0</v>
      </c>
      <c r="H6" s="136">
        <f t="shared" si="0"/>
        <v>0</v>
      </c>
      <c r="I6" s="98"/>
      <c r="N6" s="119" t="s">
        <v>139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72</v>
      </c>
      <c r="F7" s="28" t="s">
        <v>12</v>
      </c>
      <c r="G7" s="15">
        <v>0</v>
      </c>
      <c r="H7" s="136">
        <f t="shared" si="0"/>
        <v>0</v>
      </c>
      <c r="I7" s="98"/>
      <c r="N7" s="120" t="s">
        <v>140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73</v>
      </c>
      <c r="F8" s="28" t="s">
        <v>26</v>
      </c>
      <c r="G8" s="15">
        <v>0</v>
      </c>
      <c r="H8" s="136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74</v>
      </c>
      <c r="F9" s="28" t="s">
        <v>27</v>
      </c>
      <c r="G9" s="15">
        <v>0</v>
      </c>
      <c r="H9" s="136">
        <f t="shared" si="0"/>
        <v>0</v>
      </c>
      <c r="I9" s="98"/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75</v>
      </c>
      <c r="F10" s="28" t="s">
        <v>28</v>
      </c>
      <c r="G10" s="15">
        <v>0</v>
      </c>
      <c r="H10" s="136">
        <f t="shared" si="0"/>
        <v>0</v>
      </c>
      <c r="I10" s="98"/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76</v>
      </c>
      <c r="F11" s="28" t="s">
        <v>29</v>
      </c>
      <c r="G11" s="15">
        <v>0</v>
      </c>
      <c r="H11" s="136">
        <f t="shared" si="0"/>
        <v>0</v>
      </c>
      <c r="I11" s="98"/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28" t="s">
        <v>30</v>
      </c>
      <c r="G12" s="15">
        <v>0</v>
      </c>
      <c r="H12" s="136">
        <f t="shared" si="0"/>
        <v>0</v>
      </c>
      <c r="I12" s="98"/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128</v>
      </c>
      <c r="B13" s="17">
        <v>0</v>
      </c>
      <c r="C13" s="11">
        <f>IF(B$26=0,0,B13/B$26)</f>
        <v>0</v>
      </c>
      <c r="E13" s="63" t="s">
        <v>78</v>
      </c>
      <c r="F13" s="28" t="s">
        <v>31</v>
      </c>
      <c r="G13" s="15">
        <v>0</v>
      </c>
      <c r="H13" s="136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123</v>
      </c>
      <c r="B14" s="15">
        <v>0</v>
      </c>
      <c r="C14" s="6">
        <f>IF(B$26=0,0,B14/B$26)</f>
        <v>0</v>
      </c>
      <c r="E14" s="63" t="s">
        <v>79</v>
      </c>
      <c r="F14" s="28" t="s">
        <v>32</v>
      </c>
      <c r="G14" s="15">
        <v>0</v>
      </c>
      <c r="H14" s="136">
        <f t="shared" si="0"/>
        <v>0</v>
      </c>
      <c r="I14" s="98"/>
      <c r="N14" s="117" t="s">
        <v>159</v>
      </c>
      <c r="O14" s="34" t="s">
        <v>160</v>
      </c>
      <c r="P14" s="121" t="s">
        <v>161</v>
      </c>
      <c r="Q14" s="109" t="s">
        <v>162</v>
      </c>
    </row>
    <row r="15" spans="1:17" x14ac:dyDescent="0.4">
      <c r="A15" s="21" t="s">
        <v>130</v>
      </c>
      <c r="B15" s="14">
        <v>0</v>
      </c>
      <c r="C15" s="4">
        <f>IF(B$13=0,0,B15/B$13)</f>
        <v>0</v>
      </c>
      <c r="E15" s="63" t="s">
        <v>80</v>
      </c>
      <c r="F15" s="28" t="s">
        <v>33</v>
      </c>
      <c r="G15" s="15">
        <v>0</v>
      </c>
      <c r="H15" s="136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131</v>
      </c>
      <c r="B16" s="14">
        <v>0</v>
      </c>
      <c r="C16" s="4">
        <f>IF(B$14=0,0,B16/B$14)</f>
        <v>0</v>
      </c>
      <c r="E16" s="63" t="s">
        <v>81</v>
      </c>
      <c r="F16" s="28" t="s">
        <v>34</v>
      </c>
      <c r="G16" s="15">
        <v>0</v>
      </c>
      <c r="H16" s="136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82</v>
      </c>
      <c r="F17" s="28" t="s">
        <v>35</v>
      </c>
      <c r="G17" s="15">
        <v>0</v>
      </c>
      <c r="H17" s="136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83</v>
      </c>
      <c r="F18" s="28" t="s">
        <v>36</v>
      </c>
      <c r="G18" s="15">
        <v>0</v>
      </c>
      <c r="H18" s="136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84</v>
      </c>
      <c r="F19" s="28" t="s">
        <v>37</v>
      </c>
      <c r="G19" s="15">
        <v>0</v>
      </c>
      <c r="H19" s="136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85</v>
      </c>
      <c r="F20" s="28" t="s">
        <v>38</v>
      </c>
      <c r="G20" s="15">
        <v>0</v>
      </c>
      <c r="H20" s="136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86</v>
      </c>
      <c r="F21" s="28" t="s">
        <v>39</v>
      </c>
      <c r="G21" s="15">
        <v>0</v>
      </c>
      <c r="H21" s="136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87</v>
      </c>
      <c r="F22" s="28" t="s">
        <v>40</v>
      </c>
      <c r="G22" s="15">
        <v>0</v>
      </c>
      <c r="H22" s="136">
        <f t="shared" si="0"/>
        <v>0</v>
      </c>
      <c r="I22" s="98"/>
    </row>
    <row r="23" spans="1:9" x14ac:dyDescent="0.4">
      <c r="A23" s="94" t="s">
        <v>145</v>
      </c>
      <c r="B23" s="142">
        <v>0</v>
      </c>
      <c r="C23" s="143"/>
      <c r="E23" s="63" t="s">
        <v>88</v>
      </c>
      <c r="F23" s="28" t="s">
        <v>41</v>
      </c>
      <c r="G23" s="15">
        <v>0</v>
      </c>
      <c r="H23" s="136">
        <f t="shared" si="0"/>
        <v>0</v>
      </c>
      <c r="I23" s="98"/>
    </row>
    <row r="24" spans="1:9" x14ac:dyDescent="0.4">
      <c r="A24" s="58" t="s">
        <v>156</v>
      </c>
      <c r="B24" s="140">
        <v>0</v>
      </c>
      <c r="C24" s="141"/>
      <c r="E24" s="63" t="s">
        <v>89</v>
      </c>
      <c r="F24" s="28" t="s">
        <v>42</v>
      </c>
      <c r="G24" s="15">
        <v>0</v>
      </c>
      <c r="H24" s="136">
        <f t="shared" si="0"/>
        <v>0</v>
      </c>
      <c r="I24" s="98"/>
    </row>
    <row r="25" spans="1:9" x14ac:dyDescent="0.4">
      <c r="A25" s="24" t="s">
        <v>146</v>
      </c>
      <c r="B25" s="32">
        <v>0</v>
      </c>
      <c r="C25" s="9">
        <f>IF(B$3=0,0,B25/B$3)</f>
        <v>0</v>
      </c>
      <c r="E25" s="63" t="s">
        <v>90</v>
      </c>
      <c r="F25" s="28" t="s">
        <v>43</v>
      </c>
      <c r="G25" s="15">
        <v>0</v>
      </c>
      <c r="H25" s="136">
        <f t="shared" si="0"/>
        <v>0</v>
      </c>
      <c r="I25" s="98"/>
    </row>
    <row r="26" spans="1:9" x14ac:dyDescent="0.4">
      <c r="A26" s="21" t="s">
        <v>126</v>
      </c>
      <c r="B26" s="146">
        <v>0</v>
      </c>
      <c r="C26" s="147"/>
      <c r="E26" s="63" t="s">
        <v>91</v>
      </c>
      <c r="F26" s="28" t="s">
        <v>44</v>
      </c>
      <c r="G26" s="15">
        <v>0</v>
      </c>
      <c r="H26" s="136">
        <f t="shared" si="0"/>
        <v>0</v>
      </c>
      <c r="I26" s="98"/>
    </row>
    <row r="27" spans="1:9" x14ac:dyDescent="0.4">
      <c r="A27" s="24" t="s">
        <v>127</v>
      </c>
      <c r="B27" s="148">
        <v>0</v>
      </c>
      <c r="C27" s="149"/>
      <c r="E27" s="63" t="s">
        <v>92</v>
      </c>
      <c r="F27" s="28" t="s">
        <v>45</v>
      </c>
      <c r="G27" s="15">
        <v>0</v>
      </c>
      <c r="H27" s="136">
        <f t="shared" si="0"/>
        <v>0</v>
      </c>
      <c r="I27" s="98"/>
    </row>
    <row r="28" spans="1:9" x14ac:dyDescent="0.4">
      <c r="E28" s="63" t="s">
        <v>93</v>
      </c>
      <c r="F28" s="28" t="s">
        <v>46</v>
      </c>
      <c r="G28" s="15">
        <v>0</v>
      </c>
      <c r="H28" s="136">
        <f t="shared" si="0"/>
        <v>0</v>
      </c>
      <c r="I28" s="98"/>
    </row>
    <row r="29" spans="1:9" x14ac:dyDescent="0.4">
      <c r="E29" s="63" t="s">
        <v>94</v>
      </c>
      <c r="F29" s="28" t="s">
        <v>47</v>
      </c>
      <c r="G29" s="15">
        <v>0</v>
      </c>
      <c r="H29" s="136">
        <f t="shared" si="0"/>
        <v>0</v>
      </c>
      <c r="I29" s="98"/>
    </row>
    <row r="30" spans="1:9" x14ac:dyDescent="0.4">
      <c r="E30" s="63" t="s">
        <v>95</v>
      </c>
      <c r="F30" s="28" t="s">
        <v>48</v>
      </c>
      <c r="G30" s="15">
        <v>0</v>
      </c>
      <c r="H30" s="136">
        <f t="shared" si="0"/>
        <v>0</v>
      </c>
      <c r="I30" s="98"/>
    </row>
    <row r="31" spans="1:9" x14ac:dyDescent="0.4">
      <c r="E31" s="63" t="s">
        <v>96</v>
      </c>
      <c r="F31" s="28" t="s">
        <v>49</v>
      </c>
      <c r="G31" s="15">
        <v>0</v>
      </c>
      <c r="H31" s="136">
        <f t="shared" si="0"/>
        <v>0</v>
      </c>
      <c r="I31" s="98"/>
    </row>
    <row r="32" spans="1:9" x14ac:dyDescent="0.4">
      <c r="E32" s="63" t="s">
        <v>97</v>
      </c>
      <c r="F32" s="28" t="s">
        <v>50</v>
      </c>
      <c r="G32" s="15">
        <v>0</v>
      </c>
      <c r="H32" s="136">
        <f t="shared" si="0"/>
        <v>0</v>
      </c>
      <c r="I32" s="98"/>
    </row>
    <row r="33" spans="5:9" x14ac:dyDescent="0.4">
      <c r="E33" s="63" t="s">
        <v>98</v>
      </c>
      <c r="F33" s="28" t="s">
        <v>51</v>
      </c>
      <c r="G33" s="15">
        <v>0</v>
      </c>
      <c r="H33" s="136">
        <f t="shared" si="0"/>
        <v>0</v>
      </c>
      <c r="I33" s="98"/>
    </row>
    <row r="34" spans="5:9" x14ac:dyDescent="0.4">
      <c r="E34" s="63" t="s">
        <v>99</v>
      </c>
      <c r="F34" s="28" t="s">
        <v>52</v>
      </c>
      <c r="G34" s="15">
        <v>0</v>
      </c>
      <c r="H34" s="136">
        <f t="shared" ref="H34:H51" si="3">IF(B$27=0,0,G34/B$27)</f>
        <v>0</v>
      </c>
      <c r="I34" s="98"/>
    </row>
    <row r="35" spans="5:9" x14ac:dyDescent="0.4">
      <c r="E35" s="63" t="s">
        <v>100</v>
      </c>
      <c r="F35" s="28" t="s">
        <v>53</v>
      </c>
      <c r="G35" s="15">
        <v>0</v>
      </c>
      <c r="H35" s="136">
        <f t="shared" si="3"/>
        <v>0</v>
      </c>
      <c r="I35" s="98"/>
    </row>
    <row r="36" spans="5:9" x14ac:dyDescent="0.4">
      <c r="E36" s="63" t="s">
        <v>101</v>
      </c>
      <c r="F36" s="28" t="s">
        <v>54</v>
      </c>
      <c r="G36" s="15">
        <v>0</v>
      </c>
      <c r="H36" s="136">
        <f t="shared" si="3"/>
        <v>0</v>
      </c>
      <c r="I36" s="98"/>
    </row>
    <row r="37" spans="5:9" x14ac:dyDescent="0.4">
      <c r="E37" s="63" t="s">
        <v>102</v>
      </c>
      <c r="F37" s="28" t="s">
        <v>55</v>
      </c>
      <c r="G37" s="15">
        <v>0</v>
      </c>
      <c r="H37" s="136">
        <f t="shared" si="3"/>
        <v>0</v>
      </c>
      <c r="I37" s="98"/>
    </row>
    <row r="38" spans="5:9" x14ac:dyDescent="0.4">
      <c r="E38" s="63" t="s">
        <v>103</v>
      </c>
      <c r="F38" s="28" t="s">
        <v>56</v>
      </c>
      <c r="G38" s="15">
        <v>0</v>
      </c>
      <c r="H38" s="136">
        <f t="shared" si="3"/>
        <v>0</v>
      </c>
      <c r="I38" s="98"/>
    </row>
    <row r="39" spans="5:9" x14ac:dyDescent="0.4">
      <c r="E39" s="63" t="s">
        <v>104</v>
      </c>
      <c r="F39" s="28" t="s">
        <v>57</v>
      </c>
      <c r="G39" s="15">
        <v>0</v>
      </c>
      <c r="H39" s="136">
        <f t="shared" si="3"/>
        <v>0</v>
      </c>
      <c r="I39" s="98"/>
    </row>
    <row r="40" spans="5:9" x14ac:dyDescent="0.4">
      <c r="E40" s="63" t="s">
        <v>105</v>
      </c>
      <c r="F40" s="28" t="s">
        <v>58</v>
      </c>
      <c r="G40" s="15">
        <v>0</v>
      </c>
      <c r="H40" s="136">
        <f t="shared" si="3"/>
        <v>0</v>
      </c>
      <c r="I40" s="98"/>
    </row>
    <row r="41" spans="5:9" x14ac:dyDescent="0.4">
      <c r="E41" s="63" t="s">
        <v>106</v>
      </c>
      <c r="F41" s="28" t="s">
        <v>59</v>
      </c>
      <c r="G41" s="15">
        <v>0</v>
      </c>
      <c r="H41" s="136">
        <f t="shared" si="3"/>
        <v>0</v>
      </c>
      <c r="I41" s="98"/>
    </row>
    <row r="42" spans="5:9" x14ac:dyDescent="0.4">
      <c r="E42" s="63" t="s">
        <v>107</v>
      </c>
      <c r="F42" s="28" t="s">
        <v>60</v>
      </c>
      <c r="G42" s="15">
        <v>0</v>
      </c>
      <c r="H42" s="136">
        <f t="shared" si="3"/>
        <v>0</v>
      </c>
      <c r="I42" s="98"/>
    </row>
    <row r="43" spans="5:9" x14ac:dyDescent="0.4">
      <c r="E43" s="63" t="s">
        <v>108</v>
      </c>
      <c r="F43" s="28" t="s">
        <v>61</v>
      </c>
      <c r="G43" s="15">
        <v>0</v>
      </c>
      <c r="H43" s="136">
        <f t="shared" si="3"/>
        <v>0</v>
      </c>
      <c r="I43" s="98"/>
    </row>
    <row r="44" spans="5:9" x14ac:dyDescent="0.4">
      <c r="E44" s="63" t="s">
        <v>109</v>
      </c>
      <c r="F44" s="28" t="s">
        <v>62</v>
      </c>
      <c r="G44" s="15">
        <v>0</v>
      </c>
      <c r="H44" s="136">
        <f t="shared" si="3"/>
        <v>0</v>
      </c>
      <c r="I44" s="98"/>
    </row>
    <row r="45" spans="5:9" x14ac:dyDescent="0.4">
      <c r="E45" s="63" t="s">
        <v>110</v>
      </c>
      <c r="F45" s="28" t="s">
        <v>117</v>
      </c>
      <c r="G45" s="15">
        <v>0</v>
      </c>
      <c r="H45" s="136">
        <f t="shared" si="3"/>
        <v>0</v>
      </c>
      <c r="I45" s="98"/>
    </row>
    <row r="46" spans="5:9" x14ac:dyDescent="0.4">
      <c r="E46" s="63" t="s">
        <v>111</v>
      </c>
      <c r="F46" s="28" t="s">
        <v>118</v>
      </c>
      <c r="G46" s="15">
        <v>0</v>
      </c>
      <c r="H46" s="136">
        <f t="shared" si="3"/>
        <v>0</v>
      </c>
      <c r="I46" s="98"/>
    </row>
    <row r="47" spans="5:9" x14ac:dyDescent="0.4">
      <c r="E47" s="63" t="s">
        <v>112</v>
      </c>
      <c r="F47" s="28" t="s">
        <v>119</v>
      </c>
      <c r="G47" s="15">
        <v>0</v>
      </c>
      <c r="H47" s="136">
        <f t="shared" si="3"/>
        <v>0</v>
      </c>
      <c r="I47" s="98"/>
    </row>
    <row r="48" spans="5:9" x14ac:dyDescent="0.4">
      <c r="E48" s="63" t="s">
        <v>113</v>
      </c>
      <c r="F48" s="28" t="s">
        <v>63</v>
      </c>
      <c r="G48" s="15">
        <v>0</v>
      </c>
      <c r="H48" s="136">
        <f t="shared" si="3"/>
        <v>0</v>
      </c>
      <c r="I48" s="98"/>
    </row>
    <row r="49" spans="5:9" x14ac:dyDescent="0.4">
      <c r="E49" s="63" t="s">
        <v>114</v>
      </c>
      <c r="F49" s="28" t="s">
        <v>64</v>
      </c>
      <c r="G49" s="15">
        <v>0</v>
      </c>
      <c r="H49" s="136">
        <f t="shared" si="3"/>
        <v>0</v>
      </c>
      <c r="I49" s="98"/>
    </row>
    <row r="50" spans="5:9" x14ac:dyDescent="0.4">
      <c r="E50" s="63" t="s">
        <v>115</v>
      </c>
      <c r="F50" s="28" t="s">
        <v>65</v>
      </c>
      <c r="G50" s="15">
        <v>0</v>
      </c>
      <c r="H50" s="136">
        <f t="shared" si="3"/>
        <v>0</v>
      </c>
      <c r="I50" s="98"/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/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ref="H52:H53" si="4">IF(B$27=0,0,G52/B$27)</f>
        <v>0</v>
      </c>
      <c r="I52" s="98"/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4"/>
        <v>0</v>
      </c>
      <c r="I53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3" x14ac:dyDescent="0.4">
      <c r="A1" s="29">
        <v>32874</v>
      </c>
      <c r="B1" s="29">
        <v>2958465</v>
      </c>
    </row>
    <row r="2" spans="1:3" x14ac:dyDescent="0.4">
      <c r="A2" s="30" t="s">
        <v>179</v>
      </c>
      <c r="B2" s="31">
        <v>43557.890393518515</v>
      </c>
      <c r="C2" s="30" t="s">
        <v>134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148</v>
      </c>
    </row>
    <row r="2" spans="1:1" x14ac:dyDescent="0.4">
      <c r="A2" t="s">
        <v>133</v>
      </c>
    </row>
    <row r="3" spans="1:1" x14ac:dyDescent="0.4">
      <c r="A3" t="s">
        <v>180</v>
      </c>
    </row>
    <row r="4" spans="1:1" x14ac:dyDescent="0.4">
      <c r="A4" t="s">
        <v>181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168</v>
      </c>
      <c r="K1" s="159"/>
      <c r="L1" s="158" t="s">
        <v>152</v>
      </c>
      <c r="M1" s="159"/>
      <c r="N1" s="158" t="s">
        <v>153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144</v>
      </c>
      <c r="W1" s="159"/>
      <c r="X1" s="158" t="s">
        <v>166</v>
      </c>
      <c r="Y1" s="159"/>
      <c r="Z1" s="158" t="s">
        <v>129</v>
      </c>
      <c r="AA1" s="159"/>
      <c r="AB1" s="158" t="s">
        <v>124</v>
      </c>
      <c r="AC1" s="159"/>
      <c r="AD1" s="158" t="s">
        <v>132</v>
      </c>
      <c r="AE1" s="159"/>
      <c r="AF1" s="158" t="s">
        <v>154</v>
      </c>
      <c r="AG1" s="159"/>
      <c r="AH1" s="158" t="s">
        <v>147</v>
      </c>
      <c r="AI1" s="159"/>
      <c r="AJ1" s="158" t="s">
        <v>155</v>
      </c>
      <c r="AK1" s="159"/>
      <c r="AL1" s="158" t="s">
        <v>157</v>
      </c>
      <c r="AM1" s="159"/>
      <c r="AN1" s="158" t="s">
        <v>169</v>
      </c>
      <c r="AO1" s="159"/>
    </row>
    <row r="2" spans="1:41" x14ac:dyDescent="0.4">
      <c r="A2" s="72" t="s">
        <v>167</v>
      </c>
      <c r="B2" s="160"/>
      <c r="C2" s="161"/>
      <c r="D2" s="160"/>
      <c r="E2" s="161"/>
      <c r="F2" s="162" t="e">
        <v>#DIV/0!</v>
      </c>
      <c r="G2" s="163"/>
      <c r="H2" s="162" t="e">
        <v>#DIV/0!</v>
      </c>
      <c r="I2" s="163"/>
      <c r="J2" s="162" t="e">
        <v>#DIV/0!</v>
      </c>
      <c r="K2" s="163"/>
      <c r="L2" s="162" t="e">
        <v>#DIV/0!</v>
      </c>
      <c r="M2" s="163"/>
      <c r="N2" s="162" t="e">
        <v>#DIV/0!</v>
      </c>
      <c r="O2" s="163"/>
      <c r="P2" s="162" t="e">
        <v>#DIV/0!</v>
      </c>
      <c r="Q2" s="163"/>
      <c r="R2" s="162" t="e">
        <v>#DIV/0!</v>
      </c>
      <c r="S2" s="163"/>
      <c r="T2" s="162" t="e">
        <v>#DIV/0!</v>
      </c>
      <c r="U2" s="163"/>
      <c r="V2" s="162" t="e">
        <v>#DIV/0!</v>
      </c>
      <c r="W2" s="163"/>
      <c r="X2" s="162" t="e">
        <v>#DIV/0!</v>
      </c>
      <c r="Y2" s="163"/>
      <c r="Z2" s="162" t="e">
        <v>#DIV/0!</v>
      </c>
      <c r="AA2" s="163"/>
      <c r="AB2" s="162" t="e">
        <v>#DIV/0!</v>
      </c>
      <c r="AC2" s="163"/>
      <c r="AD2" s="162" t="e">
        <v>#DIV/0!</v>
      </c>
      <c r="AE2" s="163"/>
      <c r="AF2" s="162" t="e">
        <v>#DIV/0!</v>
      </c>
      <c r="AG2" s="163"/>
      <c r="AH2" s="162" t="e">
        <v>#DIV/0!</v>
      </c>
      <c r="AI2" s="163"/>
      <c r="AJ2" s="162" t="e">
        <v>#DIV/0!</v>
      </c>
      <c r="AK2" s="163"/>
      <c r="AL2" s="162" t="e">
        <v>#DIV/0!</v>
      </c>
      <c r="AM2" s="163"/>
      <c r="AN2" s="162" t="e">
        <v>#DIV/0!</v>
      </c>
      <c r="AO2" s="163"/>
    </row>
    <row r="3" spans="1:41" x14ac:dyDescent="0.4">
      <c r="A3" s="74">
        <v>1</v>
      </c>
      <c r="B3" s="75" t="s">
        <v>181</v>
      </c>
      <c r="C3" s="76">
        <v>35.1</v>
      </c>
      <c r="D3" s="77" t="s">
        <v>181</v>
      </c>
      <c r="E3" s="100">
        <v>35.1</v>
      </c>
      <c r="F3" s="77" t="s">
        <v>181</v>
      </c>
      <c r="G3" s="78">
        <v>1</v>
      </c>
      <c r="H3" s="77" t="s">
        <v>181</v>
      </c>
      <c r="I3" s="79">
        <v>1</v>
      </c>
      <c r="J3" s="77" t="s">
        <v>133</v>
      </c>
      <c r="K3" s="79">
        <v>0</v>
      </c>
      <c r="L3" s="77" t="s">
        <v>181</v>
      </c>
      <c r="M3" s="80">
        <v>0.55555555555555558</v>
      </c>
      <c r="N3" s="77" t="s">
        <v>181</v>
      </c>
      <c r="O3" s="80">
        <v>0</v>
      </c>
      <c r="P3" s="77" t="s">
        <v>181</v>
      </c>
      <c r="Q3" s="81">
        <v>8120</v>
      </c>
      <c r="R3" s="77" t="s">
        <v>181</v>
      </c>
      <c r="S3" s="81">
        <v>0</v>
      </c>
      <c r="T3" s="77" t="s">
        <v>148</v>
      </c>
      <c r="U3" s="79">
        <v>0</v>
      </c>
      <c r="V3" s="77" t="s">
        <v>148</v>
      </c>
      <c r="W3" s="79">
        <v>0</v>
      </c>
      <c r="X3" s="77" t="s">
        <v>148</v>
      </c>
      <c r="Y3" s="79">
        <v>0</v>
      </c>
      <c r="Z3" s="77" t="s">
        <v>133</v>
      </c>
      <c r="AA3" s="80">
        <v>0.88888888888888884</v>
      </c>
      <c r="AB3" s="77" t="s">
        <v>180</v>
      </c>
      <c r="AC3" s="80">
        <v>0.44444444444444442</v>
      </c>
      <c r="AD3" s="77" t="s">
        <v>181</v>
      </c>
      <c r="AE3" s="80">
        <v>0.8</v>
      </c>
      <c r="AF3" s="77" t="s">
        <v>181</v>
      </c>
      <c r="AG3" s="80">
        <v>1</v>
      </c>
      <c r="AH3" s="77" t="s">
        <v>133</v>
      </c>
      <c r="AI3" s="80">
        <v>0.5</v>
      </c>
      <c r="AJ3" s="77" t="s">
        <v>148</v>
      </c>
      <c r="AK3" s="82">
        <v>4</v>
      </c>
      <c r="AL3" s="77" t="s">
        <v>148</v>
      </c>
      <c r="AM3" s="95">
        <v>60100</v>
      </c>
      <c r="AN3" s="77" t="s">
        <v>148</v>
      </c>
      <c r="AO3" s="83">
        <v>0</v>
      </c>
    </row>
    <row r="4" spans="1:41" x14ac:dyDescent="0.4">
      <c r="A4" s="84">
        <v>2</v>
      </c>
      <c r="B4" s="85" t="s">
        <v>148</v>
      </c>
      <c r="C4" s="86">
        <v>7.1054273576010019E-15</v>
      </c>
      <c r="D4" s="87" t="s">
        <v>148</v>
      </c>
      <c r="E4" s="101">
        <v>2.3684757858670005E-15</v>
      </c>
      <c r="F4" s="87" t="s">
        <v>148</v>
      </c>
      <c r="G4" s="88">
        <v>2</v>
      </c>
      <c r="H4" s="87" t="s">
        <v>148</v>
      </c>
      <c r="I4" s="89">
        <v>0.33333333333333331</v>
      </c>
      <c r="J4" s="87" t="s">
        <v>181</v>
      </c>
      <c r="K4" s="89">
        <v>0</v>
      </c>
      <c r="L4" s="87" t="s">
        <v>133</v>
      </c>
      <c r="M4" s="90">
        <v>0.44444444444444442</v>
      </c>
      <c r="N4" s="87" t="s">
        <v>148</v>
      </c>
      <c r="O4" s="90">
        <v>0.22222222222222221</v>
      </c>
      <c r="P4" s="87" t="s">
        <v>148</v>
      </c>
      <c r="Q4" s="91">
        <v>7500</v>
      </c>
      <c r="R4" s="87" t="s">
        <v>180</v>
      </c>
      <c r="S4" s="91">
        <v>-4450</v>
      </c>
      <c r="T4" s="87" t="s">
        <v>133</v>
      </c>
      <c r="U4" s="89">
        <v>0</v>
      </c>
      <c r="V4" s="87" t="s">
        <v>133</v>
      </c>
      <c r="W4" s="89">
        <v>0</v>
      </c>
      <c r="X4" s="87" t="s">
        <v>133</v>
      </c>
      <c r="Y4" s="89">
        <v>0</v>
      </c>
      <c r="Z4" s="87" t="s">
        <v>181</v>
      </c>
      <c r="AA4" s="90">
        <v>0.55555555555555558</v>
      </c>
      <c r="AB4" s="87" t="s">
        <v>148</v>
      </c>
      <c r="AC4" s="90">
        <v>0.22222222222222221</v>
      </c>
      <c r="AD4" s="87" t="s">
        <v>148</v>
      </c>
      <c r="AE4" s="90">
        <v>0.5714285714285714</v>
      </c>
      <c r="AF4" s="87" t="s">
        <v>148</v>
      </c>
      <c r="AG4" s="90">
        <v>0.16666666666666666</v>
      </c>
      <c r="AH4" s="87" t="s">
        <v>148</v>
      </c>
      <c r="AI4" s="90">
        <v>0.33333333333333331</v>
      </c>
      <c r="AJ4" s="87" t="s">
        <v>133</v>
      </c>
      <c r="AK4" s="92">
        <v>4</v>
      </c>
      <c r="AL4" s="87" t="s">
        <v>181</v>
      </c>
      <c r="AM4" s="96">
        <v>60100</v>
      </c>
      <c r="AN4" s="87" t="s">
        <v>133</v>
      </c>
      <c r="AO4" s="93">
        <v>0</v>
      </c>
    </row>
    <row r="5" spans="1:41" x14ac:dyDescent="0.4">
      <c r="A5" s="84">
        <v>3</v>
      </c>
      <c r="B5" s="85" t="s">
        <v>133</v>
      </c>
      <c r="C5" s="86">
        <v>-10.7</v>
      </c>
      <c r="D5" s="87" t="s">
        <v>133</v>
      </c>
      <c r="E5" s="101">
        <v>-10.7</v>
      </c>
      <c r="F5" s="87" t="s">
        <v>133</v>
      </c>
      <c r="G5" s="88">
        <v>2</v>
      </c>
      <c r="H5" s="87" t="s">
        <v>133</v>
      </c>
      <c r="I5" s="89">
        <v>0</v>
      </c>
      <c r="J5" s="87" t="s">
        <v>148</v>
      </c>
      <c r="K5" s="89">
        <v>0.33333333333333331</v>
      </c>
      <c r="L5" s="87" t="s">
        <v>148</v>
      </c>
      <c r="M5" s="90">
        <v>0.33333333333333331</v>
      </c>
      <c r="N5" s="87" t="s">
        <v>180</v>
      </c>
      <c r="O5" s="90">
        <v>0.22222222222222221</v>
      </c>
      <c r="P5" s="87" t="s">
        <v>133</v>
      </c>
      <c r="Q5" s="91">
        <v>6725</v>
      </c>
      <c r="R5" s="87" t="s">
        <v>148</v>
      </c>
      <c r="S5" s="91">
        <v>-6750</v>
      </c>
      <c r="T5" s="87" t="s">
        <v>180</v>
      </c>
      <c r="U5" s="89">
        <v>0</v>
      </c>
      <c r="V5" s="87" t="s">
        <v>180</v>
      </c>
      <c r="W5" s="89">
        <v>0</v>
      </c>
      <c r="X5" s="87" t="s">
        <v>180</v>
      </c>
      <c r="Y5" s="89">
        <v>0</v>
      </c>
      <c r="Z5" s="87" t="s">
        <v>148</v>
      </c>
      <c r="AA5" s="90">
        <v>0.51851851851851849</v>
      </c>
      <c r="AB5" s="87" t="s">
        <v>133</v>
      </c>
      <c r="AC5" s="90">
        <v>0.1111111111111111</v>
      </c>
      <c r="AD5" s="87" t="s">
        <v>133</v>
      </c>
      <c r="AE5" s="90">
        <v>0.5</v>
      </c>
      <c r="AF5" s="87" t="s">
        <v>133</v>
      </c>
      <c r="AG5" s="90">
        <v>0</v>
      </c>
      <c r="AH5" s="87" t="s">
        <v>181</v>
      </c>
      <c r="AI5" s="90">
        <v>0.2</v>
      </c>
      <c r="AJ5" s="87" t="s">
        <v>181</v>
      </c>
      <c r="AK5" s="92">
        <v>4</v>
      </c>
      <c r="AL5" s="87" t="s">
        <v>133</v>
      </c>
      <c r="AM5" s="96">
        <v>14300</v>
      </c>
      <c r="AN5" s="87" t="s">
        <v>180</v>
      </c>
      <c r="AO5" s="93">
        <v>0</v>
      </c>
    </row>
    <row r="6" spans="1:41" x14ac:dyDescent="0.4">
      <c r="A6" s="84">
        <v>4</v>
      </c>
      <c r="B6" s="85" t="s">
        <v>180</v>
      </c>
      <c r="C6" s="86">
        <v>-24.4</v>
      </c>
      <c r="D6" s="87" t="s">
        <v>180</v>
      </c>
      <c r="E6" s="101">
        <v>-24.4</v>
      </c>
      <c r="F6" s="87" t="s">
        <v>180</v>
      </c>
      <c r="G6" s="88">
        <v>3</v>
      </c>
      <c r="H6" s="87" t="s">
        <v>180</v>
      </c>
      <c r="I6" s="89">
        <v>0</v>
      </c>
      <c r="J6" s="87" t="s">
        <v>180</v>
      </c>
      <c r="K6" s="89">
        <v>1</v>
      </c>
      <c r="L6" s="87" t="s">
        <v>180</v>
      </c>
      <c r="M6" s="90">
        <v>0</v>
      </c>
      <c r="N6" s="87" t="s">
        <v>133</v>
      </c>
      <c r="O6" s="90">
        <v>0.44444444444444442</v>
      </c>
      <c r="P6" s="87" t="s">
        <v>180</v>
      </c>
      <c r="Q6" s="91">
        <v>0</v>
      </c>
      <c r="R6" s="87" t="s">
        <v>133</v>
      </c>
      <c r="S6" s="91">
        <v>-7900</v>
      </c>
      <c r="T6" s="87" t="s">
        <v>181</v>
      </c>
      <c r="U6" s="89">
        <v>0</v>
      </c>
      <c r="V6" s="87" t="s">
        <v>181</v>
      </c>
      <c r="W6" s="89">
        <v>0</v>
      </c>
      <c r="X6" s="87" t="s">
        <v>181</v>
      </c>
      <c r="Y6" s="89">
        <v>0</v>
      </c>
      <c r="Z6" s="87" t="s">
        <v>180</v>
      </c>
      <c r="AA6" s="90">
        <v>0.1111111111111111</v>
      </c>
      <c r="AB6" s="87" t="s">
        <v>181</v>
      </c>
      <c r="AC6" s="90">
        <v>0.1111111111111111</v>
      </c>
      <c r="AD6" s="87" t="s">
        <v>180</v>
      </c>
      <c r="AE6" s="90">
        <v>0</v>
      </c>
      <c r="AF6" s="87" t="s">
        <v>180</v>
      </c>
      <c r="AG6" s="90">
        <v>0</v>
      </c>
      <c r="AH6" s="87" t="s">
        <v>180</v>
      </c>
      <c r="AI6" s="90">
        <v>0</v>
      </c>
      <c r="AJ6" s="87" t="s">
        <v>180</v>
      </c>
      <c r="AK6" s="92">
        <v>0</v>
      </c>
      <c r="AL6" s="87" t="s">
        <v>180</v>
      </c>
      <c r="AM6" s="96">
        <v>600</v>
      </c>
      <c r="AN6" s="87" t="s">
        <v>181</v>
      </c>
      <c r="AO6" s="93">
        <v>0</v>
      </c>
    </row>
  </sheetData>
  <sortState ref="AN3:AO35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9C1F5-36AD-4309-AE1E-9ED6191CBB01}">
  <sheetPr codeName="Sheet4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0" t="s">
        <v>148</v>
      </c>
      <c r="C1" s="15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6">
        <v>3</v>
      </c>
      <c r="C2" s="147"/>
      <c r="E2" s="62" t="s">
        <v>71</v>
      </c>
      <c r="F2" s="59" t="s">
        <v>25</v>
      </c>
      <c r="G2" s="46">
        <v>11</v>
      </c>
      <c r="H2" s="135">
        <f t="shared" ref="H2:H33" si="0">IF(B$27=0,0,G2/B$27)</f>
        <v>1.2222222222222223</v>
      </c>
      <c r="I2" s="97">
        <v>2</v>
      </c>
      <c r="K2" s="36">
        <v>0</v>
      </c>
      <c r="L2" s="102">
        <v>0</v>
      </c>
      <c r="N2" s="118" t="s">
        <v>135</v>
      </c>
      <c r="O2" s="125">
        <f t="shared" ref="O2:O7" si="1">IF(P2=0,0,Q2/P2)</f>
        <v>0</v>
      </c>
      <c r="P2" s="122">
        <v>3</v>
      </c>
      <c r="Q2" s="106">
        <v>0</v>
      </c>
    </row>
    <row r="3" spans="1:17" x14ac:dyDescent="0.4">
      <c r="A3" s="55" t="s">
        <v>8</v>
      </c>
      <c r="B3" s="152">
        <v>27</v>
      </c>
      <c r="C3" s="153"/>
      <c r="E3" s="63" t="s">
        <v>67</v>
      </c>
      <c r="F3" s="60" t="s">
        <v>21</v>
      </c>
      <c r="G3" s="47">
        <v>8</v>
      </c>
      <c r="H3" s="136">
        <f t="shared" si="0"/>
        <v>0.88888888888888884</v>
      </c>
      <c r="I3" s="98">
        <v>2</v>
      </c>
      <c r="K3" s="38">
        <v>1</v>
      </c>
      <c r="L3" s="103">
        <v>-10.7</v>
      </c>
      <c r="N3" s="119" t="s">
        <v>136</v>
      </c>
      <c r="O3" s="126">
        <f t="shared" si="1"/>
        <v>0</v>
      </c>
      <c r="P3" s="123">
        <v>3</v>
      </c>
      <c r="Q3" s="107">
        <v>0</v>
      </c>
    </row>
    <row r="4" spans="1:17" x14ac:dyDescent="0.4">
      <c r="A4" s="55" t="s">
        <v>6</v>
      </c>
      <c r="B4" s="154">
        <v>7.1054273576010019E-15</v>
      </c>
      <c r="C4" s="155"/>
      <c r="E4" s="63" t="s">
        <v>70</v>
      </c>
      <c r="F4" s="60" t="s">
        <v>24</v>
      </c>
      <c r="G4" s="47">
        <v>7</v>
      </c>
      <c r="H4" s="136">
        <f t="shared" si="0"/>
        <v>0.77777777777777779</v>
      </c>
      <c r="I4" s="98">
        <v>2</v>
      </c>
      <c r="K4" s="38">
        <v>2</v>
      </c>
      <c r="L4" s="103">
        <v>-35.099999999999994</v>
      </c>
      <c r="N4" s="119" t="s">
        <v>137</v>
      </c>
      <c r="O4" s="126">
        <f t="shared" si="1"/>
        <v>0</v>
      </c>
      <c r="P4" s="123">
        <v>3</v>
      </c>
      <c r="Q4" s="107">
        <v>0</v>
      </c>
    </row>
    <row r="5" spans="1:17" x14ac:dyDescent="0.4">
      <c r="A5" s="55" t="s">
        <v>7</v>
      </c>
      <c r="B5" s="156">
        <f>IF(B$2=0,0,B$4/B$2)</f>
        <v>2.3684757858670005E-15</v>
      </c>
      <c r="C5" s="157"/>
      <c r="E5" s="63" t="s">
        <v>69</v>
      </c>
      <c r="F5" s="60" t="s">
        <v>23</v>
      </c>
      <c r="G5" s="47">
        <v>5</v>
      </c>
      <c r="H5" s="136">
        <f t="shared" si="0"/>
        <v>0.55555555555555558</v>
      </c>
      <c r="I5" s="98">
        <v>2</v>
      </c>
      <c r="K5" s="38">
        <v>3</v>
      </c>
      <c r="L5" s="103">
        <v>7.1054273576010019E-15</v>
      </c>
      <c r="N5" s="119" t="s">
        <v>138</v>
      </c>
      <c r="O5" s="126">
        <f t="shared" si="1"/>
        <v>0</v>
      </c>
      <c r="P5" s="123">
        <v>3</v>
      </c>
      <c r="Q5" s="107">
        <v>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22</v>
      </c>
      <c r="G6" s="47">
        <v>3</v>
      </c>
      <c r="H6" s="136">
        <f t="shared" si="0"/>
        <v>0.33333333333333331</v>
      </c>
      <c r="I6" s="98">
        <v>2</v>
      </c>
      <c r="N6" s="119" t="s">
        <v>139</v>
      </c>
      <c r="O6" s="126">
        <f t="shared" si="1"/>
        <v>0</v>
      </c>
      <c r="P6" s="123">
        <v>3</v>
      </c>
      <c r="Q6" s="107">
        <v>0</v>
      </c>
    </row>
    <row r="7" spans="1:17" x14ac:dyDescent="0.4">
      <c r="A7" s="55" t="s">
        <v>2</v>
      </c>
      <c r="B7" s="47">
        <v>1</v>
      </c>
      <c r="C7" s="39">
        <f>IF(B$2=0,0,B7/B$2)</f>
        <v>0.33333333333333331</v>
      </c>
      <c r="E7" s="63" t="s">
        <v>72</v>
      </c>
      <c r="F7" s="60" t="s">
        <v>12</v>
      </c>
      <c r="G7" s="47">
        <v>3</v>
      </c>
      <c r="H7" s="136">
        <f t="shared" si="0"/>
        <v>0.33333333333333331</v>
      </c>
      <c r="I7" s="98">
        <v>2</v>
      </c>
      <c r="N7" s="120" t="s">
        <v>140</v>
      </c>
      <c r="O7" s="127">
        <f t="shared" si="1"/>
        <v>0</v>
      </c>
      <c r="P7" s="124">
        <v>3</v>
      </c>
      <c r="Q7" s="108">
        <v>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73</v>
      </c>
      <c r="F8" s="60" t="s">
        <v>26</v>
      </c>
      <c r="G8" s="47">
        <v>2</v>
      </c>
      <c r="H8" s="136">
        <f t="shared" si="0"/>
        <v>0.22222222222222221</v>
      </c>
      <c r="I8" s="98">
        <v>2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2">IF(B$2=0,0,B9/B$2)</f>
        <v>0.33333333333333331</v>
      </c>
      <c r="E9" s="63" t="s">
        <v>76</v>
      </c>
      <c r="F9" s="60" t="s">
        <v>29</v>
      </c>
      <c r="G9" s="47">
        <v>2</v>
      </c>
      <c r="H9" s="136">
        <f t="shared" si="0"/>
        <v>0.22222222222222221</v>
      </c>
      <c r="I9" s="98">
        <v>2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88</v>
      </c>
      <c r="F10" s="60" t="s">
        <v>41</v>
      </c>
      <c r="G10" s="47">
        <v>1</v>
      </c>
      <c r="H10" s="136">
        <f t="shared" si="0"/>
        <v>0.1111111111111111</v>
      </c>
      <c r="I10" s="98">
        <v>2</v>
      </c>
      <c r="N10" s="118" t="s">
        <v>171</v>
      </c>
      <c r="O10" s="128">
        <f>IF(P10=0,0,Q10/P10)</f>
        <v>-24.4</v>
      </c>
      <c r="P10" s="122">
        <v>1</v>
      </c>
      <c r="Q10" s="110">
        <v>-24.4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91</v>
      </c>
      <c r="F11" s="60" t="s">
        <v>44</v>
      </c>
      <c r="G11" s="47">
        <v>1</v>
      </c>
      <c r="H11" s="136">
        <f t="shared" si="0"/>
        <v>0.1111111111111111</v>
      </c>
      <c r="I11" s="98">
        <v>2</v>
      </c>
      <c r="N11" s="119" t="s">
        <v>172</v>
      </c>
      <c r="O11" s="129">
        <f>IF(P11=0,0,Q11/P11)</f>
        <v>35.1</v>
      </c>
      <c r="P11" s="123">
        <v>1</v>
      </c>
      <c r="Q11" s="111">
        <v>35.1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94</v>
      </c>
      <c r="F12" s="60" t="s">
        <v>47</v>
      </c>
      <c r="G12" s="47">
        <v>1</v>
      </c>
      <c r="H12" s="136">
        <f t="shared" si="0"/>
        <v>0.1111111111111111</v>
      </c>
      <c r="I12" s="98">
        <v>2</v>
      </c>
      <c r="N12" s="120" t="s">
        <v>173</v>
      </c>
      <c r="O12" s="130">
        <f>IF(P12=0,0,Q12/P12)</f>
        <v>-10.7</v>
      </c>
      <c r="P12" s="124">
        <v>1</v>
      </c>
      <c r="Q12" s="112">
        <v>-10.7</v>
      </c>
    </row>
    <row r="13" spans="1:17" x14ac:dyDescent="0.4">
      <c r="A13" s="58" t="s">
        <v>128</v>
      </c>
      <c r="B13" s="50">
        <v>14</v>
      </c>
      <c r="C13" s="44">
        <f>IF(B$26=0,0,B13/B$26)</f>
        <v>0.51851851851851849</v>
      </c>
      <c r="E13" s="63" t="s">
        <v>74</v>
      </c>
      <c r="F13" s="60" t="s">
        <v>27</v>
      </c>
      <c r="G13" s="47">
        <v>0</v>
      </c>
      <c r="H13" s="136">
        <f t="shared" si="0"/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6</v>
      </c>
      <c r="C14" s="39">
        <f>IF(B$26=0,0,B14/B$26)</f>
        <v>0.22222222222222221</v>
      </c>
      <c r="E14" s="63" t="s">
        <v>75</v>
      </c>
      <c r="F14" s="60" t="s">
        <v>28</v>
      </c>
      <c r="G14" s="47">
        <v>0</v>
      </c>
      <c r="H14" s="136">
        <f t="shared" si="0"/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8</v>
      </c>
      <c r="C15" s="37">
        <f>IF(B$13=0,0,B15/B$13)</f>
        <v>0.5714285714285714</v>
      </c>
      <c r="E15" s="63" t="s">
        <v>77</v>
      </c>
      <c r="F15" s="60" t="s">
        <v>30</v>
      </c>
      <c r="G15" s="47">
        <v>0</v>
      </c>
      <c r="H15" s="136">
        <f t="shared" si="0"/>
        <v>0</v>
      </c>
      <c r="I15" s="98">
        <v>1</v>
      </c>
      <c r="N15" s="118" t="s">
        <v>180</v>
      </c>
      <c r="O15" s="128">
        <f>IF(P15=0,0,Q15/P15)</f>
        <v>36.599999999999994</v>
      </c>
      <c r="P15" s="122">
        <v>2</v>
      </c>
      <c r="Q15" s="110">
        <v>73.199999999999989</v>
      </c>
    </row>
    <row r="16" spans="1:17" x14ac:dyDescent="0.4">
      <c r="A16" s="54" t="s">
        <v>131</v>
      </c>
      <c r="B16" s="46">
        <v>1</v>
      </c>
      <c r="C16" s="37">
        <f>IF(B$14=0,0,B16/B$14)</f>
        <v>0.16666666666666666</v>
      </c>
      <c r="E16" s="63" t="s">
        <v>78</v>
      </c>
      <c r="F16" s="60" t="s">
        <v>31</v>
      </c>
      <c r="G16" s="47">
        <v>0</v>
      </c>
      <c r="H16" s="136">
        <f t="shared" si="0"/>
        <v>0</v>
      </c>
      <c r="I16" s="98">
        <v>1</v>
      </c>
      <c r="N16" s="119" t="s">
        <v>133</v>
      </c>
      <c r="O16" s="129">
        <f>IF(P16=0,0,Q16/P16)</f>
        <v>16.05</v>
      </c>
      <c r="P16" s="123">
        <v>2</v>
      </c>
      <c r="Q16" s="111">
        <v>32.1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0.33333333333333331</v>
      </c>
      <c r="E17" s="63" t="s">
        <v>79</v>
      </c>
      <c r="F17" s="60" t="s">
        <v>32</v>
      </c>
      <c r="G17" s="47">
        <v>0</v>
      </c>
      <c r="H17" s="136">
        <f t="shared" si="0"/>
        <v>0</v>
      </c>
      <c r="I17" s="98">
        <v>1</v>
      </c>
      <c r="N17" s="119" t="s">
        <v>181</v>
      </c>
      <c r="O17" s="129">
        <f>IF(P17=0,0,Q17/P17)</f>
        <v>-52.649999999999991</v>
      </c>
      <c r="P17" s="123">
        <v>2</v>
      </c>
      <c r="Q17" s="111">
        <v>-105.29999999999998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80</v>
      </c>
      <c r="F18" s="60" t="s">
        <v>33</v>
      </c>
      <c r="G18" s="47">
        <v>0</v>
      </c>
      <c r="H18" s="136">
        <f t="shared" si="0"/>
        <v>0</v>
      </c>
      <c r="I18" s="98">
        <v>1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81</v>
      </c>
      <c r="F19" s="60" t="s">
        <v>34</v>
      </c>
      <c r="G19" s="47">
        <v>0</v>
      </c>
      <c r="H19" s="136">
        <f t="shared" si="0"/>
        <v>0</v>
      </c>
      <c r="I19" s="98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0.22222222222222221</v>
      </c>
      <c r="E20" s="63" t="s">
        <v>82</v>
      </c>
      <c r="F20" s="60" t="s">
        <v>35</v>
      </c>
      <c r="G20" s="47">
        <v>0</v>
      </c>
      <c r="H20" s="136">
        <f t="shared" si="0"/>
        <v>0</v>
      </c>
      <c r="I20" s="98">
        <v>1</v>
      </c>
    </row>
    <row r="21" spans="1:17" x14ac:dyDescent="0.4">
      <c r="A21" s="55" t="s">
        <v>5</v>
      </c>
      <c r="B21" s="51">
        <f>IF(B$17=0,0,C21/B$17)</f>
        <v>7500</v>
      </c>
      <c r="C21" s="41">
        <v>67500</v>
      </c>
      <c r="E21" s="63" t="s">
        <v>83</v>
      </c>
      <c r="F21" s="60" t="s">
        <v>36</v>
      </c>
      <c r="G21" s="47">
        <v>0</v>
      </c>
      <c r="H21" s="136">
        <f t="shared" si="0"/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-6750</v>
      </c>
      <c r="C22" s="45">
        <v>-40500</v>
      </c>
      <c r="E22" s="63" t="s">
        <v>84</v>
      </c>
      <c r="F22" s="60" t="s">
        <v>37</v>
      </c>
      <c r="G22" s="47">
        <v>0</v>
      </c>
      <c r="H22" s="136">
        <f t="shared" si="0"/>
        <v>0</v>
      </c>
      <c r="I22" s="98">
        <v>1</v>
      </c>
    </row>
    <row r="23" spans="1:17" x14ac:dyDescent="0.4">
      <c r="A23" s="94" t="s">
        <v>145</v>
      </c>
      <c r="B23" s="142">
        <v>4</v>
      </c>
      <c r="C23" s="143"/>
      <c r="E23" s="63" t="s">
        <v>85</v>
      </c>
      <c r="F23" s="60" t="s">
        <v>38</v>
      </c>
      <c r="G23" s="47">
        <v>0</v>
      </c>
      <c r="H23" s="136">
        <f t="shared" si="0"/>
        <v>0</v>
      </c>
      <c r="I23" s="98">
        <v>1</v>
      </c>
    </row>
    <row r="24" spans="1:17" x14ac:dyDescent="0.4">
      <c r="A24" s="58" t="s">
        <v>156</v>
      </c>
      <c r="B24" s="140">
        <v>60100</v>
      </c>
      <c r="C24" s="141"/>
      <c r="E24" s="63" t="s">
        <v>86</v>
      </c>
      <c r="F24" s="60" t="s">
        <v>39</v>
      </c>
      <c r="G24" s="47">
        <v>0</v>
      </c>
      <c r="H24" s="136">
        <f t="shared" si="0"/>
        <v>0</v>
      </c>
      <c r="I24" s="98">
        <v>1</v>
      </c>
    </row>
    <row r="25" spans="1:17" x14ac:dyDescent="0.4">
      <c r="A25" s="57" t="s">
        <v>146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6">
        <f t="shared" si="0"/>
        <v>0</v>
      </c>
      <c r="I25" s="98">
        <v>1</v>
      </c>
    </row>
    <row r="26" spans="1:17" x14ac:dyDescent="0.4">
      <c r="A26" s="54" t="s">
        <v>126</v>
      </c>
      <c r="B26" s="146">
        <v>27</v>
      </c>
      <c r="C26" s="147"/>
      <c r="E26" s="63" t="s">
        <v>89</v>
      </c>
      <c r="F26" s="60" t="s">
        <v>42</v>
      </c>
      <c r="G26" s="47">
        <v>0</v>
      </c>
      <c r="H26" s="136">
        <f t="shared" si="0"/>
        <v>0</v>
      </c>
      <c r="I26" s="98">
        <v>1</v>
      </c>
    </row>
    <row r="27" spans="1:17" x14ac:dyDescent="0.4">
      <c r="A27" s="57" t="s">
        <v>127</v>
      </c>
      <c r="B27" s="148">
        <v>9</v>
      </c>
      <c r="C27" s="149"/>
      <c r="E27" s="63" t="s">
        <v>90</v>
      </c>
      <c r="F27" s="60" t="s">
        <v>43</v>
      </c>
      <c r="G27" s="47">
        <v>0</v>
      </c>
      <c r="H27" s="136">
        <f t="shared" si="0"/>
        <v>0</v>
      </c>
      <c r="I27" s="98">
        <v>1</v>
      </c>
    </row>
    <row r="28" spans="1:17" x14ac:dyDescent="0.4">
      <c r="E28" s="63" t="s">
        <v>92</v>
      </c>
      <c r="F28" s="60" t="s">
        <v>45</v>
      </c>
      <c r="G28" s="47">
        <v>0</v>
      </c>
      <c r="H28" s="136">
        <f t="shared" si="0"/>
        <v>0</v>
      </c>
      <c r="I28" s="98">
        <v>1</v>
      </c>
    </row>
    <row r="29" spans="1:17" x14ac:dyDescent="0.4">
      <c r="E29" s="63" t="s">
        <v>93</v>
      </c>
      <c r="F29" s="60" t="s">
        <v>46</v>
      </c>
      <c r="G29" s="47">
        <v>0</v>
      </c>
      <c r="H29" s="136">
        <f t="shared" si="0"/>
        <v>0</v>
      </c>
      <c r="I29" s="98">
        <v>1</v>
      </c>
    </row>
    <row r="30" spans="1:17" x14ac:dyDescent="0.4">
      <c r="E30" s="63" t="s">
        <v>95</v>
      </c>
      <c r="F30" s="60" t="s">
        <v>48</v>
      </c>
      <c r="G30" s="47">
        <v>0</v>
      </c>
      <c r="H30" s="136">
        <f t="shared" si="0"/>
        <v>0</v>
      </c>
      <c r="I30" s="98">
        <v>1</v>
      </c>
    </row>
    <row r="31" spans="1:17" x14ac:dyDescent="0.4">
      <c r="E31" s="63" t="s">
        <v>96</v>
      </c>
      <c r="F31" s="60" t="s">
        <v>49</v>
      </c>
      <c r="G31" s="47">
        <v>0</v>
      </c>
      <c r="H31" s="136">
        <f t="shared" si="0"/>
        <v>0</v>
      </c>
      <c r="I31" s="98">
        <v>1</v>
      </c>
    </row>
    <row r="32" spans="1:17" x14ac:dyDescent="0.4">
      <c r="E32" s="63" t="s">
        <v>97</v>
      </c>
      <c r="F32" s="60" t="s">
        <v>50</v>
      </c>
      <c r="G32" s="47">
        <v>0</v>
      </c>
      <c r="H32" s="136">
        <f t="shared" si="0"/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 t="shared" si="0"/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 t="shared" ref="H34:H65" si="3"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 t="shared" si="3"/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 t="shared" si="3"/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 t="shared" si="3"/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 t="shared" si="3"/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 t="shared" si="3"/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 t="shared" si="3"/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 t="shared" si="3"/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 t="shared" si="3"/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 t="shared" si="3"/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 t="shared" si="3"/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 t="shared" si="3"/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 t="shared" si="3"/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 t="shared" si="3"/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 t="shared" si="3"/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 t="shared" si="3"/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 t="shared" si="3"/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si="3"/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3"/>
        <v>0</v>
      </c>
      <c r="I53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1885-EAF0-45D8-95B2-B2BA8963CE81}">
  <sheetPr codeName="Sheet7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0" t="s">
        <v>133</v>
      </c>
      <c r="C1" s="15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21</v>
      </c>
      <c r="G2" s="46">
        <v>4</v>
      </c>
      <c r="H2" s="135">
        <f t="shared" ref="H2:H33" si="0">IF(B$27=0,0,G2/B$27)</f>
        <v>1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1">IF(P2=0,0,Q2/P2)</f>
        <v>10000</v>
      </c>
      <c r="P2" s="122">
        <v>1</v>
      </c>
      <c r="Q2" s="106">
        <v>10000</v>
      </c>
    </row>
    <row r="3" spans="1:17" x14ac:dyDescent="0.4">
      <c r="A3" s="55" t="s">
        <v>8</v>
      </c>
      <c r="B3" s="152">
        <v>9</v>
      </c>
      <c r="C3" s="153"/>
      <c r="E3" s="63" t="s">
        <v>71</v>
      </c>
      <c r="F3" s="60" t="s">
        <v>25</v>
      </c>
      <c r="G3" s="47">
        <v>4</v>
      </c>
      <c r="H3" s="136">
        <f t="shared" si="0"/>
        <v>1</v>
      </c>
      <c r="I3" s="98">
        <v>3</v>
      </c>
      <c r="K3" s="38">
        <v>1</v>
      </c>
      <c r="L3" s="103">
        <v>-10.7</v>
      </c>
      <c r="N3" s="119" t="s">
        <v>136</v>
      </c>
      <c r="O3" s="126">
        <f t="shared" si="1"/>
        <v>-8700</v>
      </c>
      <c r="P3" s="123">
        <v>1</v>
      </c>
      <c r="Q3" s="107">
        <v>-8700</v>
      </c>
    </row>
    <row r="4" spans="1:17" x14ac:dyDescent="0.4">
      <c r="A4" s="55" t="s">
        <v>6</v>
      </c>
      <c r="B4" s="154">
        <v>-10.7</v>
      </c>
      <c r="C4" s="155"/>
      <c r="E4" s="63" t="s">
        <v>69</v>
      </c>
      <c r="F4" s="60" t="s">
        <v>23</v>
      </c>
      <c r="G4" s="47">
        <v>3</v>
      </c>
      <c r="H4" s="136">
        <f t="shared" si="0"/>
        <v>0.75</v>
      </c>
      <c r="I4" s="98">
        <v>1</v>
      </c>
      <c r="N4" s="119" t="s">
        <v>137</v>
      </c>
      <c r="O4" s="126">
        <f t="shared" si="1"/>
        <v>-6000</v>
      </c>
      <c r="P4" s="123">
        <v>1</v>
      </c>
      <c r="Q4" s="107">
        <v>-6000</v>
      </c>
    </row>
    <row r="5" spans="1:17" x14ac:dyDescent="0.4">
      <c r="A5" s="55" t="s">
        <v>7</v>
      </c>
      <c r="B5" s="156">
        <f>IF(B$2=0,0,B$4/B$2)</f>
        <v>-10.7</v>
      </c>
      <c r="C5" s="157"/>
      <c r="E5" s="63" t="s">
        <v>68</v>
      </c>
      <c r="F5" s="60" t="s">
        <v>22</v>
      </c>
      <c r="G5" s="47">
        <v>2</v>
      </c>
      <c r="H5" s="136">
        <f t="shared" si="0"/>
        <v>0.5</v>
      </c>
      <c r="I5" s="98">
        <v>1</v>
      </c>
      <c r="N5" s="119" t="s">
        <v>138</v>
      </c>
      <c r="O5" s="126">
        <f t="shared" si="1"/>
        <v>7000</v>
      </c>
      <c r="P5" s="123">
        <v>1</v>
      </c>
      <c r="Q5" s="107">
        <v>7000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70</v>
      </c>
      <c r="F6" s="60" t="s">
        <v>24</v>
      </c>
      <c r="G6" s="47">
        <v>2</v>
      </c>
      <c r="H6" s="136">
        <f t="shared" si="0"/>
        <v>0.5</v>
      </c>
      <c r="I6" s="98">
        <v>3</v>
      </c>
      <c r="N6" s="119" t="s">
        <v>139</v>
      </c>
      <c r="O6" s="126">
        <f t="shared" si="1"/>
        <v>-3000</v>
      </c>
      <c r="P6" s="123">
        <v>1</v>
      </c>
      <c r="Q6" s="107">
        <v>-3000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72</v>
      </c>
      <c r="F7" s="60" t="s">
        <v>12</v>
      </c>
      <c r="G7" s="47">
        <v>2</v>
      </c>
      <c r="H7" s="136">
        <f t="shared" si="0"/>
        <v>0.5</v>
      </c>
      <c r="I7" s="98">
        <v>1</v>
      </c>
      <c r="N7" s="120" t="s">
        <v>140</v>
      </c>
      <c r="O7" s="127">
        <f t="shared" si="1"/>
        <v>-10000</v>
      </c>
      <c r="P7" s="124">
        <v>1</v>
      </c>
      <c r="Q7" s="108">
        <v>-10000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26</v>
      </c>
      <c r="G8" s="47">
        <v>2</v>
      </c>
      <c r="H8" s="136">
        <f t="shared" si="0"/>
        <v>0.5</v>
      </c>
      <c r="I8" s="98">
        <v>1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76</v>
      </c>
      <c r="F9" s="60" t="s">
        <v>29</v>
      </c>
      <c r="G9" s="47">
        <v>1</v>
      </c>
      <c r="H9" s="136">
        <f t="shared" si="0"/>
        <v>0.25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74</v>
      </c>
      <c r="F10" s="60" t="s">
        <v>27</v>
      </c>
      <c r="G10" s="47">
        <v>0</v>
      </c>
      <c r="H10" s="136">
        <f t="shared" si="0"/>
        <v>0</v>
      </c>
      <c r="I10" s="98">
        <v>1</v>
      </c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75</v>
      </c>
      <c r="F11" s="60" t="s">
        <v>28</v>
      </c>
      <c r="G11" s="47">
        <v>0</v>
      </c>
      <c r="H11" s="136">
        <f t="shared" si="0"/>
        <v>0</v>
      </c>
      <c r="I11" s="98">
        <v>1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60" t="s">
        <v>30</v>
      </c>
      <c r="G12" s="47">
        <v>0</v>
      </c>
      <c r="H12" s="136">
        <f t="shared" si="0"/>
        <v>0</v>
      </c>
      <c r="I12" s="98">
        <v>1</v>
      </c>
      <c r="N12" s="120" t="s">
        <v>173</v>
      </c>
      <c r="O12" s="130">
        <f>IF(P12=0,0,Q12/P12)</f>
        <v>-10.7</v>
      </c>
      <c r="P12" s="124">
        <v>1</v>
      </c>
      <c r="Q12" s="112">
        <v>-10.7</v>
      </c>
    </row>
    <row r="13" spans="1:17" x14ac:dyDescent="0.4">
      <c r="A13" s="58" t="s">
        <v>128</v>
      </c>
      <c r="B13" s="50">
        <v>8</v>
      </c>
      <c r="C13" s="44">
        <f>IF(B$26=0,0,B13/B$26)</f>
        <v>0.88888888888888884</v>
      </c>
      <c r="E13" s="63" t="s">
        <v>78</v>
      </c>
      <c r="F13" s="60" t="s">
        <v>31</v>
      </c>
      <c r="G13" s="47">
        <v>0</v>
      </c>
      <c r="H13" s="136">
        <f t="shared" si="0"/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</v>
      </c>
      <c r="C14" s="39">
        <f>IF(B$26=0,0,B14/B$26)</f>
        <v>0.1111111111111111</v>
      </c>
      <c r="E14" s="63" t="s">
        <v>79</v>
      </c>
      <c r="F14" s="60" t="s">
        <v>32</v>
      </c>
      <c r="G14" s="47">
        <v>0</v>
      </c>
      <c r="H14" s="136">
        <f t="shared" si="0"/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4</v>
      </c>
      <c r="C15" s="37">
        <f>IF(B$13=0,0,B15/B$13)</f>
        <v>0.5</v>
      </c>
      <c r="E15" s="63" t="s">
        <v>80</v>
      </c>
      <c r="F15" s="60" t="s">
        <v>33</v>
      </c>
      <c r="G15" s="47">
        <v>0</v>
      </c>
      <c r="H15" s="136">
        <f t="shared" si="0"/>
        <v>0</v>
      </c>
      <c r="I15" s="98">
        <v>1</v>
      </c>
      <c r="N15" s="118" t="s">
        <v>180</v>
      </c>
      <c r="O15" s="128">
        <f>IF(P15=0,0,Q15/P15)</f>
        <v>13.7</v>
      </c>
      <c r="P15" s="122">
        <v>1</v>
      </c>
      <c r="Q15" s="110">
        <v>13.7</v>
      </c>
    </row>
    <row r="16" spans="1:17" x14ac:dyDescent="0.4">
      <c r="A16" s="54" t="s">
        <v>131</v>
      </c>
      <c r="B16" s="46">
        <v>0</v>
      </c>
      <c r="C16" s="37">
        <f>IF(B$14=0,0,B16/B$14)</f>
        <v>0</v>
      </c>
      <c r="E16" s="63" t="s">
        <v>81</v>
      </c>
      <c r="F16" s="60" t="s">
        <v>34</v>
      </c>
      <c r="G16" s="47">
        <v>0</v>
      </c>
      <c r="H16" s="136">
        <f t="shared" si="0"/>
        <v>0</v>
      </c>
      <c r="I16" s="98">
        <v>1</v>
      </c>
      <c r="N16" s="119" t="s">
        <v>181</v>
      </c>
      <c r="O16" s="129">
        <f>IF(P16=0,0,Q16/P16)</f>
        <v>-45.8</v>
      </c>
      <c r="P16" s="123">
        <v>1</v>
      </c>
      <c r="Q16" s="111">
        <v>-45.8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0.44444444444444442</v>
      </c>
      <c r="E17" s="63" t="s">
        <v>82</v>
      </c>
      <c r="F17" s="60" t="s">
        <v>35</v>
      </c>
      <c r="G17" s="47">
        <v>0</v>
      </c>
      <c r="H17" s="136">
        <f t="shared" si="0"/>
        <v>0</v>
      </c>
      <c r="I17" s="98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0.5</v>
      </c>
      <c r="E18" s="63" t="s">
        <v>83</v>
      </c>
      <c r="F18" s="60" t="s">
        <v>36</v>
      </c>
      <c r="G18" s="47">
        <v>0</v>
      </c>
      <c r="H18" s="136">
        <f t="shared" si="0"/>
        <v>0</v>
      </c>
      <c r="I18" s="98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0.5</v>
      </c>
      <c r="E19" s="63" t="s">
        <v>84</v>
      </c>
      <c r="F19" s="60" t="s">
        <v>37</v>
      </c>
      <c r="G19" s="47">
        <v>0</v>
      </c>
      <c r="H19" s="136">
        <f t="shared" si="0"/>
        <v>0</v>
      </c>
      <c r="I19" s="98">
        <v>1</v>
      </c>
    </row>
    <row r="20" spans="1:9" x14ac:dyDescent="0.4">
      <c r="A20" s="55" t="s">
        <v>13</v>
      </c>
      <c r="B20" s="47">
        <v>4</v>
      </c>
      <c r="C20" s="39">
        <f>IF(B$3=0,0,B20/B$3)</f>
        <v>0.44444444444444442</v>
      </c>
      <c r="E20" s="63" t="s">
        <v>85</v>
      </c>
      <c r="F20" s="60" t="s">
        <v>38</v>
      </c>
      <c r="G20" s="47">
        <v>0</v>
      </c>
      <c r="H20" s="136">
        <f t="shared" si="0"/>
        <v>0</v>
      </c>
      <c r="I20" s="98">
        <v>1</v>
      </c>
    </row>
    <row r="21" spans="1:9" x14ac:dyDescent="0.4">
      <c r="A21" s="55" t="s">
        <v>5</v>
      </c>
      <c r="B21" s="51">
        <f>IF(B$17=0,0,C21/B$17)</f>
        <v>6725</v>
      </c>
      <c r="C21" s="41">
        <v>26900</v>
      </c>
      <c r="E21" s="63" t="s">
        <v>86</v>
      </c>
      <c r="F21" s="60" t="s">
        <v>39</v>
      </c>
      <c r="G21" s="47">
        <v>0</v>
      </c>
      <c r="H21" s="136">
        <f t="shared" si="0"/>
        <v>0</v>
      </c>
      <c r="I21" s="98">
        <v>1</v>
      </c>
    </row>
    <row r="22" spans="1:9" x14ac:dyDescent="0.4">
      <c r="A22" s="57" t="s">
        <v>14</v>
      </c>
      <c r="B22" s="52">
        <f>IF(B$20=0,0,C22/B$20)</f>
        <v>-7900</v>
      </c>
      <c r="C22" s="45">
        <v>-31600</v>
      </c>
      <c r="E22" s="63" t="s">
        <v>87</v>
      </c>
      <c r="F22" s="60" t="s">
        <v>40</v>
      </c>
      <c r="G22" s="47">
        <v>0</v>
      </c>
      <c r="H22" s="136">
        <f t="shared" si="0"/>
        <v>0</v>
      </c>
      <c r="I22" s="98">
        <v>1</v>
      </c>
    </row>
    <row r="23" spans="1:9" x14ac:dyDescent="0.4">
      <c r="A23" s="94" t="s">
        <v>145</v>
      </c>
      <c r="B23" s="142">
        <v>4</v>
      </c>
      <c r="C23" s="143"/>
      <c r="E23" s="63" t="s">
        <v>88</v>
      </c>
      <c r="F23" s="60" t="s">
        <v>41</v>
      </c>
      <c r="G23" s="47">
        <v>0</v>
      </c>
      <c r="H23" s="136">
        <f t="shared" si="0"/>
        <v>0</v>
      </c>
      <c r="I23" s="98">
        <v>3</v>
      </c>
    </row>
    <row r="24" spans="1:9" x14ac:dyDescent="0.4">
      <c r="A24" s="58" t="s">
        <v>156</v>
      </c>
      <c r="B24" s="140">
        <v>14300</v>
      </c>
      <c r="C24" s="141"/>
      <c r="E24" s="63" t="s">
        <v>89</v>
      </c>
      <c r="F24" s="60" t="s">
        <v>42</v>
      </c>
      <c r="G24" s="47">
        <v>0</v>
      </c>
      <c r="H24" s="136">
        <f t="shared" si="0"/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90</v>
      </c>
      <c r="F25" s="60" t="s">
        <v>43</v>
      </c>
      <c r="G25" s="47">
        <v>0</v>
      </c>
      <c r="H25" s="136">
        <f t="shared" si="0"/>
        <v>0</v>
      </c>
      <c r="I25" s="98">
        <v>1</v>
      </c>
    </row>
    <row r="26" spans="1:9" x14ac:dyDescent="0.4">
      <c r="A26" s="54" t="s">
        <v>126</v>
      </c>
      <c r="B26" s="146">
        <v>9</v>
      </c>
      <c r="C26" s="147"/>
      <c r="E26" s="63" t="s">
        <v>91</v>
      </c>
      <c r="F26" s="60" t="s">
        <v>44</v>
      </c>
      <c r="G26" s="47">
        <v>0</v>
      </c>
      <c r="H26" s="136">
        <f t="shared" si="0"/>
        <v>0</v>
      </c>
      <c r="I26" s="98">
        <v>3</v>
      </c>
    </row>
    <row r="27" spans="1:9" x14ac:dyDescent="0.4">
      <c r="A27" s="57" t="s">
        <v>127</v>
      </c>
      <c r="B27" s="148">
        <v>4</v>
      </c>
      <c r="C27" s="149"/>
      <c r="E27" s="63" t="s">
        <v>92</v>
      </c>
      <c r="F27" s="60" t="s">
        <v>45</v>
      </c>
      <c r="G27" s="47">
        <v>0</v>
      </c>
      <c r="H27" s="136">
        <f t="shared" si="0"/>
        <v>0</v>
      </c>
      <c r="I27" s="98">
        <v>1</v>
      </c>
    </row>
    <row r="28" spans="1:9" x14ac:dyDescent="0.4">
      <c r="E28" s="63" t="s">
        <v>93</v>
      </c>
      <c r="F28" s="60" t="s">
        <v>46</v>
      </c>
      <c r="G28" s="47">
        <v>0</v>
      </c>
      <c r="H28" s="136">
        <f t="shared" si="0"/>
        <v>0</v>
      </c>
      <c r="I28" s="98">
        <v>1</v>
      </c>
    </row>
    <row r="29" spans="1:9" x14ac:dyDescent="0.4">
      <c r="E29" s="63" t="s">
        <v>94</v>
      </c>
      <c r="F29" s="60" t="s">
        <v>47</v>
      </c>
      <c r="G29" s="47">
        <v>0</v>
      </c>
      <c r="H29" s="136">
        <f t="shared" si="0"/>
        <v>0</v>
      </c>
      <c r="I29" s="98">
        <v>3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 t="shared" si="0"/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 t="shared" si="0"/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 t="shared" si="0"/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 t="shared" si="0"/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 t="shared" ref="H34:H65" si="3"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 t="shared" si="3"/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 t="shared" si="3"/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 t="shared" si="3"/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 t="shared" si="3"/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 t="shared" si="3"/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 t="shared" si="3"/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 t="shared" si="3"/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 t="shared" si="3"/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 t="shared" si="3"/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 t="shared" si="3"/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 t="shared" si="3"/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 t="shared" si="3"/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 t="shared" si="3"/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 t="shared" si="3"/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 t="shared" si="3"/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 t="shared" si="3"/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si="3"/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3"/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34BAC-2CE9-4152-A511-63304C7FD8CB}">
  <sheetPr codeName="Sheet9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21</v>
      </c>
      <c r="G2" s="46">
        <v>0</v>
      </c>
      <c r="H2" s="135">
        <f t="shared" ref="H2:H33" si="0">IF(B$27=0,0,G2/B$27)</f>
        <v>0</v>
      </c>
      <c r="I2" s="97">
        <v>4</v>
      </c>
      <c r="K2" s="36">
        <v>0</v>
      </c>
      <c r="L2" s="102">
        <v>0</v>
      </c>
      <c r="N2" s="118" t="s">
        <v>135</v>
      </c>
      <c r="O2" s="125">
        <f t="shared" ref="O2:O7" si="1">IF(P2=0,0,Q2/P2)</f>
        <v>-7000</v>
      </c>
      <c r="P2" s="122">
        <v>1</v>
      </c>
      <c r="Q2" s="106">
        <v>-7000</v>
      </c>
    </row>
    <row r="3" spans="1:17" x14ac:dyDescent="0.4">
      <c r="A3" s="55" t="s">
        <v>8</v>
      </c>
      <c r="B3" s="152">
        <v>9</v>
      </c>
      <c r="C3" s="153"/>
      <c r="E3" s="63" t="s">
        <v>68</v>
      </c>
      <c r="F3" s="60" t="s">
        <v>22</v>
      </c>
      <c r="G3" s="47">
        <v>0</v>
      </c>
      <c r="H3" s="136">
        <f t="shared" si="0"/>
        <v>0</v>
      </c>
      <c r="I3" s="98">
        <v>4</v>
      </c>
      <c r="K3" s="38">
        <v>1</v>
      </c>
      <c r="L3" s="103">
        <v>-24.4</v>
      </c>
      <c r="N3" s="119" t="s">
        <v>136</v>
      </c>
      <c r="O3" s="126">
        <f t="shared" si="1"/>
        <v>-4900</v>
      </c>
      <c r="P3" s="123">
        <v>1</v>
      </c>
      <c r="Q3" s="107">
        <v>-4900</v>
      </c>
    </row>
    <row r="4" spans="1:17" x14ac:dyDescent="0.4">
      <c r="A4" s="55" t="s">
        <v>6</v>
      </c>
      <c r="B4" s="154">
        <v>-24.4</v>
      </c>
      <c r="C4" s="155"/>
      <c r="E4" s="63" t="s">
        <v>69</v>
      </c>
      <c r="F4" s="60" t="s">
        <v>23</v>
      </c>
      <c r="G4" s="47">
        <v>0</v>
      </c>
      <c r="H4" s="136">
        <f t="shared" si="0"/>
        <v>0</v>
      </c>
      <c r="I4" s="98">
        <v>4</v>
      </c>
      <c r="N4" s="119" t="s">
        <v>137</v>
      </c>
      <c r="O4" s="126">
        <f t="shared" si="1"/>
        <v>-3000</v>
      </c>
      <c r="P4" s="123">
        <v>1</v>
      </c>
      <c r="Q4" s="107">
        <v>-3000</v>
      </c>
    </row>
    <row r="5" spans="1:17" x14ac:dyDescent="0.4">
      <c r="A5" s="55" t="s">
        <v>7</v>
      </c>
      <c r="B5" s="156">
        <f>IF(B$2=0,0,B$4/B$2)</f>
        <v>-24.4</v>
      </c>
      <c r="C5" s="157"/>
      <c r="E5" s="63" t="s">
        <v>70</v>
      </c>
      <c r="F5" s="60" t="s">
        <v>24</v>
      </c>
      <c r="G5" s="47">
        <v>0</v>
      </c>
      <c r="H5" s="136">
        <f t="shared" si="0"/>
        <v>0</v>
      </c>
      <c r="I5" s="98">
        <v>4</v>
      </c>
      <c r="N5" s="119" t="s">
        <v>138</v>
      </c>
      <c r="O5" s="126">
        <f t="shared" si="1"/>
        <v>-6000</v>
      </c>
      <c r="P5" s="123">
        <v>1</v>
      </c>
      <c r="Q5" s="107">
        <v>-6000</v>
      </c>
    </row>
    <row r="6" spans="1:17" x14ac:dyDescent="0.4">
      <c r="A6" s="55" t="s">
        <v>1</v>
      </c>
      <c r="B6" s="144">
        <f>IF(B$2=0,0,(B$7*1+B$8*2+B$9*3)/B$2)</f>
        <v>3</v>
      </c>
      <c r="C6" s="145"/>
      <c r="E6" s="63" t="s">
        <v>71</v>
      </c>
      <c r="F6" s="60" t="s">
        <v>25</v>
      </c>
      <c r="G6" s="47">
        <v>0</v>
      </c>
      <c r="H6" s="136">
        <f t="shared" si="0"/>
        <v>0</v>
      </c>
      <c r="I6" s="98">
        <v>4</v>
      </c>
      <c r="N6" s="119" t="s">
        <v>139</v>
      </c>
      <c r="O6" s="126">
        <f t="shared" si="1"/>
        <v>-3500</v>
      </c>
      <c r="P6" s="123">
        <v>1</v>
      </c>
      <c r="Q6" s="107">
        <v>-3500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72</v>
      </c>
      <c r="F7" s="60" t="s">
        <v>12</v>
      </c>
      <c r="G7" s="47">
        <v>0</v>
      </c>
      <c r="H7" s="136">
        <f t="shared" si="0"/>
        <v>0</v>
      </c>
      <c r="I7" s="98">
        <v>4</v>
      </c>
      <c r="N7" s="120" t="s">
        <v>140</v>
      </c>
      <c r="O7" s="127">
        <f t="shared" si="1"/>
        <v>0</v>
      </c>
      <c r="P7" s="124">
        <v>1</v>
      </c>
      <c r="Q7" s="108">
        <v>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73</v>
      </c>
      <c r="F8" s="60" t="s">
        <v>26</v>
      </c>
      <c r="G8" s="47">
        <v>0</v>
      </c>
      <c r="H8" s="136">
        <f t="shared" si="0"/>
        <v>0</v>
      </c>
      <c r="I8" s="98">
        <v>3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2">IF(B$2=0,0,B9/B$2)</f>
        <v>1</v>
      </c>
      <c r="E9" s="63" t="s">
        <v>74</v>
      </c>
      <c r="F9" s="60" t="s">
        <v>27</v>
      </c>
      <c r="G9" s="47">
        <v>0</v>
      </c>
      <c r="H9" s="136">
        <f t="shared" si="0"/>
        <v>0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75</v>
      </c>
      <c r="F10" s="60" t="s">
        <v>28</v>
      </c>
      <c r="G10" s="47">
        <v>0</v>
      </c>
      <c r="H10" s="136">
        <f t="shared" si="0"/>
        <v>0</v>
      </c>
      <c r="I10" s="98">
        <v>1</v>
      </c>
      <c r="N10" s="118" t="s">
        <v>171</v>
      </c>
      <c r="O10" s="128">
        <f>IF(P10=0,0,Q10/P10)</f>
        <v>-24.4</v>
      </c>
      <c r="P10" s="122">
        <v>1</v>
      </c>
      <c r="Q10" s="110">
        <v>-24.4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76</v>
      </c>
      <c r="F11" s="60" t="s">
        <v>29</v>
      </c>
      <c r="G11" s="47">
        <v>0</v>
      </c>
      <c r="H11" s="136">
        <f t="shared" si="0"/>
        <v>0</v>
      </c>
      <c r="I11" s="98">
        <v>4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60" t="s">
        <v>30</v>
      </c>
      <c r="G12" s="47">
        <v>0</v>
      </c>
      <c r="H12" s="136">
        <f t="shared" si="0"/>
        <v>0</v>
      </c>
      <c r="I12" s="98">
        <v>1</v>
      </c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128</v>
      </c>
      <c r="B13" s="50">
        <v>1</v>
      </c>
      <c r="C13" s="44">
        <f>IF(B$26=0,0,B13/B$26)</f>
        <v>0.1111111111111111</v>
      </c>
      <c r="E13" s="63" t="s">
        <v>78</v>
      </c>
      <c r="F13" s="60" t="s">
        <v>31</v>
      </c>
      <c r="G13" s="47">
        <v>0</v>
      </c>
      <c r="H13" s="136">
        <f t="shared" si="0"/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4</v>
      </c>
      <c r="C14" s="39">
        <f>IF(B$26=0,0,B14/B$26)</f>
        <v>0.44444444444444442</v>
      </c>
      <c r="E14" s="63" t="s">
        <v>79</v>
      </c>
      <c r="F14" s="60" t="s">
        <v>32</v>
      </c>
      <c r="G14" s="47">
        <v>0</v>
      </c>
      <c r="H14" s="136">
        <f t="shared" si="0"/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0</v>
      </c>
      <c r="C15" s="37">
        <f>IF(B$13=0,0,B15/B$13)</f>
        <v>0</v>
      </c>
      <c r="E15" s="63" t="s">
        <v>80</v>
      </c>
      <c r="F15" s="60" t="s">
        <v>33</v>
      </c>
      <c r="G15" s="47">
        <v>0</v>
      </c>
      <c r="H15" s="136">
        <f t="shared" si="0"/>
        <v>0</v>
      </c>
      <c r="I15" s="98">
        <v>1</v>
      </c>
      <c r="N15" s="118" t="s">
        <v>133</v>
      </c>
      <c r="O15" s="128">
        <f>IF(P15=0,0,Q15/P15)</f>
        <v>-13.7</v>
      </c>
      <c r="P15" s="122">
        <v>1</v>
      </c>
      <c r="Q15" s="110">
        <v>-13.7</v>
      </c>
    </row>
    <row r="16" spans="1:17" x14ac:dyDescent="0.4">
      <c r="A16" s="54" t="s">
        <v>131</v>
      </c>
      <c r="B16" s="46">
        <v>0</v>
      </c>
      <c r="C16" s="37">
        <f>IF(B$14=0,0,B16/B$14)</f>
        <v>0</v>
      </c>
      <c r="E16" s="63" t="s">
        <v>81</v>
      </c>
      <c r="F16" s="60" t="s">
        <v>34</v>
      </c>
      <c r="G16" s="47">
        <v>0</v>
      </c>
      <c r="H16" s="136">
        <f t="shared" si="0"/>
        <v>0</v>
      </c>
      <c r="I16" s="98">
        <v>1</v>
      </c>
      <c r="N16" s="119" t="s">
        <v>181</v>
      </c>
      <c r="O16" s="129">
        <f>IF(P16=0,0,Q16/P16)</f>
        <v>-59.5</v>
      </c>
      <c r="P16" s="123">
        <v>1</v>
      </c>
      <c r="Q16" s="111">
        <v>-59.5</v>
      </c>
    </row>
    <row r="17" spans="1:9" x14ac:dyDescent="0.4">
      <c r="A17" s="54" t="s">
        <v>10</v>
      </c>
      <c r="B17" s="46">
        <f>B19+B18</f>
        <v>0</v>
      </c>
      <c r="C17" s="37">
        <f>IF(B$3=0,0,B17/B$3)</f>
        <v>0</v>
      </c>
      <c r="E17" s="63" t="s">
        <v>82</v>
      </c>
      <c r="F17" s="60" t="s">
        <v>35</v>
      </c>
      <c r="G17" s="47">
        <v>0</v>
      </c>
      <c r="H17" s="136">
        <f t="shared" si="0"/>
        <v>0</v>
      </c>
      <c r="I17" s="98">
        <v>1</v>
      </c>
    </row>
    <row r="18" spans="1:9" x14ac:dyDescent="0.4">
      <c r="A18" s="55" t="s">
        <v>12</v>
      </c>
      <c r="B18" s="47">
        <v>0</v>
      </c>
      <c r="C18" s="39">
        <f>IF(B$17=0,0,B18/B$17)</f>
        <v>0</v>
      </c>
      <c r="E18" s="63" t="s">
        <v>83</v>
      </c>
      <c r="F18" s="60" t="s">
        <v>36</v>
      </c>
      <c r="G18" s="47">
        <v>0</v>
      </c>
      <c r="H18" s="136">
        <f t="shared" si="0"/>
        <v>0</v>
      </c>
      <c r="I18" s="98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84</v>
      </c>
      <c r="F19" s="60" t="s">
        <v>37</v>
      </c>
      <c r="G19" s="47">
        <v>0</v>
      </c>
      <c r="H19" s="136">
        <f t="shared" si="0"/>
        <v>0</v>
      </c>
      <c r="I19" s="98">
        <v>1</v>
      </c>
    </row>
    <row r="20" spans="1:9" x14ac:dyDescent="0.4">
      <c r="A20" s="55" t="s">
        <v>13</v>
      </c>
      <c r="B20" s="47">
        <v>2</v>
      </c>
      <c r="C20" s="39">
        <f>IF(B$3=0,0,B20/B$3)</f>
        <v>0.22222222222222221</v>
      </c>
      <c r="E20" s="63" t="s">
        <v>85</v>
      </c>
      <c r="F20" s="60" t="s">
        <v>38</v>
      </c>
      <c r="G20" s="47">
        <v>0</v>
      </c>
      <c r="H20" s="136">
        <f t="shared" si="0"/>
        <v>0</v>
      </c>
      <c r="I20" s="98">
        <v>1</v>
      </c>
    </row>
    <row r="21" spans="1:9" x14ac:dyDescent="0.4">
      <c r="A21" s="55" t="s">
        <v>5</v>
      </c>
      <c r="B21" s="51">
        <f>IF(B$17=0,0,C21/B$17)</f>
        <v>0</v>
      </c>
      <c r="C21" s="41">
        <v>0</v>
      </c>
      <c r="E21" s="63" t="s">
        <v>86</v>
      </c>
      <c r="F21" s="60" t="s">
        <v>39</v>
      </c>
      <c r="G21" s="47">
        <v>0</v>
      </c>
      <c r="H21" s="136">
        <f t="shared" si="0"/>
        <v>0</v>
      </c>
      <c r="I21" s="98">
        <v>1</v>
      </c>
    </row>
    <row r="22" spans="1:9" x14ac:dyDescent="0.4">
      <c r="A22" s="57" t="s">
        <v>14</v>
      </c>
      <c r="B22" s="52">
        <f>IF(B$20=0,0,C22/B$20)</f>
        <v>-4450</v>
      </c>
      <c r="C22" s="45">
        <v>-8900</v>
      </c>
      <c r="E22" s="63" t="s">
        <v>87</v>
      </c>
      <c r="F22" s="60" t="s">
        <v>40</v>
      </c>
      <c r="G22" s="47">
        <v>0</v>
      </c>
      <c r="H22" s="136">
        <f t="shared" si="0"/>
        <v>0</v>
      </c>
      <c r="I22" s="98">
        <v>1</v>
      </c>
    </row>
    <row r="23" spans="1:9" x14ac:dyDescent="0.4">
      <c r="A23" s="94" t="s">
        <v>145</v>
      </c>
      <c r="B23" s="142">
        <v>0</v>
      </c>
      <c r="C23" s="143"/>
      <c r="E23" s="63" t="s">
        <v>88</v>
      </c>
      <c r="F23" s="60" t="s">
        <v>41</v>
      </c>
      <c r="G23" s="47">
        <v>0</v>
      </c>
      <c r="H23" s="136">
        <f t="shared" si="0"/>
        <v>0</v>
      </c>
      <c r="I23" s="98">
        <v>3</v>
      </c>
    </row>
    <row r="24" spans="1:9" x14ac:dyDescent="0.4">
      <c r="A24" s="58" t="s">
        <v>156</v>
      </c>
      <c r="B24" s="140">
        <v>600</v>
      </c>
      <c r="C24" s="141"/>
      <c r="E24" s="63" t="s">
        <v>89</v>
      </c>
      <c r="F24" s="60" t="s">
        <v>42</v>
      </c>
      <c r="G24" s="47">
        <v>0</v>
      </c>
      <c r="H24" s="136">
        <f t="shared" si="0"/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90</v>
      </c>
      <c r="F25" s="60" t="s">
        <v>43</v>
      </c>
      <c r="G25" s="47">
        <v>0</v>
      </c>
      <c r="H25" s="136">
        <f t="shared" si="0"/>
        <v>0</v>
      </c>
      <c r="I25" s="98">
        <v>1</v>
      </c>
    </row>
    <row r="26" spans="1:9" x14ac:dyDescent="0.4">
      <c r="A26" s="54" t="s">
        <v>126</v>
      </c>
      <c r="B26" s="146">
        <v>9</v>
      </c>
      <c r="C26" s="147"/>
      <c r="E26" s="63" t="s">
        <v>91</v>
      </c>
      <c r="F26" s="60" t="s">
        <v>44</v>
      </c>
      <c r="G26" s="47">
        <v>0</v>
      </c>
      <c r="H26" s="136">
        <f t="shared" si="0"/>
        <v>0</v>
      </c>
      <c r="I26" s="98">
        <v>3</v>
      </c>
    </row>
    <row r="27" spans="1:9" x14ac:dyDescent="0.4">
      <c r="A27" s="57" t="s">
        <v>127</v>
      </c>
      <c r="B27" s="148">
        <v>0</v>
      </c>
      <c r="C27" s="149"/>
      <c r="E27" s="63" t="s">
        <v>92</v>
      </c>
      <c r="F27" s="60" t="s">
        <v>45</v>
      </c>
      <c r="G27" s="47">
        <v>0</v>
      </c>
      <c r="H27" s="136">
        <f t="shared" si="0"/>
        <v>0</v>
      </c>
      <c r="I27" s="98">
        <v>1</v>
      </c>
    </row>
    <row r="28" spans="1:9" x14ac:dyDescent="0.4">
      <c r="E28" s="63" t="s">
        <v>93</v>
      </c>
      <c r="F28" s="60" t="s">
        <v>46</v>
      </c>
      <c r="G28" s="47">
        <v>0</v>
      </c>
      <c r="H28" s="136">
        <f t="shared" si="0"/>
        <v>0</v>
      </c>
      <c r="I28" s="98">
        <v>1</v>
      </c>
    </row>
    <row r="29" spans="1:9" x14ac:dyDescent="0.4">
      <c r="E29" s="63" t="s">
        <v>94</v>
      </c>
      <c r="F29" s="60" t="s">
        <v>47</v>
      </c>
      <c r="G29" s="47">
        <v>0</v>
      </c>
      <c r="H29" s="136">
        <f t="shared" si="0"/>
        <v>0</v>
      </c>
      <c r="I29" s="98">
        <v>3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 t="shared" si="0"/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 t="shared" si="0"/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 t="shared" si="0"/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 t="shared" si="0"/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 t="shared" ref="H34:H65" si="3"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 t="shared" si="3"/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 t="shared" si="3"/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 t="shared" si="3"/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 t="shared" si="3"/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 t="shared" si="3"/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 t="shared" si="3"/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 t="shared" si="3"/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 t="shared" si="3"/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 t="shared" si="3"/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 t="shared" si="3"/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 t="shared" si="3"/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 t="shared" si="3"/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 t="shared" si="3"/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 t="shared" si="3"/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 t="shared" si="3"/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 t="shared" si="3"/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si="3"/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3"/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608D-1691-4E8E-89D7-CAD98406B5AF}">
  <sheetPr codeName="Sheet11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0" t="s">
        <v>181</v>
      </c>
      <c r="C1" s="15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6">
        <v>1</v>
      </c>
      <c r="C2" s="147"/>
      <c r="E2" s="62" t="s">
        <v>71</v>
      </c>
      <c r="F2" s="59" t="s">
        <v>25</v>
      </c>
      <c r="G2" s="46">
        <v>7</v>
      </c>
      <c r="H2" s="135">
        <f t="shared" ref="H2:H33" si="0">IF(B$27=0,0,G2/B$27)</f>
        <v>1.4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1">IF(P2=0,0,Q2/P2)</f>
        <v>-3000</v>
      </c>
      <c r="P2" s="122">
        <v>1</v>
      </c>
      <c r="Q2" s="106">
        <v>-3000</v>
      </c>
    </row>
    <row r="3" spans="1:17" x14ac:dyDescent="0.4">
      <c r="A3" s="55" t="s">
        <v>8</v>
      </c>
      <c r="B3" s="152">
        <v>9</v>
      </c>
      <c r="C3" s="153"/>
      <c r="E3" s="63" t="s">
        <v>70</v>
      </c>
      <c r="F3" s="60" t="s">
        <v>24</v>
      </c>
      <c r="G3" s="47">
        <v>5</v>
      </c>
      <c r="H3" s="136">
        <f t="shared" si="0"/>
        <v>1</v>
      </c>
      <c r="I3" s="98">
        <v>1</v>
      </c>
      <c r="K3" s="38">
        <v>1</v>
      </c>
      <c r="L3" s="103">
        <v>35.1</v>
      </c>
      <c r="N3" s="119" t="s">
        <v>136</v>
      </c>
      <c r="O3" s="126">
        <f t="shared" si="1"/>
        <v>13600</v>
      </c>
      <c r="P3" s="123">
        <v>1</v>
      </c>
      <c r="Q3" s="107">
        <v>13600</v>
      </c>
    </row>
    <row r="4" spans="1:17" x14ac:dyDescent="0.4">
      <c r="A4" s="55" t="s">
        <v>6</v>
      </c>
      <c r="B4" s="154">
        <v>35.1</v>
      </c>
      <c r="C4" s="155"/>
      <c r="E4" s="63" t="s">
        <v>67</v>
      </c>
      <c r="F4" s="60" t="s">
        <v>21</v>
      </c>
      <c r="G4" s="47">
        <v>4</v>
      </c>
      <c r="H4" s="136">
        <f t="shared" si="0"/>
        <v>0.8</v>
      </c>
      <c r="I4" s="98">
        <v>3</v>
      </c>
      <c r="N4" s="119" t="s">
        <v>137</v>
      </c>
      <c r="O4" s="126">
        <f t="shared" si="1"/>
        <v>9000</v>
      </c>
      <c r="P4" s="123">
        <v>1</v>
      </c>
      <c r="Q4" s="107">
        <v>9000</v>
      </c>
    </row>
    <row r="5" spans="1:17" x14ac:dyDescent="0.4">
      <c r="A5" s="55" t="s">
        <v>7</v>
      </c>
      <c r="B5" s="156">
        <f>IF(B$2=0,0,B$4/B$2)</f>
        <v>35.1</v>
      </c>
      <c r="C5" s="157"/>
      <c r="E5" s="63" t="s">
        <v>69</v>
      </c>
      <c r="F5" s="60" t="s">
        <v>23</v>
      </c>
      <c r="G5" s="47">
        <v>2</v>
      </c>
      <c r="H5" s="136">
        <f t="shared" si="0"/>
        <v>0.4</v>
      </c>
      <c r="I5" s="98">
        <v>3</v>
      </c>
      <c r="N5" s="119" t="s">
        <v>138</v>
      </c>
      <c r="O5" s="126">
        <f t="shared" si="1"/>
        <v>-1000</v>
      </c>
      <c r="P5" s="123">
        <v>1</v>
      </c>
      <c r="Q5" s="107">
        <v>-1000</v>
      </c>
    </row>
    <row r="6" spans="1:17" x14ac:dyDescent="0.4">
      <c r="A6" s="55" t="s">
        <v>1</v>
      </c>
      <c r="B6" s="144">
        <f>IF(B$2=0,0,(B$7*1+B$8*2+B$9*3)/B$2)</f>
        <v>1</v>
      </c>
      <c r="C6" s="145"/>
      <c r="E6" s="63" t="s">
        <v>68</v>
      </c>
      <c r="F6" s="60" t="s">
        <v>22</v>
      </c>
      <c r="G6" s="47">
        <v>1</v>
      </c>
      <c r="H6" s="136">
        <f t="shared" si="0"/>
        <v>0.2</v>
      </c>
      <c r="I6" s="98">
        <v>3</v>
      </c>
      <c r="N6" s="119" t="s">
        <v>139</v>
      </c>
      <c r="O6" s="126">
        <f t="shared" si="1"/>
        <v>6500</v>
      </c>
      <c r="P6" s="123">
        <v>1</v>
      </c>
      <c r="Q6" s="107">
        <v>6500</v>
      </c>
    </row>
    <row r="7" spans="1:17" x14ac:dyDescent="0.4">
      <c r="A7" s="55" t="s">
        <v>2</v>
      </c>
      <c r="B7" s="47">
        <v>1</v>
      </c>
      <c r="C7" s="39">
        <f>IF(B$2=0,0,B7/B$2)</f>
        <v>1</v>
      </c>
      <c r="E7" s="63" t="s">
        <v>72</v>
      </c>
      <c r="F7" s="60" t="s">
        <v>12</v>
      </c>
      <c r="G7" s="47">
        <v>1</v>
      </c>
      <c r="H7" s="136">
        <f t="shared" si="0"/>
        <v>0.2</v>
      </c>
      <c r="I7" s="98">
        <v>3</v>
      </c>
      <c r="N7" s="120" t="s">
        <v>140</v>
      </c>
      <c r="O7" s="127">
        <f t="shared" si="1"/>
        <v>10000</v>
      </c>
      <c r="P7" s="124">
        <v>1</v>
      </c>
      <c r="Q7" s="108">
        <v>10000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76</v>
      </c>
      <c r="F8" s="60" t="s">
        <v>29</v>
      </c>
      <c r="G8" s="47">
        <v>1</v>
      </c>
      <c r="H8" s="136">
        <f t="shared" si="0"/>
        <v>0.2</v>
      </c>
      <c r="I8" s="98">
        <v>3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88</v>
      </c>
      <c r="F9" s="60" t="s">
        <v>41</v>
      </c>
      <c r="G9" s="47">
        <v>1</v>
      </c>
      <c r="H9" s="136">
        <f t="shared" si="0"/>
        <v>0.2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91</v>
      </c>
      <c r="F10" s="60" t="s">
        <v>44</v>
      </c>
      <c r="G10" s="47">
        <v>1</v>
      </c>
      <c r="H10" s="136">
        <f t="shared" si="0"/>
        <v>0.2</v>
      </c>
      <c r="I10" s="98">
        <v>1</v>
      </c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94</v>
      </c>
      <c r="F11" s="60" t="s">
        <v>47</v>
      </c>
      <c r="G11" s="47">
        <v>1</v>
      </c>
      <c r="H11" s="136">
        <f t="shared" si="0"/>
        <v>0.2</v>
      </c>
      <c r="I11" s="98">
        <v>1</v>
      </c>
      <c r="N11" s="119" t="s">
        <v>172</v>
      </c>
      <c r="O11" s="129">
        <f>IF(P11=0,0,Q11/P11)</f>
        <v>35.1</v>
      </c>
      <c r="P11" s="123">
        <v>1</v>
      </c>
      <c r="Q11" s="111">
        <v>35.1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73</v>
      </c>
      <c r="F12" s="60" t="s">
        <v>26</v>
      </c>
      <c r="G12" s="47">
        <v>0</v>
      </c>
      <c r="H12" s="136">
        <f t="shared" si="0"/>
        <v>0</v>
      </c>
      <c r="I12" s="98">
        <v>3</v>
      </c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128</v>
      </c>
      <c r="B13" s="50">
        <v>5</v>
      </c>
      <c r="C13" s="44">
        <f>IF(B$26=0,0,B13/B$26)</f>
        <v>0.55555555555555558</v>
      </c>
      <c r="E13" s="63" t="s">
        <v>74</v>
      </c>
      <c r="F13" s="60" t="s">
        <v>27</v>
      </c>
      <c r="G13" s="47">
        <v>0</v>
      </c>
      <c r="H13" s="136">
        <f t="shared" si="0"/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</v>
      </c>
      <c r="C14" s="39">
        <f>IF(B$26=0,0,B14/B$26)</f>
        <v>0.1111111111111111</v>
      </c>
      <c r="E14" s="63" t="s">
        <v>75</v>
      </c>
      <c r="F14" s="60" t="s">
        <v>28</v>
      </c>
      <c r="G14" s="47">
        <v>0</v>
      </c>
      <c r="H14" s="136">
        <f t="shared" si="0"/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4</v>
      </c>
      <c r="C15" s="37">
        <f>IF(B$13=0,0,B15/B$13)</f>
        <v>0.8</v>
      </c>
      <c r="E15" s="63" t="s">
        <v>77</v>
      </c>
      <c r="F15" s="60" t="s">
        <v>30</v>
      </c>
      <c r="G15" s="47">
        <v>0</v>
      </c>
      <c r="H15" s="136">
        <f t="shared" si="0"/>
        <v>0</v>
      </c>
      <c r="I15" s="98">
        <v>1</v>
      </c>
      <c r="N15" s="118" t="s">
        <v>180</v>
      </c>
      <c r="O15" s="128">
        <f>IF(P15=0,0,Q15/P15)</f>
        <v>59.5</v>
      </c>
      <c r="P15" s="122">
        <v>1</v>
      </c>
      <c r="Q15" s="110">
        <v>59.5</v>
      </c>
    </row>
    <row r="16" spans="1:17" x14ac:dyDescent="0.4">
      <c r="A16" s="54" t="s">
        <v>131</v>
      </c>
      <c r="B16" s="46">
        <v>1</v>
      </c>
      <c r="C16" s="37">
        <f>IF(B$14=0,0,B16/B$14)</f>
        <v>1</v>
      </c>
      <c r="E16" s="63" t="s">
        <v>78</v>
      </c>
      <c r="F16" s="60" t="s">
        <v>31</v>
      </c>
      <c r="G16" s="47">
        <v>0</v>
      </c>
      <c r="H16" s="136">
        <f t="shared" si="0"/>
        <v>0</v>
      </c>
      <c r="I16" s="98">
        <v>1</v>
      </c>
      <c r="N16" s="119" t="s">
        <v>133</v>
      </c>
      <c r="O16" s="129">
        <f>IF(P16=0,0,Q16/P16)</f>
        <v>45.8</v>
      </c>
      <c r="P16" s="123">
        <v>1</v>
      </c>
      <c r="Q16" s="111">
        <v>45.8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0.55555555555555558</v>
      </c>
      <c r="E17" s="63" t="s">
        <v>79</v>
      </c>
      <c r="F17" s="60" t="s">
        <v>32</v>
      </c>
      <c r="G17" s="47">
        <v>0</v>
      </c>
      <c r="H17" s="136">
        <f t="shared" si="0"/>
        <v>0</v>
      </c>
      <c r="I17" s="98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80</v>
      </c>
      <c r="F18" s="60" t="s">
        <v>33</v>
      </c>
      <c r="G18" s="47">
        <v>0</v>
      </c>
      <c r="H18" s="136">
        <f t="shared" si="0"/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81</v>
      </c>
      <c r="F19" s="60" t="s">
        <v>34</v>
      </c>
      <c r="G19" s="47">
        <v>0</v>
      </c>
      <c r="H19" s="136">
        <f t="shared" si="0"/>
        <v>0</v>
      </c>
      <c r="I19" s="98">
        <v>1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60" t="s">
        <v>35</v>
      </c>
      <c r="G20" s="47">
        <v>0</v>
      </c>
      <c r="H20" s="136">
        <f t="shared" si="0"/>
        <v>0</v>
      </c>
      <c r="I20" s="98">
        <v>1</v>
      </c>
    </row>
    <row r="21" spans="1:9" x14ac:dyDescent="0.4">
      <c r="A21" s="55" t="s">
        <v>5</v>
      </c>
      <c r="B21" s="51">
        <f>IF(B$17=0,0,C21/B$17)</f>
        <v>8120</v>
      </c>
      <c r="C21" s="41">
        <v>40600</v>
      </c>
      <c r="E21" s="63" t="s">
        <v>83</v>
      </c>
      <c r="F21" s="60" t="s">
        <v>36</v>
      </c>
      <c r="G21" s="47">
        <v>0</v>
      </c>
      <c r="H21" s="136">
        <f t="shared" si="0"/>
        <v>0</v>
      </c>
      <c r="I21" s="98">
        <v>1</v>
      </c>
    </row>
    <row r="22" spans="1:9" x14ac:dyDescent="0.4">
      <c r="A22" s="57" t="s">
        <v>14</v>
      </c>
      <c r="B22" s="52">
        <f>IF(B$20=0,0,C22/B$20)</f>
        <v>0</v>
      </c>
      <c r="C22" s="45">
        <v>0</v>
      </c>
      <c r="E22" s="63" t="s">
        <v>84</v>
      </c>
      <c r="F22" s="60" t="s">
        <v>37</v>
      </c>
      <c r="G22" s="47">
        <v>0</v>
      </c>
      <c r="H22" s="136">
        <f t="shared" si="0"/>
        <v>0</v>
      </c>
      <c r="I22" s="98">
        <v>1</v>
      </c>
    </row>
    <row r="23" spans="1:9" x14ac:dyDescent="0.4">
      <c r="A23" s="94" t="s">
        <v>145</v>
      </c>
      <c r="B23" s="142">
        <v>4</v>
      </c>
      <c r="C23" s="143"/>
      <c r="E23" s="63" t="s">
        <v>85</v>
      </c>
      <c r="F23" s="60" t="s">
        <v>38</v>
      </c>
      <c r="G23" s="47">
        <v>0</v>
      </c>
      <c r="H23" s="136">
        <f t="shared" si="0"/>
        <v>0</v>
      </c>
      <c r="I23" s="98">
        <v>1</v>
      </c>
    </row>
    <row r="24" spans="1:9" x14ac:dyDescent="0.4">
      <c r="A24" s="58" t="s">
        <v>156</v>
      </c>
      <c r="B24" s="140">
        <v>60100</v>
      </c>
      <c r="C24" s="141"/>
      <c r="E24" s="63" t="s">
        <v>86</v>
      </c>
      <c r="F24" s="60" t="s">
        <v>39</v>
      </c>
      <c r="G24" s="47">
        <v>0</v>
      </c>
      <c r="H24" s="136">
        <f t="shared" si="0"/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6">
        <f t="shared" si="0"/>
        <v>0</v>
      </c>
      <c r="I25" s="98">
        <v>1</v>
      </c>
    </row>
    <row r="26" spans="1:9" x14ac:dyDescent="0.4">
      <c r="A26" s="54" t="s">
        <v>126</v>
      </c>
      <c r="B26" s="146">
        <v>9</v>
      </c>
      <c r="C26" s="147"/>
      <c r="E26" s="63" t="s">
        <v>89</v>
      </c>
      <c r="F26" s="60" t="s">
        <v>42</v>
      </c>
      <c r="G26" s="47">
        <v>0</v>
      </c>
      <c r="H26" s="136">
        <f t="shared" si="0"/>
        <v>0</v>
      </c>
      <c r="I26" s="98">
        <v>1</v>
      </c>
    </row>
    <row r="27" spans="1:9" x14ac:dyDescent="0.4">
      <c r="A27" s="57" t="s">
        <v>127</v>
      </c>
      <c r="B27" s="148">
        <v>5</v>
      </c>
      <c r="C27" s="149"/>
      <c r="E27" s="63" t="s">
        <v>90</v>
      </c>
      <c r="F27" s="60" t="s">
        <v>43</v>
      </c>
      <c r="G27" s="47">
        <v>0</v>
      </c>
      <c r="H27" s="136">
        <f t="shared" si="0"/>
        <v>0</v>
      </c>
      <c r="I27" s="98">
        <v>1</v>
      </c>
    </row>
    <row r="28" spans="1:9" x14ac:dyDescent="0.4">
      <c r="E28" s="63" t="s">
        <v>92</v>
      </c>
      <c r="F28" s="60" t="s">
        <v>45</v>
      </c>
      <c r="G28" s="47">
        <v>0</v>
      </c>
      <c r="H28" s="136">
        <f t="shared" si="0"/>
        <v>0</v>
      </c>
      <c r="I28" s="98">
        <v>1</v>
      </c>
    </row>
    <row r="29" spans="1:9" x14ac:dyDescent="0.4">
      <c r="E29" s="63" t="s">
        <v>93</v>
      </c>
      <c r="F29" s="60" t="s">
        <v>46</v>
      </c>
      <c r="G29" s="47">
        <v>0</v>
      </c>
      <c r="H29" s="136">
        <f t="shared" si="0"/>
        <v>0</v>
      </c>
      <c r="I29" s="98">
        <v>1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 t="shared" si="0"/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 t="shared" si="0"/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 t="shared" si="0"/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 t="shared" si="0"/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 t="shared" ref="H34:H65" si="3"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 t="shared" si="3"/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 t="shared" si="3"/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 t="shared" si="3"/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 t="shared" si="3"/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 t="shared" si="3"/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 t="shared" si="3"/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 t="shared" si="3"/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 t="shared" si="3"/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 t="shared" si="3"/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 t="shared" si="3"/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 t="shared" si="3"/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 t="shared" si="3"/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 t="shared" si="3"/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 t="shared" si="3"/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 t="shared" si="3"/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 t="shared" si="3"/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si="3"/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3"/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87A5-1369-49E7-AABC-93392EAC7AEC}">
  <sheetPr codeName="Sheet12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35.1</v>
      </c>
      <c r="C4" s="66">
        <v>35.1</v>
      </c>
      <c r="D4" s="71">
        <v>1</v>
      </c>
      <c r="E4" s="67">
        <v>1</v>
      </c>
      <c r="F4" s="67">
        <v>0.55555555555555558</v>
      </c>
      <c r="G4" s="67">
        <v>0</v>
      </c>
      <c r="H4" s="68">
        <v>8120</v>
      </c>
      <c r="I4" s="68">
        <v>0</v>
      </c>
      <c r="J4" s="67">
        <v>0</v>
      </c>
      <c r="K4" s="67">
        <v>0</v>
      </c>
      <c r="L4" s="67">
        <v>0</v>
      </c>
      <c r="M4" s="67">
        <v>0.55555555555555558</v>
      </c>
      <c r="N4" s="67">
        <v>0.1111111111111111</v>
      </c>
      <c r="O4" s="67">
        <v>0.8</v>
      </c>
      <c r="P4" s="67">
        <v>1</v>
      </c>
      <c r="Q4" s="67">
        <v>0.2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F11B-7D11-49C2-99A5-2691D9D8A1BF}">
  <sheetPr codeName="Sheet1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-24.4</v>
      </c>
      <c r="C4" s="66">
        <v>-24.4</v>
      </c>
      <c r="D4" s="71">
        <v>3</v>
      </c>
      <c r="E4" s="67">
        <v>0</v>
      </c>
      <c r="F4" s="67">
        <v>0</v>
      </c>
      <c r="G4" s="67">
        <v>0.22222222222222221</v>
      </c>
      <c r="H4" s="68">
        <v>0</v>
      </c>
      <c r="I4" s="68">
        <v>-4450</v>
      </c>
      <c r="J4" s="67">
        <v>0</v>
      </c>
      <c r="K4" s="67">
        <v>0</v>
      </c>
      <c r="L4" s="67">
        <v>0</v>
      </c>
      <c r="M4" s="67">
        <v>0.1111111111111111</v>
      </c>
      <c r="N4" s="67">
        <v>0.44444444444444442</v>
      </c>
      <c r="O4" s="67">
        <v>0</v>
      </c>
      <c r="P4" s="67">
        <v>0</v>
      </c>
      <c r="Q4" s="67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C1B5D-DD69-4493-8A87-CCE607C93B94}">
  <sheetPr codeName="Sheet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-10.7</v>
      </c>
      <c r="C4" s="66">
        <v>-10.7</v>
      </c>
      <c r="D4" s="71">
        <v>2</v>
      </c>
      <c r="E4" s="67">
        <v>0</v>
      </c>
      <c r="F4" s="67">
        <v>0.44444444444444442</v>
      </c>
      <c r="G4" s="67">
        <v>0.44444444444444442</v>
      </c>
      <c r="H4" s="68">
        <v>6725</v>
      </c>
      <c r="I4" s="68">
        <v>-7900</v>
      </c>
      <c r="J4" s="67">
        <v>0</v>
      </c>
      <c r="K4" s="67">
        <v>0</v>
      </c>
      <c r="L4" s="67">
        <v>0</v>
      </c>
      <c r="M4" s="67">
        <v>0.88888888888888884</v>
      </c>
      <c r="N4" s="67">
        <v>0.1111111111111111</v>
      </c>
      <c r="O4" s="67">
        <v>0.5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A432-244C-4D58-9BFE-70EAAA7B544A}">
  <sheetPr codeName="Sheet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148</v>
      </c>
      <c r="B1" s="70" t="s">
        <v>148</v>
      </c>
      <c r="C1" s="70" t="s">
        <v>148</v>
      </c>
      <c r="D1" s="71" t="s">
        <v>148</v>
      </c>
      <c r="E1" s="70" t="s">
        <v>148</v>
      </c>
      <c r="F1" s="70" t="s">
        <v>148</v>
      </c>
      <c r="G1" s="70" t="s">
        <v>148</v>
      </c>
      <c r="H1" s="70" t="s">
        <v>148</v>
      </c>
      <c r="I1" s="70" t="s">
        <v>148</v>
      </c>
      <c r="J1" s="70" t="s">
        <v>148</v>
      </c>
      <c r="K1" s="70" t="s">
        <v>148</v>
      </c>
      <c r="L1" s="70" t="s">
        <v>148</v>
      </c>
      <c r="M1" s="70" t="s">
        <v>148</v>
      </c>
      <c r="N1" s="70" t="s">
        <v>148</v>
      </c>
      <c r="O1" s="70" t="s">
        <v>148</v>
      </c>
      <c r="P1" s="70" t="s">
        <v>148</v>
      </c>
      <c r="Q1" s="70" t="s">
        <v>148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7.1054273576010019E-15</v>
      </c>
      <c r="C4" s="66">
        <v>2.3684757858670005E-15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7500</v>
      </c>
      <c r="I4" s="68">
        <v>-6750</v>
      </c>
      <c r="J4" s="67">
        <v>0</v>
      </c>
      <c r="K4" s="67">
        <v>0</v>
      </c>
      <c r="L4" s="67">
        <v>0</v>
      </c>
      <c r="M4" s="67">
        <v>0.51851851851851849</v>
      </c>
      <c r="N4" s="67">
        <v>0.22222222222222221</v>
      </c>
      <c r="O4" s="67">
        <v>0.5714285714285714</v>
      </c>
      <c r="P4" s="67">
        <v>0.16666666666666666</v>
      </c>
      <c r="Q4" s="67">
        <v>0.33333333333333331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あやめ</vt:lpstr>
      <vt:lpstr>はんまー</vt:lpstr>
      <vt:lpstr>はんまー2</vt:lpstr>
      <vt:lpstr>あやめ2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2019-04-05T17:54:19Z</dcterms:modified>
</cp:coreProperties>
</file>