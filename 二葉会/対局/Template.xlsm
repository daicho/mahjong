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対局\"/>
    </mc:Choice>
  </mc:AlternateContent>
  <xr:revisionPtr revIDLastSave="0" documentId="13_ncr:1_{EFAD9C91-34E8-4C37-857C-707AC7292F0E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O5" i="1" s="1"/>
  <c r="V5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O13" i="1"/>
  <c r="T12" i="1"/>
  <c r="U14" i="1" l="1"/>
  <c r="V13" i="1"/>
  <c r="W12" i="1"/>
  <c r="O14" i="1"/>
  <c r="J15" i="1"/>
  <c r="T13" i="1"/>
  <c r="U15" i="1" l="1"/>
  <c r="V14" i="1"/>
  <c r="W13" i="1"/>
  <c r="T14" i="1"/>
  <c r="O15" i="1"/>
  <c r="V15" i="1" l="1"/>
  <c r="W14" i="1"/>
  <c r="T15" i="1"/>
  <c r="W15" i="1" l="1"/>
</calcChain>
</file>

<file path=xl/sharedStrings.xml><?xml version="1.0" encoding="utf-8"?>
<sst xmlns="http://schemas.openxmlformats.org/spreadsheetml/2006/main" count="728" uniqueCount="154">
  <si>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</si>
  <si>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</si>
  <si>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</si>
  <si>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</si>
  <si>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</si>
  <si>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</si>
  <si>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</si>
  <si>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</si>
  <si>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</si>
  <si>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</si>
  <si>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</si>
  <si>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</si>
  <si>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</si>
  <si>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</si>
  <si>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</si>
  <si>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</si>
  <si>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</si>
  <si>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</si>
  <si>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</si>
  <si>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</si>
  <si>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</si>
  <si>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</si>
  <si>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</si>
  <si>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</si>
  <si>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</si>
  <si>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</si>
  <si>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</si>
  <si>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</si>
  <si>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</si>
  <si>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</si>
  <si>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</si>
  <si>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</si>
  <si>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</si>
  <si>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</si>
  <si>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</si>
  <si>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</si>
  <si>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</si>
  <si>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</si>
  <si>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</si>
  <si>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</si>
  <si>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</si>
  <si>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</si>
  <si>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</si>
  <si>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</si>
  <si>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</si>
  <si>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</si>
  <si>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</si>
  <si>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</si>
  <si>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</si>
  <si>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</si>
  <si>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</si>
  <si>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</si>
  <si>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</si>
  <si>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</si>
  <si>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</si>
  <si>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</si>
  <si>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</si>
  <si>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</si>
  <si>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</si>
  <si>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</si>
  <si>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</si>
  <si>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</si>
  <si>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</si>
  <si>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</si>
  <si>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</si>
  <si>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</si>
  <si>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</si>
  <si>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</si>
  <si>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</si>
  <si>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</si>
  <si>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</si>
  <si>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</si>
  <si>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</si>
  <si>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</si>
  <si>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</si>
  <si>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</si>
  <si>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</si>
  <si>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</si>
  <si>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</si>
  <si>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</si>
  <si>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</si>
  <si>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</si>
  <si>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</si>
  <si>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</si>
  <si>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</si>
  <si>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</si>
  <si>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</si>
  <si>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</si>
  <si>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</si>
  <si>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</si>
  <si>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</si>
  <si>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</si>
  <si>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</si>
  <si>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</si>
  <si>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</si>
  <si>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</si>
  <si>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</si>
  <si>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</si>
  <si>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</si>
  <si>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</si>
  <si>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</si>
  <si>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</si>
  <si>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</si>
  <si>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</si>
  <si>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</si>
  <si>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</si>
  <si>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</si>
  <si>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</si>
  <si>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</si>
  <si>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</si>
  <si>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</si>
  <si>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</si>
  <si>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</si>
  <si>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</si>
  <si>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</si>
  <si>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</si>
  <si>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</si>
  <si>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</si>
  <si>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</si>
  <si>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</si>
  <si>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</si>
  <si>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</si>
  <si>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</si>
  <si>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</si>
  <si>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</si>
  <si>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</si>
  <si>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</si>
  <si>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</si>
  <si>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</si>
  <si>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</si>
  <si>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</si>
  <si>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</si>
  <si>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</si>
  <si>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</si>
  <si>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</si>
  <si>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</si>
  <si>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</si>
  <si>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ぱぱ</t>
  </si>
  <si>
    <t>ぱぱ</t>
    <phoneticPr fontId="1"/>
  </si>
  <si>
    <t>あやめ</t>
  </si>
  <si>
    <t>あやめ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</si>
  <si>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</si>
  <si>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</si>
  <si>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</si>
  <si>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</si>
  <si>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</si>
  <si>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</si>
  <si>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</si>
  <si>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02</t>
  </si>
  <si>
    <t>52</t>
  </si>
  <si>
    <t>52</t>
    <phoneticPr fontId="1"/>
  </si>
  <si>
    <t>赤ドラ</t>
    <rPh sb="0" eb="1">
      <t>アカ</t>
    </rPh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</si>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</sst>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138</v>
      </c>
      <c r="L1" s="68"/>
      <c r="M1" s="68"/>
      <c r="N1" s="77"/>
      <c r="O1" s="69"/>
      <c r="P1" s="66" t="s">
        <v>140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ぱぱ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あやめ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ぱぱ</v>
      </c>
      <c r="W2" s="16" t="str">
        <f>$P$1</f>
        <v>あやめ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25000</v>
      </c>
      <c r="K3" s="7"/>
      <c r="L3" s="23"/>
      <c r="M3" s="23"/>
      <c r="N3" s="54"/>
      <c r="O3" s="20">
        <v>25000</v>
      </c>
      <c r="P3" s="7"/>
      <c r="Q3" s="23"/>
      <c r="R3" s="23"/>
      <c r="S3" s="54"/>
      <c r="T3" s="20">
        <v>25000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143</v>
      </c>
      <c r="G4" s="9">
        <v>1000</v>
      </c>
      <c r="H4" s="9">
        <v>-1000</v>
      </c>
      <c r="I4" s="55"/>
      <c r="J4" s="21">
        <f>IF(COUNTA($F4,$K4,$P4)&gt;0,J3+SUM(G4:I4),"")</f>
        <v>25000</v>
      </c>
      <c r="K4" s="8" t="s">
        <v>143</v>
      </c>
      <c r="L4" s="9">
        <v>1000</v>
      </c>
      <c r="M4" s="9">
        <v>-1000</v>
      </c>
      <c r="N4" s="55"/>
      <c r="O4" s="21">
        <f>IF(COUNTA($F4,$K4,$P4)&gt;0,O3+SUM(L4:N4),"")</f>
        <v>25000</v>
      </c>
      <c r="P4" s="8" t="s">
        <v>143</v>
      </c>
      <c r="Q4" s="9">
        <v>-2000</v>
      </c>
      <c r="R4" s="9"/>
      <c r="S4" s="55"/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-2</v>
      </c>
      <c r="Y4" s="8" t="s">
        <v>141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141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142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2</v>
      </c>
      <c r="E5" s="4" t="s">
        <v>135</v>
      </c>
      <c r="F5" s="8" t="s">
        <v>144</v>
      </c>
      <c r="G5" s="9">
        <v>16000</v>
      </c>
      <c r="H5" s="9">
        <v>2000</v>
      </c>
      <c r="I5" s="55">
        <v>1000</v>
      </c>
      <c r="J5" s="21">
        <f t="shared" ref="J5:J30" si="5">IF(COUNTA($F5,$K5,$P5)&gt;0,J4+SUM(G5:I5),"")</f>
        <v>44000</v>
      </c>
      <c r="K5" s="8" t="s">
        <v>145</v>
      </c>
      <c r="L5" s="9">
        <v>-8000</v>
      </c>
      <c r="M5" s="9"/>
      <c r="N5" s="55">
        <v>-500</v>
      </c>
      <c r="O5" s="21">
        <f t="shared" ref="O5:O30" si="6">IF(COUNTA($F5,$K5,$P5)&gt;0,O4+SUM(L5:N5),"")</f>
        <v>16500</v>
      </c>
      <c r="P5" s="8" t="s">
        <v>145</v>
      </c>
      <c r="Q5" s="9">
        <v>-8000</v>
      </c>
      <c r="R5" s="9"/>
      <c r="S5" s="55">
        <v>-500</v>
      </c>
      <c r="T5" s="21">
        <f t="shared" ref="T5:T30" si="7">IF(COUNTA($F5,$K5,$P5)&gt;0,T4+SUM(Q5:S5),"")</f>
        <v>14500</v>
      </c>
      <c r="U5" s="60">
        <f t="shared" si="0"/>
        <v>19</v>
      </c>
      <c r="V5" s="61">
        <f t="shared" si="1"/>
        <v>-8.5</v>
      </c>
      <c r="W5" s="62">
        <f t="shared" si="2"/>
        <v>-10.5</v>
      </c>
      <c r="Y5" s="8"/>
      <c r="Z5" s="41"/>
      <c r="AA5" s="32">
        <v>1</v>
      </c>
      <c r="AB5" s="32"/>
      <c r="AC5" s="32">
        <v>8</v>
      </c>
      <c r="AD5" s="36" t="s">
        <v>146</v>
      </c>
      <c r="AE5" s="47" t="s">
        <v>147</v>
      </c>
      <c r="AF5" s="48" t="s">
        <v>83</v>
      </c>
      <c r="AG5" s="48" t="s">
        <v>148</v>
      </c>
      <c r="AH5" s="48" t="s">
        <v>80</v>
      </c>
      <c r="AI5" s="48" t="s">
        <v>80</v>
      </c>
      <c r="AJ5" s="48" t="s">
        <v>80</v>
      </c>
      <c r="AK5" s="48" t="s">
        <v>81</v>
      </c>
      <c r="AL5" s="48" t="s">
        <v>87</v>
      </c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135</v>
      </c>
      <c r="F6" s="8" t="s">
        <v>145</v>
      </c>
      <c r="G6" s="9">
        <v>-4000</v>
      </c>
      <c r="H6" s="9"/>
      <c r="I6" s="55">
        <v>-1000</v>
      </c>
      <c r="J6" s="21">
        <f t="shared" si="5"/>
        <v>39000</v>
      </c>
      <c r="K6" s="8" t="s">
        <v>145</v>
      </c>
      <c r="L6" s="9">
        <v>-2000</v>
      </c>
      <c r="M6" s="9"/>
      <c r="N6" s="55">
        <v>-1000</v>
      </c>
      <c r="O6" s="21">
        <f t="shared" si="6"/>
        <v>13500</v>
      </c>
      <c r="P6" s="8" t="s">
        <v>144</v>
      </c>
      <c r="Q6" s="9">
        <v>6000</v>
      </c>
      <c r="R6" s="9"/>
      <c r="S6" s="55">
        <v>2000</v>
      </c>
      <c r="T6" s="21">
        <f t="shared" si="7"/>
        <v>22500</v>
      </c>
      <c r="U6" s="60">
        <f t="shared" si="0"/>
        <v>14</v>
      </c>
      <c r="V6" s="61">
        <f t="shared" si="1"/>
        <v>-11.5</v>
      </c>
      <c r="W6" s="62">
        <f t="shared" si="2"/>
        <v>-2.5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146</v>
      </c>
      <c r="BU6" s="47" t="s">
        <v>147</v>
      </c>
      <c r="BV6" s="48" t="s">
        <v>83</v>
      </c>
      <c r="BW6" s="48" t="s">
        <v>80</v>
      </c>
      <c r="BX6" s="48" t="s">
        <v>80</v>
      </c>
      <c r="BY6" s="48" t="s">
        <v>80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143</v>
      </c>
      <c r="G7" s="9">
        <v>2000</v>
      </c>
      <c r="H7" s="9"/>
      <c r="I7" s="55"/>
      <c r="J7" s="21">
        <f t="shared" si="5"/>
        <v>41000</v>
      </c>
      <c r="K7" s="8" t="s">
        <v>143</v>
      </c>
      <c r="L7" s="9">
        <v>-1000</v>
      </c>
      <c r="M7" s="9"/>
      <c r="N7" s="55"/>
      <c r="O7" s="21">
        <f t="shared" si="6"/>
        <v>12500</v>
      </c>
      <c r="P7" s="8" t="s">
        <v>143</v>
      </c>
      <c r="Q7" s="9">
        <v>-1000</v>
      </c>
      <c r="R7" s="9"/>
      <c r="S7" s="55"/>
      <c r="T7" s="21">
        <f t="shared" si="7"/>
        <v>21500</v>
      </c>
      <c r="U7" s="60">
        <f t="shared" si="0"/>
        <v>16</v>
      </c>
      <c r="V7" s="61">
        <f t="shared" si="1"/>
        <v>-12.5</v>
      </c>
      <c r="W7" s="62">
        <f t="shared" si="2"/>
        <v>-3.5</v>
      </c>
      <c r="Y7" s="8" t="s">
        <v>141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142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142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143</v>
      </c>
      <c r="G8" s="9">
        <v>-2000</v>
      </c>
      <c r="H8" s="9"/>
      <c r="I8" s="55"/>
      <c r="J8" s="21">
        <f t="shared" si="5"/>
        <v>39000</v>
      </c>
      <c r="K8" s="8" t="s">
        <v>143</v>
      </c>
      <c r="L8" s="9">
        <v>1000</v>
      </c>
      <c r="M8" s="9">
        <v>-1000</v>
      </c>
      <c r="N8" s="55"/>
      <c r="O8" s="21">
        <f t="shared" si="6"/>
        <v>12500</v>
      </c>
      <c r="P8" s="8" t="s">
        <v>143</v>
      </c>
      <c r="Q8" s="9">
        <v>1000</v>
      </c>
      <c r="R8" s="9"/>
      <c r="S8" s="55"/>
      <c r="T8" s="21">
        <f t="shared" si="7"/>
        <v>22500</v>
      </c>
      <c r="U8" s="60">
        <f t="shared" si="0"/>
        <v>14</v>
      </c>
      <c r="V8" s="61">
        <f t="shared" si="1"/>
        <v>-12.5</v>
      </c>
      <c r="W8" s="62">
        <f t="shared" si="2"/>
        <v>-2.5</v>
      </c>
      <c r="Y8" s="8" t="s">
        <v>142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141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141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2</v>
      </c>
      <c r="D9" s="18">
        <f t="shared" si="4"/>
        <v>1</v>
      </c>
      <c r="E9" s="4" t="s">
        <v>139</v>
      </c>
      <c r="F9" s="8" t="s">
        <v>145</v>
      </c>
      <c r="G9" s="9">
        <v>-2000</v>
      </c>
      <c r="H9" s="9"/>
      <c r="I9" s="55">
        <v>-1000</v>
      </c>
      <c r="J9" s="21">
        <f t="shared" si="5"/>
        <v>36000</v>
      </c>
      <c r="K9" s="8" t="s">
        <v>144</v>
      </c>
      <c r="L9" s="9">
        <v>6000</v>
      </c>
      <c r="M9" s="9">
        <v>2000</v>
      </c>
      <c r="N9" s="55">
        <v>2000</v>
      </c>
      <c r="O9" s="21">
        <f t="shared" si="6"/>
        <v>22500</v>
      </c>
      <c r="P9" s="8" t="s">
        <v>145</v>
      </c>
      <c r="Q9" s="9">
        <v>-4000</v>
      </c>
      <c r="R9" s="9">
        <v>-1000</v>
      </c>
      <c r="S9" s="55">
        <v>-1000</v>
      </c>
      <c r="T9" s="21">
        <f t="shared" si="7"/>
        <v>16500</v>
      </c>
      <c r="U9" s="60">
        <f t="shared" si="0"/>
        <v>11</v>
      </c>
      <c r="V9" s="61">
        <f t="shared" si="1"/>
        <v>-2.5</v>
      </c>
      <c r="W9" s="62">
        <f t="shared" si="2"/>
        <v>-8.5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146</v>
      </c>
      <c r="AZ9" s="47" t="s">
        <v>83</v>
      </c>
      <c r="BA9" s="48" t="s">
        <v>102</v>
      </c>
      <c r="BB9" s="48" t="s">
        <v>149</v>
      </c>
      <c r="BC9" s="48" t="s">
        <v>149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152</v>
      </c>
      <c r="G10" s="9">
        <v>5200</v>
      </c>
      <c r="H10" s="9">
        <v>1000</v>
      </c>
      <c r="I10" s="55">
        <v>0</v>
      </c>
      <c r="J10" s="21">
        <f t="shared" si="5"/>
        <v>42200</v>
      </c>
      <c r="K10" s="8"/>
      <c r="L10" s="9"/>
      <c r="M10" s="9"/>
      <c r="N10" s="55"/>
      <c r="O10" s="21">
        <f t="shared" si="6"/>
        <v>22500</v>
      </c>
      <c r="P10" s="8" t="s">
        <v>153</v>
      </c>
      <c r="Q10" s="9">
        <v>-5200</v>
      </c>
      <c r="R10" s="9">
        <v>-1000</v>
      </c>
      <c r="S10" s="55">
        <v>0</v>
      </c>
      <c r="T10" s="21">
        <f t="shared" si="7"/>
        <v>10300</v>
      </c>
      <c r="U10" s="60">
        <f t="shared" si="0"/>
        <v>17.2</v>
      </c>
      <c r="V10" s="61">
        <f t="shared" si="1"/>
        <v>-2.5</v>
      </c>
      <c r="W10" s="62">
        <f t="shared" si="2"/>
        <v>-14.7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147</v>
      </c>
      <c r="AF10" s="48" t="s">
        <v>148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1</v>
      </c>
      <c r="C11" s="18">
        <f t="shared" si="9"/>
        <v>1</v>
      </c>
      <c r="D11" s="18">
        <f t="shared" si="4"/>
        <v>0</v>
      </c>
      <c r="E11" s="4" t="s">
        <v>135</v>
      </c>
      <c r="F11" s="8" t="s">
        <v>153</v>
      </c>
      <c r="G11" s="9">
        <v>-12000</v>
      </c>
      <c r="H11" s="9">
        <v>-1000</v>
      </c>
      <c r="I11" s="55">
        <v>-1000</v>
      </c>
      <c r="J11" s="21">
        <f t="shared" si="5"/>
        <v>28200</v>
      </c>
      <c r="K11" s="8" t="s">
        <v>152</v>
      </c>
      <c r="L11" s="9">
        <v>12000</v>
      </c>
      <c r="M11" s="9">
        <v>2000</v>
      </c>
      <c r="N11" s="55">
        <v>1000</v>
      </c>
      <c r="O11" s="21">
        <f t="shared" si="6"/>
        <v>37500</v>
      </c>
      <c r="P11" s="8"/>
      <c r="Q11" s="9"/>
      <c r="R11" s="9">
        <v>-1000</v>
      </c>
      <c r="S11" s="55"/>
      <c r="T11" s="21">
        <f t="shared" si="7"/>
        <v>9300</v>
      </c>
      <c r="U11" s="60">
        <f t="shared" si="0"/>
        <v>3.2</v>
      </c>
      <c r="V11" s="61">
        <f t="shared" si="1"/>
        <v>12.5</v>
      </c>
      <c r="W11" s="62">
        <f t="shared" si="2"/>
        <v>-15.7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8</v>
      </c>
      <c r="AY11" s="36" t="s">
        <v>146</v>
      </c>
      <c r="AZ11" s="47" t="s">
        <v>147</v>
      </c>
      <c r="BA11" s="48" t="s">
        <v>148</v>
      </c>
      <c r="BB11" s="48" t="s">
        <v>81</v>
      </c>
      <c r="BC11" s="48" t="s">
        <v>87</v>
      </c>
      <c r="BD11" s="48" t="s">
        <v>87</v>
      </c>
      <c r="BE11" s="48" t="s">
        <v>105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137</v>
      </c>
      <c r="F12" s="8" t="s">
        <v>144</v>
      </c>
      <c r="G12" s="9">
        <v>6000</v>
      </c>
      <c r="H12" s="9"/>
      <c r="I12" s="55">
        <v>0</v>
      </c>
      <c r="J12" s="21">
        <f t="shared" si="5"/>
        <v>34200</v>
      </c>
      <c r="K12" s="8" t="s">
        <v>145</v>
      </c>
      <c r="L12" s="9">
        <v>-4000</v>
      </c>
      <c r="M12" s="9"/>
      <c r="N12" s="55">
        <v>0</v>
      </c>
      <c r="O12" s="21">
        <f t="shared" si="6"/>
        <v>33500</v>
      </c>
      <c r="P12" s="8" t="s">
        <v>145</v>
      </c>
      <c r="Q12" s="9">
        <v>-2000</v>
      </c>
      <c r="R12" s="9"/>
      <c r="S12" s="55">
        <v>0</v>
      </c>
      <c r="T12" s="21">
        <f t="shared" si="7"/>
        <v>7300</v>
      </c>
      <c r="U12" s="60">
        <f t="shared" si="0"/>
        <v>9.1999999999999993</v>
      </c>
      <c r="V12" s="61">
        <f t="shared" si="1"/>
        <v>8.5</v>
      </c>
      <c r="W12" s="62">
        <f t="shared" si="2"/>
        <v>-17.7</v>
      </c>
      <c r="Y12" s="8"/>
      <c r="Z12" s="41"/>
      <c r="AA12" s="32"/>
      <c r="AB12" s="32">
        <v>1</v>
      </c>
      <c r="AC12" s="32">
        <v>5</v>
      </c>
      <c r="AD12" s="36" t="s">
        <v>146</v>
      </c>
      <c r="AE12" s="47" t="s">
        <v>105</v>
      </c>
      <c r="AF12" s="48" t="s">
        <v>99</v>
      </c>
      <c r="AG12" s="48" t="s">
        <v>87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139</v>
      </c>
      <c r="F13" s="8" t="s">
        <v>143</v>
      </c>
      <c r="G13" s="9">
        <v>-1000</v>
      </c>
      <c r="H13" s="9"/>
      <c r="I13" s="55"/>
      <c r="J13" s="21">
        <f t="shared" si="5"/>
        <v>33200</v>
      </c>
      <c r="K13" s="8" t="s">
        <v>143</v>
      </c>
      <c r="L13" s="9">
        <v>2000</v>
      </c>
      <c r="M13" s="9"/>
      <c r="N13" s="55"/>
      <c r="O13" s="21">
        <f t="shared" si="6"/>
        <v>35500</v>
      </c>
      <c r="P13" s="8" t="s">
        <v>143</v>
      </c>
      <c r="Q13" s="9">
        <v>-1000</v>
      </c>
      <c r="R13" s="9"/>
      <c r="S13" s="55"/>
      <c r="T13" s="21">
        <f t="shared" si="7"/>
        <v>6300</v>
      </c>
      <c r="U13" s="60">
        <f t="shared" si="0"/>
        <v>8.1999999999999993</v>
      </c>
      <c r="V13" s="61">
        <f t="shared" si="1"/>
        <v>10.5</v>
      </c>
      <c r="W13" s="62">
        <f t="shared" si="2"/>
        <v>-18.7</v>
      </c>
      <c r="Y13" s="8" t="s">
        <v>142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141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142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8"/>
        <v>3</v>
      </c>
      <c r="C14" s="18">
        <f t="shared" si="9"/>
        <v>1</v>
      </c>
      <c r="D14" s="18">
        <f t="shared" si="4"/>
        <v>0</v>
      </c>
      <c r="E14" s="4" t="s">
        <v>139</v>
      </c>
      <c r="F14" s="8" t="s">
        <v>153</v>
      </c>
      <c r="G14" s="9">
        <v>-3200</v>
      </c>
      <c r="H14" s="9"/>
      <c r="I14" s="55">
        <v>-1000</v>
      </c>
      <c r="J14" s="21">
        <f t="shared" si="5"/>
        <v>29000</v>
      </c>
      <c r="K14" s="8"/>
      <c r="L14" s="9"/>
      <c r="M14" s="9"/>
      <c r="N14" s="55"/>
      <c r="O14" s="21">
        <f t="shared" si="6"/>
        <v>35500</v>
      </c>
      <c r="P14" s="8" t="s">
        <v>152</v>
      </c>
      <c r="Q14" s="9">
        <v>3200</v>
      </c>
      <c r="R14" s="9"/>
      <c r="S14" s="55">
        <v>1000</v>
      </c>
      <c r="T14" s="21">
        <f t="shared" si="7"/>
        <v>10500</v>
      </c>
      <c r="U14" s="60">
        <f t="shared" si="0"/>
        <v>4</v>
      </c>
      <c r="V14" s="61">
        <f t="shared" si="1"/>
        <v>10.5</v>
      </c>
      <c r="W14" s="62">
        <f t="shared" si="2"/>
        <v>-14.5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3</v>
      </c>
      <c r="BT14" s="36">
        <v>25</v>
      </c>
      <c r="BU14" s="47" t="s">
        <v>147</v>
      </c>
      <c r="BV14" s="48" t="s">
        <v>102</v>
      </c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>南</v>
      </c>
      <c r="B15" s="18">
        <f t="shared" si="8"/>
        <v>3</v>
      </c>
      <c r="C15" s="18">
        <f t="shared" si="9"/>
        <v>2</v>
      </c>
      <c r="D15" s="18">
        <f t="shared" si="4"/>
        <v>0</v>
      </c>
      <c r="E15" s="4" t="s">
        <v>139</v>
      </c>
      <c r="F15" s="8" t="s">
        <v>145</v>
      </c>
      <c r="G15" s="9">
        <v>-8000</v>
      </c>
      <c r="H15" s="9"/>
      <c r="I15" s="55">
        <v>-1000</v>
      </c>
      <c r="J15" s="21">
        <f t="shared" si="5"/>
        <v>20000</v>
      </c>
      <c r="K15" s="8" t="s">
        <v>144</v>
      </c>
      <c r="L15" s="9">
        <v>24000</v>
      </c>
      <c r="M15" s="9"/>
      <c r="N15" s="55">
        <v>2000</v>
      </c>
      <c r="O15" s="21">
        <f t="shared" si="6"/>
        <v>61500</v>
      </c>
      <c r="P15" s="8" t="s">
        <v>145</v>
      </c>
      <c r="Q15" s="9">
        <v>-16000</v>
      </c>
      <c r="R15" s="9"/>
      <c r="S15" s="55">
        <v>-1000</v>
      </c>
      <c r="T15" s="21">
        <f t="shared" si="7"/>
        <v>-6500</v>
      </c>
      <c r="U15" s="60">
        <f t="shared" si="0"/>
        <v>-5</v>
      </c>
      <c r="V15" s="61">
        <f t="shared" si="1"/>
        <v>36.5</v>
      </c>
      <c r="W15" s="62">
        <f t="shared" si="2"/>
        <v>-31.5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>
        <v>13</v>
      </c>
      <c r="AY15" s="36" t="s">
        <v>146</v>
      </c>
      <c r="AZ15" s="47" t="s">
        <v>147</v>
      </c>
      <c r="BA15" s="48" t="s">
        <v>83</v>
      </c>
      <c r="BB15" s="48" t="s">
        <v>148</v>
      </c>
      <c r="BC15" s="48" t="s">
        <v>85</v>
      </c>
      <c r="BD15" s="48" t="s">
        <v>105</v>
      </c>
      <c r="BE15" s="48" t="s">
        <v>81</v>
      </c>
      <c r="BF15" s="48" t="s">
        <v>81</v>
      </c>
      <c r="BG15" s="48" t="s">
        <v>81</v>
      </c>
      <c r="BH15" s="48" t="s">
        <v>80</v>
      </c>
      <c r="BI15" s="48" t="s">
        <v>80</v>
      </c>
      <c r="BJ15" s="48" t="s">
        <v>87</v>
      </c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150</v>
      </c>
      <c r="B52" s="15" t="s">
        <v>151</v>
      </c>
      <c r="C52" s="15">
        <v>1</v>
      </c>
      <c r="D52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E3" s="38">
        <v>2600</v>
      </c>
      <c r="F3" s="38">
        <v>5200</v>
      </c>
    </row>
    <row r="4" spans="1:13" x14ac:dyDescent="0.4">
      <c r="A4" s="15">
        <v>25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1400</v>
      </c>
      <c r="E3" s="38">
        <v>2600</v>
      </c>
      <c r="F3" s="38">
        <v>5200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3200</v>
      </c>
      <c r="F4" s="38">
        <v>6400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1000</v>
      </c>
      <c r="D5" s="38">
        <v>2000</v>
      </c>
      <c r="E5" s="38">
        <v>4000</v>
      </c>
      <c r="F5" s="38">
        <v>7800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1400</v>
      </c>
      <c r="D6" s="38">
        <v>2600</v>
      </c>
      <c r="E6" s="38">
        <v>5200</v>
      </c>
      <c r="F6" s="38">
        <v>8000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1600</v>
      </c>
      <c r="D7" s="38">
        <v>3200</v>
      </c>
      <c r="E7" s="38">
        <v>6400</v>
      </c>
      <c r="F7" s="38">
        <v>8000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2000</v>
      </c>
      <c r="D8" s="38">
        <v>4000</v>
      </c>
      <c r="E8" s="38">
        <v>7800</v>
      </c>
      <c r="F8" s="38">
        <v>8000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2400</v>
      </c>
      <c r="D9" s="38">
        <v>4600</v>
      </c>
      <c r="E9" s="38">
        <v>8000</v>
      </c>
      <c r="F9" s="38">
        <v>8000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2600</v>
      </c>
      <c r="D10" s="38">
        <v>5200</v>
      </c>
      <c r="E10" s="38">
        <v>8000</v>
      </c>
      <c r="F10" s="38">
        <v>8000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3000</v>
      </c>
      <c r="D11" s="38">
        <v>5800</v>
      </c>
      <c r="E11" s="38">
        <v>8000</v>
      </c>
      <c r="F11" s="38">
        <v>8000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3200</v>
      </c>
      <c r="D12" s="38">
        <v>6400</v>
      </c>
      <c r="E12" s="38">
        <v>8000</v>
      </c>
      <c r="F12" s="38">
        <v>8000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7200</v>
      </c>
      <c r="E13" s="38">
        <v>8000</v>
      </c>
      <c r="F13" s="38">
        <v>8000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2000</v>
      </c>
      <c r="F3" s="38">
        <v>3900</v>
      </c>
    </row>
    <row r="4" spans="1:13" x14ac:dyDescent="0.4">
      <c r="A4" s="15">
        <v>25</v>
      </c>
      <c r="C4" s="38" t="s">
        <v>11</v>
      </c>
      <c r="D4" s="38">
        <v>1200</v>
      </c>
      <c r="E4" s="38">
        <v>2400</v>
      </c>
      <c r="F4" s="38">
        <v>4800</v>
      </c>
    </row>
    <row r="5" spans="1:13" x14ac:dyDescent="0.4">
      <c r="A5" s="15">
        <v>30</v>
      </c>
      <c r="C5" s="38">
        <v>800</v>
      </c>
      <c r="D5" s="38">
        <v>1500</v>
      </c>
      <c r="E5" s="38">
        <v>2900</v>
      </c>
      <c r="F5" s="38">
        <v>5800</v>
      </c>
    </row>
    <row r="6" spans="1:13" x14ac:dyDescent="0.4">
      <c r="A6" s="15">
        <v>40</v>
      </c>
      <c r="C6" s="38">
        <v>1000</v>
      </c>
      <c r="D6" s="38">
        <v>2000</v>
      </c>
      <c r="E6" s="38">
        <v>3900</v>
      </c>
      <c r="F6" s="38">
        <v>6000</v>
      </c>
    </row>
    <row r="7" spans="1:13" x14ac:dyDescent="0.4">
      <c r="A7" s="15">
        <v>50</v>
      </c>
      <c r="C7" s="38">
        <v>1200</v>
      </c>
      <c r="D7" s="38">
        <v>2400</v>
      </c>
      <c r="E7" s="38">
        <v>4800</v>
      </c>
      <c r="F7" s="38">
        <v>6000</v>
      </c>
    </row>
    <row r="8" spans="1:13" x14ac:dyDescent="0.4">
      <c r="A8" s="15">
        <v>60</v>
      </c>
      <c r="C8" s="38">
        <v>1500</v>
      </c>
      <c r="D8" s="38">
        <v>2900</v>
      </c>
      <c r="E8" s="38">
        <v>5800</v>
      </c>
      <c r="F8" s="38">
        <v>6000</v>
      </c>
    </row>
    <row r="9" spans="1:13" x14ac:dyDescent="0.4">
      <c r="A9" s="15">
        <v>70</v>
      </c>
      <c r="C9" s="38">
        <v>1700</v>
      </c>
      <c r="D9" s="38">
        <v>3400</v>
      </c>
      <c r="E9" s="38">
        <v>6000</v>
      </c>
      <c r="F9" s="38">
        <v>6000</v>
      </c>
    </row>
    <row r="10" spans="1:13" x14ac:dyDescent="0.4">
      <c r="A10" s="15">
        <v>80</v>
      </c>
      <c r="C10" s="38">
        <v>2000</v>
      </c>
      <c r="D10" s="38">
        <v>3900</v>
      </c>
      <c r="E10" s="38">
        <v>6000</v>
      </c>
      <c r="F10" s="38">
        <v>6000</v>
      </c>
    </row>
    <row r="11" spans="1:13" x14ac:dyDescent="0.4">
      <c r="A11" s="15">
        <v>90</v>
      </c>
      <c r="C11" s="38">
        <v>2200</v>
      </c>
      <c r="D11" s="38">
        <v>4400</v>
      </c>
      <c r="E11" s="38">
        <v>6000</v>
      </c>
      <c r="F11" s="38">
        <v>6000</v>
      </c>
    </row>
    <row r="12" spans="1:13" x14ac:dyDescent="0.4">
      <c r="A12" s="15">
        <v>100</v>
      </c>
      <c r="C12" s="38">
        <v>2400</v>
      </c>
      <c r="D12" s="38">
        <v>4800</v>
      </c>
      <c r="E12" s="38">
        <v>6000</v>
      </c>
      <c r="F12" s="38">
        <v>6000</v>
      </c>
    </row>
    <row r="13" spans="1:13" x14ac:dyDescent="0.4">
      <c r="A13" s="15">
        <v>110</v>
      </c>
      <c r="C13" s="38" t="s">
        <v>11</v>
      </c>
      <c r="D13" s="38">
        <v>5300</v>
      </c>
      <c r="E13" s="38">
        <v>6000</v>
      </c>
      <c r="F13" s="38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1100</v>
      </c>
      <c r="E3" s="38">
        <v>2000</v>
      </c>
      <c r="F3" s="38">
        <v>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2400</v>
      </c>
      <c r="F4" s="38">
        <v>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800</v>
      </c>
      <c r="D5" s="38">
        <v>1500</v>
      </c>
      <c r="E5" s="38">
        <v>3000</v>
      </c>
      <c r="F5" s="38">
        <v>5900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1100</v>
      </c>
      <c r="D6" s="38">
        <v>2000</v>
      </c>
      <c r="E6" s="38">
        <v>3900</v>
      </c>
      <c r="F6" s="38">
        <v>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1200</v>
      </c>
      <c r="D7" s="38">
        <v>2400</v>
      </c>
      <c r="E7" s="38">
        <v>4800</v>
      </c>
      <c r="F7" s="38">
        <v>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1500</v>
      </c>
      <c r="D8" s="38">
        <v>3000</v>
      </c>
      <c r="E8" s="38">
        <v>5900</v>
      </c>
      <c r="F8" s="38">
        <v>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1800</v>
      </c>
      <c r="D9" s="38">
        <v>3500</v>
      </c>
      <c r="E9" s="38">
        <v>6000</v>
      </c>
      <c r="F9" s="38">
        <v>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2000</v>
      </c>
      <c r="D10" s="38">
        <v>3900</v>
      </c>
      <c r="E10" s="38">
        <v>6000</v>
      </c>
      <c r="F10" s="38">
        <v>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2300</v>
      </c>
      <c r="D11" s="38">
        <v>4400</v>
      </c>
      <c r="E11" s="38">
        <v>6000</v>
      </c>
      <c r="F11" s="38">
        <v>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2400</v>
      </c>
      <c r="D12" s="38">
        <v>4800</v>
      </c>
      <c r="E12" s="38">
        <v>6000</v>
      </c>
      <c r="F12" s="38">
        <v>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5400</v>
      </c>
      <c r="E13" s="38">
        <v>6000</v>
      </c>
      <c r="F13" s="38">
        <v>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-2000</v>
      </c>
      <c r="H2" s="38">
        <v>-3000</v>
      </c>
      <c r="I2" s="38">
        <v>-4000</v>
      </c>
      <c r="J2" s="38">
        <v>-6000</v>
      </c>
      <c r="K2" s="38">
        <v>-8000</v>
      </c>
      <c r="L2" s="38">
        <v>-16000</v>
      </c>
      <c r="M2" s="38">
        <v>-24000</v>
      </c>
    </row>
    <row r="3" spans="1:13" x14ac:dyDescent="0.4">
      <c r="A3" s="15">
        <v>20</v>
      </c>
      <c r="C3" s="38" t="s">
        <v>11</v>
      </c>
      <c r="D3" s="38">
        <v>-400</v>
      </c>
      <c r="E3" s="38">
        <v>-700</v>
      </c>
      <c r="F3" s="38">
        <v>-1300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-800</v>
      </c>
      <c r="F4" s="38">
        <v>-1600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-300</v>
      </c>
      <c r="D5" s="38">
        <v>-500</v>
      </c>
      <c r="E5" s="38">
        <v>-1000</v>
      </c>
      <c r="F5" s="38">
        <v>-2000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-400</v>
      </c>
      <c r="D6" s="38">
        <v>-700</v>
      </c>
      <c r="E6" s="38">
        <v>-1300</v>
      </c>
      <c r="F6" s="38">
        <v>-2000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-400</v>
      </c>
      <c r="D7" s="38">
        <v>-800</v>
      </c>
      <c r="E7" s="38">
        <v>-1600</v>
      </c>
      <c r="F7" s="38">
        <v>-2000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-500</v>
      </c>
      <c r="D8" s="38">
        <v>-1000</v>
      </c>
      <c r="E8" s="38">
        <v>-2000</v>
      </c>
      <c r="F8" s="38">
        <v>-2000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-600</v>
      </c>
      <c r="D9" s="38">
        <v>-1200</v>
      </c>
      <c r="E9" s="38">
        <v>-2000</v>
      </c>
      <c r="F9" s="38">
        <v>-2000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-700</v>
      </c>
      <c r="D10" s="38">
        <v>-1300</v>
      </c>
      <c r="E10" s="38">
        <v>-2000</v>
      </c>
      <c r="F10" s="38">
        <v>-2000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-800</v>
      </c>
      <c r="D11" s="38">
        <v>-1500</v>
      </c>
      <c r="E11" s="38">
        <v>-2000</v>
      </c>
      <c r="F11" s="38">
        <v>-2000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-800</v>
      </c>
      <c r="D12" s="38">
        <v>-1600</v>
      </c>
      <c r="E12" s="38">
        <v>-2000</v>
      </c>
      <c r="F12" s="38">
        <v>-2000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-1800</v>
      </c>
      <c r="E13" s="38">
        <v>-2000</v>
      </c>
      <c r="F13" s="38">
        <v>-2000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2019-08-10T12:58:13Z</dcterms:modified>
</cp:coreProperties>
</file>