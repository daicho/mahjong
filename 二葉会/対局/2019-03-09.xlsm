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二葉会\対局\"/>
    </mc:Choice>
  </mc:AlternateContent>
  <xr:revisionPtr revIDLastSave="0" documentId="13_ncr:1_{5E5988EC-66B9-4A39-9150-EEF4D98A5C9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W3" i="1" l="1"/>
  <c r="V3" i="1"/>
  <c r="U3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W4" i="1" l="1"/>
  <c r="V4" i="1"/>
  <c r="U5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O12" i="1"/>
  <c r="T11" i="1"/>
  <c r="U13" i="1" l="1"/>
  <c r="V12" i="1"/>
  <c r="W11" i="1"/>
  <c r="J14" i="1"/>
  <c r="U14" i="1" s="1"/>
  <c r="O13" i="1"/>
  <c r="T12" i="1"/>
  <c r="V13" i="1" l="1"/>
  <c r="W12" i="1"/>
  <c r="O14" i="1"/>
  <c r="V14" i="1" s="1"/>
  <c r="J15" i="1"/>
  <c r="U15" i="1" s="1"/>
  <c r="T13" i="1"/>
  <c r="W13" i="1" l="1"/>
  <c r="T14" i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<sst xmlns="http://schemas.openxmlformats.org/spreadsheetml/2006/main" count="701" uniqueCount="148">
  <si>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</si>
  <si>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</si>
  <si>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</si>
  <si>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</si>
  <si>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</si>
  <si>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</si>
  <si>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</si>
  <si>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</si>
  <si>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</si>
  <si>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</si>
  <si>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</si>
  <si>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</si>
  <si>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</si>
  <si>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</si>
  <si>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</si>
  <si>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</si>
  <si>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</si>
  <si>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</si>
  <si>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</si>
  <si>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</si>
  <si>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</si>
  <si>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</si>
  <si>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</si>
  <si>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</si>
  <si>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</si>
  <si>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</si>
  <si>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</si>
  <si>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</si>
  <si>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</si>
  <si>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</si>
  <si>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</si>
  <si>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</si>
  <si>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</si>
  <si>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</si>
  <si>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</si>
  <si>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</si>
  <si>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</si>
  <si>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</si>
  <si>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</si>
  <si>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</si>
  <si>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</si>
  <si>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</si>
  <si>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</si>
  <si>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</si>
  <si>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</si>
  <si>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</si>
  <si>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</si>
  <si>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</si>
  <si>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</si>
  <si>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</si>
  <si>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</si>
  <si>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</si>
  <si>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</si>
  <si>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</si>
  <si>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</si>
  <si>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</si>
  <si>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</si>
  <si>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</si>
  <si>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</si>
  <si>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</si>
  <si>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</si>
  <si>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</si>
  <si>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</si>
  <si>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</si>
  <si>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</si>
  <si>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</si>
  <si>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</si>
  <si>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</si>
  <si>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</si>
  <si>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</si>
  <si>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</si>
  <si>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</si>
  <si>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</si>
  <si>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</si>
  <si>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</si>
  <si>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</si>
  <si>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</si>
  <si>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</si>
  <si>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</si>
  <si>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</si>
  <si>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</si>
  <si>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</si>
  <si>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</si>
  <si>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</si>
  <si>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</si>
  <si>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</si>
  <si>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</si>
  <si>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</si>
  <si>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</si>
  <si>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</si>
  <si>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</si>
  <si>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</si>
  <si>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</si>
  <si>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</si>
  <si>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</si>
  <si>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</si>
  <si>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</si>
  <si>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</si>
  <si>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</si>
  <si>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</si>
  <si>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</si>
  <si>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</si>
  <si>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</si>
  <si>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</si>
  <si>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</si>
  <si>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</si>
  <si>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</si>
  <si>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</si>
  <si>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</si>
  <si>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</si>
  <si>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</si>
  <si>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</si>
  <si>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</si>
  <si>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</si>
  <si>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</si>
  <si>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</si>
  <si>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</si>
  <si>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</si>
  <si>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</si>
  <si>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</si>
  <si>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</si>
  <si>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</si>
  <si>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</si>
  <si>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</si>
  <si>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</si>
  <si>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</si>
  <si>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</si>
  <si>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</si>
  <si>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</si>
  <si>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</si>
  <si>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</si>
  <si>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</si>
  <si>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</si>
  <si>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</si>
  <si>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</si>
  <si>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</si>
  <si>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</si>
  <si>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あやめ</t>
  </si>
  <si>
    <t>あやめ</t>
    <phoneticPr fontId="1"/>
  </si>
  <si>
    <t>ぱぱ</t>
  </si>
  <si>
    <t>ぱぱ</t>
    <phoneticPr fontId="1"/>
  </si>
  <si>
    <t>ツモ</t>
  </si>
  <si>
    <t>ツモ支払</t>
  </si>
  <si>
    <t>*</t>
  </si>
  <si>
    <t>01</t>
  </si>
  <si>
    <t>放銃</t>
  </si>
  <si>
    <t>ロン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</si>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</sst>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22</v>
      </c>
      <c r="E1" s="75" t="s">
        <v>3</v>
      </c>
      <c r="F1" s="66" t="s">
        <v>136</v>
      </c>
      <c r="G1" s="68"/>
      <c r="H1" s="68"/>
      <c r="I1" s="77"/>
      <c r="J1" s="69"/>
      <c r="K1" s="66" t="s">
        <v>138</v>
      </c>
      <c r="L1" s="68"/>
      <c r="M1" s="68"/>
      <c r="N1" s="77"/>
      <c r="O1" s="69"/>
      <c r="P1" s="66" t="s">
        <v>140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だいち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あやめ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ぱぱ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あやめ</v>
      </c>
      <c r="W2" s="16" t="str">
        <f>$P$1</f>
        <v>ぱぱ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0" t="s">
        <v>21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0" t="s">
        <v>21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0" t="s">
        <v>21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25000</v>
      </c>
      <c r="K3" s="7"/>
      <c r="L3" s="23"/>
      <c r="M3" s="23"/>
      <c r="N3" s="54"/>
      <c r="O3" s="20">
        <v>25000</v>
      </c>
      <c r="P3" s="7"/>
      <c r="Q3" s="23"/>
      <c r="R3" s="23"/>
      <c r="S3" s="54"/>
      <c r="T3" s="20">
        <v>25000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141</v>
      </c>
      <c r="G4" s="9">
        <v>9000</v>
      </c>
      <c r="H4" s="9">
        <v>1000</v>
      </c>
      <c r="I4" s="55">
        <v>0</v>
      </c>
      <c r="J4" s="21">
        <f>IF(COUNTA($F4,$K4,$P4)&gt;0,J3+SUM(G4:I4),"")</f>
        <v>35000</v>
      </c>
      <c r="K4" s="8" t="s">
        <v>142</v>
      </c>
      <c r="L4" s="9">
        <v>-6000</v>
      </c>
      <c r="M4" s="9">
        <v>-1000</v>
      </c>
      <c r="N4" s="55">
        <v>0</v>
      </c>
      <c r="O4" s="21">
        <f>IF(COUNTA($F4,$K4,$P4)&gt;0,O3+SUM(L4:N4),"")</f>
        <v>18000</v>
      </c>
      <c r="P4" s="8" t="s">
        <v>142</v>
      </c>
      <c r="Q4" s="9">
        <v>-3000</v>
      </c>
      <c r="R4" s="9"/>
      <c r="S4" s="55">
        <v>0</v>
      </c>
      <c r="T4" s="21">
        <f>IF(COUNTA($F4,$K4,$P4)&gt;0,T3+SUM(Q4:S4),"")</f>
        <v>22000</v>
      </c>
      <c r="U4" s="60">
        <f t="shared" ref="U4:U30" si="0">IF($J4="","",ROUND(($J4-$J$3)/1000,1))</f>
        <v>10</v>
      </c>
      <c r="V4" s="61">
        <f t="shared" ref="V4:V30" si="1">IF($O4="","",ROUND(($O4-$O$3)/1000,1))</f>
        <v>-7</v>
      </c>
      <c r="W4" s="62">
        <f t="shared" ref="W4:W30" si="2">IF($T4="","",ROUND(($T4-$T$3)/1000,1))</f>
        <v>-3</v>
      </c>
      <c r="Y4" s="8"/>
      <c r="Z4" s="41"/>
      <c r="AA4" s="32">
        <v>1</v>
      </c>
      <c r="AB4" s="32"/>
      <c r="AC4" s="32">
        <v>6</v>
      </c>
      <c r="AD4" s="36" t="s">
        <v>143</v>
      </c>
      <c r="AE4" s="47" t="s">
        <v>144</v>
      </c>
      <c r="AF4" s="48" t="s">
        <v>83</v>
      </c>
      <c r="AG4" s="48" t="s">
        <v>84</v>
      </c>
      <c r="AH4" s="48" t="s">
        <v>82</v>
      </c>
      <c r="AI4" s="48" t="s">
        <v>82</v>
      </c>
      <c r="AJ4" s="48" t="s">
        <v>82</v>
      </c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4">IF($E5="","",IF(OR($F4="流局",$F4="チョンボ"),D4+($H4+$M4+$R4)/-1000,0))</f>
        <v>0</v>
      </c>
      <c r="E5" s="4" t="s">
        <v>139</v>
      </c>
      <c r="F5" s="8" t="s">
        <v>145</v>
      </c>
      <c r="G5" s="9">
        <v>-2600</v>
      </c>
      <c r="H5" s="9">
        <v>-1000</v>
      </c>
      <c r="I5" s="55">
        <v>0</v>
      </c>
      <c r="J5" s="21">
        <f t="shared" ref="J5:J30" si="5">IF(COUNTA($F5,$K5,$P5)&gt;0,J4+SUM(G5:I5),"")</f>
        <v>31400</v>
      </c>
      <c r="K5" s="8"/>
      <c r="L5" s="9"/>
      <c r="M5" s="9"/>
      <c r="N5" s="55"/>
      <c r="O5" s="21">
        <f t="shared" ref="O5:O30" si="6">IF(COUNTA($F5,$K5,$P5)&gt;0,O4+SUM(L5:N5),"")</f>
        <v>18000</v>
      </c>
      <c r="P5" s="8" t="s">
        <v>146</v>
      </c>
      <c r="Q5" s="9">
        <v>2600</v>
      </c>
      <c r="R5" s="9">
        <v>1000</v>
      </c>
      <c r="S5" s="55">
        <v>0</v>
      </c>
      <c r="T5" s="21">
        <f t="shared" ref="T5:T30" si="7">IF(COUNTA($F5,$K5,$P5)&gt;0,T4+SUM(Q5:S5),"")</f>
        <v>25600</v>
      </c>
      <c r="U5" s="60">
        <f t="shared" si="0"/>
        <v>6.4</v>
      </c>
      <c r="V5" s="61">
        <f t="shared" si="1"/>
        <v>-7</v>
      </c>
      <c r="W5" s="62">
        <f t="shared" si="2"/>
        <v>0.6</v>
      </c>
      <c r="Y5" s="8"/>
      <c r="Z5" s="41"/>
      <c r="AA5" s="32">
        <v>1</v>
      </c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2</v>
      </c>
      <c r="BT5" s="36">
        <v>40</v>
      </c>
      <c r="BU5" s="47" t="s">
        <v>144</v>
      </c>
      <c r="BV5" s="48" t="s">
        <v>82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8">IF($E6="","",IF($E5=$E6,B5,IF(B5=3,1,B5+1)))</f>
        <v>2</v>
      </c>
      <c r="C6" s="18">
        <f t="shared" ref="C6:C30" si="9">IF($E6="","",IF($F5="チョンボ",C5,IF(OR($E5=$E6,$F5="流局"),C5+1,0)))</f>
        <v>1</v>
      </c>
      <c r="D6" s="18">
        <f t="shared" si="4"/>
        <v>0</v>
      </c>
      <c r="E6" s="4" t="s">
        <v>139</v>
      </c>
      <c r="F6" s="8" t="s">
        <v>145</v>
      </c>
      <c r="G6" s="9">
        <v>-8000</v>
      </c>
      <c r="H6" s="9">
        <v>-1000</v>
      </c>
      <c r="I6" s="55">
        <v>-1000</v>
      </c>
      <c r="J6" s="21">
        <f t="shared" si="5"/>
        <v>21400</v>
      </c>
      <c r="K6" s="8"/>
      <c r="L6" s="9"/>
      <c r="M6" s="9"/>
      <c r="N6" s="55"/>
      <c r="O6" s="21">
        <f t="shared" si="6"/>
        <v>18000</v>
      </c>
      <c r="P6" s="8" t="s">
        <v>146</v>
      </c>
      <c r="Q6" s="9">
        <v>8000</v>
      </c>
      <c r="R6" s="9">
        <v>1000</v>
      </c>
      <c r="S6" s="55">
        <v>1000</v>
      </c>
      <c r="T6" s="21">
        <f t="shared" si="7"/>
        <v>35600</v>
      </c>
      <c r="U6" s="60">
        <f t="shared" si="0"/>
        <v>-3.6</v>
      </c>
      <c r="V6" s="61">
        <f t="shared" si="1"/>
        <v>-7</v>
      </c>
      <c r="W6" s="62">
        <f t="shared" si="2"/>
        <v>10.6</v>
      </c>
      <c r="Y6" s="8"/>
      <c r="Z6" s="41"/>
      <c r="AA6" s="32">
        <v>1</v>
      </c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5</v>
      </c>
      <c r="BT6" s="36" t="s">
        <v>143</v>
      </c>
      <c r="BU6" s="47" t="s">
        <v>99</v>
      </c>
      <c r="BV6" s="48" t="s">
        <v>87</v>
      </c>
      <c r="BW6" s="48" t="s">
        <v>82</v>
      </c>
      <c r="BX6" s="48" t="s">
        <v>82</v>
      </c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8"/>
        <v>2</v>
      </c>
      <c r="C7" s="18">
        <f t="shared" si="9"/>
        <v>2</v>
      </c>
      <c r="D7" s="18">
        <f t="shared" si="4"/>
        <v>0</v>
      </c>
      <c r="E7" s="4" t="s">
        <v>139</v>
      </c>
      <c r="F7" s="8" t="s">
        <v>146</v>
      </c>
      <c r="G7" s="9">
        <v>2900</v>
      </c>
      <c r="H7" s="9"/>
      <c r="I7" s="55">
        <v>2000</v>
      </c>
      <c r="J7" s="21">
        <f t="shared" si="5"/>
        <v>26300</v>
      </c>
      <c r="K7" s="8" t="s">
        <v>145</v>
      </c>
      <c r="L7" s="9">
        <v>-2900</v>
      </c>
      <c r="M7" s="9"/>
      <c r="N7" s="55">
        <v>-2000</v>
      </c>
      <c r="O7" s="21">
        <f t="shared" si="6"/>
        <v>13100</v>
      </c>
      <c r="P7" s="8"/>
      <c r="Q7" s="9"/>
      <c r="R7" s="9"/>
      <c r="S7" s="55"/>
      <c r="T7" s="21">
        <f t="shared" si="7"/>
        <v>35600</v>
      </c>
      <c r="U7" s="60">
        <f t="shared" si="0"/>
        <v>1.3</v>
      </c>
      <c r="V7" s="61">
        <f t="shared" si="1"/>
        <v>-11.9</v>
      </c>
      <c r="W7" s="62">
        <f t="shared" si="2"/>
        <v>10.6</v>
      </c>
      <c r="Y7" s="8"/>
      <c r="Z7" s="41"/>
      <c r="AA7" s="32">
        <v>1</v>
      </c>
      <c r="AB7" s="32"/>
      <c r="AC7" s="32">
        <v>3</v>
      </c>
      <c r="AD7" s="36">
        <v>30</v>
      </c>
      <c r="AE7" s="47" t="s">
        <v>144</v>
      </c>
      <c r="AF7" s="48" t="s">
        <v>84</v>
      </c>
      <c r="AG7" s="48" t="s">
        <v>81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東</v>
      </c>
      <c r="B8" s="18">
        <f t="shared" si="8"/>
        <v>3</v>
      </c>
      <c r="C8" s="18">
        <f t="shared" si="9"/>
        <v>0</v>
      </c>
      <c r="D8" s="18">
        <f t="shared" si="4"/>
        <v>0</v>
      </c>
      <c r="E8" s="4" t="s">
        <v>135</v>
      </c>
      <c r="F8" s="8" t="s">
        <v>142</v>
      </c>
      <c r="G8" s="9">
        <v>-6000</v>
      </c>
      <c r="H8" s="9"/>
      <c r="I8" s="55">
        <v>0</v>
      </c>
      <c r="J8" s="21">
        <f t="shared" si="5"/>
        <v>20300</v>
      </c>
      <c r="K8" s="8" t="s">
        <v>142</v>
      </c>
      <c r="L8" s="9">
        <v>-3000</v>
      </c>
      <c r="M8" s="9"/>
      <c r="N8" s="55">
        <v>0</v>
      </c>
      <c r="O8" s="21">
        <f t="shared" si="6"/>
        <v>10100</v>
      </c>
      <c r="P8" s="8" t="s">
        <v>141</v>
      </c>
      <c r="Q8" s="9">
        <v>9000</v>
      </c>
      <c r="R8" s="9"/>
      <c r="S8" s="55">
        <v>0</v>
      </c>
      <c r="T8" s="21">
        <f t="shared" si="7"/>
        <v>44600</v>
      </c>
      <c r="U8" s="60">
        <f t="shared" si="0"/>
        <v>-4.7</v>
      </c>
      <c r="V8" s="61">
        <f t="shared" si="1"/>
        <v>-14.9</v>
      </c>
      <c r="W8" s="62">
        <f t="shared" si="2"/>
        <v>19.600000000000001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7</v>
      </c>
      <c r="BT8" s="36" t="s">
        <v>143</v>
      </c>
      <c r="BU8" s="47" t="s">
        <v>144</v>
      </c>
      <c r="BV8" s="48" t="s">
        <v>83</v>
      </c>
      <c r="BW8" s="48" t="s">
        <v>147</v>
      </c>
      <c r="BX8" s="48" t="s">
        <v>82</v>
      </c>
      <c r="BY8" s="48" t="s">
        <v>81</v>
      </c>
      <c r="BZ8" s="48" t="s">
        <v>81</v>
      </c>
      <c r="CA8" s="48" t="s">
        <v>81</v>
      </c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8"/>
        <v>1</v>
      </c>
      <c r="C9" s="18">
        <f t="shared" si="9"/>
        <v>0</v>
      </c>
      <c r="D9" s="18">
        <f t="shared" si="4"/>
        <v>0</v>
      </c>
      <c r="E9" s="4" t="s">
        <v>137</v>
      </c>
      <c r="F9" s="8" t="s">
        <v>146</v>
      </c>
      <c r="G9" s="9">
        <v>6000</v>
      </c>
      <c r="H9" s="9">
        <v>1000</v>
      </c>
      <c r="I9" s="55">
        <v>0</v>
      </c>
      <c r="J9" s="21">
        <f t="shared" si="5"/>
        <v>27300</v>
      </c>
      <c r="K9" s="8" t="s">
        <v>145</v>
      </c>
      <c r="L9" s="9">
        <v>-6000</v>
      </c>
      <c r="M9" s="9"/>
      <c r="N9" s="55">
        <v>0</v>
      </c>
      <c r="O9" s="21">
        <f t="shared" si="6"/>
        <v>4100</v>
      </c>
      <c r="P9" s="8"/>
      <c r="Q9" s="9"/>
      <c r="R9" s="9">
        <v>-1000</v>
      </c>
      <c r="S9" s="55"/>
      <c r="T9" s="21">
        <f t="shared" si="7"/>
        <v>43600</v>
      </c>
      <c r="U9" s="60">
        <f t="shared" si="0"/>
        <v>2.2999999999999998</v>
      </c>
      <c r="V9" s="61">
        <f t="shared" si="1"/>
        <v>-20.9</v>
      </c>
      <c r="W9" s="62">
        <f t="shared" si="2"/>
        <v>18.600000000000001</v>
      </c>
      <c r="Y9" s="8"/>
      <c r="Z9" s="41"/>
      <c r="AA9" s="32">
        <v>1</v>
      </c>
      <c r="AB9" s="32"/>
      <c r="AC9" s="32">
        <v>4</v>
      </c>
      <c r="AD9" s="36">
        <v>40</v>
      </c>
      <c r="AE9" s="47" t="s">
        <v>144</v>
      </c>
      <c r="AF9" s="48" t="s">
        <v>147</v>
      </c>
      <c r="AG9" s="48" t="s">
        <v>80</v>
      </c>
      <c r="AH9" s="48" t="s">
        <v>87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8"/>
        <v>2</v>
      </c>
      <c r="C10" s="18">
        <f t="shared" si="9"/>
        <v>0</v>
      </c>
      <c r="D10" s="18">
        <f t="shared" si="4"/>
        <v>0</v>
      </c>
      <c r="E10" s="4" t="s">
        <v>139</v>
      </c>
      <c r="F10" s="8" t="s">
        <v>145</v>
      </c>
      <c r="G10" s="9">
        <v>-12000</v>
      </c>
      <c r="H10" s="9">
        <v>-1000</v>
      </c>
      <c r="I10" s="55">
        <v>0</v>
      </c>
      <c r="J10" s="21">
        <f t="shared" si="5"/>
        <v>14300</v>
      </c>
      <c r="K10" s="8"/>
      <c r="L10" s="9"/>
      <c r="M10" s="9"/>
      <c r="N10" s="55"/>
      <c r="O10" s="21">
        <f t="shared" si="6"/>
        <v>4100</v>
      </c>
      <c r="P10" s="8" t="s">
        <v>146</v>
      </c>
      <c r="Q10" s="9">
        <v>12000</v>
      </c>
      <c r="R10" s="9">
        <v>1000</v>
      </c>
      <c r="S10" s="55">
        <v>0</v>
      </c>
      <c r="T10" s="21">
        <f t="shared" si="7"/>
        <v>56600</v>
      </c>
      <c r="U10" s="60">
        <f t="shared" si="0"/>
        <v>-10.7</v>
      </c>
      <c r="V10" s="61">
        <f t="shared" si="1"/>
        <v>-20.9</v>
      </c>
      <c r="W10" s="62">
        <f t="shared" si="2"/>
        <v>31.6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7</v>
      </c>
      <c r="BT10" s="36" t="s">
        <v>143</v>
      </c>
      <c r="BU10" s="47" t="s">
        <v>144</v>
      </c>
      <c r="BV10" s="48" t="s">
        <v>105</v>
      </c>
      <c r="BW10" s="48" t="s">
        <v>81</v>
      </c>
      <c r="BX10" s="48" t="s">
        <v>81</v>
      </c>
      <c r="BY10" s="48" t="s">
        <v>82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8"/>
        <v>2</v>
      </c>
      <c r="C11" s="18">
        <f t="shared" si="9"/>
        <v>1</v>
      </c>
      <c r="D11" s="18">
        <f t="shared" si="4"/>
        <v>0</v>
      </c>
      <c r="E11" s="4" t="s">
        <v>139</v>
      </c>
      <c r="F11" s="8" t="s">
        <v>141</v>
      </c>
      <c r="G11" s="9">
        <v>9000</v>
      </c>
      <c r="H11" s="9"/>
      <c r="I11" s="55">
        <v>1000</v>
      </c>
      <c r="J11" s="21">
        <f t="shared" si="5"/>
        <v>24300</v>
      </c>
      <c r="K11" s="8" t="s">
        <v>142</v>
      </c>
      <c r="L11" s="9">
        <v>-3000</v>
      </c>
      <c r="M11" s="9"/>
      <c r="N11" s="55">
        <v>-500</v>
      </c>
      <c r="O11" s="21">
        <f t="shared" si="6"/>
        <v>600</v>
      </c>
      <c r="P11" s="8" t="s">
        <v>142</v>
      </c>
      <c r="Q11" s="9">
        <v>-6000</v>
      </c>
      <c r="R11" s="9"/>
      <c r="S11" s="55">
        <v>-500</v>
      </c>
      <c r="T11" s="21">
        <f t="shared" si="7"/>
        <v>50100</v>
      </c>
      <c r="U11" s="60">
        <f t="shared" si="0"/>
        <v>-0.7</v>
      </c>
      <c r="V11" s="61">
        <f t="shared" si="1"/>
        <v>-24.4</v>
      </c>
      <c r="W11" s="62">
        <f t="shared" si="2"/>
        <v>25.1</v>
      </c>
      <c r="Y11" s="8"/>
      <c r="Z11" s="41"/>
      <c r="AA11" s="32">
        <v>1</v>
      </c>
      <c r="AB11" s="32"/>
      <c r="AC11" s="32">
        <v>7</v>
      </c>
      <c r="AD11" s="36" t="s">
        <v>143</v>
      </c>
      <c r="AE11" s="47" t="s">
        <v>144</v>
      </c>
      <c r="AF11" s="48" t="s">
        <v>83</v>
      </c>
      <c r="AG11" s="48" t="s">
        <v>147</v>
      </c>
      <c r="AH11" s="48" t="s">
        <v>80</v>
      </c>
      <c r="AI11" s="48" t="s">
        <v>80</v>
      </c>
      <c r="AJ11" s="48" t="s">
        <v>81</v>
      </c>
      <c r="AK11" s="48" t="s">
        <v>82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>南</v>
      </c>
      <c r="B12" s="18">
        <f t="shared" si="8"/>
        <v>3</v>
      </c>
      <c r="C12" s="18">
        <f t="shared" si="9"/>
        <v>0</v>
      </c>
      <c r="D12" s="18">
        <f t="shared" si="4"/>
        <v>0</v>
      </c>
      <c r="E12" s="4" t="s">
        <v>135</v>
      </c>
      <c r="F12" s="8" t="s">
        <v>145</v>
      </c>
      <c r="G12" s="9">
        <v>-9000</v>
      </c>
      <c r="H12" s="9">
        <v>-1000</v>
      </c>
      <c r="I12" s="55">
        <v>0</v>
      </c>
      <c r="J12" s="21">
        <f t="shared" si="5"/>
        <v>14300</v>
      </c>
      <c r="K12" s="8"/>
      <c r="L12" s="9"/>
      <c r="M12" s="9"/>
      <c r="N12" s="55"/>
      <c r="O12" s="21">
        <f t="shared" si="6"/>
        <v>600</v>
      </c>
      <c r="P12" s="8" t="s">
        <v>146</v>
      </c>
      <c r="Q12" s="9">
        <v>9000</v>
      </c>
      <c r="R12" s="9">
        <v>1000</v>
      </c>
      <c r="S12" s="55">
        <v>0</v>
      </c>
      <c r="T12" s="21">
        <f t="shared" si="7"/>
        <v>60100</v>
      </c>
      <c r="U12" s="60">
        <f t="shared" si="0"/>
        <v>-10.7</v>
      </c>
      <c r="V12" s="61">
        <f t="shared" si="1"/>
        <v>-24.4</v>
      </c>
      <c r="W12" s="62">
        <f t="shared" si="2"/>
        <v>35.1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7</v>
      </c>
      <c r="BT12" s="36" t="s">
        <v>143</v>
      </c>
      <c r="BU12" s="47" t="s">
        <v>144</v>
      </c>
      <c r="BV12" s="48" t="s">
        <v>102</v>
      </c>
      <c r="BW12" s="48" t="s">
        <v>82</v>
      </c>
      <c r="BX12" s="48" t="s">
        <v>82</v>
      </c>
      <c r="BY12" s="48" t="s">
        <v>80</v>
      </c>
      <c r="BZ12" s="48" t="s">
        <v>80</v>
      </c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8"/>
        <v/>
      </c>
      <c r="C13" s="18" t="str">
        <f t="shared" si="9"/>
        <v/>
      </c>
      <c r="D13" s="18" t="str">
        <f t="shared" si="4"/>
        <v/>
      </c>
      <c r="E13" s="4"/>
      <c r="F13" s="8"/>
      <c r="G13" s="9"/>
      <c r="H13" s="9"/>
      <c r="I13" s="55"/>
      <c r="J13" s="21" t="str">
        <f t="shared" si="5"/>
        <v/>
      </c>
      <c r="K13" s="8"/>
      <c r="L13" s="9"/>
      <c r="M13" s="9"/>
      <c r="N13" s="55"/>
      <c r="O13" s="21" t="str">
        <f t="shared" si="6"/>
        <v/>
      </c>
      <c r="P13" s="8"/>
      <c r="Q13" s="9"/>
      <c r="R13" s="9"/>
      <c r="S13" s="55"/>
      <c r="T13" s="21" t="str">
        <f t="shared" si="7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8"/>
        <v/>
      </c>
      <c r="C14" s="18" t="str">
        <f t="shared" si="9"/>
        <v/>
      </c>
      <c r="D14" s="18" t="str">
        <f t="shared" si="4"/>
        <v/>
      </c>
      <c r="E14" s="4"/>
      <c r="F14" s="8"/>
      <c r="G14" s="9"/>
      <c r="H14" s="9"/>
      <c r="I14" s="55"/>
      <c r="J14" s="21" t="str">
        <f t="shared" si="5"/>
        <v/>
      </c>
      <c r="K14" s="8"/>
      <c r="L14" s="9"/>
      <c r="M14" s="9"/>
      <c r="N14" s="55"/>
      <c r="O14" s="21" t="str">
        <f t="shared" si="6"/>
        <v/>
      </c>
      <c r="P14" s="8"/>
      <c r="Q14" s="9"/>
      <c r="R14" s="9"/>
      <c r="S14" s="55"/>
      <c r="T14" s="21" t="str">
        <f t="shared" si="7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8"/>
        <v/>
      </c>
      <c r="C15" s="18" t="str">
        <f t="shared" si="9"/>
        <v/>
      </c>
      <c r="D15" s="18" t="str">
        <f t="shared" si="4"/>
        <v/>
      </c>
      <c r="E15" s="4"/>
      <c r="F15" s="8"/>
      <c r="G15" s="9"/>
      <c r="H15" s="9"/>
      <c r="I15" s="55"/>
      <c r="J15" s="21" t="str">
        <f t="shared" si="5"/>
        <v/>
      </c>
      <c r="K15" s="8"/>
      <c r="L15" s="9"/>
      <c r="M15" s="9"/>
      <c r="N15" s="55"/>
      <c r="O15" s="21" t="str">
        <f t="shared" si="6"/>
        <v/>
      </c>
      <c r="P15" s="8"/>
      <c r="Q15" s="9"/>
      <c r="R15" s="9"/>
      <c r="S15" s="55"/>
      <c r="T15" s="21" t="str">
        <f t="shared" si="7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8"/>
        <v/>
      </c>
      <c r="C16" s="18" t="str">
        <f t="shared" si="9"/>
        <v/>
      </c>
      <c r="D16" s="18" t="str">
        <f t="shared" si="4"/>
        <v/>
      </c>
      <c r="E16" s="4"/>
      <c r="F16" s="8"/>
      <c r="G16" s="9"/>
      <c r="H16" s="9"/>
      <c r="I16" s="55"/>
      <c r="J16" s="21" t="str">
        <f t="shared" si="5"/>
        <v/>
      </c>
      <c r="K16" s="8"/>
      <c r="L16" s="9"/>
      <c r="M16" s="9"/>
      <c r="N16" s="55"/>
      <c r="O16" s="21" t="str">
        <f t="shared" si="6"/>
        <v/>
      </c>
      <c r="P16" s="8"/>
      <c r="Q16" s="9"/>
      <c r="R16" s="9"/>
      <c r="S16" s="55"/>
      <c r="T16" s="21" t="str">
        <f t="shared" si="7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8"/>
        <v/>
      </c>
      <c r="C17" s="18" t="str">
        <f t="shared" si="9"/>
        <v/>
      </c>
      <c r="D17" s="18" t="str">
        <f t="shared" si="4"/>
        <v/>
      </c>
      <c r="E17" s="4"/>
      <c r="F17" s="8"/>
      <c r="G17" s="9"/>
      <c r="H17" s="9"/>
      <c r="I17" s="55"/>
      <c r="J17" s="21" t="str">
        <f t="shared" si="5"/>
        <v/>
      </c>
      <c r="K17" s="8"/>
      <c r="L17" s="9"/>
      <c r="M17" s="9"/>
      <c r="N17" s="55"/>
      <c r="O17" s="21" t="str">
        <f t="shared" si="6"/>
        <v/>
      </c>
      <c r="P17" s="8"/>
      <c r="Q17" s="9"/>
      <c r="R17" s="9"/>
      <c r="S17" s="55"/>
      <c r="T17" s="21" t="str">
        <f t="shared" si="7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8"/>
        <v/>
      </c>
      <c r="C18" s="18" t="str">
        <f t="shared" si="9"/>
        <v/>
      </c>
      <c r="D18" s="18" t="str">
        <f t="shared" si="4"/>
        <v/>
      </c>
      <c r="E18" s="4"/>
      <c r="F18" s="8"/>
      <c r="G18" s="9"/>
      <c r="H18" s="9"/>
      <c r="I18" s="55"/>
      <c r="J18" s="21" t="str">
        <f t="shared" si="5"/>
        <v/>
      </c>
      <c r="K18" s="8"/>
      <c r="L18" s="9"/>
      <c r="M18" s="9"/>
      <c r="N18" s="55"/>
      <c r="O18" s="21" t="str">
        <f t="shared" si="6"/>
        <v/>
      </c>
      <c r="P18" s="8"/>
      <c r="Q18" s="9"/>
      <c r="R18" s="9"/>
      <c r="S18" s="55"/>
      <c r="T18" s="21" t="str">
        <f t="shared" si="7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8"/>
        <v/>
      </c>
      <c r="C19" s="18" t="str">
        <f t="shared" si="9"/>
        <v/>
      </c>
      <c r="D19" s="18" t="str">
        <f t="shared" si="4"/>
        <v/>
      </c>
      <c r="E19" s="4"/>
      <c r="F19" s="8"/>
      <c r="G19" s="9"/>
      <c r="H19" s="9"/>
      <c r="I19" s="55"/>
      <c r="J19" s="21" t="str">
        <f t="shared" si="5"/>
        <v/>
      </c>
      <c r="K19" s="8"/>
      <c r="L19" s="9"/>
      <c r="M19" s="9"/>
      <c r="N19" s="55"/>
      <c r="O19" s="21" t="str">
        <f t="shared" si="6"/>
        <v/>
      </c>
      <c r="P19" s="8"/>
      <c r="Q19" s="9"/>
      <c r="R19" s="9"/>
      <c r="S19" s="55"/>
      <c r="T19" s="21" t="str">
        <f t="shared" si="7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8"/>
        <v/>
      </c>
      <c r="C20" s="18" t="str">
        <f t="shared" si="9"/>
        <v/>
      </c>
      <c r="D20" s="18" t="str">
        <f t="shared" si="4"/>
        <v/>
      </c>
      <c r="E20" s="4"/>
      <c r="F20" s="8"/>
      <c r="G20" s="9"/>
      <c r="H20" s="9"/>
      <c r="I20" s="55"/>
      <c r="J20" s="21" t="str">
        <f t="shared" si="5"/>
        <v/>
      </c>
      <c r="K20" s="8"/>
      <c r="L20" s="9"/>
      <c r="M20" s="9"/>
      <c r="N20" s="55"/>
      <c r="O20" s="21" t="str">
        <f t="shared" si="6"/>
        <v/>
      </c>
      <c r="P20" s="8"/>
      <c r="Q20" s="9"/>
      <c r="R20" s="9"/>
      <c r="S20" s="55"/>
      <c r="T20" s="21" t="str">
        <f t="shared" si="7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8"/>
        <v/>
      </c>
      <c r="C21" s="18" t="str">
        <f t="shared" si="9"/>
        <v/>
      </c>
      <c r="D21" s="18" t="str">
        <f t="shared" si="4"/>
        <v/>
      </c>
      <c r="E21" s="4"/>
      <c r="F21" s="8"/>
      <c r="G21" s="9"/>
      <c r="H21" s="9"/>
      <c r="I21" s="55"/>
      <c r="J21" s="21" t="str">
        <f t="shared" si="5"/>
        <v/>
      </c>
      <c r="K21" s="8"/>
      <c r="L21" s="9"/>
      <c r="M21" s="9"/>
      <c r="N21" s="55"/>
      <c r="O21" s="21" t="str">
        <f t="shared" si="6"/>
        <v/>
      </c>
      <c r="P21" s="8"/>
      <c r="Q21" s="9"/>
      <c r="R21" s="9"/>
      <c r="S21" s="55"/>
      <c r="T21" s="21" t="str">
        <f t="shared" si="7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8"/>
        <v/>
      </c>
      <c r="C22" s="18" t="str">
        <f t="shared" si="9"/>
        <v/>
      </c>
      <c r="D22" s="18" t="str">
        <f t="shared" si="4"/>
        <v/>
      </c>
      <c r="E22" s="4"/>
      <c r="F22" s="8"/>
      <c r="G22" s="9"/>
      <c r="H22" s="9"/>
      <c r="I22" s="55"/>
      <c r="J22" s="21" t="str">
        <f t="shared" si="5"/>
        <v/>
      </c>
      <c r="K22" s="8"/>
      <c r="L22" s="9"/>
      <c r="M22" s="9"/>
      <c r="N22" s="55"/>
      <c r="O22" s="21" t="str">
        <f t="shared" si="6"/>
        <v/>
      </c>
      <c r="P22" s="8"/>
      <c r="Q22" s="9"/>
      <c r="R22" s="9"/>
      <c r="S22" s="55"/>
      <c r="T22" s="21" t="str">
        <f t="shared" si="7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8"/>
        <v/>
      </c>
      <c r="C23" s="18" t="str">
        <f t="shared" si="9"/>
        <v/>
      </c>
      <c r="D23" s="18" t="str">
        <f t="shared" si="4"/>
        <v/>
      </c>
      <c r="E23" s="4"/>
      <c r="F23" s="8"/>
      <c r="G23" s="9"/>
      <c r="H23" s="9"/>
      <c r="I23" s="55"/>
      <c r="J23" s="21" t="str">
        <f t="shared" si="5"/>
        <v/>
      </c>
      <c r="K23" s="8"/>
      <c r="L23" s="9"/>
      <c r="M23" s="9"/>
      <c r="N23" s="55"/>
      <c r="O23" s="21" t="str">
        <f t="shared" si="6"/>
        <v/>
      </c>
      <c r="P23" s="8"/>
      <c r="Q23" s="9"/>
      <c r="R23" s="9"/>
      <c r="S23" s="55"/>
      <c r="T23" s="21" t="str">
        <f t="shared" si="7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8"/>
        <v/>
      </c>
      <c r="C24" s="18" t="str">
        <f t="shared" si="9"/>
        <v/>
      </c>
      <c r="D24" s="18" t="str">
        <f t="shared" si="4"/>
        <v/>
      </c>
      <c r="E24" s="4"/>
      <c r="F24" s="8"/>
      <c r="G24" s="9"/>
      <c r="H24" s="9"/>
      <c r="I24" s="55"/>
      <c r="J24" s="21" t="str">
        <f t="shared" si="5"/>
        <v/>
      </c>
      <c r="K24" s="8"/>
      <c r="L24" s="9"/>
      <c r="M24" s="9"/>
      <c r="N24" s="55"/>
      <c r="O24" s="21" t="str">
        <f t="shared" si="6"/>
        <v/>
      </c>
      <c r="P24" s="8"/>
      <c r="Q24" s="9"/>
      <c r="R24" s="9"/>
      <c r="S24" s="55"/>
      <c r="T24" s="21" t="str">
        <f t="shared" si="7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8"/>
        <v/>
      </c>
      <c r="C25" s="18" t="str">
        <f t="shared" si="9"/>
        <v/>
      </c>
      <c r="D25" s="18" t="str">
        <f t="shared" si="4"/>
        <v/>
      </c>
      <c r="E25" s="4"/>
      <c r="F25" s="8"/>
      <c r="G25" s="9"/>
      <c r="H25" s="9"/>
      <c r="I25" s="55"/>
      <c r="J25" s="21" t="str">
        <f t="shared" si="5"/>
        <v/>
      </c>
      <c r="K25" s="8"/>
      <c r="L25" s="9"/>
      <c r="M25" s="9"/>
      <c r="N25" s="55"/>
      <c r="O25" s="21" t="str">
        <f t="shared" si="6"/>
        <v/>
      </c>
      <c r="P25" s="8"/>
      <c r="Q25" s="9"/>
      <c r="R25" s="9"/>
      <c r="S25" s="55"/>
      <c r="T25" s="21" t="str">
        <f t="shared" si="7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8"/>
        <v/>
      </c>
      <c r="C26" s="18" t="str">
        <f t="shared" si="9"/>
        <v/>
      </c>
      <c r="D26" s="18" t="str">
        <f t="shared" si="4"/>
        <v/>
      </c>
      <c r="E26" s="4"/>
      <c r="F26" s="8"/>
      <c r="G26" s="9"/>
      <c r="H26" s="9"/>
      <c r="I26" s="55"/>
      <c r="J26" s="21" t="str">
        <f t="shared" si="5"/>
        <v/>
      </c>
      <c r="K26" s="8"/>
      <c r="L26" s="9"/>
      <c r="M26" s="9"/>
      <c r="N26" s="55"/>
      <c r="O26" s="21" t="str">
        <f t="shared" si="6"/>
        <v/>
      </c>
      <c r="P26" s="8"/>
      <c r="Q26" s="9"/>
      <c r="R26" s="9"/>
      <c r="S26" s="55"/>
      <c r="T26" s="21" t="str">
        <f t="shared" si="7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8"/>
        <v/>
      </c>
      <c r="C27" s="18" t="str">
        <f t="shared" si="9"/>
        <v/>
      </c>
      <c r="D27" s="18" t="str">
        <f t="shared" si="4"/>
        <v/>
      </c>
      <c r="E27" s="4"/>
      <c r="F27" s="8"/>
      <c r="G27" s="9"/>
      <c r="H27" s="9"/>
      <c r="I27" s="55"/>
      <c r="J27" s="21" t="str">
        <f t="shared" si="5"/>
        <v/>
      </c>
      <c r="K27" s="8"/>
      <c r="L27" s="9"/>
      <c r="M27" s="9"/>
      <c r="N27" s="55"/>
      <c r="O27" s="21" t="str">
        <f t="shared" si="6"/>
        <v/>
      </c>
      <c r="P27" s="8"/>
      <c r="Q27" s="9"/>
      <c r="R27" s="9"/>
      <c r="S27" s="55"/>
      <c r="T27" s="21" t="str">
        <f t="shared" si="7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8"/>
        <v/>
      </c>
      <c r="C28" s="18" t="str">
        <f t="shared" si="9"/>
        <v/>
      </c>
      <c r="D28" s="18" t="str">
        <f t="shared" si="4"/>
        <v/>
      </c>
      <c r="E28" s="4"/>
      <c r="F28" s="8"/>
      <c r="G28" s="9"/>
      <c r="H28" s="9"/>
      <c r="I28" s="55"/>
      <c r="J28" s="21" t="str">
        <f t="shared" si="5"/>
        <v/>
      </c>
      <c r="K28" s="8"/>
      <c r="L28" s="9"/>
      <c r="M28" s="9"/>
      <c r="N28" s="55"/>
      <c r="O28" s="21" t="str">
        <f t="shared" si="6"/>
        <v/>
      </c>
      <c r="P28" s="8"/>
      <c r="Q28" s="9"/>
      <c r="R28" s="9"/>
      <c r="S28" s="55"/>
      <c r="T28" s="21" t="str">
        <f t="shared" si="7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8"/>
        <v/>
      </c>
      <c r="C29" s="18" t="str">
        <f t="shared" si="9"/>
        <v/>
      </c>
      <c r="D29" s="18" t="str">
        <f t="shared" si="4"/>
        <v/>
      </c>
      <c r="E29" s="4"/>
      <c r="F29" s="8"/>
      <c r="G29" s="9"/>
      <c r="H29" s="9"/>
      <c r="I29" s="55"/>
      <c r="J29" s="21" t="str">
        <f t="shared" si="5"/>
        <v/>
      </c>
      <c r="K29" s="8"/>
      <c r="L29" s="9"/>
      <c r="M29" s="9"/>
      <c r="N29" s="55"/>
      <c r="O29" s="21" t="str">
        <f t="shared" si="6"/>
        <v/>
      </c>
      <c r="P29" s="8"/>
      <c r="Q29" s="9"/>
      <c r="R29" s="9"/>
      <c r="S29" s="55"/>
      <c r="T29" s="21" t="str">
        <f t="shared" si="7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8"/>
        <v/>
      </c>
      <c r="C30" s="19" t="str">
        <f t="shared" si="9"/>
        <v/>
      </c>
      <c r="D30" s="19" t="str">
        <f t="shared" si="4"/>
        <v/>
      </c>
      <c r="E30" s="5"/>
      <c r="F30" s="10"/>
      <c r="G30" s="11"/>
      <c r="H30" s="11"/>
      <c r="I30" s="56"/>
      <c r="J30" s="22" t="str">
        <f t="shared" si="5"/>
        <v/>
      </c>
      <c r="K30" s="10"/>
      <c r="L30" s="11"/>
      <c r="M30" s="11"/>
      <c r="N30" s="56"/>
      <c r="O30" s="22" t="str">
        <f t="shared" si="6"/>
        <v/>
      </c>
      <c r="P30" s="10"/>
      <c r="Q30" s="11"/>
      <c r="R30" s="11"/>
      <c r="S30" s="56"/>
      <c r="T30" s="22" t="str">
        <f t="shared" si="7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E3" s="38">
        <v>2600</v>
      </c>
      <c r="F3" s="38">
        <v>5200</v>
      </c>
    </row>
    <row r="4" spans="1:13" x14ac:dyDescent="0.4">
      <c r="A4" s="15">
        <v>25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1400</v>
      </c>
      <c r="E3" s="38">
        <v>2600</v>
      </c>
      <c r="F3" s="38">
        <v>5200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3200</v>
      </c>
      <c r="F4" s="38">
        <v>6400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1000</v>
      </c>
      <c r="D5" s="38">
        <v>2000</v>
      </c>
      <c r="E5" s="38">
        <v>4000</v>
      </c>
      <c r="F5" s="38">
        <v>7800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1400</v>
      </c>
      <c r="D6" s="38">
        <v>2600</v>
      </c>
      <c r="E6" s="38">
        <v>5200</v>
      </c>
      <c r="F6" s="38">
        <v>8000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1600</v>
      </c>
      <c r="D7" s="38">
        <v>3200</v>
      </c>
      <c r="E7" s="38">
        <v>6400</v>
      </c>
      <c r="F7" s="38">
        <v>8000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2000</v>
      </c>
      <c r="D8" s="38">
        <v>4000</v>
      </c>
      <c r="E8" s="38">
        <v>7800</v>
      </c>
      <c r="F8" s="38">
        <v>8000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2400</v>
      </c>
      <c r="D9" s="38">
        <v>4600</v>
      </c>
      <c r="E9" s="38">
        <v>8000</v>
      </c>
      <c r="F9" s="38">
        <v>8000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2600</v>
      </c>
      <c r="D10" s="38">
        <v>5200</v>
      </c>
      <c r="E10" s="38">
        <v>8000</v>
      </c>
      <c r="F10" s="38">
        <v>8000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3000</v>
      </c>
      <c r="D11" s="38">
        <v>5800</v>
      </c>
      <c r="E11" s="38">
        <v>8000</v>
      </c>
      <c r="F11" s="38">
        <v>8000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3200</v>
      </c>
      <c r="D12" s="38">
        <v>6400</v>
      </c>
      <c r="E12" s="38">
        <v>8000</v>
      </c>
      <c r="F12" s="38">
        <v>8000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7200</v>
      </c>
      <c r="E13" s="38">
        <v>8000</v>
      </c>
      <c r="F13" s="38">
        <v>8000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2000</v>
      </c>
      <c r="F3" s="38">
        <v>3900</v>
      </c>
    </row>
    <row r="4" spans="1:13" x14ac:dyDescent="0.4">
      <c r="A4" s="15">
        <v>25</v>
      </c>
      <c r="C4" s="38" t="s">
        <v>11</v>
      </c>
      <c r="D4" s="38">
        <v>1200</v>
      </c>
      <c r="E4" s="38">
        <v>2400</v>
      </c>
      <c r="F4" s="38">
        <v>4800</v>
      </c>
    </row>
    <row r="5" spans="1:13" x14ac:dyDescent="0.4">
      <c r="A5" s="15">
        <v>30</v>
      </c>
      <c r="C5" s="38">
        <v>800</v>
      </c>
      <c r="D5" s="38">
        <v>1500</v>
      </c>
      <c r="E5" s="38">
        <v>2900</v>
      </c>
      <c r="F5" s="38">
        <v>5800</v>
      </c>
    </row>
    <row r="6" spans="1:13" x14ac:dyDescent="0.4">
      <c r="A6" s="15">
        <v>40</v>
      </c>
      <c r="C6" s="38">
        <v>1000</v>
      </c>
      <c r="D6" s="38">
        <v>2000</v>
      </c>
      <c r="E6" s="38">
        <v>3900</v>
      </c>
      <c r="F6" s="38">
        <v>6000</v>
      </c>
    </row>
    <row r="7" spans="1:13" x14ac:dyDescent="0.4">
      <c r="A7" s="15">
        <v>50</v>
      </c>
      <c r="C7" s="38">
        <v>1200</v>
      </c>
      <c r="D7" s="38">
        <v>2400</v>
      </c>
      <c r="E7" s="38">
        <v>4800</v>
      </c>
      <c r="F7" s="38">
        <v>6000</v>
      </c>
    </row>
    <row r="8" spans="1:13" x14ac:dyDescent="0.4">
      <c r="A8" s="15">
        <v>60</v>
      </c>
      <c r="C8" s="38">
        <v>1500</v>
      </c>
      <c r="D8" s="38">
        <v>2900</v>
      </c>
      <c r="E8" s="38">
        <v>5800</v>
      </c>
      <c r="F8" s="38">
        <v>6000</v>
      </c>
    </row>
    <row r="9" spans="1:13" x14ac:dyDescent="0.4">
      <c r="A9" s="15">
        <v>70</v>
      </c>
      <c r="C9" s="38">
        <v>1700</v>
      </c>
      <c r="D9" s="38">
        <v>3400</v>
      </c>
      <c r="E9" s="38">
        <v>6000</v>
      </c>
      <c r="F9" s="38">
        <v>6000</v>
      </c>
    </row>
    <row r="10" spans="1:13" x14ac:dyDescent="0.4">
      <c r="A10" s="15">
        <v>80</v>
      </c>
      <c r="C10" s="38">
        <v>2000</v>
      </c>
      <c r="D10" s="38">
        <v>3900</v>
      </c>
      <c r="E10" s="38">
        <v>6000</v>
      </c>
      <c r="F10" s="38">
        <v>6000</v>
      </c>
    </row>
    <row r="11" spans="1:13" x14ac:dyDescent="0.4">
      <c r="A11" s="15">
        <v>90</v>
      </c>
      <c r="C11" s="38">
        <v>2200</v>
      </c>
      <c r="D11" s="38">
        <v>4400</v>
      </c>
      <c r="E11" s="38">
        <v>6000</v>
      </c>
      <c r="F11" s="38">
        <v>6000</v>
      </c>
    </row>
    <row r="12" spans="1:13" x14ac:dyDescent="0.4">
      <c r="A12" s="15">
        <v>100</v>
      </c>
      <c r="C12" s="38">
        <v>2400</v>
      </c>
      <c r="D12" s="38">
        <v>4800</v>
      </c>
      <c r="E12" s="38">
        <v>6000</v>
      </c>
      <c r="F12" s="38">
        <v>6000</v>
      </c>
    </row>
    <row r="13" spans="1:13" x14ac:dyDescent="0.4">
      <c r="A13" s="15">
        <v>110</v>
      </c>
      <c r="C13" s="38" t="s">
        <v>11</v>
      </c>
      <c r="D13" s="38">
        <v>5300</v>
      </c>
      <c r="E13" s="38">
        <v>6000</v>
      </c>
      <c r="F13" s="38">
        <v>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6000</v>
      </c>
      <c r="H2" s="38">
        <v>9000</v>
      </c>
      <c r="I2" s="38">
        <v>12000</v>
      </c>
      <c r="J2" s="38">
        <v>18000</v>
      </c>
      <c r="K2" s="38">
        <v>24000</v>
      </c>
      <c r="L2" s="38">
        <v>48000</v>
      </c>
      <c r="M2" s="38">
        <v>72000</v>
      </c>
    </row>
    <row r="3" spans="1:13" x14ac:dyDescent="0.4">
      <c r="A3" s="15">
        <v>20</v>
      </c>
      <c r="B3" s="38" t="s">
        <v>11</v>
      </c>
      <c r="C3" s="38" t="s">
        <v>11</v>
      </c>
      <c r="D3" s="38">
        <v>1100</v>
      </c>
      <c r="E3" s="38">
        <v>2000</v>
      </c>
      <c r="F3" s="38">
        <v>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B4" s="38" t="s">
        <v>11</v>
      </c>
      <c r="C4" s="38" t="s">
        <v>11</v>
      </c>
      <c r="D4" s="38" t="s">
        <v>11</v>
      </c>
      <c r="E4" s="38">
        <v>2400</v>
      </c>
      <c r="F4" s="38">
        <v>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B5" s="38" t="s">
        <v>11</v>
      </c>
      <c r="C5" s="38">
        <v>800</v>
      </c>
      <c r="D5" s="38">
        <v>1500</v>
      </c>
      <c r="E5" s="38">
        <v>3000</v>
      </c>
      <c r="F5" s="38">
        <v>5900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B6" s="38" t="s">
        <v>11</v>
      </c>
      <c r="C6" s="38">
        <v>1100</v>
      </c>
      <c r="D6" s="38">
        <v>2000</v>
      </c>
      <c r="E6" s="38">
        <v>3900</v>
      </c>
      <c r="F6" s="38">
        <v>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B7" s="38" t="s">
        <v>11</v>
      </c>
      <c r="C7" s="38">
        <v>1200</v>
      </c>
      <c r="D7" s="38">
        <v>2400</v>
      </c>
      <c r="E7" s="38">
        <v>4800</v>
      </c>
      <c r="F7" s="38">
        <v>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B8" s="38" t="s">
        <v>11</v>
      </c>
      <c r="C8" s="38">
        <v>1500</v>
      </c>
      <c r="D8" s="38">
        <v>3000</v>
      </c>
      <c r="E8" s="38">
        <v>5900</v>
      </c>
      <c r="F8" s="38">
        <v>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B9" s="38" t="s">
        <v>11</v>
      </c>
      <c r="C9" s="38">
        <v>1800</v>
      </c>
      <c r="D9" s="38">
        <v>3500</v>
      </c>
      <c r="E9" s="38">
        <v>6000</v>
      </c>
      <c r="F9" s="38">
        <v>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B10" s="38" t="s">
        <v>11</v>
      </c>
      <c r="C10" s="38">
        <v>2000</v>
      </c>
      <c r="D10" s="38">
        <v>3900</v>
      </c>
      <c r="E10" s="38">
        <v>6000</v>
      </c>
      <c r="F10" s="38">
        <v>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B11" s="38" t="s">
        <v>11</v>
      </c>
      <c r="C11" s="38">
        <v>2300</v>
      </c>
      <c r="D11" s="38">
        <v>4400</v>
      </c>
      <c r="E11" s="38">
        <v>6000</v>
      </c>
      <c r="F11" s="38">
        <v>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B12" s="38" t="s">
        <v>11</v>
      </c>
      <c r="C12" s="38">
        <v>2400</v>
      </c>
      <c r="D12" s="38">
        <v>4800</v>
      </c>
      <c r="E12" s="38">
        <v>6000</v>
      </c>
      <c r="F12" s="38">
        <v>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B13" s="38" t="s">
        <v>11</v>
      </c>
      <c r="C13" s="38" t="s">
        <v>11</v>
      </c>
      <c r="D13" s="38">
        <v>5400</v>
      </c>
      <c r="E13" s="38">
        <v>6000</v>
      </c>
      <c r="F13" s="38">
        <v>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-2000</v>
      </c>
      <c r="H2" s="38">
        <v>-3000</v>
      </c>
      <c r="I2" s="38">
        <v>-4000</v>
      </c>
      <c r="J2" s="38">
        <v>-6000</v>
      </c>
      <c r="K2" s="38">
        <v>-8000</v>
      </c>
      <c r="L2" s="38">
        <v>-16000</v>
      </c>
      <c r="M2" s="38">
        <v>-24000</v>
      </c>
    </row>
    <row r="3" spans="1:13" x14ac:dyDescent="0.4">
      <c r="A3" s="15">
        <v>20</v>
      </c>
      <c r="C3" s="38" t="s">
        <v>11</v>
      </c>
      <c r="D3" s="38">
        <v>-400</v>
      </c>
      <c r="E3" s="38">
        <v>-700</v>
      </c>
      <c r="F3" s="38">
        <v>-1300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-800</v>
      </c>
      <c r="F4" s="38">
        <v>-1600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-300</v>
      </c>
      <c r="D5" s="38">
        <v>-500</v>
      </c>
      <c r="E5" s="38">
        <v>-1000</v>
      </c>
      <c r="F5" s="38">
        <v>-2000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-400</v>
      </c>
      <c r="D6" s="38">
        <v>-700</v>
      </c>
      <c r="E6" s="38">
        <v>-1300</v>
      </c>
      <c r="F6" s="38">
        <v>-2000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-400</v>
      </c>
      <c r="D7" s="38">
        <v>-800</v>
      </c>
      <c r="E7" s="38">
        <v>-1600</v>
      </c>
      <c r="F7" s="38">
        <v>-2000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-500</v>
      </c>
      <c r="D8" s="38">
        <v>-1000</v>
      </c>
      <c r="E8" s="38">
        <v>-2000</v>
      </c>
      <c r="F8" s="38">
        <v>-2000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-600</v>
      </c>
      <c r="D9" s="38">
        <v>-1200</v>
      </c>
      <c r="E9" s="38">
        <v>-2000</v>
      </c>
      <c r="F9" s="38">
        <v>-2000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-700</v>
      </c>
      <c r="D10" s="38">
        <v>-1300</v>
      </c>
      <c r="E10" s="38">
        <v>-2000</v>
      </c>
      <c r="F10" s="38">
        <v>-2000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-800</v>
      </c>
      <c r="D11" s="38">
        <v>-1500</v>
      </c>
      <c r="E11" s="38">
        <v>-2000</v>
      </c>
      <c r="F11" s="38">
        <v>-2000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-800</v>
      </c>
      <c r="D12" s="38">
        <v>-1600</v>
      </c>
      <c r="E12" s="38">
        <v>-2000</v>
      </c>
      <c r="F12" s="38">
        <v>-2000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-1800</v>
      </c>
      <c r="E13" s="38">
        <v>-2000</v>
      </c>
      <c r="F13" s="38">
        <v>-2000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-4000</v>
      </c>
      <c r="H2" s="38">
        <v>-6000</v>
      </c>
      <c r="I2" s="38">
        <v>-8000</v>
      </c>
      <c r="J2" s="38">
        <v>-12000</v>
      </c>
      <c r="K2" s="38">
        <v>-16000</v>
      </c>
      <c r="L2" s="38">
        <v>-32000</v>
      </c>
      <c r="M2" s="38">
        <v>-48000</v>
      </c>
    </row>
    <row r="3" spans="1:13" x14ac:dyDescent="0.4">
      <c r="A3" s="15">
        <v>20</v>
      </c>
      <c r="C3" s="38" t="s">
        <v>11</v>
      </c>
      <c r="D3" s="38">
        <v>-700</v>
      </c>
      <c r="E3" s="38">
        <v>-1300</v>
      </c>
      <c r="F3" s="38">
        <v>-2600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-1600</v>
      </c>
      <c r="F4" s="38">
        <v>-3200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-1000</v>
      </c>
      <c r="E5" s="38">
        <v>-2000</v>
      </c>
      <c r="F5" s="38">
        <v>-3900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-700</v>
      </c>
      <c r="D6" s="38">
        <v>-1300</v>
      </c>
      <c r="E6" s="38">
        <v>-2600</v>
      </c>
      <c r="F6" s="38">
        <v>-4000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-800</v>
      </c>
      <c r="D7" s="38">
        <v>-1600</v>
      </c>
      <c r="E7" s="38">
        <v>-3200</v>
      </c>
      <c r="F7" s="38">
        <v>-4000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-1000</v>
      </c>
      <c r="D8" s="38">
        <v>-2000</v>
      </c>
      <c r="E8" s="38">
        <v>-3900</v>
      </c>
      <c r="F8" s="38">
        <v>-4000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-1200</v>
      </c>
      <c r="D9" s="38">
        <v>-2300</v>
      </c>
      <c r="E9" s="38">
        <v>-4000</v>
      </c>
      <c r="F9" s="38">
        <v>-4000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-1300</v>
      </c>
      <c r="D10" s="38">
        <v>-2600</v>
      </c>
      <c r="E10" s="38">
        <v>-4000</v>
      </c>
      <c r="F10" s="38">
        <v>-4000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-1500</v>
      </c>
      <c r="D11" s="38">
        <v>-2900</v>
      </c>
      <c r="E11" s="38">
        <v>-4000</v>
      </c>
      <c r="F11" s="38">
        <v>-4000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-1600</v>
      </c>
      <c r="D12" s="38">
        <v>-3200</v>
      </c>
      <c r="E12" s="38">
        <v>-4000</v>
      </c>
      <c r="F12" s="38">
        <v>-4000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-3600</v>
      </c>
      <c r="E13" s="38">
        <v>-4000</v>
      </c>
      <c r="F13" s="38">
        <v>-4000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2019-03-09T11:57:45Z</dcterms:modified>
</cp:coreProperties>
</file>