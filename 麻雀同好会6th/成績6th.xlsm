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"/>
    </mc:Choice>
  </mc:AlternateContent>
  <xr:revisionPtr revIDLastSave="0" documentId="13_ncr:1_{C42D8340-BC33-4A72-B54C-409B67C76ACB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216" r:id="rId6"/>
    <sheet name="れんたろう" sheetId="7218" r:id="rId7"/>
    <sheet name="だいち" sheetId="7220" r:id="rId8"/>
    <sheet name="ともき" sheetId="7222" r:id="rId9"/>
    <sheet name="ただ" sheetId="7224" r:id="rId10"/>
    <sheet name="りくと" sheetId="7226" r:id="rId11"/>
    <sheet name="ぱぱ" sheetId="7228" r:id="rId12"/>
    <sheet name="ぱぱ2" sheetId="7229" state="hidden" r:id="rId13"/>
    <sheet name="りくと2" sheetId="7227" state="hidden" r:id="rId14"/>
    <sheet name="ただ2" sheetId="7225" state="hidden" r:id="rId15"/>
    <sheet name="ともき2" sheetId="7223" state="hidden" r:id="rId16"/>
    <sheet name="だいち2" sheetId="7221" state="hidden" r:id="rId17"/>
    <sheet name="れんたろう2" sheetId="7219" state="hidden" r:id="rId18"/>
    <sheet name="全体2" sheetId="7217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8" i="7218" l="1"/>
  <c r="P16" i="7228"/>
  <c r="P15" i="7228" l="1"/>
  <c r="P17" i="7228"/>
  <c r="C35" i="7228"/>
  <c r="B30" i="7228"/>
  <c r="C21" i="7228"/>
  <c r="B20" i="7228"/>
  <c r="H52" i="7228" s="1"/>
  <c r="B19" i="7228"/>
  <c r="B29" i="7228" s="1"/>
  <c r="B18" i="7228"/>
  <c r="C18" i="7228" s="1"/>
  <c r="C17" i="7228"/>
  <c r="C16" i="7228"/>
  <c r="C15" i="7228"/>
  <c r="B13" i="7228"/>
  <c r="P12" i="7228"/>
  <c r="B12" i="7228"/>
  <c r="P11" i="7228"/>
  <c r="B11" i="7228"/>
  <c r="P10" i="7228"/>
  <c r="C10" i="7228"/>
  <c r="C9" i="7228"/>
  <c r="C8" i="7228"/>
  <c r="P7" i="7228"/>
  <c r="B7" i="7228"/>
  <c r="P6" i="7228"/>
  <c r="P5" i="7228"/>
  <c r="B5" i="7228"/>
  <c r="P4" i="7228"/>
  <c r="P3" i="7228"/>
  <c r="P2" i="7228"/>
  <c r="P16" i="7224"/>
  <c r="P16" i="7220"/>
  <c r="P18" i="7216"/>
  <c r="H19" i="7228" l="1"/>
  <c r="B14" i="7228"/>
  <c r="C19" i="7228"/>
  <c r="H10" i="7228"/>
  <c r="H11" i="7228"/>
  <c r="H2" i="7228"/>
  <c r="C26" i="7228"/>
  <c r="C37" i="7228"/>
  <c r="H39" i="7228"/>
  <c r="C23" i="7228"/>
  <c r="C40" i="7228"/>
  <c r="C24" i="7228"/>
  <c r="H45" i="7228"/>
  <c r="H3" i="7228"/>
  <c r="H6" i="7228"/>
  <c r="H24" i="7228"/>
  <c r="H15" i="7228"/>
  <c r="C44" i="7228"/>
  <c r="H18" i="7228"/>
  <c r="H48" i="7228"/>
  <c r="H16" i="7228"/>
  <c r="H51" i="7228"/>
  <c r="H8" i="7228"/>
  <c r="H17" i="7228"/>
  <c r="H4" i="7228"/>
  <c r="C25" i="7228"/>
  <c r="H40" i="7228"/>
  <c r="C45" i="7228"/>
  <c r="H5" i="7228"/>
  <c r="H27" i="7228"/>
  <c r="C20" i="7228"/>
  <c r="H21" i="7228"/>
  <c r="H33" i="7228"/>
  <c r="H41" i="7228"/>
  <c r="H47" i="7228"/>
  <c r="H23" i="7228"/>
  <c r="H28" i="7228"/>
  <c r="C22" i="7228"/>
  <c r="B27" i="7228"/>
  <c r="H43" i="7228"/>
  <c r="C48" i="7228"/>
  <c r="H25" i="7228"/>
  <c r="H14" i="7228"/>
  <c r="H31" i="7228"/>
  <c r="H35" i="7228"/>
  <c r="C41" i="7228"/>
  <c r="H49" i="7228"/>
  <c r="H7" i="7228"/>
  <c r="H9" i="7228"/>
  <c r="H26" i="7228"/>
  <c r="H20" i="7228"/>
  <c r="B28" i="7228"/>
  <c r="H37" i="7228"/>
  <c r="H44" i="7228"/>
  <c r="C49" i="7228"/>
  <c r="H38" i="7228"/>
  <c r="H42" i="7228"/>
  <c r="H46" i="7228"/>
  <c r="H50" i="7228"/>
  <c r="H30" i="7228"/>
  <c r="H13" i="7228"/>
  <c r="H34" i="7228"/>
  <c r="C38" i="7228"/>
  <c r="C42" i="7228"/>
  <c r="C46" i="7228"/>
  <c r="H22" i="7228"/>
  <c r="H29" i="7228"/>
  <c r="H12" i="7228"/>
  <c r="H32" i="7228"/>
  <c r="H36" i="7228"/>
  <c r="C39" i="7228"/>
  <c r="C43" i="7228"/>
  <c r="C47" i="7228"/>
  <c r="P17" i="7218" l="1"/>
  <c r="P15" i="7226"/>
  <c r="P17" i="7220" l="1"/>
  <c r="P15" i="7224"/>
  <c r="P16" i="7216"/>
  <c r="P17" i="7226"/>
  <c r="P16" i="7226"/>
  <c r="C35" i="7226"/>
  <c r="B30" i="7226"/>
  <c r="B29" i="7226"/>
  <c r="C21" i="7226"/>
  <c r="B20" i="7226"/>
  <c r="H52" i="7226" s="1"/>
  <c r="B19" i="7226"/>
  <c r="C19" i="7226" s="1"/>
  <c r="B18" i="7226"/>
  <c r="C18" i="7226" s="1"/>
  <c r="C17" i="7226"/>
  <c r="C16" i="7226"/>
  <c r="C15" i="7226"/>
  <c r="B13" i="7226"/>
  <c r="P12" i="7226"/>
  <c r="B12" i="7226"/>
  <c r="P11" i="7226"/>
  <c r="B11" i="7226"/>
  <c r="P10" i="7226"/>
  <c r="C10" i="7226"/>
  <c r="C9" i="7226"/>
  <c r="C8" i="7226"/>
  <c r="P7" i="7226"/>
  <c r="B7" i="7226"/>
  <c r="P6" i="7226"/>
  <c r="P5" i="7226"/>
  <c r="B5" i="7226"/>
  <c r="P4" i="7226"/>
  <c r="P3" i="7226"/>
  <c r="P2" i="7226"/>
  <c r="B14" i="7226" l="1"/>
  <c r="H45" i="7226"/>
  <c r="H49" i="7226"/>
  <c r="H5" i="7226"/>
  <c r="H28" i="7226"/>
  <c r="C48" i="7226"/>
  <c r="H3" i="7226"/>
  <c r="H7" i="7226"/>
  <c r="H22" i="7226"/>
  <c r="H26" i="7226"/>
  <c r="C25" i="7226"/>
  <c r="H37" i="7226"/>
  <c r="H8" i="7226"/>
  <c r="H10" i="7226"/>
  <c r="C40" i="7226"/>
  <c r="C20" i="7226"/>
  <c r="H18" i="7226"/>
  <c r="H4" i="7226"/>
  <c r="H14" i="7226"/>
  <c r="H21" i="7226"/>
  <c r="H25" i="7226"/>
  <c r="C44" i="7226"/>
  <c r="H9" i="7226"/>
  <c r="H16" i="7226"/>
  <c r="H32" i="7226"/>
  <c r="H23" i="7226"/>
  <c r="H30" i="7226"/>
  <c r="C37" i="7226"/>
  <c r="H20" i="7226"/>
  <c r="H31" i="7226"/>
  <c r="H41" i="7226"/>
  <c r="H2" i="7226"/>
  <c r="H15" i="7226"/>
  <c r="C22" i="7226"/>
  <c r="C26" i="7226"/>
  <c r="H38" i="7226"/>
  <c r="H42" i="7226"/>
  <c r="H46" i="7226"/>
  <c r="H50" i="7226"/>
  <c r="C41" i="7226"/>
  <c r="C45" i="7226"/>
  <c r="C49" i="7226"/>
  <c r="H24" i="7226"/>
  <c r="H13" i="7226"/>
  <c r="C23" i="7226"/>
  <c r="B27" i="7226"/>
  <c r="H33" i="7226"/>
  <c r="H39" i="7226"/>
  <c r="H43" i="7226"/>
  <c r="H47" i="7226"/>
  <c r="H51" i="7226"/>
  <c r="H29" i="7226"/>
  <c r="H11" i="7226"/>
  <c r="H34" i="7226"/>
  <c r="C38" i="7226"/>
  <c r="C42" i="7226"/>
  <c r="C46" i="7226"/>
  <c r="H19" i="7226"/>
  <c r="C24" i="7226"/>
  <c r="B28" i="7226"/>
  <c r="H35" i="7226"/>
  <c r="H40" i="7226"/>
  <c r="H44" i="7226"/>
  <c r="H48" i="7226"/>
  <c r="H6" i="7226"/>
  <c r="H27" i="7226"/>
  <c r="H12" i="7226"/>
  <c r="H17" i="7226"/>
  <c r="H36" i="7226"/>
  <c r="C39" i="7226"/>
  <c r="C43" i="7226"/>
  <c r="C47" i="7226"/>
  <c r="P16" i="7218" l="1"/>
  <c r="P18" i="7224"/>
  <c r="P17" i="7224"/>
  <c r="C35" i="7224"/>
  <c r="B30" i="7224"/>
  <c r="C21" i="7224"/>
  <c r="B20" i="7224"/>
  <c r="H52" i="7224" s="1"/>
  <c r="B19" i="7224"/>
  <c r="B29" i="7224" s="1"/>
  <c r="B18" i="7224"/>
  <c r="C18" i="7224" s="1"/>
  <c r="C17" i="7224"/>
  <c r="C16" i="7224"/>
  <c r="C15" i="7224"/>
  <c r="B13" i="7224"/>
  <c r="P12" i="7224"/>
  <c r="B12" i="7224"/>
  <c r="P11" i="7224"/>
  <c r="B11" i="7224"/>
  <c r="P10" i="7224"/>
  <c r="C10" i="7224"/>
  <c r="C9" i="7224"/>
  <c r="C8" i="7224"/>
  <c r="P7" i="7224"/>
  <c r="B7" i="7224"/>
  <c r="P6" i="7224"/>
  <c r="P5" i="7224"/>
  <c r="B5" i="7224"/>
  <c r="P4" i="7224"/>
  <c r="P3" i="7224"/>
  <c r="P2" i="7224"/>
  <c r="P18" i="7220"/>
  <c r="P17" i="7216"/>
  <c r="C19" i="7224" l="1"/>
  <c r="B14" i="7224"/>
  <c r="C20" i="7224"/>
  <c r="H4" i="7224"/>
  <c r="H29" i="7224"/>
  <c r="C38" i="7224"/>
  <c r="C46" i="7224"/>
  <c r="H2" i="7224"/>
  <c r="H10" i="7224"/>
  <c r="H23" i="7224"/>
  <c r="B28" i="7224"/>
  <c r="H35" i="7224"/>
  <c r="H40" i="7224"/>
  <c r="H44" i="7224"/>
  <c r="H5" i="7224"/>
  <c r="H17" i="7224"/>
  <c r="H24" i="7224"/>
  <c r="C25" i="7224"/>
  <c r="H41" i="7224"/>
  <c r="H45" i="7224"/>
  <c r="H49" i="7224"/>
  <c r="H7" i="7224"/>
  <c r="H8" i="7224"/>
  <c r="H13" i="7224"/>
  <c r="H30" i="7224"/>
  <c r="H37" i="7224"/>
  <c r="C40" i="7224"/>
  <c r="C48" i="7224"/>
  <c r="H3" i="7224"/>
  <c r="H25" i="7224"/>
  <c r="C26" i="7224"/>
  <c r="H50" i="7224"/>
  <c r="H6" i="7224"/>
  <c r="H12" i="7224"/>
  <c r="H18" i="7224"/>
  <c r="H28" i="7224"/>
  <c r="H31" i="7224"/>
  <c r="H32" i="7224"/>
  <c r="C37" i="7224"/>
  <c r="C41" i="7224"/>
  <c r="C45" i="7224"/>
  <c r="C49" i="7224"/>
  <c r="H26" i="7224"/>
  <c r="H20" i="7224"/>
  <c r="C44" i="7224"/>
  <c r="C22" i="7224"/>
  <c r="H38" i="7224"/>
  <c r="H42" i="7224"/>
  <c r="H46" i="7224"/>
  <c r="H11" i="7224"/>
  <c r="H16" i="7224"/>
  <c r="H15" i="7224"/>
  <c r="C23" i="7224"/>
  <c r="B27" i="7224"/>
  <c r="H33" i="7224"/>
  <c r="H39" i="7224"/>
  <c r="H43" i="7224"/>
  <c r="H47" i="7224"/>
  <c r="H51" i="7224"/>
  <c r="H9" i="7224"/>
  <c r="H34" i="7224"/>
  <c r="C42" i="7224"/>
  <c r="H22" i="7224"/>
  <c r="H19" i="7224"/>
  <c r="C24" i="7224"/>
  <c r="H48" i="7224"/>
  <c r="H27" i="7224"/>
  <c r="H14" i="7224"/>
  <c r="H21" i="7224"/>
  <c r="H36" i="7224"/>
  <c r="C39" i="7224"/>
  <c r="C43" i="7224"/>
  <c r="C47" i="7224"/>
  <c r="P16" i="7222" l="1"/>
  <c r="P15" i="7222"/>
  <c r="H44" i="7222"/>
  <c r="C43" i="7222"/>
  <c r="H43" i="7222"/>
  <c r="C35" i="7222"/>
  <c r="B30" i="7222"/>
  <c r="H29" i="7222"/>
  <c r="C24" i="7222"/>
  <c r="C21" i="7222"/>
  <c r="B20" i="7222"/>
  <c r="H51" i="7222" s="1"/>
  <c r="H20" i="7222"/>
  <c r="B19" i="7222"/>
  <c r="B28" i="7222" s="1"/>
  <c r="C18" i="7222"/>
  <c r="B18" i="7222"/>
  <c r="C17" i="7222"/>
  <c r="C16" i="7222"/>
  <c r="H16" i="7222"/>
  <c r="C15" i="7222"/>
  <c r="B13" i="7222"/>
  <c r="P12" i="7222"/>
  <c r="B12" i="7222"/>
  <c r="P11" i="7222"/>
  <c r="H12" i="7222"/>
  <c r="B11" i="7222"/>
  <c r="P10" i="7222"/>
  <c r="C10" i="7222"/>
  <c r="H11" i="7222"/>
  <c r="C9" i="7222"/>
  <c r="C8" i="7222"/>
  <c r="P7" i="7222"/>
  <c r="B7" i="7222"/>
  <c r="P6" i="7222"/>
  <c r="H8" i="7222"/>
  <c r="P5" i="7222"/>
  <c r="B5" i="7222"/>
  <c r="P4" i="7222"/>
  <c r="P3" i="7222"/>
  <c r="P2" i="7222"/>
  <c r="H4" i="7222"/>
  <c r="P19" i="7220"/>
  <c r="P15" i="7220"/>
  <c r="C35" i="7220"/>
  <c r="B30" i="7220"/>
  <c r="C21" i="7220"/>
  <c r="B20" i="7220"/>
  <c r="H23" i="7220" s="1"/>
  <c r="B19" i="7220"/>
  <c r="B29" i="7220" s="1"/>
  <c r="B18" i="7220"/>
  <c r="C18" i="7220" s="1"/>
  <c r="C17" i="7220"/>
  <c r="C16" i="7220"/>
  <c r="C15" i="7220"/>
  <c r="B13" i="7220"/>
  <c r="P12" i="7220"/>
  <c r="B12" i="7220"/>
  <c r="P11" i="7220"/>
  <c r="B11" i="7220"/>
  <c r="P10" i="7220"/>
  <c r="C10" i="7220"/>
  <c r="C9" i="7220"/>
  <c r="C8" i="7220"/>
  <c r="P7" i="7220"/>
  <c r="B7" i="7220"/>
  <c r="P6" i="7220"/>
  <c r="P5" i="7220"/>
  <c r="B5" i="7220"/>
  <c r="P4" i="7220"/>
  <c r="P3" i="7220"/>
  <c r="P2" i="7220"/>
  <c r="P19" i="7216"/>
  <c r="P15" i="7218"/>
  <c r="P19" i="7218"/>
  <c r="C35" i="7218"/>
  <c r="B30" i="7218"/>
  <c r="C21" i="7218"/>
  <c r="B20" i="7218"/>
  <c r="H5" i="7218" s="1"/>
  <c r="B19" i="7218"/>
  <c r="C19" i="7218" s="1"/>
  <c r="B18" i="7218"/>
  <c r="C18" i="7218" s="1"/>
  <c r="C17" i="7218"/>
  <c r="C16" i="7218"/>
  <c r="C15" i="7218"/>
  <c r="B13" i="7218"/>
  <c r="P12" i="7218"/>
  <c r="B12" i="7218"/>
  <c r="P11" i="7218"/>
  <c r="B11" i="7218"/>
  <c r="P10" i="7218"/>
  <c r="C10" i="7218"/>
  <c r="C9" i="7218"/>
  <c r="C8" i="7218"/>
  <c r="P7" i="7218"/>
  <c r="B7" i="7218"/>
  <c r="P6" i="7218"/>
  <c r="P5" i="7218"/>
  <c r="B5" i="7218"/>
  <c r="P4" i="7218"/>
  <c r="P3" i="7218"/>
  <c r="P2" i="7218"/>
  <c r="P15" i="7216"/>
  <c r="P20" i="7216"/>
  <c r="C35" i="7216"/>
  <c r="B30" i="7216"/>
  <c r="C21" i="7216"/>
  <c r="B20" i="7216"/>
  <c r="H52" i="7216" s="1"/>
  <c r="B19" i="7216"/>
  <c r="B29" i="7216" s="1"/>
  <c r="B18" i="7216"/>
  <c r="C18" i="7216" s="1"/>
  <c r="C17" i="7216"/>
  <c r="C16" i="7216"/>
  <c r="C15" i="7216"/>
  <c r="B13" i="7216"/>
  <c r="P12" i="7216"/>
  <c r="B12" i="7216"/>
  <c r="P11" i="7216"/>
  <c r="B11" i="7216"/>
  <c r="P10" i="7216"/>
  <c r="C10" i="7216"/>
  <c r="C9" i="7216"/>
  <c r="C8" i="7216"/>
  <c r="P7" i="7216"/>
  <c r="B7" i="7216"/>
  <c r="P6" i="7216"/>
  <c r="P5" i="7216"/>
  <c r="B5" i="7216"/>
  <c r="P4" i="7216"/>
  <c r="P3" i="7216"/>
  <c r="P2" i="7216"/>
  <c r="B14" i="7216" l="1"/>
  <c r="B29" i="7218"/>
  <c r="B14" i="7218"/>
  <c r="B14" i="7222"/>
  <c r="C19" i="7222"/>
  <c r="H31" i="7222"/>
  <c r="H48" i="7222"/>
  <c r="H49" i="7222"/>
  <c r="H17" i="7222"/>
  <c r="C37" i="7222"/>
  <c r="C49" i="7222"/>
  <c r="H10" i="7222"/>
  <c r="H23" i="7222"/>
  <c r="H38" i="7222"/>
  <c r="H7" i="7222"/>
  <c r="H13" i="7222"/>
  <c r="C23" i="7222"/>
  <c r="H39" i="7222"/>
  <c r="H25" i="7222"/>
  <c r="H32" i="7222"/>
  <c r="C39" i="7222"/>
  <c r="H45" i="7222"/>
  <c r="H50" i="7222"/>
  <c r="H5" i="7222"/>
  <c r="C20" i="7222"/>
  <c r="C25" i="7222"/>
  <c r="H34" i="7222"/>
  <c r="H40" i="7222"/>
  <c r="C45" i="7222"/>
  <c r="H3" i="7222"/>
  <c r="H2" i="7222"/>
  <c r="H18" i="7222"/>
  <c r="H21" i="7222"/>
  <c r="C26" i="7222"/>
  <c r="H35" i="7222"/>
  <c r="H41" i="7222"/>
  <c r="H46" i="7222"/>
  <c r="H52" i="7222"/>
  <c r="H6" i="7222"/>
  <c r="H9" i="7222"/>
  <c r="H14" i="7222"/>
  <c r="H27" i="7222"/>
  <c r="C41" i="7222"/>
  <c r="H47" i="7222"/>
  <c r="H15" i="7222"/>
  <c r="C22" i="7222"/>
  <c r="B27" i="7222"/>
  <c r="H37" i="7222"/>
  <c r="H42" i="7222"/>
  <c r="C47" i="7222"/>
  <c r="H6" i="7220"/>
  <c r="H31" i="7220"/>
  <c r="H27" i="7220"/>
  <c r="C37" i="7220"/>
  <c r="H14" i="7220"/>
  <c r="C23" i="7220"/>
  <c r="C41" i="7220"/>
  <c r="H35" i="7220"/>
  <c r="H11" i="7220"/>
  <c r="H29" i="7220"/>
  <c r="B27" i="7220"/>
  <c r="H44" i="7220"/>
  <c r="C22" i="7220"/>
  <c r="H7" i="7220"/>
  <c r="B28" i="7220"/>
  <c r="H45" i="7220"/>
  <c r="H13" i="7220"/>
  <c r="H26" i="7220"/>
  <c r="H48" i="7220"/>
  <c r="H17" i="7216"/>
  <c r="B27" i="7218"/>
  <c r="H7" i="7218"/>
  <c r="H6" i="7218"/>
  <c r="H4" i="7218"/>
  <c r="H12" i="7218"/>
  <c r="B29" i="7222"/>
  <c r="H19" i="7222"/>
  <c r="H22" i="7222"/>
  <c r="H26" i="7222"/>
  <c r="H30" i="7222"/>
  <c r="H36" i="7222"/>
  <c r="C40" i="7222"/>
  <c r="C44" i="7222"/>
  <c r="C48" i="7222"/>
  <c r="H24" i="7222"/>
  <c r="H28" i="7222"/>
  <c r="H33" i="7222"/>
  <c r="C38" i="7222"/>
  <c r="C42" i="7222"/>
  <c r="C46" i="7222"/>
  <c r="B14" i="7220"/>
  <c r="C47" i="7220"/>
  <c r="H24" i="7220"/>
  <c r="H32" i="7220"/>
  <c r="H49" i="7220"/>
  <c r="C19" i="7220"/>
  <c r="H3" i="7220"/>
  <c r="H16" i="7220"/>
  <c r="C24" i="7220"/>
  <c r="H40" i="7220"/>
  <c r="C43" i="7220"/>
  <c r="H50" i="7220"/>
  <c r="H12" i="7220"/>
  <c r="H18" i="7220"/>
  <c r="H41" i="7220"/>
  <c r="H46" i="7220"/>
  <c r="C49" i="7220"/>
  <c r="H8" i="7220"/>
  <c r="C20" i="7220"/>
  <c r="C25" i="7220"/>
  <c r="H22" i="7220"/>
  <c r="C39" i="7220"/>
  <c r="H28" i="7220"/>
  <c r="H51" i="7220"/>
  <c r="H5" i="7220"/>
  <c r="H17" i="7220"/>
  <c r="H34" i="7220"/>
  <c r="C26" i="7220"/>
  <c r="H37" i="7220"/>
  <c r="H42" i="7220"/>
  <c r="C45" i="7220"/>
  <c r="H4" i="7220"/>
  <c r="H2" i="7220"/>
  <c r="H9" i="7220"/>
  <c r="H30" i="7220"/>
  <c r="H21" i="7220"/>
  <c r="H38" i="7220"/>
  <c r="H43" i="7220"/>
  <c r="H47" i="7220"/>
  <c r="H52" i="7220"/>
  <c r="H33" i="7220"/>
  <c r="H15" i="7220"/>
  <c r="H20" i="7220"/>
  <c r="H19" i="7220"/>
  <c r="H39" i="7220"/>
  <c r="C40" i="7220"/>
  <c r="C44" i="7220"/>
  <c r="C48" i="7220"/>
  <c r="H25" i="7220"/>
  <c r="H10" i="7220"/>
  <c r="H36" i="7220"/>
  <c r="C38" i="7220"/>
  <c r="C42" i="7220"/>
  <c r="C46" i="7220"/>
  <c r="C19" i="7216"/>
  <c r="H19" i="7218"/>
  <c r="H26" i="7218"/>
  <c r="H37" i="7218"/>
  <c r="C22" i="7218"/>
  <c r="H39" i="7218"/>
  <c r="H10" i="7218"/>
  <c r="C23" i="7218"/>
  <c r="H42" i="7218"/>
  <c r="H24" i="7218"/>
  <c r="H32" i="7218"/>
  <c r="C43" i="7218"/>
  <c r="H18" i="7218"/>
  <c r="C44" i="7218"/>
  <c r="C20" i="7218"/>
  <c r="H49" i="7218"/>
  <c r="H11" i="7218"/>
  <c r="H15" i="7218"/>
  <c r="H36" i="7218"/>
  <c r="H51" i="7218"/>
  <c r="C39" i="7218"/>
  <c r="H46" i="7218"/>
  <c r="H17" i="7218"/>
  <c r="H13" i="7218"/>
  <c r="H41" i="7218"/>
  <c r="H47" i="7218"/>
  <c r="C25" i="7218"/>
  <c r="H22" i="7218"/>
  <c r="C40" i="7218"/>
  <c r="C47" i="7218"/>
  <c r="H3" i="7218"/>
  <c r="H29" i="7218"/>
  <c r="C26" i="7218"/>
  <c r="H43" i="7218"/>
  <c r="C48" i="7218"/>
  <c r="H25" i="7218"/>
  <c r="H28" i="7218"/>
  <c r="H16" i="7218"/>
  <c r="H34" i="7218"/>
  <c r="H38" i="7218"/>
  <c r="H45" i="7218"/>
  <c r="H52" i="7218"/>
  <c r="H50" i="7218"/>
  <c r="H30" i="7218"/>
  <c r="H33" i="7218"/>
  <c r="H21" i="7218"/>
  <c r="C37" i="7218"/>
  <c r="C41" i="7218"/>
  <c r="C45" i="7218"/>
  <c r="C49" i="7218"/>
  <c r="H31" i="7218"/>
  <c r="H9" i="7218"/>
  <c r="H23" i="7218"/>
  <c r="C38" i="7218"/>
  <c r="C42" i="7218"/>
  <c r="C46" i="7218"/>
  <c r="H14" i="7218"/>
  <c r="H2" i="7218"/>
  <c r="H8" i="7218"/>
  <c r="H20" i="7218"/>
  <c r="H27" i="7218"/>
  <c r="C24" i="7218"/>
  <c r="B28" i="7218"/>
  <c r="H35" i="7218"/>
  <c r="H40" i="7218"/>
  <c r="H44" i="7218"/>
  <c r="H48" i="7218"/>
  <c r="H21" i="7216"/>
  <c r="H16" i="7216"/>
  <c r="H23" i="7216"/>
  <c r="H14" i="7216"/>
  <c r="H41" i="7216"/>
  <c r="H40" i="7216"/>
  <c r="H13" i="7216"/>
  <c r="C22" i="7216"/>
  <c r="H43" i="7216"/>
  <c r="H15" i="7216"/>
  <c r="H35" i="7216"/>
  <c r="C25" i="7216"/>
  <c r="C44" i="7216"/>
  <c r="H6" i="7216"/>
  <c r="H34" i="7216"/>
  <c r="H33" i="7216"/>
  <c r="H49" i="7216"/>
  <c r="H37" i="7216"/>
  <c r="H5" i="7216"/>
  <c r="H7" i="7216"/>
  <c r="H11" i="7216"/>
  <c r="H28" i="7216"/>
  <c r="B28" i="7216"/>
  <c r="C23" i="7216"/>
  <c r="H42" i="7216"/>
  <c r="H47" i="7216"/>
  <c r="H3" i="7216"/>
  <c r="C24" i="7216"/>
  <c r="H20" i="7216"/>
  <c r="C40" i="7216"/>
  <c r="H48" i="7216"/>
  <c r="H24" i="7216"/>
  <c r="H44" i="7216"/>
  <c r="H4" i="7216"/>
  <c r="H19" i="7216"/>
  <c r="C20" i="7216"/>
  <c r="C26" i="7216"/>
  <c r="H39" i="7216"/>
  <c r="H45" i="7216"/>
  <c r="H50" i="7216"/>
  <c r="H9" i="7216"/>
  <c r="C48" i="7216"/>
  <c r="H2" i="7216"/>
  <c r="H8" i="7216"/>
  <c r="H27" i="7216"/>
  <c r="B27" i="7216"/>
  <c r="H32" i="7216"/>
  <c r="H46" i="7216"/>
  <c r="H51" i="7216"/>
  <c r="H29" i="7216"/>
  <c r="H26" i="7216"/>
  <c r="H22" i="7216"/>
  <c r="C37" i="7216"/>
  <c r="C41" i="7216"/>
  <c r="C45" i="7216"/>
  <c r="C49" i="7216"/>
  <c r="H30" i="7216"/>
  <c r="H10" i="7216"/>
  <c r="H31" i="7216"/>
  <c r="C38" i="7216"/>
  <c r="C42" i="7216"/>
  <c r="C46" i="7216"/>
  <c r="H18" i="7216"/>
  <c r="H36" i="7216"/>
  <c r="H12" i="7216"/>
  <c r="H25" i="7216"/>
  <c r="H38" i="7216"/>
  <c r="C39" i="7216"/>
  <c r="C43" i="7216"/>
  <c r="C47" i="721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<sst xmlns="http://schemas.openxmlformats.org/spreadsheetml/2006/main" count="1995" uniqueCount="238">
  <si>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</si>
  <si>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</si>
  <si>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</si>
  <si>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</si>
  <si>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</si>
  <si>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</si>
  <si>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</si>
  <si>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</si>
  <si>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</si>
  <si>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</si>
  <si>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</si>
  <si>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</si>
  <si>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</si>
  <si>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</si>
  <si>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</si>
  <si>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</si>
  <si>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</si>
  <si>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</si>
  <si>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</si>
  <si>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</si>
  <si>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</si>
  <si>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</si>
  <si>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</si>
  <si>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</si>
  <si>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</si>
  <si>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</si>
  <si>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</si>
  <si>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</si>
  <si>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</si>
  <si>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</si>
  <si>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</si>
  <si>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</si>
  <si>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</si>
  <si>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</si>
  <si>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</si>
  <si>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</si>
  <si>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</si>
  <si>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</si>
  <si>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</si>
  <si>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</si>
  <si>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</si>
  <si>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</si>
  <si>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</si>
  <si>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</si>
  <si>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</si>
  <si>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</si>
  <si>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</si>
  <si>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</si>
  <si>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</si>
  <si>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</si>
  <si>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</si>
  <si>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</si>
  <si>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</si>
  <si>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</si>
  <si>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</si>
  <si>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</si>
  <si>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</si>
  <si>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</si>
  <si>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</si>
  <si>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</si>
  <si>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</si>
  <si>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</si>
  <si>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</si>
  <si>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</si>
  <si>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</si>
  <si>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</si>
  <si>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</si>
  <si>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</si>
  <si>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</si>
  <si>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</si>
  <si>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</si>
  <si>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</si>
  <si>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</si>
  <si>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</si>
  <si>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</si>
  <si>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</si>
  <si>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</si>
  <si>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</si>
  <si>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</si>
  <si>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</si>
  <si>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</si>
  <si>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</si>
  <si>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</si>
  <si>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</si>
  <si>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</si>
  <si>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</si>
  <si>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</si>
  <si>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</si>
  <si>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</si>
  <si>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</si>
  <si>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</si>
  <si>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</si>
  <si>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</si>
  <si>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</si>
  <si>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</si>
  <si>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</si>
  <si>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</si>
  <si>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</si>
  <si>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</si>
  <si>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</si>
  <si>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</si>
  <si>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</si>
  <si>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</si>
  <si>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</si>
  <si>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</si>
  <si>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</si>
  <si>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</si>
  <si>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</si>
  <si>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</si>
  <si>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</si>
  <si>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</si>
  <si>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</si>
  <si>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</si>
  <si>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</si>
  <si>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</si>
  <si>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</si>
  <si>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</si>
  <si>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</si>
  <si>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</si>
  <si>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</si>
  <si>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</si>
  <si>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</si>
  <si>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</si>
  <si>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</si>
  <si>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</si>
  <si>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</si>
  <si>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</si>
  <si>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</si>
  <si>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</si>
  <si>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</si>
  <si>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</si>
  <si>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</si>
  <si>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</si>
  <si>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</si>
  <si>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</si>
  <si>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</si>
  <si>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</si>
  <si>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</si>
  <si>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</si>
  <si>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</si>
  <si>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</si>
  <si>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</si>
  <si>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</si>
  <si>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</si>
  <si>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</si>
  <si>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</si>
  <si>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</si>
  <si>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</si>
  <si>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</si>
  <si>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</si>
  <si>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</si>
  <si>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</si>
  <si>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</si>
  <si>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</si>
  <si>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</si>
  <si>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</si>
  <si>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</si>
  <si>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</si>
  <si>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</si>
  <si>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</si>
  <si>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</si>
  <si>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</si>
  <si>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</si>
  <si>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</si>
  <si>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</si>
  <si>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</si>
  <si>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</si>
  <si>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</si>
  <si>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</si>
  <si>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</si>
  <si>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</si>
  <si>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</si>
  <si>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</si>
  <si>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</si>
  <si>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</si>
  <si>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</si>
  <si>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</si>
  <si>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</si>
  <si>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</si>
  <si>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</si>
  <si>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</si>
  <si>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</si>
  <si>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</si>
  <si>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</si>
  <si>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</si>
  <si>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</si>
  <si>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</si>
  <si>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</si>
  <si>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</si>
  <si>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</si>
  <si>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</si>
  <si>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</si>
  <si>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</si>
  <si>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</si>
  <si>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</si>
  <si>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</si>
  <si>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</si>
  <si>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</si>
  <si>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</si>
  <si>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</si>
  <si>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</si>
  <si>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</si>
  <si>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</si>
  <si>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</si>
  <si>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</si>
  <si>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</si>
  <si>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</si>
  <si>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</si>
  <si>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</si>
  <si>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</si>
  <si>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</si>
  <si>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</si>
  <si>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</si>
  <si>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</si>
  <si>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</si>
  <si>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</si>
  <si>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Sheet6</t>
  </si>
  <si>
    <t>Sheet7</t>
  </si>
  <si>
    <t>Sheet8</t>
  </si>
  <si>
    <t>Sheet9</t>
  </si>
  <si>
    <t>2022-11-06@Ina.xlsm</t>
  </si>
  <si>
    <t>Sheet10</t>
  </si>
  <si>
    <t>Sheet11</t>
  </si>
  <si>
    <t>2021-02-13@Ina.xlsm</t>
  </si>
  <si>
    <t>2021-05-01@Ina.xlsm</t>
  </si>
  <si>
    <t>2022-03-13@Kohama.xlsm</t>
  </si>
  <si>
    <t>2022-03-21@Ina.xlsm</t>
  </si>
  <si>
    <t>2022-04-30@Kohama.xlsm</t>
  </si>
  <si>
    <t>Sheet12</t>
  </si>
  <si>
    <t>Sheet13</t>
  </si>
  <si>
    <t>Sheet14</t>
  </si>
  <si>
    <t>Sheet15</t>
  </si>
  <si>
    <t>2022-05-07@Ina.xlsm</t>
  </si>
  <si>
    <t>ぱぱ</t>
    <phoneticPr fontId="1"/>
  </si>
  <si>
    <t>2022-06-11@Ina.xlsm</t>
  </si>
  <si>
    <t>2022-07-24@Ina.xlsm</t>
  </si>
  <si>
    <t>2022-08-28@Ina.xlsm</t>
  </si>
  <si>
    <t>2023-01-04@Kohama.xlsm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</si>
</sst>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</c:numCache>
            </c:numRef>
          </c:xVal>
          <c:yVal>
            <c:numRef>
              <c:f>全体!$L$2:$L$302</c:f>
              <c:numCache>
                <c:formatCode>\+0.0;\-0.0;\±0</c:formatCode>
                <c:ptCount val="301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  <c:pt idx="145">
                  <c:v>-31.400000000000031</c:v>
                </c:pt>
                <c:pt idx="146">
                  <c:v>-3.1000000000000298</c:v>
                </c:pt>
                <c:pt idx="147">
                  <c:v>-2.9753977059954195E-14</c:v>
                </c:pt>
                <c:pt idx="148">
                  <c:v>56.39999999999997</c:v>
                </c:pt>
                <c:pt idx="149">
                  <c:v>44.39999999999997</c:v>
                </c:pt>
                <c:pt idx="150">
                  <c:v>-2.8421709430404007E-14</c:v>
                </c:pt>
                <c:pt idx="151">
                  <c:v>44.199999999999974</c:v>
                </c:pt>
                <c:pt idx="152">
                  <c:v>9.599999999999973</c:v>
                </c:pt>
                <c:pt idx="153">
                  <c:v>-2.6645352591003757E-14</c:v>
                </c:pt>
                <c:pt idx="154">
                  <c:v>-25.000000000000028</c:v>
                </c:pt>
                <c:pt idx="155">
                  <c:v>56.199999999999974</c:v>
                </c:pt>
                <c:pt idx="156">
                  <c:v>-2.8421709430404007E-14</c:v>
                </c:pt>
                <c:pt idx="157">
                  <c:v>1.5999999999999717</c:v>
                </c:pt>
                <c:pt idx="158">
                  <c:v>-43.60000000000003</c:v>
                </c:pt>
                <c:pt idx="159">
                  <c:v>-2.8421709430404007E-14</c:v>
                </c:pt>
                <c:pt idx="160">
                  <c:v>50.999999999999972</c:v>
                </c:pt>
                <c:pt idx="161">
                  <c:v>0.99999999999997158</c:v>
                </c:pt>
                <c:pt idx="162">
                  <c:v>-2.8421709430404007E-14</c:v>
                </c:pt>
                <c:pt idx="163">
                  <c:v>-46.200000000000031</c:v>
                </c:pt>
                <c:pt idx="164">
                  <c:v>-37.10000000000003</c:v>
                </c:pt>
                <c:pt idx="165">
                  <c:v>-2.8421709430404007E-14</c:v>
                </c:pt>
                <c:pt idx="166">
                  <c:v>5.7999999999999714</c:v>
                </c:pt>
                <c:pt idx="167">
                  <c:v>-51.10000000000003</c:v>
                </c:pt>
                <c:pt idx="168">
                  <c:v>-2.8421709430404007E-14</c:v>
                </c:pt>
                <c:pt idx="169">
                  <c:v>-6.8000000000000282</c:v>
                </c:pt>
                <c:pt idx="170">
                  <c:v>62.199999999999974</c:v>
                </c:pt>
                <c:pt idx="171">
                  <c:v>-2.8421709430404007E-14</c:v>
                </c:pt>
                <c:pt idx="172">
                  <c:v>11.999999999999972</c:v>
                </c:pt>
                <c:pt idx="173">
                  <c:v>46.799999999999969</c:v>
                </c:pt>
                <c:pt idx="174">
                  <c:v>-2.8421709430404007E-14</c:v>
                </c:pt>
                <c:pt idx="175">
                  <c:v>-61.300000000000026</c:v>
                </c:pt>
                <c:pt idx="176">
                  <c:v>6.1999999999999744</c:v>
                </c:pt>
                <c:pt idx="177">
                  <c:v>-2.5757174171303632E-14</c:v>
                </c:pt>
                <c:pt idx="178">
                  <c:v>-63.500000000000028</c:v>
                </c:pt>
                <c:pt idx="179">
                  <c:v>-88.000000000000028</c:v>
                </c:pt>
                <c:pt idx="180">
                  <c:v>-2.8421709430404007E-14</c:v>
                </c:pt>
                <c:pt idx="181">
                  <c:v>-30.500000000000028</c:v>
                </c:pt>
                <c:pt idx="182">
                  <c:v>-30.60000000000003</c:v>
                </c:pt>
                <c:pt idx="183">
                  <c:v>-2.8421709430404007E-14</c:v>
                </c:pt>
                <c:pt idx="184">
                  <c:v>55.699999999999974</c:v>
                </c:pt>
                <c:pt idx="185">
                  <c:v>10.199999999999974</c:v>
                </c:pt>
                <c:pt idx="186">
                  <c:v>-2.4868995751603507E-14</c:v>
                </c:pt>
                <c:pt idx="187">
                  <c:v>3.9999999999999751</c:v>
                </c:pt>
                <c:pt idx="188">
                  <c:v>-28.800000000000022</c:v>
                </c:pt>
                <c:pt idx="189">
                  <c:v>-2.1316282072803006E-14</c:v>
                </c:pt>
                <c:pt idx="190">
                  <c:v>36.799999999999976</c:v>
                </c:pt>
                <c:pt idx="191">
                  <c:v>6.1999999999999744</c:v>
                </c:pt>
                <c:pt idx="192">
                  <c:v>-2.5757174171303632E-14</c:v>
                </c:pt>
                <c:pt idx="193">
                  <c:v>55.999999999999972</c:v>
                </c:pt>
                <c:pt idx="194">
                  <c:v>50.89999999999997</c:v>
                </c:pt>
                <c:pt idx="195">
                  <c:v>-2.8421709430404007E-14</c:v>
                </c:pt>
                <c:pt idx="196">
                  <c:v>-0.90000000000002844</c:v>
                </c:pt>
                <c:pt idx="197">
                  <c:v>-35.200000000000024</c:v>
                </c:pt>
                <c:pt idx="198">
                  <c:v>-2.1316282072803006E-14</c:v>
                </c:pt>
                <c:pt idx="199">
                  <c:v>29.59999999999998</c:v>
                </c:pt>
                <c:pt idx="200">
                  <c:v>26.799999999999979</c:v>
                </c:pt>
                <c:pt idx="201">
                  <c:v>-2.1316282072803006E-14</c:v>
                </c:pt>
                <c:pt idx="202">
                  <c:v>-7.3000000000000211</c:v>
                </c:pt>
                <c:pt idx="203">
                  <c:v>58.799999999999976</c:v>
                </c:pt>
                <c:pt idx="204">
                  <c:v>-2.1316282072803006E-14</c:v>
                </c:pt>
                <c:pt idx="205">
                  <c:v>42.899999999999977</c:v>
                </c:pt>
                <c:pt idx="206">
                  <c:v>57.799999999999976</c:v>
                </c:pt>
                <c:pt idx="207">
                  <c:v>-2.1316282072803006E-14</c:v>
                </c:pt>
                <c:pt idx="208">
                  <c:v>85.599999999999966</c:v>
                </c:pt>
                <c:pt idx="209">
                  <c:v>60.699999999999967</c:v>
                </c:pt>
                <c:pt idx="210">
                  <c:v>-3.5527136788005009E-14</c:v>
                </c:pt>
                <c:pt idx="211">
                  <c:v>-23.400000000000034</c:v>
                </c:pt>
                <c:pt idx="212">
                  <c:v>-3.5527136788005009E-14</c:v>
                </c:pt>
                <c:pt idx="213">
                  <c:v>-3.5527136788005009E-14</c:v>
                </c:pt>
                <c:pt idx="214">
                  <c:v>8.8999999999999648</c:v>
                </c:pt>
                <c:pt idx="215">
                  <c:v>55.599999999999966</c:v>
                </c:pt>
                <c:pt idx="216">
                  <c:v>-3.5527136788005009E-14</c:v>
                </c:pt>
                <c:pt idx="217">
                  <c:v>60.599999999999966</c:v>
                </c:pt>
                <c:pt idx="218">
                  <c:v>57.899999999999963</c:v>
                </c:pt>
                <c:pt idx="219">
                  <c:v>-3.5527136788005009E-14</c:v>
                </c:pt>
                <c:pt idx="220">
                  <c:v>45.199999999999967</c:v>
                </c:pt>
                <c:pt idx="221">
                  <c:v>34.499999999999972</c:v>
                </c:pt>
                <c:pt idx="222">
                  <c:v>-2.8421709430404007E-14</c:v>
                </c:pt>
                <c:pt idx="223">
                  <c:v>44.699999999999974</c:v>
                </c:pt>
                <c:pt idx="224">
                  <c:v>33.599999999999973</c:v>
                </c:pt>
                <c:pt idx="225">
                  <c:v>-2.8421709430404007E-14</c:v>
                </c:pt>
                <c:pt idx="226">
                  <c:v>47.199999999999974</c:v>
                </c:pt>
                <c:pt idx="227">
                  <c:v>56.799999999999976</c:v>
                </c:pt>
                <c:pt idx="228">
                  <c:v>-2.1316282072803006E-14</c:v>
                </c:pt>
                <c:pt idx="229">
                  <c:v>-59.40000000000002</c:v>
                </c:pt>
                <c:pt idx="230">
                  <c:v>-45.300000000000018</c:v>
                </c:pt>
                <c:pt idx="231">
                  <c:v>-2.1316282072803006E-14</c:v>
                </c:pt>
                <c:pt idx="232">
                  <c:v>-2.1316282072803006E-14</c:v>
                </c:pt>
                <c:pt idx="233">
                  <c:v>58.59999999999998</c:v>
                </c:pt>
                <c:pt idx="234">
                  <c:v>-2.1316282072803006E-14</c:v>
                </c:pt>
                <c:pt idx="235">
                  <c:v>-0.70000000000002127</c:v>
                </c:pt>
                <c:pt idx="236">
                  <c:v>-25.100000000000019</c:v>
                </c:pt>
                <c:pt idx="237">
                  <c:v>-1.7763568394002505E-14</c:v>
                </c:pt>
                <c:pt idx="238">
                  <c:v>-33.90000000000002</c:v>
                </c:pt>
                <c:pt idx="239">
                  <c:v>7.0999999999999801</c:v>
                </c:pt>
                <c:pt idx="240">
                  <c:v>-1.9539925233402755E-14</c:v>
                </c:pt>
                <c:pt idx="241">
                  <c:v>-100.60000000000001</c:v>
                </c:pt>
                <c:pt idx="242">
                  <c:v>-116.4</c:v>
                </c:pt>
                <c:pt idx="243">
                  <c:v>0</c:v>
                </c:pt>
                <c:pt idx="244">
                  <c:v>-3.5</c:v>
                </c:pt>
                <c:pt idx="245">
                  <c:v>-58.9</c:v>
                </c:pt>
                <c:pt idx="246">
                  <c:v>0</c:v>
                </c:pt>
                <c:pt idx="247">
                  <c:v>44.5</c:v>
                </c:pt>
                <c:pt idx="248">
                  <c:v>-8.7000000000000028</c:v>
                </c:pt>
                <c:pt idx="249">
                  <c:v>-3.5527136788005009E-15</c:v>
                </c:pt>
                <c:pt idx="250">
                  <c:v>2.4999999999999964</c:v>
                </c:pt>
                <c:pt idx="251">
                  <c:v>-71.099999999999994</c:v>
                </c:pt>
                <c:pt idx="252">
                  <c:v>0</c:v>
                </c:pt>
                <c:pt idx="253">
                  <c:v>-26.5</c:v>
                </c:pt>
                <c:pt idx="254">
                  <c:v>-28.3</c:v>
                </c:pt>
                <c:pt idx="255">
                  <c:v>0</c:v>
                </c:pt>
                <c:pt idx="256">
                  <c:v>-56.6</c:v>
                </c:pt>
                <c:pt idx="257">
                  <c:v>-4.7000000000000028</c:v>
                </c:pt>
                <c:pt idx="258">
                  <c:v>-2.6645352591003757E-15</c:v>
                </c:pt>
                <c:pt idx="259">
                  <c:v>1.4999999999999973</c:v>
                </c:pt>
                <c:pt idx="260">
                  <c:v>57.9</c:v>
                </c:pt>
                <c:pt idx="261">
                  <c:v>0</c:v>
                </c:pt>
                <c:pt idx="262">
                  <c:v>-33.1</c:v>
                </c:pt>
                <c:pt idx="263">
                  <c:v>7.3999999999999986</c:v>
                </c:pt>
                <c:pt idx="264">
                  <c:v>-1.7763568394002505E-15</c:v>
                </c:pt>
                <c:pt idx="265">
                  <c:v>47.7</c:v>
                </c:pt>
                <c:pt idx="266">
                  <c:v>58.2</c:v>
                </c:pt>
                <c:pt idx="267">
                  <c:v>0</c:v>
                </c:pt>
                <c:pt idx="268">
                  <c:v>79.599999999999994</c:v>
                </c:pt>
                <c:pt idx="269">
                  <c:v>19.299999999999997</c:v>
                </c:pt>
                <c:pt idx="270">
                  <c:v>-3.5527136788005009E-15</c:v>
                </c:pt>
                <c:pt idx="271">
                  <c:v>34.899999999999991</c:v>
                </c:pt>
                <c:pt idx="272">
                  <c:v>33.29999999999999</c:v>
                </c:pt>
                <c:pt idx="273">
                  <c:v>-7.1054273576010019E-15</c:v>
                </c:pt>
                <c:pt idx="274">
                  <c:v>25.999999999999993</c:v>
                </c:pt>
                <c:pt idx="275">
                  <c:v>-4.3000000000000078</c:v>
                </c:pt>
                <c:pt idx="276">
                  <c:v>-7.9936057773011271E-15</c:v>
                </c:pt>
                <c:pt idx="277">
                  <c:v>26.599999999999994</c:v>
                </c:pt>
                <c:pt idx="278">
                  <c:v>28.899999999999995</c:v>
                </c:pt>
                <c:pt idx="279">
                  <c:v>-3.5527136788005009E-15</c:v>
                </c:pt>
                <c:pt idx="280">
                  <c:v>-56.100000000000009</c:v>
                </c:pt>
                <c:pt idx="281">
                  <c:v>-11.100000000000009</c:v>
                </c:pt>
                <c:pt idx="282">
                  <c:v>-8.8817841970012523E-15</c:v>
                </c:pt>
                <c:pt idx="283">
                  <c:v>30.79999999999999</c:v>
                </c:pt>
                <c:pt idx="284">
                  <c:v>29.599999999999991</c:v>
                </c:pt>
                <c:pt idx="285">
                  <c:v>-1.0658141036401503E-14</c:v>
                </c:pt>
                <c:pt idx="286">
                  <c:v>-46.200000000000017</c:v>
                </c:pt>
                <c:pt idx="287">
                  <c:v>-4.7000000000000171</c:v>
                </c:pt>
                <c:pt idx="288">
                  <c:v>-1.6875389974302379E-14</c:v>
                </c:pt>
                <c:pt idx="289">
                  <c:v>47.199999999999989</c:v>
                </c:pt>
                <c:pt idx="290">
                  <c:v>-11.70000000000001</c:v>
                </c:pt>
                <c:pt idx="291">
                  <c:v>-1.0658141036401503E-14</c:v>
                </c:pt>
                <c:pt idx="292">
                  <c:v>32.499999999999986</c:v>
                </c:pt>
                <c:pt idx="293">
                  <c:v>41.899999999999984</c:v>
                </c:pt>
                <c:pt idx="294">
                  <c:v>-1.4210854715202004E-14</c:v>
                </c:pt>
                <c:pt idx="295">
                  <c:v>-60.500000000000014</c:v>
                </c:pt>
                <c:pt idx="296">
                  <c:v>-59.100000000000016</c:v>
                </c:pt>
                <c:pt idx="297">
                  <c:v>-1.4210854715202004E-14</c:v>
                </c:pt>
                <c:pt idx="298">
                  <c:v>3.4999999999999858</c:v>
                </c:pt>
                <c:pt idx="299">
                  <c:v>70.999999999999986</c:v>
                </c:pt>
                <c:pt idx="30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2-449C-9C65-40353B16F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-27.210884353741495</c:v>
                </c:pt>
                <c:pt idx="1">
                  <c:v>21.50537634408602</c:v>
                </c:pt>
                <c:pt idx="2">
                  <c:v>-3.7453183520599249</c:v>
                </c:pt>
                <c:pt idx="3">
                  <c:v>-20.325203252032519</c:v>
                </c:pt>
                <c:pt idx="4">
                  <c:v>4.5662100456621006</c:v>
                </c:pt>
                <c:pt idx="5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6-422B-B189-2F9386A91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32</c:v>
                </c:pt>
                <c:pt idx="1">
                  <c:v>106</c:v>
                </c:pt>
                <c:pt idx="2">
                  <c:v>121</c:v>
                </c:pt>
                <c:pt idx="3">
                  <c:v>160</c:v>
                </c:pt>
                <c:pt idx="4">
                  <c:v>115</c:v>
                </c:pt>
                <c:pt idx="5">
                  <c:v>66</c:v>
                </c:pt>
                <c:pt idx="6">
                  <c:v>37</c:v>
                </c:pt>
                <c:pt idx="7">
                  <c:v>22</c:v>
                </c:pt>
                <c:pt idx="8">
                  <c:v>16</c:v>
                </c:pt>
                <c:pt idx="9">
                  <c:v>6</c:v>
                </c:pt>
                <c:pt idx="10">
                  <c:v>5</c:v>
                </c:pt>
                <c:pt idx="11">
                  <c:v>0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E-4761-BCA4-F74F127B9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全体!$K$2:$K$302</c:f>
              <c:numCache>
                <c:formatCode>General</c:formatCode>
                <c:ptCount val="3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</c:numCache>
            </c:numRef>
          </c:xVal>
          <c:yVal>
            <c:numRef>
              <c:f>全体!$M$2:$M$302</c:f>
              <c:numCache>
                <c:formatCode>0</c:formatCode>
                <c:ptCount val="301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  <c:pt idx="145">
                  <c:v>1600.0687143192902</c:v>
                </c:pt>
                <c:pt idx="146">
                  <c:v>1605.0363020333743</c:v>
                </c:pt>
                <c:pt idx="147">
                  <c:v>1605.438084221174</c:v>
                </c:pt>
                <c:pt idx="148">
                  <c:v>1615.4314557158471</c:v>
                </c:pt>
                <c:pt idx="149">
                  <c:v>1613.0528669815519</c:v>
                </c:pt>
                <c:pt idx="150">
                  <c:v>1604.8565497796626</c:v>
                </c:pt>
                <c:pt idx="151">
                  <c:v>1612.6574104809847</c:v>
                </c:pt>
                <c:pt idx="152">
                  <c:v>1606.2274660180988</c:v>
                </c:pt>
                <c:pt idx="153">
                  <c:v>1604.3361012219902</c:v>
                </c:pt>
                <c:pt idx="154">
                  <c:v>1599.4020846146584</c:v>
                </c:pt>
                <c:pt idx="155">
                  <c:v>1613.6136721069704</c:v>
                </c:pt>
                <c:pt idx="156">
                  <c:v>1603.0079900743285</c:v>
                </c:pt>
                <c:pt idx="157">
                  <c:v>1602.8639421338826</c:v>
                </c:pt>
                <c:pt idx="158">
                  <c:v>1594.2967584810792</c:v>
                </c:pt>
                <c:pt idx="159">
                  <c:v>1601.7649779301928</c:v>
                </c:pt>
                <c:pt idx="160">
                  <c:v>1610.5203880626116</c:v>
                </c:pt>
                <c:pt idx="161">
                  <c:v>1601.043265734236</c:v>
                </c:pt>
                <c:pt idx="162">
                  <c:v>1600.4430061398307</c:v>
                </c:pt>
                <c:pt idx="163">
                  <c:v>1592.1723481029917</c:v>
                </c:pt>
                <c:pt idx="164">
                  <c:v>1593.9053140143737</c:v>
                </c:pt>
                <c:pt idx="165">
                  <c:v>1600.6678821302876</c:v>
                </c:pt>
                <c:pt idx="166">
                  <c:v>1602.0438748375059</c:v>
                </c:pt>
                <c:pt idx="167">
                  <c:v>1592.1256115884808</c:v>
                </c:pt>
                <c:pt idx="168">
                  <c:v>1601.7068579189499</c:v>
                </c:pt>
                <c:pt idx="169">
                  <c:v>1600.0826167714363</c:v>
                </c:pt>
                <c:pt idx="170">
                  <c:v>1612.1121210708077</c:v>
                </c:pt>
                <c:pt idx="171">
                  <c:v>1600.4534483443829</c:v>
                </c:pt>
                <c:pt idx="172">
                  <c:v>1602.6587276543166</c:v>
                </c:pt>
                <c:pt idx="173">
                  <c:v>1608.9547752883907</c:v>
                </c:pt>
                <c:pt idx="174">
                  <c:v>1600.5250466366604</c:v>
                </c:pt>
                <c:pt idx="175">
                  <c:v>1589.5358963568403</c:v>
                </c:pt>
                <c:pt idx="176">
                  <c:v>1601.7966809786992</c:v>
                </c:pt>
                <c:pt idx="177">
                  <c:v>1600.7179008928269</c:v>
                </c:pt>
                <c:pt idx="178">
                  <c:v>1589.3315934874699</c:v>
                </c:pt>
                <c:pt idx="179">
                  <c:v>1585.0336039265451</c:v>
                </c:pt>
                <c:pt idx="180">
                  <c:v>1601.0114023029857</c:v>
                </c:pt>
                <c:pt idx="181">
                  <c:v>1595.5633338891678</c:v>
                </c:pt>
                <c:pt idx="182">
                  <c:v>1595.6199538858327</c:v>
                </c:pt>
                <c:pt idx="183">
                  <c:v>1601.2022341625177</c:v>
                </c:pt>
                <c:pt idx="184">
                  <c:v>1611.2690207575426</c:v>
                </c:pt>
                <c:pt idx="185">
                  <c:v>1603.0594066329975</c:v>
                </c:pt>
                <c:pt idx="186">
                  <c:v>1601.2530501931994</c:v>
                </c:pt>
                <c:pt idx="187">
                  <c:v>1602.0135318920402</c:v>
                </c:pt>
                <c:pt idx="188">
                  <c:v>1596.1454507006879</c:v>
                </c:pt>
                <c:pt idx="189">
                  <c:v>1601.4005779964837</c:v>
                </c:pt>
                <c:pt idx="190">
                  <c:v>1608.0641745285047</c:v>
                </c:pt>
                <c:pt idx="191">
                  <c:v>1602.5557894813337</c:v>
                </c:pt>
                <c:pt idx="192">
                  <c:v>1601.4724547444457</c:v>
                </c:pt>
                <c:pt idx="193">
                  <c:v>1611.5916200159791</c:v>
                </c:pt>
                <c:pt idx="194">
                  <c:v>1610.6520702958833</c:v>
                </c:pt>
                <c:pt idx="195">
                  <c:v>1601.474157874108</c:v>
                </c:pt>
                <c:pt idx="196">
                  <c:v>1601.3513129268633</c:v>
                </c:pt>
                <c:pt idx="197">
                  <c:v>1595.217205049302</c:v>
                </c:pt>
                <c:pt idx="198">
                  <c:v>1601.6299018190061</c:v>
                </c:pt>
                <c:pt idx="199">
                  <c:v>1606.9961224080921</c:v>
                </c:pt>
                <c:pt idx="200">
                  <c:v>1606.4981456736436</c:v>
                </c:pt>
                <c:pt idx="201">
                  <c:v>1601.6831567996019</c:v>
                </c:pt>
                <c:pt idx="202">
                  <c:v>1600.4070578588044</c:v>
                </c:pt>
                <c:pt idx="203">
                  <c:v>1612.3506155116515</c:v>
                </c:pt>
                <c:pt idx="204">
                  <c:v>1601.7405118185816</c:v>
                </c:pt>
                <c:pt idx="205">
                  <c:v>1609.5000687476702</c:v>
                </c:pt>
                <c:pt idx="206">
                  <c:v>1612.1730683351841</c:v>
                </c:pt>
                <c:pt idx="207">
                  <c:v>1601.744029925173</c:v>
                </c:pt>
                <c:pt idx="208">
                  <c:v>1617.1895657456218</c:v>
                </c:pt>
                <c:pt idx="209">
                  <c:v>1612.652428351148</c:v>
                </c:pt>
                <c:pt idx="210">
                  <c:v>1601.6985137810411</c:v>
                </c:pt>
                <c:pt idx="211">
                  <c:v>1597.5243226983548</c:v>
                </c:pt>
                <c:pt idx="212">
                  <c:v>1601.7991767621647</c:v>
                </c:pt>
                <c:pt idx="213">
                  <c:v>1601.8363817015918</c:v>
                </c:pt>
                <c:pt idx="214">
                  <c:v>1603.3553634113823</c:v>
                </c:pt>
                <c:pt idx="215">
                  <c:v>1611.669231230914</c:v>
                </c:pt>
                <c:pt idx="216">
                  <c:v>1601.5192158435284</c:v>
                </c:pt>
                <c:pt idx="217">
                  <c:v>1612.3461005484671</c:v>
                </c:pt>
                <c:pt idx="218">
                  <c:v>1611.7140239451762</c:v>
                </c:pt>
                <c:pt idx="219">
                  <c:v>1601.1497398015051</c:v>
                </c:pt>
                <c:pt idx="220">
                  <c:v>1608.8468413626961</c:v>
                </c:pt>
                <c:pt idx="221">
                  <c:v>1606.4357603145199</c:v>
                </c:pt>
                <c:pt idx="222">
                  <c:v>1599.7551457526329</c:v>
                </c:pt>
                <c:pt idx="223">
                  <c:v>1607.364614878117</c:v>
                </c:pt>
                <c:pt idx="224">
                  <c:v>1604.8844271888483</c:v>
                </c:pt>
                <c:pt idx="225">
                  <c:v>1598.3691206257154</c:v>
                </c:pt>
                <c:pt idx="226">
                  <c:v>1607.210905901961</c:v>
                </c:pt>
                <c:pt idx="227">
                  <c:v>1609.2316404665494</c:v>
                </c:pt>
                <c:pt idx="228">
                  <c:v>1599.2882506237502</c:v>
                </c:pt>
                <c:pt idx="229">
                  <c:v>1588.1865211200077</c:v>
                </c:pt>
                <c:pt idx="230">
                  <c:v>1590.3814019932877</c:v>
                </c:pt>
                <c:pt idx="231">
                  <c:v>1598.179113581328</c:v>
                </c:pt>
                <c:pt idx="232">
                  <c:v>1598.2200388998401</c:v>
                </c:pt>
                <c:pt idx="233">
                  <c:v>1608.8087186664411</c:v>
                </c:pt>
                <c:pt idx="234">
                  <c:v>1598.2378663544425</c:v>
                </c:pt>
                <c:pt idx="235">
                  <c:v>1597.690439156316</c:v>
                </c:pt>
                <c:pt idx="236">
                  <c:v>1592.8802965213781</c:v>
                </c:pt>
                <c:pt idx="237">
                  <c:v>1597.0090147422497</c:v>
                </c:pt>
                <c:pt idx="238">
                  <c:v>1590.9669606537961</c:v>
                </c:pt>
                <c:pt idx="239">
                  <c:v>1598.4431588898733</c:v>
                </c:pt>
                <c:pt idx="240">
                  <c:v>1597.2164999365341</c:v>
                </c:pt>
                <c:pt idx="241">
                  <c:v>1579.0412009369149</c:v>
                </c:pt>
                <c:pt idx="242">
                  <c:v>1576.2389537312933</c:v>
                </c:pt>
                <c:pt idx="243">
                  <c:v>1597.2495200089056</c:v>
                </c:pt>
                <c:pt idx="244">
                  <c:v>1596.1500228888522</c:v>
                </c:pt>
                <c:pt idx="245">
                  <c:v>1585.7151227515189</c:v>
                </c:pt>
                <c:pt idx="246">
                  <c:v>1595.9168320150097</c:v>
                </c:pt>
                <c:pt idx="247">
                  <c:v>1604.3293310229196</c:v>
                </c:pt>
                <c:pt idx="248">
                  <c:v>1595.1053550367822</c:v>
                </c:pt>
                <c:pt idx="249">
                  <c:v>1597.0787229065616</c:v>
                </c:pt>
                <c:pt idx="250">
                  <c:v>1597.9242505691223</c:v>
                </c:pt>
                <c:pt idx="251">
                  <c:v>1585.0667050657075</c:v>
                </c:pt>
                <c:pt idx="252">
                  <c:v>1598.3323048353134</c:v>
                </c:pt>
                <c:pt idx="253">
                  <c:v>1593.9503110063015</c:v>
                </c:pt>
                <c:pt idx="254">
                  <c:v>1594.0406091402638</c:v>
                </c:pt>
                <c:pt idx="255">
                  <c:v>1599.5483654854222</c:v>
                </c:pt>
                <c:pt idx="256">
                  <c:v>1589.7410752925098</c:v>
                </c:pt>
                <c:pt idx="257">
                  <c:v>1599.5226288407548</c:v>
                </c:pt>
                <c:pt idx="258">
                  <c:v>1600.7494930677103</c:v>
                </c:pt>
                <c:pt idx="259">
                  <c:v>1601.392996109304</c:v>
                </c:pt>
                <c:pt idx="260">
                  <c:v>1611.9146381326482</c:v>
                </c:pt>
                <c:pt idx="261">
                  <c:v>1601.7991503038522</c:v>
                </c:pt>
                <c:pt idx="262">
                  <c:v>1596.2083554020292</c:v>
                </c:pt>
                <c:pt idx="263">
                  <c:v>1603.8991052696169</c:v>
                </c:pt>
                <c:pt idx="264">
                  <c:v>1602.9217106379992</c:v>
                </c:pt>
                <c:pt idx="265">
                  <c:v>1611.8681803741713</c:v>
                </c:pt>
                <c:pt idx="266">
                  <c:v>1614.0649712919262</c:v>
                </c:pt>
                <c:pt idx="267">
                  <c:v>1603.8825814641746</c:v>
                </c:pt>
                <c:pt idx="268">
                  <c:v>1618.5652859753895</c:v>
                </c:pt>
                <c:pt idx="269">
                  <c:v>1607.9778942595372</c:v>
                </c:pt>
                <c:pt idx="270">
                  <c:v>1604.8340268939799</c:v>
                </c:pt>
                <c:pt idx="271">
                  <c:v>1611.465022732616</c:v>
                </c:pt>
                <c:pt idx="272">
                  <c:v>1611.4862325962204</c:v>
                </c:pt>
                <c:pt idx="273">
                  <c:v>1605.8013152006431</c:v>
                </c:pt>
                <c:pt idx="274">
                  <c:v>1610.8245073094392</c:v>
                </c:pt>
                <c:pt idx="275">
                  <c:v>1605.6835602655826</c:v>
                </c:pt>
                <c:pt idx="276">
                  <c:v>1606.8014589039892</c:v>
                </c:pt>
                <c:pt idx="277">
                  <c:v>1611.9266501505654</c:v>
                </c:pt>
                <c:pt idx="278">
                  <c:v>1612.6470902496619</c:v>
                </c:pt>
                <c:pt idx="279">
                  <c:v>1607.7472077081638</c:v>
                </c:pt>
                <c:pt idx="280">
                  <c:v>1597.9807244619149</c:v>
                </c:pt>
                <c:pt idx="281">
                  <c:v>1606.4708401151433</c:v>
                </c:pt>
                <c:pt idx="282">
                  <c:v>1608.8080150744524</c:v>
                </c:pt>
                <c:pt idx="283">
                  <c:v>1614.6771669840057</c:v>
                </c:pt>
                <c:pt idx="284">
                  <c:v>1614.7511039821015</c:v>
                </c:pt>
                <c:pt idx="285">
                  <c:v>1609.712597358209</c:v>
                </c:pt>
                <c:pt idx="286">
                  <c:v>1601.7163217740597</c:v>
                </c:pt>
                <c:pt idx="287">
                  <c:v>1609.5540238434153</c:v>
                </c:pt>
                <c:pt idx="288">
                  <c:v>1610.7206997003548</c:v>
                </c:pt>
                <c:pt idx="289">
                  <c:v>1619.5303755021525</c:v>
                </c:pt>
                <c:pt idx="290">
                  <c:v>1609.1891932491396</c:v>
                </c:pt>
                <c:pt idx="291">
                  <c:v>1611.6180580896448</c:v>
                </c:pt>
                <c:pt idx="292">
                  <c:v>1617.776349741107</c:v>
                </c:pt>
                <c:pt idx="293">
                  <c:v>1619.7396916426603</c:v>
                </c:pt>
                <c:pt idx="294">
                  <c:v>1612.4572534928043</c:v>
                </c:pt>
                <c:pt idx="295">
                  <c:v>1601.8705099718475</c:v>
                </c:pt>
                <c:pt idx="296">
                  <c:v>1602.4892869120165</c:v>
                </c:pt>
                <c:pt idx="297">
                  <c:v>1613.4903511905443</c:v>
                </c:pt>
                <c:pt idx="298">
                  <c:v>1614.417409083401</c:v>
                </c:pt>
                <c:pt idx="299">
                  <c:v>1626.8589046289005</c:v>
                </c:pt>
                <c:pt idx="300">
                  <c:v>1614.2957512011271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A-475C-8828-93EEF400E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  <c:pt idx="40">
                  <c:v>232.7</c:v>
                </c:pt>
                <c:pt idx="41">
                  <c:v>263.3</c:v>
                </c:pt>
                <c:pt idx="42">
                  <c:v>253.10000000000002</c:v>
                </c:pt>
                <c:pt idx="43">
                  <c:v>281.90000000000003</c:v>
                </c:pt>
                <c:pt idx="44">
                  <c:v>275.70000000000005</c:v>
                </c:pt>
                <c:pt idx="45">
                  <c:v>224.80000000000004</c:v>
                </c:pt>
                <c:pt idx="46">
                  <c:v>260.00000000000006</c:v>
                </c:pt>
                <c:pt idx="47">
                  <c:v>233.20000000000005</c:v>
                </c:pt>
                <c:pt idx="48">
                  <c:v>174.40000000000003</c:v>
                </c:pt>
                <c:pt idx="49">
                  <c:v>116.60000000000004</c:v>
                </c:pt>
                <c:pt idx="50">
                  <c:v>55.900000000000034</c:v>
                </c:pt>
                <c:pt idx="51">
                  <c:v>55.900000000000034</c:v>
                </c:pt>
                <c:pt idx="52">
                  <c:v>101.10000000000004</c:v>
                </c:pt>
                <c:pt idx="53">
                  <c:v>145.80000000000004</c:v>
                </c:pt>
                <c:pt idx="54">
                  <c:v>193.00000000000006</c:v>
                </c:pt>
                <c:pt idx="55">
                  <c:v>133.60000000000005</c:v>
                </c:pt>
                <c:pt idx="56">
                  <c:v>133.60000000000005</c:v>
                </c:pt>
                <c:pt idx="57">
                  <c:v>132.90000000000006</c:v>
                </c:pt>
                <c:pt idx="58">
                  <c:v>99.000000000000057</c:v>
                </c:pt>
                <c:pt idx="59">
                  <c:v>157.90000000000006</c:v>
                </c:pt>
                <c:pt idx="60">
                  <c:v>166.60000000000005</c:v>
                </c:pt>
                <c:pt idx="61">
                  <c:v>237.70000000000005</c:v>
                </c:pt>
                <c:pt idx="62">
                  <c:v>266.00000000000006</c:v>
                </c:pt>
                <c:pt idx="63">
                  <c:v>270.70000000000005</c:v>
                </c:pt>
                <c:pt idx="64">
                  <c:v>212.80000000000004</c:v>
                </c:pt>
                <c:pt idx="65">
                  <c:v>205.40000000000003</c:v>
                </c:pt>
                <c:pt idx="66">
                  <c:v>147.20000000000005</c:v>
                </c:pt>
                <c:pt idx="67">
                  <c:v>127.90000000000005</c:v>
                </c:pt>
                <c:pt idx="68">
                  <c:v>94.600000000000051</c:v>
                </c:pt>
                <c:pt idx="69">
                  <c:v>98.900000000000048</c:v>
                </c:pt>
                <c:pt idx="70">
                  <c:v>70.000000000000057</c:v>
                </c:pt>
                <c:pt idx="71">
                  <c:v>13.900000000000055</c:v>
                </c:pt>
                <c:pt idx="72">
                  <c:v>44.70000000000006</c:v>
                </c:pt>
                <c:pt idx="73">
                  <c:v>86.20000000000006</c:v>
                </c:pt>
                <c:pt idx="74">
                  <c:v>27.300000000000061</c:v>
                </c:pt>
                <c:pt idx="75">
                  <c:v>-14.599999999999937</c:v>
                </c:pt>
                <c:pt idx="76">
                  <c:v>44.500000000000064</c:v>
                </c:pt>
                <c:pt idx="77">
                  <c:v>-26.499999999999936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1D-45A0-8383-77837C7AF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2544</c:v>
                </c:pt>
                <c:pt idx="1">
                  <c:v>-754.28571428571433</c:v>
                </c:pt>
                <c:pt idx="2">
                  <c:v>-2163.6363636363635</c:v>
                </c:pt>
                <c:pt idx="3">
                  <c:v>-885.24590163934431</c:v>
                </c:pt>
                <c:pt idx="4">
                  <c:v>-245.28301886792454</c:v>
                </c:pt>
                <c:pt idx="5">
                  <c:v>674.468085106383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8-41B1-92B6-957996A2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25</c:v>
                </c:pt>
                <c:pt idx="3">
                  <c:v>48</c:v>
                </c:pt>
                <c:pt idx="4">
                  <c:v>29</c:v>
                </c:pt>
                <c:pt idx="5">
                  <c:v>17</c:v>
                </c:pt>
                <c:pt idx="6">
                  <c:v>9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2-4BAB-9B6B-262BC15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れんたろう!$M$2:$M$79</c:f>
              <c:numCache>
                <c:formatCode>0</c:formatCode>
                <c:ptCount val="78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  <c:pt idx="32">
                  <c:v>1626.0475685220936</c:v>
                </c:pt>
                <c:pt idx="33">
                  <c:v>1633.325283110961</c:v>
                </c:pt>
                <c:pt idx="34">
                  <c:v>1632.5313314122952</c:v>
                </c:pt>
                <c:pt idx="35">
                  <c:v>1639.0621434238215</c:v>
                </c:pt>
                <c:pt idx="36">
                  <c:v>1648.3617705632785</c:v>
                </c:pt>
                <c:pt idx="37">
                  <c:v>1636.4855999398987</c:v>
                </c:pt>
                <c:pt idx="38">
                  <c:v>1627.8906863402594</c:v>
                </c:pt>
                <c:pt idx="39">
                  <c:v>1626.6553422222178</c:v>
                </c:pt>
                <c:pt idx="40">
                  <c:v>1642.3834101688844</c:v>
                </c:pt>
                <c:pt idx="41">
                  <c:v>1647.6851097078711</c:v>
                </c:pt>
                <c:pt idx="42">
                  <c:v>1645.6109990496238</c:v>
                </c:pt>
                <c:pt idx="43">
                  <c:v>1650.5693330553261</c:v>
                </c:pt>
                <c:pt idx="44">
                  <c:v>1649.1979170569941</c:v>
                </c:pt>
                <c:pt idx="45">
                  <c:v>1639.7887295546523</c:v>
                </c:pt>
                <c:pt idx="46">
                  <c:v>1645.9339971773243</c:v>
                </c:pt>
                <c:pt idx="47">
                  <c:v>1640.8823931942604</c:v>
                </c:pt>
                <c:pt idx="48">
                  <c:v>1630.1010988350949</c:v>
                </c:pt>
                <c:pt idx="49">
                  <c:v>1619.5644922420843</c:v>
                </c:pt>
                <c:pt idx="50">
                  <c:v>1608.5691052886318</c:v>
                </c:pt>
                <c:pt idx="51">
                  <c:v>1608.5656906569</c:v>
                </c:pt>
                <c:pt idx="52">
                  <c:v>1616.2182965129587</c:v>
                </c:pt>
                <c:pt idx="53">
                  <c:v>1623.7289867338809</c:v>
                </c:pt>
                <c:pt idx="54">
                  <c:v>1632.4186128134777</c:v>
                </c:pt>
                <c:pt idx="55">
                  <c:v>1621.1181011365968</c:v>
                </c:pt>
                <c:pt idx="56">
                  <c:v>1621.0213925297771</c:v>
                </c:pt>
                <c:pt idx="57">
                  <c:v>1620.3372641745984</c:v>
                </c:pt>
                <c:pt idx="58">
                  <c:v>1614.1552405895509</c:v>
                </c:pt>
                <c:pt idx="59">
                  <c:v>1624.1863091460136</c:v>
                </c:pt>
                <c:pt idx="60">
                  <c:v>1625.9851912911377</c:v>
                </c:pt>
                <c:pt idx="61">
                  <c:v>1639.0052801433908</c:v>
                </c:pt>
                <c:pt idx="62">
                  <c:v>1644.2432484625303</c:v>
                </c:pt>
                <c:pt idx="63">
                  <c:v>1645.2017889717551</c:v>
                </c:pt>
                <c:pt idx="64">
                  <c:v>1634.8865782379246</c:v>
                </c:pt>
                <c:pt idx="65">
                  <c:v>1633.7232587684971</c:v>
                </c:pt>
                <c:pt idx="66">
                  <c:v>1623.4229192158862</c:v>
                </c:pt>
                <c:pt idx="67">
                  <c:v>1620.1863817005908</c:v>
                </c:pt>
                <c:pt idx="68">
                  <c:v>1614.4492634103872</c:v>
                </c:pt>
                <c:pt idx="69">
                  <c:v>1615.5145678299248</c:v>
                </c:pt>
                <c:pt idx="70">
                  <c:v>1610.5974804229452</c:v>
                </c:pt>
                <c:pt idx="71">
                  <c:v>1600.8138955404074</c:v>
                </c:pt>
                <c:pt idx="72">
                  <c:v>1606.7310121671651</c:v>
                </c:pt>
                <c:pt idx="73">
                  <c:v>1614.5386260941621</c:v>
                </c:pt>
                <c:pt idx="74">
                  <c:v>1604.2273943375972</c:v>
                </c:pt>
                <c:pt idx="75">
                  <c:v>1597.0380299715716</c:v>
                </c:pt>
                <c:pt idx="76">
                  <c:v>1608.0718017917422</c:v>
                </c:pt>
                <c:pt idx="77">
                  <c:v>1595.6213709809917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B-4388-AD07-4320A5BFB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  <c:pt idx="49">
                  <c:v>302.10000000000002</c:v>
                </c:pt>
                <c:pt idx="50">
                  <c:v>358.5</c:v>
                </c:pt>
                <c:pt idx="51">
                  <c:v>402.7</c:v>
                </c:pt>
                <c:pt idx="52">
                  <c:v>411.8</c:v>
                </c:pt>
                <c:pt idx="53">
                  <c:v>354.90000000000003</c:v>
                </c:pt>
                <c:pt idx="54">
                  <c:v>366.90000000000003</c:v>
                </c:pt>
                <c:pt idx="55">
                  <c:v>305.60000000000002</c:v>
                </c:pt>
                <c:pt idx="56">
                  <c:v>242.10000000000002</c:v>
                </c:pt>
                <c:pt idx="57">
                  <c:v>211.60000000000002</c:v>
                </c:pt>
                <c:pt idx="58">
                  <c:v>267.3</c:v>
                </c:pt>
                <c:pt idx="59">
                  <c:v>271.3</c:v>
                </c:pt>
                <c:pt idx="60">
                  <c:v>308.10000000000002</c:v>
                </c:pt>
                <c:pt idx="61">
                  <c:v>364.1</c:v>
                </c:pt>
                <c:pt idx="62">
                  <c:v>363.20000000000005</c:v>
                </c:pt>
                <c:pt idx="63">
                  <c:v>392.80000000000007</c:v>
                </c:pt>
                <c:pt idx="64">
                  <c:v>385.50000000000006</c:v>
                </c:pt>
                <c:pt idx="65">
                  <c:v>428.40000000000003</c:v>
                </c:pt>
                <c:pt idx="66">
                  <c:v>514</c:v>
                </c:pt>
                <c:pt idx="67">
                  <c:v>490.6</c:v>
                </c:pt>
                <c:pt idx="68">
                  <c:v>499.5</c:v>
                </c:pt>
                <c:pt idx="69">
                  <c:v>560.1</c:v>
                </c:pt>
                <c:pt idx="70">
                  <c:v>503.3</c:v>
                </c:pt>
                <c:pt idx="71">
                  <c:v>561.9</c:v>
                </c:pt>
                <c:pt idx="72">
                  <c:v>602.9</c:v>
                </c:pt>
                <c:pt idx="73">
                  <c:v>719.3</c:v>
                </c:pt>
                <c:pt idx="74">
                  <c:v>763.8</c:v>
                </c:pt>
                <c:pt idx="75">
                  <c:v>766.3</c:v>
                </c:pt>
                <c:pt idx="76">
                  <c:v>739.8</c:v>
                </c:pt>
                <c:pt idx="77">
                  <c:v>683.19999999999993</c:v>
                </c:pt>
                <c:pt idx="78">
                  <c:v>684.69999999999993</c:v>
                </c:pt>
                <c:pt idx="79">
                  <c:v>651.59999999999991</c:v>
                </c:pt>
                <c:pt idx="80">
                  <c:v>699.3</c:v>
                </c:pt>
                <c:pt idx="81">
                  <c:v>778.9</c:v>
                </c:pt>
                <c:pt idx="82">
                  <c:v>813.8</c:v>
                </c:pt>
                <c:pt idx="83">
                  <c:v>839.8</c:v>
                </c:pt>
                <c:pt idx="84">
                  <c:v>866.4</c:v>
                </c:pt>
                <c:pt idx="85">
                  <c:v>911.4</c:v>
                </c:pt>
                <c:pt idx="86">
                  <c:v>910.19999999999993</c:v>
                </c:pt>
                <c:pt idx="87">
                  <c:v>863.99999999999989</c:v>
                </c:pt>
                <c:pt idx="88">
                  <c:v>911.19999999999993</c:v>
                </c:pt>
                <c:pt idx="89">
                  <c:v>920.59999999999991</c:v>
                </c:pt>
                <c:pt idx="90">
                  <c:v>921.99999999999989</c:v>
                </c:pt>
                <c:pt idx="91">
                  <c:v>989.49999999999989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CE-4D46-B0B2-9689CC11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1569.6629213483145</c:v>
                </c:pt>
                <c:pt idx="1">
                  <c:v>2384.705882352941</c:v>
                </c:pt>
                <c:pt idx="2">
                  <c:v>2234.1463414634145</c:v>
                </c:pt>
                <c:pt idx="3">
                  <c:v>1058.6666666666667</c:v>
                </c:pt>
                <c:pt idx="4">
                  <c:v>152.94117647058823</c:v>
                </c:pt>
                <c:pt idx="5">
                  <c:v>1086.4406779661017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0FE-BED8-1BA2DFE2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40</c:v>
                </c:pt>
                <c:pt idx="2">
                  <c:v>46</c:v>
                </c:pt>
                <c:pt idx="3">
                  <c:v>53</c:v>
                </c:pt>
                <c:pt idx="4">
                  <c:v>41</c:v>
                </c:pt>
                <c:pt idx="5">
                  <c:v>22</c:v>
                </c:pt>
                <c:pt idx="6">
                  <c:v>17</c:v>
                </c:pt>
                <c:pt idx="7">
                  <c:v>7</c:v>
                </c:pt>
                <c:pt idx="8">
                  <c:v>7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F-4147-9893-838DF530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だいち!$M$2:$M$93</c:f>
              <c:numCache>
                <c:formatCode>0</c:formatCode>
                <c:ptCount val="92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  <c:pt idx="49">
                  <c:v>1763.4196823482855</c:v>
                </c:pt>
                <c:pt idx="50">
                  <c:v>1772.4651642541958</c:v>
                </c:pt>
                <c:pt idx="51">
                  <c:v>1779.2603732686705</c:v>
                </c:pt>
                <c:pt idx="52">
                  <c:v>1779.8708110290584</c:v>
                </c:pt>
                <c:pt idx="53">
                  <c:v>1768.885586162884</c:v>
                </c:pt>
                <c:pt idx="54">
                  <c:v>1770.0802726459067</c:v>
                </c:pt>
                <c:pt idx="55">
                  <c:v>1758.0737910100313</c:v>
                </c:pt>
                <c:pt idx="56">
                  <c:v>1745.743348263971</c:v>
                </c:pt>
                <c:pt idx="57">
                  <c:v>1739.4268881743872</c:v>
                </c:pt>
                <c:pt idx="58">
                  <c:v>1748.6643268453408</c:v>
                </c:pt>
                <c:pt idx="59">
                  <c:v>1748.5403408842687</c:v>
                </c:pt>
                <c:pt idx="60">
                  <c:v>1754.3210988389631</c:v>
                </c:pt>
                <c:pt idx="61">
                  <c:v>1763.5231722459293</c:v>
                </c:pt>
                <c:pt idx="62">
                  <c:v>1762.4280332124538</c:v>
                </c:pt>
                <c:pt idx="63">
                  <c:v>1766.8294650131791</c:v>
                </c:pt>
                <c:pt idx="64">
                  <c:v>1764.5624882231</c:v>
                </c:pt>
                <c:pt idx="65">
                  <c:v>1771.3451132937614</c:v>
                </c:pt>
                <c:pt idx="66">
                  <c:v>1785.7730426139988</c:v>
                </c:pt>
                <c:pt idx="67">
                  <c:v>1780.4944043583148</c:v>
                </c:pt>
                <c:pt idx="68">
                  <c:v>1780.9414379321649</c:v>
                </c:pt>
                <c:pt idx="69">
                  <c:v>1790.691789304572</c:v>
                </c:pt>
                <c:pt idx="70">
                  <c:v>1779.6596385687446</c:v>
                </c:pt>
                <c:pt idx="71">
                  <c:v>1789.1596807373321</c:v>
                </c:pt>
                <c:pt idx="72">
                  <c:v>1795.4467226529082</c:v>
                </c:pt>
                <c:pt idx="73">
                  <c:v>1815.1420423169907</c:v>
                </c:pt>
                <c:pt idx="74">
                  <c:v>1822.2391900630887</c:v>
                </c:pt>
                <c:pt idx="75">
                  <c:v>1821.7337549227102</c:v>
                </c:pt>
                <c:pt idx="76">
                  <c:v>1816.0113523931739</c:v>
                </c:pt>
                <c:pt idx="77">
                  <c:v>1804.9052842788149</c:v>
                </c:pt>
                <c:pt idx="78">
                  <c:v>1804.3238525731419</c:v>
                </c:pt>
                <c:pt idx="79">
                  <c:v>1797.5179094577031</c:v>
                </c:pt>
                <c:pt idx="80">
                  <c:v>1805.2968020009569</c:v>
                </c:pt>
                <c:pt idx="81">
                  <c:v>1818.7710211889512</c:v>
                </c:pt>
                <c:pt idx="82">
                  <c:v>1824.1183950618174</c:v>
                </c:pt>
                <c:pt idx="83">
                  <c:v>1827.8316846914465</c:v>
                </c:pt>
                <c:pt idx="84">
                  <c:v>1831.6306945832978</c:v>
                </c:pt>
                <c:pt idx="85">
                  <c:v>1838.7189104157981</c:v>
                </c:pt>
                <c:pt idx="86">
                  <c:v>1837.4485969533032</c:v>
                </c:pt>
                <c:pt idx="87">
                  <c:v>1828.0859053715833</c:v>
                </c:pt>
                <c:pt idx="88">
                  <c:v>1835.5913899393538</c:v>
                </c:pt>
                <c:pt idx="89">
                  <c:v>1836.2478415997177</c:v>
                </c:pt>
                <c:pt idx="90">
                  <c:v>1835.4603545501195</c:v>
                </c:pt>
                <c:pt idx="91">
                  <c:v>1846.5755924228188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B-4681-BF1F-BFA297F62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3-4285-A9AE-97715B7CA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9C-458A-A3D9-5A08E4B4F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E-494D-B3EC-DEAEEAD30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4-4DD9-A8E8-28F74463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  <c:pt idx="31">
                  <c:v>-284.60000000000002</c:v>
                </c:pt>
                <c:pt idx="32">
                  <c:v>-296.60000000000002</c:v>
                </c:pt>
                <c:pt idx="33">
                  <c:v>-331.20000000000005</c:v>
                </c:pt>
                <c:pt idx="34">
                  <c:v>-250.00000000000006</c:v>
                </c:pt>
                <c:pt idx="35">
                  <c:v>-295.20000000000005</c:v>
                </c:pt>
                <c:pt idx="36">
                  <c:v>-345.20000000000005</c:v>
                </c:pt>
                <c:pt idx="37">
                  <c:v>-339.40000000000003</c:v>
                </c:pt>
                <c:pt idx="38">
                  <c:v>-346.20000000000005</c:v>
                </c:pt>
                <c:pt idx="39">
                  <c:v>-299.50000000000006</c:v>
                </c:pt>
                <c:pt idx="40">
                  <c:v>-302.20000000000005</c:v>
                </c:pt>
                <c:pt idx="41">
                  <c:v>-312.90000000000003</c:v>
                </c:pt>
                <c:pt idx="42">
                  <c:v>-324.00000000000006</c:v>
                </c:pt>
                <c:pt idx="43">
                  <c:v>-314.40000000000003</c:v>
                </c:pt>
                <c:pt idx="44">
                  <c:v>-300.3</c:v>
                </c:pt>
                <c:pt idx="45">
                  <c:v>-324.7</c:v>
                </c:pt>
                <c:pt idx="46">
                  <c:v>-340.5</c:v>
                </c:pt>
                <c:pt idx="47">
                  <c:v>-344</c:v>
                </c:pt>
                <c:pt idx="48">
                  <c:v>-397.2</c:v>
                </c:pt>
                <c:pt idx="49">
                  <c:v>-470.79999999999995</c:v>
                </c:pt>
                <c:pt idx="50">
                  <c:v>-472.59999999999997</c:v>
                </c:pt>
                <c:pt idx="51">
                  <c:v>-420.7</c:v>
                </c:pt>
                <c:pt idx="52">
                  <c:v>-364.3</c:v>
                </c:pt>
                <c:pt idx="53">
                  <c:v>-323.8</c:v>
                </c:pt>
                <c:pt idx="54">
                  <c:v>-313.3</c:v>
                </c:pt>
                <c:pt idx="55">
                  <c:v>-373.6</c:v>
                </c:pt>
                <c:pt idx="56">
                  <c:v>-375.20000000000005</c:v>
                </c:pt>
                <c:pt idx="57">
                  <c:v>-405.50000000000006</c:v>
                </c:pt>
                <c:pt idx="58">
                  <c:v>-403.20000000000005</c:v>
                </c:pt>
                <c:pt idx="59">
                  <c:v>-392.1</c:v>
                </c:pt>
                <c:pt idx="60">
                  <c:v>-421.70000000000005</c:v>
                </c:pt>
                <c:pt idx="61">
                  <c:v>-417.00000000000006</c:v>
                </c:pt>
                <c:pt idx="62">
                  <c:v>-405.30000000000007</c:v>
                </c:pt>
                <c:pt idx="63">
                  <c:v>-372.80000000000007</c:v>
                </c:pt>
                <c:pt idx="64">
                  <c:v>-433.30000000000007</c:v>
                </c:pt>
                <c:pt idx="65">
                  <c:v>-429.80000000000007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B-4F57-889D-5454D6077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-1634.9206349206349</c:v>
                </c:pt>
                <c:pt idx="1">
                  <c:v>-1451.6129032258063</c:v>
                </c:pt>
                <c:pt idx="2">
                  <c:v>-1522.0338983050847</c:v>
                </c:pt>
                <c:pt idx="3">
                  <c:v>-692.72727272727275</c:v>
                </c:pt>
                <c:pt idx="4">
                  <c:v>2053.1914893617022</c:v>
                </c:pt>
                <c:pt idx="5">
                  <c:v>-970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30B-96A6-DA4F5089E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</c:v>
                </c:pt>
                <c:pt idx="1">
                  <c:v>26</c:v>
                </c:pt>
                <c:pt idx="2">
                  <c:v>29</c:v>
                </c:pt>
                <c:pt idx="3">
                  <c:v>28</c:v>
                </c:pt>
                <c:pt idx="4">
                  <c:v>21</c:v>
                </c:pt>
                <c:pt idx="5">
                  <c:v>10</c:v>
                </c:pt>
                <c:pt idx="6">
                  <c:v>6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6-45C5-8C02-555DABE6E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ただ!$M$2:$M$67</c:f>
              <c:numCache>
                <c:formatCode>0</c:formatCode>
                <c:ptCount val="66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  <c:pt idx="31">
                  <c:v>1559.8242264754674</c:v>
                </c:pt>
                <c:pt idx="32">
                  <c:v>1557.7792811166146</c:v>
                </c:pt>
                <c:pt idx="33">
                  <c:v>1551.6786054299148</c:v>
                </c:pt>
                <c:pt idx="34">
                  <c:v>1566.1765337973352</c:v>
                </c:pt>
                <c:pt idx="35">
                  <c:v>1557.8294745945511</c:v>
                </c:pt>
                <c:pt idx="36">
                  <c:v>1548.6684977469838</c:v>
                </c:pt>
                <c:pt idx="37">
                  <c:v>1550.3564867605019</c:v>
                </c:pt>
                <c:pt idx="38">
                  <c:v>1549.0403478399389</c:v>
                </c:pt>
                <c:pt idx="39">
                  <c:v>1557.6801057528994</c:v>
                </c:pt>
                <c:pt idx="40">
                  <c:v>1557.3760251183819</c:v>
                </c:pt>
                <c:pt idx="41">
                  <c:v>1555.2737689676717</c:v>
                </c:pt>
                <c:pt idx="42">
                  <c:v>1553.1061263538656</c:v>
                </c:pt>
                <c:pt idx="43">
                  <c:v>1555.4514895957425</c:v>
                </c:pt>
                <c:pt idx="44">
                  <c:v>1557.8427806581681</c:v>
                </c:pt>
                <c:pt idx="45">
                  <c:v>1553.271723974219</c:v>
                </c:pt>
                <c:pt idx="46">
                  <c:v>1550.6240936303736</c:v>
                </c:pt>
                <c:pt idx="47">
                  <c:v>1549.8043490685914</c:v>
                </c:pt>
                <c:pt idx="48">
                  <c:v>1540.9075229741798</c:v>
                </c:pt>
                <c:pt idx="49">
                  <c:v>1528.3920778363347</c:v>
                </c:pt>
                <c:pt idx="50">
                  <c:v>1528.8757253693168</c:v>
                </c:pt>
                <c:pt idx="51">
                  <c:v>1539.022471017101</c:v>
                </c:pt>
                <c:pt idx="52">
                  <c:v>1549.9183361909984</c:v>
                </c:pt>
                <c:pt idx="53">
                  <c:v>1557.8868261738523</c:v>
                </c:pt>
                <c:pt idx="54">
                  <c:v>1560.4075052168091</c:v>
                </c:pt>
                <c:pt idx="55">
                  <c:v>1550.1690601855082</c:v>
                </c:pt>
                <c:pt idx="56">
                  <c:v>1550.5580458243951</c:v>
                </c:pt>
                <c:pt idx="57">
                  <c:v>1545.7786975494487</c:v>
                </c:pt>
                <c:pt idx="58">
                  <c:v>1546.8960253641519</c:v>
                </c:pt>
                <c:pt idx="59">
                  <c:v>1549.590649211967</c:v>
                </c:pt>
                <c:pt idx="60">
                  <c:v>1544.9431053166952</c:v>
                </c:pt>
                <c:pt idx="61">
                  <c:v>1546.497446684795</c:v>
                </c:pt>
                <c:pt idx="62">
                  <c:v>1549.3024620046863</c:v>
                </c:pt>
                <c:pt idx="63">
                  <c:v>1555.8346472326582</c:v>
                </c:pt>
                <c:pt idx="64">
                  <c:v>1545.5876393492622</c:v>
                </c:pt>
                <c:pt idx="65">
                  <c:v>1546.9221135131666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5-4961-B781-36969E36A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7-4E2C-82C0-BDAF7B6AF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F-4C23-86B8-3A689B3C2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5-422E-B060-1675B976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F-4F12-91CF-AC62FAABA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  <c:pt idx="30">
                  <c:v>69.700000000000017</c:v>
                </c:pt>
                <c:pt idx="31">
                  <c:v>11.800000000000018</c:v>
                </c:pt>
                <c:pt idx="32">
                  <c:v>-22.699999999999982</c:v>
                </c:pt>
                <c:pt idx="33">
                  <c:v>-56.299999999999983</c:v>
                </c:pt>
                <c:pt idx="34">
                  <c:v>-10.999999999999986</c:v>
                </c:pt>
                <c:pt idx="35">
                  <c:v>-69.599999999999994</c:v>
                </c:pt>
                <c:pt idx="36">
                  <c:v>-44.499999999999993</c:v>
                </c:pt>
                <c:pt idx="37">
                  <c:v>-51.599999999999994</c:v>
                </c:pt>
                <c:pt idx="38">
                  <c:v>-152.19999999999999</c:v>
                </c:pt>
                <c:pt idx="39">
                  <c:v>-207.6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8-4B02-8462-9AE2EA4F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-1371.7948717948718</c:v>
                </c:pt>
                <c:pt idx="1">
                  <c:v>1202.7777777777778</c:v>
                </c:pt>
                <c:pt idx="2">
                  <c:v>417.14285714285717</c:v>
                </c:pt>
                <c:pt idx="3">
                  <c:v>-632.25806451612902</c:v>
                </c:pt>
                <c:pt idx="4">
                  <c:v>-1900</c:v>
                </c:pt>
                <c:pt idx="5">
                  <c:v>-2928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7-41EC-8A21-47EA6C45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16</c:v>
                </c:pt>
                <c:pt idx="2">
                  <c:v>13</c:v>
                </c:pt>
                <c:pt idx="3">
                  <c:v>18</c:v>
                </c:pt>
                <c:pt idx="4">
                  <c:v>13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5-42AB-9F20-C73B14EB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ぱぱ!$M$2:$M$41</c:f>
              <c:numCache>
                <c:formatCode>0</c:formatCode>
                <c:ptCount val="40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  <c:pt idx="8">
                  <c:v>1413.3353403500298</c:v>
                </c:pt>
                <c:pt idx="9">
                  <c:v>1406.3373283079297</c:v>
                </c:pt>
                <c:pt idx="10">
                  <c:v>1405.6453043380823</c:v>
                </c:pt>
                <c:pt idx="11">
                  <c:v>1401.9034325120538</c:v>
                </c:pt>
                <c:pt idx="12">
                  <c:v>1402.9660119169814</c:v>
                </c:pt>
                <c:pt idx="13">
                  <c:v>1412.9142158454795</c:v>
                </c:pt>
                <c:pt idx="14">
                  <c:v>1405.7687305504066</c:v>
                </c:pt>
                <c:pt idx="15">
                  <c:v>1418.9641181671043</c:v>
                </c:pt>
                <c:pt idx="16">
                  <c:v>1426.3623334581016</c:v>
                </c:pt>
                <c:pt idx="17">
                  <c:v>1439.6021594573531</c:v>
                </c:pt>
                <c:pt idx="18">
                  <c:v>1436.2025465006091</c:v>
                </c:pt>
                <c:pt idx="19">
                  <c:v>1437.2153312216053</c:v>
                </c:pt>
                <c:pt idx="20">
                  <c:v>1430.0500392342756</c:v>
                </c:pt>
                <c:pt idx="21">
                  <c:v>1425.21373899887</c:v>
                </c:pt>
                <c:pt idx="22">
                  <c:v>1420.8024565648768</c:v>
                </c:pt>
                <c:pt idx="23">
                  <c:v>1421.0076418254876</c:v>
                </c:pt>
                <c:pt idx="24">
                  <c:v>1415.9555959745346</c:v>
                </c:pt>
                <c:pt idx="25">
                  <c:v>1416.6038623986874</c:v>
                </c:pt>
                <c:pt idx="26">
                  <c:v>1429.6502392242953</c:v>
                </c:pt>
                <c:pt idx="27">
                  <c:v>1433.4023377889496</c:v>
                </c:pt>
                <c:pt idx="28">
                  <c:v>1429.9679237622158</c:v>
                </c:pt>
                <c:pt idx="29">
                  <c:v>1435.2481162196425</c:v>
                </c:pt>
                <c:pt idx="30">
                  <c:v>1426.1566275223247</c:v>
                </c:pt>
                <c:pt idx="31">
                  <c:v>1416.7056877571908</c:v>
                </c:pt>
                <c:pt idx="32">
                  <c:v>1411.1634536306476</c:v>
                </c:pt>
                <c:pt idx="33">
                  <c:v>1405.8104729088636</c:v>
                </c:pt>
                <c:pt idx="34">
                  <c:v>1414.7156100714105</c:v>
                </c:pt>
                <c:pt idx="35">
                  <c:v>1405.3093164109821</c:v>
                </c:pt>
                <c:pt idx="36">
                  <c:v>1410.5634605125163</c:v>
                </c:pt>
                <c:pt idx="37">
                  <c:v>1410.4640797494412</c:v>
                </c:pt>
                <c:pt idx="38">
                  <c:v>1393.4092952709445</c:v>
                </c:pt>
                <c:pt idx="39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2-46A5-B6DD-1B9AF7615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れんたろう2!$B$3:$B$80</c:f>
              <c:numCache>
                <c:formatCode>\+0.0;\-0.0;\±0</c:formatCode>
                <c:ptCount val="78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  <c:pt idx="40">
                  <c:v>232.7</c:v>
                </c:pt>
                <c:pt idx="41">
                  <c:v>263.3</c:v>
                </c:pt>
                <c:pt idx="42">
                  <c:v>253.10000000000002</c:v>
                </c:pt>
                <c:pt idx="43">
                  <c:v>281.90000000000003</c:v>
                </c:pt>
                <c:pt idx="44">
                  <c:v>275.70000000000005</c:v>
                </c:pt>
                <c:pt idx="45">
                  <c:v>224.80000000000004</c:v>
                </c:pt>
                <c:pt idx="46">
                  <c:v>260.00000000000006</c:v>
                </c:pt>
                <c:pt idx="47">
                  <c:v>233.20000000000005</c:v>
                </c:pt>
                <c:pt idx="48">
                  <c:v>174.40000000000003</c:v>
                </c:pt>
                <c:pt idx="49">
                  <c:v>116.60000000000004</c:v>
                </c:pt>
                <c:pt idx="50">
                  <c:v>55.900000000000034</c:v>
                </c:pt>
                <c:pt idx="51">
                  <c:v>55.900000000000034</c:v>
                </c:pt>
                <c:pt idx="52">
                  <c:v>101.10000000000004</c:v>
                </c:pt>
                <c:pt idx="53">
                  <c:v>145.80000000000004</c:v>
                </c:pt>
                <c:pt idx="54">
                  <c:v>193.00000000000006</c:v>
                </c:pt>
                <c:pt idx="55">
                  <c:v>133.60000000000005</c:v>
                </c:pt>
                <c:pt idx="56">
                  <c:v>133.60000000000005</c:v>
                </c:pt>
                <c:pt idx="57">
                  <c:v>132.90000000000006</c:v>
                </c:pt>
                <c:pt idx="58">
                  <c:v>99.000000000000057</c:v>
                </c:pt>
                <c:pt idx="59">
                  <c:v>157.90000000000006</c:v>
                </c:pt>
                <c:pt idx="60">
                  <c:v>166.60000000000005</c:v>
                </c:pt>
                <c:pt idx="61">
                  <c:v>237.70000000000005</c:v>
                </c:pt>
                <c:pt idx="62">
                  <c:v>266.00000000000006</c:v>
                </c:pt>
                <c:pt idx="63">
                  <c:v>270.70000000000005</c:v>
                </c:pt>
                <c:pt idx="64">
                  <c:v>212.80000000000004</c:v>
                </c:pt>
                <c:pt idx="65">
                  <c:v>205.40000000000003</c:v>
                </c:pt>
                <c:pt idx="66">
                  <c:v>147.20000000000005</c:v>
                </c:pt>
                <c:pt idx="67">
                  <c:v>127.90000000000005</c:v>
                </c:pt>
                <c:pt idx="68">
                  <c:v>94.600000000000051</c:v>
                </c:pt>
                <c:pt idx="69">
                  <c:v>98.900000000000048</c:v>
                </c:pt>
                <c:pt idx="70">
                  <c:v>70.000000000000057</c:v>
                </c:pt>
                <c:pt idx="71">
                  <c:v>13.900000000000055</c:v>
                </c:pt>
                <c:pt idx="72">
                  <c:v>44.70000000000006</c:v>
                </c:pt>
                <c:pt idx="73">
                  <c:v>86.20000000000006</c:v>
                </c:pt>
                <c:pt idx="74">
                  <c:v>27.300000000000061</c:v>
                </c:pt>
                <c:pt idx="75">
                  <c:v>-14.599999999999937</c:v>
                </c:pt>
                <c:pt idx="76">
                  <c:v>44.500000000000064</c:v>
                </c:pt>
                <c:pt idx="77">
                  <c:v>-26.499999999999936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れんたろう2!$C$3:$C$80</c:f>
              <c:numCache>
                <c:formatCode>\+0.0;\-0.0;\±0</c:formatCode>
                <c:ptCount val="78"/>
                <c:pt idx="1">
                  <c:v>50.6</c:v>
                </c:pt>
                <c:pt idx="2">
                  <c:v>27.150000000000002</c:v>
                </c:pt>
                <c:pt idx="3">
                  <c:v>16.333333333333336</c:v>
                </c:pt>
                <c:pt idx="4">
                  <c:v>6.8500000000000014</c:v>
                </c:pt>
                <c:pt idx="5">
                  <c:v>5.7200000000000006</c:v>
                </c:pt>
                <c:pt idx="6">
                  <c:v>-0.31666666666666582</c:v>
                </c:pt>
                <c:pt idx="7">
                  <c:v>-0.4714285714285707</c:v>
                </c:pt>
                <c:pt idx="8">
                  <c:v>5.9750000000000005</c:v>
                </c:pt>
                <c:pt idx="9">
                  <c:v>4.5222222222222221</c:v>
                </c:pt>
                <c:pt idx="10">
                  <c:v>6.4700000000000006</c:v>
                </c:pt>
                <c:pt idx="11">
                  <c:v>2.2090909090909094</c:v>
                </c:pt>
                <c:pt idx="12">
                  <c:v>6.3416666666666659</c:v>
                </c:pt>
                <c:pt idx="13">
                  <c:v>9.4230769230769234</c:v>
                </c:pt>
                <c:pt idx="14">
                  <c:v>11.014285714285714</c:v>
                </c:pt>
                <c:pt idx="15">
                  <c:v>10.28</c:v>
                </c:pt>
                <c:pt idx="16">
                  <c:v>14.074999999999999</c:v>
                </c:pt>
                <c:pt idx="17">
                  <c:v>13.176470588235293</c:v>
                </c:pt>
                <c:pt idx="18">
                  <c:v>12.766666666666667</c:v>
                </c:pt>
                <c:pt idx="19">
                  <c:v>12.578947368421053</c:v>
                </c:pt>
                <c:pt idx="20">
                  <c:v>9.39</c:v>
                </c:pt>
                <c:pt idx="21">
                  <c:v>10.223809523809525</c:v>
                </c:pt>
                <c:pt idx="22">
                  <c:v>7.3409090909090908</c:v>
                </c:pt>
                <c:pt idx="23">
                  <c:v>9.6434782608695659</c:v>
                </c:pt>
                <c:pt idx="24">
                  <c:v>9.2416666666666671</c:v>
                </c:pt>
                <c:pt idx="25">
                  <c:v>9.3640000000000008</c:v>
                </c:pt>
                <c:pt idx="26">
                  <c:v>6.8192307692307699</c:v>
                </c:pt>
                <c:pt idx="27">
                  <c:v>9.5296296296296301</c:v>
                </c:pt>
                <c:pt idx="28">
                  <c:v>9.1607142857142865</c:v>
                </c:pt>
                <c:pt idx="29">
                  <c:v>7.1241379310344826</c:v>
                </c:pt>
                <c:pt idx="30">
                  <c:v>5.04</c:v>
                </c:pt>
                <c:pt idx="31">
                  <c:v>5.9774193548387089</c:v>
                </c:pt>
                <c:pt idx="32">
                  <c:v>4.0343749999999989</c:v>
                </c:pt>
                <c:pt idx="33">
                  <c:v>5.2333333333333325</c:v>
                </c:pt>
                <c:pt idx="34">
                  <c:v>5.0499999999999989</c:v>
                </c:pt>
                <c:pt idx="35">
                  <c:v>5.9657142857142844</c:v>
                </c:pt>
                <c:pt idx="36">
                  <c:v>7.2194444444444441</c:v>
                </c:pt>
                <c:pt idx="37">
                  <c:v>5.3432432432432426</c:v>
                </c:pt>
                <c:pt idx="38">
                  <c:v>3.9710526315789467</c:v>
                </c:pt>
                <c:pt idx="39">
                  <c:v>3.71025641025641</c:v>
                </c:pt>
                <c:pt idx="40">
                  <c:v>5.8174999999999999</c:v>
                </c:pt>
                <c:pt idx="41">
                  <c:v>6.4219512195121951</c:v>
                </c:pt>
                <c:pt idx="42">
                  <c:v>6.026190476190477</c:v>
                </c:pt>
                <c:pt idx="43">
                  <c:v>6.5558139534883733</c:v>
                </c:pt>
                <c:pt idx="44">
                  <c:v>6.2659090909090915</c:v>
                </c:pt>
                <c:pt idx="45">
                  <c:v>4.9955555555555566</c:v>
                </c:pt>
                <c:pt idx="46">
                  <c:v>5.6521739130434794</c:v>
                </c:pt>
                <c:pt idx="47">
                  <c:v>4.9617021276595752</c:v>
                </c:pt>
                <c:pt idx="48">
                  <c:v>3.6333333333333342</c:v>
                </c:pt>
                <c:pt idx="49">
                  <c:v>2.3795918367346944</c:v>
                </c:pt>
                <c:pt idx="50">
                  <c:v>1.1180000000000008</c:v>
                </c:pt>
                <c:pt idx="51">
                  <c:v>1.0960784313725498</c:v>
                </c:pt>
                <c:pt idx="52">
                  <c:v>1.9442307692307699</c:v>
                </c:pt>
                <c:pt idx="53">
                  <c:v>2.750943396226416</c:v>
                </c:pt>
                <c:pt idx="54">
                  <c:v>3.5740740740740753</c:v>
                </c:pt>
                <c:pt idx="55">
                  <c:v>2.4290909090909101</c:v>
                </c:pt>
                <c:pt idx="56">
                  <c:v>2.3857142857142866</c:v>
                </c:pt>
                <c:pt idx="57">
                  <c:v>2.3315789473684223</c:v>
                </c:pt>
                <c:pt idx="58">
                  <c:v>1.706896551724139</c:v>
                </c:pt>
                <c:pt idx="59">
                  <c:v>2.6762711864406792</c:v>
                </c:pt>
                <c:pt idx="60">
                  <c:v>2.7766666666666677</c:v>
                </c:pt>
                <c:pt idx="61">
                  <c:v>3.8967213114754107</c:v>
                </c:pt>
                <c:pt idx="62">
                  <c:v>4.2903225806451619</c:v>
                </c:pt>
                <c:pt idx="63">
                  <c:v>4.2968253968253975</c:v>
                </c:pt>
                <c:pt idx="64">
                  <c:v>3.3250000000000006</c:v>
                </c:pt>
                <c:pt idx="65">
                  <c:v>3.1600000000000006</c:v>
                </c:pt>
                <c:pt idx="66">
                  <c:v>2.2303030303030309</c:v>
                </c:pt>
                <c:pt idx="67">
                  <c:v>1.9089552238805978</c:v>
                </c:pt>
                <c:pt idx="68">
                  <c:v>1.3911764705882361</c:v>
                </c:pt>
                <c:pt idx="69">
                  <c:v>1.433333333333334</c:v>
                </c:pt>
                <c:pt idx="70">
                  <c:v>1.0000000000000009</c:v>
                </c:pt>
                <c:pt idx="71">
                  <c:v>0.19577464788732474</c:v>
                </c:pt>
                <c:pt idx="72">
                  <c:v>0.62083333333333413</c:v>
                </c:pt>
                <c:pt idx="73">
                  <c:v>1.18082191780822</c:v>
                </c:pt>
                <c:pt idx="74">
                  <c:v>0.36891891891891976</c:v>
                </c:pt>
                <c:pt idx="75">
                  <c:v>-0.19466666666666582</c:v>
                </c:pt>
                <c:pt idx="76">
                  <c:v>0.58552631578947456</c:v>
                </c:pt>
                <c:pt idx="77">
                  <c:v>-0.34415584415584333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3695157173400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れんたろう2!$D$3:$D$80</c:f>
              <c:numCache>
                <c:formatCode>0.00\ "位"</c:formatCode>
                <c:ptCount val="78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1.8333333333333333</c:v>
                </c:pt>
                <c:pt idx="13">
                  <c:v>1.7692307692307692</c:v>
                </c:pt>
                <c:pt idx="14">
                  <c:v>1.7142857142857142</c:v>
                </c:pt>
                <c:pt idx="15">
                  <c:v>1.6666666666666667</c:v>
                </c:pt>
                <c:pt idx="16">
                  <c:v>1.625</c:v>
                </c:pt>
                <c:pt idx="17">
                  <c:v>1.6470588235294117</c:v>
                </c:pt>
                <c:pt idx="18">
                  <c:v>1.6666666666666667</c:v>
                </c:pt>
                <c:pt idx="19">
                  <c:v>1.6842105263157894</c:v>
                </c:pt>
                <c:pt idx="20">
                  <c:v>1.75</c:v>
                </c:pt>
                <c:pt idx="21">
                  <c:v>1.7142857142857142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1.75</c:v>
                </c:pt>
                <c:pt idx="25">
                  <c:v>1.76</c:v>
                </c:pt>
                <c:pt idx="26">
                  <c:v>1.8076923076923077</c:v>
                </c:pt>
                <c:pt idx="27">
                  <c:v>1.7777777777777777</c:v>
                </c:pt>
                <c:pt idx="28">
                  <c:v>1.7857142857142858</c:v>
                </c:pt>
                <c:pt idx="29">
                  <c:v>1.8275862068965518</c:v>
                </c:pt>
                <c:pt idx="30">
                  <c:v>1.8666666666666667</c:v>
                </c:pt>
                <c:pt idx="31">
                  <c:v>1.8387096774193548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1.8055555555555556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1.8717948717948718</c:v>
                </c:pt>
                <c:pt idx="40">
                  <c:v>1.85</c:v>
                </c:pt>
                <c:pt idx="41">
                  <c:v>1.8292682926829269</c:v>
                </c:pt>
                <c:pt idx="42">
                  <c:v>1.8333333333333333</c:v>
                </c:pt>
                <c:pt idx="43">
                  <c:v>1.8139534883720929</c:v>
                </c:pt>
                <c:pt idx="44">
                  <c:v>1.8181818181818181</c:v>
                </c:pt>
                <c:pt idx="45">
                  <c:v>1.8444444444444446</c:v>
                </c:pt>
                <c:pt idx="46">
                  <c:v>1.826086956521739</c:v>
                </c:pt>
                <c:pt idx="47">
                  <c:v>1.8510638297872339</c:v>
                </c:pt>
                <c:pt idx="48">
                  <c:v>1.875</c:v>
                </c:pt>
                <c:pt idx="49">
                  <c:v>1.8979591836734695</c:v>
                </c:pt>
                <c:pt idx="50">
                  <c:v>1.92</c:v>
                </c:pt>
                <c:pt idx="51">
                  <c:v>1.9215686274509804</c:v>
                </c:pt>
                <c:pt idx="52">
                  <c:v>1.9038461538461537</c:v>
                </c:pt>
                <c:pt idx="53">
                  <c:v>1.8867924528301887</c:v>
                </c:pt>
                <c:pt idx="54">
                  <c:v>1.8703703703703705</c:v>
                </c:pt>
                <c:pt idx="55">
                  <c:v>1.8909090909090909</c:v>
                </c:pt>
                <c:pt idx="56">
                  <c:v>1.8928571428571428</c:v>
                </c:pt>
                <c:pt idx="57">
                  <c:v>1.8947368421052631</c:v>
                </c:pt>
                <c:pt idx="58">
                  <c:v>1.9137931034482758</c:v>
                </c:pt>
                <c:pt idx="59">
                  <c:v>1.8983050847457628</c:v>
                </c:pt>
                <c:pt idx="60">
                  <c:v>1.9</c:v>
                </c:pt>
                <c:pt idx="61">
                  <c:v>1.8852459016393444</c:v>
                </c:pt>
                <c:pt idx="62">
                  <c:v>1.8709677419354838</c:v>
                </c:pt>
                <c:pt idx="63">
                  <c:v>1.873015873015873</c:v>
                </c:pt>
                <c:pt idx="64">
                  <c:v>1.890625</c:v>
                </c:pt>
                <c:pt idx="65">
                  <c:v>1.8923076923076922</c:v>
                </c:pt>
                <c:pt idx="66">
                  <c:v>1.9090909090909092</c:v>
                </c:pt>
                <c:pt idx="67">
                  <c:v>1.9104477611940298</c:v>
                </c:pt>
                <c:pt idx="68">
                  <c:v>1.9264705882352942</c:v>
                </c:pt>
                <c:pt idx="69">
                  <c:v>1.9275362318840579</c:v>
                </c:pt>
                <c:pt idx="70">
                  <c:v>1.9428571428571428</c:v>
                </c:pt>
                <c:pt idx="71">
                  <c:v>1.9577464788732395</c:v>
                </c:pt>
                <c:pt idx="72">
                  <c:v>1.9444444444444444</c:v>
                </c:pt>
                <c:pt idx="73">
                  <c:v>1.9315068493150684</c:v>
                </c:pt>
                <c:pt idx="74">
                  <c:v>1.9459459459459461</c:v>
                </c:pt>
                <c:pt idx="75">
                  <c:v>1.96</c:v>
                </c:pt>
                <c:pt idx="76">
                  <c:v>1.9473684210526316</c:v>
                </c:pt>
                <c:pt idx="77">
                  <c:v>1.9610389610389611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れんたろう2!$E$3:$E$80</c:f>
              <c:numCache>
                <c:formatCode>0.0%</c:formatCode>
                <c:ptCount val="7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0.5</c:v>
                </c:pt>
                <c:pt idx="17">
                  <c:v>0.47058823529411764</c:v>
                </c:pt>
                <c:pt idx="18">
                  <c:v>0.44444444444444442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0.39393939393939392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0.39583333333333331</c:v>
                </c:pt>
                <c:pt idx="49">
                  <c:v>0.38775510204081631</c:v>
                </c:pt>
                <c:pt idx="50">
                  <c:v>0.38</c:v>
                </c:pt>
                <c:pt idx="51">
                  <c:v>0.37254901960784315</c:v>
                </c:pt>
                <c:pt idx="52">
                  <c:v>0.38461538461538464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0.38333333333333336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0.38461538461538464</c:v>
                </c:pt>
                <c:pt idx="66">
                  <c:v>0.37878787878787878</c:v>
                </c:pt>
                <c:pt idx="67">
                  <c:v>0.37313432835820898</c:v>
                </c:pt>
                <c:pt idx="68">
                  <c:v>0.36764705882352944</c:v>
                </c:pt>
                <c:pt idx="69">
                  <c:v>0.36231884057971014</c:v>
                </c:pt>
                <c:pt idx="70">
                  <c:v>0.35714285714285715</c:v>
                </c:pt>
                <c:pt idx="71">
                  <c:v>0.352112676056338</c:v>
                </c:pt>
                <c:pt idx="72">
                  <c:v>0.3611111111111111</c:v>
                </c:pt>
                <c:pt idx="73">
                  <c:v>0.36986301369863012</c:v>
                </c:pt>
                <c:pt idx="74">
                  <c:v>0.36486486486486486</c:v>
                </c:pt>
                <c:pt idx="75">
                  <c:v>0.36</c:v>
                </c:pt>
                <c:pt idx="76">
                  <c:v>0.36842105263157893</c:v>
                </c:pt>
                <c:pt idx="77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れんたろう2!$F$3:$F$80</c:f>
              <c:numCache>
                <c:formatCode>0.0%</c:formatCode>
                <c:ptCount val="7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0.24324324324324326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0.25531914893617019</c:v>
                </c:pt>
                <c:pt idx="48">
                  <c:v>0.27083333333333331</c:v>
                </c:pt>
                <c:pt idx="49">
                  <c:v>0.2857142857142857</c:v>
                </c:pt>
                <c:pt idx="50">
                  <c:v>0.3</c:v>
                </c:pt>
                <c:pt idx="51">
                  <c:v>0.29411764705882354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0.29090909090909089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0.2878787878787879</c:v>
                </c:pt>
                <c:pt idx="67">
                  <c:v>0.28358208955223879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0.30985915492957744</c:v>
                </c:pt>
                <c:pt idx="72">
                  <c:v>0.30555555555555558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0.32467532467532467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全体2!$G$1:$G$2</c:f>
              <c:strCache>
                <c:ptCount val="2"/>
                <c:pt idx="0">
                  <c:v>全体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全体2!$G$3:$G$103</c:f>
              <c:numCache>
                <c:formatCode>0.0%</c:formatCode>
                <c:ptCount val="101"/>
                <c:pt idx="1">
                  <c:v>0.27777777777777779</c:v>
                </c:pt>
                <c:pt idx="2">
                  <c:v>0.30303030303030304</c:v>
                </c:pt>
                <c:pt idx="3">
                  <c:v>0.31372549019607843</c:v>
                </c:pt>
                <c:pt idx="4">
                  <c:v>0.32</c:v>
                </c:pt>
                <c:pt idx="5">
                  <c:v>0.31372549019607843</c:v>
                </c:pt>
                <c:pt idx="6">
                  <c:v>0.30701754385964913</c:v>
                </c:pt>
                <c:pt idx="7">
                  <c:v>0.31914893617021278</c:v>
                </c:pt>
                <c:pt idx="8">
                  <c:v>0.32163742690058478</c:v>
                </c:pt>
                <c:pt idx="9">
                  <c:v>0.31818181818181818</c:v>
                </c:pt>
                <c:pt idx="10">
                  <c:v>0.31140350877192985</c:v>
                </c:pt>
                <c:pt idx="11">
                  <c:v>0.30522088353413657</c:v>
                </c:pt>
                <c:pt idx="12">
                  <c:v>0.30851063829787234</c:v>
                </c:pt>
                <c:pt idx="13">
                  <c:v>0.30392156862745096</c:v>
                </c:pt>
                <c:pt idx="14">
                  <c:v>0.30357142857142855</c:v>
                </c:pt>
                <c:pt idx="15">
                  <c:v>0.29971988795518206</c:v>
                </c:pt>
                <c:pt idx="16">
                  <c:v>0.29921259842519687</c:v>
                </c:pt>
                <c:pt idx="17">
                  <c:v>0.29197080291970801</c:v>
                </c:pt>
                <c:pt idx="18">
                  <c:v>0.28935185185185186</c:v>
                </c:pt>
                <c:pt idx="19">
                  <c:v>0.29193899782135074</c:v>
                </c:pt>
                <c:pt idx="20">
                  <c:v>0.29140461215932911</c:v>
                </c:pt>
                <c:pt idx="21">
                  <c:v>0.29341317365269459</c:v>
                </c:pt>
                <c:pt idx="22">
                  <c:v>0.29378531073446329</c:v>
                </c:pt>
                <c:pt idx="23">
                  <c:v>0.29549549549549547</c:v>
                </c:pt>
                <c:pt idx="24">
                  <c:v>0.29441624365482233</c:v>
                </c:pt>
                <c:pt idx="25">
                  <c:v>0.29441624365482233</c:v>
                </c:pt>
                <c:pt idx="26">
                  <c:v>0.29523809523809524</c:v>
                </c:pt>
                <c:pt idx="27">
                  <c:v>0.29528158295281581</c:v>
                </c:pt>
                <c:pt idx="28">
                  <c:v>0.29515418502202645</c:v>
                </c:pt>
                <c:pt idx="29">
                  <c:v>0.29629629629629628</c:v>
                </c:pt>
                <c:pt idx="30">
                  <c:v>0.29766803840877915</c:v>
                </c:pt>
                <c:pt idx="31">
                  <c:v>0.29852744310575635</c:v>
                </c:pt>
                <c:pt idx="32">
                  <c:v>0.29629629629629628</c:v>
                </c:pt>
                <c:pt idx="33">
                  <c:v>0.29685534591194968</c:v>
                </c:pt>
                <c:pt idx="34">
                  <c:v>0.29699248120300753</c:v>
                </c:pt>
                <c:pt idx="35">
                  <c:v>0.2980535279805353</c:v>
                </c:pt>
                <c:pt idx="36">
                  <c:v>0.29836829836829837</c:v>
                </c:pt>
                <c:pt idx="37">
                  <c:v>0.2988505747126437</c:v>
                </c:pt>
                <c:pt idx="38">
                  <c:v>0.29842342342342343</c:v>
                </c:pt>
                <c:pt idx="39">
                  <c:v>0.29956427015250547</c:v>
                </c:pt>
                <c:pt idx="40">
                  <c:v>0.30063291139240506</c:v>
                </c:pt>
                <c:pt idx="41">
                  <c:v>0.29979674796747968</c:v>
                </c:pt>
                <c:pt idx="42">
                  <c:v>0.29980276134122286</c:v>
                </c:pt>
                <c:pt idx="43">
                  <c:v>0.30029154518950435</c:v>
                </c:pt>
                <c:pt idx="44">
                  <c:v>0.30095238095238097</c:v>
                </c:pt>
                <c:pt idx="45">
                  <c:v>0.29935720844811753</c:v>
                </c:pt>
                <c:pt idx="46">
                  <c:v>0.29838709677419356</c:v>
                </c:pt>
                <c:pt idx="47">
                  <c:v>0.29852045256744997</c:v>
                </c:pt>
                <c:pt idx="48">
                  <c:v>0.29896907216494845</c:v>
                </c:pt>
                <c:pt idx="49">
                  <c:v>0.29882154882154882</c:v>
                </c:pt>
                <c:pt idx="50">
                  <c:v>0.29693961952026471</c:v>
                </c:pt>
                <c:pt idx="51">
                  <c:v>0.29773462783171523</c:v>
                </c:pt>
                <c:pt idx="52">
                  <c:v>0.29727564102564102</c:v>
                </c:pt>
                <c:pt idx="53">
                  <c:v>0.29733959311424102</c:v>
                </c:pt>
                <c:pt idx="54">
                  <c:v>0.29792147806004621</c:v>
                </c:pt>
                <c:pt idx="55">
                  <c:v>0.29571106094808125</c:v>
                </c:pt>
                <c:pt idx="56">
                  <c:v>0.29637841832963785</c:v>
                </c:pt>
                <c:pt idx="57">
                  <c:v>0.29637681159420287</c:v>
                </c:pt>
                <c:pt idx="58">
                  <c:v>0.29637526652452023</c:v>
                </c:pt>
                <c:pt idx="59">
                  <c:v>0.29684210526315791</c:v>
                </c:pt>
                <c:pt idx="60">
                  <c:v>0.29699510831586301</c:v>
                </c:pt>
                <c:pt idx="61">
                  <c:v>0.29698216735253774</c:v>
                </c:pt>
                <c:pt idx="62">
                  <c:v>0.29742547425474253</c:v>
                </c:pt>
                <c:pt idx="63">
                  <c:v>0.29799999999999999</c:v>
                </c:pt>
                <c:pt idx="64">
                  <c:v>0.2978303747534517</c:v>
                </c:pt>
                <c:pt idx="65">
                  <c:v>0.29831387808041504</c:v>
                </c:pt>
                <c:pt idx="66">
                  <c:v>0.29770992366412213</c:v>
                </c:pt>
                <c:pt idx="67">
                  <c:v>0.29761904761904762</c:v>
                </c:pt>
                <c:pt idx="68">
                  <c:v>0.29759704251386321</c:v>
                </c:pt>
                <c:pt idx="69">
                  <c:v>0.29683698296836986</c:v>
                </c:pt>
                <c:pt idx="70">
                  <c:v>0.2968936678614098</c:v>
                </c:pt>
                <c:pt idx="71">
                  <c:v>0.29701230228471004</c:v>
                </c:pt>
                <c:pt idx="72">
                  <c:v>0.29636048526863085</c:v>
                </c:pt>
                <c:pt idx="73">
                  <c:v>0.29686609686609688</c:v>
                </c:pt>
                <c:pt idx="74">
                  <c:v>0.29617117117117114</c:v>
                </c:pt>
                <c:pt idx="75">
                  <c:v>0.29666666666666669</c:v>
                </c:pt>
                <c:pt idx="76">
                  <c:v>0.29599121361889069</c:v>
                </c:pt>
                <c:pt idx="77">
                  <c:v>0.29599567099567098</c:v>
                </c:pt>
                <c:pt idx="78">
                  <c:v>0.29617662897145935</c:v>
                </c:pt>
                <c:pt idx="79">
                  <c:v>0.29670912951167727</c:v>
                </c:pt>
                <c:pt idx="80">
                  <c:v>0.29728317659352144</c:v>
                </c:pt>
                <c:pt idx="81">
                  <c:v>0.29641025641025642</c:v>
                </c:pt>
                <c:pt idx="82">
                  <c:v>0.29573170731707316</c:v>
                </c:pt>
                <c:pt idx="83">
                  <c:v>0.29612870789341378</c:v>
                </c:pt>
                <c:pt idx="84">
                  <c:v>0.29569093610698366</c:v>
                </c:pt>
                <c:pt idx="85">
                  <c:v>0.29558823529411765</c:v>
                </c:pt>
                <c:pt idx="86">
                  <c:v>0.29597282872392044</c:v>
                </c:pt>
                <c:pt idx="87">
                  <c:v>0.29538904899135449</c:v>
                </c:pt>
                <c:pt idx="88">
                  <c:v>0.29576795054683785</c:v>
                </c:pt>
                <c:pt idx="89">
                  <c:v>0.29608675153229608</c:v>
                </c:pt>
                <c:pt idx="90">
                  <c:v>0.29608938547486036</c:v>
                </c:pt>
                <c:pt idx="91">
                  <c:v>0.29609195402298849</c:v>
                </c:pt>
                <c:pt idx="92">
                  <c:v>0.29639762881896947</c:v>
                </c:pt>
                <c:pt idx="93">
                  <c:v>0.29679747406405049</c:v>
                </c:pt>
                <c:pt idx="94">
                  <c:v>0.2967914438502674</c:v>
                </c:pt>
                <c:pt idx="95">
                  <c:v>0.29717813051146386</c:v>
                </c:pt>
                <c:pt idx="96">
                  <c:v>0.29750982961992134</c:v>
                </c:pt>
                <c:pt idx="97">
                  <c:v>0.29653679653679654</c:v>
                </c:pt>
                <c:pt idx="98">
                  <c:v>0.29686829686829685</c:v>
                </c:pt>
                <c:pt idx="99">
                  <c:v>0.29710144927536231</c:v>
                </c:pt>
                <c:pt idx="100">
                  <c:v>0.29695431472081218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95431472081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全体2!$H$1:$H$2</c:f>
              <c:strCache>
                <c:ptCount val="2"/>
                <c:pt idx="0">
                  <c:v>全体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全体2!$H$3:$H$103</c:f>
              <c:numCache>
                <c:formatCode>0.0%</c:formatCode>
                <c:ptCount val="101"/>
                <c:pt idx="1">
                  <c:v>0.22222222222222221</c:v>
                </c:pt>
                <c:pt idx="2">
                  <c:v>0.21212121212121213</c:v>
                </c:pt>
                <c:pt idx="3">
                  <c:v>0.21568627450980393</c:v>
                </c:pt>
                <c:pt idx="4">
                  <c:v>0.17333333333333334</c:v>
                </c:pt>
                <c:pt idx="5">
                  <c:v>0.16666666666666666</c:v>
                </c:pt>
                <c:pt idx="6">
                  <c:v>0.14912280701754385</c:v>
                </c:pt>
                <c:pt idx="7">
                  <c:v>0.1702127659574468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0.16228070175438597</c:v>
                </c:pt>
                <c:pt idx="11">
                  <c:v>0.1646586345381526</c:v>
                </c:pt>
                <c:pt idx="12">
                  <c:v>0.1702127659574468</c:v>
                </c:pt>
                <c:pt idx="13">
                  <c:v>0.16666666666666666</c:v>
                </c:pt>
                <c:pt idx="14">
                  <c:v>0.16369047619047619</c:v>
                </c:pt>
                <c:pt idx="15">
                  <c:v>0.15406162464985995</c:v>
                </c:pt>
                <c:pt idx="16">
                  <c:v>0.15223097112860892</c:v>
                </c:pt>
                <c:pt idx="17">
                  <c:v>0.14355231143552311</c:v>
                </c:pt>
                <c:pt idx="18">
                  <c:v>0.14814814814814814</c:v>
                </c:pt>
                <c:pt idx="19">
                  <c:v>0.14814814814814814</c:v>
                </c:pt>
                <c:pt idx="20">
                  <c:v>0.1488469601677149</c:v>
                </c:pt>
                <c:pt idx="21">
                  <c:v>0.15369261477045909</c:v>
                </c:pt>
                <c:pt idx="22">
                  <c:v>0.15254237288135594</c:v>
                </c:pt>
                <c:pt idx="23">
                  <c:v>0.15315315315315314</c:v>
                </c:pt>
                <c:pt idx="24">
                  <c:v>0.15397631133671744</c:v>
                </c:pt>
                <c:pt idx="25">
                  <c:v>0.15397631133671744</c:v>
                </c:pt>
                <c:pt idx="26">
                  <c:v>0.15555555555555556</c:v>
                </c:pt>
                <c:pt idx="27">
                  <c:v>0.15525114155251141</c:v>
                </c:pt>
                <c:pt idx="28">
                  <c:v>0.1512481644640235</c:v>
                </c:pt>
                <c:pt idx="29">
                  <c:v>0.150997150997151</c:v>
                </c:pt>
                <c:pt idx="30">
                  <c:v>0.15226337448559671</c:v>
                </c:pt>
                <c:pt idx="31">
                  <c:v>0.1499330655957162</c:v>
                </c:pt>
                <c:pt idx="32">
                  <c:v>0.14942528735632185</c:v>
                </c:pt>
                <c:pt idx="33">
                  <c:v>0.14968553459119496</c:v>
                </c:pt>
                <c:pt idx="34">
                  <c:v>0.15037593984962405</c:v>
                </c:pt>
                <c:pt idx="35">
                  <c:v>0.14841849148418493</c:v>
                </c:pt>
                <c:pt idx="36">
                  <c:v>0.14918414918414918</c:v>
                </c:pt>
                <c:pt idx="37">
                  <c:v>0.15057471264367817</c:v>
                </c:pt>
                <c:pt idx="38">
                  <c:v>0.14864864864864866</c:v>
                </c:pt>
                <c:pt idx="39">
                  <c:v>0.15032679738562091</c:v>
                </c:pt>
                <c:pt idx="40">
                  <c:v>0.15084388185654007</c:v>
                </c:pt>
                <c:pt idx="41">
                  <c:v>0.1524390243902439</c:v>
                </c:pt>
                <c:pt idx="42">
                  <c:v>0.15581854043392504</c:v>
                </c:pt>
                <c:pt idx="43">
                  <c:v>0.15646258503401361</c:v>
                </c:pt>
                <c:pt idx="44">
                  <c:v>0.15714285714285714</c:v>
                </c:pt>
                <c:pt idx="45">
                  <c:v>0.15886134067952251</c:v>
                </c:pt>
                <c:pt idx="46">
                  <c:v>0.15860215053763441</c:v>
                </c:pt>
                <c:pt idx="47">
                  <c:v>0.15752828546562228</c:v>
                </c:pt>
                <c:pt idx="48">
                  <c:v>0.15721649484536082</c:v>
                </c:pt>
                <c:pt idx="49">
                  <c:v>0.15824915824915825</c:v>
                </c:pt>
                <c:pt idx="50">
                  <c:v>0.15715467328370555</c:v>
                </c:pt>
                <c:pt idx="51">
                  <c:v>0.15938511326860841</c:v>
                </c:pt>
                <c:pt idx="52">
                  <c:v>0.15945512820512819</c:v>
                </c:pt>
                <c:pt idx="53">
                  <c:v>0.15805946791862285</c:v>
                </c:pt>
                <c:pt idx="54">
                  <c:v>0.15935334872979215</c:v>
                </c:pt>
                <c:pt idx="55">
                  <c:v>0.15876598946576373</c:v>
                </c:pt>
                <c:pt idx="56">
                  <c:v>0.15964523281596452</c:v>
                </c:pt>
                <c:pt idx="57">
                  <c:v>0.15942028985507245</c:v>
                </c:pt>
                <c:pt idx="58">
                  <c:v>0.15920398009950248</c:v>
                </c:pt>
                <c:pt idx="59">
                  <c:v>0.16</c:v>
                </c:pt>
                <c:pt idx="60">
                  <c:v>0.16002795248078266</c:v>
                </c:pt>
                <c:pt idx="61">
                  <c:v>0.15912208504801098</c:v>
                </c:pt>
                <c:pt idx="62">
                  <c:v>0.15921409214092141</c:v>
                </c:pt>
                <c:pt idx="63">
                  <c:v>0.15866666666666668</c:v>
                </c:pt>
                <c:pt idx="64">
                  <c:v>0.15976331360946747</c:v>
                </c:pt>
                <c:pt idx="65">
                  <c:v>0.1601815823605707</c:v>
                </c:pt>
                <c:pt idx="66">
                  <c:v>0.15903307888040713</c:v>
                </c:pt>
                <c:pt idx="67">
                  <c:v>0.15789473684210525</c:v>
                </c:pt>
                <c:pt idx="68">
                  <c:v>0.15958102279728897</c:v>
                </c:pt>
                <c:pt idx="69">
                  <c:v>0.15936739659367397</c:v>
                </c:pt>
                <c:pt idx="70">
                  <c:v>0.15770609318996415</c:v>
                </c:pt>
                <c:pt idx="71">
                  <c:v>0.15817223198594024</c:v>
                </c:pt>
                <c:pt idx="72">
                  <c:v>0.15713460427498555</c:v>
                </c:pt>
                <c:pt idx="73">
                  <c:v>0.15783475783475784</c:v>
                </c:pt>
                <c:pt idx="74">
                  <c:v>0.15822072072072071</c:v>
                </c:pt>
                <c:pt idx="75">
                  <c:v>0.15777777777777777</c:v>
                </c:pt>
                <c:pt idx="76">
                  <c:v>0.15705656232839099</c:v>
                </c:pt>
                <c:pt idx="77">
                  <c:v>0.15692640692640691</c:v>
                </c:pt>
                <c:pt idx="78">
                  <c:v>0.15778136779752289</c:v>
                </c:pt>
                <c:pt idx="79">
                  <c:v>0.15870488322717621</c:v>
                </c:pt>
                <c:pt idx="80">
                  <c:v>0.15778474399164055</c:v>
                </c:pt>
                <c:pt idx="81">
                  <c:v>0.15794871794871795</c:v>
                </c:pt>
                <c:pt idx="82">
                  <c:v>0.15701219512195122</c:v>
                </c:pt>
                <c:pt idx="83">
                  <c:v>0.15686274509803921</c:v>
                </c:pt>
                <c:pt idx="84">
                  <c:v>0.15601783060921248</c:v>
                </c:pt>
                <c:pt idx="85">
                  <c:v>0.15637254901960784</c:v>
                </c:pt>
                <c:pt idx="86">
                  <c:v>0.15672003881610869</c:v>
                </c:pt>
                <c:pt idx="87">
                  <c:v>0.15658021133525457</c:v>
                </c:pt>
                <c:pt idx="88">
                  <c:v>0.15786970993818356</c:v>
                </c:pt>
                <c:pt idx="89">
                  <c:v>0.15841584158415842</c:v>
                </c:pt>
                <c:pt idx="90">
                  <c:v>0.15782122905027932</c:v>
                </c:pt>
                <c:pt idx="91">
                  <c:v>0.15816091954022987</c:v>
                </c:pt>
                <c:pt idx="92">
                  <c:v>0.15777473780209758</c:v>
                </c:pt>
                <c:pt idx="93">
                  <c:v>0.15832205683355885</c:v>
                </c:pt>
                <c:pt idx="94">
                  <c:v>0.15909090909090909</c:v>
                </c:pt>
                <c:pt idx="95">
                  <c:v>0.16049382716049382</c:v>
                </c:pt>
                <c:pt idx="96">
                  <c:v>0.16120576671035386</c:v>
                </c:pt>
                <c:pt idx="97">
                  <c:v>0.16060606060606061</c:v>
                </c:pt>
                <c:pt idx="98">
                  <c:v>0.16001716001716002</c:v>
                </c:pt>
                <c:pt idx="99">
                  <c:v>0.1606990622335891</c:v>
                </c:pt>
                <c:pt idx="100">
                  <c:v>0.16116751269035534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167512690355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全体2!$I$1:$I$2</c:f>
              <c:strCache>
                <c:ptCount val="2"/>
                <c:pt idx="0">
                  <c:v>全体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全体2!$I$3:$I$103</c:f>
              <c:numCache>
                <c:formatCode>0</c:formatCode>
                <c:ptCount val="101"/>
                <c:pt idx="1">
                  <c:v>9720</c:v>
                </c:pt>
                <c:pt idx="2">
                  <c:v>9630</c:v>
                </c:pt>
                <c:pt idx="3">
                  <c:v>8525</c:v>
                </c:pt>
                <c:pt idx="4">
                  <c:v>8141.666666666667</c:v>
                </c:pt>
                <c:pt idx="5">
                  <c:v>8528.125</c:v>
                </c:pt>
                <c:pt idx="6">
                  <c:v>9625.7142857142862</c:v>
                </c:pt>
                <c:pt idx="7">
                  <c:v>8984.4444444444453</c:v>
                </c:pt>
                <c:pt idx="8">
                  <c:v>8225.454545454546</c:v>
                </c:pt>
                <c:pt idx="9">
                  <c:v>8398.4126984126979</c:v>
                </c:pt>
                <c:pt idx="10">
                  <c:v>8725.352112676057</c:v>
                </c:pt>
                <c:pt idx="11">
                  <c:v>8760.5263157894733</c:v>
                </c:pt>
                <c:pt idx="12">
                  <c:v>8350.5747126436781</c:v>
                </c:pt>
                <c:pt idx="13">
                  <c:v>8360.2150537634407</c:v>
                </c:pt>
                <c:pt idx="14">
                  <c:v>8680.3921568627447</c:v>
                </c:pt>
                <c:pt idx="15">
                  <c:v>8846.7289719626169</c:v>
                </c:pt>
                <c:pt idx="16">
                  <c:v>8937.7192982456145</c:v>
                </c:pt>
                <c:pt idx="17">
                  <c:v>9056.6666666666661</c:v>
                </c:pt>
                <c:pt idx="18">
                  <c:v>8990.4</c:v>
                </c:pt>
                <c:pt idx="19">
                  <c:v>8952.9850746268658</c:v>
                </c:pt>
                <c:pt idx="20">
                  <c:v>8884.1726618705034</c:v>
                </c:pt>
                <c:pt idx="21">
                  <c:v>8885.0340136054419</c:v>
                </c:pt>
                <c:pt idx="22">
                  <c:v>8957.6923076923085</c:v>
                </c:pt>
                <c:pt idx="23">
                  <c:v>8948.7804878048773</c:v>
                </c:pt>
                <c:pt idx="24">
                  <c:v>8858.6206896551721</c:v>
                </c:pt>
                <c:pt idx="25">
                  <c:v>8858.6206896551721</c:v>
                </c:pt>
                <c:pt idx="26">
                  <c:v>8826.3440860215051</c:v>
                </c:pt>
                <c:pt idx="27">
                  <c:v>8757.7319587628863</c:v>
                </c:pt>
                <c:pt idx="28">
                  <c:v>8825.8706467661686</c:v>
                </c:pt>
                <c:pt idx="29">
                  <c:v>8773.5576923076915</c:v>
                </c:pt>
                <c:pt idx="30">
                  <c:v>8763.1336405529946</c:v>
                </c:pt>
                <c:pt idx="31">
                  <c:v>8674.8878923766824</c:v>
                </c:pt>
                <c:pt idx="32">
                  <c:v>8747.4137931034475</c:v>
                </c:pt>
                <c:pt idx="33">
                  <c:v>8841.5254237288136</c:v>
                </c:pt>
                <c:pt idx="34">
                  <c:v>9006.7510548523205</c:v>
                </c:pt>
                <c:pt idx="35">
                  <c:v>8977.1428571428569</c:v>
                </c:pt>
                <c:pt idx="36">
                  <c:v>8980.078125</c:v>
                </c:pt>
                <c:pt idx="37">
                  <c:v>9080.3846153846152</c:v>
                </c:pt>
                <c:pt idx="38">
                  <c:v>9067.9245283018863</c:v>
                </c:pt>
                <c:pt idx="39">
                  <c:v>9054.181818181818</c:v>
                </c:pt>
                <c:pt idx="40">
                  <c:v>9028.4210526315783</c:v>
                </c:pt>
                <c:pt idx="41">
                  <c:v>8910.5084745762706</c:v>
                </c:pt>
                <c:pt idx="42">
                  <c:v>8928.28947368421</c:v>
                </c:pt>
                <c:pt idx="43">
                  <c:v>8976.0517799352747</c:v>
                </c:pt>
                <c:pt idx="44">
                  <c:v>8926.2658227848096</c:v>
                </c:pt>
                <c:pt idx="45">
                  <c:v>8878.5276073619625</c:v>
                </c:pt>
                <c:pt idx="46">
                  <c:v>8807.807807807807</c:v>
                </c:pt>
                <c:pt idx="47">
                  <c:v>8981.6326530612241</c:v>
                </c:pt>
                <c:pt idx="48">
                  <c:v>9068.9655172413786</c:v>
                </c:pt>
                <c:pt idx="49">
                  <c:v>9003.3802816901407</c:v>
                </c:pt>
                <c:pt idx="50">
                  <c:v>8982.1727019498612</c:v>
                </c:pt>
                <c:pt idx="51">
                  <c:v>9017.391304347826</c:v>
                </c:pt>
                <c:pt idx="52">
                  <c:v>9091.9137466307275</c:v>
                </c:pt>
                <c:pt idx="53">
                  <c:v>9060</c:v>
                </c:pt>
                <c:pt idx="54">
                  <c:v>9062.5322997416024</c:v>
                </c:pt>
                <c:pt idx="55">
                  <c:v>9066.1577608142488</c:v>
                </c:pt>
                <c:pt idx="56">
                  <c:v>9062.0947630922692</c:v>
                </c:pt>
                <c:pt idx="57">
                  <c:v>9136.6748166259167</c:v>
                </c:pt>
                <c:pt idx="58">
                  <c:v>9117.9856115107905</c:v>
                </c:pt>
                <c:pt idx="59">
                  <c:v>9148.6997635933803</c:v>
                </c:pt>
                <c:pt idx="60">
                  <c:v>9260.9411764705874</c:v>
                </c:pt>
                <c:pt idx="61">
                  <c:v>9258.1986143187059</c:v>
                </c:pt>
                <c:pt idx="62">
                  <c:v>9253.0751708428252</c:v>
                </c:pt>
                <c:pt idx="63">
                  <c:v>9291.9463087248314</c:v>
                </c:pt>
                <c:pt idx="64">
                  <c:v>9290.0662251655631</c:v>
                </c:pt>
                <c:pt idx="65">
                  <c:v>9272.391304347826</c:v>
                </c:pt>
                <c:pt idx="66">
                  <c:v>9304.2735042735039</c:v>
                </c:pt>
                <c:pt idx="67">
                  <c:v>9276</c:v>
                </c:pt>
                <c:pt idx="68">
                  <c:v>9300</c:v>
                </c:pt>
                <c:pt idx="69">
                  <c:v>9319.057377049181</c:v>
                </c:pt>
                <c:pt idx="70">
                  <c:v>9347.283702213279</c:v>
                </c:pt>
                <c:pt idx="71">
                  <c:v>9267.8500986193285</c:v>
                </c:pt>
                <c:pt idx="72">
                  <c:v>9270.3703703703704</c:v>
                </c:pt>
                <c:pt idx="73">
                  <c:v>9257.5815738963538</c:v>
                </c:pt>
                <c:pt idx="74">
                  <c:v>9237.4524714828895</c:v>
                </c:pt>
                <c:pt idx="75">
                  <c:v>9200</c:v>
                </c:pt>
                <c:pt idx="76">
                  <c:v>9232.6530612244896</c:v>
                </c:pt>
                <c:pt idx="77">
                  <c:v>9231.6270566727599</c:v>
                </c:pt>
                <c:pt idx="78">
                  <c:v>9246</c:v>
                </c:pt>
                <c:pt idx="79">
                  <c:v>9308.4078711985694</c:v>
                </c:pt>
                <c:pt idx="80">
                  <c:v>9312.1265377855889</c:v>
                </c:pt>
                <c:pt idx="81">
                  <c:v>9369.5501730103806</c:v>
                </c:pt>
                <c:pt idx="82">
                  <c:v>9360.8247422680415</c:v>
                </c:pt>
                <c:pt idx="83">
                  <c:v>9346.3497453310702</c:v>
                </c:pt>
                <c:pt idx="84">
                  <c:v>9438.6934673366832</c:v>
                </c:pt>
                <c:pt idx="85">
                  <c:v>9401.492537313432</c:v>
                </c:pt>
                <c:pt idx="86">
                  <c:v>9418.3606557377043</c:v>
                </c:pt>
                <c:pt idx="87">
                  <c:v>9416.4227642276419</c:v>
                </c:pt>
                <c:pt idx="88">
                  <c:v>9415.9163987138272</c:v>
                </c:pt>
                <c:pt idx="89">
                  <c:v>9462.4203821656047</c:v>
                </c:pt>
                <c:pt idx="90">
                  <c:v>9471.6981132075471</c:v>
                </c:pt>
                <c:pt idx="91">
                  <c:v>9411.4906832298129</c:v>
                </c:pt>
                <c:pt idx="92">
                  <c:v>9400.3076923076915</c:v>
                </c:pt>
                <c:pt idx="93">
                  <c:v>9362.310030395136</c:v>
                </c:pt>
                <c:pt idx="94">
                  <c:v>9360.6606606606601</c:v>
                </c:pt>
                <c:pt idx="95">
                  <c:v>9345.9940652818987</c:v>
                </c:pt>
                <c:pt idx="96">
                  <c:v>9332.1585903083705</c:v>
                </c:pt>
                <c:pt idx="97">
                  <c:v>9320.1459854014593</c:v>
                </c:pt>
                <c:pt idx="98">
                  <c:v>9278.4682080924849</c:v>
                </c:pt>
                <c:pt idx="99">
                  <c:v>9337.5896700143476</c:v>
                </c:pt>
                <c:pt idx="100">
                  <c:v>9343.0199430199427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343.0199430199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全体2!$J$1:$J$2</c:f>
              <c:strCache>
                <c:ptCount val="2"/>
                <c:pt idx="0">
                  <c:v>全体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全体2!$J$3:$J$103</c:f>
              <c:numCache>
                <c:formatCode>0</c:formatCode>
                <c:ptCount val="101"/>
                <c:pt idx="1">
                  <c:v>-7650</c:v>
                </c:pt>
                <c:pt idx="2">
                  <c:v>-8942.8571428571431</c:v>
                </c:pt>
                <c:pt idx="3">
                  <c:v>-8136.363636363636</c:v>
                </c:pt>
                <c:pt idx="4">
                  <c:v>-8115.3846153846152</c:v>
                </c:pt>
                <c:pt idx="5">
                  <c:v>-8429.4117647058829</c:v>
                </c:pt>
                <c:pt idx="6">
                  <c:v>-8429.4117647058829</c:v>
                </c:pt>
                <c:pt idx="7">
                  <c:v>-8395.8333333333339</c:v>
                </c:pt>
                <c:pt idx="8">
                  <c:v>-7483.333333333333</c:v>
                </c:pt>
                <c:pt idx="9">
                  <c:v>-7281.818181818182</c:v>
                </c:pt>
                <c:pt idx="10">
                  <c:v>-7532.4324324324325</c:v>
                </c:pt>
                <c:pt idx="11">
                  <c:v>-7797.5609756097565</c:v>
                </c:pt>
                <c:pt idx="12">
                  <c:v>-7429.166666666667</c:v>
                </c:pt>
                <c:pt idx="13">
                  <c:v>-7370.588235294118</c:v>
                </c:pt>
                <c:pt idx="14">
                  <c:v>-7463.636363636364</c:v>
                </c:pt>
                <c:pt idx="15">
                  <c:v>-7463.636363636364</c:v>
                </c:pt>
                <c:pt idx="16">
                  <c:v>-7565.5172413793107</c:v>
                </c:pt>
                <c:pt idx="17">
                  <c:v>-7503.3898305084749</c:v>
                </c:pt>
                <c:pt idx="18">
                  <c:v>-7495.3125</c:v>
                </c:pt>
                <c:pt idx="19">
                  <c:v>-7739.7058823529414</c:v>
                </c:pt>
                <c:pt idx="20">
                  <c:v>-7683.0985915492956</c:v>
                </c:pt>
                <c:pt idx="21">
                  <c:v>-7701.2987012987014</c:v>
                </c:pt>
                <c:pt idx="22">
                  <c:v>-7864.1975308641977</c:v>
                </c:pt>
                <c:pt idx="23">
                  <c:v>-7850.588235294118</c:v>
                </c:pt>
                <c:pt idx="24">
                  <c:v>-7838.4615384615381</c:v>
                </c:pt>
                <c:pt idx="25">
                  <c:v>-7838.4615384615381</c:v>
                </c:pt>
                <c:pt idx="26">
                  <c:v>-7633.6734693877552</c:v>
                </c:pt>
                <c:pt idx="27">
                  <c:v>-7686.2745098039213</c:v>
                </c:pt>
                <c:pt idx="28">
                  <c:v>-7728.155339805825</c:v>
                </c:pt>
                <c:pt idx="29">
                  <c:v>-7680.1886792452833</c:v>
                </c:pt>
                <c:pt idx="30">
                  <c:v>-7674.7747747747744</c:v>
                </c:pt>
                <c:pt idx="31">
                  <c:v>-7677.6785714285716</c:v>
                </c:pt>
                <c:pt idx="32">
                  <c:v>-7928.2051282051279</c:v>
                </c:pt>
                <c:pt idx="33">
                  <c:v>-8107.5630252100837</c:v>
                </c:pt>
                <c:pt idx="34">
                  <c:v>-8440</c:v>
                </c:pt>
                <c:pt idx="35">
                  <c:v>-8430.3278688524588</c:v>
                </c:pt>
                <c:pt idx="36">
                  <c:v>-8435.9375</c:v>
                </c:pt>
                <c:pt idx="37">
                  <c:v>-8624.4274809160306</c:v>
                </c:pt>
                <c:pt idx="38">
                  <c:v>-8650</c:v>
                </c:pt>
                <c:pt idx="39">
                  <c:v>-8594.927536231884</c:v>
                </c:pt>
                <c:pt idx="40">
                  <c:v>-8665.0349650349654</c:v>
                </c:pt>
                <c:pt idx="41">
                  <c:v>-8460</c:v>
                </c:pt>
                <c:pt idx="42">
                  <c:v>-8345.5696202531653</c:v>
                </c:pt>
                <c:pt idx="43">
                  <c:v>-8335.4037267080748</c:v>
                </c:pt>
                <c:pt idx="44">
                  <c:v>-8344.8484848484841</c:v>
                </c:pt>
                <c:pt idx="45">
                  <c:v>-8273.9884393063585</c:v>
                </c:pt>
                <c:pt idx="46">
                  <c:v>-8227.1186440677975</c:v>
                </c:pt>
                <c:pt idx="47">
                  <c:v>-8319.8895027624312</c:v>
                </c:pt>
                <c:pt idx="48">
                  <c:v>-8360.1092896174869</c:v>
                </c:pt>
                <c:pt idx="49">
                  <c:v>-8283.510638297872</c:v>
                </c:pt>
                <c:pt idx="50">
                  <c:v>-8240.5263157894733</c:v>
                </c:pt>
                <c:pt idx="51">
                  <c:v>-8346.7005076142141</c:v>
                </c:pt>
                <c:pt idx="52">
                  <c:v>-8296.4824120603007</c:v>
                </c:pt>
                <c:pt idx="53">
                  <c:v>-8351.485148514852</c:v>
                </c:pt>
                <c:pt idx="54">
                  <c:v>-8385.0241545893714</c:v>
                </c:pt>
                <c:pt idx="55">
                  <c:v>-8427.4881516587684</c:v>
                </c:pt>
                <c:pt idx="56">
                  <c:v>-8415.7407407407409</c:v>
                </c:pt>
                <c:pt idx="57">
                  <c:v>-8350.9090909090901</c:v>
                </c:pt>
                <c:pt idx="58">
                  <c:v>-8350</c:v>
                </c:pt>
                <c:pt idx="59">
                  <c:v>-8395.1754385964905</c:v>
                </c:pt>
                <c:pt idx="60">
                  <c:v>-8437.1179039301314</c:v>
                </c:pt>
                <c:pt idx="61">
                  <c:v>-8409.4827586206902</c:v>
                </c:pt>
                <c:pt idx="62">
                  <c:v>-8429.3617021276605</c:v>
                </c:pt>
                <c:pt idx="63">
                  <c:v>-8404.6218487394963</c:v>
                </c:pt>
                <c:pt idx="64">
                  <c:v>-8391.7695473251024</c:v>
                </c:pt>
                <c:pt idx="65">
                  <c:v>-8335.2226720647777</c:v>
                </c:pt>
                <c:pt idx="66">
                  <c:v>-8386</c:v>
                </c:pt>
                <c:pt idx="67">
                  <c:v>-8382.936507936507</c:v>
                </c:pt>
                <c:pt idx="68">
                  <c:v>-8418.1467181467178</c:v>
                </c:pt>
                <c:pt idx="69">
                  <c:v>-8480.9160305343503</c:v>
                </c:pt>
                <c:pt idx="70">
                  <c:v>-8476.136363636364</c:v>
                </c:pt>
                <c:pt idx="71">
                  <c:v>-8460</c:v>
                </c:pt>
                <c:pt idx="72">
                  <c:v>-8424.2647058823532</c:v>
                </c:pt>
                <c:pt idx="73">
                  <c:v>-8408.3032490974729</c:v>
                </c:pt>
                <c:pt idx="74">
                  <c:v>-8358.7188612099635</c:v>
                </c:pt>
                <c:pt idx="75">
                  <c:v>-8338.0281690140837</c:v>
                </c:pt>
                <c:pt idx="76">
                  <c:v>-8370.6293706293709</c:v>
                </c:pt>
                <c:pt idx="77">
                  <c:v>-8318.6206896551721</c:v>
                </c:pt>
                <c:pt idx="78">
                  <c:v>-8354.94880546075</c:v>
                </c:pt>
                <c:pt idx="79">
                  <c:v>-8476.2541806020072</c:v>
                </c:pt>
                <c:pt idx="80">
                  <c:v>-8449.0066225165556</c:v>
                </c:pt>
                <c:pt idx="81">
                  <c:v>-8605.8441558441555</c:v>
                </c:pt>
                <c:pt idx="82">
                  <c:v>-8616.8284789644022</c:v>
                </c:pt>
                <c:pt idx="83">
                  <c:v>-8605.4487179487187</c:v>
                </c:pt>
                <c:pt idx="84">
                  <c:v>-8586.6666666666661</c:v>
                </c:pt>
                <c:pt idx="85">
                  <c:v>-8541.6927899686525</c:v>
                </c:pt>
                <c:pt idx="86">
                  <c:v>-8542.724458204335</c:v>
                </c:pt>
                <c:pt idx="87">
                  <c:v>-8555.8282208588953</c:v>
                </c:pt>
                <c:pt idx="88">
                  <c:v>-8526.5060240963849</c:v>
                </c:pt>
                <c:pt idx="89">
                  <c:v>-8590.7738095238092</c:v>
                </c:pt>
                <c:pt idx="90">
                  <c:v>-8607.6696165191734</c:v>
                </c:pt>
                <c:pt idx="91">
                  <c:v>-8556.3953488372099</c:v>
                </c:pt>
                <c:pt idx="92">
                  <c:v>-8545.0867052023114</c:v>
                </c:pt>
                <c:pt idx="93">
                  <c:v>-8531.6239316239316</c:v>
                </c:pt>
                <c:pt idx="94">
                  <c:v>-8547.8991596638662</c:v>
                </c:pt>
                <c:pt idx="95">
                  <c:v>-8529.1208791208792</c:v>
                </c:pt>
                <c:pt idx="96">
                  <c:v>-8536.0433604336049</c:v>
                </c:pt>
                <c:pt idx="97">
                  <c:v>-8554.7169811320746</c:v>
                </c:pt>
                <c:pt idx="98">
                  <c:v>-8526.2734584450409</c:v>
                </c:pt>
                <c:pt idx="99">
                  <c:v>-8583.2891246684358</c:v>
                </c:pt>
                <c:pt idx="100">
                  <c:v>-8578.4776902887133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578.47769028871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全体2!$K$1:$K$2</c:f>
              <c:strCache>
                <c:ptCount val="2"/>
                <c:pt idx="0">
                  <c:v>全体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全体2!$K$3:$K$103</c:f>
              <c:numCache>
                <c:formatCode>0.0%</c:formatCode>
                <c:ptCount val="101"/>
                <c:pt idx="1">
                  <c:v>0.33333333333333331</c:v>
                </c:pt>
                <c:pt idx="2">
                  <c:v>0.33333333333333331</c:v>
                </c:pt>
                <c:pt idx="3">
                  <c:v>0.22222222222222221</c:v>
                </c:pt>
                <c:pt idx="4">
                  <c:v>0.16666666666666666</c:v>
                </c:pt>
                <c:pt idx="5">
                  <c:v>0.13333333333333333</c:v>
                </c:pt>
                <c:pt idx="6">
                  <c:v>0.16666666666666666</c:v>
                </c:pt>
                <c:pt idx="7">
                  <c:v>0.19047619047619047</c:v>
                </c:pt>
                <c:pt idx="8">
                  <c:v>0.16666666666666666</c:v>
                </c:pt>
                <c:pt idx="9">
                  <c:v>0.14814814814814814</c:v>
                </c:pt>
                <c:pt idx="10">
                  <c:v>0.13333333333333333</c:v>
                </c:pt>
                <c:pt idx="11">
                  <c:v>0.12121212121212122</c:v>
                </c:pt>
                <c:pt idx="12">
                  <c:v>0.1111111111111111</c:v>
                </c:pt>
                <c:pt idx="13">
                  <c:v>0.10256410256410256</c:v>
                </c:pt>
                <c:pt idx="14">
                  <c:v>9.5238095238095233E-2</c:v>
                </c:pt>
                <c:pt idx="15">
                  <c:v>0.1111111111111111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0.10144927536231885</c:v>
                </c:pt>
                <c:pt idx="24">
                  <c:v>9.7222222222222224E-2</c:v>
                </c:pt>
                <c:pt idx="25">
                  <c:v>9.3333333333333338E-2</c:v>
                </c:pt>
                <c:pt idx="26">
                  <c:v>8.9743589743589744E-2</c:v>
                </c:pt>
                <c:pt idx="27">
                  <c:v>8.6419753086419748E-2</c:v>
                </c:pt>
                <c:pt idx="28">
                  <c:v>8.3333333333333329E-2</c:v>
                </c:pt>
                <c:pt idx="29">
                  <c:v>8.0459770114942528E-2</c:v>
                </c:pt>
                <c:pt idx="30">
                  <c:v>7.7777777777777779E-2</c:v>
                </c:pt>
                <c:pt idx="31">
                  <c:v>7.5268817204301078E-2</c:v>
                </c:pt>
                <c:pt idx="32">
                  <c:v>7.2916666666666671E-2</c:v>
                </c:pt>
                <c:pt idx="33">
                  <c:v>8.0808080808080815E-2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9.2592592592592587E-2</c:v>
                </c:pt>
                <c:pt idx="37">
                  <c:v>9.90990990990991E-2</c:v>
                </c:pt>
                <c:pt idx="38">
                  <c:v>9.6491228070175433E-2</c:v>
                </c:pt>
                <c:pt idx="39">
                  <c:v>9.4017094017094016E-2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9.6296296296296297E-2</c:v>
                </c:pt>
                <c:pt idx="46">
                  <c:v>9.420289855072464E-2</c:v>
                </c:pt>
                <c:pt idx="47">
                  <c:v>0.10638297872340426</c:v>
                </c:pt>
                <c:pt idx="48">
                  <c:v>0.1111111111111111</c:v>
                </c:pt>
                <c:pt idx="49">
                  <c:v>0.10884353741496598</c:v>
                </c:pt>
                <c:pt idx="50">
                  <c:v>0.10666666666666667</c:v>
                </c:pt>
                <c:pt idx="51">
                  <c:v>0.10457516339869281</c:v>
                </c:pt>
                <c:pt idx="52">
                  <c:v>0.10897435897435898</c:v>
                </c:pt>
                <c:pt idx="53">
                  <c:v>0.1069182389937107</c:v>
                </c:pt>
                <c:pt idx="54">
                  <c:v>0.10493827160493827</c:v>
                </c:pt>
                <c:pt idx="55">
                  <c:v>0.10303030303030303</c:v>
                </c:pt>
                <c:pt idx="56">
                  <c:v>0.10714285714285714</c:v>
                </c:pt>
                <c:pt idx="57">
                  <c:v>0.1111111111111111</c:v>
                </c:pt>
                <c:pt idx="58">
                  <c:v>0.10919540229885058</c:v>
                </c:pt>
                <c:pt idx="59">
                  <c:v>0.11299435028248588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0.10784313725490197</c:v>
                </c:pt>
                <c:pt idx="69">
                  <c:v>0.1111111111111111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0.11574074074074074</c:v>
                </c:pt>
                <c:pt idx="73">
                  <c:v>0.11872146118721461</c:v>
                </c:pt>
                <c:pt idx="74">
                  <c:v>0.11711711711711711</c:v>
                </c:pt>
                <c:pt idx="75">
                  <c:v>0.11555555555555555</c:v>
                </c:pt>
                <c:pt idx="76">
                  <c:v>0.11842105263157894</c:v>
                </c:pt>
                <c:pt idx="77">
                  <c:v>0.12121212121212122</c:v>
                </c:pt>
                <c:pt idx="78">
                  <c:v>0.12393162393162394</c:v>
                </c:pt>
                <c:pt idx="79">
                  <c:v>0.12236286919831224</c:v>
                </c:pt>
                <c:pt idx="80">
                  <c:v>0.12083333333333333</c:v>
                </c:pt>
                <c:pt idx="81">
                  <c:v>0.12345679012345678</c:v>
                </c:pt>
                <c:pt idx="82">
                  <c:v>0.12601626016260162</c:v>
                </c:pt>
                <c:pt idx="83">
                  <c:v>0.12449799196787148</c:v>
                </c:pt>
                <c:pt idx="84">
                  <c:v>0.12698412698412698</c:v>
                </c:pt>
                <c:pt idx="85">
                  <c:v>0.12549019607843137</c:v>
                </c:pt>
                <c:pt idx="86">
                  <c:v>0.12790697674418605</c:v>
                </c:pt>
                <c:pt idx="87">
                  <c:v>0.13026819923371646</c:v>
                </c:pt>
                <c:pt idx="88">
                  <c:v>0.12878787878787878</c:v>
                </c:pt>
                <c:pt idx="89">
                  <c:v>0.13108614232209737</c:v>
                </c:pt>
                <c:pt idx="90">
                  <c:v>0.13333333333333333</c:v>
                </c:pt>
                <c:pt idx="91">
                  <c:v>0.13186813186813187</c:v>
                </c:pt>
                <c:pt idx="92">
                  <c:v>0.13043478260869565</c:v>
                </c:pt>
                <c:pt idx="93">
                  <c:v>0.12903225806451613</c:v>
                </c:pt>
                <c:pt idx="94">
                  <c:v>0.13120567375886524</c:v>
                </c:pt>
                <c:pt idx="95">
                  <c:v>0.12982456140350876</c:v>
                </c:pt>
                <c:pt idx="96">
                  <c:v>0.12847222222222221</c:v>
                </c:pt>
                <c:pt idx="97">
                  <c:v>0.13058419243986255</c:v>
                </c:pt>
                <c:pt idx="98">
                  <c:v>0.12925170068027211</c:v>
                </c:pt>
                <c:pt idx="99">
                  <c:v>0.13131313131313133</c:v>
                </c:pt>
                <c:pt idx="10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全体2!$L$1:$L$2</c:f>
              <c:strCache>
                <c:ptCount val="2"/>
                <c:pt idx="0">
                  <c:v>全体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全体2!$L$3:$L$103</c:f>
              <c:numCache>
                <c:formatCode>0.0%</c:formatCode>
                <c:ptCount val="101"/>
                <c:pt idx="1">
                  <c:v>0.16666666666666666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0.29333333333333333</c:v>
                </c:pt>
                <c:pt idx="5">
                  <c:v>0.25490196078431371</c:v>
                </c:pt>
                <c:pt idx="6">
                  <c:v>0.23684210526315788</c:v>
                </c:pt>
                <c:pt idx="7">
                  <c:v>0.24113475177304963</c:v>
                </c:pt>
                <c:pt idx="8">
                  <c:v>0.25146198830409355</c:v>
                </c:pt>
                <c:pt idx="9">
                  <c:v>0.24747474747474749</c:v>
                </c:pt>
                <c:pt idx="10">
                  <c:v>0.25</c:v>
                </c:pt>
                <c:pt idx="11">
                  <c:v>0.25301204819277107</c:v>
                </c:pt>
                <c:pt idx="12">
                  <c:v>0.26241134751773049</c:v>
                </c:pt>
                <c:pt idx="13">
                  <c:v>0.27777777777777779</c:v>
                </c:pt>
                <c:pt idx="14">
                  <c:v>0.29166666666666669</c:v>
                </c:pt>
                <c:pt idx="15">
                  <c:v>0.28291316526610644</c:v>
                </c:pt>
                <c:pt idx="16">
                  <c:v>0.29921259842519687</c:v>
                </c:pt>
                <c:pt idx="17">
                  <c:v>0.31630170316301703</c:v>
                </c:pt>
                <c:pt idx="18">
                  <c:v>0.31481481481481483</c:v>
                </c:pt>
                <c:pt idx="19">
                  <c:v>0.31808278867102396</c:v>
                </c:pt>
                <c:pt idx="20">
                  <c:v>0.31865828092243187</c:v>
                </c:pt>
                <c:pt idx="21">
                  <c:v>0.31536926147704591</c:v>
                </c:pt>
                <c:pt idx="22">
                  <c:v>0.31638418079096048</c:v>
                </c:pt>
                <c:pt idx="23">
                  <c:v>0.3171171171171171</c:v>
                </c:pt>
                <c:pt idx="24">
                  <c:v>0.31641285956006771</c:v>
                </c:pt>
                <c:pt idx="25">
                  <c:v>0.31641285956006771</c:v>
                </c:pt>
                <c:pt idx="26">
                  <c:v>0.31428571428571428</c:v>
                </c:pt>
                <c:pt idx="27">
                  <c:v>0.31506849315068491</c:v>
                </c:pt>
                <c:pt idx="28">
                  <c:v>0.32305433186490456</c:v>
                </c:pt>
                <c:pt idx="29">
                  <c:v>0.32193732193732194</c:v>
                </c:pt>
                <c:pt idx="30">
                  <c:v>0.32510288065843623</c:v>
                </c:pt>
                <c:pt idx="31">
                  <c:v>0.32396251673360105</c:v>
                </c:pt>
                <c:pt idx="32">
                  <c:v>0.31928480204342274</c:v>
                </c:pt>
                <c:pt idx="33">
                  <c:v>0.31823899371069181</c:v>
                </c:pt>
                <c:pt idx="34">
                  <c:v>0.31704260651629074</c:v>
                </c:pt>
                <c:pt idx="35">
                  <c:v>0.31386861313868614</c:v>
                </c:pt>
                <c:pt idx="36">
                  <c:v>0.317016317016317</c:v>
                </c:pt>
                <c:pt idx="37">
                  <c:v>0.31954022988505748</c:v>
                </c:pt>
                <c:pt idx="38">
                  <c:v>0.31869369369369371</c:v>
                </c:pt>
                <c:pt idx="39">
                  <c:v>0.3202614379084967</c:v>
                </c:pt>
                <c:pt idx="40">
                  <c:v>0.32172995780590719</c:v>
                </c:pt>
                <c:pt idx="41">
                  <c:v>0.32113821138211385</c:v>
                </c:pt>
                <c:pt idx="42">
                  <c:v>0.31656804733727811</c:v>
                </c:pt>
                <c:pt idx="43">
                  <c:v>0.31875607385811466</c:v>
                </c:pt>
                <c:pt idx="44">
                  <c:v>0.3180952380952381</c:v>
                </c:pt>
                <c:pt idx="45">
                  <c:v>0.30945821854912764</c:v>
                </c:pt>
                <c:pt idx="46">
                  <c:v>0.30734767025089604</c:v>
                </c:pt>
                <c:pt idx="47">
                  <c:v>0.30983463881636203</c:v>
                </c:pt>
                <c:pt idx="48">
                  <c:v>0.31013745704467355</c:v>
                </c:pt>
                <c:pt idx="49">
                  <c:v>0.30892255892255893</c:v>
                </c:pt>
                <c:pt idx="50">
                  <c:v>0.30686517783291978</c:v>
                </c:pt>
                <c:pt idx="51">
                  <c:v>0.30744336569579289</c:v>
                </c:pt>
                <c:pt idx="52">
                  <c:v>0.30769230769230771</c:v>
                </c:pt>
                <c:pt idx="53">
                  <c:v>0.30672926447574334</c:v>
                </c:pt>
                <c:pt idx="54">
                  <c:v>0.30561970746728251</c:v>
                </c:pt>
                <c:pt idx="55">
                  <c:v>0.30624529721595184</c:v>
                </c:pt>
                <c:pt idx="56">
                  <c:v>0.30968218773096823</c:v>
                </c:pt>
                <c:pt idx="57">
                  <c:v>0.30942028985507247</c:v>
                </c:pt>
                <c:pt idx="58">
                  <c:v>0.31130063965884863</c:v>
                </c:pt>
                <c:pt idx="59">
                  <c:v>0.31508771929824564</c:v>
                </c:pt>
                <c:pt idx="60">
                  <c:v>0.31586303284416489</c:v>
                </c:pt>
                <c:pt idx="61">
                  <c:v>0.3168724279835391</c:v>
                </c:pt>
                <c:pt idx="62">
                  <c:v>0.31707317073170732</c:v>
                </c:pt>
                <c:pt idx="63">
                  <c:v>0.316</c:v>
                </c:pt>
                <c:pt idx="64">
                  <c:v>0.31689677843524</c:v>
                </c:pt>
                <c:pt idx="65">
                  <c:v>0.31776913099870296</c:v>
                </c:pt>
                <c:pt idx="66">
                  <c:v>0.32061068702290074</c:v>
                </c:pt>
                <c:pt idx="67">
                  <c:v>0.32142857142857145</c:v>
                </c:pt>
                <c:pt idx="68">
                  <c:v>0.32285890326555761</c:v>
                </c:pt>
                <c:pt idx="69">
                  <c:v>0.32238442822384428</c:v>
                </c:pt>
                <c:pt idx="70">
                  <c:v>0.32198327359617684</c:v>
                </c:pt>
                <c:pt idx="71">
                  <c:v>0.31751611013473929</c:v>
                </c:pt>
                <c:pt idx="72">
                  <c:v>0.31773541305603697</c:v>
                </c:pt>
                <c:pt idx="73">
                  <c:v>0.31851851851851853</c:v>
                </c:pt>
                <c:pt idx="74">
                  <c:v>0.31813063063063063</c:v>
                </c:pt>
                <c:pt idx="75">
                  <c:v>0.31777777777777777</c:v>
                </c:pt>
                <c:pt idx="76">
                  <c:v>0.31905546403075236</c:v>
                </c:pt>
                <c:pt idx="77">
                  <c:v>0.31980519480519481</c:v>
                </c:pt>
                <c:pt idx="78">
                  <c:v>0.3193322563274098</c:v>
                </c:pt>
                <c:pt idx="79">
                  <c:v>0.31794055201698512</c:v>
                </c:pt>
                <c:pt idx="80">
                  <c:v>0.31818181818181818</c:v>
                </c:pt>
                <c:pt idx="81">
                  <c:v>0.31846153846153846</c:v>
                </c:pt>
                <c:pt idx="82">
                  <c:v>0.31859756097560976</c:v>
                </c:pt>
                <c:pt idx="83">
                  <c:v>0.31975867269984914</c:v>
                </c:pt>
                <c:pt idx="84">
                  <c:v>0.31946508172362553</c:v>
                </c:pt>
                <c:pt idx="85">
                  <c:v>0.32009803921568625</c:v>
                </c:pt>
                <c:pt idx="86">
                  <c:v>0.3182920912178554</c:v>
                </c:pt>
                <c:pt idx="87">
                  <c:v>0.31700288184438041</c:v>
                </c:pt>
                <c:pt idx="88">
                  <c:v>0.31573941987636711</c:v>
                </c:pt>
                <c:pt idx="89">
                  <c:v>0.31494578029231496</c:v>
                </c:pt>
                <c:pt idx="90">
                  <c:v>0.31424581005586594</c:v>
                </c:pt>
                <c:pt idx="91">
                  <c:v>0.31356321839080459</c:v>
                </c:pt>
                <c:pt idx="92">
                  <c:v>0.31418148654810762</c:v>
                </c:pt>
                <c:pt idx="93">
                  <c:v>0.3125845737483085</c:v>
                </c:pt>
                <c:pt idx="94">
                  <c:v>0.31149732620320858</c:v>
                </c:pt>
                <c:pt idx="95">
                  <c:v>0.31084656084656087</c:v>
                </c:pt>
                <c:pt idx="96">
                  <c:v>0.31148973350808212</c:v>
                </c:pt>
                <c:pt idx="97">
                  <c:v>0.31082251082251083</c:v>
                </c:pt>
                <c:pt idx="98">
                  <c:v>0.3105963105963106</c:v>
                </c:pt>
                <c:pt idx="99">
                  <c:v>0.31031543052003407</c:v>
                </c:pt>
                <c:pt idx="100">
                  <c:v>0.30922165820642977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9221658206429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全体2!$M$1:$M$2</c:f>
              <c:strCache>
                <c:ptCount val="2"/>
                <c:pt idx="0">
                  <c:v>全体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全体2!$M$3:$M$103</c:f>
              <c:numCache>
                <c:formatCode>0.0%</c:formatCode>
                <c:ptCount val="101"/>
                <c:pt idx="1">
                  <c:v>0.22222222222222221</c:v>
                </c:pt>
                <c:pt idx="2">
                  <c:v>0.21212121212121213</c:v>
                </c:pt>
                <c:pt idx="3">
                  <c:v>0.25490196078431371</c:v>
                </c:pt>
                <c:pt idx="4">
                  <c:v>0.21333333333333335</c:v>
                </c:pt>
                <c:pt idx="5">
                  <c:v>0.26470588235294118</c:v>
                </c:pt>
                <c:pt idx="6">
                  <c:v>0.25438596491228072</c:v>
                </c:pt>
                <c:pt idx="7">
                  <c:v>0.26241134751773049</c:v>
                </c:pt>
                <c:pt idx="8">
                  <c:v>0.23976608187134502</c:v>
                </c:pt>
                <c:pt idx="9">
                  <c:v>0.21212121212121213</c:v>
                </c:pt>
                <c:pt idx="10">
                  <c:v>0.20614035087719298</c:v>
                </c:pt>
                <c:pt idx="11">
                  <c:v>0.20481927710843373</c:v>
                </c:pt>
                <c:pt idx="12">
                  <c:v>0.20567375886524822</c:v>
                </c:pt>
                <c:pt idx="13">
                  <c:v>0.20588235294117646</c:v>
                </c:pt>
                <c:pt idx="14">
                  <c:v>0.20238095238095238</c:v>
                </c:pt>
                <c:pt idx="15">
                  <c:v>0.20448179271708683</c:v>
                </c:pt>
                <c:pt idx="16">
                  <c:v>0.1942257217847769</c:v>
                </c:pt>
                <c:pt idx="17">
                  <c:v>0.18734793187347931</c:v>
                </c:pt>
                <c:pt idx="18">
                  <c:v>0.1875</c:v>
                </c:pt>
                <c:pt idx="19">
                  <c:v>0.18736383442265794</c:v>
                </c:pt>
                <c:pt idx="20">
                  <c:v>0.18448637316561844</c:v>
                </c:pt>
                <c:pt idx="21">
                  <c:v>0.17964071856287425</c:v>
                </c:pt>
                <c:pt idx="22">
                  <c:v>0.1807909604519774</c:v>
                </c:pt>
                <c:pt idx="23">
                  <c:v>0.18018018018018017</c:v>
                </c:pt>
                <c:pt idx="24">
                  <c:v>0.17597292724196278</c:v>
                </c:pt>
                <c:pt idx="25">
                  <c:v>0.17597292724196278</c:v>
                </c:pt>
                <c:pt idx="26">
                  <c:v>0.18412698412698414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0.1752136752136752</c:v>
                </c:pt>
                <c:pt idx="30">
                  <c:v>0.17146776406035666</c:v>
                </c:pt>
                <c:pt idx="31">
                  <c:v>0.16867469879518071</c:v>
                </c:pt>
                <c:pt idx="32">
                  <c:v>0.16475095785440613</c:v>
                </c:pt>
                <c:pt idx="33">
                  <c:v>0.16477987421383647</c:v>
                </c:pt>
                <c:pt idx="34">
                  <c:v>0.16416040100250626</c:v>
                </c:pt>
                <c:pt idx="35">
                  <c:v>0.16666666666666666</c:v>
                </c:pt>
                <c:pt idx="36">
                  <c:v>0.1655011655011655</c:v>
                </c:pt>
                <c:pt idx="37">
                  <c:v>0.16436781609195403</c:v>
                </c:pt>
                <c:pt idx="38">
                  <c:v>0.16666666666666666</c:v>
                </c:pt>
                <c:pt idx="39">
                  <c:v>0.16557734204793029</c:v>
                </c:pt>
                <c:pt idx="40">
                  <c:v>0.17088607594936708</c:v>
                </c:pt>
                <c:pt idx="41">
                  <c:v>0.16971544715447154</c:v>
                </c:pt>
                <c:pt idx="42">
                  <c:v>0.17061143984220908</c:v>
                </c:pt>
                <c:pt idx="43">
                  <c:v>0.16909620991253643</c:v>
                </c:pt>
                <c:pt idx="44">
                  <c:v>0.16952380952380952</c:v>
                </c:pt>
                <c:pt idx="45">
                  <c:v>0.17447199265381083</c:v>
                </c:pt>
                <c:pt idx="46">
                  <c:v>0.17652329749103943</c:v>
                </c:pt>
                <c:pt idx="47">
                  <c:v>0.17580504786771106</c:v>
                </c:pt>
                <c:pt idx="48">
                  <c:v>0.17439862542955326</c:v>
                </c:pt>
                <c:pt idx="49">
                  <c:v>0.17255892255892255</c:v>
                </c:pt>
                <c:pt idx="50">
                  <c:v>0.17369727047146402</c:v>
                </c:pt>
                <c:pt idx="51">
                  <c:v>0.17152103559870549</c:v>
                </c:pt>
                <c:pt idx="52">
                  <c:v>0.17067307692307693</c:v>
                </c:pt>
                <c:pt idx="53">
                  <c:v>0.1729264475743349</c:v>
                </c:pt>
                <c:pt idx="54">
                  <c:v>0.17244033872209391</c:v>
                </c:pt>
                <c:pt idx="55">
                  <c:v>0.17005267118133935</c:v>
                </c:pt>
                <c:pt idx="56">
                  <c:v>0.16777531411677754</c:v>
                </c:pt>
                <c:pt idx="57">
                  <c:v>0.1681159420289855</c:v>
                </c:pt>
                <c:pt idx="58">
                  <c:v>0.16702203269367449</c:v>
                </c:pt>
                <c:pt idx="59">
                  <c:v>0.1656140350877193</c:v>
                </c:pt>
                <c:pt idx="60">
                  <c:v>0.16491963661774983</c:v>
                </c:pt>
                <c:pt idx="61">
                  <c:v>0.16460905349794239</c:v>
                </c:pt>
                <c:pt idx="62">
                  <c:v>0.16463414634146342</c:v>
                </c:pt>
                <c:pt idx="63">
                  <c:v>0.16400000000000001</c:v>
                </c:pt>
                <c:pt idx="64">
                  <c:v>0.16370808678500987</c:v>
                </c:pt>
                <c:pt idx="65">
                  <c:v>0.16277561608300908</c:v>
                </c:pt>
                <c:pt idx="66">
                  <c:v>0.16157760814249364</c:v>
                </c:pt>
                <c:pt idx="67">
                  <c:v>0.16290726817042606</c:v>
                </c:pt>
                <c:pt idx="68">
                  <c:v>0.1614294516327788</c:v>
                </c:pt>
                <c:pt idx="69">
                  <c:v>0.16301703163017031</c:v>
                </c:pt>
                <c:pt idx="70">
                  <c:v>0.16367980884109917</c:v>
                </c:pt>
                <c:pt idx="71">
                  <c:v>0.16637375512595196</c:v>
                </c:pt>
                <c:pt idx="72">
                  <c:v>0.16464471403812825</c:v>
                </c:pt>
                <c:pt idx="73">
                  <c:v>0.16467236467236468</c:v>
                </c:pt>
                <c:pt idx="74">
                  <c:v>0.16385135135135134</c:v>
                </c:pt>
                <c:pt idx="75">
                  <c:v>0.16388888888888889</c:v>
                </c:pt>
                <c:pt idx="76">
                  <c:v>0.1630971993410214</c:v>
                </c:pt>
                <c:pt idx="77">
                  <c:v>0.16287878787878787</c:v>
                </c:pt>
                <c:pt idx="78">
                  <c:v>0.16262789445341949</c:v>
                </c:pt>
                <c:pt idx="79">
                  <c:v>0.16295116772823778</c:v>
                </c:pt>
                <c:pt idx="80">
                  <c:v>0.16144200626959249</c:v>
                </c:pt>
                <c:pt idx="81">
                  <c:v>0.16205128205128205</c:v>
                </c:pt>
                <c:pt idx="82">
                  <c:v>0.16158536585365854</c:v>
                </c:pt>
                <c:pt idx="83">
                  <c:v>0.16038210155857216</c:v>
                </c:pt>
                <c:pt idx="84">
                  <c:v>0.16245666171371967</c:v>
                </c:pt>
                <c:pt idx="85">
                  <c:v>0.16176470588235295</c:v>
                </c:pt>
                <c:pt idx="86">
                  <c:v>0.16205725376031052</c:v>
                </c:pt>
                <c:pt idx="87">
                  <c:v>0.16138328530259366</c:v>
                </c:pt>
                <c:pt idx="88">
                  <c:v>0.16072277698525916</c:v>
                </c:pt>
                <c:pt idx="89">
                  <c:v>0.16077322017916076</c:v>
                </c:pt>
                <c:pt idx="90">
                  <c:v>0.15968342644320299</c:v>
                </c:pt>
                <c:pt idx="91">
                  <c:v>0.16045977011494253</c:v>
                </c:pt>
                <c:pt idx="92">
                  <c:v>0.16096671226630188</c:v>
                </c:pt>
                <c:pt idx="93">
                  <c:v>0.16193053676138927</c:v>
                </c:pt>
                <c:pt idx="94">
                  <c:v>0.16265597147950089</c:v>
                </c:pt>
                <c:pt idx="95">
                  <c:v>0.16358024691358025</c:v>
                </c:pt>
                <c:pt idx="96">
                  <c:v>0.16251638269986893</c:v>
                </c:pt>
                <c:pt idx="97">
                  <c:v>0.16233766233766234</c:v>
                </c:pt>
                <c:pt idx="98">
                  <c:v>0.1625911625911626</c:v>
                </c:pt>
                <c:pt idx="99">
                  <c:v>0.16197783461210571</c:v>
                </c:pt>
                <c:pt idx="100">
                  <c:v>0.16243654822335024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43654822335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全体2!$N$1:$N$2</c:f>
              <c:strCache>
                <c:ptCount val="2"/>
                <c:pt idx="0">
                  <c:v>全体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全体2!$N$3:$N$103</c:f>
              <c:numCache>
                <c:formatCode>0.0%</c:formatCode>
                <c:ptCount val="101"/>
                <c:pt idx="1">
                  <c:v>1</c:v>
                </c:pt>
                <c:pt idx="2">
                  <c:v>0.63636363636363635</c:v>
                </c:pt>
                <c:pt idx="3">
                  <c:v>0.52941176470588236</c:v>
                </c:pt>
                <c:pt idx="4">
                  <c:v>0.59090909090909094</c:v>
                </c:pt>
                <c:pt idx="5">
                  <c:v>0.57692307692307687</c:v>
                </c:pt>
                <c:pt idx="6">
                  <c:v>0.59259259259259256</c:v>
                </c:pt>
                <c:pt idx="7">
                  <c:v>0.55882352941176472</c:v>
                </c:pt>
                <c:pt idx="8">
                  <c:v>0.58139534883720934</c:v>
                </c:pt>
                <c:pt idx="9">
                  <c:v>0.61224489795918369</c:v>
                </c:pt>
                <c:pt idx="10">
                  <c:v>0.61403508771929827</c:v>
                </c:pt>
                <c:pt idx="11">
                  <c:v>0.58730158730158732</c:v>
                </c:pt>
                <c:pt idx="12">
                  <c:v>0.58108108108108103</c:v>
                </c:pt>
                <c:pt idx="13">
                  <c:v>0.57647058823529407</c:v>
                </c:pt>
                <c:pt idx="14">
                  <c:v>0.56122448979591832</c:v>
                </c:pt>
                <c:pt idx="15">
                  <c:v>0.5643564356435643</c:v>
                </c:pt>
                <c:pt idx="16">
                  <c:v>0.54385964912280704</c:v>
                </c:pt>
                <c:pt idx="17">
                  <c:v>0.52307692307692311</c:v>
                </c:pt>
                <c:pt idx="18">
                  <c:v>0.51470588235294112</c:v>
                </c:pt>
                <c:pt idx="19">
                  <c:v>0.51369863013698636</c:v>
                </c:pt>
                <c:pt idx="20">
                  <c:v>0.51973684210526316</c:v>
                </c:pt>
                <c:pt idx="21">
                  <c:v>0.53164556962025311</c:v>
                </c:pt>
                <c:pt idx="22">
                  <c:v>0.54166666666666663</c:v>
                </c:pt>
                <c:pt idx="23">
                  <c:v>0.54545454545454541</c:v>
                </c:pt>
                <c:pt idx="24">
                  <c:v>0.54545454545454541</c:v>
                </c:pt>
                <c:pt idx="25">
                  <c:v>0.54545454545454541</c:v>
                </c:pt>
                <c:pt idx="26">
                  <c:v>0.54040404040404044</c:v>
                </c:pt>
                <c:pt idx="27">
                  <c:v>0.53623188405797106</c:v>
                </c:pt>
                <c:pt idx="28">
                  <c:v>0.53181818181818186</c:v>
                </c:pt>
                <c:pt idx="29">
                  <c:v>0.52654867256637172</c:v>
                </c:pt>
                <c:pt idx="30">
                  <c:v>0.53164556962025311</c:v>
                </c:pt>
                <c:pt idx="31">
                  <c:v>0.53305785123966942</c:v>
                </c:pt>
                <c:pt idx="32">
                  <c:v>0.53600000000000003</c:v>
                </c:pt>
                <c:pt idx="33">
                  <c:v>0.53754940711462451</c:v>
                </c:pt>
                <c:pt idx="34">
                  <c:v>0.53754940711462451</c:v>
                </c:pt>
                <c:pt idx="35">
                  <c:v>0.53875968992248058</c:v>
                </c:pt>
                <c:pt idx="36">
                  <c:v>0.53676470588235292</c:v>
                </c:pt>
                <c:pt idx="37">
                  <c:v>0.53956834532374098</c:v>
                </c:pt>
                <c:pt idx="38">
                  <c:v>0.54063604240282681</c:v>
                </c:pt>
                <c:pt idx="39">
                  <c:v>0.54081632653061229</c:v>
                </c:pt>
                <c:pt idx="40">
                  <c:v>0.54098360655737709</c:v>
                </c:pt>
                <c:pt idx="41">
                  <c:v>0.53797468354430378</c:v>
                </c:pt>
                <c:pt idx="42">
                  <c:v>0.54205607476635509</c:v>
                </c:pt>
                <c:pt idx="43">
                  <c:v>0.54573170731707321</c:v>
                </c:pt>
                <c:pt idx="44">
                  <c:v>0.54790419161676651</c:v>
                </c:pt>
                <c:pt idx="45">
                  <c:v>0.54599406528189909</c:v>
                </c:pt>
                <c:pt idx="46">
                  <c:v>0.54227405247813409</c:v>
                </c:pt>
                <c:pt idx="47">
                  <c:v>0.5449438202247191</c:v>
                </c:pt>
                <c:pt idx="48">
                  <c:v>0.54847645429362879</c:v>
                </c:pt>
                <c:pt idx="49">
                  <c:v>0.55313351498637597</c:v>
                </c:pt>
                <c:pt idx="50">
                  <c:v>0.55525606469002697</c:v>
                </c:pt>
                <c:pt idx="51">
                  <c:v>0.55526315789473679</c:v>
                </c:pt>
                <c:pt idx="52">
                  <c:v>0.5546875</c:v>
                </c:pt>
                <c:pt idx="53">
                  <c:v>0.55102040816326525</c:v>
                </c:pt>
                <c:pt idx="54">
                  <c:v>0.55163727959697728</c:v>
                </c:pt>
                <c:pt idx="55">
                  <c:v>0.54791154791154795</c:v>
                </c:pt>
                <c:pt idx="56">
                  <c:v>0.54653937947494036</c:v>
                </c:pt>
                <c:pt idx="57">
                  <c:v>0.55035128805620603</c:v>
                </c:pt>
                <c:pt idx="58">
                  <c:v>0.55022831050228316</c:v>
                </c:pt>
                <c:pt idx="59">
                  <c:v>0.55011135857461024</c:v>
                </c:pt>
                <c:pt idx="60">
                  <c:v>0.55088495575221241</c:v>
                </c:pt>
                <c:pt idx="61">
                  <c:v>0.55411255411255411</c:v>
                </c:pt>
                <c:pt idx="62">
                  <c:v>0.55128205128205132</c:v>
                </c:pt>
                <c:pt idx="63">
                  <c:v>0.5527426160337553</c:v>
                </c:pt>
                <c:pt idx="64">
                  <c:v>0.55394190871369298</c:v>
                </c:pt>
                <c:pt idx="65">
                  <c:v>0.55714285714285716</c:v>
                </c:pt>
                <c:pt idx="66">
                  <c:v>0.55158730158730163</c:v>
                </c:pt>
                <c:pt idx="67">
                  <c:v>0.54970760233918126</c:v>
                </c:pt>
                <c:pt idx="68">
                  <c:v>0.54770992366412219</c:v>
                </c:pt>
                <c:pt idx="69">
                  <c:v>0.54528301886792452</c:v>
                </c:pt>
                <c:pt idx="70">
                  <c:v>0.54359925788497221</c:v>
                </c:pt>
                <c:pt idx="71">
                  <c:v>0.54243542435424352</c:v>
                </c:pt>
                <c:pt idx="72">
                  <c:v>0.54181818181818187</c:v>
                </c:pt>
                <c:pt idx="73">
                  <c:v>0.54382826475849733</c:v>
                </c:pt>
                <c:pt idx="74">
                  <c:v>0.54159292035398232</c:v>
                </c:pt>
                <c:pt idx="75">
                  <c:v>0.54370629370629375</c:v>
                </c:pt>
                <c:pt idx="76">
                  <c:v>0.54044750430292599</c:v>
                </c:pt>
                <c:pt idx="77">
                  <c:v>0.54145516074450084</c:v>
                </c:pt>
                <c:pt idx="78">
                  <c:v>0.54300168634064083</c:v>
                </c:pt>
                <c:pt idx="79">
                  <c:v>0.54424040066777968</c:v>
                </c:pt>
                <c:pt idx="80">
                  <c:v>0.5451559934318555</c:v>
                </c:pt>
                <c:pt idx="81">
                  <c:v>0.54106280193236711</c:v>
                </c:pt>
                <c:pt idx="82">
                  <c:v>0.54066985645933019</c:v>
                </c:pt>
                <c:pt idx="83">
                  <c:v>0.54088050314465408</c:v>
                </c:pt>
                <c:pt idx="84">
                  <c:v>0.54263565891472865</c:v>
                </c:pt>
                <c:pt idx="85">
                  <c:v>0.53905053598774888</c:v>
                </c:pt>
                <c:pt idx="86">
                  <c:v>0.53810975609756095</c:v>
                </c:pt>
                <c:pt idx="87">
                  <c:v>0.53939393939393943</c:v>
                </c:pt>
                <c:pt idx="88">
                  <c:v>0.54066265060240959</c:v>
                </c:pt>
                <c:pt idx="89">
                  <c:v>0.54341317365269459</c:v>
                </c:pt>
                <c:pt idx="90">
                  <c:v>0.54518518518518522</c:v>
                </c:pt>
                <c:pt idx="91">
                  <c:v>0.54545454545454541</c:v>
                </c:pt>
                <c:pt idx="92">
                  <c:v>0.54571843251088537</c:v>
                </c:pt>
                <c:pt idx="93">
                  <c:v>0.54834054834054835</c:v>
                </c:pt>
                <c:pt idx="94">
                  <c:v>0.55078683834048636</c:v>
                </c:pt>
                <c:pt idx="95">
                  <c:v>0.55035460992907803</c:v>
                </c:pt>
                <c:pt idx="96">
                  <c:v>0.54978962131837306</c:v>
                </c:pt>
                <c:pt idx="97">
                  <c:v>0.54874651810584962</c:v>
                </c:pt>
                <c:pt idx="98">
                  <c:v>0.54696132596685088</c:v>
                </c:pt>
                <c:pt idx="99">
                  <c:v>0.54670329670329665</c:v>
                </c:pt>
                <c:pt idx="100">
                  <c:v>0.54582763337893292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82763337893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全体2!$O$1:$O$2</c:f>
              <c:strCache>
                <c:ptCount val="2"/>
                <c:pt idx="0">
                  <c:v>全体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全体2!$O$3:$O$103</c:f>
              <c:numCache>
                <c:formatCode>0.0%</c:formatCode>
                <c:ptCount val="101"/>
                <c:pt idx="1">
                  <c:v>0.25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0.375</c:v>
                </c:pt>
                <c:pt idx="5">
                  <c:v>0.40740740740740738</c:v>
                </c:pt>
                <c:pt idx="6">
                  <c:v>0.37931034482758619</c:v>
                </c:pt>
                <c:pt idx="7">
                  <c:v>0.35135135135135137</c:v>
                </c:pt>
                <c:pt idx="8">
                  <c:v>0.34146341463414637</c:v>
                </c:pt>
                <c:pt idx="9">
                  <c:v>0.33333333333333331</c:v>
                </c:pt>
                <c:pt idx="10">
                  <c:v>0.31914893617021278</c:v>
                </c:pt>
                <c:pt idx="11">
                  <c:v>0.35294117647058826</c:v>
                </c:pt>
                <c:pt idx="12">
                  <c:v>0.36206896551724138</c:v>
                </c:pt>
                <c:pt idx="13">
                  <c:v>0.33333333333333331</c:v>
                </c:pt>
                <c:pt idx="14">
                  <c:v>0.3235294117647059</c:v>
                </c:pt>
                <c:pt idx="15">
                  <c:v>0.32876712328767121</c:v>
                </c:pt>
                <c:pt idx="16">
                  <c:v>0.32432432432432434</c:v>
                </c:pt>
                <c:pt idx="17">
                  <c:v>0.31168831168831168</c:v>
                </c:pt>
                <c:pt idx="18">
                  <c:v>0.32098765432098764</c:v>
                </c:pt>
                <c:pt idx="19">
                  <c:v>0.33720930232558138</c:v>
                </c:pt>
                <c:pt idx="20">
                  <c:v>0.34090909090909088</c:v>
                </c:pt>
                <c:pt idx="21">
                  <c:v>0.34444444444444444</c:v>
                </c:pt>
                <c:pt idx="22">
                  <c:v>0.34375</c:v>
                </c:pt>
                <c:pt idx="23">
                  <c:v>0.35</c:v>
                </c:pt>
                <c:pt idx="24">
                  <c:v>0.34615384615384615</c:v>
                </c:pt>
                <c:pt idx="25">
                  <c:v>0.34615384615384615</c:v>
                </c:pt>
                <c:pt idx="26">
                  <c:v>0.35344827586206895</c:v>
                </c:pt>
                <c:pt idx="27">
                  <c:v>0.35897435897435898</c:v>
                </c:pt>
                <c:pt idx="28">
                  <c:v>0.35897435897435898</c:v>
                </c:pt>
                <c:pt idx="29">
                  <c:v>0.38211382113821141</c:v>
                </c:pt>
                <c:pt idx="30">
                  <c:v>0.38400000000000001</c:v>
                </c:pt>
                <c:pt idx="31">
                  <c:v>0.38095238095238093</c:v>
                </c:pt>
                <c:pt idx="32">
                  <c:v>0.37984496124031009</c:v>
                </c:pt>
                <c:pt idx="33">
                  <c:v>0.37404580152671757</c:v>
                </c:pt>
                <c:pt idx="34">
                  <c:v>0.37404580152671757</c:v>
                </c:pt>
                <c:pt idx="35">
                  <c:v>0.37956204379562042</c:v>
                </c:pt>
                <c:pt idx="36">
                  <c:v>0.38732394366197181</c:v>
                </c:pt>
                <c:pt idx="37">
                  <c:v>0.38461538461538464</c:v>
                </c:pt>
                <c:pt idx="38">
                  <c:v>0.3783783783783784</c:v>
                </c:pt>
                <c:pt idx="39">
                  <c:v>0.38157894736842107</c:v>
                </c:pt>
                <c:pt idx="40">
                  <c:v>0.37654320987654322</c:v>
                </c:pt>
                <c:pt idx="41">
                  <c:v>0.38323353293413176</c:v>
                </c:pt>
                <c:pt idx="42">
                  <c:v>0.38728323699421963</c:v>
                </c:pt>
                <c:pt idx="43">
                  <c:v>0.38505747126436779</c:v>
                </c:pt>
                <c:pt idx="44">
                  <c:v>0.38764044943820225</c:v>
                </c:pt>
                <c:pt idx="45">
                  <c:v>0.38947368421052631</c:v>
                </c:pt>
                <c:pt idx="46">
                  <c:v>0.39086294416243655</c:v>
                </c:pt>
                <c:pt idx="47">
                  <c:v>0.38118811881188119</c:v>
                </c:pt>
                <c:pt idx="48">
                  <c:v>0.37931034482758619</c:v>
                </c:pt>
                <c:pt idx="49">
                  <c:v>0.37560975609756098</c:v>
                </c:pt>
                <c:pt idx="50">
                  <c:v>0.37142857142857144</c:v>
                </c:pt>
                <c:pt idx="51">
                  <c:v>0.37264150943396224</c:v>
                </c:pt>
                <c:pt idx="52">
                  <c:v>0.37558685446009388</c:v>
                </c:pt>
                <c:pt idx="53">
                  <c:v>0.38009049773755654</c:v>
                </c:pt>
                <c:pt idx="54">
                  <c:v>0.38392857142857145</c:v>
                </c:pt>
                <c:pt idx="55">
                  <c:v>0.38495575221238937</c:v>
                </c:pt>
                <c:pt idx="56">
                  <c:v>0.38325991189427311</c:v>
                </c:pt>
                <c:pt idx="57">
                  <c:v>0.37931034482758619</c:v>
                </c:pt>
                <c:pt idx="58">
                  <c:v>0.37446808510638296</c:v>
                </c:pt>
                <c:pt idx="59">
                  <c:v>0.3728813559322034</c:v>
                </c:pt>
                <c:pt idx="60">
                  <c:v>0.3728813559322034</c:v>
                </c:pt>
                <c:pt idx="61">
                  <c:v>0.37083333333333335</c:v>
                </c:pt>
                <c:pt idx="62">
                  <c:v>0.37860082304526749</c:v>
                </c:pt>
                <c:pt idx="63">
                  <c:v>0.37804878048780488</c:v>
                </c:pt>
                <c:pt idx="64">
                  <c:v>0.37349397590361444</c:v>
                </c:pt>
                <c:pt idx="65">
                  <c:v>0.37051792828685259</c:v>
                </c:pt>
                <c:pt idx="66">
                  <c:v>0.37401574803149606</c:v>
                </c:pt>
                <c:pt idx="67">
                  <c:v>0.37307692307692308</c:v>
                </c:pt>
                <c:pt idx="68">
                  <c:v>0.37404580152671757</c:v>
                </c:pt>
                <c:pt idx="69">
                  <c:v>0.36940298507462688</c:v>
                </c:pt>
                <c:pt idx="70">
                  <c:v>0.36861313868613138</c:v>
                </c:pt>
                <c:pt idx="71">
                  <c:v>0.37323943661971831</c:v>
                </c:pt>
                <c:pt idx="72">
                  <c:v>0.37543859649122807</c:v>
                </c:pt>
                <c:pt idx="73">
                  <c:v>0.37370242214532873</c:v>
                </c:pt>
                <c:pt idx="74">
                  <c:v>0.37800687285223367</c:v>
                </c:pt>
                <c:pt idx="75">
                  <c:v>0.37966101694915255</c:v>
                </c:pt>
                <c:pt idx="76">
                  <c:v>0.38047138047138046</c:v>
                </c:pt>
                <c:pt idx="77">
                  <c:v>0.37541528239202659</c:v>
                </c:pt>
                <c:pt idx="78">
                  <c:v>0.37748344370860926</c:v>
                </c:pt>
                <c:pt idx="79">
                  <c:v>0.3745928338762215</c:v>
                </c:pt>
                <c:pt idx="80">
                  <c:v>0.37216828478964403</c:v>
                </c:pt>
                <c:pt idx="81">
                  <c:v>0.370253164556962</c:v>
                </c:pt>
                <c:pt idx="82">
                  <c:v>0.37106918238993708</c:v>
                </c:pt>
                <c:pt idx="83">
                  <c:v>0.36990595611285265</c:v>
                </c:pt>
                <c:pt idx="84">
                  <c:v>0.36585365853658536</c:v>
                </c:pt>
                <c:pt idx="85">
                  <c:v>0.36969696969696969</c:v>
                </c:pt>
                <c:pt idx="86">
                  <c:v>0.3712574850299401</c:v>
                </c:pt>
                <c:pt idx="87">
                  <c:v>0.36904761904761907</c:v>
                </c:pt>
                <c:pt idx="88">
                  <c:v>0.37278106508875741</c:v>
                </c:pt>
                <c:pt idx="89">
                  <c:v>0.36950146627565983</c:v>
                </c:pt>
                <c:pt idx="90">
                  <c:v>0.36734693877551022</c:v>
                </c:pt>
                <c:pt idx="91">
                  <c:v>0.36962750716332377</c:v>
                </c:pt>
                <c:pt idx="92">
                  <c:v>0.36827195467422097</c:v>
                </c:pt>
                <c:pt idx="93">
                  <c:v>0.36490250696378829</c:v>
                </c:pt>
                <c:pt idx="94">
                  <c:v>0.36164383561643837</c:v>
                </c:pt>
                <c:pt idx="95">
                  <c:v>0.3692722371967655</c:v>
                </c:pt>
                <c:pt idx="96">
                  <c:v>0.37096774193548387</c:v>
                </c:pt>
                <c:pt idx="97">
                  <c:v>0.37066666666666664</c:v>
                </c:pt>
                <c:pt idx="98">
                  <c:v>0.37467018469656993</c:v>
                </c:pt>
                <c:pt idx="99">
                  <c:v>0.37631578947368421</c:v>
                </c:pt>
                <c:pt idx="100">
                  <c:v>0.37760416666666669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6041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全体2!$P$1:$P$2</c:f>
              <c:strCache>
                <c:ptCount val="2"/>
                <c:pt idx="0">
                  <c:v>全体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全体2!$P$3:$P$103</c:f>
              <c:numCache>
                <c:formatCode>0.0%</c:formatCode>
                <c:ptCount val="101"/>
                <c:pt idx="1">
                  <c:v>0.2</c:v>
                </c:pt>
                <c:pt idx="2">
                  <c:v>0.3</c:v>
                </c:pt>
                <c:pt idx="3">
                  <c:v>0.3125</c:v>
                </c:pt>
                <c:pt idx="4">
                  <c:v>0.45833333333333331</c:v>
                </c:pt>
                <c:pt idx="5">
                  <c:v>0.46875</c:v>
                </c:pt>
                <c:pt idx="6">
                  <c:v>0.51428571428571423</c:v>
                </c:pt>
                <c:pt idx="7">
                  <c:v>0.44444444444444442</c:v>
                </c:pt>
                <c:pt idx="8">
                  <c:v>0.43636363636363634</c:v>
                </c:pt>
                <c:pt idx="9">
                  <c:v>0.46031746031746029</c:v>
                </c:pt>
                <c:pt idx="10">
                  <c:v>0.46478873239436619</c:v>
                </c:pt>
                <c:pt idx="11">
                  <c:v>0.44736842105263158</c:v>
                </c:pt>
                <c:pt idx="12">
                  <c:v>0.42528735632183906</c:v>
                </c:pt>
                <c:pt idx="13">
                  <c:v>0.43010752688172044</c:v>
                </c:pt>
                <c:pt idx="14">
                  <c:v>0.44117647058823528</c:v>
                </c:pt>
                <c:pt idx="15">
                  <c:v>0.46728971962616822</c:v>
                </c:pt>
                <c:pt idx="16">
                  <c:v>0.47368421052631576</c:v>
                </c:pt>
                <c:pt idx="17">
                  <c:v>0.49166666666666664</c:v>
                </c:pt>
                <c:pt idx="18">
                  <c:v>0.47199999999999998</c:v>
                </c:pt>
                <c:pt idx="19">
                  <c:v>0.47014925373134331</c:v>
                </c:pt>
                <c:pt idx="20">
                  <c:v>0.46762589928057552</c:v>
                </c:pt>
                <c:pt idx="21">
                  <c:v>0.45578231292517007</c:v>
                </c:pt>
                <c:pt idx="22">
                  <c:v>0.46153846153846156</c:v>
                </c:pt>
                <c:pt idx="23">
                  <c:v>0.46341463414634149</c:v>
                </c:pt>
                <c:pt idx="24">
                  <c:v>0.45977011494252873</c:v>
                </c:pt>
                <c:pt idx="25">
                  <c:v>0.45977011494252873</c:v>
                </c:pt>
                <c:pt idx="26">
                  <c:v>0.45698924731182794</c:v>
                </c:pt>
                <c:pt idx="27">
                  <c:v>0.45876288659793812</c:v>
                </c:pt>
                <c:pt idx="28">
                  <c:v>0.47263681592039802</c:v>
                </c:pt>
                <c:pt idx="29">
                  <c:v>0.47596153846153844</c:v>
                </c:pt>
                <c:pt idx="30">
                  <c:v>0.47465437788018433</c:v>
                </c:pt>
                <c:pt idx="31">
                  <c:v>0.48430493273542602</c:v>
                </c:pt>
                <c:pt idx="32">
                  <c:v>0.48275862068965519</c:v>
                </c:pt>
                <c:pt idx="33">
                  <c:v>0.48305084745762711</c:v>
                </c:pt>
                <c:pt idx="34">
                  <c:v>0.48101265822784811</c:v>
                </c:pt>
                <c:pt idx="35">
                  <c:v>0.48979591836734693</c:v>
                </c:pt>
                <c:pt idx="36">
                  <c:v>0.48828125</c:v>
                </c:pt>
                <c:pt idx="37">
                  <c:v>0.48461538461538461</c:v>
                </c:pt>
                <c:pt idx="38">
                  <c:v>0.49056603773584906</c:v>
                </c:pt>
                <c:pt idx="39">
                  <c:v>0.48727272727272725</c:v>
                </c:pt>
                <c:pt idx="40">
                  <c:v>0.48771929824561405</c:v>
                </c:pt>
                <c:pt idx="41">
                  <c:v>0.48135593220338985</c:v>
                </c:pt>
                <c:pt idx="42">
                  <c:v>0.47039473684210525</c:v>
                </c:pt>
                <c:pt idx="43">
                  <c:v>0.46925566343042069</c:v>
                </c:pt>
                <c:pt idx="44">
                  <c:v>0.46835443037974683</c:v>
                </c:pt>
                <c:pt idx="45">
                  <c:v>0.46012269938650308</c:v>
                </c:pt>
                <c:pt idx="46">
                  <c:v>0.45945945945945948</c:v>
                </c:pt>
                <c:pt idx="47">
                  <c:v>0.46355685131195334</c:v>
                </c:pt>
                <c:pt idx="48">
                  <c:v>0.46551724137931033</c:v>
                </c:pt>
                <c:pt idx="49">
                  <c:v>0.46197183098591549</c:v>
                </c:pt>
                <c:pt idx="50">
                  <c:v>0.46239554317548748</c:v>
                </c:pt>
                <c:pt idx="51">
                  <c:v>0.45652173913043476</c:v>
                </c:pt>
                <c:pt idx="52">
                  <c:v>0.4555256064690027</c:v>
                </c:pt>
                <c:pt idx="53">
                  <c:v>0.46052631578947367</c:v>
                </c:pt>
                <c:pt idx="54">
                  <c:v>0.4573643410852713</c:v>
                </c:pt>
                <c:pt idx="55">
                  <c:v>0.45547073791348602</c:v>
                </c:pt>
                <c:pt idx="56">
                  <c:v>0.4538653366583541</c:v>
                </c:pt>
                <c:pt idx="57">
                  <c:v>0.45476772616136918</c:v>
                </c:pt>
                <c:pt idx="58">
                  <c:v>0.45563549160671463</c:v>
                </c:pt>
                <c:pt idx="59">
                  <c:v>0.45390070921985815</c:v>
                </c:pt>
                <c:pt idx="60">
                  <c:v>0.45411764705882351</c:v>
                </c:pt>
                <c:pt idx="61">
                  <c:v>0.45727482678983833</c:v>
                </c:pt>
                <c:pt idx="62">
                  <c:v>0.45785876993166286</c:v>
                </c:pt>
                <c:pt idx="63">
                  <c:v>0.46085011185682329</c:v>
                </c:pt>
                <c:pt idx="64">
                  <c:v>0.45695364238410596</c:v>
                </c:pt>
                <c:pt idx="65">
                  <c:v>0.45652173913043476</c:v>
                </c:pt>
                <c:pt idx="66">
                  <c:v>0.45940170940170938</c:v>
                </c:pt>
                <c:pt idx="67">
                  <c:v>0.4631578947368421</c:v>
                </c:pt>
                <c:pt idx="68">
                  <c:v>0.45755693581780538</c:v>
                </c:pt>
                <c:pt idx="69">
                  <c:v>0.45696721311475408</c:v>
                </c:pt>
                <c:pt idx="70">
                  <c:v>0.46277665995975853</c:v>
                </c:pt>
                <c:pt idx="71">
                  <c:v>0.45956607495069035</c:v>
                </c:pt>
                <c:pt idx="72">
                  <c:v>0.46198830409356723</c:v>
                </c:pt>
                <c:pt idx="73">
                  <c:v>0.46065259117082535</c:v>
                </c:pt>
                <c:pt idx="74">
                  <c:v>0.45817490494296575</c:v>
                </c:pt>
                <c:pt idx="75">
                  <c:v>0.4606741573033708</c:v>
                </c:pt>
                <c:pt idx="76">
                  <c:v>0.46196660482374768</c:v>
                </c:pt>
                <c:pt idx="77">
                  <c:v>0.46252285191956122</c:v>
                </c:pt>
                <c:pt idx="78">
                  <c:v>0.46</c:v>
                </c:pt>
                <c:pt idx="79">
                  <c:v>0.45796064400715564</c:v>
                </c:pt>
                <c:pt idx="80">
                  <c:v>0.46221441124780316</c:v>
                </c:pt>
                <c:pt idx="81">
                  <c:v>0.46020761245674741</c:v>
                </c:pt>
                <c:pt idx="82">
                  <c:v>0.46219931271477666</c:v>
                </c:pt>
                <c:pt idx="83">
                  <c:v>0.46349745331069608</c:v>
                </c:pt>
                <c:pt idx="84">
                  <c:v>0.46566164154103851</c:v>
                </c:pt>
                <c:pt idx="85">
                  <c:v>0.46434494195688225</c:v>
                </c:pt>
                <c:pt idx="86">
                  <c:v>0.4639344262295082</c:v>
                </c:pt>
                <c:pt idx="87">
                  <c:v>0.46341463414634149</c:v>
                </c:pt>
                <c:pt idx="88">
                  <c:v>0.45980707395498394</c:v>
                </c:pt>
                <c:pt idx="89">
                  <c:v>0.45859872611464969</c:v>
                </c:pt>
                <c:pt idx="90">
                  <c:v>0.46069182389937108</c:v>
                </c:pt>
                <c:pt idx="91">
                  <c:v>0.45962732919254656</c:v>
                </c:pt>
                <c:pt idx="92">
                  <c:v>0.46153846153846156</c:v>
                </c:pt>
                <c:pt idx="93">
                  <c:v>0.46048632218844987</c:v>
                </c:pt>
                <c:pt idx="94">
                  <c:v>0.45795795795795796</c:v>
                </c:pt>
                <c:pt idx="95">
                  <c:v>0.45400593471810091</c:v>
                </c:pt>
                <c:pt idx="96">
                  <c:v>0.45227606461086639</c:v>
                </c:pt>
                <c:pt idx="97">
                  <c:v>0.45255474452554745</c:v>
                </c:pt>
                <c:pt idx="98">
                  <c:v>0.4552023121387283</c:v>
                </c:pt>
                <c:pt idx="99">
                  <c:v>0.4533715925394548</c:v>
                </c:pt>
                <c:pt idx="100">
                  <c:v>0.45156695156695159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6695156695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1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223</v>
      </c>
      <c r="B2" s="3">
        <v>44723.323692129627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224</v>
      </c>
      <c r="B3" s="3">
        <v>44723.323692129627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216</v>
      </c>
    </row>
    <row r="4" spans="1:17" x14ac:dyDescent="0.4">
      <c r="A4" s="2" t="s">
        <v>225</v>
      </c>
      <c r="B4" s="3">
        <v>44723.323703703703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216</v>
      </c>
      <c r="I4" s="2" t="s">
        <v>217</v>
      </c>
      <c r="J4" s="2" t="s">
        <v>218</v>
      </c>
      <c r="K4" s="2" t="s">
        <v>219</v>
      </c>
      <c r="L4" s="2" t="s">
        <v>221</v>
      </c>
    </row>
    <row r="5" spans="1:17" x14ac:dyDescent="0.4">
      <c r="A5" s="2" t="s">
        <v>226</v>
      </c>
      <c r="B5" s="3">
        <v>44723.323703703703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216</v>
      </c>
      <c r="I5" s="2" t="s">
        <v>217</v>
      </c>
    </row>
    <row r="6" spans="1:17" x14ac:dyDescent="0.4">
      <c r="A6" s="2" t="s">
        <v>227</v>
      </c>
      <c r="B6" s="3">
        <v>44723.323703703703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216</v>
      </c>
      <c r="I6" s="2" t="s">
        <v>217</v>
      </c>
      <c r="J6" s="2" t="s">
        <v>218</v>
      </c>
      <c r="K6" s="2" t="s">
        <v>219</v>
      </c>
      <c r="L6" s="2" t="s">
        <v>221</v>
      </c>
      <c r="M6" s="2" t="s">
        <v>222</v>
      </c>
      <c r="N6" s="2" t="s">
        <v>228</v>
      </c>
      <c r="O6" s="2" t="s">
        <v>229</v>
      </c>
      <c r="P6" s="2" t="s">
        <v>230</v>
      </c>
      <c r="Q6" s="2" t="s">
        <v>231</v>
      </c>
    </row>
    <row r="7" spans="1:17" x14ac:dyDescent="0.4">
      <c r="A7" s="2" t="s">
        <v>232</v>
      </c>
      <c r="B7" s="3">
        <v>44723.323703703703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216</v>
      </c>
      <c r="I7" s="2" t="s">
        <v>217</v>
      </c>
    </row>
    <row r="8" spans="1:17" x14ac:dyDescent="0.4">
      <c r="A8" s="2" t="s">
        <v>234</v>
      </c>
      <c r="B8" s="3">
        <v>44723.760011574072</v>
      </c>
      <c r="C8" s="2" t="s">
        <v>127</v>
      </c>
      <c r="D8" s="2" t="s">
        <v>188</v>
      </c>
      <c r="E8" s="2" t="s">
        <v>191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219</v>
      </c>
      <c r="L8" s="2" t="s">
        <v>221</v>
      </c>
      <c r="M8" s="2" t="s">
        <v>222</v>
      </c>
    </row>
    <row r="9" spans="1:17" x14ac:dyDescent="0.4">
      <c r="A9" s="2" t="s">
        <v>235</v>
      </c>
      <c r="B9" s="3">
        <v>44798.43681712963</v>
      </c>
      <c r="C9" s="2" t="s">
        <v>127</v>
      </c>
      <c r="D9" s="2" t="s">
        <v>188</v>
      </c>
      <c r="E9" s="2" t="s">
        <v>191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219</v>
      </c>
      <c r="L9" s="2" t="s">
        <v>221</v>
      </c>
      <c r="M9" s="2" t="s">
        <v>222</v>
      </c>
      <c r="N9" s="2" t="s">
        <v>228</v>
      </c>
    </row>
    <row r="10" spans="1:17" x14ac:dyDescent="0.4">
      <c r="A10" s="2" t="s">
        <v>236</v>
      </c>
      <c r="B10" s="3">
        <v>44801.730497685188</v>
      </c>
      <c r="C10" s="2" t="s">
        <v>127</v>
      </c>
      <c r="D10" s="2" t="s">
        <v>188</v>
      </c>
      <c r="E10" s="2" t="s">
        <v>191</v>
      </c>
      <c r="F10" s="2" t="s">
        <v>214</v>
      </c>
      <c r="G10" s="2" t="s">
        <v>215</v>
      </c>
      <c r="H10" s="2" t="s">
        <v>216</v>
      </c>
      <c r="I10" s="2" t="s">
        <v>217</v>
      </c>
      <c r="J10" s="2" t="s">
        <v>218</v>
      </c>
      <c r="K10" s="2" t="s">
        <v>219</v>
      </c>
      <c r="L10" s="2" t="s">
        <v>221</v>
      </c>
      <c r="M10" s="2" t="s">
        <v>222</v>
      </c>
    </row>
    <row r="11" spans="1:17" x14ac:dyDescent="0.4">
      <c r="A11" s="2" t="s">
        <v>220</v>
      </c>
      <c r="B11" s="3">
        <v>44871.720335648148</v>
      </c>
      <c r="C11" s="2" t="s">
        <v>127</v>
      </c>
      <c r="D11" s="2" t="s">
        <v>188</v>
      </c>
      <c r="E11" s="2" t="s">
        <v>191</v>
      </c>
      <c r="F11" s="2" t="s">
        <v>214</v>
      </c>
      <c r="G11" s="2" t="s">
        <v>215</v>
      </c>
      <c r="H11" s="2" t="s">
        <v>216</v>
      </c>
      <c r="I11" s="2" t="s">
        <v>217</v>
      </c>
      <c r="J11" s="2" t="s">
        <v>218</v>
      </c>
      <c r="K11" s="2" t="s">
        <v>219</v>
      </c>
      <c r="L11" s="2" t="s">
        <v>221</v>
      </c>
      <c r="M11" s="2" t="s">
        <v>222</v>
      </c>
    </row>
    <row r="12" spans="1:17" x14ac:dyDescent="0.4">
      <c r="A12" s="2" t="s">
        <v>237</v>
      </c>
      <c r="B12" s="3">
        <v>44930.704745370371</v>
      </c>
      <c r="C12" s="2" t="s">
        <v>127</v>
      </c>
      <c r="D12" s="2" t="s">
        <v>188</v>
      </c>
      <c r="E12" s="2" t="s">
        <v>191</v>
      </c>
      <c r="F12" s="2" t="s">
        <v>214</v>
      </c>
      <c r="G12" s="2" t="s">
        <v>215</v>
      </c>
      <c r="H12" s="2" t="s">
        <v>216</v>
      </c>
      <c r="I12" s="2" t="s">
        <v>217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233</v>
      </c>
    </row>
    <row r="2" spans="1:3" x14ac:dyDescent="0.4">
      <c r="A2" t="s">
        <v>126</v>
      </c>
      <c r="B2" s="120">
        <v>91</v>
      </c>
      <c r="C2" s="120">
        <v>1758.0662353696366</v>
      </c>
    </row>
    <row r="3" spans="1:3" x14ac:dyDescent="0.4">
      <c r="A3" t="s">
        <v>192</v>
      </c>
      <c r="B3" s="120">
        <v>65</v>
      </c>
      <c r="C3" s="120">
        <v>1606.4452616651972</v>
      </c>
    </row>
    <row r="4" spans="1:3" x14ac:dyDescent="0.4">
      <c r="A4" t="s">
        <v>163</v>
      </c>
      <c r="B4" s="120">
        <v>77</v>
      </c>
      <c r="C4" s="120">
        <v>1605.0170841089816</v>
      </c>
    </row>
    <row r="5" spans="1:3" x14ac:dyDescent="0.4">
      <c r="A5" t="s">
        <v>139</v>
      </c>
      <c r="B5" s="120">
        <v>300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39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195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207</v>
      </c>
      <c r="B2" s="141">
        <v>0.93860528756226502</v>
      </c>
      <c r="C2" s="142"/>
      <c r="D2" s="141">
        <v>0.84739422982499291</v>
      </c>
      <c r="E2" s="142"/>
      <c r="F2" s="141">
        <v>0.9324941171871407</v>
      </c>
      <c r="G2" s="142"/>
      <c r="H2" s="147"/>
      <c r="I2" s="148"/>
      <c r="J2" s="141">
        <v>0.93521466410670751</v>
      </c>
      <c r="K2" s="142"/>
      <c r="L2" s="141">
        <v>0.78839920312984979</v>
      </c>
      <c r="M2" s="142"/>
      <c r="N2" s="141">
        <v>0.9196086936182194</v>
      </c>
      <c r="O2" s="142"/>
      <c r="P2" s="141">
        <v>0.94207812472640906</v>
      </c>
      <c r="Q2" s="142"/>
      <c r="R2" s="141">
        <v>0.79762841309085797</v>
      </c>
      <c r="S2" s="142"/>
      <c r="T2" s="141">
        <v>-5.6134791318275472E-2</v>
      </c>
      <c r="U2" s="142"/>
      <c r="V2" s="141">
        <v>0.31135993020120478</v>
      </c>
      <c r="W2" s="142"/>
      <c r="X2" s="141">
        <v>0.80105085806227605</v>
      </c>
      <c r="Y2" s="142"/>
      <c r="Z2" s="141">
        <v>0.37680127931226259</v>
      </c>
      <c r="AA2" s="142"/>
      <c r="AB2" s="141">
        <v>0.33282940896964386</v>
      </c>
      <c r="AC2" s="142"/>
      <c r="AD2" s="141">
        <v>-4.6905728817227793E-2</v>
      </c>
      <c r="AE2" s="142"/>
      <c r="AF2" s="141">
        <v>0.9836024038636022</v>
      </c>
      <c r="AG2" s="142"/>
      <c r="AH2" s="141">
        <v>-0.61569640298510697</v>
      </c>
      <c r="AI2" s="142"/>
      <c r="AJ2" s="141">
        <v>0.28508317683781453</v>
      </c>
      <c r="AK2" s="142"/>
    </row>
    <row r="3" spans="1:37" x14ac:dyDescent="0.4">
      <c r="A3" s="38">
        <v>1</v>
      </c>
      <c r="B3" s="41" t="s">
        <v>139</v>
      </c>
      <c r="C3" s="113">
        <v>100</v>
      </c>
      <c r="D3" s="39" t="s">
        <v>126</v>
      </c>
      <c r="E3" s="40">
        <v>989.49999999999989</v>
      </c>
      <c r="F3" s="41" t="s">
        <v>126</v>
      </c>
      <c r="G3" s="60">
        <v>10.873626373626372</v>
      </c>
      <c r="H3" s="41" t="s">
        <v>126</v>
      </c>
      <c r="I3" s="45">
        <v>1846.5755924228188</v>
      </c>
      <c r="J3" s="41" t="s">
        <v>126</v>
      </c>
      <c r="K3" s="42">
        <v>1.7802197802197801</v>
      </c>
      <c r="L3" s="41" t="s">
        <v>126</v>
      </c>
      <c r="M3" s="43">
        <v>0.46153846153846156</v>
      </c>
      <c r="N3" s="41" t="s">
        <v>126</v>
      </c>
      <c r="O3" s="43">
        <v>0.24175824175824176</v>
      </c>
      <c r="P3" s="41" t="s">
        <v>126</v>
      </c>
      <c r="Q3" s="44">
        <v>0.35605006954102919</v>
      </c>
      <c r="R3" s="41" t="s">
        <v>126</v>
      </c>
      <c r="S3" s="44">
        <v>0.13769123783031989</v>
      </c>
      <c r="T3" s="41" t="s">
        <v>198</v>
      </c>
      <c r="U3" s="45">
        <v>10626.829268292682</v>
      </c>
      <c r="V3" s="41" t="s">
        <v>163</v>
      </c>
      <c r="W3" s="45">
        <v>-7756.3106796116508</v>
      </c>
      <c r="X3" s="41" t="s">
        <v>126</v>
      </c>
      <c r="Y3" s="43">
        <v>7.6923076923076927E-2</v>
      </c>
      <c r="Z3" s="41" t="s">
        <v>126</v>
      </c>
      <c r="AA3" s="44">
        <v>0.35605006954102919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126</v>
      </c>
      <c r="AG3" s="44">
        <v>0.52427184466019416</v>
      </c>
      <c r="AH3" s="41" t="s">
        <v>194</v>
      </c>
      <c r="AI3" s="44">
        <v>0.55555555555555558</v>
      </c>
      <c r="AJ3" s="41" t="s">
        <v>198</v>
      </c>
      <c r="AK3" s="55">
        <v>142700</v>
      </c>
    </row>
    <row r="4" spans="1:37" x14ac:dyDescent="0.4">
      <c r="A4" s="46">
        <v>2</v>
      </c>
      <c r="B4" s="49" t="s">
        <v>126</v>
      </c>
      <c r="C4" s="114">
        <v>91</v>
      </c>
      <c r="D4" s="47" t="s">
        <v>139</v>
      </c>
      <c r="E4" s="48">
        <v>-1.4210854715202004E-14</v>
      </c>
      <c r="F4" s="49" t="s">
        <v>139</v>
      </c>
      <c r="G4" s="61">
        <v>-4.7369515717340015E-17</v>
      </c>
      <c r="H4" s="49" t="s">
        <v>139</v>
      </c>
      <c r="I4" s="53">
        <v>1614.2957512011271</v>
      </c>
      <c r="J4" s="49" t="s">
        <v>163</v>
      </c>
      <c r="K4" s="50">
        <v>1.9610389610389611</v>
      </c>
      <c r="L4" s="49" t="s">
        <v>163</v>
      </c>
      <c r="M4" s="51">
        <v>0.36363636363636365</v>
      </c>
      <c r="N4" s="49" t="s">
        <v>163</v>
      </c>
      <c r="O4" s="51">
        <v>0.32467532467532467</v>
      </c>
      <c r="P4" s="49" t="s">
        <v>139</v>
      </c>
      <c r="Q4" s="52">
        <v>0.29695431472081218</v>
      </c>
      <c r="R4" s="49" t="s">
        <v>192</v>
      </c>
      <c r="S4" s="52">
        <v>0.15738963531669867</v>
      </c>
      <c r="T4" s="49" t="s">
        <v>163</v>
      </c>
      <c r="U4" s="53">
        <v>9648.5029940119766</v>
      </c>
      <c r="V4" s="49" t="s">
        <v>197</v>
      </c>
      <c r="W4" s="53">
        <v>-8314.2857142857138</v>
      </c>
      <c r="X4" s="49" t="s">
        <v>192</v>
      </c>
      <c r="Y4" s="51">
        <v>0.12307692307692308</v>
      </c>
      <c r="Z4" s="49" t="s">
        <v>194</v>
      </c>
      <c r="AA4" s="52">
        <v>0.32195121951219513</v>
      </c>
      <c r="AB4" s="49" t="s">
        <v>163</v>
      </c>
      <c r="AC4" s="52">
        <v>0.20033955857385399</v>
      </c>
      <c r="AD4" s="49" t="s">
        <v>126</v>
      </c>
      <c r="AE4" s="52">
        <v>0.5703125</v>
      </c>
      <c r="AF4" s="49" t="s">
        <v>197</v>
      </c>
      <c r="AG4" s="52">
        <v>0.5</v>
      </c>
      <c r="AH4" s="49" t="s">
        <v>197</v>
      </c>
      <c r="AI4" s="52">
        <v>0.5</v>
      </c>
      <c r="AJ4" s="49" t="s">
        <v>139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77</v>
      </c>
      <c r="D5" s="47" t="s">
        <v>163</v>
      </c>
      <c r="E5" s="48">
        <v>-26.499999999999936</v>
      </c>
      <c r="F5" s="49" t="s">
        <v>163</v>
      </c>
      <c r="G5" s="61">
        <v>-0.34415584415584333</v>
      </c>
      <c r="H5" s="49" t="s">
        <v>163</v>
      </c>
      <c r="I5" s="53">
        <v>1595.6213709809917</v>
      </c>
      <c r="J5" s="49" t="s">
        <v>139</v>
      </c>
      <c r="K5" s="50">
        <v>1.99</v>
      </c>
      <c r="L5" s="49" t="s">
        <v>139</v>
      </c>
      <c r="M5" s="51">
        <v>0.34</v>
      </c>
      <c r="N5" s="49" t="s">
        <v>139</v>
      </c>
      <c r="O5" s="51">
        <v>0.33</v>
      </c>
      <c r="P5" s="49" t="s">
        <v>163</v>
      </c>
      <c r="Q5" s="52">
        <v>0.28353140916808151</v>
      </c>
      <c r="R5" s="49" t="s">
        <v>139</v>
      </c>
      <c r="S5" s="52">
        <v>0.16116751269035534</v>
      </c>
      <c r="T5" s="49" t="s">
        <v>126</v>
      </c>
      <c r="U5" s="53">
        <v>9490.625</v>
      </c>
      <c r="V5" s="49" t="s">
        <v>192</v>
      </c>
      <c r="W5" s="53">
        <v>-8530.4878048780483</v>
      </c>
      <c r="X5" s="49" t="s">
        <v>139</v>
      </c>
      <c r="Y5" s="51">
        <v>0.13333333333333333</v>
      </c>
      <c r="Z5" s="49" t="s">
        <v>163</v>
      </c>
      <c r="AA5" s="52">
        <v>0.31239388794567063</v>
      </c>
      <c r="AB5" s="49" t="s">
        <v>192</v>
      </c>
      <c r="AC5" s="52">
        <v>0.18426103646833014</v>
      </c>
      <c r="AD5" s="49" t="s">
        <v>139</v>
      </c>
      <c r="AE5" s="52">
        <v>0.54582763337893292</v>
      </c>
      <c r="AF5" s="49" t="s">
        <v>139</v>
      </c>
      <c r="AG5" s="52">
        <v>0.37760416666666669</v>
      </c>
      <c r="AH5" s="49" t="s">
        <v>163</v>
      </c>
      <c r="AI5" s="52">
        <v>0.47305389221556887</v>
      </c>
      <c r="AJ5" s="49" t="s">
        <v>126</v>
      </c>
      <c r="AK5" s="56">
        <v>131400</v>
      </c>
    </row>
    <row r="6" spans="1:37" x14ac:dyDescent="0.4">
      <c r="A6" s="46">
        <v>4</v>
      </c>
      <c r="B6" s="49" t="s">
        <v>192</v>
      </c>
      <c r="C6" s="114">
        <v>65</v>
      </c>
      <c r="D6" s="47" t="s">
        <v>197</v>
      </c>
      <c r="E6" s="48">
        <v>-113.4</v>
      </c>
      <c r="F6" s="49" t="s">
        <v>198</v>
      </c>
      <c r="G6" s="61">
        <v>-5.3230769230769228</v>
      </c>
      <c r="H6" s="49" t="s">
        <v>192</v>
      </c>
      <c r="I6" s="53">
        <v>1546.9221135131666</v>
      </c>
      <c r="J6" s="49" t="s">
        <v>198</v>
      </c>
      <c r="K6" s="50">
        <v>2.1025641025641026</v>
      </c>
      <c r="L6" s="49" t="s">
        <v>198</v>
      </c>
      <c r="M6" s="51">
        <v>0.28205128205128205</v>
      </c>
      <c r="N6" s="49" t="s">
        <v>192</v>
      </c>
      <c r="O6" s="51">
        <v>0.33846153846153848</v>
      </c>
      <c r="P6" s="49" t="s">
        <v>192</v>
      </c>
      <c r="Q6" s="52">
        <v>0.2706333973128599</v>
      </c>
      <c r="R6" s="49" t="s">
        <v>194</v>
      </c>
      <c r="S6" s="52">
        <v>0.16585365853658537</v>
      </c>
      <c r="T6" s="49" t="s">
        <v>139</v>
      </c>
      <c r="U6" s="53">
        <v>9343.0199430199427</v>
      </c>
      <c r="V6" s="49" t="s">
        <v>139</v>
      </c>
      <c r="W6" s="53">
        <v>-8578.4776902887133</v>
      </c>
      <c r="X6" s="49" t="s">
        <v>198</v>
      </c>
      <c r="Y6" s="51">
        <v>0.15384615384615385</v>
      </c>
      <c r="Z6" s="49" t="s">
        <v>198</v>
      </c>
      <c r="AA6" s="52">
        <v>0.30990415335463256</v>
      </c>
      <c r="AB6" s="49" t="s">
        <v>139</v>
      </c>
      <c r="AC6" s="52">
        <v>0.16243654822335024</v>
      </c>
      <c r="AD6" s="49" t="s">
        <v>192</v>
      </c>
      <c r="AE6" s="52">
        <v>0.52755905511811019</v>
      </c>
      <c r="AF6" s="49" t="s">
        <v>163</v>
      </c>
      <c r="AG6" s="52">
        <v>0.3728813559322034</v>
      </c>
      <c r="AH6" s="49" t="s">
        <v>139</v>
      </c>
      <c r="AI6" s="52">
        <v>0.45156695156695159</v>
      </c>
      <c r="AJ6" s="49" t="s">
        <v>163</v>
      </c>
      <c r="AK6" s="56">
        <v>103000</v>
      </c>
    </row>
    <row r="7" spans="1:37" x14ac:dyDescent="0.4">
      <c r="A7" s="46">
        <v>5</v>
      </c>
      <c r="B7" s="49" t="s">
        <v>198</v>
      </c>
      <c r="C7" s="114">
        <v>39</v>
      </c>
      <c r="D7" s="47" t="s">
        <v>198</v>
      </c>
      <c r="E7" s="48">
        <v>-207.6</v>
      </c>
      <c r="F7" s="49" t="s">
        <v>192</v>
      </c>
      <c r="G7" s="61">
        <v>-6.6123076923076933</v>
      </c>
      <c r="H7" s="49" t="s">
        <v>197</v>
      </c>
      <c r="I7" s="53">
        <v>1445.1125193047092</v>
      </c>
      <c r="J7" s="49" t="s">
        <v>192</v>
      </c>
      <c r="K7" s="50">
        <v>2.1230769230769231</v>
      </c>
      <c r="L7" s="49" t="s">
        <v>194</v>
      </c>
      <c r="M7" s="51">
        <v>0.28000000000000003</v>
      </c>
      <c r="N7" s="49" t="s">
        <v>198</v>
      </c>
      <c r="O7" s="51">
        <v>0.38461538461538464</v>
      </c>
      <c r="P7" s="49" t="s">
        <v>194</v>
      </c>
      <c r="Q7" s="52">
        <v>0.26341463414634148</v>
      </c>
      <c r="R7" s="49" t="s">
        <v>163</v>
      </c>
      <c r="S7" s="52">
        <v>0.17487266553480477</v>
      </c>
      <c r="T7" s="49" t="s">
        <v>194</v>
      </c>
      <c r="U7" s="53">
        <v>8705.5555555555547</v>
      </c>
      <c r="V7" s="49" t="s">
        <v>126</v>
      </c>
      <c r="W7" s="53">
        <v>-8949.4949494949487</v>
      </c>
      <c r="X7" s="49" t="s">
        <v>194</v>
      </c>
      <c r="Y7" s="51">
        <v>0.16</v>
      </c>
      <c r="Z7" s="49" t="s">
        <v>139</v>
      </c>
      <c r="AA7" s="52">
        <v>0.30922165820642977</v>
      </c>
      <c r="AB7" s="49" t="s">
        <v>126</v>
      </c>
      <c r="AC7" s="52">
        <v>0.14325452016689846</v>
      </c>
      <c r="AD7" s="49" t="s">
        <v>198</v>
      </c>
      <c r="AE7" s="52">
        <v>0.52577319587628868</v>
      </c>
      <c r="AF7" s="49" t="s">
        <v>192</v>
      </c>
      <c r="AG7" s="52">
        <v>0.35416666666666669</v>
      </c>
      <c r="AH7" s="49" t="s">
        <v>198</v>
      </c>
      <c r="AI7" s="52">
        <v>0.45121951219512196</v>
      </c>
      <c r="AJ7" s="49" t="s">
        <v>192</v>
      </c>
      <c r="AK7" s="56">
        <v>96200</v>
      </c>
    </row>
    <row r="8" spans="1:37" x14ac:dyDescent="0.4">
      <c r="A8" s="46">
        <v>6</v>
      </c>
      <c r="B8" s="49" t="s">
        <v>194</v>
      </c>
      <c r="C8" s="114">
        <v>25</v>
      </c>
      <c r="D8" s="47" t="s">
        <v>194</v>
      </c>
      <c r="E8" s="48">
        <v>-212.20000000000007</v>
      </c>
      <c r="F8" s="49" t="s">
        <v>194</v>
      </c>
      <c r="G8" s="61">
        <v>-8.4880000000000031</v>
      </c>
      <c r="H8" s="49" t="s">
        <v>198</v>
      </c>
      <c r="I8" s="53">
        <v>1384.1908394993188</v>
      </c>
      <c r="J8" s="49" t="s">
        <v>194</v>
      </c>
      <c r="K8" s="50">
        <v>2.2000000000000002</v>
      </c>
      <c r="L8" s="49" t="s">
        <v>192</v>
      </c>
      <c r="M8" s="51">
        <v>0.2153846153846154</v>
      </c>
      <c r="N8" s="49" t="s">
        <v>194</v>
      </c>
      <c r="O8" s="51">
        <v>0.48</v>
      </c>
      <c r="P8" s="49" t="s">
        <v>198</v>
      </c>
      <c r="Q8" s="52">
        <v>0.26198083067092653</v>
      </c>
      <c r="R8" s="49" t="s">
        <v>198</v>
      </c>
      <c r="S8" s="52">
        <v>0.17891373801916932</v>
      </c>
      <c r="T8" s="49" t="s">
        <v>192</v>
      </c>
      <c r="U8" s="53">
        <v>8320.567375886525</v>
      </c>
      <c r="V8" s="49" t="s">
        <v>198</v>
      </c>
      <c r="W8" s="53">
        <v>-8985.7142857142862</v>
      </c>
      <c r="X8" s="49" t="s">
        <v>163</v>
      </c>
      <c r="Y8" s="51">
        <v>0.16883116883116883</v>
      </c>
      <c r="Z8" s="49" t="s">
        <v>192</v>
      </c>
      <c r="AA8" s="52">
        <v>0.2437619961612284</v>
      </c>
      <c r="AB8" s="49" t="s">
        <v>194</v>
      </c>
      <c r="AC8" s="52">
        <v>0.13170731707317074</v>
      </c>
      <c r="AD8" s="49" t="s">
        <v>163</v>
      </c>
      <c r="AE8" s="52">
        <v>0.51630434782608692</v>
      </c>
      <c r="AF8" s="49" t="s">
        <v>194</v>
      </c>
      <c r="AG8" s="52">
        <v>0.18518518518518517</v>
      </c>
      <c r="AH8" s="49" t="s">
        <v>192</v>
      </c>
      <c r="AI8" s="52">
        <v>0.43262411347517732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-429.80000000000007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198</v>
      </c>
      <c r="AC9" s="52">
        <v>0.11501597444089456</v>
      </c>
      <c r="AD9" s="49" t="s">
        <v>197</v>
      </c>
      <c r="AE9" s="52">
        <v>0</v>
      </c>
      <c r="AF9" s="49" t="s">
        <v>198</v>
      </c>
      <c r="AG9" s="52">
        <v>0.16666666666666666</v>
      </c>
      <c r="AH9" s="49" t="s">
        <v>126</v>
      </c>
      <c r="AI9" s="52">
        <v>0.42578125</v>
      </c>
      <c r="AJ9" s="49" t="s">
        <v>197</v>
      </c>
      <c r="AK9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B177B-005F-47F1-86E8-30CD7F7A54CB}">
  <sheetPr codeName="Sheet4"/>
  <dimension ref="A1:R30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300</v>
      </c>
      <c r="C2" s="134"/>
      <c r="E2" s="26" t="s">
        <v>66</v>
      </c>
      <c r="F2" s="23" t="s">
        <v>22</v>
      </c>
      <c r="G2" s="11">
        <v>544</v>
      </c>
      <c r="H2" s="87">
        <f>IF(B$20=0,0,G2/B$20)</f>
        <v>0.77492877492877488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-27.210884353741495</v>
      </c>
      <c r="Q2" s="76">
        <v>294</v>
      </c>
      <c r="R2" s="63">
        <v>-8000</v>
      </c>
    </row>
    <row r="3" spans="1:18" x14ac:dyDescent="0.4">
      <c r="A3" s="19" t="s">
        <v>8</v>
      </c>
      <c r="B3" s="135">
        <v>2364</v>
      </c>
      <c r="C3" s="136"/>
      <c r="E3" s="27" t="s">
        <v>64</v>
      </c>
      <c r="F3" s="24" t="s">
        <v>20</v>
      </c>
      <c r="G3" s="12">
        <v>383</v>
      </c>
      <c r="H3" s="88">
        <f>IF(B$20=0,0,G3/B$20)</f>
        <v>0.54558404558404561</v>
      </c>
      <c r="I3" s="58">
        <v>4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21.50537634408602</v>
      </c>
      <c r="Q3" s="77">
        <v>279</v>
      </c>
      <c r="R3" s="64">
        <v>6000</v>
      </c>
    </row>
    <row r="4" spans="1:18" x14ac:dyDescent="0.4">
      <c r="A4" s="19" t="s">
        <v>6</v>
      </c>
      <c r="B4" s="137">
        <v>-1.4210854715202004E-14</v>
      </c>
      <c r="C4" s="138"/>
      <c r="E4" s="27" t="s">
        <v>72</v>
      </c>
      <c r="F4" s="24" t="s">
        <v>27</v>
      </c>
      <c r="G4" s="12">
        <v>313</v>
      </c>
      <c r="H4" s="88">
        <f>IF(B$20=0,0,G4/B$20)</f>
        <v>0.44586894586894588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-3.7453183520599249</v>
      </c>
      <c r="Q4" s="77">
        <v>267</v>
      </c>
      <c r="R4" s="64">
        <v>-1000</v>
      </c>
    </row>
    <row r="5" spans="1:18" x14ac:dyDescent="0.4">
      <c r="A5" s="19" t="s">
        <v>7</v>
      </c>
      <c r="B5" s="125">
        <f>IF(B$2=0,0,B$4/B$2)</f>
        <v>-4.7369515717340015E-17</v>
      </c>
      <c r="C5" s="126"/>
      <c r="E5" s="27" t="s">
        <v>159</v>
      </c>
      <c r="F5" s="24" t="s">
        <v>160</v>
      </c>
      <c r="G5" s="12">
        <v>295</v>
      </c>
      <c r="H5" s="88">
        <f>IF(B$20=0,0,G5/B$20)</f>
        <v>0.42022792022792022</v>
      </c>
      <c r="I5" s="58">
        <v>4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-20.325203252032519</v>
      </c>
      <c r="Q5" s="77">
        <v>246</v>
      </c>
      <c r="R5" s="64">
        <v>-5000</v>
      </c>
    </row>
    <row r="6" spans="1:18" x14ac:dyDescent="0.4">
      <c r="A6" s="19" t="s">
        <v>195</v>
      </c>
      <c r="B6" s="129">
        <v>1614.2957512011271</v>
      </c>
      <c r="C6" s="130"/>
      <c r="E6" s="27" t="s">
        <v>68</v>
      </c>
      <c r="F6" s="24" t="s">
        <v>12</v>
      </c>
      <c r="G6" s="12">
        <v>253</v>
      </c>
      <c r="H6" s="88">
        <f>IF(B$20=0,0,G6/B$20)</f>
        <v>0.36039886039886038</v>
      </c>
      <c r="I6" s="58">
        <v>4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4.5662100456621006</v>
      </c>
      <c r="Q6" s="77">
        <v>219</v>
      </c>
      <c r="R6" s="64">
        <v>1000</v>
      </c>
    </row>
    <row r="7" spans="1:18" x14ac:dyDescent="0.4">
      <c r="A7" s="19" t="s">
        <v>1</v>
      </c>
      <c r="B7" s="139">
        <f>IF(B$2=0,0,(B$8*1+B$9*2+B$10*3)/B$2)</f>
        <v>1.99</v>
      </c>
      <c r="C7" s="140"/>
      <c r="E7" s="27" t="s">
        <v>67</v>
      </c>
      <c r="F7" s="24" t="s">
        <v>23</v>
      </c>
      <c r="G7" s="12">
        <v>196</v>
      </c>
      <c r="H7" s="88">
        <f>IF(B$20=0,0,G7/B$20)</f>
        <v>0.27920227920227919</v>
      </c>
      <c r="I7" s="58">
        <v>4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31.25</v>
      </c>
      <c r="Q7" s="78">
        <v>192</v>
      </c>
      <c r="R7" s="65">
        <v>6000</v>
      </c>
    </row>
    <row r="8" spans="1:18" x14ac:dyDescent="0.4">
      <c r="A8" s="19" t="s">
        <v>2</v>
      </c>
      <c r="B8" s="12">
        <v>102</v>
      </c>
      <c r="C8" s="6">
        <f t="shared" ref="C8:C15" si="1">IF(B$2=0,0,B8/B$2)</f>
        <v>0.34</v>
      </c>
      <c r="E8" s="27" t="s">
        <v>69</v>
      </c>
      <c r="F8" s="24" t="s">
        <v>24</v>
      </c>
      <c r="G8" s="12">
        <v>115</v>
      </c>
      <c r="H8" s="88">
        <f>IF(B$20=0,0,G8/B$20)</f>
        <v>0.16381766381766383</v>
      </c>
      <c r="I8" s="58">
        <v>4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99</v>
      </c>
      <c r="C9" s="6">
        <f t="shared" si="1"/>
        <v>0.33</v>
      </c>
      <c r="E9" s="27" t="s">
        <v>65</v>
      </c>
      <c r="F9" s="24" t="s">
        <v>21</v>
      </c>
      <c r="G9" s="12">
        <v>94</v>
      </c>
      <c r="H9" s="88">
        <f>IF(B$20=0,0,G9/B$20)</f>
        <v>0.13390313390313391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99</v>
      </c>
      <c r="C10" s="7">
        <f t="shared" si="1"/>
        <v>0.33</v>
      </c>
      <c r="E10" s="27" t="s">
        <v>89</v>
      </c>
      <c r="F10" s="24" t="s">
        <v>44</v>
      </c>
      <c r="G10" s="12">
        <v>92</v>
      </c>
      <c r="H10" s="88">
        <f>IF(B$20=0,0,G10/B$20)</f>
        <v>0.13105413105413105</v>
      </c>
      <c r="I10" s="58">
        <v>4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3.4870000000000005</v>
      </c>
      <c r="Q10" s="76">
        <v>100</v>
      </c>
      <c r="R10" s="67">
        <v>348.70000000000005</v>
      </c>
    </row>
    <row r="11" spans="1:18" x14ac:dyDescent="0.4">
      <c r="A11" s="20" t="s">
        <v>184</v>
      </c>
      <c r="B11" s="109">
        <f>IF(B8=0,0,C11/B8)</f>
        <v>45.85</v>
      </c>
      <c r="C11" s="110">
        <v>4676.7</v>
      </c>
      <c r="E11" s="27" t="s">
        <v>70</v>
      </c>
      <c r="F11" s="24" t="s">
        <v>25</v>
      </c>
      <c r="G11" s="12">
        <v>81</v>
      </c>
      <c r="H11" s="88">
        <f>IF(B$20=0,0,G11/B$20)</f>
        <v>0.11538461538461539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-5.1139999999999999</v>
      </c>
      <c r="Q11" s="77">
        <v>100</v>
      </c>
      <c r="R11" s="68">
        <v>-511.4</v>
      </c>
    </row>
    <row r="12" spans="1:18" x14ac:dyDescent="0.4">
      <c r="A12" s="20" t="s">
        <v>185</v>
      </c>
      <c r="B12" s="109">
        <f>IF(B9=0,0,C12/B9)</f>
        <v>-2.6242424242424249</v>
      </c>
      <c r="C12" s="110">
        <v>-259.80000000000007</v>
      </c>
      <c r="E12" s="27" t="s">
        <v>86</v>
      </c>
      <c r="F12" s="24" t="s">
        <v>41</v>
      </c>
      <c r="G12" s="12">
        <v>50</v>
      </c>
      <c r="H12" s="88">
        <f>IF(B$20=0,0,G12/B$20)</f>
        <v>7.1225071225071226E-2</v>
      </c>
      <c r="I12" s="58">
        <v>4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1.6269999999999998</v>
      </c>
      <c r="Q12" s="78">
        <v>100</v>
      </c>
      <c r="R12" s="69">
        <v>162.69999999999999</v>
      </c>
    </row>
    <row r="13" spans="1:18" x14ac:dyDescent="0.4">
      <c r="A13" s="20" t="s">
        <v>186</v>
      </c>
      <c r="B13" s="109">
        <f>IF(B10=0,0,C13/B10)</f>
        <v>-44.615151515151531</v>
      </c>
      <c r="C13" s="110">
        <v>-4416.9000000000015</v>
      </c>
      <c r="E13" s="27" t="s">
        <v>71</v>
      </c>
      <c r="F13" s="24" t="s">
        <v>26</v>
      </c>
      <c r="G13" s="12">
        <v>47</v>
      </c>
      <c r="H13" s="88">
        <f>IF(B$20=0,0,G13/B$20)</f>
        <v>6.6951566951566954E-2</v>
      </c>
      <c r="I13" s="58">
        <v>3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-0.46313131313131822</v>
      </c>
      <c r="C14" s="126"/>
      <c r="E14" s="27" t="s">
        <v>83</v>
      </c>
      <c r="F14" s="24" t="s">
        <v>38</v>
      </c>
      <c r="G14" s="12">
        <v>28</v>
      </c>
      <c r="H14" s="88">
        <f>IF(B$20=0,0,G14/B$20)</f>
        <v>3.9886039886039885E-2</v>
      </c>
      <c r="I14" s="58">
        <v>4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40</v>
      </c>
      <c r="C15" s="9">
        <f t="shared" si="1"/>
        <v>0.13333333333333333</v>
      </c>
      <c r="E15" s="27" t="s">
        <v>78</v>
      </c>
      <c r="F15" s="24" t="s">
        <v>33</v>
      </c>
      <c r="G15" s="12">
        <v>22</v>
      </c>
      <c r="H15" s="88">
        <f>IF(B$20=0,0,G15/B$20)</f>
        <v>3.1339031339031341E-2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731</v>
      </c>
      <c r="C16" s="10">
        <f>IF(B$3=0,0,B16/B$3)</f>
        <v>0.30922165820642977</v>
      </c>
      <c r="E16" s="27" t="s">
        <v>81</v>
      </c>
      <c r="F16" s="24" t="s">
        <v>36</v>
      </c>
      <c r="G16" s="12">
        <v>20</v>
      </c>
      <c r="H16" s="88">
        <f>IF(B$20=0,0,G16/B$20)</f>
        <v>2.8490028490028491E-2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194</v>
      </c>
      <c r="P16" s="83">
        <f>IF(Q16=0,0,R16/Q16)</f>
        <v>12.731999999999994</v>
      </c>
      <c r="Q16" s="77">
        <v>50</v>
      </c>
      <c r="R16" s="68">
        <v>636.59999999999968</v>
      </c>
    </row>
    <row r="17" spans="1:18" x14ac:dyDescent="0.4">
      <c r="A17" s="19" t="s">
        <v>118</v>
      </c>
      <c r="B17" s="12">
        <v>384</v>
      </c>
      <c r="C17" s="6">
        <f>IF(B$3=0,0,B17/B$3)</f>
        <v>0.16243654822335024</v>
      </c>
      <c r="E17" s="27" t="s">
        <v>91</v>
      </c>
      <c r="F17" s="24" t="s">
        <v>46</v>
      </c>
      <c r="G17" s="12">
        <v>13</v>
      </c>
      <c r="H17" s="88">
        <f>IF(B$20=0,0,G17/B$20)</f>
        <v>1.8518518518518517E-2</v>
      </c>
      <c r="I17" s="58">
        <v>2</v>
      </c>
      <c r="K17" s="74">
        <v>15</v>
      </c>
      <c r="L17" s="119">
        <v>3.5527136788005009E-15</v>
      </c>
      <c r="M17" s="117">
        <v>1604.4528618424624</v>
      </c>
      <c r="O17" s="74" t="s">
        <v>192</v>
      </c>
      <c r="P17" s="83">
        <f>IF(Q17=0,0,R17/Q17)</f>
        <v>9.9184615384615338</v>
      </c>
      <c r="Q17" s="77">
        <v>130</v>
      </c>
      <c r="R17" s="68">
        <v>1289.3999999999994</v>
      </c>
    </row>
    <row r="18" spans="1:18" x14ac:dyDescent="0.4">
      <c r="A18" s="18" t="s">
        <v>123</v>
      </c>
      <c r="B18" s="11">
        <f>B24</f>
        <v>399</v>
      </c>
      <c r="C18" s="5">
        <f>IF(B$16=0,0,B18/B$16)</f>
        <v>0.54582763337893292</v>
      </c>
      <c r="E18" s="27" t="s">
        <v>155</v>
      </c>
      <c r="F18" s="24" t="s">
        <v>156</v>
      </c>
      <c r="G18" s="12">
        <v>11</v>
      </c>
      <c r="H18" s="88">
        <f>IF(B$20=0,0,G18/B$20)</f>
        <v>1.5669515669515671E-2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198</v>
      </c>
      <c r="P18" s="83">
        <f>IF(Q18=0,0,R18/Q18)</f>
        <v>7.9846153846153838</v>
      </c>
      <c r="Q18" s="77">
        <v>78</v>
      </c>
      <c r="R18" s="68">
        <v>622.79999999999995</v>
      </c>
    </row>
    <row r="19" spans="1:18" x14ac:dyDescent="0.4">
      <c r="A19" s="18" t="s">
        <v>124</v>
      </c>
      <c r="B19" s="11">
        <f>B25</f>
        <v>145</v>
      </c>
      <c r="C19" s="5">
        <f>IF(B$17=0,0,B19/B$17)</f>
        <v>0.37760416666666669</v>
      </c>
      <c r="E19" s="27" t="s">
        <v>79</v>
      </c>
      <c r="F19" s="24" t="s">
        <v>34</v>
      </c>
      <c r="G19" s="12">
        <v>6</v>
      </c>
      <c r="H19" s="88">
        <f>IF(B$20=0,0,G19/B$20)</f>
        <v>8.5470085470085479E-3</v>
      </c>
      <c r="I19" s="58">
        <v>3</v>
      </c>
      <c r="K19" s="74">
        <v>17</v>
      </c>
      <c r="L19" s="119">
        <v>46</v>
      </c>
      <c r="M19" s="117">
        <v>1613.3387358033792</v>
      </c>
      <c r="O19" s="74" t="s">
        <v>163</v>
      </c>
      <c r="P19" s="83">
        <f>IF(Q19=0,0,R19/Q19)</f>
        <v>0.51623376623376827</v>
      </c>
      <c r="Q19" s="77">
        <v>154</v>
      </c>
      <c r="R19" s="68">
        <v>79.500000000000313</v>
      </c>
    </row>
    <row r="20" spans="1:18" x14ac:dyDescent="0.4">
      <c r="A20" s="18" t="s">
        <v>10</v>
      </c>
      <c r="B20" s="11">
        <f>B23+B22</f>
        <v>702</v>
      </c>
      <c r="C20" s="5">
        <f>IF(B$3=0,0,B20/B$3)</f>
        <v>0.29695431472081218</v>
      </c>
      <c r="E20" s="27" t="s">
        <v>93</v>
      </c>
      <c r="F20" s="24" t="s">
        <v>48</v>
      </c>
      <c r="G20" s="12">
        <v>6</v>
      </c>
      <c r="H20" s="88">
        <f>IF(B$20=0,0,G20/B$20)</f>
        <v>8.5470085470085479E-3</v>
      </c>
      <c r="I20" s="58">
        <v>2</v>
      </c>
      <c r="K20" s="74">
        <v>18</v>
      </c>
      <c r="L20" s="119">
        <v>0</v>
      </c>
      <c r="M20" s="117">
        <v>1605.3507033885589</v>
      </c>
      <c r="O20" s="74" t="s">
        <v>126</v>
      </c>
      <c r="P20" s="83">
        <f>IF(Q20=0,0,R20/Q20)</f>
        <v>-16.310439560439569</v>
      </c>
      <c r="Q20" s="77">
        <v>182</v>
      </c>
      <c r="R20" s="68">
        <v>-2968.5000000000014</v>
      </c>
    </row>
    <row r="21" spans="1:18" x14ac:dyDescent="0.4">
      <c r="A21" s="19" t="s">
        <v>13</v>
      </c>
      <c r="B21" s="12">
        <v>381</v>
      </c>
      <c r="C21" s="6">
        <f>IF(B$3=0,0,B21/B$3)</f>
        <v>0.16116751269035534</v>
      </c>
      <c r="E21" s="27" t="s">
        <v>73</v>
      </c>
      <c r="F21" s="24" t="s">
        <v>28</v>
      </c>
      <c r="G21" s="12">
        <v>5</v>
      </c>
      <c r="H21" s="88">
        <f>IF(B$20=0,0,G21/B$20)</f>
        <v>7.1225071225071226E-3</v>
      </c>
      <c r="I21" s="58">
        <v>3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317</v>
      </c>
      <c r="C22" s="6">
        <f>IF(B$20=0,0,B22/B$20)</f>
        <v>0.45156695156695159</v>
      </c>
      <c r="E22" s="27" t="s">
        <v>92</v>
      </c>
      <c r="F22" s="24" t="s">
        <v>47</v>
      </c>
      <c r="G22" s="12">
        <v>5</v>
      </c>
      <c r="H22" s="88">
        <f>IF(B$20=0,0,G22/B$20)</f>
        <v>7.1225071225071226E-3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385</v>
      </c>
      <c r="C23" s="6">
        <f>IF(B$20=0,0,B23/B$20)</f>
        <v>0.54843304843304841</v>
      </c>
      <c r="E23" s="27" t="s">
        <v>74</v>
      </c>
      <c r="F23" s="24" t="s">
        <v>29</v>
      </c>
      <c r="G23" s="12">
        <v>3</v>
      </c>
      <c r="H23" s="88">
        <f>IF(B$20=0,0,G23/B$20)</f>
        <v>4.2735042735042739E-3</v>
      </c>
      <c r="I23" s="58">
        <v>3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399</v>
      </c>
      <c r="C24" s="6">
        <f>IF(B$20=0,0,B24/B$20)</f>
        <v>0.56837606837606836</v>
      </c>
      <c r="E24" s="27" t="s">
        <v>87</v>
      </c>
      <c r="F24" s="24" t="s">
        <v>42</v>
      </c>
      <c r="G24" s="12">
        <v>3</v>
      </c>
      <c r="H24" s="88">
        <f>IF(B$20=0,0,G24/B$20)</f>
        <v>4.2735042735042739E-3</v>
      </c>
      <c r="I24" s="58">
        <v>3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145</v>
      </c>
      <c r="C25" s="6">
        <f>IF(B$20=0,0,B25/B$20)</f>
        <v>0.20655270655270655</v>
      </c>
      <c r="E25" s="27" t="s">
        <v>90</v>
      </c>
      <c r="F25" s="24" t="s">
        <v>45</v>
      </c>
      <c r="G25" s="12">
        <v>3</v>
      </c>
      <c r="H25" s="88">
        <f>IF(B$20=0,0,G25/B$20)</f>
        <v>4.2735042735042739E-3</v>
      </c>
      <c r="I25" s="58">
        <v>3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158</v>
      </c>
      <c r="C26" s="6">
        <f>IF(B$20=0,0,B26/B$20)</f>
        <v>0.22507122507122507</v>
      </c>
      <c r="E26" s="27" t="s">
        <v>88</v>
      </c>
      <c r="F26" s="24" t="s">
        <v>43</v>
      </c>
      <c r="G26" s="12">
        <v>2</v>
      </c>
      <c r="H26" s="88">
        <f>IF(B$20=0,0,G26/B$20)</f>
        <v>2.8490028490028491E-3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9343.0199430199427</v>
      </c>
      <c r="C27" s="8">
        <v>6558800</v>
      </c>
      <c r="E27" s="27" t="s">
        <v>75</v>
      </c>
      <c r="F27" s="24" t="s">
        <v>30</v>
      </c>
      <c r="G27" s="12">
        <v>1</v>
      </c>
      <c r="H27" s="88">
        <f>IF(B$20=0,0,G27/B$20)</f>
        <v>1.4245014245014246E-3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9831.9569120287251</v>
      </c>
      <c r="C28" s="96">
        <v>5476400</v>
      </c>
      <c r="E28" s="27" t="s">
        <v>77</v>
      </c>
      <c r="F28" s="24" t="s">
        <v>32</v>
      </c>
      <c r="G28" s="12">
        <v>1</v>
      </c>
      <c r="H28" s="88">
        <f>IF(B$20=0,0,G28/B$20)</f>
        <v>1.4245014245014246E-3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7464.8275862068967</v>
      </c>
      <c r="C29" s="96">
        <v>1082400</v>
      </c>
      <c r="E29" s="27" t="s">
        <v>84</v>
      </c>
      <c r="F29" s="24" t="s">
        <v>39</v>
      </c>
      <c r="G29" s="12">
        <v>1</v>
      </c>
      <c r="H29" s="88">
        <f>IF(B$20=0,0,G29/B$20)</f>
        <v>1.4245014245014246E-3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-8578.4776902887133</v>
      </c>
      <c r="C30" s="96">
        <v>-3268400</v>
      </c>
      <c r="E30" s="27" t="s">
        <v>85</v>
      </c>
      <c r="F30" s="24" t="s">
        <v>40</v>
      </c>
      <c r="G30" s="12">
        <v>1</v>
      </c>
      <c r="H30" s="88">
        <f>IF(B$20=0,0,G30/B$20)</f>
        <v>1.4245014245014246E-3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94</v>
      </c>
      <c r="F31" s="24" t="s">
        <v>49</v>
      </c>
      <c r="G31" s="12">
        <v>1</v>
      </c>
      <c r="H31" s="88">
        <f>IF(B$20=0,0,G31/B$20)</f>
        <v>1.4245014245014246E-3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0</v>
      </c>
      <c r="E32" s="27" t="s">
        <v>98</v>
      </c>
      <c r="F32" s="24" t="s">
        <v>53</v>
      </c>
      <c r="G32" s="12">
        <v>1</v>
      </c>
      <c r="H32" s="88">
        <f>IF(B$20=0,0,G32/B$20)</f>
        <v>1.4245014245014246E-3</v>
      </c>
      <c r="I32" s="58">
        <v>2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10</v>
      </c>
      <c r="C33" s="128"/>
      <c r="E33" s="27" t="s">
        <v>106</v>
      </c>
      <c r="F33" s="24" t="s">
        <v>113</v>
      </c>
      <c r="G33" s="12">
        <v>1</v>
      </c>
      <c r="H33" s="88">
        <f>IF(B$20=0,0,G33/B$20)</f>
        <v>1.4245014245014246E-3</v>
      </c>
      <c r="I33" s="58">
        <v>2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76</v>
      </c>
      <c r="F34" s="24" t="s">
        <v>31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4</v>
      </c>
      <c r="C35" s="9">
        <f>IF(B$3=0,0,B35/B$3)</f>
        <v>1.6920473773265651E-3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32</v>
      </c>
      <c r="C37" s="98">
        <f t="shared" ref="C37:C49" si="2">IF(B$20=0,0,B37/B$20)</f>
        <v>4.5584045584045586E-2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106</v>
      </c>
      <c r="C38" s="6">
        <f t="shared" si="2"/>
        <v>0.150997150997151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121</v>
      </c>
      <c r="C39" s="6">
        <f t="shared" si="2"/>
        <v>0.17236467236467237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160</v>
      </c>
      <c r="C40" s="6">
        <f t="shared" si="2"/>
        <v>0.22792022792022792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115</v>
      </c>
      <c r="C41" s="6">
        <f t="shared" si="2"/>
        <v>0.16381766381766383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66</v>
      </c>
      <c r="C42" s="6">
        <f t="shared" si="2"/>
        <v>9.4017094017094016E-2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37</v>
      </c>
      <c r="C43" s="6">
        <f t="shared" si="2"/>
        <v>5.2706552706552709E-2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22</v>
      </c>
      <c r="C44" s="6">
        <f t="shared" si="2"/>
        <v>3.1339031339031341E-2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16</v>
      </c>
      <c r="C45" s="6">
        <f t="shared" si="2"/>
        <v>2.2792022792022793E-2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6</v>
      </c>
      <c r="C46" s="6">
        <f t="shared" si="2"/>
        <v>8.5470085470085479E-3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5</v>
      </c>
      <c r="C47" s="6">
        <f t="shared" si="2"/>
        <v>7.1225071225071226E-3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16</v>
      </c>
      <c r="C49" s="9">
        <f t="shared" si="2"/>
        <v>2.2792022792022793E-2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  <row r="147" spans="11:13" x14ac:dyDescent="0.4">
      <c r="K147" s="74">
        <v>145</v>
      </c>
      <c r="L147" s="119">
        <v>-31.400000000000031</v>
      </c>
      <c r="M147" s="117">
        <v>1600.0687143192902</v>
      </c>
    </row>
    <row r="148" spans="11:13" x14ac:dyDescent="0.4">
      <c r="K148" s="74">
        <v>146</v>
      </c>
      <c r="L148" s="119">
        <v>-3.1000000000000298</v>
      </c>
      <c r="M148" s="117">
        <v>1605.0363020333743</v>
      </c>
    </row>
    <row r="149" spans="11:13" x14ac:dyDescent="0.4">
      <c r="K149" s="74">
        <v>147</v>
      </c>
      <c r="L149" s="119">
        <v>-2.9753977059954195E-14</v>
      </c>
      <c r="M149" s="117">
        <v>1605.438084221174</v>
      </c>
    </row>
    <row r="150" spans="11:13" x14ac:dyDescent="0.4">
      <c r="K150" s="74">
        <v>148</v>
      </c>
      <c r="L150" s="119">
        <v>56.39999999999997</v>
      </c>
      <c r="M150" s="117">
        <v>1615.4314557158471</v>
      </c>
    </row>
    <row r="151" spans="11:13" x14ac:dyDescent="0.4">
      <c r="K151" s="74">
        <v>149</v>
      </c>
      <c r="L151" s="119">
        <v>44.39999999999997</v>
      </c>
      <c r="M151" s="117">
        <v>1613.0528669815519</v>
      </c>
    </row>
    <row r="152" spans="11:13" x14ac:dyDescent="0.4">
      <c r="K152" s="74">
        <v>150</v>
      </c>
      <c r="L152" s="119">
        <v>-2.8421709430404007E-14</v>
      </c>
      <c r="M152" s="117">
        <v>1604.8565497796626</v>
      </c>
    </row>
    <row r="153" spans="11:13" x14ac:dyDescent="0.4">
      <c r="K153" s="74">
        <v>151</v>
      </c>
      <c r="L153" s="119">
        <v>44.199999999999974</v>
      </c>
      <c r="M153" s="117">
        <v>1612.6574104809847</v>
      </c>
    </row>
    <row r="154" spans="11:13" x14ac:dyDescent="0.4">
      <c r="K154" s="74">
        <v>152</v>
      </c>
      <c r="L154" s="119">
        <v>9.599999999999973</v>
      </c>
      <c r="M154" s="117">
        <v>1606.2274660180988</v>
      </c>
    </row>
    <row r="155" spans="11:13" x14ac:dyDescent="0.4">
      <c r="K155" s="74">
        <v>153</v>
      </c>
      <c r="L155" s="119">
        <v>-2.6645352591003757E-14</v>
      </c>
      <c r="M155" s="117">
        <v>1604.3361012219902</v>
      </c>
    </row>
    <row r="156" spans="11:13" x14ac:dyDescent="0.4">
      <c r="K156" s="74">
        <v>154</v>
      </c>
      <c r="L156" s="119">
        <v>-25.000000000000028</v>
      </c>
      <c r="M156" s="117">
        <v>1599.4020846146584</v>
      </c>
    </row>
    <row r="157" spans="11:13" x14ac:dyDescent="0.4">
      <c r="K157" s="74">
        <v>155</v>
      </c>
      <c r="L157" s="119">
        <v>56.199999999999974</v>
      </c>
      <c r="M157" s="117">
        <v>1613.6136721069704</v>
      </c>
    </row>
    <row r="158" spans="11:13" x14ac:dyDescent="0.4">
      <c r="K158" s="74">
        <v>156</v>
      </c>
      <c r="L158" s="119">
        <v>-2.8421709430404007E-14</v>
      </c>
      <c r="M158" s="117">
        <v>1603.0079900743285</v>
      </c>
    </row>
    <row r="159" spans="11:13" x14ac:dyDescent="0.4">
      <c r="K159" s="74">
        <v>157</v>
      </c>
      <c r="L159" s="119">
        <v>1.5999999999999717</v>
      </c>
      <c r="M159" s="117">
        <v>1602.8639421338826</v>
      </c>
    </row>
    <row r="160" spans="11:13" x14ac:dyDescent="0.4">
      <c r="K160" s="74">
        <v>158</v>
      </c>
      <c r="L160" s="119">
        <v>-43.60000000000003</v>
      </c>
      <c r="M160" s="117">
        <v>1594.2967584810792</v>
      </c>
    </row>
    <row r="161" spans="11:13" x14ac:dyDescent="0.4">
      <c r="K161" s="74">
        <v>159</v>
      </c>
      <c r="L161" s="119">
        <v>-2.8421709430404007E-14</v>
      </c>
      <c r="M161" s="117">
        <v>1601.7649779301928</v>
      </c>
    </row>
    <row r="162" spans="11:13" x14ac:dyDescent="0.4">
      <c r="K162" s="74">
        <v>160</v>
      </c>
      <c r="L162" s="119">
        <v>50.999999999999972</v>
      </c>
      <c r="M162" s="117">
        <v>1610.5203880626116</v>
      </c>
    </row>
    <row r="163" spans="11:13" x14ac:dyDescent="0.4">
      <c r="K163" s="74">
        <v>161</v>
      </c>
      <c r="L163" s="119">
        <v>0.99999999999997158</v>
      </c>
      <c r="M163" s="117">
        <v>1601.043265734236</v>
      </c>
    </row>
    <row r="164" spans="11:13" x14ac:dyDescent="0.4">
      <c r="K164" s="74">
        <v>162</v>
      </c>
      <c r="L164" s="119">
        <v>-2.8421709430404007E-14</v>
      </c>
      <c r="M164" s="117">
        <v>1600.4430061398307</v>
      </c>
    </row>
    <row r="165" spans="11:13" x14ac:dyDescent="0.4">
      <c r="K165" s="74">
        <v>163</v>
      </c>
      <c r="L165" s="119">
        <v>-46.200000000000031</v>
      </c>
      <c r="M165" s="117">
        <v>1592.1723481029917</v>
      </c>
    </row>
    <row r="166" spans="11:13" x14ac:dyDescent="0.4">
      <c r="K166" s="74">
        <v>164</v>
      </c>
      <c r="L166" s="119">
        <v>-37.10000000000003</v>
      </c>
      <c r="M166" s="117">
        <v>1593.9053140143737</v>
      </c>
    </row>
    <row r="167" spans="11:13" x14ac:dyDescent="0.4">
      <c r="K167" s="74">
        <v>165</v>
      </c>
      <c r="L167" s="119">
        <v>-2.8421709430404007E-14</v>
      </c>
      <c r="M167" s="117">
        <v>1600.6678821302876</v>
      </c>
    </row>
    <row r="168" spans="11:13" x14ac:dyDescent="0.4">
      <c r="K168" s="74">
        <v>166</v>
      </c>
      <c r="L168" s="119">
        <v>5.7999999999999714</v>
      </c>
      <c r="M168" s="117">
        <v>1602.0438748375059</v>
      </c>
    </row>
    <row r="169" spans="11:13" x14ac:dyDescent="0.4">
      <c r="K169" s="74">
        <v>167</v>
      </c>
      <c r="L169" s="119">
        <v>-51.10000000000003</v>
      </c>
      <c r="M169" s="117">
        <v>1592.1256115884808</v>
      </c>
    </row>
    <row r="170" spans="11:13" x14ac:dyDescent="0.4">
      <c r="K170" s="74">
        <v>168</v>
      </c>
      <c r="L170" s="119">
        <v>-2.8421709430404007E-14</v>
      </c>
      <c r="M170" s="117">
        <v>1601.7068579189499</v>
      </c>
    </row>
    <row r="171" spans="11:13" x14ac:dyDescent="0.4">
      <c r="K171" s="74">
        <v>169</v>
      </c>
      <c r="L171" s="119">
        <v>-6.8000000000000282</v>
      </c>
      <c r="M171" s="117">
        <v>1600.0826167714363</v>
      </c>
    </row>
    <row r="172" spans="11:13" x14ac:dyDescent="0.4">
      <c r="K172" s="74">
        <v>170</v>
      </c>
      <c r="L172" s="119">
        <v>62.199999999999974</v>
      </c>
      <c r="M172" s="117">
        <v>1612.1121210708077</v>
      </c>
    </row>
    <row r="173" spans="11:13" x14ac:dyDescent="0.4">
      <c r="K173" s="74">
        <v>171</v>
      </c>
      <c r="L173" s="119">
        <v>-2.8421709430404007E-14</v>
      </c>
      <c r="M173" s="117">
        <v>1600.4534483443829</v>
      </c>
    </row>
    <row r="174" spans="11:13" x14ac:dyDescent="0.4">
      <c r="K174" s="74">
        <v>172</v>
      </c>
      <c r="L174" s="119">
        <v>11.999999999999972</v>
      </c>
      <c r="M174" s="117">
        <v>1602.6587276543166</v>
      </c>
    </row>
    <row r="175" spans="11:13" x14ac:dyDescent="0.4">
      <c r="K175" s="74">
        <v>173</v>
      </c>
      <c r="L175" s="119">
        <v>46.799999999999969</v>
      </c>
      <c r="M175" s="117">
        <v>1608.9547752883907</v>
      </c>
    </row>
    <row r="176" spans="11:13" x14ac:dyDescent="0.4">
      <c r="K176" s="74">
        <v>174</v>
      </c>
      <c r="L176" s="119">
        <v>-2.8421709430404007E-14</v>
      </c>
      <c r="M176" s="117">
        <v>1600.5250466366604</v>
      </c>
    </row>
    <row r="177" spans="11:13" x14ac:dyDescent="0.4">
      <c r="K177" s="74">
        <v>175</v>
      </c>
      <c r="L177" s="119">
        <v>-61.300000000000026</v>
      </c>
      <c r="M177" s="117">
        <v>1589.5358963568403</v>
      </c>
    </row>
    <row r="178" spans="11:13" x14ac:dyDescent="0.4">
      <c r="K178" s="74">
        <v>176</v>
      </c>
      <c r="L178" s="119">
        <v>6.1999999999999744</v>
      </c>
      <c r="M178" s="117">
        <v>1601.7966809786992</v>
      </c>
    </row>
    <row r="179" spans="11:13" x14ac:dyDescent="0.4">
      <c r="K179" s="74">
        <v>177</v>
      </c>
      <c r="L179" s="119">
        <v>-2.5757174171303632E-14</v>
      </c>
      <c r="M179" s="117">
        <v>1600.7179008928269</v>
      </c>
    </row>
    <row r="180" spans="11:13" x14ac:dyDescent="0.4">
      <c r="K180" s="74">
        <v>178</v>
      </c>
      <c r="L180" s="119">
        <v>-63.500000000000028</v>
      </c>
      <c r="M180" s="117">
        <v>1589.3315934874699</v>
      </c>
    </row>
    <row r="181" spans="11:13" x14ac:dyDescent="0.4">
      <c r="K181" s="74">
        <v>179</v>
      </c>
      <c r="L181" s="119">
        <v>-88.000000000000028</v>
      </c>
      <c r="M181" s="117">
        <v>1585.0336039265451</v>
      </c>
    </row>
    <row r="182" spans="11:13" x14ac:dyDescent="0.4">
      <c r="K182" s="74">
        <v>180</v>
      </c>
      <c r="L182" s="119">
        <v>-2.8421709430404007E-14</v>
      </c>
      <c r="M182" s="117">
        <v>1601.0114023029857</v>
      </c>
    </row>
    <row r="183" spans="11:13" x14ac:dyDescent="0.4">
      <c r="K183" s="74">
        <v>181</v>
      </c>
      <c r="L183" s="119">
        <v>-30.500000000000028</v>
      </c>
      <c r="M183" s="117">
        <v>1595.5633338891678</v>
      </c>
    </row>
    <row r="184" spans="11:13" x14ac:dyDescent="0.4">
      <c r="K184" s="74">
        <v>182</v>
      </c>
      <c r="L184" s="119">
        <v>-30.60000000000003</v>
      </c>
      <c r="M184" s="117">
        <v>1595.6199538858327</v>
      </c>
    </row>
    <row r="185" spans="11:13" x14ac:dyDescent="0.4">
      <c r="K185" s="74">
        <v>183</v>
      </c>
      <c r="L185" s="119">
        <v>-2.8421709430404007E-14</v>
      </c>
      <c r="M185" s="117">
        <v>1601.2022341625177</v>
      </c>
    </row>
    <row r="186" spans="11:13" x14ac:dyDescent="0.4">
      <c r="K186" s="74">
        <v>184</v>
      </c>
      <c r="L186" s="119">
        <v>55.699999999999974</v>
      </c>
      <c r="M186" s="117">
        <v>1611.2690207575426</v>
      </c>
    </row>
    <row r="187" spans="11:13" x14ac:dyDescent="0.4">
      <c r="K187" s="74">
        <v>185</v>
      </c>
      <c r="L187" s="119">
        <v>10.199999999999974</v>
      </c>
      <c r="M187" s="117">
        <v>1603.0594066329975</v>
      </c>
    </row>
    <row r="188" spans="11:13" x14ac:dyDescent="0.4">
      <c r="K188" s="74">
        <v>186</v>
      </c>
      <c r="L188" s="119">
        <v>-2.4868995751603507E-14</v>
      </c>
      <c r="M188" s="117">
        <v>1601.2530501931994</v>
      </c>
    </row>
    <row r="189" spans="11:13" x14ac:dyDescent="0.4">
      <c r="K189" s="74">
        <v>187</v>
      </c>
      <c r="L189" s="119">
        <v>3.9999999999999751</v>
      </c>
      <c r="M189" s="117">
        <v>1602.0135318920402</v>
      </c>
    </row>
    <row r="190" spans="11:13" x14ac:dyDescent="0.4">
      <c r="K190" s="74">
        <v>188</v>
      </c>
      <c r="L190" s="119">
        <v>-28.800000000000022</v>
      </c>
      <c r="M190" s="117">
        <v>1596.1454507006879</v>
      </c>
    </row>
    <row r="191" spans="11:13" x14ac:dyDescent="0.4">
      <c r="K191" s="74">
        <v>189</v>
      </c>
      <c r="L191" s="119">
        <v>-2.1316282072803006E-14</v>
      </c>
      <c r="M191" s="117">
        <v>1601.4005779964837</v>
      </c>
    </row>
    <row r="192" spans="11:13" x14ac:dyDescent="0.4">
      <c r="K192" s="74">
        <v>190</v>
      </c>
      <c r="L192" s="119">
        <v>36.799999999999976</v>
      </c>
      <c r="M192" s="117">
        <v>1608.0641745285047</v>
      </c>
    </row>
    <row r="193" spans="11:13" x14ac:dyDescent="0.4">
      <c r="K193" s="74">
        <v>191</v>
      </c>
      <c r="L193" s="119">
        <v>6.1999999999999744</v>
      </c>
      <c r="M193" s="117">
        <v>1602.5557894813337</v>
      </c>
    </row>
    <row r="194" spans="11:13" x14ac:dyDescent="0.4">
      <c r="K194" s="74">
        <v>192</v>
      </c>
      <c r="L194" s="119">
        <v>-2.5757174171303632E-14</v>
      </c>
      <c r="M194" s="117">
        <v>1601.4724547444457</v>
      </c>
    </row>
    <row r="195" spans="11:13" x14ac:dyDescent="0.4">
      <c r="K195" s="74">
        <v>193</v>
      </c>
      <c r="L195" s="119">
        <v>55.999999999999972</v>
      </c>
      <c r="M195" s="117">
        <v>1611.5916200159791</v>
      </c>
    </row>
    <row r="196" spans="11:13" x14ac:dyDescent="0.4">
      <c r="K196" s="74">
        <v>194</v>
      </c>
      <c r="L196" s="119">
        <v>50.89999999999997</v>
      </c>
      <c r="M196" s="117">
        <v>1610.6520702958833</v>
      </c>
    </row>
    <row r="197" spans="11:13" x14ac:dyDescent="0.4">
      <c r="K197" s="74">
        <v>195</v>
      </c>
      <c r="L197" s="119">
        <v>-2.8421709430404007E-14</v>
      </c>
      <c r="M197" s="117">
        <v>1601.474157874108</v>
      </c>
    </row>
    <row r="198" spans="11:13" x14ac:dyDescent="0.4">
      <c r="K198" s="74">
        <v>196</v>
      </c>
      <c r="L198" s="119">
        <v>-0.90000000000002844</v>
      </c>
      <c r="M198" s="117">
        <v>1601.3513129268633</v>
      </c>
    </row>
    <row r="199" spans="11:13" x14ac:dyDescent="0.4">
      <c r="K199" s="74">
        <v>197</v>
      </c>
      <c r="L199" s="119">
        <v>-35.200000000000024</v>
      </c>
      <c r="M199" s="117">
        <v>1595.217205049302</v>
      </c>
    </row>
    <row r="200" spans="11:13" x14ac:dyDescent="0.4">
      <c r="K200" s="74">
        <v>198</v>
      </c>
      <c r="L200" s="119">
        <v>-2.1316282072803006E-14</v>
      </c>
      <c r="M200" s="117">
        <v>1601.6299018190061</v>
      </c>
    </row>
    <row r="201" spans="11:13" x14ac:dyDescent="0.4">
      <c r="K201" s="74">
        <v>199</v>
      </c>
      <c r="L201" s="119">
        <v>29.59999999999998</v>
      </c>
      <c r="M201" s="117">
        <v>1606.9961224080921</v>
      </c>
    </row>
    <row r="202" spans="11:13" x14ac:dyDescent="0.4">
      <c r="K202" s="74">
        <v>200</v>
      </c>
      <c r="L202" s="119">
        <v>26.799999999999979</v>
      </c>
      <c r="M202" s="117">
        <v>1606.4981456736436</v>
      </c>
    </row>
    <row r="203" spans="11:13" x14ac:dyDescent="0.4">
      <c r="K203" s="74">
        <v>201</v>
      </c>
      <c r="L203" s="119">
        <v>-2.1316282072803006E-14</v>
      </c>
      <c r="M203" s="117">
        <v>1601.6831567996019</v>
      </c>
    </row>
    <row r="204" spans="11:13" x14ac:dyDescent="0.4">
      <c r="K204" s="74">
        <v>202</v>
      </c>
      <c r="L204" s="119">
        <v>-7.3000000000000211</v>
      </c>
      <c r="M204" s="117">
        <v>1600.4070578588044</v>
      </c>
    </row>
    <row r="205" spans="11:13" x14ac:dyDescent="0.4">
      <c r="K205" s="74">
        <v>203</v>
      </c>
      <c r="L205" s="119">
        <v>58.799999999999976</v>
      </c>
      <c r="M205" s="117">
        <v>1612.3506155116515</v>
      </c>
    </row>
    <row r="206" spans="11:13" x14ac:dyDescent="0.4">
      <c r="K206" s="74">
        <v>204</v>
      </c>
      <c r="L206" s="119">
        <v>-2.1316282072803006E-14</v>
      </c>
      <c r="M206" s="117">
        <v>1601.7405118185816</v>
      </c>
    </row>
    <row r="207" spans="11:13" x14ac:dyDescent="0.4">
      <c r="K207" s="74">
        <v>205</v>
      </c>
      <c r="L207" s="119">
        <v>42.899999999999977</v>
      </c>
      <c r="M207" s="117">
        <v>1609.5000687476702</v>
      </c>
    </row>
    <row r="208" spans="11:13" x14ac:dyDescent="0.4">
      <c r="K208" s="74">
        <v>206</v>
      </c>
      <c r="L208" s="119">
        <v>57.799999999999976</v>
      </c>
      <c r="M208" s="117">
        <v>1612.1730683351841</v>
      </c>
    </row>
    <row r="209" spans="11:13" x14ac:dyDescent="0.4">
      <c r="K209" s="74">
        <v>207</v>
      </c>
      <c r="L209" s="119">
        <v>-2.1316282072803006E-14</v>
      </c>
      <c r="M209" s="117">
        <v>1601.744029925173</v>
      </c>
    </row>
    <row r="210" spans="11:13" x14ac:dyDescent="0.4">
      <c r="K210" s="74">
        <v>208</v>
      </c>
      <c r="L210" s="119">
        <v>85.599999999999966</v>
      </c>
      <c r="M210" s="117">
        <v>1617.1895657456218</v>
      </c>
    </row>
    <row r="211" spans="11:13" x14ac:dyDescent="0.4">
      <c r="K211" s="74">
        <v>209</v>
      </c>
      <c r="L211" s="119">
        <v>60.699999999999967</v>
      </c>
      <c r="M211" s="117">
        <v>1612.652428351148</v>
      </c>
    </row>
    <row r="212" spans="11:13" x14ac:dyDescent="0.4">
      <c r="K212" s="74">
        <v>210</v>
      </c>
      <c r="L212" s="119">
        <v>-3.5527136788005009E-14</v>
      </c>
      <c r="M212" s="117">
        <v>1601.6985137810411</v>
      </c>
    </row>
    <row r="213" spans="11:13" x14ac:dyDescent="0.4">
      <c r="K213" s="74">
        <v>211</v>
      </c>
      <c r="L213" s="119">
        <v>-23.400000000000034</v>
      </c>
      <c r="M213" s="117">
        <v>1597.5243226983548</v>
      </c>
    </row>
    <row r="214" spans="11:13" x14ac:dyDescent="0.4">
      <c r="K214" s="74">
        <v>212</v>
      </c>
      <c r="L214" s="119">
        <v>-3.5527136788005009E-14</v>
      </c>
      <c r="M214" s="117">
        <v>1601.7991767621647</v>
      </c>
    </row>
    <row r="215" spans="11:13" x14ac:dyDescent="0.4">
      <c r="K215" s="74">
        <v>213</v>
      </c>
      <c r="L215" s="119">
        <v>-3.5527136788005009E-14</v>
      </c>
      <c r="M215" s="117">
        <v>1601.8363817015918</v>
      </c>
    </row>
    <row r="216" spans="11:13" x14ac:dyDescent="0.4">
      <c r="K216" s="74">
        <v>214</v>
      </c>
      <c r="L216" s="119">
        <v>8.8999999999999648</v>
      </c>
      <c r="M216" s="117">
        <v>1603.3553634113823</v>
      </c>
    </row>
    <row r="217" spans="11:13" x14ac:dyDescent="0.4">
      <c r="K217" s="74">
        <v>215</v>
      </c>
      <c r="L217" s="119">
        <v>55.599999999999966</v>
      </c>
      <c r="M217" s="117">
        <v>1611.669231230914</v>
      </c>
    </row>
    <row r="218" spans="11:13" x14ac:dyDescent="0.4">
      <c r="K218" s="74">
        <v>216</v>
      </c>
      <c r="L218" s="119">
        <v>-3.5527136788005009E-14</v>
      </c>
      <c r="M218" s="117">
        <v>1601.5192158435284</v>
      </c>
    </row>
    <row r="219" spans="11:13" x14ac:dyDescent="0.4">
      <c r="K219" s="74">
        <v>217</v>
      </c>
      <c r="L219" s="119">
        <v>60.599999999999966</v>
      </c>
      <c r="M219" s="117">
        <v>1612.3461005484671</v>
      </c>
    </row>
    <row r="220" spans="11:13" x14ac:dyDescent="0.4">
      <c r="K220" s="74">
        <v>218</v>
      </c>
      <c r="L220" s="119">
        <v>57.899999999999963</v>
      </c>
      <c r="M220" s="117">
        <v>1611.7140239451762</v>
      </c>
    </row>
    <row r="221" spans="11:13" x14ac:dyDescent="0.4">
      <c r="K221" s="74">
        <v>219</v>
      </c>
      <c r="L221" s="119">
        <v>-3.5527136788005009E-14</v>
      </c>
      <c r="M221" s="117">
        <v>1601.1497398015051</v>
      </c>
    </row>
    <row r="222" spans="11:13" x14ac:dyDescent="0.4">
      <c r="K222" s="74">
        <v>220</v>
      </c>
      <c r="L222" s="119">
        <v>45.199999999999967</v>
      </c>
      <c r="M222" s="117">
        <v>1608.8468413626961</v>
      </c>
    </row>
    <row r="223" spans="11:13" x14ac:dyDescent="0.4">
      <c r="K223" s="74">
        <v>221</v>
      </c>
      <c r="L223" s="119">
        <v>34.499999999999972</v>
      </c>
      <c r="M223" s="117">
        <v>1606.4357603145199</v>
      </c>
    </row>
    <row r="224" spans="11:13" x14ac:dyDescent="0.4">
      <c r="K224" s="74">
        <v>222</v>
      </c>
      <c r="L224" s="119">
        <v>-2.8421709430404007E-14</v>
      </c>
      <c r="M224" s="117">
        <v>1599.7551457526329</v>
      </c>
    </row>
    <row r="225" spans="11:13" x14ac:dyDescent="0.4">
      <c r="K225" s="74">
        <v>223</v>
      </c>
      <c r="L225" s="119">
        <v>44.699999999999974</v>
      </c>
      <c r="M225" s="117">
        <v>1607.364614878117</v>
      </c>
    </row>
    <row r="226" spans="11:13" x14ac:dyDescent="0.4">
      <c r="K226" s="74">
        <v>224</v>
      </c>
      <c r="L226" s="119">
        <v>33.599999999999973</v>
      </c>
      <c r="M226" s="117">
        <v>1604.8844271888483</v>
      </c>
    </row>
    <row r="227" spans="11:13" x14ac:dyDescent="0.4">
      <c r="K227" s="74">
        <v>225</v>
      </c>
      <c r="L227" s="119">
        <v>-2.8421709430404007E-14</v>
      </c>
      <c r="M227" s="117">
        <v>1598.3691206257154</v>
      </c>
    </row>
    <row r="228" spans="11:13" x14ac:dyDescent="0.4">
      <c r="K228" s="74">
        <v>226</v>
      </c>
      <c r="L228" s="119">
        <v>47.199999999999974</v>
      </c>
      <c r="M228" s="117">
        <v>1607.210905901961</v>
      </c>
    </row>
    <row r="229" spans="11:13" x14ac:dyDescent="0.4">
      <c r="K229" s="74">
        <v>227</v>
      </c>
      <c r="L229" s="119">
        <v>56.799999999999976</v>
      </c>
      <c r="M229" s="117">
        <v>1609.2316404665494</v>
      </c>
    </row>
    <row r="230" spans="11:13" x14ac:dyDescent="0.4">
      <c r="K230" s="74">
        <v>228</v>
      </c>
      <c r="L230" s="119">
        <v>-2.1316282072803006E-14</v>
      </c>
      <c r="M230" s="117">
        <v>1599.2882506237502</v>
      </c>
    </row>
    <row r="231" spans="11:13" x14ac:dyDescent="0.4">
      <c r="K231" s="74">
        <v>229</v>
      </c>
      <c r="L231" s="119">
        <v>-59.40000000000002</v>
      </c>
      <c r="M231" s="117">
        <v>1588.1865211200077</v>
      </c>
    </row>
    <row r="232" spans="11:13" x14ac:dyDescent="0.4">
      <c r="K232" s="74">
        <v>230</v>
      </c>
      <c r="L232" s="119">
        <v>-45.300000000000018</v>
      </c>
      <c r="M232" s="117">
        <v>1590.3814019932877</v>
      </c>
    </row>
    <row r="233" spans="11:13" x14ac:dyDescent="0.4">
      <c r="K233" s="74">
        <v>231</v>
      </c>
      <c r="L233" s="119">
        <v>-2.1316282072803006E-14</v>
      </c>
      <c r="M233" s="117">
        <v>1598.179113581328</v>
      </c>
    </row>
    <row r="234" spans="11:13" x14ac:dyDescent="0.4">
      <c r="K234" s="74">
        <v>232</v>
      </c>
      <c r="L234" s="119">
        <v>-2.1316282072803006E-14</v>
      </c>
      <c r="M234" s="117">
        <v>1598.2200388998401</v>
      </c>
    </row>
    <row r="235" spans="11:13" x14ac:dyDescent="0.4">
      <c r="K235" s="74">
        <v>233</v>
      </c>
      <c r="L235" s="119">
        <v>58.59999999999998</v>
      </c>
      <c r="M235" s="117">
        <v>1608.8087186664411</v>
      </c>
    </row>
    <row r="236" spans="11:13" x14ac:dyDescent="0.4">
      <c r="K236" s="74">
        <v>234</v>
      </c>
      <c r="L236" s="119">
        <v>-2.1316282072803006E-14</v>
      </c>
      <c r="M236" s="117">
        <v>1598.2378663544425</v>
      </c>
    </row>
    <row r="237" spans="11:13" x14ac:dyDescent="0.4">
      <c r="K237" s="74">
        <v>235</v>
      </c>
      <c r="L237" s="119">
        <v>-0.70000000000002127</v>
      </c>
      <c r="M237" s="117">
        <v>1597.690439156316</v>
      </c>
    </row>
    <row r="238" spans="11:13" x14ac:dyDescent="0.4">
      <c r="K238" s="74">
        <v>236</v>
      </c>
      <c r="L238" s="119">
        <v>-25.100000000000019</v>
      </c>
      <c r="M238" s="117">
        <v>1592.8802965213781</v>
      </c>
    </row>
    <row r="239" spans="11:13" x14ac:dyDescent="0.4">
      <c r="K239" s="74">
        <v>237</v>
      </c>
      <c r="L239" s="119">
        <v>-1.7763568394002505E-14</v>
      </c>
      <c r="M239" s="117">
        <v>1597.0090147422497</v>
      </c>
    </row>
    <row r="240" spans="11:13" x14ac:dyDescent="0.4">
      <c r="K240" s="74">
        <v>238</v>
      </c>
      <c r="L240" s="119">
        <v>-33.90000000000002</v>
      </c>
      <c r="M240" s="117">
        <v>1590.9669606537961</v>
      </c>
    </row>
    <row r="241" spans="11:13" x14ac:dyDescent="0.4">
      <c r="K241" s="74">
        <v>239</v>
      </c>
      <c r="L241" s="119">
        <v>7.0999999999999801</v>
      </c>
      <c r="M241" s="117">
        <v>1598.4431588898733</v>
      </c>
    </row>
    <row r="242" spans="11:13" x14ac:dyDescent="0.4">
      <c r="K242" s="74">
        <v>240</v>
      </c>
      <c r="L242" s="119">
        <v>-1.9539925233402755E-14</v>
      </c>
      <c r="M242" s="117">
        <v>1597.2164999365341</v>
      </c>
    </row>
    <row r="243" spans="11:13" x14ac:dyDescent="0.4">
      <c r="K243" s="74">
        <v>241</v>
      </c>
      <c r="L243" s="119">
        <v>-100.60000000000001</v>
      </c>
      <c r="M243" s="117">
        <v>1579.0412009369149</v>
      </c>
    </row>
    <row r="244" spans="11:13" x14ac:dyDescent="0.4">
      <c r="K244" s="74">
        <v>242</v>
      </c>
      <c r="L244" s="119">
        <v>-116.4</v>
      </c>
      <c r="M244" s="117">
        <v>1576.2389537312933</v>
      </c>
    </row>
    <row r="245" spans="11:13" x14ac:dyDescent="0.4">
      <c r="K245" s="74">
        <v>243</v>
      </c>
      <c r="L245" s="119">
        <v>0</v>
      </c>
      <c r="M245" s="117">
        <v>1597.2495200089056</v>
      </c>
    </row>
    <row r="246" spans="11:13" x14ac:dyDescent="0.4">
      <c r="K246" s="74">
        <v>244</v>
      </c>
      <c r="L246" s="119">
        <v>-3.5</v>
      </c>
      <c r="M246" s="117">
        <v>1596.1500228888522</v>
      </c>
    </row>
    <row r="247" spans="11:13" x14ac:dyDescent="0.4">
      <c r="K247" s="74">
        <v>245</v>
      </c>
      <c r="L247" s="119">
        <v>-58.9</v>
      </c>
      <c r="M247" s="117">
        <v>1585.7151227515189</v>
      </c>
    </row>
    <row r="248" spans="11:13" x14ac:dyDescent="0.4">
      <c r="K248" s="74">
        <v>246</v>
      </c>
      <c r="L248" s="119">
        <v>0</v>
      </c>
      <c r="M248" s="117">
        <v>1595.9168320150097</v>
      </c>
    </row>
    <row r="249" spans="11:13" x14ac:dyDescent="0.4">
      <c r="K249" s="74">
        <v>247</v>
      </c>
      <c r="L249" s="119">
        <v>44.5</v>
      </c>
      <c r="M249" s="117">
        <v>1604.3293310229196</v>
      </c>
    </row>
    <row r="250" spans="11:13" x14ac:dyDescent="0.4">
      <c r="K250" s="74">
        <v>248</v>
      </c>
      <c r="L250" s="119">
        <v>-8.7000000000000028</v>
      </c>
      <c r="M250" s="117">
        <v>1595.1053550367822</v>
      </c>
    </row>
    <row r="251" spans="11:13" x14ac:dyDescent="0.4">
      <c r="K251" s="74">
        <v>249</v>
      </c>
      <c r="L251" s="119">
        <v>-3.5527136788005009E-15</v>
      </c>
      <c r="M251" s="117">
        <v>1597.0787229065616</v>
      </c>
    </row>
    <row r="252" spans="11:13" x14ac:dyDescent="0.4">
      <c r="K252" s="74">
        <v>250</v>
      </c>
      <c r="L252" s="119">
        <v>2.4999999999999964</v>
      </c>
      <c r="M252" s="117">
        <v>1597.9242505691223</v>
      </c>
    </row>
    <row r="253" spans="11:13" x14ac:dyDescent="0.4">
      <c r="K253" s="74">
        <v>251</v>
      </c>
      <c r="L253" s="119">
        <v>-71.099999999999994</v>
      </c>
      <c r="M253" s="117">
        <v>1585.0667050657075</v>
      </c>
    </row>
    <row r="254" spans="11:13" x14ac:dyDescent="0.4">
      <c r="K254" s="74">
        <v>252</v>
      </c>
      <c r="L254" s="119">
        <v>0</v>
      </c>
      <c r="M254" s="117">
        <v>1598.3323048353134</v>
      </c>
    </row>
    <row r="255" spans="11:13" x14ac:dyDescent="0.4">
      <c r="K255" s="74">
        <v>253</v>
      </c>
      <c r="L255" s="119">
        <v>-26.5</v>
      </c>
      <c r="M255" s="117">
        <v>1593.9503110063015</v>
      </c>
    </row>
    <row r="256" spans="11:13" x14ac:dyDescent="0.4">
      <c r="K256" s="74">
        <v>254</v>
      </c>
      <c r="L256" s="119">
        <v>-28.3</v>
      </c>
      <c r="M256" s="117">
        <v>1594.0406091402638</v>
      </c>
    </row>
    <row r="257" spans="11:13" x14ac:dyDescent="0.4">
      <c r="K257" s="74">
        <v>255</v>
      </c>
      <c r="L257" s="119">
        <v>0</v>
      </c>
      <c r="M257" s="117">
        <v>1599.5483654854222</v>
      </c>
    </row>
    <row r="258" spans="11:13" x14ac:dyDescent="0.4">
      <c r="K258" s="74">
        <v>256</v>
      </c>
      <c r="L258" s="119">
        <v>-56.6</v>
      </c>
      <c r="M258" s="117">
        <v>1589.7410752925098</v>
      </c>
    </row>
    <row r="259" spans="11:13" x14ac:dyDescent="0.4">
      <c r="K259" s="74">
        <v>257</v>
      </c>
      <c r="L259" s="119">
        <v>-4.7000000000000028</v>
      </c>
      <c r="M259" s="117">
        <v>1599.5226288407548</v>
      </c>
    </row>
    <row r="260" spans="11:13" x14ac:dyDescent="0.4">
      <c r="K260" s="74">
        <v>258</v>
      </c>
      <c r="L260" s="119">
        <v>-2.6645352591003757E-15</v>
      </c>
      <c r="M260" s="117">
        <v>1600.7494930677103</v>
      </c>
    </row>
    <row r="261" spans="11:13" x14ac:dyDescent="0.4">
      <c r="K261" s="74">
        <v>259</v>
      </c>
      <c r="L261" s="119">
        <v>1.4999999999999973</v>
      </c>
      <c r="M261" s="117">
        <v>1601.392996109304</v>
      </c>
    </row>
    <row r="262" spans="11:13" x14ac:dyDescent="0.4">
      <c r="K262" s="74">
        <v>260</v>
      </c>
      <c r="L262" s="119">
        <v>57.9</v>
      </c>
      <c r="M262" s="117">
        <v>1611.9146381326482</v>
      </c>
    </row>
    <row r="263" spans="11:13" x14ac:dyDescent="0.4">
      <c r="K263" s="74">
        <v>261</v>
      </c>
      <c r="L263" s="119">
        <v>0</v>
      </c>
      <c r="M263" s="117">
        <v>1601.7991503038522</v>
      </c>
    </row>
    <row r="264" spans="11:13" x14ac:dyDescent="0.4">
      <c r="K264" s="74">
        <v>262</v>
      </c>
      <c r="L264" s="119">
        <v>-33.1</v>
      </c>
      <c r="M264" s="117">
        <v>1596.2083554020292</v>
      </c>
    </row>
    <row r="265" spans="11:13" x14ac:dyDescent="0.4">
      <c r="K265" s="74">
        <v>263</v>
      </c>
      <c r="L265" s="119">
        <v>7.3999999999999986</v>
      </c>
      <c r="M265" s="117">
        <v>1603.8991052696169</v>
      </c>
    </row>
    <row r="266" spans="11:13" x14ac:dyDescent="0.4">
      <c r="K266" s="74">
        <v>264</v>
      </c>
      <c r="L266" s="119">
        <v>-1.7763568394002505E-15</v>
      </c>
      <c r="M266" s="117">
        <v>1602.9217106379992</v>
      </c>
    </row>
    <row r="267" spans="11:13" x14ac:dyDescent="0.4">
      <c r="K267" s="74">
        <v>265</v>
      </c>
      <c r="L267" s="119">
        <v>47.7</v>
      </c>
      <c r="M267" s="117">
        <v>1611.8681803741713</v>
      </c>
    </row>
    <row r="268" spans="11:13" x14ac:dyDescent="0.4">
      <c r="K268" s="74">
        <v>266</v>
      </c>
      <c r="L268" s="119">
        <v>58.2</v>
      </c>
      <c r="M268" s="117">
        <v>1614.0649712919262</v>
      </c>
    </row>
    <row r="269" spans="11:13" x14ac:dyDescent="0.4">
      <c r="K269" s="74">
        <v>267</v>
      </c>
      <c r="L269" s="119">
        <v>0</v>
      </c>
      <c r="M269" s="117">
        <v>1603.8825814641746</v>
      </c>
    </row>
    <row r="270" spans="11:13" x14ac:dyDescent="0.4">
      <c r="K270" s="74">
        <v>268</v>
      </c>
      <c r="L270" s="119">
        <v>79.599999999999994</v>
      </c>
      <c r="M270" s="117">
        <v>1618.5652859753895</v>
      </c>
    </row>
    <row r="271" spans="11:13" x14ac:dyDescent="0.4">
      <c r="K271" s="74">
        <v>269</v>
      </c>
      <c r="L271" s="119">
        <v>19.299999999999997</v>
      </c>
      <c r="M271" s="117">
        <v>1607.9778942595372</v>
      </c>
    </row>
    <row r="272" spans="11:13" x14ac:dyDescent="0.4">
      <c r="K272" s="74">
        <v>270</v>
      </c>
      <c r="L272" s="119">
        <v>-3.5527136788005009E-15</v>
      </c>
      <c r="M272" s="117">
        <v>1604.8340268939799</v>
      </c>
    </row>
    <row r="273" spans="11:13" x14ac:dyDescent="0.4">
      <c r="K273" s="74">
        <v>271</v>
      </c>
      <c r="L273" s="119">
        <v>34.899999999999991</v>
      </c>
      <c r="M273" s="117">
        <v>1611.465022732616</v>
      </c>
    </row>
    <row r="274" spans="11:13" x14ac:dyDescent="0.4">
      <c r="K274" s="74">
        <v>272</v>
      </c>
      <c r="L274" s="119">
        <v>33.29999999999999</v>
      </c>
      <c r="M274" s="117">
        <v>1611.4862325962204</v>
      </c>
    </row>
    <row r="275" spans="11:13" x14ac:dyDescent="0.4">
      <c r="K275" s="74">
        <v>273</v>
      </c>
      <c r="L275" s="119">
        <v>-7.1054273576010019E-15</v>
      </c>
      <c r="M275" s="117">
        <v>1605.8013152006431</v>
      </c>
    </row>
    <row r="276" spans="11:13" x14ac:dyDescent="0.4">
      <c r="K276" s="74">
        <v>274</v>
      </c>
      <c r="L276" s="119">
        <v>25.999999999999993</v>
      </c>
      <c r="M276" s="117">
        <v>1610.8245073094392</v>
      </c>
    </row>
    <row r="277" spans="11:13" x14ac:dyDescent="0.4">
      <c r="K277" s="74">
        <v>275</v>
      </c>
      <c r="L277" s="119">
        <v>-4.3000000000000078</v>
      </c>
      <c r="M277" s="117">
        <v>1605.6835602655826</v>
      </c>
    </row>
    <row r="278" spans="11:13" x14ac:dyDescent="0.4">
      <c r="K278" s="74">
        <v>276</v>
      </c>
      <c r="L278" s="119">
        <v>-7.9936057773011271E-15</v>
      </c>
      <c r="M278" s="117">
        <v>1606.8014589039892</v>
      </c>
    </row>
    <row r="279" spans="11:13" x14ac:dyDescent="0.4">
      <c r="K279" s="74">
        <v>277</v>
      </c>
      <c r="L279" s="119">
        <v>26.599999999999994</v>
      </c>
      <c r="M279" s="117">
        <v>1611.9266501505654</v>
      </c>
    </row>
    <row r="280" spans="11:13" x14ac:dyDescent="0.4">
      <c r="K280" s="74">
        <v>278</v>
      </c>
      <c r="L280" s="119">
        <v>28.899999999999995</v>
      </c>
      <c r="M280" s="117">
        <v>1612.6470902496619</v>
      </c>
    </row>
    <row r="281" spans="11:13" x14ac:dyDescent="0.4">
      <c r="K281" s="74">
        <v>279</v>
      </c>
      <c r="L281" s="119">
        <v>-3.5527136788005009E-15</v>
      </c>
      <c r="M281" s="117">
        <v>1607.7472077081638</v>
      </c>
    </row>
    <row r="282" spans="11:13" x14ac:dyDescent="0.4">
      <c r="K282" s="74">
        <v>280</v>
      </c>
      <c r="L282" s="119">
        <v>-56.100000000000009</v>
      </c>
      <c r="M282" s="117">
        <v>1597.9807244619149</v>
      </c>
    </row>
    <row r="283" spans="11:13" x14ac:dyDescent="0.4">
      <c r="K283" s="74">
        <v>281</v>
      </c>
      <c r="L283" s="119">
        <v>-11.100000000000009</v>
      </c>
      <c r="M283" s="117">
        <v>1606.4708401151433</v>
      </c>
    </row>
    <row r="284" spans="11:13" x14ac:dyDescent="0.4">
      <c r="K284" s="74">
        <v>282</v>
      </c>
      <c r="L284" s="119">
        <v>-8.8817841970012523E-15</v>
      </c>
      <c r="M284" s="117">
        <v>1608.8080150744524</v>
      </c>
    </row>
    <row r="285" spans="11:13" x14ac:dyDescent="0.4">
      <c r="K285" s="74">
        <v>283</v>
      </c>
      <c r="L285" s="119">
        <v>30.79999999999999</v>
      </c>
      <c r="M285" s="117">
        <v>1614.6771669840057</v>
      </c>
    </row>
    <row r="286" spans="11:13" x14ac:dyDescent="0.4">
      <c r="K286" s="74">
        <v>284</v>
      </c>
      <c r="L286" s="119">
        <v>29.599999999999991</v>
      </c>
      <c r="M286" s="117">
        <v>1614.7511039821015</v>
      </c>
    </row>
    <row r="287" spans="11:13" x14ac:dyDescent="0.4">
      <c r="K287" s="74">
        <v>285</v>
      </c>
      <c r="L287" s="119">
        <v>-1.0658141036401503E-14</v>
      </c>
      <c r="M287" s="117">
        <v>1609.712597358209</v>
      </c>
    </row>
    <row r="288" spans="11:13" x14ac:dyDescent="0.4">
      <c r="K288" s="74">
        <v>286</v>
      </c>
      <c r="L288" s="119">
        <v>-46.200000000000017</v>
      </c>
      <c r="M288" s="117">
        <v>1601.7163217740597</v>
      </c>
    </row>
    <row r="289" spans="11:13" x14ac:dyDescent="0.4">
      <c r="K289" s="74">
        <v>287</v>
      </c>
      <c r="L289" s="119">
        <v>-4.7000000000000171</v>
      </c>
      <c r="M289" s="117">
        <v>1609.5540238434153</v>
      </c>
    </row>
    <row r="290" spans="11:13" x14ac:dyDescent="0.4">
      <c r="K290" s="74">
        <v>288</v>
      </c>
      <c r="L290" s="119">
        <v>-1.6875389974302379E-14</v>
      </c>
      <c r="M290" s="117">
        <v>1610.7206997003548</v>
      </c>
    </row>
    <row r="291" spans="11:13" x14ac:dyDescent="0.4">
      <c r="K291" s="74">
        <v>289</v>
      </c>
      <c r="L291" s="119">
        <v>47.199999999999989</v>
      </c>
      <c r="M291" s="117">
        <v>1619.5303755021525</v>
      </c>
    </row>
    <row r="292" spans="11:13" x14ac:dyDescent="0.4">
      <c r="K292" s="74">
        <v>290</v>
      </c>
      <c r="L292" s="119">
        <v>-11.70000000000001</v>
      </c>
      <c r="M292" s="117">
        <v>1609.1891932491396</v>
      </c>
    </row>
    <row r="293" spans="11:13" x14ac:dyDescent="0.4">
      <c r="K293" s="74">
        <v>291</v>
      </c>
      <c r="L293" s="119">
        <v>-1.0658141036401503E-14</v>
      </c>
      <c r="M293" s="117">
        <v>1611.6180580896448</v>
      </c>
    </row>
    <row r="294" spans="11:13" x14ac:dyDescent="0.4">
      <c r="K294" s="74">
        <v>292</v>
      </c>
      <c r="L294" s="119">
        <v>32.499999999999986</v>
      </c>
      <c r="M294" s="117">
        <v>1617.776349741107</v>
      </c>
    </row>
    <row r="295" spans="11:13" x14ac:dyDescent="0.4">
      <c r="K295" s="74">
        <v>293</v>
      </c>
      <c r="L295" s="119">
        <v>41.899999999999984</v>
      </c>
      <c r="M295" s="117">
        <v>1619.7396916426603</v>
      </c>
    </row>
    <row r="296" spans="11:13" x14ac:dyDescent="0.4">
      <c r="K296" s="74">
        <v>294</v>
      </c>
      <c r="L296" s="119">
        <v>-1.4210854715202004E-14</v>
      </c>
      <c r="M296" s="117">
        <v>1612.4572534928043</v>
      </c>
    </row>
    <row r="297" spans="11:13" x14ac:dyDescent="0.4">
      <c r="K297" s="74">
        <v>295</v>
      </c>
      <c r="L297" s="119">
        <v>-60.500000000000014</v>
      </c>
      <c r="M297" s="117">
        <v>1601.8705099718475</v>
      </c>
    </row>
    <row r="298" spans="11:13" x14ac:dyDescent="0.4">
      <c r="K298" s="74">
        <v>296</v>
      </c>
      <c r="L298" s="119">
        <v>-59.100000000000016</v>
      </c>
      <c r="M298" s="117">
        <v>1602.4892869120165</v>
      </c>
    </row>
    <row r="299" spans="11:13" x14ac:dyDescent="0.4">
      <c r="K299" s="74">
        <v>297</v>
      </c>
      <c r="L299" s="119">
        <v>-1.4210854715202004E-14</v>
      </c>
      <c r="M299" s="117">
        <v>1613.4903511905443</v>
      </c>
    </row>
    <row r="300" spans="11:13" x14ac:dyDescent="0.4">
      <c r="K300" s="74">
        <v>298</v>
      </c>
      <c r="L300" s="119">
        <v>3.4999999999999858</v>
      </c>
      <c r="M300" s="117">
        <v>1614.417409083401</v>
      </c>
    </row>
    <row r="301" spans="11:13" x14ac:dyDescent="0.4">
      <c r="K301" s="74">
        <v>299</v>
      </c>
      <c r="L301" s="119">
        <v>70.999999999999986</v>
      </c>
      <c r="M301" s="117">
        <v>1626.8589046289005</v>
      </c>
    </row>
    <row r="302" spans="11:13" x14ac:dyDescent="0.4">
      <c r="K302" s="74">
        <v>300</v>
      </c>
      <c r="L302" s="119">
        <v>-1.4210854715202004E-14</v>
      </c>
      <c r="M302" s="117">
        <v>1614.2957512011271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1655-6123-4915-8F66-969CBF879046}">
  <sheetPr codeName="Sheet7"/>
  <dimension ref="A1:R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77</v>
      </c>
      <c r="C2" s="134"/>
      <c r="E2" s="26" t="s">
        <v>66</v>
      </c>
      <c r="F2" s="23" t="s">
        <v>22</v>
      </c>
      <c r="G2" s="11">
        <v>141</v>
      </c>
      <c r="H2" s="87">
        <f>IF(B$20=0,0,G2/B$20)</f>
        <v>0.84431137724550898</v>
      </c>
      <c r="I2" s="57">
        <v>1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2544</v>
      </c>
      <c r="Q2" s="76">
        <v>75</v>
      </c>
      <c r="R2" s="63">
        <v>190800</v>
      </c>
    </row>
    <row r="3" spans="1:18" x14ac:dyDescent="0.4">
      <c r="A3" s="19" t="s">
        <v>8</v>
      </c>
      <c r="B3" s="135">
        <v>589</v>
      </c>
      <c r="C3" s="136"/>
      <c r="E3" s="27" t="s">
        <v>72</v>
      </c>
      <c r="F3" s="24" t="s">
        <v>27</v>
      </c>
      <c r="G3" s="12">
        <v>90</v>
      </c>
      <c r="H3" s="88">
        <f>IF(B$20=0,0,G3/B$20)</f>
        <v>0.53892215568862278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-754.28571428571433</v>
      </c>
      <c r="Q3" s="77">
        <v>70</v>
      </c>
      <c r="R3" s="64">
        <v>-52800</v>
      </c>
    </row>
    <row r="4" spans="1:18" x14ac:dyDescent="0.4">
      <c r="A4" s="19" t="s">
        <v>6</v>
      </c>
      <c r="B4" s="137">
        <v>-26.499999999999936</v>
      </c>
      <c r="C4" s="138"/>
      <c r="E4" s="27" t="s">
        <v>64</v>
      </c>
      <c r="F4" s="24" t="s">
        <v>20</v>
      </c>
      <c r="G4" s="12">
        <v>89</v>
      </c>
      <c r="H4" s="88">
        <f>IF(B$20=0,0,G4/B$20)</f>
        <v>0.53293413173652693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-2163.6363636363635</v>
      </c>
      <c r="Q4" s="77">
        <v>66</v>
      </c>
      <c r="R4" s="64">
        <v>-142800</v>
      </c>
    </row>
    <row r="5" spans="1:18" x14ac:dyDescent="0.4">
      <c r="A5" s="19" t="s">
        <v>7</v>
      </c>
      <c r="B5" s="125">
        <f>IF(B$2=0,0,B$4/B$2)</f>
        <v>-0.34415584415584333</v>
      </c>
      <c r="C5" s="126"/>
      <c r="E5" s="27" t="s">
        <v>159</v>
      </c>
      <c r="F5" s="24" t="s">
        <v>160</v>
      </c>
      <c r="G5" s="12">
        <v>68</v>
      </c>
      <c r="H5" s="88">
        <f>IF(B$20=0,0,G5/B$20)</f>
        <v>0.40718562874251496</v>
      </c>
      <c r="I5" s="58">
        <v>6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-885.24590163934431</v>
      </c>
      <c r="Q5" s="77">
        <v>61</v>
      </c>
      <c r="R5" s="64">
        <v>-54000</v>
      </c>
    </row>
    <row r="6" spans="1:18" x14ac:dyDescent="0.4">
      <c r="A6" s="19" t="s">
        <v>195</v>
      </c>
      <c r="B6" s="129">
        <v>1595.6213709809917</v>
      </c>
      <c r="C6" s="130"/>
      <c r="E6" s="27" t="s">
        <v>68</v>
      </c>
      <c r="F6" s="24" t="s">
        <v>12</v>
      </c>
      <c r="G6" s="12">
        <v>61</v>
      </c>
      <c r="H6" s="88">
        <f>IF(B$20=0,0,G6/B$20)</f>
        <v>0.3652694610778443</v>
      </c>
      <c r="I6" s="58">
        <v>3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-245.28301886792454</v>
      </c>
      <c r="Q6" s="77">
        <v>53</v>
      </c>
      <c r="R6" s="64">
        <v>-13000</v>
      </c>
    </row>
    <row r="7" spans="1:18" x14ac:dyDescent="0.4">
      <c r="A7" s="19" t="s">
        <v>1</v>
      </c>
      <c r="B7" s="139">
        <f>IF(B$2=0,0,(B$8*1+B$9*2+B$10*3)/B$2)</f>
        <v>1.9610389610389611</v>
      </c>
      <c r="C7" s="140"/>
      <c r="E7" s="27" t="s">
        <v>67</v>
      </c>
      <c r="F7" s="24" t="s">
        <v>23</v>
      </c>
      <c r="G7" s="12">
        <v>50</v>
      </c>
      <c r="H7" s="88">
        <f>IF(B$20=0,0,G7/B$20)</f>
        <v>0.29940119760479039</v>
      </c>
      <c r="I7" s="58">
        <v>2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674.468085106383</v>
      </c>
      <c r="Q7" s="78">
        <v>47</v>
      </c>
      <c r="R7" s="65">
        <v>31700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0.36363636363636365</v>
      </c>
      <c r="E8" s="27" t="s">
        <v>69</v>
      </c>
      <c r="F8" s="24" t="s">
        <v>24</v>
      </c>
      <c r="G8" s="12">
        <v>31</v>
      </c>
      <c r="H8" s="88">
        <f>IF(B$20=0,0,G8/B$20)</f>
        <v>0.18562874251497005</v>
      </c>
      <c r="I8" s="58">
        <v>2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0.31168831168831168</v>
      </c>
      <c r="E9" s="27" t="s">
        <v>89</v>
      </c>
      <c r="F9" s="24" t="s">
        <v>44</v>
      </c>
      <c r="G9" s="12">
        <v>28</v>
      </c>
      <c r="H9" s="88">
        <f>IF(B$20=0,0,G9/B$20)</f>
        <v>0.16766467065868262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0.32467532467532467</v>
      </c>
      <c r="E10" s="27" t="s">
        <v>65</v>
      </c>
      <c r="F10" s="24" t="s">
        <v>21</v>
      </c>
      <c r="G10" s="12">
        <v>21</v>
      </c>
      <c r="H10" s="88">
        <f>IF(B$20=0,0,G10/B$20)</f>
        <v>0.12574850299401197</v>
      </c>
      <c r="I10" s="58">
        <v>4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4.0303030303030285</v>
      </c>
      <c r="Q10" s="76">
        <v>33</v>
      </c>
      <c r="R10" s="67">
        <v>132.99999999999994</v>
      </c>
    </row>
    <row r="11" spans="1:18" x14ac:dyDescent="0.4">
      <c r="A11" s="20" t="s">
        <v>184</v>
      </c>
      <c r="B11" s="109">
        <f>IF(B8=0,0,C11/B8)</f>
        <v>45.324999999999996</v>
      </c>
      <c r="C11" s="110">
        <v>1269.0999999999999</v>
      </c>
      <c r="E11" s="27" t="s">
        <v>70</v>
      </c>
      <c r="F11" s="24" t="s">
        <v>25</v>
      </c>
      <c r="G11" s="12">
        <v>16</v>
      </c>
      <c r="H11" s="88">
        <f>IF(B$20=0,0,G11/B$20)</f>
        <v>9.580838323353294E-2</v>
      </c>
      <c r="I11" s="58">
        <v>6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-5.3761904761904766</v>
      </c>
      <c r="Q11" s="77">
        <v>21</v>
      </c>
      <c r="R11" s="68">
        <v>-112.9</v>
      </c>
    </row>
    <row r="12" spans="1:18" x14ac:dyDescent="0.4">
      <c r="A12" s="20" t="s">
        <v>185</v>
      </c>
      <c r="B12" s="109">
        <f>IF(B9=0,0,C12/B9)</f>
        <v>-1.9750000000000003</v>
      </c>
      <c r="C12" s="110">
        <v>-47.400000000000006</v>
      </c>
      <c r="E12" s="27" t="s">
        <v>71</v>
      </c>
      <c r="F12" s="24" t="s">
        <v>26</v>
      </c>
      <c r="G12" s="12">
        <v>15</v>
      </c>
      <c r="H12" s="88">
        <f>IF(B$20=0,0,G12/B$20)</f>
        <v>8.9820359281437126E-2</v>
      </c>
      <c r="I12" s="58">
        <v>1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-2.0260869565217394</v>
      </c>
      <c r="Q12" s="78">
        <v>23</v>
      </c>
      <c r="R12" s="69">
        <v>-46.600000000000009</v>
      </c>
    </row>
    <row r="13" spans="1:18" x14ac:dyDescent="0.4">
      <c r="A13" s="20" t="s">
        <v>186</v>
      </c>
      <c r="B13" s="109">
        <f>IF(B10=0,0,C13/B10)</f>
        <v>-49.92799999999999</v>
      </c>
      <c r="C13" s="110">
        <v>-1248.1999999999998</v>
      </c>
      <c r="E13" s="27" t="s">
        <v>86</v>
      </c>
      <c r="F13" s="24" t="s">
        <v>41</v>
      </c>
      <c r="G13" s="12">
        <v>13</v>
      </c>
      <c r="H13" s="88">
        <f>IF(B$20=0,0,G13/B$20)</f>
        <v>7.7844311377245512E-2</v>
      </c>
      <c r="I13" s="58">
        <v>2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-2.1926666666666654</v>
      </c>
      <c r="C14" s="126"/>
      <c r="E14" s="27" t="s">
        <v>155</v>
      </c>
      <c r="F14" s="24" t="s">
        <v>156</v>
      </c>
      <c r="G14" s="12">
        <v>6</v>
      </c>
      <c r="H14" s="88">
        <f>IF(B$20=0,0,G14/B$20)</f>
        <v>3.5928143712574849E-2</v>
      </c>
      <c r="I14" s="58">
        <v>1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13</v>
      </c>
      <c r="C15" s="9">
        <f t="shared" si="1"/>
        <v>0.16883116883116883</v>
      </c>
      <c r="E15" s="27" t="s">
        <v>78</v>
      </c>
      <c r="F15" s="24" t="s">
        <v>33</v>
      </c>
      <c r="G15" s="12">
        <v>4</v>
      </c>
      <c r="H15" s="88">
        <f>IF(B$20=0,0,G15/B$20)</f>
        <v>2.3952095808383235E-2</v>
      </c>
      <c r="I15" s="58">
        <v>5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184</v>
      </c>
      <c r="C16" s="10">
        <f>IF(B$3=0,0,B16/B$3)</f>
        <v>0.31239388794567063</v>
      </c>
      <c r="E16" s="27" t="s">
        <v>83</v>
      </c>
      <c r="F16" s="24" t="s">
        <v>38</v>
      </c>
      <c r="G16" s="12">
        <v>4</v>
      </c>
      <c r="H16" s="88">
        <f>IF(B$20=0,0,G16/B$20)</f>
        <v>2.3952095808383235E-2</v>
      </c>
      <c r="I16" s="58">
        <v>5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9.5880952380952422</v>
      </c>
      <c r="Q16" s="77">
        <v>42</v>
      </c>
      <c r="R16" s="68">
        <v>402.70000000000016</v>
      </c>
    </row>
    <row r="17" spans="1:18" x14ac:dyDescent="0.4">
      <c r="A17" s="19" t="s">
        <v>118</v>
      </c>
      <c r="B17" s="12">
        <v>118</v>
      </c>
      <c r="C17" s="6">
        <f>IF(B$3=0,0,B17/B$3)</f>
        <v>0.20033955857385399</v>
      </c>
      <c r="E17" s="27" t="s">
        <v>81</v>
      </c>
      <c r="F17" s="24" t="s">
        <v>36</v>
      </c>
      <c r="G17" s="12">
        <v>3</v>
      </c>
      <c r="H17" s="88">
        <f>IF(B$20=0,0,G17/B$20)</f>
        <v>1.7964071856287425E-2</v>
      </c>
      <c r="I17" s="58">
        <v>6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95</v>
      </c>
      <c r="C18" s="5">
        <f>IF(B$16=0,0,B18/B$16)</f>
        <v>0.51630434782608692</v>
      </c>
      <c r="E18" s="27" t="s">
        <v>91</v>
      </c>
      <c r="F18" s="24" t="s">
        <v>46</v>
      </c>
      <c r="G18" s="12">
        <v>3</v>
      </c>
      <c r="H18" s="88">
        <f>IF(B$20=0,0,G18/B$20)</f>
        <v>1.7964071856287425E-2</v>
      </c>
      <c r="I18" s="58">
        <v>4</v>
      </c>
      <c r="K18" s="74">
        <v>16</v>
      </c>
      <c r="L18" s="119">
        <v>225.2</v>
      </c>
      <c r="M18" s="117">
        <v>1648.287342779066</v>
      </c>
      <c r="O18" s="74" t="s">
        <v>198</v>
      </c>
      <c r="P18" s="83">
        <f>IF(Q18=0,0,R18/Q18)</f>
        <v>-2.4384615384615391</v>
      </c>
      <c r="Q18" s="77">
        <v>26</v>
      </c>
      <c r="R18" s="68">
        <v>-63.400000000000013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0.3728813559322034</v>
      </c>
      <c r="E19" s="27" t="s">
        <v>73</v>
      </c>
      <c r="F19" s="24" t="s">
        <v>28</v>
      </c>
      <c r="G19" s="12">
        <v>2</v>
      </c>
      <c r="H19" s="88">
        <f>IF(B$20=0,0,G19/B$20)</f>
        <v>1.1976047904191617E-2</v>
      </c>
      <c r="I19" s="58">
        <v>2</v>
      </c>
      <c r="K19" s="74">
        <v>17</v>
      </c>
      <c r="L19" s="119">
        <v>224</v>
      </c>
      <c r="M19" s="117">
        <v>1647.7576187223915</v>
      </c>
      <c r="O19" s="74" t="s">
        <v>126</v>
      </c>
      <c r="P19" s="83">
        <f>IF(Q19=0,0,R19/Q19)</f>
        <v>-9.2852941176470569</v>
      </c>
      <c r="Q19" s="77">
        <v>68</v>
      </c>
      <c r="R19" s="68">
        <v>-631.39999999999986</v>
      </c>
    </row>
    <row r="20" spans="1:18" x14ac:dyDescent="0.4">
      <c r="A20" s="18" t="s">
        <v>10</v>
      </c>
      <c r="B20" s="11">
        <f>B23+B22</f>
        <v>167</v>
      </c>
      <c r="C20" s="5">
        <f>IF(B$3=0,0,B20/B$3)</f>
        <v>0.28353140916808151</v>
      </c>
      <c r="E20" s="27" t="s">
        <v>75</v>
      </c>
      <c r="F20" s="24" t="s">
        <v>30</v>
      </c>
      <c r="G20" s="12">
        <v>1</v>
      </c>
      <c r="H20" s="88">
        <f>IF(B$20=0,0,G20/B$20)</f>
        <v>5.9880239520958087E-3</v>
      </c>
      <c r="I20" s="58">
        <v>1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103</v>
      </c>
      <c r="C21" s="6">
        <f>IF(B$3=0,0,B21/B$3)</f>
        <v>0.17487266553480477</v>
      </c>
      <c r="E21" s="27" t="s">
        <v>92</v>
      </c>
      <c r="F21" s="24" t="s">
        <v>47</v>
      </c>
      <c r="G21" s="12">
        <v>1</v>
      </c>
      <c r="H21" s="88">
        <f>IF(B$20=0,0,G21/B$20)</f>
        <v>5.9880239520958087E-3</v>
      </c>
      <c r="I21" s="58">
        <v>3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79</v>
      </c>
      <c r="C22" s="6">
        <f>IF(B$20=0,0,B22/B$20)</f>
        <v>0.47305389221556887</v>
      </c>
      <c r="E22" s="27" t="s">
        <v>93</v>
      </c>
      <c r="F22" s="24" t="s">
        <v>48</v>
      </c>
      <c r="G22" s="12">
        <v>1</v>
      </c>
      <c r="H22" s="88">
        <f>IF(B$20=0,0,G22/B$20)</f>
        <v>5.9880239520958087E-3</v>
      </c>
      <c r="I22" s="58">
        <v>4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88</v>
      </c>
      <c r="C23" s="6">
        <f>IF(B$20=0,0,B23/B$20)</f>
        <v>0.52694610778443118</v>
      </c>
      <c r="E23" s="27" t="s">
        <v>94</v>
      </c>
      <c r="F23" s="24" t="s">
        <v>49</v>
      </c>
      <c r="G23" s="12">
        <v>1</v>
      </c>
      <c r="H23" s="88">
        <f>IF(B$20=0,0,G23/B$20)</f>
        <v>5.9880239520958087E-3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95</v>
      </c>
      <c r="C24" s="6">
        <f>IF(B$20=0,0,B24/B$20)</f>
        <v>0.56886227544910184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44</v>
      </c>
      <c r="C25" s="6">
        <f>IF(B$20=0,0,B25/B$20)</f>
        <v>0.26347305389221559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28</v>
      </c>
      <c r="C26" s="6">
        <f>IF(B$20=0,0,B26/B$20)</f>
        <v>0.16766467065868262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9648.5029940119766</v>
      </c>
      <c r="C27" s="8">
        <v>1611300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10453.658536585366</v>
      </c>
      <c r="C28" s="96">
        <v>1285800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7397.727272727273</v>
      </c>
      <c r="C29" s="96">
        <v>325500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-7756.3106796116508</v>
      </c>
      <c r="C30" s="96">
        <v>-798900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10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129.09999999999997</v>
      </c>
      <c r="M34" s="117">
        <v>1626.0475685220936</v>
      </c>
    </row>
    <row r="35" spans="1:13" x14ac:dyDescent="0.4">
      <c r="A35" s="21" t="s">
        <v>137</v>
      </c>
      <c r="B35" s="29">
        <v>2</v>
      </c>
      <c r="C35" s="9">
        <f>IF(B$3=0,0,B35/B$3)</f>
        <v>3.3955857385398981E-3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172.69999999999996</v>
      </c>
      <c r="M35" s="117">
        <v>1633.325283110961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171.69999999999996</v>
      </c>
      <c r="M36" s="117">
        <v>1632.5313314122952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4.790419161676647E-2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208.79999999999995</v>
      </c>
      <c r="M37" s="117">
        <v>1639.0621434238215</v>
      </c>
    </row>
    <row r="38" spans="1:13" x14ac:dyDescent="0.4">
      <c r="A38" s="19" t="s">
        <v>167</v>
      </c>
      <c r="B38" s="12">
        <v>15</v>
      </c>
      <c r="C38" s="6">
        <f t="shared" si="2"/>
        <v>8.9820359281437126E-2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259.89999999999998</v>
      </c>
      <c r="M38" s="117">
        <v>1648.3617705632785</v>
      </c>
    </row>
    <row r="39" spans="1:13" x14ac:dyDescent="0.4">
      <c r="A39" s="19" t="s">
        <v>168</v>
      </c>
      <c r="B39" s="124">
        <v>25</v>
      </c>
      <c r="C39" s="6">
        <f t="shared" si="2"/>
        <v>0.1497005988023952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197.7</v>
      </c>
      <c r="M39" s="117">
        <v>1636.4855999398987</v>
      </c>
    </row>
    <row r="40" spans="1:13" x14ac:dyDescent="0.4">
      <c r="A40" s="19" t="s">
        <v>169</v>
      </c>
      <c r="B40" s="124">
        <v>48</v>
      </c>
      <c r="C40" s="6">
        <f t="shared" si="2"/>
        <v>0.28742514970059879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150.89999999999998</v>
      </c>
      <c r="M40" s="117">
        <v>1627.8906863402594</v>
      </c>
    </row>
    <row r="41" spans="1:13" x14ac:dyDescent="0.4">
      <c r="A41" s="19" t="s">
        <v>170</v>
      </c>
      <c r="B41" s="124">
        <v>29</v>
      </c>
      <c r="C41" s="6">
        <f t="shared" si="2"/>
        <v>0.17365269461077845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144.69999999999999</v>
      </c>
      <c r="M41" s="117">
        <v>1626.6553422222178</v>
      </c>
    </row>
    <row r="42" spans="1:13" x14ac:dyDescent="0.4">
      <c r="A42" s="19" t="s">
        <v>172</v>
      </c>
      <c r="B42" s="124">
        <v>17</v>
      </c>
      <c r="C42" s="6">
        <f t="shared" si="2"/>
        <v>0.10179640718562874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232.7</v>
      </c>
      <c r="M42" s="117">
        <v>1642.3834101688844</v>
      </c>
    </row>
    <row r="43" spans="1:13" x14ac:dyDescent="0.4">
      <c r="A43" s="19" t="s">
        <v>173</v>
      </c>
      <c r="B43" s="124">
        <v>9</v>
      </c>
      <c r="C43" s="6">
        <f t="shared" si="2"/>
        <v>5.3892215568862277E-2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263.3</v>
      </c>
      <c r="M43" s="117">
        <v>1647.6851097078711</v>
      </c>
    </row>
    <row r="44" spans="1:13" x14ac:dyDescent="0.4">
      <c r="A44" s="19" t="s">
        <v>174</v>
      </c>
      <c r="B44" s="124">
        <v>9</v>
      </c>
      <c r="C44" s="6">
        <f t="shared" si="2"/>
        <v>5.3892215568862277E-2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253.10000000000002</v>
      </c>
      <c r="M44" s="117">
        <v>1645.6109990496238</v>
      </c>
    </row>
    <row r="45" spans="1:13" x14ac:dyDescent="0.4">
      <c r="A45" s="19" t="s">
        <v>175</v>
      </c>
      <c r="B45" s="124">
        <v>1</v>
      </c>
      <c r="C45" s="6">
        <f t="shared" si="2"/>
        <v>5.9880239520958087E-3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281.90000000000003</v>
      </c>
      <c r="M45" s="117">
        <v>1650.5693330553261</v>
      </c>
    </row>
    <row r="46" spans="1:13" x14ac:dyDescent="0.4">
      <c r="A46" s="19" t="s">
        <v>176</v>
      </c>
      <c r="B46" s="124">
        <v>1</v>
      </c>
      <c r="C46" s="6">
        <f t="shared" si="2"/>
        <v>5.9880239520958087E-3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275.70000000000005</v>
      </c>
      <c r="M46" s="117">
        <v>1649.1979170569941</v>
      </c>
    </row>
    <row r="47" spans="1:13" x14ac:dyDescent="0.4">
      <c r="A47" s="19" t="s">
        <v>177</v>
      </c>
      <c r="B47" s="124">
        <v>1</v>
      </c>
      <c r="C47" s="6">
        <f t="shared" si="2"/>
        <v>5.9880239520958087E-3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224.80000000000004</v>
      </c>
      <c r="M47" s="117">
        <v>1639.7887295546523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260.00000000000006</v>
      </c>
      <c r="M48" s="117">
        <v>1645.9339971773243</v>
      </c>
    </row>
    <row r="49" spans="1:13" x14ac:dyDescent="0.4">
      <c r="A49" s="21" t="s">
        <v>179</v>
      </c>
      <c r="B49" s="97">
        <v>4</v>
      </c>
      <c r="C49" s="9">
        <f t="shared" si="2"/>
        <v>2.3952095808383235E-2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233.20000000000005</v>
      </c>
      <c r="M49" s="117">
        <v>1640.8823931942604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174.40000000000003</v>
      </c>
      <c r="M50" s="117">
        <v>1630.1010988350949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116.60000000000004</v>
      </c>
      <c r="M51" s="117">
        <v>1619.5644922420843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55.900000000000034</v>
      </c>
      <c r="M52" s="117">
        <v>1608.5691052886318</v>
      </c>
    </row>
    <row r="53" spans="1:13" x14ac:dyDescent="0.4">
      <c r="K53" s="74">
        <v>51</v>
      </c>
      <c r="L53" s="119">
        <v>55.900000000000034</v>
      </c>
      <c r="M53" s="117">
        <v>1608.5656906569</v>
      </c>
    </row>
    <row r="54" spans="1:13" x14ac:dyDescent="0.4">
      <c r="K54" s="74">
        <v>52</v>
      </c>
      <c r="L54" s="119">
        <v>101.10000000000004</v>
      </c>
      <c r="M54" s="117">
        <v>1616.2182965129587</v>
      </c>
    </row>
    <row r="55" spans="1:13" x14ac:dyDescent="0.4">
      <c r="K55" s="74">
        <v>53</v>
      </c>
      <c r="L55" s="119">
        <v>145.80000000000004</v>
      </c>
      <c r="M55" s="117">
        <v>1623.7289867338809</v>
      </c>
    </row>
    <row r="56" spans="1:13" x14ac:dyDescent="0.4">
      <c r="K56" s="74">
        <v>54</v>
      </c>
      <c r="L56" s="119">
        <v>193.00000000000006</v>
      </c>
      <c r="M56" s="117">
        <v>1632.4186128134777</v>
      </c>
    </row>
    <row r="57" spans="1:13" x14ac:dyDescent="0.4">
      <c r="K57" s="74">
        <v>55</v>
      </c>
      <c r="L57" s="119">
        <v>133.60000000000005</v>
      </c>
      <c r="M57" s="117">
        <v>1621.1181011365968</v>
      </c>
    </row>
    <row r="58" spans="1:13" x14ac:dyDescent="0.4">
      <c r="K58" s="74">
        <v>56</v>
      </c>
      <c r="L58" s="119">
        <v>133.60000000000005</v>
      </c>
      <c r="M58" s="117">
        <v>1621.0213925297771</v>
      </c>
    </row>
    <row r="59" spans="1:13" x14ac:dyDescent="0.4">
      <c r="K59" s="74">
        <v>57</v>
      </c>
      <c r="L59" s="119">
        <v>132.90000000000006</v>
      </c>
      <c r="M59" s="117">
        <v>1620.3372641745984</v>
      </c>
    </row>
    <row r="60" spans="1:13" x14ac:dyDescent="0.4">
      <c r="K60" s="74">
        <v>58</v>
      </c>
      <c r="L60" s="119">
        <v>99.000000000000057</v>
      </c>
      <c r="M60" s="117">
        <v>1614.1552405895509</v>
      </c>
    </row>
    <row r="61" spans="1:13" x14ac:dyDescent="0.4">
      <c r="K61" s="74">
        <v>59</v>
      </c>
      <c r="L61" s="119">
        <v>157.90000000000006</v>
      </c>
      <c r="M61" s="117">
        <v>1624.1863091460136</v>
      </c>
    </row>
    <row r="62" spans="1:13" x14ac:dyDescent="0.4">
      <c r="K62" s="74">
        <v>60</v>
      </c>
      <c r="L62" s="119">
        <v>166.60000000000005</v>
      </c>
      <c r="M62" s="117">
        <v>1625.9851912911377</v>
      </c>
    </row>
    <row r="63" spans="1:13" x14ac:dyDescent="0.4">
      <c r="K63" s="74">
        <v>61</v>
      </c>
      <c r="L63" s="119">
        <v>237.70000000000005</v>
      </c>
      <c r="M63" s="117">
        <v>1639.0052801433908</v>
      </c>
    </row>
    <row r="64" spans="1:13" x14ac:dyDescent="0.4">
      <c r="K64" s="74">
        <v>62</v>
      </c>
      <c r="L64" s="119">
        <v>266.00000000000006</v>
      </c>
      <c r="M64" s="117">
        <v>1644.2432484625303</v>
      </c>
    </row>
    <row r="65" spans="11:13" x14ac:dyDescent="0.4">
      <c r="K65" s="74">
        <v>63</v>
      </c>
      <c r="L65" s="119">
        <v>270.70000000000005</v>
      </c>
      <c r="M65" s="117">
        <v>1645.2017889717551</v>
      </c>
    </row>
    <row r="66" spans="11:13" x14ac:dyDescent="0.4">
      <c r="K66" s="74">
        <v>64</v>
      </c>
      <c r="L66" s="119">
        <v>212.80000000000004</v>
      </c>
      <c r="M66" s="117">
        <v>1634.8865782379246</v>
      </c>
    </row>
    <row r="67" spans="11:13" x14ac:dyDescent="0.4">
      <c r="K67" s="74">
        <v>65</v>
      </c>
      <c r="L67" s="119">
        <v>205.40000000000003</v>
      </c>
      <c r="M67" s="117">
        <v>1633.7232587684971</v>
      </c>
    </row>
    <row r="68" spans="11:13" x14ac:dyDescent="0.4">
      <c r="K68" s="74">
        <v>66</v>
      </c>
      <c r="L68" s="119">
        <v>147.20000000000005</v>
      </c>
      <c r="M68" s="117">
        <v>1623.4229192158862</v>
      </c>
    </row>
    <row r="69" spans="11:13" x14ac:dyDescent="0.4">
      <c r="K69" s="74">
        <v>67</v>
      </c>
      <c r="L69" s="119">
        <v>127.90000000000005</v>
      </c>
      <c r="M69" s="117">
        <v>1620.1863817005908</v>
      </c>
    </row>
    <row r="70" spans="11:13" x14ac:dyDescent="0.4">
      <c r="K70" s="74">
        <v>68</v>
      </c>
      <c r="L70" s="119">
        <v>94.600000000000051</v>
      </c>
      <c r="M70" s="117">
        <v>1614.4492634103872</v>
      </c>
    </row>
    <row r="71" spans="11:13" x14ac:dyDescent="0.4">
      <c r="K71" s="74">
        <v>69</v>
      </c>
      <c r="L71" s="119">
        <v>98.900000000000048</v>
      </c>
      <c r="M71" s="117">
        <v>1615.5145678299248</v>
      </c>
    </row>
    <row r="72" spans="11:13" x14ac:dyDescent="0.4">
      <c r="K72" s="74">
        <v>70</v>
      </c>
      <c r="L72" s="119">
        <v>70.000000000000057</v>
      </c>
      <c r="M72" s="117">
        <v>1610.5974804229452</v>
      </c>
    </row>
    <row r="73" spans="11:13" x14ac:dyDescent="0.4">
      <c r="K73" s="74">
        <v>71</v>
      </c>
      <c r="L73" s="119">
        <v>13.900000000000055</v>
      </c>
      <c r="M73" s="117">
        <v>1600.8138955404074</v>
      </c>
    </row>
    <row r="74" spans="11:13" x14ac:dyDescent="0.4">
      <c r="K74" s="74">
        <v>72</v>
      </c>
      <c r="L74" s="119">
        <v>44.70000000000006</v>
      </c>
      <c r="M74" s="117">
        <v>1606.7310121671651</v>
      </c>
    </row>
    <row r="75" spans="11:13" x14ac:dyDescent="0.4">
      <c r="K75" s="74">
        <v>73</v>
      </c>
      <c r="L75" s="119">
        <v>86.20000000000006</v>
      </c>
      <c r="M75" s="117">
        <v>1614.5386260941621</v>
      </c>
    </row>
    <row r="76" spans="11:13" x14ac:dyDescent="0.4">
      <c r="K76" s="74">
        <v>74</v>
      </c>
      <c r="L76" s="119">
        <v>27.300000000000061</v>
      </c>
      <c r="M76" s="117">
        <v>1604.2273943375972</v>
      </c>
    </row>
    <row r="77" spans="11:13" x14ac:dyDescent="0.4">
      <c r="K77" s="74">
        <v>75</v>
      </c>
      <c r="L77" s="119">
        <v>-14.599999999999937</v>
      </c>
      <c r="M77" s="117">
        <v>1597.0380299715716</v>
      </c>
    </row>
    <row r="78" spans="11:13" x14ac:dyDescent="0.4">
      <c r="K78" s="74">
        <v>76</v>
      </c>
      <c r="L78" s="119">
        <v>44.500000000000064</v>
      </c>
      <c r="M78" s="117">
        <v>1608.0718017917422</v>
      </c>
    </row>
    <row r="79" spans="11:13" x14ac:dyDescent="0.4">
      <c r="K79" s="74">
        <v>77</v>
      </c>
      <c r="L79" s="119">
        <v>-26.499999999999936</v>
      </c>
      <c r="M79" s="117">
        <v>1595.6213709809917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6B05-C49C-43F1-ADD6-E0F1F997AE64}">
  <sheetPr codeName="Sheet9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91</v>
      </c>
      <c r="C2" s="134"/>
      <c r="E2" s="26" t="s">
        <v>66</v>
      </c>
      <c r="F2" s="23" t="s">
        <v>22</v>
      </c>
      <c r="G2" s="11">
        <v>190</v>
      </c>
      <c r="H2" s="87">
        <f>IF(B$20=0,0,G2/B$20)</f>
        <v>0.7421875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1569.6629213483145</v>
      </c>
      <c r="Q2" s="76">
        <v>89</v>
      </c>
      <c r="R2" s="63">
        <v>139700</v>
      </c>
    </row>
    <row r="3" spans="1:18" x14ac:dyDescent="0.4">
      <c r="A3" s="19" t="s">
        <v>8</v>
      </c>
      <c r="B3" s="135">
        <v>719</v>
      </c>
      <c r="C3" s="136"/>
      <c r="E3" s="27" t="s">
        <v>64</v>
      </c>
      <c r="F3" s="24" t="s">
        <v>20</v>
      </c>
      <c r="G3" s="12">
        <v>140</v>
      </c>
      <c r="H3" s="88">
        <f>IF(B$20=0,0,G3/B$20)</f>
        <v>0.546875</v>
      </c>
      <c r="I3" s="58">
        <v>3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2384.705882352941</v>
      </c>
      <c r="Q3" s="77">
        <v>85</v>
      </c>
      <c r="R3" s="64">
        <v>202700</v>
      </c>
    </row>
    <row r="4" spans="1:18" x14ac:dyDescent="0.4">
      <c r="A4" s="19" t="s">
        <v>6</v>
      </c>
      <c r="B4" s="137">
        <v>989.49999999999989</v>
      </c>
      <c r="C4" s="138"/>
      <c r="E4" s="27" t="s">
        <v>159</v>
      </c>
      <c r="F4" s="24" t="s">
        <v>160</v>
      </c>
      <c r="G4" s="12">
        <v>111</v>
      </c>
      <c r="H4" s="88">
        <f>IF(B$20=0,0,G4/B$20)</f>
        <v>0.43359375</v>
      </c>
      <c r="I4" s="58">
        <v>3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2234.1463414634145</v>
      </c>
      <c r="Q4" s="77">
        <v>82</v>
      </c>
      <c r="R4" s="64">
        <v>183200</v>
      </c>
    </row>
    <row r="5" spans="1:18" x14ac:dyDescent="0.4">
      <c r="A5" s="19" t="s">
        <v>7</v>
      </c>
      <c r="B5" s="125">
        <f>IF(B$2=0,0,B$4/B$2)</f>
        <v>10.873626373626372</v>
      </c>
      <c r="C5" s="126"/>
      <c r="E5" s="27" t="s">
        <v>72</v>
      </c>
      <c r="F5" s="24" t="s">
        <v>27</v>
      </c>
      <c r="G5" s="12">
        <v>99</v>
      </c>
      <c r="H5" s="88">
        <f>IF(B$20=0,0,G5/B$20)</f>
        <v>0.38671875</v>
      </c>
      <c r="I5" s="58">
        <v>7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1058.6666666666667</v>
      </c>
      <c r="Q5" s="77">
        <v>75</v>
      </c>
      <c r="R5" s="64">
        <v>79400</v>
      </c>
    </row>
    <row r="6" spans="1:18" x14ac:dyDescent="0.4">
      <c r="A6" s="19" t="s">
        <v>195</v>
      </c>
      <c r="B6" s="129">
        <v>1846.5755924228188</v>
      </c>
      <c r="C6" s="130"/>
      <c r="E6" s="27" t="s">
        <v>68</v>
      </c>
      <c r="F6" s="24" t="s">
        <v>12</v>
      </c>
      <c r="G6" s="12">
        <v>87</v>
      </c>
      <c r="H6" s="88">
        <f>IF(B$20=0,0,G6/B$20)</f>
        <v>0.33984375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152.94117647058823</v>
      </c>
      <c r="Q6" s="77">
        <v>68</v>
      </c>
      <c r="R6" s="64">
        <v>10400</v>
      </c>
    </row>
    <row r="7" spans="1:18" x14ac:dyDescent="0.4">
      <c r="A7" s="19" t="s">
        <v>1</v>
      </c>
      <c r="B7" s="139">
        <f>IF(B$2=0,0,(B$8*1+B$9*2+B$10*3)/B$2)</f>
        <v>1.7802197802197801</v>
      </c>
      <c r="C7" s="140"/>
      <c r="E7" s="27" t="s">
        <v>67</v>
      </c>
      <c r="F7" s="24" t="s">
        <v>23</v>
      </c>
      <c r="G7" s="12">
        <v>72</v>
      </c>
      <c r="H7" s="88">
        <f>IF(B$20=0,0,G7/B$20)</f>
        <v>0.28125</v>
      </c>
      <c r="I7" s="58">
        <v>3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1086.4406779661017</v>
      </c>
      <c r="Q7" s="78">
        <v>59</v>
      </c>
      <c r="R7" s="65">
        <v>64100</v>
      </c>
    </row>
    <row r="8" spans="1:18" x14ac:dyDescent="0.4">
      <c r="A8" s="19" t="s">
        <v>2</v>
      </c>
      <c r="B8" s="12">
        <v>42</v>
      </c>
      <c r="C8" s="6">
        <f t="shared" ref="C8:C15" si="1">IF(B$2=0,0,B8/B$2)</f>
        <v>0.46153846153846156</v>
      </c>
      <c r="E8" s="27" t="s">
        <v>65</v>
      </c>
      <c r="F8" s="24" t="s">
        <v>21</v>
      </c>
      <c r="G8" s="12">
        <v>40</v>
      </c>
      <c r="H8" s="88">
        <f>IF(B$20=0,0,G8/B$20)</f>
        <v>0.15625</v>
      </c>
      <c r="I8" s="58">
        <v>2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27</v>
      </c>
      <c r="C9" s="6">
        <f t="shared" si="1"/>
        <v>0.2967032967032967</v>
      </c>
      <c r="E9" s="27" t="s">
        <v>69</v>
      </c>
      <c r="F9" s="24" t="s">
        <v>24</v>
      </c>
      <c r="G9" s="12">
        <v>39</v>
      </c>
      <c r="H9" s="88">
        <f>IF(B$20=0,0,G9/B$20)</f>
        <v>0.15234375</v>
      </c>
      <c r="I9" s="58">
        <v>5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22</v>
      </c>
      <c r="C10" s="7">
        <f t="shared" si="1"/>
        <v>0.24175824175824176</v>
      </c>
      <c r="E10" s="27" t="s">
        <v>89</v>
      </c>
      <c r="F10" s="24" t="s">
        <v>44</v>
      </c>
      <c r="G10" s="12">
        <v>35</v>
      </c>
      <c r="H10" s="88">
        <f>IF(B$20=0,0,G10/B$20)</f>
        <v>0.13671875</v>
      </c>
      <c r="I10" s="58">
        <v>2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11.846666666666664</v>
      </c>
      <c r="Q10" s="76">
        <v>30</v>
      </c>
      <c r="R10" s="67">
        <v>355.39999999999992</v>
      </c>
    </row>
    <row r="11" spans="1:18" x14ac:dyDescent="0.4">
      <c r="A11" s="20" t="s">
        <v>184</v>
      </c>
      <c r="B11" s="109">
        <f>IF(B8=0,0,C11/B8)</f>
        <v>46.261904761904759</v>
      </c>
      <c r="C11" s="110">
        <v>1942.9999999999998</v>
      </c>
      <c r="E11" s="27" t="s">
        <v>70</v>
      </c>
      <c r="F11" s="24" t="s">
        <v>25</v>
      </c>
      <c r="G11" s="12">
        <v>27</v>
      </c>
      <c r="H11" s="88">
        <f>IF(B$20=0,0,G11/B$20)</f>
        <v>0.10546875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8.5742857142857147</v>
      </c>
      <c r="Q11" s="77">
        <v>35</v>
      </c>
      <c r="R11" s="68">
        <v>300.10000000000002</v>
      </c>
    </row>
    <row r="12" spans="1:18" x14ac:dyDescent="0.4">
      <c r="A12" s="20" t="s">
        <v>185</v>
      </c>
      <c r="B12" s="109">
        <f>IF(B9=0,0,C12/B9)</f>
        <v>-1.3888888888888895</v>
      </c>
      <c r="C12" s="110">
        <v>-37.500000000000014</v>
      </c>
      <c r="E12" s="27" t="s">
        <v>86</v>
      </c>
      <c r="F12" s="24" t="s">
        <v>41</v>
      </c>
      <c r="G12" s="12">
        <v>20</v>
      </c>
      <c r="H12" s="88">
        <f>IF(B$20=0,0,G12/B$20)</f>
        <v>7.8125E-2</v>
      </c>
      <c r="I12" s="58">
        <v>1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12.846153846153847</v>
      </c>
      <c r="Q12" s="78">
        <v>26</v>
      </c>
      <c r="R12" s="69">
        <v>334</v>
      </c>
    </row>
    <row r="13" spans="1:18" x14ac:dyDescent="0.4">
      <c r="A13" s="20" t="s">
        <v>186</v>
      </c>
      <c r="B13" s="109">
        <f>IF(B10=0,0,C13/B10)</f>
        <v>-41.636363636363633</v>
      </c>
      <c r="C13" s="110">
        <v>-915.99999999999989</v>
      </c>
      <c r="E13" s="27" t="s">
        <v>71</v>
      </c>
      <c r="F13" s="24" t="s">
        <v>26</v>
      </c>
      <c r="G13" s="12">
        <v>15</v>
      </c>
      <c r="H13" s="88">
        <f>IF(B$20=0,0,G13/B$20)</f>
        <v>5.859375E-2</v>
      </c>
      <c r="I13" s="58">
        <v>5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1.0788840788840777</v>
      </c>
      <c r="C14" s="126"/>
      <c r="E14" s="27" t="s">
        <v>78</v>
      </c>
      <c r="F14" s="24" t="s">
        <v>33</v>
      </c>
      <c r="G14" s="12">
        <v>11</v>
      </c>
      <c r="H14" s="88">
        <f>IF(B$20=0,0,G14/B$20)</f>
        <v>4.296875E-2</v>
      </c>
      <c r="I14" s="58">
        <v>1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7.6923076923076927E-2</v>
      </c>
      <c r="E15" s="27" t="s">
        <v>83</v>
      </c>
      <c r="F15" s="24" t="s">
        <v>38</v>
      </c>
      <c r="G15" s="12">
        <v>11</v>
      </c>
      <c r="H15" s="88">
        <f>IF(B$20=0,0,G15/B$20)</f>
        <v>4.296875E-2</v>
      </c>
      <c r="I15" s="58">
        <v>3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256</v>
      </c>
      <c r="C16" s="10">
        <f>IF(B$3=0,0,B16/B$3)</f>
        <v>0.35605006954102919</v>
      </c>
      <c r="E16" s="27" t="s">
        <v>81</v>
      </c>
      <c r="F16" s="24" t="s">
        <v>36</v>
      </c>
      <c r="G16" s="12">
        <v>6</v>
      </c>
      <c r="H16" s="88">
        <f>IF(B$20=0,0,G16/B$20)</f>
        <v>2.34375E-2</v>
      </c>
      <c r="I16" s="58">
        <v>5</v>
      </c>
      <c r="K16" s="74">
        <v>14</v>
      </c>
      <c r="L16" s="119">
        <v>162.4</v>
      </c>
      <c r="M16" s="117">
        <v>1774.6232985371789</v>
      </c>
      <c r="O16" s="74" t="s">
        <v>198</v>
      </c>
      <c r="P16" s="83">
        <f>IF(Q16=0,0,R16/Q16)</f>
        <v>24.71</v>
      </c>
      <c r="Q16" s="77">
        <v>30</v>
      </c>
      <c r="R16" s="68">
        <v>741.30000000000007</v>
      </c>
    </row>
    <row r="17" spans="1:18" x14ac:dyDescent="0.4">
      <c r="A17" s="19" t="s">
        <v>118</v>
      </c>
      <c r="B17" s="12">
        <v>103</v>
      </c>
      <c r="C17" s="6">
        <f>IF(B$3=0,0,B17/B$3)</f>
        <v>0.14325452016689846</v>
      </c>
      <c r="E17" s="27" t="s">
        <v>79</v>
      </c>
      <c r="F17" s="24" t="s">
        <v>34</v>
      </c>
      <c r="G17" s="12">
        <v>4</v>
      </c>
      <c r="H17" s="88">
        <f>IF(B$20=0,0,G17/B$20)</f>
        <v>1.5625E-2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194</v>
      </c>
      <c r="P17" s="83">
        <f>IF(Q17=0,0,R17/Q17)</f>
        <v>19.755999999999997</v>
      </c>
      <c r="Q17" s="77">
        <v>25</v>
      </c>
      <c r="R17" s="68">
        <v>493.89999999999992</v>
      </c>
    </row>
    <row r="18" spans="1:18" x14ac:dyDescent="0.4">
      <c r="A18" s="18" t="s">
        <v>123</v>
      </c>
      <c r="B18" s="11">
        <f>B24</f>
        <v>146</v>
      </c>
      <c r="C18" s="5">
        <f>IF(B$16=0,0,B18/B$16)</f>
        <v>0.5703125</v>
      </c>
      <c r="E18" s="27" t="s">
        <v>92</v>
      </c>
      <c r="F18" s="24" t="s">
        <v>47</v>
      </c>
      <c r="G18" s="12">
        <v>4</v>
      </c>
      <c r="H18" s="88">
        <f>IF(B$20=0,0,G18/B$20)</f>
        <v>1.5625E-2</v>
      </c>
      <c r="I18" s="58">
        <v>1</v>
      </c>
      <c r="K18" s="74">
        <v>16</v>
      </c>
      <c r="L18" s="119">
        <v>207.6</v>
      </c>
      <c r="M18" s="117">
        <v>1780.40537339348</v>
      </c>
      <c r="O18" s="74" t="s">
        <v>192</v>
      </c>
      <c r="P18" s="83">
        <f>IF(Q18=0,0,R18/Q18)</f>
        <v>16.50178571428571</v>
      </c>
      <c r="Q18" s="77">
        <v>56</v>
      </c>
      <c r="R18" s="68">
        <v>924.0999999999998</v>
      </c>
    </row>
    <row r="19" spans="1:18" x14ac:dyDescent="0.4">
      <c r="A19" s="18" t="s">
        <v>124</v>
      </c>
      <c r="B19" s="11">
        <f>B25</f>
        <v>54</v>
      </c>
      <c r="C19" s="5">
        <f>IF(B$17=0,0,B19/B$17)</f>
        <v>0.52427184466019416</v>
      </c>
      <c r="E19" s="27" t="s">
        <v>91</v>
      </c>
      <c r="F19" s="24" t="s">
        <v>46</v>
      </c>
      <c r="G19" s="12">
        <v>3</v>
      </c>
      <c r="H19" s="88">
        <f>IF(B$20=0,0,G19/B$20)</f>
        <v>1.171875E-2</v>
      </c>
      <c r="I19" s="58">
        <v>6</v>
      </c>
      <c r="K19" s="74">
        <v>17</v>
      </c>
      <c r="L19" s="119">
        <v>209.2</v>
      </c>
      <c r="M19" s="117">
        <v>1779.5089411531192</v>
      </c>
      <c r="O19" s="74" t="s">
        <v>163</v>
      </c>
      <c r="P19" s="83">
        <f>IF(Q19=0,0,R19/Q19)</f>
        <v>9.2852941176470551</v>
      </c>
      <c r="Q19" s="77">
        <v>68</v>
      </c>
      <c r="R19" s="68">
        <v>631.39999999999975</v>
      </c>
    </row>
    <row r="20" spans="1:18" x14ac:dyDescent="0.4">
      <c r="A20" s="18" t="s">
        <v>10</v>
      </c>
      <c r="B20" s="11">
        <f>B23+B22</f>
        <v>256</v>
      </c>
      <c r="C20" s="5">
        <f>IF(B$3=0,0,B20/B$3)</f>
        <v>0.35605006954102919</v>
      </c>
      <c r="E20" s="27" t="s">
        <v>87</v>
      </c>
      <c r="F20" s="24" t="s">
        <v>42</v>
      </c>
      <c r="G20" s="12">
        <v>2</v>
      </c>
      <c r="H20" s="88">
        <f>IF(B$20=0,0,G20/B$20)</f>
        <v>7.8125E-3</v>
      </c>
      <c r="I20" s="58">
        <v>2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99</v>
      </c>
      <c r="C21" s="6">
        <f>IF(B$3=0,0,B21/B$3)</f>
        <v>0.13769123783031989</v>
      </c>
      <c r="E21" s="27" t="s">
        <v>88</v>
      </c>
      <c r="F21" s="24" t="s">
        <v>43</v>
      </c>
      <c r="G21" s="12">
        <v>2</v>
      </c>
      <c r="H21" s="88">
        <f>IF(B$20=0,0,G21/B$20)</f>
        <v>7.8125E-3</v>
      </c>
      <c r="I21" s="58">
        <v>1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109</v>
      </c>
      <c r="C22" s="6">
        <f>IF(B$20=0,0,B22/B$20)</f>
        <v>0.42578125</v>
      </c>
      <c r="E22" s="27" t="s">
        <v>93</v>
      </c>
      <c r="F22" s="24" t="s">
        <v>48</v>
      </c>
      <c r="G22" s="12">
        <v>2</v>
      </c>
      <c r="H22" s="88">
        <f>IF(B$20=0,0,G22/B$20)</f>
        <v>7.8125E-3</v>
      </c>
      <c r="I22" s="58">
        <v>3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147</v>
      </c>
      <c r="C23" s="6">
        <f>IF(B$20=0,0,B23/B$20)</f>
        <v>0.57421875</v>
      </c>
      <c r="E23" s="27" t="s">
        <v>155</v>
      </c>
      <c r="F23" s="24" t="s">
        <v>156</v>
      </c>
      <c r="G23" s="12">
        <v>2</v>
      </c>
      <c r="H23" s="88">
        <f>IF(B$20=0,0,G23/B$20)</f>
        <v>7.8125E-3</v>
      </c>
      <c r="I23" s="58">
        <v>5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146</v>
      </c>
      <c r="C24" s="6">
        <f>IF(B$20=0,0,B24/B$20)</f>
        <v>0.5703125</v>
      </c>
      <c r="E24" s="27" t="s">
        <v>73</v>
      </c>
      <c r="F24" s="24" t="s">
        <v>28</v>
      </c>
      <c r="G24" s="12">
        <v>1</v>
      </c>
      <c r="H24" s="88">
        <f>IF(B$20=0,0,G24/B$20)</f>
        <v>3.90625E-3</v>
      </c>
      <c r="I24" s="58">
        <v>4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54</v>
      </c>
      <c r="C25" s="6">
        <f>IF(B$20=0,0,B25/B$20)</f>
        <v>0.2109375</v>
      </c>
      <c r="E25" s="27" t="s">
        <v>85</v>
      </c>
      <c r="F25" s="24" t="s">
        <v>40</v>
      </c>
      <c r="G25" s="12">
        <v>1</v>
      </c>
      <c r="H25" s="88">
        <f>IF(B$20=0,0,G25/B$20)</f>
        <v>3.90625E-3</v>
      </c>
      <c r="I25" s="58">
        <v>1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56</v>
      </c>
      <c r="C26" s="6">
        <f>IF(B$20=0,0,B26/B$20)</f>
        <v>0.21875</v>
      </c>
      <c r="E26" s="27" t="s">
        <v>90</v>
      </c>
      <c r="F26" s="24" t="s">
        <v>45</v>
      </c>
      <c r="G26" s="12">
        <v>1</v>
      </c>
      <c r="H26" s="88">
        <f>IF(B$20=0,0,G26/B$20)</f>
        <v>3.90625E-3</v>
      </c>
      <c r="I26" s="58">
        <v>4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9490.625</v>
      </c>
      <c r="C27" s="8">
        <v>2429600</v>
      </c>
      <c r="E27" s="27" t="s">
        <v>98</v>
      </c>
      <c r="F27" s="24" t="s">
        <v>53</v>
      </c>
      <c r="G27" s="12">
        <v>1</v>
      </c>
      <c r="H27" s="88">
        <f>IF(B$20=0,0,G27/B$20)</f>
        <v>3.90625E-3</v>
      </c>
      <c r="I27" s="58">
        <v>1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9994.5544554455446</v>
      </c>
      <c r="C28" s="96">
        <v>2018900</v>
      </c>
      <c r="E28" s="27" t="s">
        <v>106</v>
      </c>
      <c r="F28" s="24" t="s">
        <v>113</v>
      </c>
      <c r="G28" s="12">
        <v>1</v>
      </c>
      <c r="H28" s="88">
        <f>IF(B$20=0,0,G28/B$20)</f>
        <v>3.90625E-3</v>
      </c>
      <c r="I28" s="58">
        <v>1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7605.5555555555557</v>
      </c>
      <c r="C29" s="96">
        <v>410700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-8949.4949494949487</v>
      </c>
      <c r="C30" s="96">
        <v>-886000</v>
      </c>
      <c r="E30" s="27" t="s">
        <v>75</v>
      </c>
      <c r="F30" s="24" t="s">
        <v>30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7</v>
      </c>
      <c r="E32" s="27" t="s">
        <v>77</v>
      </c>
      <c r="F32" s="24" t="s">
        <v>32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131400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1</v>
      </c>
      <c r="C35" s="9">
        <f>IF(B$3=0,0,B35/B$3)</f>
        <v>1.3908205841446453E-3</v>
      </c>
      <c r="E35" s="27" t="s">
        <v>84</v>
      </c>
      <c r="F35" s="24" t="s">
        <v>39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12</v>
      </c>
      <c r="C37" s="98">
        <f t="shared" ref="C37:C49" si="2">IF(B$20=0,0,B37/B$20)</f>
        <v>4.6875E-2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40</v>
      </c>
      <c r="C38" s="6">
        <f t="shared" si="2"/>
        <v>0.15625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46</v>
      </c>
      <c r="C39" s="6">
        <f t="shared" si="2"/>
        <v>0.1796875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53</v>
      </c>
      <c r="C40" s="6">
        <f t="shared" si="2"/>
        <v>0.20703125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41</v>
      </c>
      <c r="C41" s="6">
        <f t="shared" si="2"/>
        <v>0.16015625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22</v>
      </c>
      <c r="C42" s="6">
        <f t="shared" si="2"/>
        <v>8.59375E-2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17</v>
      </c>
      <c r="C43" s="6">
        <f t="shared" si="2"/>
        <v>6.640625E-2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7</v>
      </c>
      <c r="C44" s="6">
        <f t="shared" si="2"/>
        <v>2.734375E-2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7</v>
      </c>
      <c r="C45" s="6">
        <f t="shared" si="2"/>
        <v>2.734375E-2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1</v>
      </c>
      <c r="C46" s="6">
        <f t="shared" si="2"/>
        <v>3.90625E-3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2</v>
      </c>
      <c r="C47" s="6">
        <f t="shared" si="2"/>
        <v>7.8125E-3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8</v>
      </c>
      <c r="C49" s="9">
        <f t="shared" si="2"/>
        <v>3.125E-2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302.10000000000002</v>
      </c>
      <c r="M51" s="117">
        <v>1763.4196823482855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358.5</v>
      </c>
      <c r="M52" s="117">
        <v>1772.4651642541958</v>
      </c>
    </row>
    <row r="53" spans="1:13" x14ac:dyDescent="0.4">
      <c r="K53" s="74">
        <v>51</v>
      </c>
      <c r="L53" s="119">
        <v>402.7</v>
      </c>
      <c r="M53" s="117">
        <v>1779.2603732686705</v>
      </c>
    </row>
    <row r="54" spans="1:13" x14ac:dyDescent="0.4">
      <c r="K54" s="74">
        <v>52</v>
      </c>
      <c r="L54" s="119">
        <v>411.8</v>
      </c>
      <c r="M54" s="117">
        <v>1779.8708110290584</v>
      </c>
    </row>
    <row r="55" spans="1:13" x14ac:dyDescent="0.4">
      <c r="K55" s="74">
        <v>53</v>
      </c>
      <c r="L55" s="119">
        <v>354.90000000000003</v>
      </c>
      <c r="M55" s="117">
        <v>1768.885586162884</v>
      </c>
    </row>
    <row r="56" spans="1:13" x14ac:dyDescent="0.4">
      <c r="K56" s="74">
        <v>54</v>
      </c>
      <c r="L56" s="119">
        <v>366.90000000000003</v>
      </c>
      <c r="M56" s="117">
        <v>1770.0802726459067</v>
      </c>
    </row>
    <row r="57" spans="1:13" x14ac:dyDescent="0.4">
      <c r="K57" s="74">
        <v>55</v>
      </c>
      <c r="L57" s="119">
        <v>305.60000000000002</v>
      </c>
      <c r="M57" s="117">
        <v>1758.0737910100313</v>
      </c>
    </row>
    <row r="58" spans="1:13" x14ac:dyDescent="0.4">
      <c r="K58" s="74">
        <v>56</v>
      </c>
      <c r="L58" s="119">
        <v>242.10000000000002</v>
      </c>
      <c r="M58" s="117">
        <v>1745.743348263971</v>
      </c>
    </row>
    <row r="59" spans="1:13" x14ac:dyDescent="0.4">
      <c r="K59" s="74">
        <v>57</v>
      </c>
      <c r="L59" s="119">
        <v>211.60000000000002</v>
      </c>
      <c r="M59" s="117">
        <v>1739.4268881743872</v>
      </c>
    </row>
    <row r="60" spans="1:13" x14ac:dyDescent="0.4">
      <c r="K60" s="74">
        <v>58</v>
      </c>
      <c r="L60" s="119">
        <v>267.3</v>
      </c>
      <c r="M60" s="117">
        <v>1748.6643268453408</v>
      </c>
    </row>
    <row r="61" spans="1:13" x14ac:dyDescent="0.4">
      <c r="K61" s="74">
        <v>59</v>
      </c>
      <c r="L61" s="119">
        <v>271.3</v>
      </c>
      <c r="M61" s="117">
        <v>1748.5403408842687</v>
      </c>
    </row>
    <row r="62" spans="1:13" x14ac:dyDescent="0.4">
      <c r="K62" s="74">
        <v>60</v>
      </c>
      <c r="L62" s="119">
        <v>308.10000000000002</v>
      </c>
      <c r="M62" s="117">
        <v>1754.3210988389631</v>
      </c>
    </row>
    <row r="63" spans="1:13" x14ac:dyDescent="0.4">
      <c r="K63" s="74">
        <v>61</v>
      </c>
      <c r="L63" s="119">
        <v>364.1</v>
      </c>
      <c r="M63" s="117">
        <v>1763.5231722459293</v>
      </c>
    </row>
    <row r="64" spans="1:13" x14ac:dyDescent="0.4">
      <c r="K64" s="74">
        <v>62</v>
      </c>
      <c r="L64" s="119">
        <v>363.20000000000005</v>
      </c>
      <c r="M64" s="117">
        <v>1762.4280332124538</v>
      </c>
    </row>
    <row r="65" spans="11:13" x14ac:dyDescent="0.4">
      <c r="K65" s="74">
        <v>63</v>
      </c>
      <c r="L65" s="119">
        <v>392.80000000000007</v>
      </c>
      <c r="M65" s="117">
        <v>1766.8294650131791</v>
      </c>
    </row>
    <row r="66" spans="11:13" x14ac:dyDescent="0.4">
      <c r="K66" s="74">
        <v>64</v>
      </c>
      <c r="L66" s="119">
        <v>385.50000000000006</v>
      </c>
      <c r="M66" s="117">
        <v>1764.5624882231</v>
      </c>
    </row>
    <row r="67" spans="11:13" x14ac:dyDescent="0.4">
      <c r="K67" s="74">
        <v>65</v>
      </c>
      <c r="L67" s="119">
        <v>428.40000000000003</v>
      </c>
      <c r="M67" s="117">
        <v>1771.3451132937614</v>
      </c>
    </row>
    <row r="68" spans="11:13" x14ac:dyDescent="0.4">
      <c r="K68" s="74">
        <v>66</v>
      </c>
      <c r="L68" s="119">
        <v>514</v>
      </c>
      <c r="M68" s="117">
        <v>1785.7730426139988</v>
      </c>
    </row>
    <row r="69" spans="11:13" x14ac:dyDescent="0.4">
      <c r="K69" s="74">
        <v>67</v>
      </c>
      <c r="L69" s="119">
        <v>490.6</v>
      </c>
      <c r="M69" s="117">
        <v>1780.4944043583148</v>
      </c>
    </row>
    <row r="70" spans="11:13" x14ac:dyDescent="0.4">
      <c r="K70" s="74">
        <v>68</v>
      </c>
      <c r="L70" s="119">
        <v>499.5</v>
      </c>
      <c r="M70" s="117">
        <v>1780.9414379321649</v>
      </c>
    </row>
    <row r="71" spans="11:13" x14ac:dyDescent="0.4">
      <c r="K71" s="74">
        <v>69</v>
      </c>
      <c r="L71" s="119">
        <v>560.1</v>
      </c>
      <c r="M71" s="117">
        <v>1790.691789304572</v>
      </c>
    </row>
    <row r="72" spans="11:13" x14ac:dyDescent="0.4">
      <c r="K72" s="74">
        <v>70</v>
      </c>
      <c r="L72" s="119">
        <v>503.3</v>
      </c>
      <c r="M72" s="117">
        <v>1779.6596385687446</v>
      </c>
    </row>
    <row r="73" spans="11:13" x14ac:dyDescent="0.4">
      <c r="K73" s="74">
        <v>71</v>
      </c>
      <c r="L73" s="119">
        <v>561.9</v>
      </c>
      <c r="M73" s="117">
        <v>1789.1596807373321</v>
      </c>
    </row>
    <row r="74" spans="11:13" x14ac:dyDescent="0.4">
      <c r="K74" s="74">
        <v>72</v>
      </c>
      <c r="L74" s="119">
        <v>602.9</v>
      </c>
      <c r="M74" s="117">
        <v>1795.4467226529082</v>
      </c>
    </row>
    <row r="75" spans="11:13" x14ac:dyDescent="0.4">
      <c r="K75" s="74">
        <v>73</v>
      </c>
      <c r="L75" s="119">
        <v>719.3</v>
      </c>
      <c r="M75" s="117">
        <v>1815.1420423169907</v>
      </c>
    </row>
    <row r="76" spans="11:13" x14ac:dyDescent="0.4">
      <c r="K76" s="74">
        <v>74</v>
      </c>
      <c r="L76" s="119">
        <v>763.8</v>
      </c>
      <c r="M76" s="117">
        <v>1822.2391900630887</v>
      </c>
    </row>
    <row r="77" spans="11:13" x14ac:dyDescent="0.4">
      <c r="K77" s="74">
        <v>75</v>
      </c>
      <c r="L77" s="119">
        <v>766.3</v>
      </c>
      <c r="M77" s="117">
        <v>1821.7337549227102</v>
      </c>
    </row>
    <row r="78" spans="11:13" x14ac:dyDescent="0.4">
      <c r="K78" s="74">
        <v>76</v>
      </c>
      <c r="L78" s="119">
        <v>739.8</v>
      </c>
      <c r="M78" s="117">
        <v>1816.0113523931739</v>
      </c>
    </row>
    <row r="79" spans="11:13" x14ac:dyDescent="0.4">
      <c r="K79" s="74">
        <v>77</v>
      </c>
      <c r="L79" s="119">
        <v>683.19999999999993</v>
      </c>
      <c r="M79" s="117">
        <v>1804.9052842788149</v>
      </c>
    </row>
    <row r="80" spans="11:13" x14ac:dyDescent="0.4">
      <c r="K80" s="74">
        <v>78</v>
      </c>
      <c r="L80" s="119">
        <v>684.69999999999993</v>
      </c>
      <c r="M80" s="117">
        <v>1804.3238525731419</v>
      </c>
    </row>
    <row r="81" spans="11:13" x14ac:dyDescent="0.4">
      <c r="K81" s="74">
        <v>79</v>
      </c>
      <c r="L81" s="119">
        <v>651.59999999999991</v>
      </c>
      <c r="M81" s="117">
        <v>1797.5179094577031</v>
      </c>
    </row>
    <row r="82" spans="11:13" x14ac:dyDescent="0.4">
      <c r="K82" s="74">
        <v>80</v>
      </c>
      <c r="L82" s="119">
        <v>699.3</v>
      </c>
      <c r="M82" s="117">
        <v>1805.2968020009569</v>
      </c>
    </row>
    <row r="83" spans="11:13" x14ac:dyDescent="0.4">
      <c r="K83" s="74">
        <v>81</v>
      </c>
      <c r="L83" s="119">
        <v>778.9</v>
      </c>
      <c r="M83" s="117">
        <v>1818.7710211889512</v>
      </c>
    </row>
    <row r="84" spans="11:13" x14ac:dyDescent="0.4">
      <c r="K84" s="74">
        <v>82</v>
      </c>
      <c r="L84" s="119">
        <v>813.8</v>
      </c>
      <c r="M84" s="117">
        <v>1824.1183950618174</v>
      </c>
    </row>
    <row r="85" spans="11:13" x14ac:dyDescent="0.4">
      <c r="K85" s="74">
        <v>83</v>
      </c>
      <c r="L85" s="119">
        <v>839.8</v>
      </c>
      <c r="M85" s="117">
        <v>1827.8316846914465</v>
      </c>
    </row>
    <row r="86" spans="11:13" x14ac:dyDescent="0.4">
      <c r="K86" s="74">
        <v>84</v>
      </c>
      <c r="L86" s="119">
        <v>866.4</v>
      </c>
      <c r="M86" s="117">
        <v>1831.6306945832978</v>
      </c>
    </row>
    <row r="87" spans="11:13" x14ac:dyDescent="0.4">
      <c r="K87" s="74">
        <v>85</v>
      </c>
      <c r="L87" s="119">
        <v>911.4</v>
      </c>
      <c r="M87" s="117">
        <v>1838.7189104157981</v>
      </c>
    </row>
    <row r="88" spans="11:13" x14ac:dyDescent="0.4">
      <c r="K88" s="74">
        <v>86</v>
      </c>
      <c r="L88" s="119">
        <v>910.19999999999993</v>
      </c>
      <c r="M88" s="117">
        <v>1837.4485969533032</v>
      </c>
    </row>
    <row r="89" spans="11:13" x14ac:dyDescent="0.4">
      <c r="K89" s="74">
        <v>87</v>
      </c>
      <c r="L89" s="119">
        <v>863.99999999999989</v>
      </c>
      <c r="M89" s="117">
        <v>1828.0859053715833</v>
      </c>
    </row>
    <row r="90" spans="11:13" x14ac:dyDescent="0.4">
      <c r="K90" s="74">
        <v>88</v>
      </c>
      <c r="L90" s="119">
        <v>911.19999999999993</v>
      </c>
      <c r="M90" s="117">
        <v>1835.5913899393538</v>
      </c>
    </row>
    <row r="91" spans="11:13" x14ac:dyDescent="0.4">
      <c r="K91" s="74">
        <v>89</v>
      </c>
      <c r="L91" s="119">
        <v>920.59999999999991</v>
      </c>
      <c r="M91" s="117">
        <v>1836.2478415997177</v>
      </c>
    </row>
    <row r="92" spans="11:13" x14ac:dyDescent="0.4">
      <c r="K92" s="74">
        <v>90</v>
      </c>
      <c r="L92" s="119">
        <v>921.99999999999989</v>
      </c>
      <c r="M92" s="117">
        <v>1835.4603545501195</v>
      </c>
    </row>
    <row r="93" spans="11:13" x14ac:dyDescent="0.4">
      <c r="K93" s="74">
        <v>91</v>
      </c>
      <c r="L93" s="119">
        <v>989.49999999999989</v>
      </c>
      <c r="M93" s="117">
        <v>1846.5755924228188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DB32-D024-4296-B392-AECC23EC3512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6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7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4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7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2A051-3BD8-4148-90CE-A4BA7AB11D5F}">
  <sheetPr codeName="Sheet13"/>
  <dimension ref="A1:R6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65</v>
      </c>
      <c r="C2" s="134"/>
      <c r="E2" s="26" t="s">
        <v>66</v>
      </c>
      <c r="F2" s="23" t="s">
        <v>22</v>
      </c>
      <c r="G2" s="11">
        <v>117</v>
      </c>
      <c r="H2" s="87">
        <f>IF(B$20=0,0,G2/B$20)</f>
        <v>0.82978723404255317</v>
      </c>
      <c r="I2" s="57">
        <v>2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-1634.9206349206349</v>
      </c>
      <c r="Q2" s="76">
        <v>63</v>
      </c>
      <c r="R2" s="63">
        <v>-103000</v>
      </c>
    </row>
    <row r="3" spans="1:18" x14ac:dyDescent="0.4">
      <c r="A3" s="19" t="s">
        <v>8</v>
      </c>
      <c r="B3" s="135">
        <v>521</v>
      </c>
      <c r="C3" s="136"/>
      <c r="E3" s="27" t="s">
        <v>64</v>
      </c>
      <c r="F3" s="24" t="s">
        <v>20</v>
      </c>
      <c r="G3" s="12">
        <v>67</v>
      </c>
      <c r="H3" s="88">
        <f>IF(B$20=0,0,G3/B$20)</f>
        <v>0.47517730496453903</v>
      </c>
      <c r="I3" s="58">
        <v>6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-1451.6129032258063</v>
      </c>
      <c r="Q3" s="77">
        <v>62</v>
      </c>
      <c r="R3" s="64">
        <v>-90000</v>
      </c>
    </row>
    <row r="4" spans="1:18" x14ac:dyDescent="0.4">
      <c r="A4" s="19" t="s">
        <v>6</v>
      </c>
      <c r="B4" s="137">
        <v>-429.80000000000007</v>
      </c>
      <c r="C4" s="138"/>
      <c r="E4" s="27" t="s">
        <v>72</v>
      </c>
      <c r="F4" s="24" t="s">
        <v>27</v>
      </c>
      <c r="G4" s="12">
        <v>65</v>
      </c>
      <c r="H4" s="88">
        <f>IF(B$20=0,0,G4/B$20)</f>
        <v>0.46099290780141844</v>
      </c>
      <c r="I4" s="58">
        <v>3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-1522.0338983050847</v>
      </c>
      <c r="Q4" s="77">
        <v>59</v>
      </c>
      <c r="R4" s="64">
        <v>-89800</v>
      </c>
    </row>
    <row r="5" spans="1:18" x14ac:dyDescent="0.4">
      <c r="A5" s="19" t="s">
        <v>7</v>
      </c>
      <c r="B5" s="125">
        <f>IF(B$2=0,0,B$4/B$2)</f>
        <v>-6.6123076923076933</v>
      </c>
      <c r="C5" s="126"/>
      <c r="E5" s="27" t="s">
        <v>159</v>
      </c>
      <c r="F5" s="24" t="s">
        <v>160</v>
      </c>
      <c r="G5" s="12">
        <v>63</v>
      </c>
      <c r="H5" s="88">
        <f>IF(B$20=0,0,G5/B$20)</f>
        <v>0.44680851063829785</v>
      </c>
      <c r="I5" s="58">
        <v>2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-692.72727272727275</v>
      </c>
      <c r="Q5" s="77">
        <v>55</v>
      </c>
      <c r="R5" s="64">
        <v>-38100</v>
      </c>
    </row>
    <row r="6" spans="1:18" x14ac:dyDescent="0.4">
      <c r="A6" s="19" t="s">
        <v>195</v>
      </c>
      <c r="B6" s="129">
        <v>1546.9221135131666</v>
      </c>
      <c r="C6" s="130"/>
      <c r="E6" s="27" t="s">
        <v>68</v>
      </c>
      <c r="F6" s="24" t="s">
        <v>12</v>
      </c>
      <c r="G6" s="12">
        <v>48</v>
      </c>
      <c r="H6" s="88">
        <f>IF(B$20=0,0,G6/B$20)</f>
        <v>0.34042553191489361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2053.1914893617022</v>
      </c>
      <c r="Q6" s="77">
        <v>47</v>
      </c>
      <c r="R6" s="64">
        <v>96500</v>
      </c>
    </row>
    <row r="7" spans="1:18" x14ac:dyDescent="0.4">
      <c r="A7" s="19" t="s">
        <v>1</v>
      </c>
      <c r="B7" s="139">
        <f>IF(B$2=0,0,(B$8*1+B$9*2+B$10*3)/B$2)</f>
        <v>2.1230769230769231</v>
      </c>
      <c r="C7" s="140"/>
      <c r="E7" s="27" t="s">
        <v>67</v>
      </c>
      <c r="F7" s="24" t="s">
        <v>23</v>
      </c>
      <c r="G7" s="12">
        <v>31</v>
      </c>
      <c r="H7" s="88">
        <f>IF(B$20=0,0,G7/B$20)</f>
        <v>0.21985815602836881</v>
      </c>
      <c r="I7" s="58">
        <v>6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-970</v>
      </c>
      <c r="Q7" s="78">
        <v>40</v>
      </c>
      <c r="R7" s="65">
        <v>-38800</v>
      </c>
    </row>
    <row r="8" spans="1:18" x14ac:dyDescent="0.4">
      <c r="A8" s="19" t="s">
        <v>2</v>
      </c>
      <c r="B8" s="12">
        <v>14</v>
      </c>
      <c r="C8" s="6">
        <f t="shared" ref="C8:C15" si="1">IF(B$2=0,0,B8/B$2)</f>
        <v>0.2153846153846154</v>
      </c>
      <c r="E8" s="27" t="s">
        <v>70</v>
      </c>
      <c r="F8" s="24" t="s">
        <v>25</v>
      </c>
      <c r="G8" s="12">
        <v>19</v>
      </c>
      <c r="H8" s="88">
        <f>IF(B$20=0,0,G8/B$20)</f>
        <v>0.13475177304964539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1"/>
        <v>0.44615384615384618</v>
      </c>
      <c r="E9" s="27" t="s">
        <v>89</v>
      </c>
      <c r="F9" s="24" t="s">
        <v>44</v>
      </c>
      <c r="G9" s="12">
        <v>19</v>
      </c>
      <c r="H9" s="88">
        <f>IF(B$20=0,0,G9/B$20)</f>
        <v>0.13475177304964539</v>
      </c>
      <c r="I9" s="58">
        <v>3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22</v>
      </c>
      <c r="C10" s="7">
        <f t="shared" si="1"/>
        <v>0.33846153846153848</v>
      </c>
      <c r="E10" s="27" t="s">
        <v>69</v>
      </c>
      <c r="F10" s="24" t="s">
        <v>24</v>
      </c>
      <c r="G10" s="12">
        <v>16</v>
      </c>
      <c r="H10" s="88">
        <f>IF(B$20=0,0,G10/B$20)</f>
        <v>0.11347517730496454</v>
      </c>
      <c r="I10" s="58">
        <v>6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-9.6055555555555543</v>
      </c>
      <c r="Q10" s="76">
        <v>18</v>
      </c>
      <c r="R10" s="67">
        <v>-172.89999999999998</v>
      </c>
    </row>
    <row r="11" spans="1:18" x14ac:dyDescent="0.4">
      <c r="A11" s="20" t="s">
        <v>184</v>
      </c>
      <c r="B11" s="109">
        <f>IF(B8=0,0,C11/B8)</f>
        <v>42.371428571428567</v>
      </c>
      <c r="C11" s="110">
        <v>593.19999999999993</v>
      </c>
      <c r="E11" s="27" t="s">
        <v>65</v>
      </c>
      <c r="F11" s="24" t="s">
        <v>21</v>
      </c>
      <c r="G11" s="12">
        <v>15</v>
      </c>
      <c r="H11" s="88">
        <f>IF(B$20=0,0,G11/B$20)</f>
        <v>0.10638297872340426</v>
      </c>
      <c r="I11" s="58">
        <v>5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-11.322222222222221</v>
      </c>
      <c r="Q11" s="77">
        <v>18</v>
      </c>
      <c r="R11" s="68">
        <v>-203.79999999999998</v>
      </c>
    </row>
    <row r="12" spans="1:18" x14ac:dyDescent="0.4">
      <c r="A12" s="20" t="s">
        <v>185</v>
      </c>
      <c r="B12" s="109">
        <f>IF(B9=0,0,C12/B9)</f>
        <v>-3.0586206896551733</v>
      </c>
      <c r="C12" s="110">
        <v>-88.700000000000031</v>
      </c>
      <c r="E12" s="27" t="s">
        <v>71</v>
      </c>
      <c r="F12" s="24" t="s">
        <v>26</v>
      </c>
      <c r="G12" s="12">
        <v>9</v>
      </c>
      <c r="H12" s="88">
        <f>IF(B$20=0,0,G12/B$20)</f>
        <v>6.3829787234042548E-2</v>
      </c>
      <c r="I12" s="58">
        <v>4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-1.8310344827586209</v>
      </c>
      <c r="Q12" s="78">
        <v>29</v>
      </c>
      <c r="R12" s="69">
        <v>-53.100000000000009</v>
      </c>
    </row>
    <row r="13" spans="1:18" x14ac:dyDescent="0.4">
      <c r="A13" s="20" t="s">
        <v>186</v>
      </c>
      <c r="B13" s="109">
        <f>IF(B10=0,0,C13/B10)</f>
        <v>-42.468181818181819</v>
      </c>
      <c r="C13" s="110">
        <v>-934.30000000000007</v>
      </c>
      <c r="E13" s="27" t="s">
        <v>83</v>
      </c>
      <c r="F13" s="24" t="s">
        <v>38</v>
      </c>
      <c r="G13" s="12">
        <v>8</v>
      </c>
      <c r="H13" s="88">
        <f>IF(B$20=0,0,G13/B$20)</f>
        <v>5.6737588652482268E-2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-1.0517913121361413</v>
      </c>
      <c r="C14" s="126"/>
      <c r="E14" s="27" t="s">
        <v>86</v>
      </c>
      <c r="F14" s="24" t="s">
        <v>41</v>
      </c>
      <c r="G14" s="12">
        <v>8</v>
      </c>
      <c r="H14" s="88">
        <f>IF(B$20=0,0,G14/B$20)</f>
        <v>5.6737588652482268E-2</v>
      </c>
      <c r="I14" s="58">
        <v>6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0.12307692307692308</v>
      </c>
      <c r="E15" s="27" t="s">
        <v>81</v>
      </c>
      <c r="F15" s="24" t="s">
        <v>36</v>
      </c>
      <c r="G15" s="12">
        <v>7</v>
      </c>
      <c r="H15" s="88">
        <f>IF(B$20=0,0,G15/B$20)</f>
        <v>4.9645390070921988E-2</v>
      </c>
      <c r="I15" s="58">
        <v>1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127</v>
      </c>
      <c r="C16" s="10">
        <f>IF(B$3=0,0,B16/B$3)</f>
        <v>0.2437619961612284</v>
      </c>
      <c r="E16" s="27" t="s">
        <v>78</v>
      </c>
      <c r="F16" s="24" t="s">
        <v>33</v>
      </c>
      <c r="G16" s="12">
        <v>5</v>
      </c>
      <c r="H16" s="88">
        <f>IF(B$20=0,0,G16/B$20)</f>
        <v>3.5460992907801421E-2</v>
      </c>
      <c r="I16" s="58">
        <v>2</v>
      </c>
      <c r="K16" s="74">
        <v>14</v>
      </c>
      <c r="L16" s="119">
        <v>-32.700000000000003</v>
      </c>
      <c r="M16" s="117">
        <v>1601.4744777755197</v>
      </c>
      <c r="O16" s="74" t="s">
        <v>198</v>
      </c>
      <c r="P16" s="83">
        <f>IF(Q16=0,0,R16/Q16)</f>
        <v>-2.5045454545454557</v>
      </c>
      <c r="Q16" s="77">
        <v>22</v>
      </c>
      <c r="R16" s="68">
        <v>-55.10000000000003</v>
      </c>
    </row>
    <row r="17" spans="1:18" x14ac:dyDescent="0.4">
      <c r="A17" s="19" t="s">
        <v>118</v>
      </c>
      <c r="B17" s="12">
        <v>96</v>
      </c>
      <c r="C17" s="6">
        <f>IF(B$3=0,0,B17/B$3)</f>
        <v>0.18426103646833014</v>
      </c>
      <c r="E17" s="27" t="s">
        <v>73</v>
      </c>
      <c r="F17" s="24" t="s">
        <v>28</v>
      </c>
      <c r="G17" s="12">
        <v>2</v>
      </c>
      <c r="H17" s="88">
        <f>IF(B$20=0,0,G17/B$20)</f>
        <v>1.4184397163120567E-2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-9.588095238095244</v>
      </c>
      <c r="Q17" s="77">
        <v>42</v>
      </c>
      <c r="R17" s="68">
        <v>-402.70000000000027</v>
      </c>
    </row>
    <row r="18" spans="1:18" x14ac:dyDescent="0.4">
      <c r="A18" s="18" t="s">
        <v>123</v>
      </c>
      <c r="B18" s="11">
        <f>B24</f>
        <v>67</v>
      </c>
      <c r="C18" s="5">
        <f>IF(B$16=0,0,B18/B$16)</f>
        <v>0.52755905511811019</v>
      </c>
      <c r="E18" s="27" t="s">
        <v>74</v>
      </c>
      <c r="F18" s="24" t="s">
        <v>29</v>
      </c>
      <c r="G18" s="12">
        <v>2</v>
      </c>
      <c r="H18" s="88">
        <f>IF(B$20=0,0,G18/B$20)</f>
        <v>1.4184397163120567E-2</v>
      </c>
      <c r="I18" s="58">
        <v>1</v>
      </c>
      <c r="K18" s="74">
        <v>16</v>
      </c>
      <c r="L18" s="119">
        <v>-22.000000000000007</v>
      </c>
      <c r="M18" s="117">
        <v>1603.1325771234135</v>
      </c>
      <c r="O18" s="74" t="s">
        <v>126</v>
      </c>
      <c r="P18" s="83">
        <f>IF(Q18=0,0,R18/Q18)</f>
        <v>-16.501785714285713</v>
      </c>
      <c r="Q18" s="77">
        <v>56</v>
      </c>
      <c r="R18" s="68">
        <v>-924.1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0.35416666666666669</v>
      </c>
      <c r="E19" s="27" t="s">
        <v>79</v>
      </c>
      <c r="F19" s="24" t="s">
        <v>34</v>
      </c>
      <c r="G19" s="12">
        <v>2</v>
      </c>
      <c r="H19" s="88">
        <f>IF(B$20=0,0,G19/B$20)</f>
        <v>1.4184397163120567E-2</v>
      </c>
      <c r="I19" s="58">
        <v>2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0.2706333973128599</v>
      </c>
      <c r="E20" s="27" t="s">
        <v>91</v>
      </c>
      <c r="F20" s="24" t="s">
        <v>46</v>
      </c>
      <c r="G20" s="12">
        <v>2</v>
      </c>
      <c r="H20" s="88">
        <f>IF(B$20=0,0,G20/B$20)</f>
        <v>1.4184397163120567E-2</v>
      </c>
      <c r="I20" s="58">
        <v>5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82</v>
      </c>
      <c r="C21" s="6">
        <f>IF(B$3=0,0,B21/B$3)</f>
        <v>0.15738963531669867</v>
      </c>
      <c r="E21" s="27" t="s">
        <v>90</v>
      </c>
      <c r="F21" s="24" t="s">
        <v>45</v>
      </c>
      <c r="G21" s="12">
        <v>1</v>
      </c>
      <c r="H21" s="88">
        <f>IF(B$20=0,0,G21/B$20)</f>
        <v>7.0921985815602835E-3</v>
      </c>
      <c r="I21" s="58">
        <v>2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61</v>
      </c>
      <c r="C22" s="6">
        <f>IF(B$20=0,0,B22/B$20)</f>
        <v>0.43262411347517732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6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80</v>
      </c>
      <c r="C23" s="6">
        <f>IF(B$20=0,0,B23/B$20)</f>
        <v>0.56737588652482274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67</v>
      </c>
      <c r="C24" s="6">
        <f>IF(B$20=0,0,B24/B$20)</f>
        <v>0.47517730496453903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34</v>
      </c>
      <c r="C25" s="6">
        <f>IF(B$20=0,0,B25/B$20)</f>
        <v>0.24113475177304963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40</v>
      </c>
      <c r="C26" s="6">
        <f>IF(B$20=0,0,B26/B$20)</f>
        <v>0.28368794326241137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8320.567375886525</v>
      </c>
      <c r="C27" s="8">
        <v>1173200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8554.2056074766351</v>
      </c>
      <c r="C28" s="96">
        <v>915300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7585.2941176470586</v>
      </c>
      <c r="C29" s="96">
        <v>257900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-8530.4878048780483</v>
      </c>
      <c r="C30" s="96">
        <v>-699500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9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-312.90000000000003</v>
      </c>
      <c r="M32" s="117">
        <v>1554.5837288485588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-284.60000000000002</v>
      </c>
      <c r="M33" s="117">
        <v>1559.8242264754674</v>
      </c>
    </row>
    <row r="34" spans="1:13" x14ac:dyDescent="0.4">
      <c r="A34" s="22" t="s">
        <v>180</v>
      </c>
      <c r="B34" s="129">
        <v>96200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-296.60000000000002</v>
      </c>
      <c r="M34" s="117">
        <v>1557.7792811166146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-331.20000000000005</v>
      </c>
      <c r="M35" s="117">
        <v>1551.6786054299148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-250.00000000000006</v>
      </c>
      <c r="M36" s="117">
        <v>1566.1765337973352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6.3829787234042548E-2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-295.20000000000005</v>
      </c>
      <c r="M37" s="117">
        <v>1557.8294745945511</v>
      </c>
    </row>
    <row r="38" spans="1:13" x14ac:dyDescent="0.4">
      <c r="A38" s="19" t="s">
        <v>167</v>
      </c>
      <c r="B38" s="12">
        <v>26</v>
      </c>
      <c r="C38" s="6">
        <f t="shared" si="2"/>
        <v>0.18439716312056736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-345.20000000000005</v>
      </c>
      <c r="M38" s="117">
        <v>1548.6684977469838</v>
      </c>
    </row>
    <row r="39" spans="1:13" x14ac:dyDescent="0.4">
      <c r="A39" s="19" t="s">
        <v>168</v>
      </c>
      <c r="B39" s="124">
        <v>29</v>
      </c>
      <c r="C39" s="6">
        <f t="shared" si="2"/>
        <v>0.20567375886524822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-339.40000000000003</v>
      </c>
      <c r="M39" s="117">
        <v>1550.3564867605019</v>
      </c>
    </row>
    <row r="40" spans="1:13" x14ac:dyDescent="0.4">
      <c r="A40" s="19" t="s">
        <v>169</v>
      </c>
      <c r="B40" s="124">
        <v>28</v>
      </c>
      <c r="C40" s="6">
        <f t="shared" si="2"/>
        <v>0.19858156028368795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-346.20000000000005</v>
      </c>
      <c r="M40" s="117">
        <v>1549.0403478399389</v>
      </c>
    </row>
    <row r="41" spans="1:13" x14ac:dyDescent="0.4">
      <c r="A41" s="19" t="s">
        <v>170</v>
      </c>
      <c r="B41" s="124">
        <v>21</v>
      </c>
      <c r="C41" s="6">
        <f t="shared" si="2"/>
        <v>0.14893617021276595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-299.50000000000006</v>
      </c>
      <c r="M41" s="117">
        <v>1557.6801057528994</v>
      </c>
    </row>
    <row r="42" spans="1:13" x14ac:dyDescent="0.4">
      <c r="A42" s="19" t="s">
        <v>172</v>
      </c>
      <c r="B42" s="124">
        <v>10</v>
      </c>
      <c r="C42" s="6">
        <f t="shared" si="2"/>
        <v>7.0921985815602842E-2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-302.20000000000005</v>
      </c>
      <c r="M42" s="117">
        <v>1557.3760251183819</v>
      </c>
    </row>
    <row r="43" spans="1:13" x14ac:dyDescent="0.4">
      <c r="A43" s="19" t="s">
        <v>173</v>
      </c>
      <c r="B43" s="124">
        <v>6</v>
      </c>
      <c r="C43" s="6">
        <f t="shared" si="2"/>
        <v>4.2553191489361701E-2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-312.90000000000003</v>
      </c>
      <c r="M43" s="117">
        <v>1555.2737689676717</v>
      </c>
    </row>
    <row r="44" spans="1:13" x14ac:dyDescent="0.4">
      <c r="A44" s="19" t="s">
        <v>174</v>
      </c>
      <c r="B44" s="124">
        <v>4</v>
      </c>
      <c r="C44" s="6">
        <f t="shared" si="2"/>
        <v>2.8368794326241134E-2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-324.00000000000006</v>
      </c>
      <c r="M44" s="117">
        <v>1553.1061263538656</v>
      </c>
    </row>
    <row r="45" spans="1:13" x14ac:dyDescent="0.4">
      <c r="A45" s="19" t="s">
        <v>175</v>
      </c>
      <c r="B45" s="124">
        <v>6</v>
      </c>
      <c r="C45" s="6">
        <f t="shared" si="2"/>
        <v>4.2553191489361701E-2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-314.40000000000003</v>
      </c>
      <c r="M45" s="117">
        <v>1555.4514895957425</v>
      </c>
    </row>
    <row r="46" spans="1:13" x14ac:dyDescent="0.4">
      <c r="A46" s="19" t="s">
        <v>176</v>
      </c>
      <c r="B46" s="124">
        <v>1</v>
      </c>
      <c r="C46" s="6">
        <f t="shared" si="2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-300.3</v>
      </c>
      <c r="M46" s="117">
        <v>1557.8427806581681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-324.7</v>
      </c>
      <c r="M47" s="117">
        <v>1553.271723974219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-340.5</v>
      </c>
      <c r="M48" s="117">
        <v>1550.6240936303736</v>
      </c>
    </row>
    <row r="49" spans="1:13" x14ac:dyDescent="0.4">
      <c r="A49" s="21" t="s">
        <v>179</v>
      </c>
      <c r="B49" s="97">
        <v>1</v>
      </c>
      <c r="C49" s="9">
        <f t="shared" si="2"/>
        <v>7.0921985815602835E-3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-344</v>
      </c>
      <c r="M49" s="117">
        <v>1549.8043490685914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-397.2</v>
      </c>
      <c r="M50" s="117">
        <v>1540.9075229741798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-470.79999999999995</v>
      </c>
      <c r="M51" s="117">
        <v>1528.3920778363347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-472.59999999999997</v>
      </c>
      <c r="M52" s="117">
        <v>1528.8757253693168</v>
      </c>
    </row>
    <row r="53" spans="1:13" x14ac:dyDescent="0.4">
      <c r="K53" s="74">
        <v>51</v>
      </c>
      <c r="L53" s="119">
        <v>-420.7</v>
      </c>
      <c r="M53" s="117">
        <v>1539.022471017101</v>
      </c>
    </row>
    <row r="54" spans="1:13" x14ac:dyDescent="0.4">
      <c r="K54" s="74">
        <v>52</v>
      </c>
      <c r="L54" s="119">
        <v>-364.3</v>
      </c>
      <c r="M54" s="117">
        <v>1549.9183361909984</v>
      </c>
    </row>
    <row r="55" spans="1:13" x14ac:dyDescent="0.4">
      <c r="K55" s="74">
        <v>53</v>
      </c>
      <c r="L55" s="119">
        <v>-323.8</v>
      </c>
      <c r="M55" s="117">
        <v>1557.8868261738523</v>
      </c>
    </row>
    <row r="56" spans="1:13" x14ac:dyDescent="0.4">
      <c r="K56" s="74">
        <v>54</v>
      </c>
      <c r="L56" s="119">
        <v>-313.3</v>
      </c>
      <c r="M56" s="117">
        <v>1560.4075052168091</v>
      </c>
    </row>
    <row r="57" spans="1:13" x14ac:dyDescent="0.4">
      <c r="K57" s="74">
        <v>55</v>
      </c>
      <c r="L57" s="119">
        <v>-373.6</v>
      </c>
      <c r="M57" s="117">
        <v>1550.1690601855082</v>
      </c>
    </row>
    <row r="58" spans="1:13" x14ac:dyDescent="0.4">
      <c r="K58" s="74">
        <v>56</v>
      </c>
      <c r="L58" s="119">
        <v>-375.20000000000005</v>
      </c>
      <c r="M58" s="117">
        <v>1550.5580458243951</v>
      </c>
    </row>
    <row r="59" spans="1:13" x14ac:dyDescent="0.4">
      <c r="K59" s="74">
        <v>57</v>
      </c>
      <c r="L59" s="119">
        <v>-405.50000000000006</v>
      </c>
      <c r="M59" s="117">
        <v>1545.7786975494487</v>
      </c>
    </row>
    <row r="60" spans="1:13" x14ac:dyDescent="0.4">
      <c r="K60" s="74">
        <v>58</v>
      </c>
      <c r="L60" s="119">
        <v>-403.20000000000005</v>
      </c>
      <c r="M60" s="117">
        <v>1546.8960253641519</v>
      </c>
    </row>
    <row r="61" spans="1:13" x14ac:dyDescent="0.4">
      <c r="K61" s="74">
        <v>59</v>
      </c>
      <c r="L61" s="119">
        <v>-392.1</v>
      </c>
      <c r="M61" s="117">
        <v>1549.590649211967</v>
      </c>
    </row>
    <row r="62" spans="1:13" x14ac:dyDescent="0.4">
      <c r="K62" s="74">
        <v>60</v>
      </c>
      <c r="L62" s="119">
        <v>-421.70000000000005</v>
      </c>
      <c r="M62" s="117">
        <v>1544.9431053166952</v>
      </c>
    </row>
    <row r="63" spans="1:13" x14ac:dyDescent="0.4">
      <c r="K63" s="74">
        <v>61</v>
      </c>
      <c r="L63" s="119">
        <v>-417.00000000000006</v>
      </c>
      <c r="M63" s="117">
        <v>1546.497446684795</v>
      </c>
    </row>
    <row r="64" spans="1:13" x14ac:dyDescent="0.4">
      <c r="K64" s="74">
        <v>62</v>
      </c>
      <c r="L64" s="119">
        <v>-405.30000000000007</v>
      </c>
      <c r="M64" s="117">
        <v>1549.3024620046863</v>
      </c>
    </row>
    <row r="65" spans="11:13" x14ac:dyDescent="0.4">
      <c r="K65" s="74">
        <v>63</v>
      </c>
      <c r="L65" s="119">
        <v>-372.80000000000007</v>
      </c>
      <c r="M65" s="117">
        <v>1555.8346472326582</v>
      </c>
    </row>
    <row r="66" spans="11:13" x14ac:dyDescent="0.4">
      <c r="K66" s="74">
        <v>64</v>
      </c>
      <c r="L66" s="119">
        <v>-433.30000000000007</v>
      </c>
      <c r="M66" s="117">
        <v>1545.5876393492622</v>
      </c>
    </row>
    <row r="67" spans="11:13" x14ac:dyDescent="0.4">
      <c r="K67" s="74">
        <v>65</v>
      </c>
      <c r="L67" s="119">
        <v>-429.80000000000007</v>
      </c>
      <c r="M67" s="117">
        <v>1546.9221135131666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3F992-02BB-4228-8189-55DE7119F84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5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5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4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3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6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2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2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A3345-FD53-4174-89A7-4E90687F1E9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59</v>
      </c>
      <c r="H2" s="87">
        <f>IF(B$20=0,0,G2/B$20)</f>
        <v>0.71951219512195119</v>
      </c>
      <c r="I2" s="57">
        <v>5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-1371.7948717948718</v>
      </c>
      <c r="Q2" s="76">
        <v>39</v>
      </c>
      <c r="R2" s="63">
        <v>-53500</v>
      </c>
    </row>
    <row r="3" spans="1:18" x14ac:dyDescent="0.4">
      <c r="A3" s="19" t="s">
        <v>8</v>
      </c>
      <c r="B3" s="135">
        <v>313</v>
      </c>
      <c r="C3" s="136"/>
      <c r="E3" s="27" t="s">
        <v>64</v>
      </c>
      <c r="F3" s="24" t="s">
        <v>20</v>
      </c>
      <c r="G3" s="12">
        <v>49</v>
      </c>
      <c r="H3" s="88">
        <f>IF(B$20=0,0,G3/B$20)</f>
        <v>0.59756097560975607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1202.7777777777778</v>
      </c>
      <c r="Q3" s="77">
        <v>36</v>
      </c>
      <c r="R3" s="64">
        <v>43300</v>
      </c>
    </row>
    <row r="4" spans="1:18" x14ac:dyDescent="0.4">
      <c r="A4" s="19" t="s">
        <v>6</v>
      </c>
      <c r="B4" s="137">
        <v>-207.6</v>
      </c>
      <c r="C4" s="138"/>
      <c r="E4" s="27" t="s">
        <v>159</v>
      </c>
      <c r="F4" s="24" t="s">
        <v>160</v>
      </c>
      <c r="G4" s="12">
        <v>34</v>
      </c>
      <c r="H4" s="88">
        <f>IF(B$20=0,0,G4/B$20)</f>
        <v>0.41463414634146339</v>
      </c>
      <c r="I4" s="58">
        <v>5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417.14285714285717</v>
      </c>
      <c r="Q4" s="77">
        <v>35</v>
      </c>
      <c r="R4" s="64">
        <v>14600</v>
      </c>
    </row>
    <row r="5" spans="1:18" x14ac:dyDescent="0.4">
      <c r="A5" s="19" t="s">
        <v>7</v>
      </c>
      <c r="B5" s="125">
        <f>IF(B$2=0,0,B$4/B$2)</f>
        <v>-5.3230769230769228</v>
      </c>
      <c r="C5" s="126"/>
      <c r="E5" s="27" t="s">
        <v>72</v>
      </c>
      <c r="F5" s="24" t="s">
        <v>27</v>
      </c>
      <c r="G5" s="12">
        <v>33</v>
      </c>
      <c r="H5" s="88">
        <f>IF(B$20=0,0,G5/B$20)</f>
        <v>0.40243902439024393</v>
      </c>
      <c r="I5" s="58">
        <v>6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-632.25806451612902</v>
      </c>
      <c r="Q5" s="77">
        <v>31</v>
      </c>
      <c r="R5" s="64">
        <v>-19600</v>
      </c>
    </row>
    <row r="6" spans="1:18" x14ac:dyDescent="0.4">
      <c r="A6" s="19" t="s">
        <v>195</v>
      </c>
      <c r="B6" s="129">
        <v>1384.1908394993188</v>
      </c>
      <c r="C6" s="130"/>
      <c r="E6" s="27" t="s">
        <v>68</v>
      </c>
      <c r="F6" s="24" t="s">
        <v>12</v>
      </c>
      <c r="G6" s="12">
        <v>31</v>
      </c>
      <c r="H6" s="88">
        <f>IF(B$20=0,0,G6/B$20)</f>
        <v>0.37804878048780488</v>
      </c>
      <c r="I6" s="58">
        <v>2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-1900</v>
      </c>
      <c r="Q6" s="77">
        <v>28</v>
      </c>
      <c r="R6" s="64">
        <v>-53200</v>
      </c>
    </row>
    <row r="7" spans="1:18" x14ac:dyDescent="0.4">
      <c r="A7" s="19" t="s">
        <v>1</v>
      </c>
      <c r="B7" s="139">
        <f>IF(B$2=0,0,(B$8*1+B$9*2+B$10*3)/B$2)</f>
        <v>2.1025641025641026</v>
      </c>
      <c r="C7" s="140"/>
      <c r="E7" s="27" t="s">
        <v>67</v>
      </c>
      <c r="F7" s="24" t="s">
        <v>23</v>
      </c>
      <c r="G7" s="12">
        <v>30</v>
      </c>
      <c r="H7" s="88">
        <f>IF(B$20=0,0,G7/B$20)</f>
        <v>0.36585365853658536</v>
      </c>
      <c r="I7" s="58">
        <v>1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-2928</v>
      </c>
      <c r="Q7" s="78">
        <v>25</v>
      </c>
      <c r="R7" s="65">
        <v>-73200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0.28205128205128205</v>
      </c>
      <c r="E8" s="27" t="s">
        <v>69</v>
      </c>
      <c r="F8" s="24" t="s">
        <v>24</v>
      </c>
      <c r="G8" s="12">
        <v>15</v>
      </c>
      <c r="H8" s="88">
        <f>IF(B$20=0,0,G8/B$20)</f>
        <v>0.18292682926829268</v>
      </c>
      <c r="I8" s="58">
        <v>3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0.33333333333333331</v>
      </c>
      <c r="E9" s="27" t="s">
        <v>70</v>
      </c>
      <c r="F9" s="24" t="s">
        <v>25</v>
      </c>
      <c r="G9" s="12">
        <v>13</v>
      </c>
      <c r="H9" s="88">
        <f>IF(B$20=0,0,G9/B$20)</f>
        <v>0.15853658536585366</v>
      </c>
      <c r="I9" s="58">
        <v>1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0.38461538461538464</v>
      </c>
      <c r="E10" s="27" t="s">
        <v>65</v>
      </c>
      <c r="F10" s="24" t="s">
        <v>21</v>
      </c>
      <c r="G10" s="12">
        <v>8</v>
      </c>
      <c r="H10" s="88">
        <f>IF(B$20=0,0,G10/B$20)</f>
        <v>9.7560975609756101E-2</v>
      </c>
      <c r="I10" s="58">
        <v>6</v>
      </c>
      <c r="K10" s="74">
        <v>8</v>
      </c>
      <c r="L10" s="119">
        <v>122.8</v>
      </c>
      <c r="M10" s="117">
        <v>1413.3353403500298</v>
      </c>
      <c r="O10" s="73" t="s">
        <v>151</v>
      </c>
      <c r="P10" s="82">
        <f>IF(Q10=0,0,R10/Q10)</f>
        <v>-1.1846153846153851</v>
      </c>
      <c r="Q10" s="76">
        <v>13</v>
      </c>
      <c r="R10" s="67">
        <v>-15.400000000000006</v>
      </c>
    </row>
    <row r="11" spans="1:18" x14ac:dyDescent="0.4">
      <c r="A11" s="20" t="s">
        <v>184</v>
      </c>
      <c r="B11" s="109">
        <f>IF(B8=0,0,C11/B8)</f>
        <v>53.290909090909082</v>
      </c>
      <c r="C11" s="110">
        <v>586.19999999999993</v>
      </c>
      <c r="E11" s="27" t="s">
        <v>71</v>
      </c>
      <c r="F11" s="24" t="s">
        <v>26</v>
      </c>
      <c r="G11" s="12">
        <v>7</v>
      </c>
      <c r="H11" s="88">
        <f>IF(B$20=0,0,G11/B$20)</f>
        <v>8.5365853658536592E-2</v>
      </c>
      <c r="I11" s="58">
        <v>2</v>
      </c>
      <c r="K11" s="74">
        <v>9</v>
      </c>
      <c r="L11" s="119">
        <v>78.400000000000006</v>
      </c>
      <c r="M11" s="117">
        <v>1406.3373283079297</v>
      </c>
      <c r="O11" s="74" t="s">
        <v>152</v>
      </c>
      <c r="P11" s="83">
        <f>IF(Q11=0,0,R11/Q11)</f>
        <v>-19.881250000000001</v>
      </c>
      <c r="Q11" s="77">
        <v>16</v>
      </c>
      <c r="R11" s="68">
        <v>-318.10000000000002</v>
      </c>
    </row>
    <row r="12" spans="1:18" x14ac:dyDescent="0.4">
      <c r="A12" s="20" t="s">
        <v>185</v>
      </c>
      <c r="B12" s="109">
        <f>IF(B9=0,0,C12/B9)</f>
        <v>-5.9923076923076914</v>
      </c>
      <c r="C12" s="110">
        <v>-77.899999999999991</v>
      </c>
      <c r="E12" s="27" t="s">
        <v>86</v>
      </c>
      <c r="F12" s="24" t="s">
        <v>41</v>
      </c>
      <c r="G12" s="12">
        <v>5</v>
      </c>
      <c r="H12" s="88">
        <f>IF(B$20=0,0,G12/B$20)</f>
        <v>6.097560975609756E-2</v>
      </c>
      <c r="I12" s="58">
        <v>5</v>
      </c>
      <c r="K12" s="74">
        <v>10</v>
      </c>
      <c r="L12" s="119">
        <v>68.800000000000011</v>
      </c>
      <c r="M12" s="117">
        <v>1405.6453043380823</v>
      </c>
      <c r="O12" s="75" t="s">
        <v>153</v>
      </c>
      <c r="P12" s="84">
        <f>IF(Q12=0,0,R12/Q12)</f>
        <v>12.59</v>
      </c>
      <c r="Q12" s="78">
        <v>10</v>
      </c>
      <c r="R12" s="69">
        <v>125.9</v>
      </c>
    </row>
    <row r="13" spans="1:18" x14ac:dyDescent="0.4">
      <c r="A13" s="20" t="s">
        <v>186</v>
      </c>
      <c r="B13" s="109">
        <f>IF(B10=0,0,C13/B10)</f>
        <v>-47.726666666666674</v>
      </c>
      <c r="C13" s="110">
        <v>-715.90000000000009</v>
      </c>
      <c r="E13" s="27" t="s">
        <v>89</v>
      </c>
      <c r="F13" s="24" t="s">
        <v>44</v>
      </c>
      <c r="G13" s="12">
        <v>5</v>
      </c>
      <c r="H13" s="88">
        <f>IF(B$20=0,0,G13/B$20)</f>
        <v>6.097560975609756E-2</v>
      </c>
      <c r="I13" s="58">
        <v>6</v>
      </c>
      <c r="K13" s="74">
        <v>11</v>
      </c>
      <c r="L13" s="119">
        <v>43.800000000000011</v>
      </c>
      <c r="M13" s="117">
        <v>1401.9034325120538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-0.14268842268842738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4.878048780487805E-2</v>
      </c>
      <c r="I14" s="58">
        <v>2</v>
      </c>
      <c r="K14" s="74">
        <v>12</v>
      </c>
      <c r="L14" s="119">
        <v>45.400000000000013</v>
      </c>
      <c r="M14" s="117">
        <v>1402.9660119169814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0.15384615384615385</v>
      </c>
      <c r="E15" s="27" t="s">
        <v>91</v>
      </c>
      <c r="F15" s="24" t="s">
        <v>46</v>
      </c>
      <c r="G15" s="12">
        <v>4</v>
      </c>
      <c r="H15" s="88">
        <f>IF(B$20=0,0,G15/B$20)</f>
        <v>4.878048780487805E-2</v>
      </c>
      <c r="I15" s="58">
        <v>1</v>
      </c>
      <c r="K15" s="74">
        <v>13</v>
      </c>
      <c r="L15" s="119">
        <v>96.4</v>
      </c>
      <c r="M15" s="117">
        <v>1412.9142158454795</v>
      </c>
      <c r="O15" s="73" t="s">
        <v>192</v>
      </c>
      <c r="P15" s="82">
        <f>IF(Q15=0,0,R15/Q15)</f>
        <v>2.5045454545454513</v>
      </c>
      <c r="Q15" s="76">
        <v>22</v>
      </c>
      <c r="R15" s="67">
        <v>55.09999999999993</v>
      </c>
    </row>
    <row r="16" spans="1:18" x14ac:dyDescent="0.4">
      <c r="A16" s="22" t="s">
        <v>121</v>
      </c>
      <c r="B16" s="15">
        <v>97</v>
      </c>
      <c r="C16" s="10">
        <f>IF(B$3=0,0,B16/B$3)</f>
        <v>0.30990415335463256</v>
      </c>
      <c r="E16" s="27" t="s">
        <v>93</v>
      </c>
      <c r="F16" s="24" t="s">
        <v>48</v>
      </c>
      <c r="G16" s="12">
        <v>3</v>
      </c>
      <c r="H16" s="88">
        <f>IF(B$20=0,0,G16/B$20)</f>
        <v>3.6585365853658534E-2</v>
      </c>
      <c r="I16" s="58">
        <v>1</v>
      </c>
      <c r="K16" s="74">
        <v>14</v>
      </c>
      <c r="L16" s="119">
        <v>50.2</v>
      </c>
      <c r="M16" s="117">
        <v>1405.7687305504066</v>
      </c>
      <c r="O16" s="74" t="s">
        <v>163</v>
      </c>
      <c r="P16" s="83">
        <f>IF(Q16=0,0,R16/Q16)</f>
        <v>2.4384615384615369</v>
      </c>
      <c r="Q16" s="77">
        <v>26</v>
      </c>
      <c r="R16" s="68">
        <v>63.399999999999956</v>
      </c>
    </row>
    <row r="17" spans="1:18" x14ac:dyDescent="0.4">
      <c r="A17" s="19" t="s">
        <v>118</v>
      </c>
      <c r="B17" s="12">
        <v>36</v>
      </c>
      <c r="C17" s="6">
        <f>IF(B$3=0,0,B17/B$3)</f>
        <v>0.11501597444089456</v>
      </c>
      <c r="E17" s="27" t="s">
        <v>78</v>
      </c>
      <c r="F17" s="24" t="s">
        <v>33</v>
      </c>
      <c r="G17" s="12">
        <v>2</v>
      </c>
      <c r="H17" s="88">
        <f>IF(B$20=0,0,G17/B$20)</f>
        <v>2.4390243902439025E-2</v>
      </c>
      <c r="I17" s="58">
        <v>4</v>
      </c>
      <c r="K17" s="74">
        <v>15</v>
      </c>
      <c r="L17" s="119">
        <v>119.2</v>
      </c>
      <c r="M17" s="117">
        <v>1418.9641181671043</v>
      </c>
      <c r="O17" s="74" t="s">
        <v>126</v>
      </c>
      <c r="P17" s="83">
        <f>IF(Q17=0,0,R17/Q17)</f>
        <v>-24.71</v>
      </c>
      <c r="Q17" s="77">
        <v>30</v>
      </c>
      <c r="R17" s="68">
        <v>-741.30000000000007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0.52577319587628868</v>
      </c>
      <c r="E18" s="27" t="s">
        <v>81</v>
      </c>
      <c r="F18" s="24" t="s">
        <v>36</v>
      </c>
      <c r="G18" s="12">
        <v>2</v>
      </c>
      <c r="H18" s="88">
        <f>IF(B$20=0,0,G18/B$20)</f>
        <v>2.4390243902439025E-2</v>
      </c>
      <c r="I18" s="58">
        <v>4</v>
      </c>
      <c r="K18" s="74">
        <v>16</v>
      </c>
      <c r="L18" s="119">
        <v>154</v>
      </c>
      <c r="M18" s="117">
        <v>1426.3623334581016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0.16666666666666666</v>
      </c>
      <c r="E19" s="27" t="s">
        <v>74</v>
      </c>
      <c r="F19" s="24" t="s">
        <v>29</v>
      </c>
      <c r="G19" s="12">
        <v>1</v>
      </c>
      <c r="H19" s="88">
        <f>IF(B$20=0,0,G19/B$20)</f>
        <v>1.2195121951219513E-2</v>
      </c>
      <c r="I19" s="58">
        <v>2</v>
      </c>
      <c r="K19" s="74">
        <v>17</v>
      </c>
      <c r="L19" s="119">
        <v>221.5</v>
      </c>
      <c r="M19" s="117">
        <v>1439.6021594573531</v>
      </c>
    </row>
    <row r="20" spans="1:18" x14ac:dyDescent="0.4">
      <c r="A20" s="18" t="s">
        <v>10</v>
      </c>
      <c r="B20" s="11">
        <f>B23+B22</f>
        <v>82</v>
      </c>
      <c r="C20" s="5">
        <f>IF(B$3=0,0,B20/B$3)</f>
        <v>0.26198083067092653</v>
      </c>
      <c r="E20" s="27" t="s">
        <v>84</v>
      </c>
      <c r="F20" s="24" t="s">
        <v>39</v>
      </c>
      <c r="G20" s="12">
        <v>1</v>
      </c>
      <c r="H20" s="88">
        <f>IF(B$20=0,0,G20/B$20)</f>
        <v>1.2195121951219513E-2</v>
      </c>
      <c r="I20" s="58">
        <v>1</v>
      </c>
      <c r="K20" s="74">
        <v>18</v>
      </c>
      <c r="L20" s="119">
        <v>197</v>
      </c>
      <c r="M20" s="117">
        <v>1436.2025465006091</v>
      </c>
    </row>
    <row r="21" spans="1:18" x14ac:dyDescent="0.4">
      <c r="A21" s="19" t="s">
        <v>13</v>
      </c>
      <c r="B21" s="12">
        <v>56</v>
      </c>
      <c r="C21" s="6">
        <f>IF(B$3=0,0,B21/B$3)</f>
        <v>0.17891373801916932</v>
      </c>
      <c r="E21" s="27" t="s">
        <v>87</v>
      </c>
      <c r="F21" s="24" t="s">
        <v>42</v>
      </c>
      <c r="G21" s="12">
        <v>1</v>
      </c>
      <c r="H21" s="88">
        <f>IF(B$20=0,0,G21/B$20)</f>
        <v>1.2195121951219513E-2</v>
      </c>
      <c r="I21" s="58">
        <v>1</v>
      </c>
      <c r="K21" s="74">
        <v>19</v>
      </c>
      <c r="L21" s="119">
        <v>196.9</v>
      </c>
      <c r="M21" s="117">
        <v>1437.2153312216053</v>
      </c>
    </row>
    <row r="22" spans="1:18" x14ac:dyDescent="0.4">
      <c r="A22" s="19" t="s">
        <v>12</v>
      </c>
      <c r="B22" s="12">
        <v>37</v>
      </c>
      <c r="C22" s="6">
        <f>IF(B$20=0,0,B22/B$20)</f>
        <v>0.45121951219512196</v>
      </c>
      <c r="E22" s="27" t="s">
        <v>155</v>
      </c>
      <c r="F22" s="24" t="s">
        <v>156</v>
      </c>
      <c r="G22" s="12">
        <v>1</v>
      </c>
      <c r="H22" s="88">
        <f>IF(B$20=0,0,G22/B$20)</f>
        <v>1.2195121951219513E-2</v>
      </c>
      <c r="I22" s="58">
        <v>4</v>
      </c>
      <c r="K22" s="74">
        <v>20</v>
      </c>
      <c r="L22" s="119">
        <v>151.4</v>
      </c>
      <c r="M22" s="117">
        <v>1430.0500392342756</v>
      </c>
    </row>
    <row r="23" spans="1:18" x14ac:dyDescent="0.4">
      <c r="A23" s="19" t="s">
        <v>11</v>
      </c>
      <c r="B23" s="12">
        <v>45</v>
      </c>
      <c r="C23" s="6">
        <f>IF(B$20=0,0,B23/B$20)</f>
        <v>0.54878048780487809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118.60000000000001</v>
      </c>
      <c r="M23" s="117">
        <v>1425.21373899887</v>
      </c>
    </row>
    <row r="24" spans="1:18" x14ac:dyDescent="0.4">
      <c r="A24" s="19" t="s">
        <v>183</v>
      </c>
      <c r="B24" s="12">
        <v>51</v>
      </c>
      <c r="C24" s="6">
        <f>IF(B$20=0,0,B24/B$20)</f>
        <v>0.62195121951219512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88</v>
      </c>
      <c r="M24" s="117">
        <v>1420.8024565648768</v>
      </c>
    </row>
    <row r="25" spans="1:18" x14ac:dyDescent="0.4">
      <c r="A25" s="19" t="s">
        <v>181</v>
      </c>
      <c r="B25" s="12">
        <v>6</v>
      </c>
      <c r="C25" s="6">
        <f>IF(B$20=0,0,B25/B$20)</f>
        <v>7.3170731707317069E-2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82.9</v>
      </c>
      <c r="M25" s="117">
        <v>1421.0076418254876</v>
      </c>
    </row>
    <row r="26" spans="1:18" x14ac:dyDescent="0.4">
      <c r="A26" s="19" t="s">
        <v>182</v>
      </c>
      <c r="B26" s="12">
        <v>25</v>
      </c>
      <c r="C26" s="6">
        <f>IF(B$20=0,0,B26/B$20)</f>
        <v>0.3048780487804878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48.600000000000009</v>
      </c>
      <c r="M26" s="117">
        <v>1415.9555959745346</v>
      </c>
    </row>
    <row r="27" spans="1:18" x14ac:dyDescent="0.4">
      <c r="A27" s="19" t="s">
        <v>5</v>
      </c>
      <c r="B27" s="16">
        <f>IF(B$20=0,0,C27/B$20)</f>
        <v>10626.829268292682</v>
      </c>
      <c r="C27" s="8">
        <v>871400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45.800000000000011</v>
      </c>
      <c r="M27" s="117">
        <v>1416.6038623986874</v>
      </c>
    </row>
    <row r="28" spans="1:18" x14ac:dyDescent="0.4">
      <c r="A28" s="20" t="s">
        <v>165</v>
      </c>
      <c r="B28" s="95">
        <f>IF($B$20-B$19=0,0,C28/($B$20-B$19))</f>
        <v>10690.78947368421</v>
      </c>
      <c r="C28" s="96">
        <v>812500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111.9</v>
      </c>
      <c r="M28" s="117">
        <v>1429.6502392242953</v>
      </c>
    </row>
    <row r="29" spans="1:18" x14ac:dyDescent="0.4">
      <c r="A29" s="20" t="s">
        <v>166</v>
      </c>
      <c r="B29" s="95">
        <f>IF(B$19=0,0,C29/B$19)</f>
        <v>9816.6666666666661</v>
      </c>
      <c r="C29" s="96">
        <v>58900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126.80000000000001</v>
      </c>
      <c r="M29" s="117">
        <v>1433.4023377889496</v>
      </c>
    </row>
    <row r="30" spans="1:18" x14ac:dyDescent="0.4">
      <c r="A30" s="20" t="s">
        <v>164</v>
      </c>
      <c r="B30" s="95">
        <f>IF(B$21=0,0,C30/B$21)</f>
        <v>-8985.7142857142862</v>
      </c>
      <c r="C30" s="96">
        <v>-503200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101.9</v>
      </c>
      <c r="M30" s="117">
        <v>1429.9679237622158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125.30000000000001</v>
      </c>
      <c r="M31" s="117">
        <v>1435.2481162196425</v>
      </c>
    </row>
    <row r="32" spans="1:18" x14ac:dyDescent="0.4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69.700000000000017</v>
      </c>
      <c r="M32" s="117">
        <v>1426.1566275223247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11.800000000000018</v>
      </c>
      <c r="M33" s="117">
        <v>1416.7056877571908</v>
      </c>
    </row>
    <row r="34" spans="1:13" x14ac:dyDescent="0.4">
      <c r="A34" s="22" t="s">
        <v>180</v>
      </c>
      <c r="B34" s="129">
        <v>142700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-22.699999999999982</v>
      </c>
      <c r="M34" s="117">
        <v>1411.1634536306476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-56.299999999999983</v>
      </c>
      <c r="M35" s="117">
        <v>1405.8104729088636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-10.999999999999986</v>
      </c>
      <c r="M36" s="117">
        <v>1414.7156100714105</v>
      </c>
    </row>
    <row r="37" spans="1:13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-69.599999999999994</v>
      </c>
      <c r="M37" s="117">
        <v>1405.3093164109821</v>
      </c>
    </row>
    <row r="38" spans="1:13" x14ac:dyDescent="0.4">
      <c r="A38" s="19" t="s">
        <v>167</v>
      </c>
      <c r="B38" s="12">
        <v>16</v>
      </c>
      <c r="C38" s="6">
        <f t="shared" si="2"/>
        <v>0.1951219512195122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-44.499999999999993</v>
      </c>
      <c r="M38" s="117">
        <v>1410.5634605125163</v>
      </c>
    </row>
    <row r="39" spans="1:13" x14ac:dyDescent="0.4">
      <c r="A39" s="19" t="s">
        <v>168</v>
      </c>
      <c r="B39" s="124">
        <v>13</v>
      </c>
      <c r="C39" s="6">
        <f t="shared" si="2"/>
        <v>0.15853658536585366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-51.599999999999994</v>
      </c>
      <c r="M39" s="117">
        <v>1410.4640797494412</v>
      </c>
    </row>
    <row r="40" spans="1:13" x14ac:dyDescent="0.4">
      <c r="A40" s="19" t="s">
        <v>169</v>
      </c>
      <c r="B40" s="124">
        <v>18</v>
      </c>
      <c r="C40" s="6">
        <f t="shared" si="2"/>
        <v>0.21951219512195122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-152.19999999999999</v>
      </c>
      <c r="M40" s="117">
        <v>1393.4092952709445</v>
      </c>
    </row>
    <row r="41" spans="1:13" x14ac:dyDescent="0.4">
      <c r="A41" s="19" t="s">
        <v>170</v>
      </c>
      <c r="B41" s="124">
        <v>13</v>
      </c>
      <c r="C41" s="6">
        <f t="shared" si="2"/>
        <v>0.15853658536585366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-207.6</v>
      </c>
      <c r="M41" s="117">
        <v>1384.1908394993188</v>
      </c>
    </row>
    <row r="42" spans="1:13" x14ac:dyDescent="0.4">
      <c r="A42" s="19" t="s">
        <v>172</v>
      </c>
      <c r="B42" s="124">
        <v>9</v>
      </c>
      <c r="C42" s="6">
        <f t="shared" si="2"/>
        <v>0.10975609756097561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3.6585365853658534E-2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2.4390243902439025E-2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1.2195121951219513E-2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2</v>
      </c>
      <c r="C46" s="6">
        <f t="shared" si="2"/>
        <v>2.4390243902439025E-2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2</v>
      </c>
      <c r="C47" s="6">
        <f t="shared" si="2"/>
        <v>2.4390243902439025E-2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3</v>
      </c>
      <c r="C49" s="9">
        <f t="shared" si="2"/>
        <v>3.6585365853658534E-2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0E392-E3D7-4509-8CAC-1297380C4540}">
  <sheetPr codeName="Sheet18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  <row r="11" spans="1:17" x14ac:dyDescent="0.4">
      <c r="A11" s="33">
        <v>8</v>
      </c>
      <c r="B11" s="30">
        <v>122.8</v>
      </c>
      <c r="C11" s="30">
        <v>15.35</v>
      </c>
      <c r="D11" s="35">
        <v>1.875</v>
      </c>
      <c r="E11" s="31">
        <v>0.375</v>
      </c>
      <c r="F11" s="31">
        <v>0.25</v>
      </c>
      <c r="G11" s="31">
        <v>0.29411764705882354</v>
      </c>
      <c r="H11" s="31">
        <v>0.17647058823529413</v>
      </c>
      <c r="I11" s="32">
        <v>13350</v>
      </c>
      <c r="J11" s="32">
        <v>-8133.333333333333</v>
      </c>
      <c r="K11" s="31">
        <v>0.125</v>
      </c>
      <c r="L11" s="31">
        <v>0.3235294117647059</v>
      </c>
      <c r="M11" s="31">
        <v>0.13235294117647059</v>
      </c>
      <c r="N11" s="31">
        <v>0.63636363636363635</v>
      </c>
      <c r="O11" s="31">
        <v>0.22222222222222221</v>
      </c>
      <c r="P11" s="31">
        <v>0.35</v>
      </c>
    </row>
    <row r="12" spans="1:17" x14ac:dyDescent="0.4">
      <c r="A12" s="33">
        <v>9</v>
      </c>
      <c r="B12" s="30">
        <v>78.400000000000006</v>
      </c>
      <c r="C12" s="30">
        <v>8.7111111111111121</v>
      </c>
      <c r="D12" s="35">
        <v>2</v>
      </c>
      <c r="E12" s="31">
        <v>0.33333333333333331</v>
      </c>
      <c r="F12" s="31">
        <v>0.33333333333333331</v>
      </c>
      <c r="G12" s="31">
        <v>0.26666666666666666</v>
      </c>
      <c r="H12" s="31">
        <v>0.18666666666666668</v>
      </c>
      <c r="I12" s="32">
        <v>13350</v>
      </c>
      <c r="J12" s="32">
        <v>-7571.4285714285716</v>
      </c>
      <c r="K12" s="31">
        <v>0.1111111111111111</v>
      </c>
      <c r="L12" s="31">
        <v>0.29333333333333333</v>
      </c>
      <c r="M12" s="31">
        <v>0.14666666666666667</v>
      </c>
      <c r="N12" s="31">
        <v>0.63636363636363635</v>
      </c>
      <c r="O12" s="31">
        <v>0.18181818181818182</v>
      </c>
      <c r="P12" s="31">
        <v>0.35</v>
      </c>
    </row>
    <row r="13" spans="1:17" x14ac:dyDescent="0.4">
      <c r="A13" s="33">
        <v>10</v>
      </c>
      <c r="B13" s="30">
        <v>68.800000000000011</v>
      </c>
      <c r="C13" s="30">
        <v>6.8800000000000008</v>
      </c>
      <c r="D13" s="35">
        <v>2</v>
      </c>
      <c r="E13" s="31">
        <v>0.3</v>
      </c>
      <c r="F13" s="31">
        <v>0.3</v>
      </c>
      <c r="G13" s="31">
        <v>0.27380952380952384</v>
      </c>
      <c r="H13" s="31">
        <v>0.20238095238095238</v>
      </c>
      <c r="I13" s="32">
        <v>13113.04347826087</v>
      </c>
      <c r="J13" s="32">
        <v>-8352.9411764705874</v>
      </c>
      <c r="K13" s="31">
        <v>0.1</v>
      </c>
      <c r="L13" s="31">
        <v>0.27380952380952384</v>
      </c>
      <c r="M13" s="31">
        <v>0.15476190476190477</v>
      </c>
      <c r="N13" s="31">
        <v>0.60869565217391308</v>
      </c>
      <c r="O13" s="31">
        <v>0.23076923076923078</v>
      </c>
      <c r="P13" s="31">
        <v>0.30434782608695654</v>
      </c>
    </row>
    <row r="14" spans="1:17" x14ac:dyDescent="0.4">
      <c r="A14" s="33">
        <v>11</v>
      </c>
      <c r="B14" s="30">
        <v>43.800000000000011</v>
      </c>
      <c r="C14" s="30">
        <v>3.9818181818181828</v>
      </c>
      <c r="D14" s="35">
        <v>2</v>
      </c>
      <c r="E14" s="31">
        <v>0.27272727272727271</v>
      </c>
      <c r="F14" s="31">
        <v>0.27272727272727271</v>
      </c>
      <c r="G14" s="31">
        <v>0.26136363636363635</v>
      </c>
      <c r="H14" s="31">
        <v>0.19318181818181818</v>
      </c>
      <c r="I14" s="32">
        <v>13113.04347826087</v>
      </c>
      <c r="J14" s="32">
        <v>-8352.9411764705874</v>
      </c>
      <c r="K14" s="31">
        <v>9.0909090909090912E-2</v>
      </c>
      <c r="L14" s="31">
        <v>0.28409090909090912</v>
      </c>
      <c r="M14" s="31">
        <v>0.14772727272727273</v>
      </c>
      <c r="N14" s="31">
        <v>0.56000000000000005</v>
      </c>
      <c r="O14" s="31">
        <v>0.23076923076923078</v>
      </c>
      <c r="P14" s="31">
        <v>0.30434782608695654</v>
      </c>
    </row>
    <row r="15" spans="1:17" x14ac:dyDescent="0.4">
      <c r="A15" s="33">
        <v>12</v>
      </c>
      <c r="B15" s="30">
        <v>45.400000000000013</v>
      </c>
      <c r="C15" s="30">
        <v>3.7833333333333345</v>
      </c>
      <c r="D15" s="35">
        <v>2</v>
      </c>
      <c r="E15" s="31">
        <v>0.25</v>
      </c>
      <c r="F15" s="31">
        <v>0.25</v>
      </c>
      <c r="G15" s="31">
        <v>0.26530612244897961</v>
      </c>
      <c r="H15" s="31">
        <v>0.19387755102040816</v>
      </c>
      <c r="I15" s="32">
        <v>12538.461538461539</v>
      </c>
      <c r="J15" s="32">
        <v>-8736.8421052631584</v>
      </c>
      <c r="K15" s="31">
        <v>8.3333333333333329E-2</v>
      </c>
      <c r="L15" s="31">
        <v>0.30612244897959184</v>
      </c>
      <c r="M15" s="31">
        <v>0.1326530612244898</v>
      </c>
      <c r="N15" s="31">
        <v>0.53333333333333333</v>
      </c>
      <c r="O15" s="31">
        <v>0.23076923076923078</v>
      </c>
      <c r="P15" s="31">
        <v>0.38461538461538464</v>
      </c>
    </row>
    <row r="16" spans="1:17" x14ac:dyDescent="0.4">
      <c r="A16" s="33">
        <v>13</v>
      </c>
      <c r="B16" s="30">
        <v>96.4</v>
      </c>
      <c r="C16" s="30">
        <v>7.4153846153846157</v>
      </c>
      <c r="D16" s="35">
        <v>1.9230769230769231</v>
      </c>
      <c r="E16" s="31">
        <v>0.30769230769230771</v>
      </c>
      <c r="F16" s="31">
        <v>0.23076923076923078</v>
      </c>
      <c r="G16" s="31">
        <v>0.2857142857142857</v>
      </c>
      <c r="H16" s="31">
        <v>0.19047619047619047</v>
      </c>
      <c r="I16" s="32">
        <v>12286.666666666666</v>
      </c>
      <c r="J16" s="32">
        <v>-8685</v>
      </c>
      <c r="K16" s="31">
        <v>7.6923076923076927E-2</v>
      </c>
      <c r="L16" s="31">
        <v>0.32380952380952382</v>
      </c>
      <c r="M16" s="31">
        <v>0.12380952380952381</v>
      </c>
      <c r="N16" s="31">
        <v>0.55882352941176472</v>
      </c>
      <c r="O16" s="31">
        <v>0.23076923076923078</v>
      </c>
      <c r="P16" s="31">
        <v>0.36666666666666664</v>
      </c>
    </row>
    <row r="17" spans="1:16" x14ac:dyDescent="0.4">
      <c r="A17" s="33">
        <v>14</v>
      </c>
      <c r="B17" s="30">
        <v>50.2</v>
      </c>
      <c r="C17" s="30">
        <v>3.5857142857142859</v>
      </c>
      <c r="D17" s="35">
        <v>2</v>
      </c>
      <c r="E17" s="31">
        <v>0.2857142857142857</v>
      </c>
      <c r="F17" s="31">
        <v>0.2857142857142857</v>
      </c>
      <c r="G17" s="31">
        <v>0.26956521739130435</v>
      </c>
      <c r="H17" s="31">
        <v>0.19130434782608696</v>
      </c>
      <c r="I17" s="32">
        <v>12277.41935483871</v>
      </c>
      <c r="J17" s="32">
        <v>-9063.636363636364</v>
      </c>
      <c r="K17" s="31">
        <v>7.1428571428571425E-2</v>
      </c>
      <c r="L17" s="31">
        <v>0.30434782608695654</v>
      </c>
      <c r="M17" s="31">
        <v>0.12173913043478261</v>
      </c>
      <c r="N17" s="31">
        <v>0.54285714285714282</v>
      </c>
      <c r="O17" s="31">
        <v>0.21428571428571427</v>
      </c>
      <c r="P17" s="31">
        <v>0.35483870967741937</v>
      </c>
    </row>
    <row r="18" spans="1:16" x14ac:dyDescent="0.4">
      <c r="A18" s="33">
        <v>15</v>
      </c>
      <c r="B18" s="30">
        <v>119.2</v>
      </c>
      <c r="C18" s="30">
        <v>7.9466666666666672</v>
      </c>
      <c r="D18" s="35">
        <v>1.9333333333333333</v>
      </c>
      <c r="E18" s="31">
        <v>0.33333333333333331</v>
      </c>
      <c r="F18" s="31">
        <v>0.26666666666666666</v>
      </c>
      <c r="G18" s="31">
        <v>0.28225806451612906</v>
      </c>
      <c r="H18" s="31">
        <v>0.17741935483870969</v>
      </c>
      <c r="I18" s="32">
        <v>12697.142857142857</v>
      </c>
      <c r="J18" s="32">
        <v>-9063.636363636364</v>
      </c>
      <c r="K18" s="31">
        <v>6.6666666666666666E-2</v>
      </c>
      <c r="L18" s="31">
        <v>0.31451612903225806</v>
      </c>
      <c r="M18" s="31">
        <v>0.12096774193548387</v>
      </c>
      <c r="N18" s="31">
        <v>0.5641025641025641</v>
      </c>
      <c r="O18" s="31">
        <v>0.2</v>
      </c>
      <c r="P18" s="31">
        <v>0.37142857142857144</v>
      </c>
    </row>
    <row r="19" spans="1:16" x14ac:dyDescent="0.4">
      <c r="A19" s="33">
        <v>16</v>
      </c>
      <c r="B19" s="30">
        <v>154</v>
      </c>
      <c r="C19" s="30">
        <v>9.625</v>
      </c>
      <c r="D19" s="35">
        <v>1.875</v>
      </c>
      <c r="E19" s="31">
        <v>0.375</v>
      </c>
      <c r="F19" s="31">
        <v>0.25</v>
      </c>
      <c r="G19" s="31">
        <v>0.2857142857142857</v>
      </c>
      <c r="H19" s="31">
        <v>0.18045112781954886</v>
      </c>
      <c r="I19" s="32">
        <v>12336.842105263158</v>
      </c>
      <c r="J19" s="32">
        <v>-8858.3333333333339</v>
      </c>
      <c r="K19" s="31">
        <v>6.25E-2</v>
      </c>
      <c r="L19" s="31">
        <v>0.30827067669172931</v>
      </c>
      <c r="M19" s="31">
        <v>0.11278195488721804</v>
      </c>
      <c r="N19" s="31">
        <v>0.56097560975609762</v>
      </c>
      <c r="O19" s="31">
        <v>0.2</v>
      </c>
      <c r="P19" s="31">
        <v>0.42105263157894735</v>
      </c>
    </row>
    <row r="20" spans="1:16" x14ac:dyDescent="0.4">
      <c r="A20" s="33">
        <v>17</v>
      </c>
      <c r="B20" s="30">
        <v>221.5</v>
      </c>
      <c r="C20" s="30">
        <v>13.029411764705882</v>
      </c>
      <c r="D20" s="35">
        <v>1.8235294117647058</v>
      </c>
      <c r="E20" s="31">
        <v>0.41176470588235292</v>
      </c>
      <c r="F20" s="31">
        <v>0.23529411764705882</v>
      </c>
      <c r="G20" s="31">
        <v>0.30215827338129497</v>
      </c>
      <c r="H20" s="31">
        <v>0.17266187050359713</v>
      </c>
      <c r="I20" s="32">
        <v>12304.761904761905</v>
      </c>
      <c r="J20" s="32">
        <v>-8858.3333333333339</v>
      </c>
      <c r="K20" s="31">
        <v>5.8823529411764705E-2</v>
      </c>
      <c r="L20" s="31">
        <v>0.32374100719424459</v>
      </c>
      <c r="M20" s="31">
        <v>0.1079136690647482</v>
      </c>
      <c r="N20" s="31">
        <v>0.6</v>
      </c>
      <c r="O20" s="31">
        <v>0.2</v>
      </c>
      <c r="P20" s="31">
        <v>0.40476190476190477</v>
      </c>
    </row>
    <row r="21" spans="1:16" x14ac:dyDescent="0.4">
      <c r="A21" s="33">
        <v>18</v>
      </c>
      <c r="B21" s="30">
        <v>197</v>
      </c>
      <c r="C21" s="30">
        <v>10.944444444444445</v>
      </c>
      <c r="D21" s="35">
        <v>1.8333333333333333</v>
      </c>
      <c r="E21" s="31">
        <v>0.3888888888888889</v>
      </c>
      <c r="F21" s="31">
        <v>0.22222222222222221</v>
      </c>
      <c r="G21" s="31">
        <v>0.2978723404255319</v>
      </c>
      <c r="H21" s="31">
        <v>0.1702127659574468</v>
      </c>
      <c r="I21" s="32">
        <v>12304.761904761905</v>
      </c>
      <c r="J21" s="32">
        <v>-8858.3333333333339</v>
      </c>
      <c r="K21" s="31">
        <v>5.5555555555555552E-2</v>
      </c>
      <c r="L21" s="31">
        <v>0.31914893617021278</v>
      </c>
      <c r="M21" s="31">
        <v>0.10638297872340426</v>
      </c>
      <c r="N21" s="31">
        <v>0.6</v>
      </c>
      <c r="O21" s="31">
        <v>0.2</v>
      </c>
      <c r="P21" s="31">
        <v>0.40476190476190477</v>
      </c>
    </row>
    <row r="22" spans="1:16" x14ac:dyDescent="0.4">
      <c r="A22" s="33">
        <v>19</v>
      </c>
      <c r="B22" s="30">
        <v>196.9</v>
      </c>
      <c r="C22" s="30">
        <v>10.363157894736842</v>
      </c>
      <c r="D22" s="35">
        <v>1.8421052631578947</v>
      </c>
      <c r="E22" s="31">
        <v>0.36842105263157893</v>
      </c>
      <c r="F22" s="31">
        <v>0.21052631578947367</v>
      </c>
      <c r="G22" s="31">
        <v>0.30666666666666664</v>
      </c>
      <c r="H22" s="31">
        <v>0.16666666666666666</v>
      </c>
      <c r="I22" s="32">
        <v>11863.04347826087</v>
      </c>
      <c r="J22" s="32">
        <v>-8824</v>
      </c>
      <c r="K22" s="31">
        <v>5.2631578947368418E-2</v>
      </c>
      <c r="L22" s="31">
        <v>0.33333333333333331</v>
      </c>
      <c r="M22" s="31">
        <v>0.1</v>
      </c>
      <c r="N22" s="31">
        <v>0.62</v>
      </c>
      <c r="O22" s="31">
        <v>0.2</v>
      </c>
      <c r="P22" s="31">
        <v>0.41304347826086957</v>
      </c>
    </row>
    <row r="23" spans="1:16" x14ac:dyDescent="0.4">
      <c r="A23" s="33">
        <v>20</v>
      </c>
      <c r="B23" s="30">
        <v>151.4</v>
      </c>
      <c r="C23" s="30">
        <v>7.57</v>
      </c>
      <c r="D23" s="35">
        <v>1.9</v>
      </c>
      <c r="E23" s="31">
        <v>0.35</v>
      </c>
      <c r="F23" s="31">
        <v>0.25</v>
      </c>
      <c r="G23" s="31">
        <v>0.29487179487179488</v>
      </c>
      <c r="H23" s="31">
        <v>0.17307692307692307</v>
      </c>
      <c r="I23" s="32">
        <v>11863.04347826087</v>
      </c>
      <c r="J23" s="32">
        <v>-8611.1111111111113</v>
      </c>
      <c r="K23" s="31">
        <v>0.05</v>
      </c>
      <c r="L23" s="31">
        <v>0.32692307692307693</v>
      </c>
      <c r="M23" s="31">
        <v>9.6153846153846159E-2</v>
      </c>
      <c r="N23" s="31">
        <v>0.60784313725490191</v>
      </c>
      <c r="O23" s="31">
        <v>0.2</v>
      </c>
      <c r="P23" s="31">
        <v>0.41304347826086957</v>
      </c>
    </row>
    <row r="24" spans="1:16" x14ac:dyDescent="0.4">
      <c r="A24" s="33">
        <v>21</v>
      </c>
      <c r="B24" s="30">
        <v>118.60000000000001</v>
      </c>
      <c r="C24" s="30">
        <v>5.647619047619048</v>
      </c>
      <c r="D24" s="35">
        <v>1.9523809523809523</v>
      </c>
      <c r="E24" s="31">
        <v>0.33333333333333331</v>
      </c>
      <c r="F24" s="31">
        <v>0.2857142857142857</v>
      </c>
      <c r="G24" s="31">
        <v>0.29268292682926828</v>
      </c>
      <c r="H24" s="31">
        <v>0.16463414634146342</v>
      </c>
      <c r="I24" s="32">
        <v>11727.083333333334</v>
      </c>
      <c r="J24" s="32">
        <v>-8611.1111111111113</v>
      </c>
      <c r="K24" s="31">
        <v>4.7619047619047616E-2</v>
      </c>
      <c r="L24" s="31">
        <v>0.31707317073170732</v>
      </c>
      <c r="M24" s="31">
        <v>0.10365853658536585</v>
      </c>
      <c r="N24" s="31">
        <v>0.61538461538461542</v>
      </c>
      <c r="O24" s="31">
        <v>0.17647058823529413</v>
      </c>
      <c r="P24" s="31">
        <v>0.41666666666666669</v>
      </c>
    </row>
    <row r="25" spans="1:16" x14ac:dyDescent="0.4">
      <c r="A25" s="33">
        <v>22</v>
      </c>
      <c r="B25" s="30">
        <v>88</v>
      </c>
      <c r="C25" s="30">
        <v>4</v>
      </c>
      <c r="D25" s="35">
        <v>2</v>
      </c>
      <c r="E25" s="31">
        <v>0.31818181818181818</v>
      </c>
      <c r="F25" s="31">
        <v>0.31818181818181818</v>
      </c>
      <c r="G25" s="31">
        <v>0.29239766081871343</v>
      </c>
      <c r="H25" s="31">
        <v>0.16959064327485379</v>
      </c>
      <c r="I25" s="32">
        <v>11658</v>
      </c>
      <c r="J25" s="32">
        <v>-8624.1379310344819</v>
      </c>
      <c r="K25" s="31">
        <v>4.5454545454545456E-2</v>
      </c>
      <c r="L25" s="31">
        <v>0.31578947368421051</v>
      </c>
      <c r="M25" s="31">
        <v>0.10526315789473684</v>
      </c>
      <c r="N25" s="31">
        <v>0.62962962962962965</v>
      </c>
      <c r="O25" s="31">
        <v>0.16666666666666666</v>
      </c>
      <c r="P25" s="31">
        <v>0.4</v>
      </c>
    </row>
    <row r="26" spans="1:16" x14ac:dyDescent="0.4">
      <c r="A26" s="33">
        <v>23</v>
      </c>
      <c r="B26" s="30">
        <v>82.9</v>
      </c>
      <c r="C26" s="30">
        <v>3.6043478260869568</v>
      </c>
      <c r="D26" s="35">
        <v>2</v>
      </c>
      <c r="E26" s="31">
        <v>0.30434782608695654</v>
      </c>
      <c r="F26" s="31">
        <v>0.30434782608695654</v>
      </c>
      <c r="G26" s="31">
        <v>0.30337078651685395</v>
      </c>
      <c r="H26" s="31">
        <v>0.16853932584269662</v>
      </c>
      <c r="I26" s="32">
        <v>11107.407407407407</v>
      </c>
      <c r="J26" s="32">
        <v>-8603.3333333333339</v>
      </c>
      <c r="K26" s="31">
        <v>4.3478260869565216E-2</v>
      </c>
      <c r="L26" s="31">
        <v>0.3202247191011236</v>
      </c>
      <c r="M26" s="31">
        <v>0.10112359550561797</v>
      </c>
      <c r="N26" s="31">
        <v>0.64912280701754388</v>
      </c>
      <c r="O26" s="31">
        <v>0.16666666666666666</v>
      </c>
      <c r="P26" s="31">
        <v>0.3888888888888889</v>
      </c>
    </row>
    <row r="27" spans="1:16" x14ac:dyDescent="0.4">
      <c r="A27" s="33">
        <v>24</v>
      </c>
      <c r="B27" s="30">
        <v>48.600000000000009</v>
      </c>
      <c r="C27" s="30">
        <v>2.0250000000000004</v>
      </c>
      <c r="D27" s="35">
        <v>2.0416666666666665</v>
      </c>
      <c r="E27" s="31">
        <v>0.29166666666666669</v>
      </c>
      <c r="F27" s="31">
        <v>0.33333333333333331</v>
      </c>
      <c r="G27" s="31">
        <v>0.29255319148936171</v>
      </c>
      <c r="H27" s="31">
        <v>0.16489361702127658</v>
      </c>
      <c r="I27" s="32">
        <v>11232.727272727272</v>
      </c>
      <c r="J27" s="32">
        <v>-8712.9032258064508</v>
      </c>
      <c r="K27" s="31">
        <v>4.1666666666666664E-2</v>
      </c>
      <c r="L27" s="31">
        <v>0.33510638297872342</v>
      </c>
      <c r="M27" s="31">
        <v>9.5744680851063829E-2</v>
      </c>
      <c r="N27" s="31">
        <v>0.60317460317460314</v>
      </c>
      <c r="O27" s="31">
        <v>0.16666666666666666</v>
      </c>
      <c r="P27" s="31">
        <v>0.4</v>
      </c>
    </row>
    <row r="28" spans="1:16" x14ac:dyDescent="0.4">
      <c r="A28" s="33">
        <v>25</v>
      </c>
      <c r="B28" s="30">
        <v>45.800000000000011</v>
      </c>
      <c r="C28" s="30">
        <v>1.8320000000000005</v>
      </c>
      <c r="D28" s="35">
        <v>2.04</v>
      </c>
      <c r="E28" s="31">
        <v>0.28000000000000003</v>
      </c>
      <c r="F28" s="31">
        <v>0.32</v>
      </c>
      <c r="G28" s="31">
        <v>0.29081632653061223</v>
      </c>
      <c r="H28" s="31">
        <v>0.15816326530612246</v>
      </c>
      <c r="I28" s="32">
        <v>11043.859649122807</v>
      </c>
      <c r="J28" s="32">
        <v>-8712.9032258064508</v>
      </c>
      <c r="K28" s="31">
        <v>0.04</v>
      </c>
      <c r="L28" s="31">
        <v>0.33673469387755101</v>
      </c>
      <c r="M28" s="31">
        <v>0.10204081632653061</v>
      </c>
      <c r="N28" s="31">
        <v>0.59090909090909094</v>
      </c>
      <c r="O28" s="31">
        <v>0.15</v>
      </c>
      <c r="P28" s="31">
        <v>0.42105263157894735</v>
      </c>
    </row>
    <row r="29" spans="1:16" x14ac:dyDescent="0.4">
      <c r="A29" s="33">
        <v>26</v>
      </c>
      <c r="B29" s="30">
        <v>111.9</v>
      </c>
      <c r="C29" s="30">
        <v>4.3038461538461537</v>
      </c>
      <c r="D29" s="35">
        <v>2</v>
      </c>
      <c r="E29" s="31">
        <v>0.30769230769230771</v>
      </c>
      <c r="F29" s="31">
        <v>0.30769230769230771</v>
      </c>
      <c r="G29" s="31">
        <v>0.30243902439024389</v>
      </c>
      <c r="H29" s="31">
        <v>0.16585365853658537</v>
      </c>
      <c r="I29" s="32">
        <v>11180.645161290322</v>
      </c>
      <c r="J29" s="32">
        <v>-8594.1176470588234</v>
      </c>
      <c r="K29" s="31">
        <v>3.8461538461538464E-2</v>
      </c>
      <c r="L29" s="31">
        <v>0.34146341463414637</v>
      </c>
      <c r="M29" s="31">
        <v>9.7560975609756101E-2</v>
      </c>
      <c r="N29" s="31">
        <v>0.6</v>
      </c>
      <c r="O29" s="31">
        <v>0.15</v>
      </c>
      <c r="P29" s="31">
        <v>0.40322580645161288</v>
      </c>
    </row>
    <row r="30" spans="1:16" x14ac:dyDescent="0.4">
      <c r="A30" s="33">
        <v>27</v>
      </c>
      <c r="B30" s="30">
        <v>126.80000000000001</v>
      </c>
      <c r="C30" s="30">
        <v>4.6962962962962971</v>
      </c>
      <c r="D30" s="35">
        <v>2</v>
      </c>
      <c r="E30" s="31">
        <v>0.29629629629629628</v>
      </c>
      <c r="F30" s="31">
        <v>0.29629629629629628</v>
      </c>
      <c r="G30" s="31">
        <v>0.30188679245283018</v>
      </c>
      <c r="H30" s="31">
        <v>0.1650943396226415</v>
      </c>
      <c r="I30" s="32">
        <v>11139.0625</v>
      </c>
      <c r="J30" s="32">
        <v>-8405.7142857142862</v>
      </c>
      <c r="K30" s="31">
        <v>3.7037037037037035E-2</v>
      </c>
      <c r="L30" s="31">
        <v>0.34433962264150941</v>
      </c>
      <c r="M30" s="31">
        <v>9.9056603773584911E-2</v>
      </c>
      <c r="N30" s="31">
        <v>0.58904109589041098</v>
      </c>
      <c r="O30" s="31">
        <v>0.14285714285714285</v>
      </c>
      <c r="P30" s="31">
        <v>0.40625</v>
      </c>
    </row>
    <row r="31" spans="1:16" x14ac:dyDescent="0.4">
      <c r="A31" s="33">
        <v>28</v>
      </c>
      <c r="B31" s="30">
        <v>101.9</v>
      </c>
      <c r="C31" s="30">
        <v>3.6392857142857147</v>
      </c>
      <c r="D31" s="35">
        <v>2</v>
      </c>
      <c r="E31" s="31">
        <v>0.2857142857142857</v>
      </c>
      <c r="F31" s="31">
        <v>0.2857142857142857</v>
      </c>
      <c r="G31" s="31">
        <v>0.29729729729729731</v>
      </c>
      <c r="H31" s="31">
        <v>0.15765765765765766</v>
      </c>
      <c r="I31" s="32">
        <v>10971.212121212122</v>
      </c>
      <c r="J31" s="32">
        <v>-8405.7142857142862</v>
      </c>
      <c r="K31" s="31">
        <v>3.5714285714285712E-2</v>
      </c>
      <c r="L31" s="31">
        <v>0.33783783783783783</v>
      </c>
      <c r="M31" s="31">
        <v>9.90990990990991E-2</v>
      </c>
      <c r="N31" s="31">
        <v>0.57333333333333336</v>
      </c>
      <c r="O31" s="31">
        <v>0.13636363636363635</v>
      </c>
      <c r="P31" s="31">
        <v>0.40909090909090912</v>
      </c>
    </row>
    <row r="32" spans="1:16" x14ac:dyDescent="0.4">
      <c r="A32" s="33">
        <v>29</v>
      </c>
      <c r="B32" s="30">
        <v>125.30000000000001</v>
      </c>
      <c r="C32" s="30">
        <v>4.3206896551724139</v>
      </c>
      <c r="D32" s="35">
        <v>1.9655172413793103</v>
      </c>
      <c r="E32" s="31">
        <v>0.31034482758620691</v>
      </c>
      <c r="F32" s="31">
        <v>0.27586206896551724</v>
      </c>
      <c r="G32" s="31">
        <v>0.30042918454935624</v>
      </c>
      <c r="H32" s="31">
        <v>0.15879828326180256</v>
      </c>
      <c r="I32" s="32">
        <v>10605.714285714286</v>
      </c>
      <c r="J32" s="32">
        <v>-8308.1081081081084</v>
      </c>
      <c r="K32" s="31">
        <v>3.4482758620689655E-2</v>
      </c>
      <c r="L32" s="31">
        <v>0.33047210300429186</v>
      </c>
      <c r="M32" s="31">
        <v>0.11158798283261803</v>
      </c>
      <c r="N32" s="31">
        <v>0.5714285714285714</v>
      </c>
      <c r="O32" s="31">
        <v>0.19230769230769232</v>
      </c>
      <c r="P32" s="31">
        <v>0.41428571428571431</v>
      </c>
    </row>
    <row r="33" spans="1:16" x14ac:dyDescent="0.4">
      <c r="A33" s="33">
        <v>30</v>
      </c>
      <c r="B33" s="30">
        <v>69.700000000000017</v>
      </c>
      <c r="C33" s="30">
        <v>2.3233333333333337</v>
      </c>
      <c r="D33" s="35">
        <v>2</v>
      </c>
      <c r="E33" s="31">
        <v>0.3</v>
      </c>
      <c r="F33" s="31">
        <v>0.3</v>
      </c>
      <c r="G33" s="31">
        <v>0.29045643153526973</v>
      </c>
      <c r="H33" s="31">
        <v>0.15767634854771784</v>
      </c>
      <c r="I33" s="32">
        <v>10605.714285714286</v>
      </c>
      <c r="J33" s="32">
        <v>-8226.3157894736851</v>
      </c>
      <c r="K33" s="31">
        <v>6.6666666666666666E-2</v>
      </c>
      <c r="L33" s="31">
        <v>0.33195020746887965</v>
      </c>
      <c r="M33" s="31">
        <v>0.1078838174273859</v>
      </c>
      <c r="N33" s="31">
        <v>0.55000000000000004</v>
      </c>
      <c r="O33" s="31">
        <v>0.19230769230769232</v>
      </c>
      <c r="P33" s="31">
        <v>0.41428571428571431</v>
      </c>
    </row>
    <row r="34" spans="1:16" x14ac:dyDescent="0.4">
      <c r="A34" s="33">
        <v>31</v>
      </c>
      <c r="B34" s="30">
        <v>11.800000000000018</v>
      </c>
      <c r="C34" s="30">
        <v>0.38064516129032316</v>
      </c>
      <c r="D34" s="35">
        <v>2.032258064516129</v>
      </c>
      <c r="E34" s="31">
        <v>0.29032258064516131</v>
      </c>
      <c r="F34" s="31">
        <v>0.32258064516129031</v>
      </c>
      <c r="G34" s="31">
        <v>0.28112449799196787</v>
      </c>
      <c r="H34" s="31">
        <v>0.1646586345381526</v>
      </c>
      <c r="I34" s="32">
        <v>10605.714285714286</v>
      </c>
      <c r="J34" s="32">
        <v>-8075.6097560975613</v>
      </c>
      <c r="K34" s="31">
        <v>9.6774193548387094E-2</v>
      </c>
      <c r="L34" s="31">
        <v>0.33333333333333331</v>
      </c>
      <c r="M34" s="31">
        <v>0.10843373493975904</v>
      </c>
      <c r="N34" s="31">
        <v>0.53012048192771088</v>
      </c>
      <c r="O34" s="31">
        <v>0.18518518518518517</v>
      </c>
      <c r="P34" s="31">
        <v>0.41428571428571431</v>
      </c>
    </row>
    <row r="35" spans="1:16" x14ac:dyDescent="0.4">
      <c r="A35" s="33">
        <v>32</v>
      </c>
      <c r="B35" s="30">
        <v>-22.699999999999982</v>
      </c>
      <c r="C35" s="30">
        <v>-0.70937499999999942</v>
      </c>
      <c r="D35" s="35">
        <v>2.0625</v>
      </c>
      <c r="E35" s="31">
        <v>0.28125</v>
      </c>
      <c r="F35" s="31">
        <v>0.34375</v>
      </c>
      <c r="G35" s="31">
        <v>0.2734375</v>
      </c>
      <c r="H35" s="31">
        <v>0.16015625</v>
      </c>
      <c r="I35" s="32">
        <v>10605.714285714286</v>
      </c>
      <c r="J35" s="32">
        <v>-8075.6097560975613</v>
      </c>
      <c r="K35" s="31">
        <v>9.375E-2</v>
      </c>
      <c r="L35" s="31">
        <v>0.32421875</v>
      </c>
      <c r="M35" s="31">
        <v>0.10546875</v>
      </c>
      <c r="N35" s="31">
        <v>0.53012048192771088</v>
      </c>
      <c r="O35" s="31">
        <v>0.18518518518518517</v>
      </c>
      <c r="P35" s="31">
        <v>0.41428571428571431</v>
      </c>
    </row>
    <row r="36" spans="1:16" x14ac:dyDescent="0.4">
      <c r="A36" s="33">
        <v>33</v>
      </c>
      <c r="B36" s="30">
        <v>-56.299999999999983</v>
      </c>
      <c r="C36" s="30">
        <v>-1.7060606060606056</v>
      </c>
      <c r="D36" s="35">
        <v>2.0909090909090908</v>
      </c>
      <c r="E36" s="31">
        <v>0.27272727272727271</v>
      </c>
      <c r="F36" s="31">
        <v>0.36363636363636365</v>
      </c>
      <c r="G36" s="31">
        <v>0.27272727272727271</v>
      </c>
      <c r="H36" s="31">
        <v>0.16666666666666666</v>
      </c>
      <c r="I36" s="32">
        <v>10477.777777777777</v>
      </c>
      <c r="J36" s="32">
        <v>-7961.363636363636</v>
      </c>
      <c r="K36" s="31">
        <v>9.0909090909090912E-2</v>
      </c>
      <c r="L36" s="31">
        <v>0.32196969696969696</v>
      </c>
      <c r="M36" s="31">
        <v>0.10606060606060606</v>
      </c>
      <c r="N36" s="31">
        <v>0.54117647058823526</v>
      </c>
      <c r="O36" s="31">
        <v>0.17857142857142858</v>
      </c>
      <c r="P36" s="31">
        <v>0.43055555555555558</v>
      </c>
    </row>
    <row r="37" spans="1:16" x14ac:dyDescent="0.4">
      <c r="A37" s="33">
        <v>34</v>
      </c>
      <c r="B37" s="30">
        <v>-10.999999999999986</v>
      </c>
      <c r="C37" s="30">
        <v>-0.32352941176470545</v>
      </c>
      <c r="D37" s="35">
        <v>2.0588235294117645</v>
      </c>
      <c r="E37" s="31">
        <v>0.29411764705882354</v>
      </c>
      <c r="F37" s="31">
        <v>0.35294117647058826</v>
      </c>
      <c r="G37" s="31">
        <v>0.28205128205128205</v>
      </c>
      <c r="H37" s="31">
        <v>0.16849816849816851</v>
      </c>
      <c r="I37" s="32">
        <v>10353.246753246753</v>
      </c>
      <c r="J37" s="32">
        <v>-7756.521739130435</v>
      </c>
      <c r="K37" s="31">
        <v>8.8235294117647065E-2</v>
      </c>
      <c r="L37" s="31">
        <v>0.32967032967032966</v>
      </c>
      <c r="M37" s="31">
        <v>0.10256410256410256</v>
      </c>
      <c r="N37" s="31">
        <v>0.55555555555555558</v>
      </c>
      <c r="O37" s="31">
        <v>0.17857142857142858</v>
      </c>
      <c r="P37" s="31">
        <v>0.44155844155844154</v>
      </c>
    </row>
    <row r="38" spans="1:16" x14ac:dyDescent="0.4">
      <c r="A38" s="33">
        <v>35</v>
      </c>
      <c r="B38" s="30">
        <v>-69.599999999999994</v>
      </c>
      <c r="C38" s="30">
        <v>-1.9885714285714284</v>
      </c>
      <c r="D38" s="35">
        <v>2.0857142857142859</v>
      </c>
      <c r="E38" s="31">
        <v>0.2857142857142857</v>
      </c>
      <c r="F38" s="31">
        <v>0.37142857142857144</v>
      </c>
      <c r="G38" s="31">
        <v>0.27898550724637683</v>
      </c>
      <c r="H38" s="31">
        <v>0.17753623188405798</v>
      </c>
      <c r="I38" s="32">
        <v>10353.246753246753</v>
      </c>
      <c r="J38" s="32">
        <v>-8008.1632653061224</v>
      </c>
      <c r="K38" s="31">
        <v>0.11428571428571428</v>
      </c>
      <c r="L38" s="31">
        <v>0.32608695652173914</v>
      </c>
      <c r="M38" s="31">
        <v>0.10144927536231885</v>
      </c>
      <c r="N38" s="31">
        <v>0.55555555555555558</v>
      </c>
      <c r="O38" s="31">
        <v>0.17857142857142858</v>
      </c>
      <c r="P38" s="31">
        <v>0.44155844155844154</v>
      </c>
    </row>
    <row r="39" spans="1:16" x14ac:dyDescent="0.4">
      <c r="A39" s="33">
        <v>36</v>
      </c>
      <c r="B39" s="30">
        <v>-44.499999999999993</v>
      </c>
      <c r="C39" s="30">
        <v>-1.2361111111111109</v>
      </c>
      <c r="D39" s="35">
        <v>2.0555555555555554</v>
      </c>
      <c r="E39" s="31">
        <v>0.30555555555555558</v>
      </c>
      <c r="F39" s="31">
        <v>0.3611111111111111</v>
      </c>
      <c r="G39" s="31">
        <v>0.27719298245614032</v>
      </c>
      <c r="H39" s="31">
        <v>0.17894736842105263</v>
      </c>
      <c r="I39" s="32">
        <v>10698.73417721519</v>
      </c>
      <c r="J39" s="32">
        <v>-8164.7058823529414</v>
      </c>
      <c r="K39" s="31">
        <v>0.1111111111111111</v>
      </c>
      <c r="L39" s="31">
        <v>0.31929824561403508</v>
      </c>
      <c r="M39" s="31">
        <v>0.10877192982456141</v>
      </c>
      <c r="N39" s="31">
        <v>0.5494505494505495</v>
      </c>
      <c r="O39" s="31">
        <v>0.19354838709677419</v>
      </c>
      <c r="P39" s="31">
        <v>0.43037974683544306</v>
      </c>
    </row>
    <row r="40" spans="1:16" x14ac:dyDescent="0.4">
      <c r="A40" s="33">
        <v>37</v>
      </c>
      <c r="B40" s="30">
        <v>-51.599999999999994</v>
      </c>
      <c r="C40" s="30">
        <v>-1.3945945945945943</v>
      </c>
      <c r="D40" s="35">
        <v>2.0540540540540539</v>
      </c>
      <c r="E40" s="31">
        <v>0.29729729729729731</v>
      </c>
      <c r="F40" s="31">
        <v>0.35135135135135137</v>
      </c>
      <c r="G40" s="31">
        <v>0.27457627118644068</v>
      </c>
      <c r="H40" s="31">
        <v>0.17627118644067796</v>
      </c>
      <c r="I40" s="32">
        <v>10730.864197530864</v>
      </c>
      <c r="J40" s="32">
        <v>-8053.8461538461543</v>
      </c>
      <c r="K40" s="31">
        <v>0.10810810810810811</v>
      </c>
      <c r="L40" s="31">
        <v>0.31525423728813562</v>
      </c>
      <c r="M40" s="31">
        <v>0.10847457627118644</v>
      </c>
      <c r="N40" s="31">
        <v>0.54838709677419351</v>
      </c>
      <c r="O40" s="31">
        <v>0.1875</v>
      </c>
      <c r="P40" s="31">
        <v>0.44444444444444442</v>
      </c>
    </row>
    <row r="41" spans="1:16" x14ac:dyDescent="0.4">
      <c r="A41" s="33">
        <v>38</v>
      </c>
      <c r="B41" s="30">
        <v>-152.19999999999999</v>
      </c>
      <c r="C41" s="30">
        <v>-4.0052631578947366</v>
      </c>
      <c r="D41" s="35">
        <v>2.0789473684210527</v>
      </c>
      <c r="E41" s="31">
        <v>0.28947368421052633</v>
      </c>
      <c r="F41" s="31">
        <v>0.36842105263157893</v>
      </c>
      <c r="G41" s="31">
        <v>0.26710097719869708</v>
      </c>
      <c r="H41" s="31">
        <v>0.17915309446254071</v>
      </c>
      <c r="I41" s="32">
        <v>10626.829268292682</v>
      </c>
      <c r="J41" s="32">
        <v>-8930.9090909090901</v>
      </c>
      <c r="K41" s="31">
        <v>0.13157894736842105</v>
      </c>
      <c r="L41" s="31">
        <v>0.31270358306188922</v>
      </c>
      <c r="M41" s="31">
        <v>0.11400651465798045</v>
      </c>
      <c r="N41" s="31">
        <v>0.53125</v>
      </c>
      <c r="O41" s="31">
        <v>0.17142857142857143</v>
      </c>
      <c r="P41" s="31">
        <v>0.45121951219512196</v>
      </c>
    </row>
    <row r="42" spans="1:16" x14ac:dyDescent="0.4">
      <c r="A42" s="33">
        <v>39</v>
      </c>
      <c r="B42" s="30">
        <v>-207.6</v>
      </c>
      <c r="C42" s="30">
        <v>-5.3230769230769228</v>
      </c>
      <c r="D42" s="35">
        <v>2.1025641025641026</v>
      </c>
      <c r="E42" s="31">
        <v>0.28205128205128205</v>
      </c>
      <c r="F42" s="31">
        <v>0.38461538461538464</v>
      </c>
      <c r="G42" s="31">
        <v>0.26198083067092653</v>
      </c>
      <c r="H42" s="31">
        <v>0.17891373801916932</v>
      </c>
      <c r="I42" s="32">
        <v>10626.829268292682</v>
      </c>
      <c r="J42" s="32">
        <v>-8985.7142857142862</v>
      </c>
      <c r="K42" s="31">
        <v>0.15384615384615385</v>
      </c>
      <c r="L42" s="31">
        <v>0.30990415335463256</v>
      </c>
      <c r="M42" s="31">
        <v>0.11501597444089456</v>
      </c>
      <c r="N42" s="31">
        <v>0.52577319587628868</v>
      </c>
      <c r="O42" s="31">
        <v>0.16666666666666666</v>
      </c>
      <c r="P42" s="31">
        <v>0.45121951219512196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F32E3-C79D-4E9D-A417-BF5A80E64361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A5BCD-9497-4269-9CD6-41CC727FD797}">
  <sheetPr codeName="Sheet14"/>
  <dimension ref="A1:Q6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  <row r="34" spans="1:16" x14ac:dyDescent="0.4">
      <c r="A34" s="33">
        <v>31</v>
      </c>
      <c r="B34" s="30">
        <v>-284.60000000000002</v>
      </c>
      <c r="C34" s="30">
        <v>-9.1806451612903235</v>
      </c>
      <c r="D34" s="35">
        <v>2.129032258064516</v>
      </c>
      <c r="E34" s="31">
        <v>0.25806451612903225</v>
      </c>
      <c r="F34" s="31">
        <v>0.38709677419354838</v>
      </c>
      <c r="G34" s="31">
        <v>0.26053639846743293</v>
      </c>
      <c r="H34" s="31">
        <v>0.17241379310344829</v>
      </c>
      <c r="I34" s="32">
        <v>8133.8235294117649</v>
      </c>
      <c r="J34" s="32">
        <v>-7488.8888888888887</v>
      </c>
      <c r="K34" s="31">
        <v>0.16129032258064516</v>
      </c>
      <c r="L34" s="31">
        <v>0.22988505747126436</v>
      </c>
      <c r="M34" s="31">
        <v>0.21839080459770116</v>
      </c>
      <c r="N34" s="31">
        <v>0.51666666666666672</v>
      </c>
      <c r="O34" s="31">
        <v>0.36842105263157893</v>
      </c>
      <c r="P34" s="31">
        <v>0.45588235294117646</v>
      </c>
    </row>
    <row r="35" spans="1:16" x14ac:dyDescent="0.4">
      <c r="A35" s="33">
        <v>32</v>
      </c>
      <c r="B35" s="30">
        <v>-296.60000000000002</v>
      </c>
      <c r="C35" s="30">
        <v>-9.2687500000000007</v>
      </c>
      <c r="D35" s="35">
        <v>2.125</v>
      </c>
      <c r="E35" s="31">
        <v>0.25</v>
      </c>
      <c r="F35" s="31">
        <v>0.375</v>
      </c>
      <c r="G35" s="31">
        <v>0.2537313432835821</v>
      </c>
      <c r="H35" s="31">
        <v>0.16791044776119404</v>
      </c>
      <c r="I35" s="32">
        <v>8133.8235294117649</v>
      </c>
      <c r="J35" s="32">
        <v>-7488.8888888888887</v>
      </c>
      <c r="K35" s="31">
        <v>0.15625</v>
      </c>
      <c r="L35" s="31">
        <v>0.22761194029850745</v>
      </c>
      <c r="M35" s="31">
        <v>0.21268656716417911</v>
      </c>
      <c r="N35" s="31">
        <v>0.50819672131147542</v>
      </c>
      <c r="O35" s="31">
        <v>0.36842105263157893</v>
      </c>
      <c r="P35" s="31">
        <v>0.45588235294117646</v>
      </c>
    </row>
    <row r="36" spans="1:16" x14ac:dyDescent="0.4">
      <c r="A36" s="33">
        <v>33</v>
      </c>
      <c r="B36" s="30">
        <v>-331.20000000000005</v>
      </c>
      <c r="C36" s="30">
        <v>-10.036363636363637</v>
      </c>
      <c r="D36" s="35">
        <v>2.1515151515151514</v>
      </c>
      <c r="E36" s="31">
        <v>0.24242424242424243</v>
      </c>
      <c r="F36" s="31">
        <v>0.39393939393939392</v>
      </c>
      <c r="G36" s="31">
        <v>0.25270758122743681</v>
      </c>
      <c r="H36" s="31">
        <v>0.16967509025270758</v>
      </c>
      <c r="I36" s="32">
        <v>8187.1428571428569</v>
      </c>
      <c r="J36" s="32">
        <v>-7736.1702127659573</v>
      </c>
      <c r="K36" s="31">
        <v>0.15151515151515152</v>
      </c>
      <c r="L36" s="31">
        <v>0.23104693140794225</v>
      </c>
      <c r="M36" s="31">
        <v>0.20577617328519857</v>
      </c>
      <c r="N36" s="31">
        <v>0.515625</v>
      </c>
      <c r="O36" s="31">
        <v>0.36842105263157893</v>
      </c>
      <c r="P36" s="31">
        <v>0.44285714285714284</v>
      </c>
    </row>
    <row r="37" spans="1:16" x14ac:dyDescent="0.4">
      <c r="A37" s="33">
        <v>34</v>
      </c>
      <c r="B37" s="30">
        <v>-250.00000000000006</v>
      </c>
      <c r="C37" s="30">
        <v>-7.3529411764705896</v>
      </c>
      <c r="D37" s="35">
        <v>2.1176470588235294</v>
      </c>
      <c r="E37" s="31">
        <v>0.26470588235294118</v>
      </c>
      <c r="F37" s="31">
        <v>0.38235294117647056</v>
      </c>
      <c r="G37" s="31">
        <v>0.2597864768683274</v>
      </c>
      <c r="H37" s="31">
        <v>0.16725978647686832</v>
      </c>
      <c r="I37" s="32">
        <v>8600</v>
      </c>
      <c r="J37" s="32">
        <v>-7736.1702127659573</v>
      </c>
      <c r="K37" s="31">
        <v>0.14705882352941177</v>
      </c>
      <c r="L37" s="31">
        <v>0.23487544483985764</v>
      </c>
      <c r="M37" s="31">
        <v>0.20640569395017794</v>
      </c>
      <c r="N37" s="31">
        <v>0.53030303030303028</v>
      </c>
      <c r="O37" s="31">
        <v>0.37931034482758619</v>
      </c>
      <c r="P37" s="31">
        <v>0.43835616438356162</v>
      </c>
    </row>
    <row r="38" spans="1:16" x14ac:dyDescent="0.4">
      <c r="A38" s="33">
        <v>35</v>
      </c>
      <c r="B38" s="30">
        <v>-295.20000000000005</v>
      </c>
      <c r="C38" s="30">
        <v>-8.4342857142857159</v>
      </c>
      <c r="D38" s="35">
        <v>2.1428571428571428</v>
      </c>
      <c r="E38" s="31">
        <v>0.25714285714285712</v>
      </c>
      <c r="F38" s="31">
        <v>0.4</v>
      </c>
      <c r="G38" s="31">
        <v>0.25429553264604809</v>
      </c>
      <c r="H38" s="31">
        <v>0.16494845360824742</v>
      </c>
      <c r="I38" s="32">
        <v>8591.8918918918916</v>
      </c>
      <c r="J38" s="32">
        <v>-7825</v>
      </c>
      <c r="K38" s="31">
        <v>0.14285714285714285</v>
      </c>
      <c r="L38" s="31">
        <v>0.23024054982817868</v>
      </c>
      <c r="M38" s="31">
        <v>0.21305841924398625</v>
      </c>
      <c r="N38" s="31">
        <v>0.52238805970149249</v>
      </c>
      <c r="O38" s="31">
        <v>0.37096774193548387</v>
      </c>
      <c r="P38" s="31">
        <v>0.43243243243243246</v>
      </c>
    </row>
    <row r="39" spans="1:16" x14ac:dyDescent="0.4">
      <c r="A39" s="33">
        <v>36</v>
      </c>
      <c r="B39" s="30">
        <v>-345.20000000000005</v>
      </c>
      <c r="C39" s="30">
        <v>-9.5888888888888903</v>
      </c>
      <c r="D39" s="35">
        <v>2.1666666666666665</v>
      </c>
      <c r="E39" s="31">
        <v>0.25</v>
      </c>
      <c r="F39" s="31">
        <v>0.41666666666666669</v>
      </c>
      <c r="G39" s="31">
        <v>0.25167785234899331</v>
      </c>
      <c r="H39" s="31">
        <v>0.16778523489932887</v>
      </c>
      <c r="I39" s="32">
        <v>8562.6666666666661</v>
      </c>
      <c r="J39" s="32">
        <v>-8044</v>
      </c>
      <c r="K39" s="31">
        <v>0.1388888888888889</v>
      </c>
      <c r="L39" s="31">
        <v>0.22818791946308725</v>
      </c>
      <c r="M39" s="31">
        <v>0.20805369127516779</v>
      </c>
      <c r="N39" s="31">
        <v>0.51470588235294112</v>
      </c>
      <c r="O39" s="31">
        <v>0.37096774193548387</v>
      </c>
      <c r="P39" s="31">
        <v>0.42666666666666669</v>
      </c>
    </row>
    <row r="40" spans="1:16" x14ac:dyDescent="0.4">
      <c r="A40" s="33">
        <v>37</v>
      </c>
      <c r="B40" s="30">
        <v>-339.40000000000003</v>
      </c>
      <c r="C40" s="30">
        <v>-9.1729729729729748</v>
      </c>
      <c r="D40" s="35">
        <v>2.1621621621621623</v>
      </c>
      <c r="E40" s="31">
        <v>0.24324324324324326</v>
      </c>
      <c r="F40" s="31">
        <v>0.40540540540540543</v>
      </c>
      <c r="G40" s="31">
        <v>0.25163398692810457</v>
      </c>
      <c r="H40" s="31">
        <v>0.16339869281045752</v>
      </c>
      <c r="I40" s="32">
        <v>8512.9870129870123</v>
      </c>
      <c r="J40" s="32">
        <v>-8044</v>
      </c>
      <c r="K40" s="31">
        <v>0.13513513513513514</v>
      </c>
      <c r="L40" s="31">
        <v>0.22875816993464052</v>
      </c>
      <c r="M40" s="31">
        <v>0.20261437908496732</v>
      </c>
      <c r="N40" s="31">
        <v>0.51428571428571423</v>
      </c>
      <c r="O40" s="31">
        <v>0.37096774193548387</v>
      </c>
      <c r="P40" s="31">
        <v>0.44155844155844154</v>
      </c>
    </row>
    <row r="41" spans="1:16" x14ac:dyDescent="0.4">
      <c r="A41" s="33">
        <v>38</v>
      </c>
      <c r="B41" s="30">
        <v>-346.20000000000005</v>
      </c>
      <c r="C41" s="30">
        <v>-9.1105263157894747</v>
      </c>
      <c r="D41" s="35">
        <v>2.1578947368421053</v>
      </c>
      <c r="E41" s="31">
        <v>0.23684210526315788</v>
      </c>
      <c r="F41" s="31">
        <v>0.39473684210526316</v>
      </c>
      <c r="G41" s="31">
        <v>0.25396825396825395</v>
      </c>
      <c r="H41" s="31">
        <v>0.16507936507936508</v>
      </c>
      <c r="I41" s="32">
        <v>8563.75</v>
      </c>
      <c r="J41" s="32">
        <v>-8030.7692307692305</v>
      </c>
      <c r="K41" s="31">
        <v>0.13157894736842105</v>
      </c>
      <c r="L41" s="31">
        <v>0.22857142857142856</v>
      </c>
      <c r="M41" s="31">
        <v>0.20317460317460317</v>
      </c>
      <c r="N41" s="31">
        <v>0.52777777777777779</v>
      </c>
      <c r="O41" s="31">
        <v>0.375</v>
      </c>
      <c r="P41" s="31">
        <v>0.45</v>
      </c>
    </row>
    <row r="42" spans="1:16" x14ac:dyDescent="0.4">
      <c r="A42" s="33">
        <v>39</v>
      </c>
      <c r="B42" s="30">
        <v>-299.50000000000006</v>
      </c>
      <c r="C42" s="30">
        <v>-7.6794871794871806</v>
      </c>
      <c r="D42" s="35">
        <v>2.1282051282051282</v>
      </c>
      <c r="E42" s="31">
        <v>0.25641025641025639</v>
      </c>
      <c r="F42" s="31">
        <v>0.38461538461538464</v>
      </c>
      <c r="G42" s="31">
        <v>0.25696594427244585</v>
      </c>
      <c r="H42" s="31">
        <v>0.16408668730650156</v>
      </c>
      <c r="I42" s="32">
        <v>8636.1445783132531</v>
      </c>
      <c r="J42" s="32">
        <v>-7916.9811320754716</v>
      </c>
      <c r="K42" s="31">
        <v>0.12820512820512819</v>
      </c>
      <c r="L42" s="31">
        <v>0.22910216718266255</v>
      </c>
      <c r="M42" s="31">
        <v>0.20123839009287925</v>
      </c>
      <c r="N42" s="31">
        <v>0.52702702702702697</v>
      </c>
      <c r="O42" s="31">
        <v>0.38461538461538464</v>
      </c>
      <c r="P42" s="31">
        <v>0.46987951807228917</v>
      </c>
    </row>
    <row r="43" spans="1:16" x14ac:dyDescent="0.4">
      <c r="A43" s="33">
        <v>40</v>
      </c>
      <c r="B43" s="30">
        <v>-302.20000000000005</v>
      </c>
      <c r="C43" s="30">
        <v>-7.5550000000000015</v>
      </c>
      <c r="D43" s="35">
        <v>2.125</v>
      </c>
      <c r="E43" s="31">
        <v>0.25</v>
      </c>
      <c r="F43" s="31">
        <v>0.375</v>
      </c>
      <c r="G43" s="31">
        <v>0.25679758308157102</v>
      </c>
      <c r="H43" s="31">
        <v>0.16616314199395771</v>
      </c>
      <c r="I43" s="32">
        <v>8690.5882352941171</v>
      </c>
      <c r="J43" s="32">
        <v>-7978.181818181818</v>
      </c>
      <c r="K43" s="31">
        <v>0.125</v>
      </c>
      <c r="L43" s="31">
        <v>0.22658610271903323</v>
      </c>
      <c r="M43" s="31">
        <v>0.20543806646525681</v>
      </c>
      <c r="N43" s="31">
        <v>0.53333333333333333</v>
      </c>
      <c r="O43" s="31">
        <v>0.38235294117647056</v>
      </c>
      <c r="P43" s="31">
        <v>0.47058823529411764</v>
      </c>
    </row>
    <row r="44" spans="1:16" x14ac:dyDescent="0.4">
      <c r="A44" s="33">
        <v>41</v>
      </c>
      <c r="B44" s="30">
        <v>-312.90000000000003</v>
      </c>
      <c r="C44" s="30">
        <v>-7.6317073170731717</v>
      </c>
      <c r="D44" s="35">
        <v>2.1219512195121952</v>
      </c>
      <c r="E44" s="31">
        <v>0.24390243902439024</v>
      </c>
      <c r="F44" s="31">
        <v>0.36585365853658536</v>
      </c>
      <c r="G44" s="31">
        <v>0.25443786982248523</v>
      </c>
      <c r="H44" s="31">
        <v>0.17159763313609466</v>
      </c>
      <c r="I44" s="32">
        <v>8682.5581395348836</v>
      </c>
      <c r="J44" s="32">
        <v>-7767.2413793103451</v>
      </c>
      <c r="K44" s="31">
        <v>0.12195121951219512</v>
      </c>
      <c r="L44" s="31">
        <v>0.22485207100591717</v>
      </c>
      <c r="M44" s="31">
        <v>0.20414201183431951</v>
      </c>
      <c r="N44" s="31">
        <v>0.52631578947368418</v>
      </c>
      <c r="O44" s="31">
        <v>0.39130434782608697</v>
      </c>
      <c r="P44" s="31">
        <v>0.46511627906976744</v>
      </c>
    </row>
    <row r="45" spans="1:16" x14ac:dyDescent="0.4">
      <c r="A45" s="33">
        <v>42</v>
      </c>
      <c r="B45" s="30">
        <v>-324.00000000000006</v>
      </c>
      <c r="C45" s="30">
        <v>-7.7142857142857153</v>
      </c>
      <c r="D45" s="35">
        <v>2.1190476190476191</v>
      </c>
      <c r="E45" s="31">
        <v>0.23809523809523808</v>
      </c>
      <c r="F45" s="31">
        <v>0.35714285714285715</v>
      </c>
      <c r="G45" s="31">
        <v>0.25433526011560692</v>
      </c>
      <c r="H45" s="31">
        <v>0.16763005780346821</v>
      </c>
      <c r="I45" s="32">
        <v>8578.4090909090901</v>
      </c>
      <c r="J45" s="32">
        <v>-7767.2413793103451</v>
      </c>
      <c r="K45" s="31">
        <v>0.11904761904761904</v>
      </c>
      <c r="L45" s="31">
        <v>0.22832369942196531</v>
      </c>
      <c r="M45" s="31">
        <v>0.19942196531791909</v>
      </c>
      <c r="N45" s="31">
        <v>0.53164556962025311</v>
      </c>
      <c r="O45" s="31">
        <v>0.39130434782608697</v>
      </c>
      <c r="P45" s="31">
        <v>0.46590909090909088</v>
      </c>
    </row>
    <row r="46" spans="1:16" x14ac:dyDescent="0.4">
      <c r="A46" s="33">
        <v>43</v>
      </c>
      <c r="B46" s="30">
        <v>-314.40000000000003</v>
      </c>
      <c r="C46" s="30">
        <v>-7.3116279069767449</v>
      </c>
      <c r="D46" s="35">
        <v>2.1162790697674421</v>
      </c>
      <c r="E46" s="31">
        <v>0.23255813953488372</v>
      </c>
      <c r="F46" s="31">
        <v>0.34883720930232559</v>
      </c>
      <c r="G46" s="31">
        <v>0.25495750708215298</v>
      </c>
      <c r="H46" s="31">
        <v>0.16713881019830029</v>
      </c>
      <c r="I46" s="32">
        <v>8672.2222222222226</v>
      </c>
      <c r="J46" s="32">
        <v>-7771.1864406779659</v>
      </c>
      <c r="K46" s="31">
        <v>0.11627906976744186</v>
      </c>
      <c r="L46" s="31">
        <v>0.23229461756373937</v>
      </c>
      <c r="M46" s="31">
        <v>0.19546742209631729</v>
      </c>
      <c r="N46" s="31">
        <v>0.52439024390243905</v>
      </c>
      <c r="O46" s="31">
        <v>0.39130434782608697</v>
      </c>
      <c r="P46" s="31">
        <v>0.4777777777777778</v>
      </c>
    </row>
    <row r="47" spans="1:16" x14ac:dyDescent="0.4">
      <c r="A47" s="33">
        <v>44</v>
      </c>
      <c r="B47" s="30">
        <v>-300.3</v>
      </c>
      <c r="C47" s="30">
        <v>-6.8250000000000002</v>
      </c>
      <c r="D47" s="35">
        <v>2.1136363636363638</v>
      </c>
      <c r="E47" s="31">
        <v>0.22727272727272727</v>
      </c>
      <c r="F47" s="31">
        <v>0.34090909090909088</v>
      </c>
      <c r="G47" s="31">
        <v>0.25690607734806631</v>
      </c>
      <c r="H47" s="31">
        <v>0.16574585635359115</v>
      </c>
      <c r="I47" s="32">
        <v>8720.4301075268813</v>
      </c>
      <c r="J47" s="32">
        <v>-7706.666666666667</v>
      </c>
      <c r="K47" s="31">
        <v>0.11363636363636363</v>
      </c>
      <c r="L47" s="31">
        <v>0.23480662983425415</v>
      </c>
      <c r="M47" s="31">
        <v>0.19337016574585636</v>
      </c>
      <c r="N47" s="31">
        <v>0.52941176470588236</v>
      </c>
      <c r="O47" s="31">
        <v>0.38571428571428573</v>
      </c>
      <c r="P47" s="31">
        <v>0.4731182795698925</v>
      </c>
    </row>
    <row r="48" spans="1:16" x14ac:dyDescent="0.4">
      <c r="A48" s="33">
        <v>45</v>
      </c>
      <c r="B48" s="30">
        <v>-324.7</v>
      </c>
      <c r="C48" s="30">
        <v>-7.2155555555555555</v>
      </c>
      <c r="D48" s="35">
        <v>2.1333333333333333</v>
      </c>
      <c r="E48" s="31">
        <v>0.22222222222222221</v>
      </c>
      <c r="F48" s="31">
        <v>0.35555555555555557</v>
      </c>
      <c r="G48" s="31">
        <v>0.26145552560646901</v>
      </c>
      <c r="H48" s="31">
        <v>0.16711590296495957</v>
      </c>
      <c r="I48" s="32">
        <v>8712.3711340206191</v>
      </c>
      <c r="J48" s="32">
        <v>-8038.7096774193551</v>
      </c>
      <c r="K48" s="31">
        <v>0.1111111111111111</v>
      </c>
      <c r="L48" s="31">
        <v>0.23450134770889489</v>
      </c>
      <c r="M48" s="31">
        <v>0.19137466307277629</v>
      </c>
      <c r="N48" s="31">
        <v>0.54022988505747127</v>
      </c>
      <c r="O48" s="31">
        <v>0.38028169014084506</v>
      </c>
      <c r="P48" s="31">
        <v>0.47422680412371132</v>
      </c>
    </row>
    <row r="49" spans="1:16" x14ac:dyDescent="0.4">
      <c r="A49" s="33">
        <v>46</v>
      </c>
      <c r="B49" s="30">
        <v>-340.5</v>
      </c>
      <c r="C49" s="30">
        <v>-7.4021739130434785</v>
      </c>
      <c r="D49" s="35">
        <v>2.1304347826086958</v>
      </c>
      <c r="E49" s="31">
        <v>0.21739130434782608</v>
      </c>
      <c r="F49" s="31">
        <v>0.34782608695652173</v>
      </c>
      <c r="G49" s="31">
        <v>0.26109660574412535</v>
      </c>
      <c r="H49" s="31">
        <v>0.16710182767624021</v>
      </c>
      <c r="I49" s="32">
        <v>8619</v>
      </c>
      <c r="J49" s="32">
        <v>-8162.5</v>
      </c>
      <c r="K49" s="31">
        <v>0.10869565217391304</v>
      </c>
      <c r="L49" s="31">
        <v>0.23759791122715404</v>
      </c>
      <c r="M49" s="31">
        <v>0.1906005221932115</v>
      </c>
      <c r="N49" s="31">
        <v>0.52747252747252749</v>
      </c>
      <c r="O49" s="31">
        <v>0.38356164383561642</v>
      </c>
      <c r="P49" s="31">
        <v>0.47</v>
      </c>
    </row>
    <row r="50" spans="1:16" x14ac:dyDescent="0.4">
      <c r="A50" s="33">
        <v>47</v>
      </c>
      <c r="B50" s="30">
        <v>-344</v>
      </c>
      <c r="C50" s="30">
        <v>-7.3191489361702127</v>
      </c>
      <c r="D50" s="35">
        <v>2.1276595744680851</v>
      </c>
      <c r="E50" s="31">
        <v>0.21276595744680851</v>
      </c>
      <c r="F50" s="31">
        <v>0.34042553191489361</v>
      </c>
      <c r="G50" s="31">
        <v>0.25964010282776351</v>
      </c>
      <c r="H50" s="31">
        <v>0.16452442159383032</v>
      </c>
      <c r="I50" s="32">
        <v>8561.3861386138615</v>
      </c>
      <c r="J50" s="32">
        <v>-8162.5</v>
      </c>
      <c r="K50" s="31">
        <v>0.10638297872340426</v>
      </c>
      <c r="L50" s="31">
        <v>0.23907455012853471</v>
      </c>
      <c r="M50" s="31">
        <v>0.18766066838046272</v>
      </c>
      <c r="N50" s="31">
        <v>0.5268817204301075</v>
      </c>
      <c r="O50" s="31">
        <v>0.38356164383561642</v>
      </c>
      <c r="P50" s="31">
        <v>0.47524752475247523</v>
      </c>
    </row>
    <row r="51" spans="1:16" x14ac:dyDescent="0.4">
      <c r="A51" s="33">
        <v>48</v>
      </c>
      <c r="B51" s="30">
        <v>-397.2</v>
      </c>
      <c r="C51" s="30">
        <v>-8.2750000000000004</v>
      </c>
      <c r="D51" s="35">
        <v>2.1458333333333335</v>
      </c>
      <c r="E51" s="31">
        <v>0.20833333333333334</v>
      </c>
      <c r="F51" s="31">
        <v>0.35416666666666669</v>
      </c>
      <c r="G51" s="31">
        <v>0.25757575757575757</v>
      </c>
      <c r="H51" s="31">
        <v>0.16666666666666666</v>
      </c>
      <c r="I51" s="32">
        <v>8506.8627450980384</v>
      </c>
      <c r="J51" s="32">
        <v>-8193.939393939394</v>
      </c>
      <c r="K51" s="31">
        <v>0.10416666666666667</v>
      </c>
      <c r="L51" s="31">
        <v>0.24242424242424243</v>
      </c>
      <c r="M51" s="31">
        <v>0.18434343434343434</v>
      </c>
      <c r="N51" s="31">
        <v>0.51041666666666663</v>
      </c>
      <c r="O51" s="31">
        <v>0.38356164383561642</v>
      </c>
      <c r="P51" s="31">
        <v>0.48039215686274511</v>
      </c>
    </row>
    <row r="52" spans="1:16" x14ac:dyDescent="0.4">
      <c r="A52" s="33">
        <v>49</v>
      </c>
      <c r="B52" s="30">
        <v>-470.79999999999995</v>
      </c>
      <c r="C52" s="30">
        <v>-9.6081632653061213</v>
      </c>
      <c r="D52" s="35">
        <v>2.1632653061224492</v>
      </c>
      <c r="E52" s="31">
        <v>0.20408163265306123</v>
      </c>
      <c r="F52" s="31">
        <v>0.36734693877551022</v>
      </c>
      <c r="G52" s="31">
        <v>0.2536945812807882</v>
      </c>
      <c r="H52" s="31">
        <v>0.1625615763546798</v>
      </c>
      <c r="I52" s="32">
        <v>8486.4077669902908</v>
      </c>
      <c r="J52" s="32">
        <v>-8193.939393939394</v>
      </c>
      <c r="K52" s="31">
        <v>0.12244897959183673</v>
      </c>
      <c r="L52" s="31">
        <v>0.2413793103448276</v>
      </c>
      <c r="M52" s="31">
        <v>0.18965517241379309</v>
      </c>
      <c r="N52" s="31">
        <v>0.51020408163265307</v>
      </c>
      <c r="O52" s="31">
        <v>0.36363636363636365</v>
      </c>
      <c r="P52" s="31">
        <v>0.47572815533980584</v>
      </c>
    </row>
    <row r="53" spans="1:16" x14ac:dyDescent="0.4">
      <c r="A53" s="33">
        <v>50</v>
      </c>
      <c r="B53" s="30">
        <v>-472.59999999999997</v>
      </c>
      <c r="C53" s="30">
        <v>-9.452</v>
      </c>
      <c r="D53" s="35">
        <v>2.16</v>
      </c>
      <c r="E53" s="31">
        <v>0.2</v>
      </c>
      <c r="F53" s="31">
        <v>0.36</v>
      </c>
      <c r="G53" s="31">
        <v>0.2566585956416465</v>
      </c>
      <c r="H53" s="31">
        <v>0.16222760290556901</v>
      </c>
      <c r="I53" s="32">
        <v>8358.4905660377353</v>
      </c>
      <c r="J53" s="32">
        <v>-8186.5671641791041</v>
      </c>
      <c r="K53" s="31">
        <v>0.12</v>
      </c>
      <c r="L53" s="31">
        <v>0.24455205811138014</v>
      </c>
      <c r="M53" s="31">
        <v>0.18886198547215496</v>
      </c>
      <c r="N53" s="31">
        <v>0.50495049504950495</v>
      </c>
      <c r="O53" s="31">
        <v>0.37179487179487181</v>
      </c>
      <c r="P53" s="31">
        <v>0.47169811320754718</v>
      </c>
    </row>
    <row r="54" spans="1:16" x14ac:dyDescent="0.4">
      <c r="A54" s="33">
        <v>51</v>
      </c>
      <c r="B54" s="30">
        <v>-420.7</v>
      </c>
      <c r="C54" s="30">
        <v>-8.2490196078431364</v>
      </c>
      <c r="D54" s="35">
        <v>2.1372549019607843</v>
      </c>
      <c r="E54" s="31">
        <v>0.21568627450980393</v>
      </c>
      <c r="F54" s="31">
        <v>0.35294117647058826</v>
      </c>
      <c r="G54" s="31">
        <v>0.26428571428571429</v>
      </c>
      <c r="H54" s="31">
        <v>0.16190476190476191</v>
      </c>
      <c r="I54" s="32">
        <v>8400.9009009009005</v>
      </c>
      <c r="J54" s="32">
        <v>-8236.7647058823532</v>
      </c>
      <c r="K54" s="31">
        <v>0.11764705882352941</v>
      </c>
      <c r="L54" s="31">
        <v>0.24047619047619048</v>
      </c>
      <c r="M54" s="31">
        <v>0.19047619047619047</v>
      </c>
      <c r="N54" s="31">
        <v>0.50495049504950495</v>
      </c>
      <c r="O54" s="31">
        <v>0.375</v>
      </c>
      <c r="P54" s="31">
        <v>0.46846846846846846</v>
      </c>
    </row>
    <row r="55" spans="1:16" x14ac:dyDescent="0.4">
      <c r="A55" s="33">
        <v>52</v>
      </c>
      <c r="B55" s="30">
        <v>-364.3</v>
      </c>
      <c r="C55" s="30">
        <v>-7.0057692307692312</v>
      </c>
      <c r="D55" s="35">
        <v>2.1153846153846154</v>
      </c>
      <c r="E55" s="31">
        <v>0.23076923076923078</v>
      </c>
      <c r="F55" s="31">
        <v>0.34615384615384615</v>
      </c>
      <c r="G55" s="31">
        <v>0.26697892271662765</v>
      </c>
      <c r="H55" s="31">
        <v>0.15925058548009369</v>
      </c>
      <c r="I55" s="32">
        <v>8477.1929824561412</v>
      </c>
      <c r="J55" s="32">
        <v>-8236.7647058823532</v>
      </c>
      <c r="K55" s="31">
        <v>0.11538461538461539</v>
      </c>
      <c r="L55" s="31">
        <v>0.24121779859484777</v>
      </c>
      <c r="M55" s="31">
        <v>0.18735362997658081</v>
      </c>
      <c r="N55" s="31">
        <v>0.5145631067961165</v>
      </c>
      <c r="O55" s="31">
        <v>0.375</v>
      </c>
      <c r="P55" s="31">
        <v>0.46491228070175439</v>
      </c>
    </row>
    <row r="56" spans="1:16" x14ac:dyDescent="0.4">
      <c r="A56" s="33">
        <v>53</v>
      </c>
      <c r="B56" s="30">
        <v>-323.8</v>
      </c>
      <c r="C56" s="30">
        <v>-6.1094339622641511</v>
      </c>
      <c r="D56" s="35">
        <v>2.0943396226415096</v>
      </c>
      <c r="E56" s="31">
        <v>0.24528301886792453</v>
      </c>
      <c r="F56" s="31">
        <v>0.33962264150943394</v>
      </c>
      <c r="G56" s="31">
        <v>0.27188940092165897</v>
      </c>
      <c r="H56" s="31">
        <v>0.16129032258064516</v>
      </c>
      <c r="I56" s="32">
        <v>8513.5593220338978</v>
      </c>
      <c r="J56" s="32">
        <v>-8282.8571428571431</v>
      </c>
      <c r="K56" s="31">
        <v>0.11320754716981132</v>
      </c>
      <c r="L56" s="31">
        <v>0.23963133640552994</v>
      </c>
      <c r="M56" s="31">
        <v>0.18663594470046083</v>
      </c>
      <c r="N56" s="31">
        <v>0.51923076923076927</v>
      </c>
      <c r="O56" s="31">
        <v>0.38271604938271603</v>
      </c>
      <c r="P56" s="31">
        <v>0.4576271186440678</v>
      </c>
    </row>
    <row r="57" spans="1:16" x14ac:dyDescent="0.4">
      <c r="A57" s="33">
        <v>54</v>
      </c>
      <c r="B57" s="30">
        <v>-313.3</v>
      </c>
      <c r="C57" s="30">
        <v>-5.8018518518518523</v>
      </c>
      <c r="D57" s="35">
        <v>2.0925925925925926</v>
      </c>
      <c r="E57" s="31">
        <v>0.24074074074074073</v>
      </c>
      <c r="F57" s="31">
        <v>0.33333333333333331</v>
      </c>
      <c r="G57" s="31">
        <v>0.27272727272727271</v>
      </c>
      <c r="H57" s="31">
        <v>0.15909090909090909</v>
      </c>
      <c r="I57" s="32">
        <v>8538.3333333333339</v>
      </c>
      <c r="J57" s="32">
        <v>-8282.8571428571431</v>
      </c>
      <c r="K57" s="31">
        <v>0.1111111111111111</v>
      </c>
      <c r="L57" s="31">
        <v>0.23863636363636365</v>
      </c>
      <c r="M57" s="31">
        <v>0.18636363636363637</v>
      </c>
      <c r="N57" s="31">
        <v>0.52380952380952384</v>
      </c>
      <c r="O57" s="31">
        <v>0.37804878048780488</v>
      </c>
      <c r="P57" s="31">
        <v>0.45833333333333331</v>
      </c>
    </row>
    <row r="58" spans="1:16" x14ac:dyDescent="0.4">
      <c r="A58" s="33">
        <v>55</v>
      </c>
      <c r="B58" s="30">
        <v>-373.6</v>
      </c>
      <c r="C58" s="30">
        <v>-6.7927272727272729</v>
      </c>
      <c r="D58" s="35">
        <v>2.1090909090909089</v>
      </c>
      <c r="E58" s="31">
        <v>0.23636363636363636</v>
      </c>
      <c r="F58" s="31">
        <v>0.34545454545454546</v>
      </c>
      <c r="G58" s="31">
        <v>0.267260579064588</v>
      </c>
      <c r="H58" s="31">
        <v>0.15812917594654788</v>
      </c>
      <c r="I58" s="32">
        <v>8538.3333333333339</v>
      </c>
      <c r="J58" s="32">
        <v>-8391.5492957746483</v>
      </c>
      <c r="K58" s="31">
        <v>0.12727272727272726</v>
      </c>
      <c r="L58" s="31">
        <v>0.23608017817371937</v>
      </c>
      <c r="M58" s="31">
        <v>0.18708240534521159</v>
      </c>
      <c r="N58" s="31">
        <v>0.51886792452830188</v>
      </c>
      <c r="O58" s="31">
        <v>0.36904761904761907</v>
      </c>
      <c r="P58" s="31">
        <v>0.45833333333333331</v>
      </c>
    </row>
    <row r="59" spans="1:16" x14ac:dyDescent="0.4">
      <c r="A59" s="33">
        <v>56</v>
      </c>
      <c r="B59" s="30">
        <v>-375.20000000000005</v>
      </c>
      <c r="C59" s="30">
        <v>-6.7000000000000011</v>
      </c>
      <c r="D59" s="35">
        <v>2.1071428571428572</v>
      </c>
      <c r="E59" s="31">
        <v>0.23214285714285715</v>
      </c>
      <c r="F59" s="31">
        <v>0.3392857142857143</v>
      </c>
      <c r="G59" s="31">
        <v>0.26637554585152839</v>
      </c>
      <c r="H59" s="31">
        <v>0.15938864628820962</v>
      </c>
      <c r="I59" s="32">
        <v>8486.8852459016398</v>
      </c>
      <c r="J59" s="32">
        <v>-8250.6849315068484</v>
      </c>
      <c r="K59" s="31">
        <v>0.125</v>
      </c>
      <c r="L59" s="31">
        <v>0.24017467248908297</v>
      </c>
      <c r="M59" s="31">
        <v>0.18777292576419213</v>
      </c>
      <c r="N59" s="31">
        <v>0.50909090909090904</v>
      </c>
      <c r="O59" s="31">
        <v>0.37209302325581395</v>
      </c>
      <c r="P59" s="31">
        <v>0.45901639344262296</v>
      </c>
    </row>
    <row r="60" spans="1:16" x14ac:dyDescent="0.4">
      <c r="A60" s="33">
        <v>57</v>
      </c>
      <c r="B60" s="30">
        <v>-405.50000000000006</v>
      </c>
      <c r="C60" s="30">
        <v>-7.1140350877192988</v>
      </c>
      <c r="D60" s="35">
        <v>2.1228070175438596</v>
      </c>
      <c r="E60" s="31">
        <v>0.22807017543859648</v>
      </c>
      <c r="F60" s="31">
        <v>0.35087719298245612</v>
      </c>
      <c r="G60" s="31">
        <v>0.26508620689655171</v>
      </c>
      <c r="H60" s="31">
        <v>0.15732758620689655</v>
      </c>
      <c r="I60" s="32">
        <v>8460.1626016260161</v>
      </c>
      <c r="J60" s="32">
        <v>-8250.6849315068484</v>
      </c>
      <c r="K60" s="31">
        <v>0.12280701754385964</v>
      </c>
      <c r="L60" s="31">
        <v>0.2413793103448276</v>
      </c>
      <c r="M60" s="31">
        <v>0.1875</v>
      </c>
      <c r="N60" s="31">
        <v>0.5089285714285714</v>
      </c>
      <c r="O60" s="31">
        <v>0.36781609195402298</v>
      </c>
      <c r="P60" s="31">
        <v>0.45528455284552843</v>
      </c>
    </row>
    <row r="61" spans="1:16" x14ac:dyDescent="0.4">
      <c r="A61" s="33">
        <v>58</v>
      </c>
      <c r="B61" s="30">
        <v>-403.20000000000005</v>
      </c>
      <c r="C61" s="30">
        <v>-6.9517241379310351</v>
      </c>
      <c r="D61" s="35">
        <v>2.1206896551724137</v>
      </c>
      <c r="E61" s="31">
        <v>0.22413793103448276</v>
      </c>
      <c r="F61" s="31">
        <v>0.34482758620689657</v>
      </c>
      <c r="G61" s="31">
        <v>0.26694915254237289</v>
      </c>
      <c r="H61" s="31">
        <v>0.15889830508474576</v>
      </c>
      <c r="I61" s="32">
        <v>8430.9523809523816</v>
      </c>
      <c r="J61" s="32">
        <v>-8244</v>
      </c>
      <c r="K61" s="31">
        <v>0.1206896551724138</v>
      </c>
      <c r="L61" s="31">
        <v>0.23940677966101695</v>
      </c>
      <c r="M61" s="31">
        <v>0.19067796610169491</v>
      </c>
      <c r="N61" s="31">
        <v>0.51327433628318586</v>
      </c>
      <c r="O61" s="31">
        <v>0.35555555555555557</v>
      </c>
      <c r="P61" s="31">
        <v>0.45238095238095238</v>
      </c>
    </row>
    <row r="62" spans="1:16" x14ac:dyDescent="0.4">
      <c r="A62" s="33">
        <v>59</v>
      </c>
      <c r="B62" s="30">
        <v>-392.1</v>
      </c>
      <c r="C62" s="30">
        <v>-6.6457627118644069</v>
      </c>
      <c r="D62" s="35">
        <v>2.1186440677966103</v>
      </c>
      <c r="E62" s="31">
        <v>0.22033898305084745</v>
      </c>
      <c r="F62" s="31">
        <v>0.33898305084745761</v>
      </c>
      <c r="G62" s="31">
        <v>0.27027027027027029</v>
      </c>
      <c r="H62" s="31">
        <v>0.15800415800415801</v>
      </c>
      <c r="I62" s="32">
        <v>8410</v>
      </c>
      <c r="J62" s="32">
        <v>-8372.3684210526317</v>
      </c>
      <c r="K62" s="31">
        <v>0.11864406779661017</v>
      </c>
      <c r="L62" s="31">
        <v>0.24324324324324326</v>
      </c>
      <c r="M62" s="31">
        <v>0.19126819126819128</v>
      </c>
      <c r="N62" s="31">
        <v>0.52991452991452992</v>
      </c>
      <c r="O62" s="31">
        <v>0.34782608695652173</v>
      </c>
      <c r="P62" s="31">
        <v>0.44615384615384618</v>
      </c>
    </row>
    <row r="63" spans="1:16" x14ac:dyDescent="0.4">
      <c r="A63" s="33">
        <v>60</v>
      </c>
      <c r="B63" s="30">
        <v>-421.70000000000005</v>
      </c>
      <c r="C63" s="30">
        <v>-7.0283333333333342</v>
      </c>
      <c r="D63" s="35">
        <v>2.1333333333333333</v>
      </c>
      <c r="E63" s="31">
        <v>0.21666666666666667</v>
      </c>
      <c r="F63" s="31">
        <v>0.35</v>
      </c>
      <c r="G63" s="31">
        <v>0.26993865030674846</v>
      </c>
      <c r="H63" s="31">
        <v>0.15746421267893659</v>
      </c>
      <c r="I63" s="32">
        <v>8346.2121212121219</v>
      </c>
      <c r="J63" s="32">
        <v>-8419.4805194805194</v>
      </c>
      <c r="K63" s="31">
        <v>0.11666666666666667</v>
      </c>
      <c r="L63" s="31">
        <v>0.24130879345603273</v>
      </c>
      <c r="M63" s="31">
        <v>0.19222903885480572</v>
      </c>
      <c r="N63" s="31">
        <v>0.53389830508474578</v>
      </c>
      <c r="O63" s="31">
        <v>0.35106382978723405</v>
      </c>
      <c r="P63" s="31">
        <v>0.43939393939393939</v>
      </c>
    </row>
    <row r="64" spans="1:16" x14ac:dyDescent="0.4">
      <c r="A64" s="33">
        <v>61</v>
      </c>
      <c r="B64" s="30">
        <v>-417.00000000000006</v>
      </c>
      <c r="C64" s="30">
        <v>-6.836065573770493</v>
      </c>
      <c r="D64" s="35">
        <v>2.1311475409836067</v>
      </c>
      <c r="E64" s="31">
        <v>0.21311475409836064</v>
      </c>
      <c r="F64" s="31">
        <v>0.34426229508196721</v>
      </c>
      <c r="G64" s="31">
        <v>0.27217741935483869</v>
      </c>
      <c r="H64" s="31">
        <v>0.16129032258064516</v>
      </c>
      <c r="I64" s="32">
        <v>8368.1481481481478</v>
      </c>
      <c r="J64" s="32">
        <v>-8418.75</v>
      </c>
      <c r="K64" s="31">
        <v>0.11475409836065574</v>
      </c>
      <c r="L64" s="31">
        <v>0.24193548387096775</v>
      </c>
      <c r="M64" s="31">
        <v>0.18951612903225806</v>
      </c>
      <c r="N64" s="31">
        <v>0.53333333333333333</v>
      </c>
      <c r="O64" s="31">
        <v>0.35106382978723405</v>
      </c>
      <c r="P64" s="31">
        <v>0.43703703703703706</v>
      </c>
    </row>
    <row r="65" spans="1:16" x14ac:dyDescent="0.4">
      <c r="A65" s="33">
        <v>62</v>
      </c>
      <c r="B65" s="30">
        <v>-405.30000000000007</v>
      </c>
      <c r="C65" s="30">
        <v>-6.5370967741935493</v>
      </c>
      <c r="D65" s="35">
        <v>2.129032258064516</v>
      </c>
      <c r="E65" s="31">
        <v>0.20967741935483872</v>
      </c>
      <c r="F65" s="31">
        <v>0.33870967741935482</v>
      </c>
      <c r="G65" s="31">
        <v>0.27037773359840955</v>
      </c>
      <c r="H65" s="31">
        <v>0.15904572564612326</v>
      </c>
      <c r="I65" s="32">
        <v>8394.8529411764703</v>
      </c>
      <c r="J65" s="32">
        <v>-8418.75</v>
      </c>
      <c r="K65" s="31">
        <v>0.11290322580645161</v>
      </c>
      <c r="L65" s="31">
        <v>0.24055666003976142</v>
      </c>
      <c r="M65" s="31">
        <v>0.18687872763419483</v>
      </c>
      <c r="N65" s="31">
        <v>0.52892561983471076</v>
      </c>
      <c r="O65" s="31">
        <v>0.35106382978723405</v>
      </c>
      <c r="P65" s="31">
        <v>0.43382352941176472</v>
      </c>
    </row>
    <row r="66" spans="1:16" x14ac:dyDescent="0.4">
      <c r="A66" s="33">
        <v>63</v>
      </c>
      <c r="B66" s="30">
        <v>-372.80000000000007</v>
      </c>
      <c r="C66" s="30">
        <v>-5.9174603174603186</v>
      </c>
      <c r="D66" s="35">
        <v>2.1111111111111112</v>
      </c>
      <c r="E66" s="31">
        <v>0.22222222222222221</v>
      </c>
      <c r="F66" s="31">
        <v>0.33333333333333331</v>
      </c>
      <c r="G66" s="31">
        <v>0.27450980392156865</v>
      </c>
      <c r="H66" s="31">
        <v>0.15686274509803921</v>
      </c>
      <c r="I66" s="32">
        <v>8294.2857142857138</v>
      </c>
      <c r="J66" s="32">
        <v>-8418.75</v>
      </c>
      <c r="K66" s="31">
        <v>0.1111111111111111</v>
      </c>
      <c r="L66" s="31">
        <v>0.24313725490196078</v>
      </c>
      <c r="M66" s="31">
        <v>0.18627450980392157</v>
      </c>
      <c r="N66" s="31">
        <v>0.532258064516129</v>
      </c>
      <c r="O66" s="31">
        <v>0.35789473684210527</v>
      </c>
      <c r="P66" s="31">
        <v>0.43571428571428572</v>
      </c>
    </row>
    <row r="67" spans="1:16" x14ac:dyDescent="0.4">
      <c r="A67" s="33">
        <v>64</v>
      </c>
      <c r="B67" s="30">
        <v>-433.30000000000007</v>
      </c>
      <c r="C67" s="30">
        <v>-6.7703125000000011</v>
      </c>
      <c r="D67" s="35">
        <v>2.125</v>
      </c>
      <c r="E67" s="31">
        <v>0.21875</v>
      </c>
      <c r="F67" s="31">
        <v>0.34375</v>
      </c>
      <c r="G67" s="31">
        <v>0.27184466019417475</v>
      </c>
      <c r="H67" s="31">
        <v>0.15922330097087378</v>
      </c>
      <c r="I67" s="32">
        <v>8294.2857142857138</v>
      </c>
      <c r="J67" s="32">
        <v>-8530.4878048780483</v>
      </c>
      <c r="K67" s="31">
        <v>0.125</v>
      </c>
      <c r="L67" s="31">
        <v>0.24271844660194175</v>
      </c>
      <c r="M67" s="31">
        <v>0.18446601941747573</v>
      </c>
      <c r="N67" s="31">
        <v>0.52800000000000002</v>
      </c>
      <c r="O67" s="31">
        <v>0.35789473684210527</v>
      </c>
      <c r="P67" s="31">
        <v>0.43571428571428572</v>
      </c>
    </row>
    <row r="68" spans="1:16" x14ac:dyDescent="0.4">
      <c r="A68" s="33">
        <v>65</v>
      </c>
      <c r="B68" s="30">
        <v>-429.80000000000007</v>
      </c>
      <c r="C68" s="30">
        <v>-6.6123076923076933</v>
      </c>
      <c r="D68" s="35">
        <v>2.1230769230769231</v>
      </c>
      <c r="E68" s="31">
        <v>0.2153846153846154</v>
      </c>
      <c r="F68" s="31">
        <v>0.33846153846153848</v>
      </c>
      <c r="G68" s="31">
        <v>0.2706333973128599</v>
      </c>
      <c r="H68" s="31">
        <v>0.15738963531669867</v>
      </c>
      <c r="I68" s="32">
        <v>8320.567375886525</v>
      </c>
      <c r="J68" s="32">
        <v>-8530.4878048780483</v>
      </c>
      <c r="K68" s="31">
        <v>0.12307692307692308</v>
      </c>
      <c r="L68" s="31">
        <v>0.2437619961612284</v>
      </c>
      <c r="M68" s="31">
        <v>0.18426103646833014</v>
      </c>
      <c r="N68" s="31">
        <v>0.52755905511811019</v>
      </c>
      <c r="O68" s="31">
        <v>0.35416666666666669</v>
      </c>
      <c r="P68" s="31">
        <v>0.43262411347517732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A510-FA7E-4414-8B5E-5FE55711D85A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F8F4-EB52-4197-90D3-2788B73A470D}">
  <sheetPr codeName="Sheet10"/>
  <dimension ref="A1:Q9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  <row r="52" spans="1:16" x14ac:dyDescent="0.4">
      <c r="A52" s="33">
        <v>49</v>
      </c>
      <c r="B52" s="30">
        <v>302.10000000000002</v>
      </c>
      <c r="C52" s="30">
        <v>6.16530612244898</v>
      </c>
      <c r="D52" s="35">
        <v>1.8163265306122449</v>
      </c>
      <c r="E52" s="31">
        <v>0.42857142857142855</v>
      </c>
      <c r="F52" s="31">
        <v>0.24489795918367346</v>
      </c>
      <c r="G52" s="31">
        <v>0.34343434343434343</v>
      </c>
      <c r="H52" s="31">
        <v>0.14141414141414141</v>
      </c>
      <c r="I52" s="32">
        <v>8966.176470588236</v>
      </c>
      <c r="J52" s="32">
        <v>-8701.7857142857138</v>
      </c>
      <c r="K52" s="31">
        <v>4.0816326530612242E-2</v>
      </c>
      <c r="L52" s="31">
        <v>0.34595959595959597</v>
      </c>
      <c r="M52" s="31">
        <v>0.15656565656565657</v>
      </c>
      <c r="N52" s="31">
        <v>0.56204379562043794</v>
      </c>
      <c r="O52" s="31">
        <v>0.46774193548387094</v>
      </c>
      <c r="P52" s="31">
        <v>0.43382352941176472</v>
      </c>
    </row>
    <row r="53" spans="1:16" x14ac:dyDescent="0.4">
      <c r="A53" s="33">
        <v>50</v>
      </c>
      <c r="B53" s="30">
        <v>358.5</v>
      </c>
      <c r="C53" s="30">
        <v>7.17</v>
      </c>
      <c r="D53" s="35">
        <v>1.8</v>
      </c>
      <c r="E53" s="31">
        <v>0.44</v>
      </c>
      <c r="F53" s="31">
        <v>0.24</v>
      </c>
      <c r="G53" s="31">
        <v>0.34739454094292804</v>
      </c>
      <c r="H53" s="31">
        <v>0.13895781637717122</v>
      </c>
      <c r="I53" s="32">
        <v>8912.8571428571431</v>
      </c>
      <c r="J53" s="32">
        <v>-8701.7857142857138</v>
      </c>
      <c r="K53" s="31">
        <v>0.04</v>
      </c>
      <c r="L53" s="31">
        <v>0.34739454094292804</v>
      </c>
      <c r="M53" s="31">
        <v>0.16129032258064516</v>
      </c>
      <c r="N53" s="31">
        <v>0.5714285714285714</v>
      </c>
      <c r="O53" s="31">
        <v>0.46153846153846156</v>
      </c>
      <c r="P53" s="31">
        <v>0.43571428571428572</v>
      </c>
    </row>
    <row r="54" spans="1:16" x14ac:dyDescent="0.4">
      <c r="A54" s="33">
        <v>51</v>
      </c>
      <c r="B54" s="30">
        <v>402.7</v>
      </c>
      <c r="C54" s="30">
        <v>7.8960784313725485</v>
      </c>
      <c r="D54" s="35">
        <v>1.7843137254901962</v>
      </c>
      <c r="E54" s="31">
        <v>0.45098039215686275</v>
      </c>
      <c r="F54" s="31">
        <v>0.23529411764705882</v>
      </c>
      <c r="G54" s="31">
        <v>0.34951456310679613</v>
      </c>
      <c r="H54" s="31">
        <v>0.14077669902912621</v>
      </c>
      <c r="I54" s="32">
        <v>8937.5</v>
      </c>
      <c r="J54" s="32">
        <v>-8677.5862068965525</v>
      </c>
      <c r="K54" s="31">
        <v>3.9215686274509803E-2</v>
      </c>
      <c r="L54" s="31">
        <v>0.35194174757281554</v>
      </c>
      <c r="M54" s="31">
        <v>0.15776699029126215</v>
      </c>
      <c r="N54" s="31">
        <v>0.57241379310344831</v>
      </c>
      <c r="O54" s="31">
        <v>0.46153846153846156</v>
      </c>
      <c r="P54" s="31">
        <v>0.4375</v>
      </c>
    </row>
    <row r="55" spans="1:16" x14ac:dyDescent="0.4">
      <c r="A55" s="33">
        <v>52</v>
      </c>
      <c r="B55" s="30">
        <v>411.8</v>
      </c>
      <c r="C55" s="30">
        <v>7.9192307692307695</v>
      </c>
      <c r="D55" s="35">
        <v>1.7884615384615385</v>
      </c>
      <c r="E55" s="31">
        <v>0.44230769230769229</v>
      </c>
      <c r="F55" s="31">
        <v>0.23076923076923078</v>
      </c>
      <c r="G55" s="31">
        <v>0.34834123222748814</v>
      </c>
      <c r="H55" s="31">
        <v>0.13981042654028436</v>
      </c>
      <c r="I55" s="32">
        <v>8946.2585034013609</v>
      </c>
      <c r="J55" s="32">
        <v>-8733.8983050847455</v>
      </c>
      <c r="K55" s="31">
        <v>3.8461538461538464E-2</v>
      </c>
      <c r="L55" s="31">
        <v>0.35308056872037913</v>
      </c>
      <c r="M55" s="31">
        <v>0.15639810426540285</v>
      </c>
      <c r="N55" s="31">
        <v>0.57046979865771807</v>
      </c>
      <c r="O55" s="31">
        <v>0.46969696969696972</v>
      </c>
      <c r="P55" s="31">
        <v>0.43537414965986393</v>
      </c>
    </row>
    <row r="56" spans="1:16" x14ac:dyDescent="0.4">
      <c r="A56" s="33">
        <v>53</v>
      </c>
      <c r="B56" s="30">
        <v>354.90000000000003</v>
      </c>
      <c r="C56" s="30">
        <v>6.6962264150943405</v>
      </c>
      <c r="D56" s="35">
        <v>1.8113207547169812</v>
      </c>
      <c r="E56" s="31">
        <v>0.43396226415094341</v>
      </c>
      <c r="F56" s="31">
        <v>0.24528301886792453</v>
      </c>
      <c r="G56" s="31">
        <v>0.34651162790697676</v>
      </c>
      <c r="H56" s="31">
        <v>0.14418604651162792</v>
      </c>
      <c r="I56" s="32">
        <v>8904.0268456375834</v>
      </c>
      <c r="J56" s="32">
        <v>-8762.9032258064508</v>
      </c>
      <c r="K56" s="31">
        <v>5.6603773584905662E-2</v>
      </c>
      <c r="L56" s="31">
        <v>0.36046511627906974</v>
      </c>
      <c r="M56" s="31">
        <v>0.1558139534883721</v>
      </c>
      <c r="N56" s="31">
        <v>0.56129032258064515</v>
      </c>
      <c r="O56" s="31">
        <v>0.46268656716417911</v>
      </c>
      <c r="P56" s="31">
        <v>0.42953020134228187</v>
      </c>
    </row>
    <row r="57" spans="1:16" x14ac:dyDescent="0.4">
      <c r="A57" s="33">
        <v>54</v>
      </c>
      <c r="B57" s="30">
        <v>366.90000000000003</v>
      </c>
      <c r="C57" s="30">
        <v>6.7944444444444452</v>
      </c>
      <c r="D57" s="35">
        <v>1.8148148148148149</v>
      </c>
      <c r="E57" s="31">
        <v>0.42592592592592593</v>
      </c>
      <c r="F57" s="31">
        <v>0.24074074074074073</v>
      </c>
      <c r="G57" s="31">
        <v>0.34851936218678814</v>
      </c>
      <c r="H57" s="31">
        <v>0.14123006833712984</v>
      </c>
      <c r="I57" s="32">
        <v>8888.2352941176468</v>
      </c>
      <c r="J57" s="32">
        <v>-8762.9032258064508</v>
      </c>
      <c r="K57" s="31">
        <v>5.5555555555555552E-2</v>
      </c>
      <c r="L57" s="31">
        <v>0.36902050113895218</v>
      </c>
      <c r="M57" s="31">
        <v>0.15489749430523919</v>
      </c>
      <c r="N57" s="31">
        <v>0.56172839506172845</v>
      </c>
      <c r="O57" s="31">
        <v>0.45588235294117646</v>
      </c>
      <c r="P57" s="31">
        <v>0.41830065359477125</v>
      </c>
    </row>
    <row r="58" spans="1:16" x14ac:dyDescent="0.4">
      <c r="A58" s="33">
        <v>55</v>
      </c>
      <c r="B58" s="30">
        <v>305.60000000000002</v>
      </c>
      <c r="C58" s="30">
        <v>5.5563636363636366</v>
      </c>
      <c r="D58" s="35">
        <v>1.8363636363636364</v>
      </c>
      <c r="E58" s="31">
        <v>0.41818181818181815</v>
      </c>
      <c r="F58" s="31">
        <v>0.25454545454545452</v>
      </c>
      <c r="G58" s="31">
        <v>0.34606741573033706</v>
      </c>
      <c r="H58" s="31">
        <v>0.14606741573033707</v>
      </c>
      <c r="I58" s="32">
        <v>8880.5194805194806</v>
      </c>
      <c r="J58" s="32">
        <v>-8912.3076923076915</v>
      </c>
      <c r="K58" s="31">
        <v>7.2727272727272724E-2</v>
      </c>
      <c r="L58" s="31">
        <v>0.37303370786516854</v>
      </c>
      <c r="M58" s="31">
        <v>0.15280898876404495</v>
      </c>
      <c r="N58" s="31">
        <v>0.55421686746987953</v>
      </c>
      <c r="O58" s="31">
        <v>0.45588235294117646</v>
      </c>
      <c r="P58" s="31">
        <v>0.41558441558441561</v>
      </c>
    </row>
    <row r="59" spans="1:16" x14ac:dyDescent="0.4">
      <c r="A59" s="33">
        <v>56</v>
      </c>
      <c r="B59" s="30">
        <v>242.10000000000002</v>
      </c>
      <c r="C59" s="30">
        <v>4.3232142857142861</v>
      </c>
      <c r="D59" s="35">
        <v>1.8571428571428572</v>
      </c>
      <c r="E59" s="31">
        <v>0.4107142857142857</v>
      </c>
      <c r="F59" s="31">
        <v>0.26785714285714285</v>
      </c>
      <c r="G59" s="31">
        <v>0.34451901565995524</v>
      </c>
      <c r="H59" s="31">
        <v>0.1476510067114094</v>
      </c>
      <c r="I59" s="32">
        <v>8880.5194805194806</v>
      </c>
      <c r="J59" s="32">
        <v>-9050</v>
      </c>
      <c r="K59" s="31">
        <v>8.9285714285714288E-2</v>
      </c>
      <c r="L59" s="31">
        <v>0.37360178970917224</v>
      </c>
      <c r="M59" s="31">
        <v>0.15212527964205816</v>
      </c>
      <c r="N59" s="31">
        <v>0.55089820359281438</v>
      </c>
      <c r="O59" s="31">
        <v>0.45588235294117646</v>
      </c>
      <c r="P59" s="31">
        <v>0.41558441558441561</v>
      </c>
    </row>
    <row r="60" spans="1:16" x14ac:dyDescent="0.4">
      <c r="A60" s="33">
        <v>57</v>
      </c>
      <c r="B60" s="30">
        <v>211.60000000000002</v>
      </c>
      <c r="C60" s="30">
        <v>3.7122807017543864</v>
      </c>
      <c r="D60" s="35">
        <v>1.8771929824561404</v>
      </c>
      <c r="E60" s="31">
        <v>0.40350877192982454</v>
      </c>
      <c r="F60" s="31">
        <v>0.2807017543859649</v>
      </c>
      <c r="G60" s="31">
        <v>0.33991228070175439</v>
      </c>
      <c r="H60" s="31">
        <v>0.14692982456140352</v>
      </c>
      <c r="I60" s="32">
        <v>8926.4516129032254</v>
      </c>
      <c r="J60" s="32">
        <v>-9034.3283582089553</v>
      </c>
      <c r="K60" s="31">
        <v>8.771929824561403E-2</v>
      </c>
      <c r="L60" s="31">
        <v>0.36842105263157893</v>
      </c>
      <c r="M60" s="31">
        <v>0.15350877192982457</v>
      </c>
      <c r="N60" s="31">
        <v>0.5535714285714286</v>
      </c>
      <c r="O60" s="31">
        <v>0.44285714285714284</v>
      </c>
      <c r="P60" s="31">
        <v>0.41935483870967744</v>
      </c>
    </row>
    <row r="61" spans="1:16" x14ac:dyDescent="0.4">
      <c r="A61" s="33">
        <v>58</v>
      </c>
      <c r="B61" s="30">
        <v>267.3</v>
      </c>
      <c r="C61" s="30">
        <v>4.6086206896551722</v>
      </c>
      <c r="D61" s="35">
        <v>1.8620689655172413</v>
      </c>
      <c r="E61" s="31">
        <v>0.41379310344827586</v>
      </c>
      <c r="F61" s="31">
        <v>0.27586206896551724</v>
      </c>
      <c r="G61" s="31">
        <v>0.34415584415584416</v>
      </c>
      <c r="H61" s="31">
        <v>0.14502164502164502</v>
      </c>
      <c r="I61" s="32">
        <v>8938.3647798742131</v>
      </c>
      <c r="J61" s="32">
        <v>-9034.3283582089553</v>
      </c>
      <c r="K61" s="31">
        <v>8.6206896551724144E-2</v>
      </c>
      <c r="L61" s="31">
        <v>0.36796536796536794</v>
      </c>
      <c r="M61" s="31">
        <v>0.15584415584415584</v>
      </c>
      <c r="N61" s="31">
        <v>0.55294117647058827</v>
      </c>
      <c r="O61" s="31">
        <v>0.45833333333333331</v>
      </c>
      <c r="P61" s="31">
        <v>0.42138364779874216</v>
      </c>
    </row>
    <row r="62" spans="1:16" x14ac:dyDescent="0.4">
      <c r="A62" s="33">
        <v>59</v>
      </c>
      <c r="B62" s="30">
        <v>271.3</v>
      </c>
      <c r="C62" s="30">
        <v>4.5983050847457632</v>
      </c>
      <c r="D62" s="35">
        <v>1.8644067796610169</v>
      </c>
      <c r="E62" s="31">
        <v>0.40677966101694918</v>
      </c>
      <c r="F62" s="31">
        <v>0.2711864406779661</v>
      </c>
      <c r="G62" s="31">
        <v>0.34468085106382979</v>
      </c>
      <c r="H62" s="31">
        <v>0.14468085106382977</v>
      </c>
      <c r="I62" s="32">
        <v>8986.4197530864203</v>
      </c>
      <c r="J62" s="32">
        <v>-9072.0588235294126</v>
      </c>
      <c r="K62" s="31">
        <v>8.4745762711864403E-2</v>
      </c>
      <c r="L62" s="31">
        <v>0.36382978723404258</v>
      </c>
      <c r="M62" s="31">
        <v>0.15531914893617021</v>
      </c>
      <c r="N62" s="31">
        <v>0.55555555555555558</v>
      </c>
      <c r="O62" s="31">
        <v>0.46575342465753422</v>
      </c>
      <c r="P62" s="31">
        <v>0.42592592592592593</v>
      </c>
    </row>
    <row r="63" spans="1:16" x14ac:dyDescent="0.4">
      <c r="A63" s="33">
        <v>60</v>
      </c>
      <c r="B63" s="30">
        <v>308.10000000000002</v>
      </c>
      <c r="C63" s="30">
        <v>5.1350000000000007</v>
      </c>
      <c r="D63" s="35">
        <v>1.85</v>
      </c>
      <c r="E63" s="31">
        <v>0.41666666666666669</v>
      </c>
      <c r="F63" s="31">
        <v>0.26666666666666666</v>
      </c>
      <c r="G63" s="31">
        <v>0.34381551362683438</v>
      </c>
      <c r="H63" s="31">
        <v>0.14465408805031446</v>
      </c>
      <c r="I63" s="32">
        <v>8984.1463414634145</v>
      </c>
      <c r="J63" s="32">
        <v>-8959.420289855072</v>
      </c>
      <c r="K63" s="31">
        <v>8.3333333333333329E-2</v>
      </c>
      <c r="L63" s="31">
        <v>0.36268343815513626</v>
      </c>
      <c r="M63" s="31">
        <v>0.15723270440251572</v>
      </c>
      <c r="N63" s="31">
        <v>0.55491329479768781</v>
      </c>
      <c r="O63" s="31">
        <v>0.45333333333333331</v>
      </c>
      <c r="P63" s="31">
        <v>0.42682926829268292</v>
      </c>
    </row>
    <row r="64" spans="1:16" x14ac:dyDescent="0.4">
      <c r="A64" s="33">
        <v>61</v>
      </c>
      <c r="B64" s="30">
        <v>364.1</v>
      </c>
      <c r="C64" s="30">
        <v>5.9688524590163938</v>
      </c>
      <c r="D64" s="35">
        <v>1.8360655737704918</v>
      </c>
      <c r="E64" s="31">
        <v>0.42622950819672129</v>
      </c>
      <c r="F64" s="31">
        <v>0.26229508196721313</v>
      </c>
      <c r="G64" s="31">
        <v>0.3450413223140496</v>
      </c>
      <c r="H64" s="31">
        <v>0.14256198347107438</v>
      </c>
      <c r="I64" s="32">
        <v>9062.2754491017968</v>
      </c>
      <c r="J64" s="32">
        <v>-8959.420289855072</v>
      </c>
      <c r="K64" s="31">
        <v>8.1967213114754092E-2</v>
      </c>
      <c r="L64" s="31">
        <v>0.36776859504132231</v>
      </c>
      <c r="M64" s="31">
        <v>0.15495867768595042</v>
      </c>
      <c r="N64" s="31">
        <v>0.5561797752808989</v>
      </c>
      <c r="O64" s="31">
        <v>0.45333333333333331</v>
      </c>
      <c r="P64" s="31">
        <v>0.43113772455089822</v>
      </c>
    </row>
    <row r="65" spans="1:16" x14ac:dyDescent="0.4">
      <c r="A65" s="33">
        <v>62</v>
      </c>
      <c r="B65" s="30">
        <v>363.20000000000005</v>
      </c>
      <c r="C65" s="30">
        <v>5.8580645161290326</v>
      </c>
      <c r="D65" s="35">
        <v>1.8387096774193548</v>
      </c>
      <c r="E65" s="31">
        <v>0.41935483870967744</v>
      </c>
      <c r="F65" s="31">
        <v>0.25806451612903225</v>
      </c>
      <c r="G65" s="31">
        <v>0.34615384615384615</v>
      </c>
      <c r="H65" s="31">
        <v>0.1437246963562753</v>
      </c>
      <c r="I65" s="32">
        <v>9084.7953216374262</v>
      </c>
      <c r="J65" s="32">
        <v>-9069.0140845070418</v>
      </c>
      <c r="K65" s="31">
        <v>8.0645161290322578E-2</v>
      </c>
      <c r="L65" s="31">
        <v>0.37044534412955465</v>
      </c>
      <c r="M65" s="31">
        <v>0.15384615384615385</v>
      </c>
      <c r="N65" s="31">
        <v>0.55191256830601088</v>
      </c>
      <c r="O65" s="31">
        <v>0.46052631578947367</v>
      </c>
      <c r="P65" s="31">
        <v>0.43859649122807015</v>
      </c>
    </row>
    <row r="66" spans="1:16" x14ac:dyDescent="0.4">
      <c r="A66" s="33">
        <v>63</v>
      </c>
      <c r="B66" s="30">
        <v>392.80000000000007</v>
      </c>
      <c r="C66" s="30">
        <v>6.2349206349206359</v>
      </c>
      <c r="D66" s="35">
        <v>1.8253968253968254</v>
      </c>
      <c r="E66" s="31">
        <v>0.42857142857142855</v>
      </c>
      <c r="F66" s="31">
        <v>0.25396825396825395</v>
      </c>
      <c r="G66" s="31">
        <v>0.34661354581673309</v>
      </c>
      <c r="H66" s="31">
        <v>0.14342629482071714</v>
      </c>
      <c r="I66" s="32">
        <v>9066.0919540229879</v>
      </c>
      <c r="J66" s="32">
        <v>-9054.1666666666661</v>
      </c>
      <c r="K66" s="31">
        <v>7.9365079365079361E-2</v>
      </c>
      <c r="L66" s="31">
        <v>0.37051792828685259</v>
      </c>
      <c r="M66" s="31">
        <v>0.15737051792828685</v>
      </c>
      <c r="N66" s="31">
        <v>0.54838709677419351</v>
      </c>
      <c r="O66" s="31">
        <v>0.46835443037974683</v>
      </c>
      <c r="P66" s="31">
        <v>0.44252873563218392</v>
      </c>
    </row>
    <row r="67" spans="1:16" x14ac:dyDescent="0.4">
      <c r="A67" s="33">
        <v>64</v>
      </c>
      <c r="B67" s="30">
        <v>385.50000000000006</v>
      </c>
      <c r="C67" s="30">
        <v>6.0234375000000009</v>
      </c>
      <c r="D67" s="35">
        <v>1.828125</v>
      </c>
      <c r="E67" s="31">
        <v>0.421875</v>
      </c>
      <c r="F67" s="31">
        <v>0.25</v>
      </c>
      <c r="G67" s="31">
        <v>0.34442270058708413</v>
      </c>
      <c r="H67" s="31">
        <v>0.14285714285714285</v>
      </c>
      <c r="I67" s="32">
        <v>9072.1590909090901</v>
      </c>
      <c r="J67" s="32">
        <v>-9176.7123287671238</v>
      </c>
      <c r="K67" s="31">
        <v>7.8125E-2</v>
      </c>
      <c r="L67" s="31">
        <v>0.36986301369863012</v>
      </c>
      <c r="M67" s="31">
        <v>0.15459882583170254</v>
      </c>
      <c r="N67" s="31">
        <v>0.55026455026455023</v>
      </c>
      <c r="O67" s="31">
        <v>0.46835443037974683</v>
      </c>
      <c r="P67" s="31">
        <v>0.4375</v>
      </c>
    </row>
    <row r="68" spans="1:16" x14ac:dyDescent="0.4">
      <c r="A68" s="33">
        <v>65</v>
      </c>
      <c r="B68" s="30">
        <v>428.40000000000003</v>
      </c>
      <c r="C68" s="30">
        <v>6.5907692307692312</v>
      </c>
      <c r="D68" s="35">
        <v>1.8153846153846154</v>
      </c>
      <c r="E68" s="31">
        <v>0.43076923076923079</v>
      </c>
      <c r="F68" s="31">
        <v>0.24615384615384617</v>
      </c>
      <c r="G68" s="31">
        <v>0.34362934362934361</v>
      </c>
      <c r="H68" s="31">
        <v>0.14285714285714285</v>
      </c>
      <c r="I68" s="32">
        <v>9161.7977528089887</v>
      </c>
      <c r="J68" s="32">
        <v>-9156.7567567567567</v>
      </c>
      <c r="K68" s="31">
        <v>7.6923076923076927E-2</v>
      </c>
      <c r="L68" s="31">
        <v>0.37065637065637064</v>
      </c>
      <c r="M68" s="31">
        <v>0.15250965250965251</v>
      </c>
      <c r="N68" s="31">
        <v>0.546875</v>
      </c>
      <c r="O68" s="31">
        <v>0.46835443037974683</v>
      </c>
      <c r="P68" s="31">
        <v>0.43820224719101125</v>
      </c>
    </row>
    <row r="69" spans="1:16" x14ac:dyDescent="0.4">
      <c r="A69" s="33">
        <v>66</v>
      </c>
      <c r="B69" s="30">
        <v>514</v>
      </c>
      <c r="C69" s="30">
        <v>7.7878787878787881</v>
      </c>
      <c r="D69" s="35">
        <v>1.803030303030303</v>
      </c>
      <c r="E69" s="31">
        <v>0.43939393939393939</v>
      </c>
      <c r="F69" s="31">
        <v>0.24242424242424243</v>
      </c>
      <c r="G69" s="31">
        <v>0.34848484848484851</v>
      </c>
      <c r="H69" s="31">
        <v>0.14204545454545456</v>
      </c>
      <c r="I69" s="32">
        <v>9292.391304347826</v>
      </c>
      <c r="J69" s="32">
        <v>-9141.3333333333339</v>
      </c>
      <c r="K69" s="31">
        <v>7.575757575757576E-2</v>
      </c>
      <c r="L69" s="31">
        <v>0.37689393939393939</v>
      </c>
      <c r="M69" s="31">
        <v>0.15151515151515152</v>
      </c>
      <c r="N69" s="31">
        <v>0.54773869346733672</v>
      </c>
      <c r="O69" s="31">
        <v>0.47499999999999998</v>
      </c>
      <c r="P69" s="31">
        <v>0.45108695652173914</v>
      </c>
    </row>
    <row r="70" spans="1:16" x14ac:dyDescent="0.4">
      <c r="A70" s="33">
        <v>67</v>
      </c>
      <c r="B70" s="30">
        <v>490.6</v>
      </c>
      <c r="C70" s="30">
        <v>7.3223880597014928</v>
      </c>
      <c r="D70" s="35">
        <v>1.8208955223880596</v>
      </c>
      <c r="E70" s="31">
        <v>0.43283582089552236</v>
      </c>
      <c r="F70" s="31">
        <v>0.2537313432835821</v>
      </c>
      <c r="G70" s="31">
        <v>0.34693877551020408</v>
      </c>
      <c r="H70" s="31">
        <v>0.14285714285714285</v>
      </c>
      <c r="I70" s="32">
        <v>9234.7593582887694</v>
      </c>
      <c r="J70" s="32">
        <v>-9129.8701298701308</v>
      </c>
      <c r="K70" s="31">
        <v>7.4626865671641784E-2</v>
      </c>
      <c r="L70" s="31">
        <v>0.36920222634508348</v>
      </c>
      <c r="M70" s="31">
        <v>0.15398886827458255</v>
      </c>
      <c r="N70" s="31">
        <v>0.54773869346733672</v>
      </c>
      <c r="O70" s="31">
        <v>0.46987951807228917</v>
      </c>
      <c r="P70" s="31">
        <v>0.44385026737967914</v>
      </c>
    </row>
    <row r="71" spans="1:16" x14ac:dyDescent="0.4">
      <c r="A71" s="33">
        <v>68</v>
      </c>
      <c r="B71" s="30">
        <v>499.5</v>
      </c>
      <c r="C71" s="30">
        <v>7.3455882352941178</v>
      </c>
      <c r="D71" s="35">
        <v>1.8235294117647058</v>
      </c>
      <c r="E71" s="31">
        <v>0.4264705882352941</v>
      </c>
      <c r="F71" s="31">
        <v>0.25</v>
      </c>
      <c r="G71" s="31">
        <v>0.34734917733089582</v>
      </c>
      <c r="H71" s="31">
        <v>0.14076782449725778</v>
      </c>
      <c r="I71" s="32">
        <v>9221.5789473684217</v>
      </c>
      <c r="J71" s="32">
        <v>-9129.8701298701308</v>
      </c>
      <c r="K71" s="31">
        <v>7.3529411764705885E-2</v>
      </c>
      <c r="L71" s="31">
        <v>0.36928702010968922</v>
      </c>
      <c r="M71" s="31">
        <v>0.15173674588665448</v>
      </c>
      <c r="N71" s="31">
        <v>0.5544554455445545</v>
      </c>
      <c r="O71" s="31">
        <v>0.46987951807228917</v>
      </c>
      <c r="P71" s="31">
        <v>0.44210526315789472</v>
      </c>
    </row>
    <row r="72" spans="1:16" x14ac:dyDescent="0.4">
      <c r="A72" s="33">
        <v>69</v>
      </c>
      <c r="B72" s="30">
        <v>560.1</v>
      </c>
      <c r="C72" s="30">
        <v>8.1173913043478265</v>
      </c>
      <c r="D72" s="35">
        <v>1.8115942028985508</v>
      </c>
      <c r="E72" s="31">
        <v>0.43478260869565216</v>
      </c>
      <c r="F72" s="31">
        <v>0.24637681159420291</v>
      </c>
      <c r="G72" s="31">
        <v>0.35315315315315315</v>
      </c>
      <c r="H72" s="31">
        <v>0.13873873873873874</v>
      </c>
      <c r="I72" s="32">
        <v>9171.9387755102034</v>
      </c>
      <c r="J72" s="32">
        <v>-9129.8701298701308</v>
      </c>
      <c r="K72" s="31">
        <v>7.2463768115942032E-2</v>
      </c>
      <c r="L72" s="31">
        <v>0.37297297297297299</v>
      </c>
      <c r="M72" s="31">
        <v>0.14954954954954955</v>
      </c>
      <c r="N72" s="31">
        <v>0.56521739130434778</v>
      </c>
      <c r="O72" s="31">
        <v>0.46987951807228917</v>
      </c>
      <c r="P72" s="31">
        <v>0.43877551020408162</v>
      </c>
    </row>
    <row r="73" spans="1:16" x14ac:dyDescent="0.4">
      <c r="A73" s="33">
        <v>70</v>
      </c>
      <c r="B73" s="30">
        <v>503.3</v>
      </c>
      <c r="C73" s="30">
        <v>7.19</v>
      </c>
      <c r="D73" s="35">
        <v>1.8285714285714285</v>
      </c>
      <c r="E73" s="31">
        <v>0.42857142857142855</v>
      </c>
      <c r="F73" s="31">
        <v>0.25714285714285712</v>
      </c>
      <c r="G73" s="31">
        <v>0.3487544483985765</v>
      </c>
      <c r="H73" s="31">
        <v>0.13879003558718861</v>
      </c>
      <c r="I73" s="32">
        <v>9171.9387755102034</v>
      </c>
      <c r="J73" s="32">
        <v>-9243.5897435897441</v>
      </c>
      <c r="K73" s="31">
        <v>8.5714285714285715E-2</v>
      </c>
      <c r="L73" s="31">
        <v>0.37366548042704628</v>
      </c>
      <c r="M73" s="31">
        <v>0.1494661921708185</v>
      </c>
      <c r="N73" s="31">
        <v>0.55714285714285716</v>
      </c>
      <c r="O73" s="31">
        <v>0.4642857142857143</v>
      </c>
      <c r="P73" s="31">
        <v>0.43877551020408162</v>
      </c>
    </row>
    <row r="74" spans="1:16" x14ac:dyDescent="0.4">
      <c r="A74" s="33">
        <v>71</v>
      </c>
      <c r="B74" s="30">
        <v>561.9</v>
      </c>
      <c r="C74" s="30">
        <v>7.9140845070422534</v>
      </c>
      <c r="D74" s="35">
        <v>1.8169014084507042</v>
      </c>
      <c r="E74" s="31">
        <v>0.43661971830985913</v>
      </c>
      <c r="F74" s="31">
        <v>0.25352112676056338</v>
      </c>
      <c r="G74" s="31">
        <v>0.35221238938053095</v>
      </c>
      <c r="H74" s="31">
        <v>0.13805309734513274</v>
      </c>
      <c r="I74" s="32">
        <v>9212.562814070352</v>
      </c>
      <c r="J74" s="32">
        <v>-9243.5897435897441</v>
      </c>
      <c r="K74" s="31">
        <v>8.4507042253521125E-2</v>
      </c>
      <c r="L74" s="31">
        <v>0.37522123893805309</v>
      </c>
      <c r="M74" s="31">
        <v>0.15044247787610621</v>
      </c>
      <c r="N74" s="31">
        <v>0.56132075471698117</v>
      </c>
      <c r="O74" s="31">
        <v>0.47058823529411764</v>
      </c>
      <c r="P74" s="31">
        <v>0.43216080402010049</v>
      </c>
    </row>
    <row r="75" spans="1:16" x14ac:dyDescent="0.4">
      <c r="A75" s="33">
        <v>72</v>
      </c>
      <c r="B75" s="30">
        <v>602.9</v>
      </c>
      <c r="C75" s="30">
        <v>8.37361111111111</v>
      </c>
      <c r="D75" s="35">
        <v>1.8055555555555556</v>
      </c>
      <c r="E75" s="31">
        <v>0.44444444444444442</v>
      </c>
      <c r="F75" s="31">
        <v>0.25</v>
      </c>
      <c r="G75" s="31">
        <v>0.35478260869565215</v>
      </c>
      <c r="H75" s="31">
        <v>0.13739130434782609</v>
      </c>
      <c r="I75" s="32">
        <v>9222.0588235294126</v>
      </c>
      <c r="J75" s="32">
        <v>-9192.4050632911385</v>
      </c>
      <c r="K75" s="31">
        <v>8.3333333333333329E-2</v>
      </c>
      <c r="L75" s="31">
        <v>0.37739130434782608</v>
      </c>
      <c r="M75" s="31">
        <v>0.14782608695652175</v>
      </c>
      <c r="N75" s="31">
        <v>0.56221198156682028</v>
      </c>
      <c r="O75" s="31">
        <v>0.47058823529411764</v>
      </c>
      <c r="P75" s="31">
        <v>0.43627450980392157</v>
      </c>
    </row>
    <row r="76" spans="1:16" x14ac:dyDescent="0.4">
      <c r="A76" s="33">
        <v>73</v>
      </c>
      <c r="B76" s="30">
        <v>719.3</v>
      </c>
      <c r="C76" s="30">
        <v>9.8534246575342461</v>
      </c>
      <c r="D76" s="35">
        <v>1.7945205479452055</v>
      </c>
      <c r="E76" s="31">
        <v>0.45205479452054792</v>
      </c>
      <c r="F76" s="31">
        <v>0.24657534246575341</v>
      </c>
      <c r="G76" s="31">
        <v>0.35604770017035775</v>
      </c>
      <c r="H76" s="31">
        <v>0.1362862010221465</v>
      </c>
      <c r="I76" s="32">
        <v>9470.3349282296658</v>
      </c>
      <c r="J76" s="32">
        <v>-9110</v>
      </c>
      <c r="K76" s="31">
        <v>8.2191780821917804E-2</v>
      </c>
      <c r="L76" s="31">
        <v>0.37819420783645658</v>
      </c>
      <c r="M76" s="31">
        <v>0.14821124361158433</v>
      </c>
      <c r="N76" s="31">
        <v>0.56306306306306309</v>
      </c>
      <c r="O76" s="31">
        <v>0.47126436781609193</v>
      </c>
      <c r="P76" s="31">
        <v>0.43062200956937802</v>
      </c>
    </row>
    <row r="77" spans="1:16" x14ac:dyDescent="0.4">
      <c r="A77" s="33">
        <v>74</v>
      </c>
      <c r="B77" s="30">
        <v>763.8</v>
      </c>
      <c r="C77" s="30">
        <v>10.32162162162162</v>
      </c>
      <c r="D77" s="35">
        <v>1.7837837837837838</v>
      </c>
      <c r="E77" s="31">
        <v>0.45945945945945948</v>
      </c>
      <c r="F77" s="31">
        <v>0.24324324324324326</v>
      </c>
      <c r="G77" s="31">
        <v>0.35690235690235689</v>
      </c>
      <c r="H77" s="31">
        <v>0.13468013468013468</v>
      </c>
      <c r="I77" s="32">
        <v>9486.7924528301883</v>
      </c>
      <c r="J77" s="32">
        <v>-9110</v>
      </c>
      <c r="K77" s="31">
        <v>8.1081081081081086E-2</v>
      </c>
      <c r="L77" s="31">
        <v>0.37878787878787878</v>
      </c>
      <c r="M77" s="31">
        <v>0.14646464646464646</v>
      </c>
      <c r="N77" s="31">
        <v>0.56444444444444442</v>
      </c>
      <c r="O77" s="31">
        <v>0.47126436781609193</v>
      </c>
      <c r="P77" s="31">
        <v>0.42924528301886794</v>
      </c>
    </row>
    <row r="78" spans="1:16" x14ac:dyDescent="0.4">
      <c r="A78" s="33">
        <v>75</v>
      </c>
      <c r="B78" s="30">
        <v>766.3</v>
      </c>
      <c r="C78" s="30">
        <v>10.217333333333332</v>
      </c>
      <c r="D78" s="35">
        <v>1.7866666666666666</v>
      </c>
      <c r="E78" s="31">
        <v>0.45333333333333331</v>
      </c>
      <c r="F78" s="31">
        <v>0.24</v>
      </c>
      <c r="G78" s="31">
        <v>0.35596026490066224</v>
      </c>
      <c r="H78" s="31">
        <v>0.13410596026490065</v>
      </c>
      <c r="I78" s="32">
        <v>9556.7441860465115</v>
      </c>
      <c r="J78" s="32">
        <v>-9145.6790123456794</v>
      </c>
      <c r="K78" s="31">
        <v>0.08</v>
      </c>
      <c r="L78" s="31">
        <v>0.3758278145695364</v>
      </c>
      <c r="M78" s="31">
        <v>0.14735099337748345</v>
      </c>
      <c r="N78" s="31">
        <v>0.56828193832599116</v>
      </c>
      <c r="O78" s="31">
        <v>0.47191011235955055</v>
      </c>
      <c r="P78" s="31">
        <v>0.4325581395348837</v>
      </c>
    </row>
    <row r="79" spans="1:16" x14ac:dyDescent="0.4">
      <c r="A79" s="33">
        <v>76</v>
      </c>
      <c r="B79" s="30">
        <v>739.8</v>
      </c>
      <c r="C79" s="30">
        <v>9.7342105263157883</v>
      </c>
      <c r="D79" s="35">
        <v>1.8026315789473684</v>
      </c>
      <c r="E79" s="31">
        <v>0.44736842105263158</v>
      </c>
      <c r="F79" s="31">
        <v>0.25</v>
      </c>
      <c r="G79" s="31">
        <v>0.353518821603928</v>
      </c>
      <c r="H79" s="31">
        <v>0.132569558101473</v>
      </c>
      <c r="I79" s="32">
        <v>9524.5370370370365</v>
      </c>
      <c r="J79" s="32">
        <v>-9145.6790123456794</v>
      </c>
      <c r="K79" s="31">
        <v>7.8947368421052627E-2</v>
      </c>
      <c r="L79" s="31">
        <v>0.37315875613747956</v>
      </c>
      <c r="M79" s="31">
        <v>0.14566284779050737</v>
      </c>
      <c r="N79" s="31">
        <v>0.56578947368421051</v>
      </c>
      <c r="O79" s="31">
        <v>0.47191011235955055</v>
      </c>
      <c r="P79" s="31">
        <v>0.43055555555555558</v>
      </c>
    </row>
    <row r="80" spans="1:16" x14ac:dyDescent="0.4">
      <c r="A80" s="33">
        <v>77</v>
      </c>
      <c r="B80" s="30">
        <v>683.19999999999993</v>
      </c>
      <c r="C80" s="30">
        <v>8.8727272727272712</v>
      </c>
      <c r="D80" s="35">
        <v>1.8181818181818181</v>
      </c>
      <c r="E80" s="31">
        <v>0.44155844155844154</v>
      </c>
      <c r="F80" s="31">
        <v>0.25974025974025972</v>
      </c>
      <c r="G80" s="31">
        <v>0.35113268608414239</v>
      </c>
      <c r="H80" s="31">
        <v>0.13592233009708737</v>
      </c>
      <c r="I80" s="32">
        <v>9534.1013824884794</v>
      </c>
      <c r="J80" s="32">
        <v>-9091.6666666666661</v>
      </c>
      <c r="K80" s="31">
        <v>9.0909090909090912E-2</v>
      </c>
      <c r="L80" s="31">
        <v>0.37055016181229772</v>
      </c>
      <c r="M80" s="31">
        <v>0.14724919093851133</v>
      </c>
      <c r="N80" s="31">
        <v>0.5633187772925764</v>
      </c>
      <c r="O80" s="31">
        <v>0.47252747252747251</v>
      </c>
      <c r="P80" s="31">
        <v>0.42857142857142855</v>
      </c>
    </row>
    <row r="81" spans="1:16" x14ac:dyDescent="0.4">
      <c r="A81" s="33">
        <v>78</v>
      </c>
      <c r="B81" s="30">
        <v>684.69999999999993</v>
      </c>
      <c r="C81" s="30">
        <v>8.7782051282051281</v>
      </c>
      <c r="D81" s="35">
        <v>1.8205128205128205</v>
      </c>
      <c r="E81" s="31">
        <v>0.4358974358974359</v>
      </c>
      <c r="F81" s="31">
        <v>0.25641025641025639</v>
      </c>
      <c r="G81" s="31">
        <v>0.3488</v>
      </c>
      <c r="H81" s="31">
        <v>0.13439999999999999</v>
      </c>
      <c r="I81" s="32">
        <v>9527.0642201834871</v>
      </c>
      <c r="J81" s="32">
        <v>-9091.6666666666661</v>
      </c>
      <c r="K81" s="31">
        <v>8.9743589743589744E-2</v>
      </c>
      <c r="L81" s="31">
        <v>0.3664</v>
      </c>
      <c r="M81" s="31">
        <v>0.1472</v>
      </c>
      <c r="N81" s="31">
        <v>0.5633187772925764</v>
      </c>
      <c r="O81" s="31">
        <v>0.46739130434782611</v>
      </c>
      <c r="P81" s="31">
        <v>0.42660550458715596</v>
      </c>
    </row>
    <row r="82" spans="1:16" x14ac:dyDescent="0.4">
      <c r="A82" s="33">
        <v>79</v>
      </c>
      <c r="B82" s="30">
        <v>651.59999999999991</v>
      </c>
      <c r="C82" s="30">
        <v>8.2481012658227844</v>
      </c>
      <c r="D82" s="35">
        <v>1.8354430379746836</v>
      </c>
      <c r="E82" s="31">
        <v>0.43037974683544306</v>
      </c>
      <c r="F82" s="31">
        <v>0.26582278481012656</v>
      </c>
      <c r="G82" s="31">
        <v>0.34651898734177217</v>
      </c>
      <c r="H82" s="31">
        <v>0.13607594936708861</v>
      </c>
      <c r="I82" s="32">
        <v>9518.721461187215</v>
      </c>
      <c r="J82" s="32">
        <v>-8970.9302325581393</v>
      </c>
      <c r="K82" s="31">
        <v>8.8607594936708861E-2</v>
      </c>
      <c r="L82" s="31">
        <v>0.36550632911392406</v>
      </c>
      <c r="M82" s="31">
        <v>0.14556962025316456</v>
      </c>
      <c r="N82" s="31">
        <v>0.56277056277056281</v>
      </c>
      <c r="O82" s="31">
        <v>0.46739130434782611</v>
      </c>
      <c r="P82" s="31">
        <v>0.42465753424657532</v>
      </c>
    </row>
    <row r="83" spans="1:16" x14ac:dyDescent="0.4">
      <c r="A83" s="33">
        <v>80</v>
      </c>
      <c r="B83" s="30">
        <v>699.3</v>
      </c>
      <c r="C83" s="30">
        <v>8.7412499999999991</v>
      </c>
      <c r="D83" s="35">
        <v>1.825</v>
      </c>
      <c r="E83" s="31">
        <v>0.4375</v>
      </c>
      <c r="F83" s="31">
        <v>0.26250000000000001</v>
      </c>
      <c r="G83" s="31">
        <v>0.34796238244514105</v>
      </c>
      <c r="H83" s="31">
        <v>0.13636363636363635</v>
      </c>
      <c r="I83" s="32">
        <v>9613.9639639639645</v>
      </c>
      <c r="J83" s="32">
        <v>-9051.7241379310344</v>
      </c>
      <c r="K83" s="31">
        <v>8.7499999999999994E-2</v>
      </c>
      <c r="L83" s="31">
        <v>0.36520376175548591</v>
      </c>
      <c r="M83" s="31">
        <v>0.14420062695924765</v>
      </c>
      <c r="N83" s="31">
        <v>0.5665236051502146</v>
      </c>
      <c r="O83" s="31">
        <v>0.46739130434782611</v>
      </c>
      <c r="P83" s="31">
        <v>0.42342342342342343</v>
      </c>
    </row>
    <row r="84" spans="1:16" x14ac:dyDescent="0.4">
      <c r="A84" s="33">
        <v>81</v>
      </c>
      <c r="B84" s="30">
        <v>778.9</v>
      </c>
      <c r="C84" s="30">
        <v>9.6160493827160494</v>
      </c>
      <c r="D84" s="35">
        <v>1.8148148148148149</v>
      </c>
      <c r="E84" s="31">
        <v>0.44444444444444442</v>
      </c>
      <c r="F84" s="31">
        <v>0.25925925925925924</v>
      </c>
      <c r="G84" s="31">
        <v>0.35394126738794435</v>
      </c>
      <c r="H84" s="31">
        <v>0.13446676970633695</v>
      </c>
      <c r="I84" s="32">
        <v>9624.0174672489084</v>
      </c>
      <c r="J84" s="32">
        <v>-9051.7241379310344</v>
      </c>
      <c r="K84" s="31">
        <v>8.6419753086419748E-2</v>
      </c>
      <c r="L84" s="31">
        <v>0.36939721792890262</v>
      </c>
      <c r="M84" s="31">
        <v>0.14219474497681608</v>
      </c>
      <c r="N84" s="31">
        <v>0.57322175732217573</v>
      </c>
      <c r="O84" s="31">
        <v>0.46739130434782611</v>
      </c>
      <c r="P84" s="31">
        <v>0.42794759825327511</v>
      </c>
    </row>
    <row r="85" spans="1:16" x14ac:dyDescent="0.4">
      <c r="A85" s="33">
        <v>82</v>
      </c>
      <c r="B85" s="30">
        <v>813.8</v>
      </c>
      <c r="C85" s="30">
        <v>9.9243902439024385</v>
      </c>
      <c r="D85" s="35">
        <v>1.8048780487804879</v>
      </c>
      <c r="E85" s="31">
        <v>0.45121951219512196</v>
      </c>
      <c r="F85" s="31">
        <v>0.25609756097560976</v>
      </c>
      <c r="G85" s="31">
        <v>0.35670731707317072</v>
      </c>
      <c r="H85" s="31">
        <v>0.13414634146341464</v>
      </c>
      <c r="I85" s="32">
        <v>9509.8290598290605</v>
      </c>
      <c r="J85" s="32">
        <v>-9039.7727272727279</v>
      </c>
      <c r="K85" s="31">
        <v>8.5365853658536592E-2</v>
      </c>
      <c r="L85" s="31">
        <v>0.36890243902439024</v>
      </c>
      <c r="M85" s="31">
        <v>0.14329268292682926</v>
      </c>
      <c r="N85" s="31">
        <v>0.57851239669421484</v>
      </c>
      <c r="O85" s="31">
        <v>0.47872340425531917</v>
      </c>
      <c r="P85" s="31">
        <v>0.42307692307692307</v>
      </c>
    </row>
    <row r="86" spans="1:16" x14ac:dyDescent="0.4">
      <c r="A86" s="33">
        <v>83</v>
      </c>
      <c r="B86" s="30">
        <v>839.8</v>
      </c>
      <c r="C86" s="30">
        <v>10.118072289156625</v>
      </c>
      <c r="D86" s="35">
        <v>1.7951807228915662</v>
      </c>
      <c r="E86" s="31">
        <v>0.45783132530120479</v>
      </c>
      <c r="F86" s="31">
        <v>0.25301204819277107</v>
      </c>
      <c r="G86" s="31">
        <v>0.35649546827794559</v>
      </c>
      <c r="H86" s="31">
        <v>0.13293051359516617</v>
      </c>
      <c r="I86" s="32">
        <v>9513.983050847457</v>
      </c>
      <c r="J86" s="32">
        <v>-9039.7727272727279</v>
      </c>
      <c r="K86" s="31">
        <v>8.4337349397590355E-2</v>
      </c>
      <c r="L86" s="31">
        <v>0.37009063444108764</v>
      </c>
      <c r="M86" s="31">
        <v>0.14350453172205438</v>
      </c>
      <c r="N86" s="31">
        <v>0.57551020408163267</v>
      </c>
      <c r="O86" s="31">
        <v>0.48421052631578948</v>
      </c>
      <c r="P86" s="31">
        <v>0.42372881355932202</v>
      </c>
    </row>
    <row r="87" spans="1:16" x14ac:dyDescent="0.4">
      <c r="A87" s="33">
        <v>84</v>
      </c>
      <c r="B87" s="30">
        <v>866.4</v>
      </c>
      <c r="C87" s="30">
        <v>10.314285714285713</v>
      </c>
      <c r="D87" s="35">
        <v>1.7857142857142858</v>
      </c>
      <c r="E87" s="31">
        <v>0.4642857142857143</v>
      </c>
      <c r="F87" s="31">
        <v>0.25</v>
      </c>
      <c r="G87" s="31">
        <v>0.35671641791044778</v>
      </c>
      <c r="H87" s="31">
        <v>0.1328358208955224</v>
      </c>
      <c r="I87" s="32">
        <v>9446.8619246861927</v>
      </c>
      <c r="J87" s="32">
        <v>-8960.6741573033705</v>
      </c>
      <c r="K87" s="31">
        <v>8.3333333333333329E-2</v>
      </c>
      <c r="L87" s="31">
        <v>0.36865671641791042</v>
      </c>
      <c r="M87" s="31">
        <v>0.1417910447761194</v>
      </c>
      <c r="N87" s="31">
        <v>0.57894736842105265</v>
      </c>
      <c r="O87" s="31">
        <v>0.48421052631578948</v>
      </c>
      <c r="P87" s="31">
        <v>0.42677824267782427</v>
      </c>
    </row>
    <row r="88" spans="1:16" x14ac:dyDescent="0.4">
      <c r="A88" s="33">
        <v>85</v>
      </c>
      <c r="B88" s="30">
        <v>911.4</v>
      </c>
      <c r="C88" s="30">
        <v>10.722352941176471</v>
      </c>
      <c r="D88" s="35">
        <v>1.776470588235294</v>
      </c>
      <c r="E88" s="31">
        <v>0.47058823529411764</v>
      </c>
      <c r="F88" s="31">
        <v>0.24705882352941178</v>
      </c>
      <c r="G88" s="31">
        <v>0.35787923416789397</v>
      </c>
      <c r="H88" s="31">
        <v>0.13402061855670103</v>
      </c>
      <c r="I88" s="32">
        <v>9467.4897119341567</v>
      </c>
      <c r="J88" s="32">
        <v>-8915.3846153846152</v>
      </c>
      <c r="K88" s="31">
        <v>8.2352941176470587E-2</v>
      </c>
      <c r="L88" s="31">
        <v>0.36524300441826213</v>
      </c>
      <c r="M88" s="31">
        <v>0.14138438880706922</v>
      </c>
      <c r="N88" s="31">
        <v>0.58064516129032262</v>
      </c>
      <c r="O88" s="31">
        <v>0.48958333333333331</v>
      </c>
      <c r="P88" s="31">
        <v>0.42386831275720166</v>
      </c>
    </row>
    <row r="89" spans="1:16" x14ac:dyDescent="0.4">
      <c r="A89" s="33">
        <v>86</v>
      </c>
      <c r="B89" s="30">
        <v>910.19999999999993</v>
      </c>
      <c r="C89" s="30">
        <v>10.583720930232557</v>
      </c>
      <c r="D89" s="35">
        <v>1.7790697674418605</v>
      </c>
      <c r="E89" s="31">
        <v>0.46511627906976744</v>
      </c>
      <c r="F89" s="31">
        <v>0.2441860465116279</v>
      </c>
      <c r="G89" s="31">
        <v>0.35807860262008734</v>
      </c>
      <c r="H89" s="31">
        <v>0.13682678311499272</v>
      </c>
      <c r="I89" s="32">
        <v>9460.1626016260161</v>
      </c>
      <c r="J89" s="32">
        <v>-8884.0425531914898</v>
      </c>
      <c r="K89" s="31">
        <v>8.1395348837209308E-2</v>
      </c>
      <c r="L89" s="31">
        <v>0.36390101892285298</v>
      </c>
      <c r="M89" s="31">
        <v>0.14264919941775836</v>
      </c>
      <c r="N89" s="31">
        <v>0.57999999999999996</v>
      </c>
      <c r="O89" s="31">
        <v>0.5</v>
      </c>
      <c r="P89" s="31">
        <v>0.41869918699186992</v>
      </c>
    </row>
    <row r="90" spans="1:16" x14ac:dyDescent="0.4">
      <c r="A90" s="33">
        <v>87</v>
      </c>
      <c r="B90" s="30">
        <v>863.99999999999989</v>
      </c>
      <c r="C90" s="30">
        <v>9.9310344827586192</v>
      </c>
      <c r="D90" s="35">
        <v>1.7931034482758621</v>
      </c>
      <c r="E90" s="31">
        <v>0.45977011494252873</v>
      </c>
      <c r="F90" s="31">
        <v>0.25287356321839083</v>
      </c>
      <c r="G90" s="31">
        <v>0.35446685878962536</v>
      </c>
      <c r="H90" s="31">
        <v>0.13832853025936601</v>
      </c>
      <c r="I90" s="32">
        <v>9460.1626016260161</v>
      </c>
      <c r="J90" s="32">
        <v>-8907.2916666666661</v>
      </c>
      <c r="K90" s="31">
        <v>8.0459770114942528E-2</v>
      </c>
      <c r="L90" s="31">
        <v>0.36167146974063402</v>
      </c>
      <c r="M90" s="31">
        <v>0.14121037463976946</v>
      </c>
      <c r="N90" s="31">
        <v>0.57768924302788849</v>
      </c>
      <c r="O90" s="31">
        <v>0.5</v>
      </c>
      <c r="P90" s="31">
        <v>0.41869918699186992</v>
      </c>
    </row>
    <row r="91" spans="1:16" x14ac:dyDescent="0.4">
      <c r="A91" s="33">
        <v>88</v>
      </c>
      <c r="B91" s="30">
        <v>911.19999999999993</v>
      </c>
      <c r="C91" s="30">
        <v>10.354545454545454</v>
      </c>
      <c r="D91" s="35">
        <v>1.7840909090909092</v>
      </c>
      <c r="E91" s="31">
        <v>0.46590909090909088</v>
      </c>
      <c r="F91" s="31">
        <v>0.25</v>
      </c>
      <c r="G91" s="31">
        <v>0.35378031383737518</v>
      </c>
      <c r="H91" s="31">
        <v>0.13694721825962911</v>
      </c>
      <c r="I91" s="32">
        <v>9444.354838709678</v>
      </c>
      <c r="J91" s="32">
        <v>-8907.2916666666661</v>
      </c>
      <c r="K91" s="31">
        <v>7.9545454545454544E-2</v>
      </c>
      <c r="L91" s="31">
        <v>0.36091298145506417</v>
      </c>
      <c r="M91" s="31">
        <v>0.14122681883024252</v>
      </c>
      <c r="N91" s="31">
        <v>0.57707509881422925</v>
      </c>
      <c r="O91" s="31">
        <v>0.50505050505050508</v>
      </c>
      <c r="P91" s="31">
        <v>0.41935483870967744</v>
      </c>
    </row>
    <row r="92" spans="1:16" x14ac:dyDescent="0.4">
      <c r="A92" s="33">
        <v>89</v>
      </c>
      <c r="B92" s="30">
        <v>920.59999999999991</v>
      </c>
      <c r="C92" s="30">
        <v>10.343820224719099</v>
      </c>
      <c r="D92" s="35">
        <v>1.7865168539325842</v>
      </c>
      <c r="E92" s="31">
        <v>0.4606741573033708</v>
      </c>
      <c r="F92" s="31">
        <v>0.24719101123595505</v>
      </c>
      <c r="G92" s="31">
        <v>0.35451977401129942</v>
      </c>
      <c r="H92" s="31">
        <v>0.13700564971751411</v>
      </c>
      <c r="I92" s="32">
        <v>9398.8047808764932</v>
      </c>
      <c r="J92" s="32">
        <v>-8828.865979381444</v>
      </c>
      <c r="K92" s="31">
        <v>7.8651685393258425E-2</v>
      </c>
      <c r="L92" s="31">
        <v>0.35875706214689268</v>
      </c>
      <c r="M92" s="31">
        <v>0.14265536723163841</v>
      </c>
      <c r="N92" s="31">
        <v>0.57480314960629919</v>
      </c>
      <c r="O92" s="31">
        <v>0.51485148514851486</v>
      </c>
      <c r="P92" s="31">
        <v>0.42629482071713148</v>
      </c>
    </row>
    <row r="93" spans="1:16" x14ac:dyDescent="0.4">
      <c r="A93" s="33">
        <v>90</v>
      </c>
      <c r="B93" s="30">
        <v>921.99999999999989</v>
      </c>
      <c r="C93" s="30">
        <v>10.244444444444444</v>
      </c>
      <c r="D93" s="35">
        <v>1.788888888888889</v>
      </c>
      <c r="E93" s="31">
        <v>0.45555555555555555</v>
      </c>
      <c r="F93" s="31">
        <v>0.24444444444444444</v>
      </c>
      <c r="G93" s="31">
        <v>0.35343618513323982</v>
      </c>
      <c r="H93" s="31">
        <v>0.13884992987377279</v>
      </c>
      <c r="I93" s="32">
        <v>9488.4920634920636</v>
      </c>
      <c r="J93" s="32">
        <v>-8949.4949494949487</v>
      </c>
      <c r="K93" s="31">
        <v>7.7777777777777779E-2</v>
      </c>
      <c r="L93" s="31">
        <v>0.35764375876577842</v>
      </c>
      <c r="M93" s="31">
        <v>0.14165497896213183</v>
      </c>
      <c r="N93" s="31">
        <v>0.5725490196078431</v>
      </c>
      <c r="O93" s="31">
        <v>0.51485148514851486</v>
      </c>
      <c r="P93" s="31">
        <v>0.42857142857142855</v>
      </c>
    </row>
    <row r="94" spans="1:16" x14ac:dyDescent="0.4">
      <c r="A94" s="33">
        <v>91</v>
      </c>
      <c r="B94" s="30">
        <v>989.49999999999989</v>
      </c>
      <c r="C94" s="30">
        <v>10.873626373626372</v>
      </c>
      <c r="D94" s="35">
        <v>1.7802197802197801</v>
      </c>
      <c r="E94" s="31">
        <v>0.46153846153846156</v>
      </c>
      <c r="F94" s="31">
        <v>0.24175824175824176</v>
      </c>
      <c r="G94" s="31">
        <v>0.35605006954102919</v>
      </c>
      <c r="H94" s="31">
        <v>0.13769123783031989</v>
      </c>
      <c r="I94" s="32">
        <v>9490.625</v>
      </c>
      <c r="J94" s="32">
        <v>-8949.4949494949487</v>
      </c>
      <c r="K94" s="31">
        <v>7.6923076923076927E-2</v>
      </c>
      <c r="L94" s="31">
        <v>0.35605006954102919</v>
      </c>
      <c r="M94" s="31">
        <v>0.14325452016689846</v>
      </c>
      <c r="N94" s="31">
        <v>0.5703125</v>
      </c>
      <c r="O94" s="31">
        <v>0.52427184466019416</v>
      </c>
      <c r="P94" s="31">
        <v>0.42578125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634CB-610E-4B37-AC9D-02EC4B4850C9}">
  <sheetPr codeName="Sheet8"/>
  <dimension ref="A1:Q8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  <row r="35" spans="1:16" x14ac:dyDescent="0.4">
      <c r="A35" s="33">
        <v>32</v>
      </c>
      <c r="B35" s="30">
        <v>129.09999999999997</v>
      </c>
      <c r="C35" s="30">
        <v>4.0343749999999989</v>
      </c>
      <c r="D35" s="35">
        <v>1.875</v>
      </c>
      <c r="E35" s="31">
        <v>0.375</v>
      </c>
      <c r="F35" s="31">
        <v>0.25</v>
      </c>
      <c r="G35" s="31">
        <v>0.30612244897959184</v>
      </c>
      <c r="H35" s="31">
        <v>0.14693877551020409</v>
      </c>
      <c r="I35" s="32">
        <v>9112</v>
      </c>
      <c r="J35" s="32">
        <v>-7258.333333333333</v>
      </c>
      <c r="K35" s="31">
        <v>9.375E-2</v>
      </c>
      <c r="L35" s="31">
        <v>0.33061224489795921</v>
      </c>
      <c r="M35" s="31">
        <v>0.18775510204081633</v>
      </c>
      <c r="N35" s="31">
        <v>0.50617283950617287</v>
      </c>
      <c r="O35" s="31">
        <v>0.39130434782608697</v>
      </c>
      <c r="P35" s="31">
        <v>0.48</v>
      </c>
    </row>
    <row r="36" spans="1:16" x14ac:dyDescent="0.4">
      <c r="A36" s="33">
        <v>33</v>
      </c>
      <c r="B36" s="30">
        <v>172.69999999999996</v>
      </c>
      <c r="C36" s="30">
        <v>5.2333333333333325</v>
      </c>
      <c r="D36" s="35">
        <v>1.8484848484848484</v>
      </c>
      <c r="E36" s="31">
        <v>0.39393939393939392</v>
      </c>
      <c r="F36" s="31">
        <v>0.24242424242424243</v>
      </c>
      <c r="G36" s="31">
        <v>0.31372549019607843</v>
      </c>
      <c r="H36" s="31">
        <v>0.14117647058823529</v>
      </c>
      <c r="I36" s="32">
        <v>9008.75</v>
      </c>
      <c r="J36" s="32">
        <v>-7258.333333333333</v>
      </c>
      <c r="K36" s="31">
        <v>9.0909090909090912E-2</v>
      </c>
      <c r="L36" s="31">
        <v>0.32549019607843138</v>
      </c>
      <c r="M36" s="31">
        <v>0.19607843137254902</v>
      </c>
      <c r="N36" s="31">
        <v>0.50602409638554213</v>
      </c>
      <c r="O36" s="31">
        <v>0.42</v>
      </c>
      <c r="P36" s="31">
        <v>0.48749999999999999</v>
      </c>
    </row>
    <row r="37" spans="1:16" x14ac:dyDescent="0.4">
      <c r="A37" s="33">
        <v>34</v>
      </c>
      <c r="B37" s="30">
        <v>171.69999999999996</v>
      </c>
      <c r="C37" s="30">
        <v>5.0499999999999989</v>
      </c>
      <c r="D37" s="35">
        <v>1.8529411764705883</v>
      </c>
      <c r="E37" s="31">
        <v>0.38235294117647056</v>
      </c>
      <c r="F37" s="31">
        <v>0.23529411764705882</v>
      </c>
      <c r="G37" s="31">
        <v>0.31297709923664124</v>
      </c>
      <c r="H37" s="31">
        <v>0.14503816793893129</v>
      </c>
      <c r="I37" s="32">
        <v>8976.8292682926822</v>
      </c>
      <c r="J37" s="32">
        <v>-7255.2631578947367</v>
      </c>
      <c r="K37" s="31">
        <v>8.8235294117647065E-2</v>
      </c>
      <c r="L37" s="31">
        <v>0.31679389312977096</v>
      </c>
      <c r="M37" s="31">
        <v>0.20229007633587787</v>
      </c>
      <c r="N37" s="31">
        <v>0.50602409638554213</v>
      </c>
      <c r="O37" s="31">
        <v>0.43396226415094341</v>
      </c>
      <c r="P37" s="31">
        <v>0.48780487804878048</v>
      </c>
    </row>
    <row r="38" spans="1:16" x14ac:dyDescent="0.4">
      <c r="A38" s="33">
        <v>35</v>
      </c>
      <c r="B38" s="30">
        <v>208.79999999999995</v>
      </c>
      <c r="C38" s="30">
        <v>5.9657142857142844</v>
      </c>
      <c r="D38" s="35">
        <v>1.8285714285714285</v>
      </c>
      <c r="E38" s="31">
        <v>0.4</v>
      </c>
      <c r="F38" s="31">
        <v>0.22857142857142856</v>
      </c>
      <c r="G38" s="31">
        <v>0.30882352941176472</v>
      </c>
      <c r="H38" s="31">
        <v>0.14338235294117646</v>
      </c>
      <c r="I38" s="32">
        <v>8950</v>
      </c>
      <c r="J38" s="32">
        <v>-7192.3076923076924</v>
      </c>
      <c r="K38" s="31">
        <v>8.5714285714285715E-2</v>
      </c>
      <c r="L38" s="31">
        <v>0.3235294117647059</v>
      </c>
      <c r="M38" s="31">
        <v>0.19485294117647059</v>
      </c>
      <c r="N38" s="31">
        <v>0.5</v>
      </c>
      <c r="O38" s="31">
        <v>0.43396226415094341</v>
      </c>
      <c r="P38" s="31">
        <v>0.48809523809523808</v>
      </c>
    </row>
    <row r="39" spans="1:16" x14ac:dyDescent="0.4">
      <c r="A39" s="33">
        <v>36</v>
      </c>
      <c r="B39" s="30">
        <v>259.89999999999998</v>
      </c>
      <c r="C39" s="30">
        <v>7.2194444444444441</v>
      </c>
      <c r="D39" s="35">
        <v>1.8055555555555556</v>
      </c>
      <c r="E39" s="31">
        <v>0.41666666666666669</v>
      </c>
      <c r="F39" s="31">
        <v>0.22222222222222221</v>
      </c>
      <c r="G39" s="31">
        <v>0.31428571428571428</v>
      </c>
      <c r="H39" s="31">
        <v>0.14642857142857144</v>
      </c>
      <c r="I39" s="32">
        <v>9065.9090909090901</v>
      </c>
      <c r="J39" s="32">
        <v>-7124.3902439024387</v>
      </c>
      <c r="K39" s="31">
        <v>8.3333333333333329E-2</v>
      </c>
      <c r="L39" s="31">
        <v>0.32857142857142857</v>
      </c>
      <c r="M39" s="31">
        <v>0.18928571428571428</v>
      </c>
      <c r="N39" s="31">
        <v>0.51086956521739135</v>
      </c>
      <c r="O39" s="31">
        <v>0.43396226415094341</v>
      </c>
      <c r="P39" s="31">
        <v>0.47727272727272729</v>
      </c>
    </row>
    <row r="40" spans="1:16" x14ac:dyDescent="0.4">
      <c r="A40" s="33">
        <v>37</v>
      </c>
      <c r="B40" s="30">
        <v>197.7</v>
      </c>
      <c r="C40" s="30">
        <v>5.3432432432432426</v>
      </c>
      <c r="D40" s="35">
        <v>1.8378378378378379</v>
      </c>
      <c r="E40" s="31">
        <v>0.40540540540540543</v>
      </c>
      <c r="F40" s="31">
        <v>0.24324324324324326</v>
      </c>
      <c r="G40" s="31">
        <v>0.30795847750865052</v>
      </c>
      <c r="H40" s="31">
        <v>0.14878892733564014</v>
      </c>
      <c r="I40" s="32">
        <v>9071.9101123595501</v>
      </c>
      <c r="J40" s="32">
        <v>-6886.0465116279074</v>
      </c>
      <c r="K40" s="31">
        <v>0.10810810810810811</v>
      </c>
      <c r="L40" s="31">
        <v>0.32525951557093424</v>
      </c>
      <c r="M40" s="31">
        <v>0.19031141868512111</v>
      </c>
      <c r="N40" s="31">
        <v>0.51063829787234039</v>
      </c>
      <c r="O40" s="31">
        <v>0.41818181818181815</v>
      </c>
      <c r="P40" s="31">
        <v>0.47191011235955055</v>
      </c>
    </row>
    <row r="41" spans="1:16" x14ac:dyDescent="0.4">
      <c r="A41" s="33">
        <v>38</v>
      </c>
      <c r="B41" s="30">
        <v>150.89999999999998</v>
      </c>
      <c r="C41" s="30">
        <v>3.9710526315789467</v>
      </c>
      <c r="D41" s="35">
        <v>1.868421052631579</v>
      </c>
      <c r="E41" s="31">
        <v>0.39473684210526316</v>
      </c>
      <c r="F41" s="31">
        <v>0.26315789473684209</v>
      </c>
      <c r="G41" s="31">
        <v>0.30201342281879195</v>
      </c>
      <c r="H41" s="31">
        <v>0.15100671140939598</v>
      </c>
      <c r="I41" s="32">
        <v>9056.6666666666661</v>
      </c>
      <c r="J41" s="32">
        <v>-7024.4444444444443</v>
      </c>
      <c r="K41" s="31">
        <v>0.10526315789473684</v>
      </c>
      <c r="L41" s="31">
        <v>0.32214765100671139</v>
      </c>
      <c r="M41" s="31">
        <v>0.1912751677852349</v>
      </c>
      <c r="N41" s="31">
        <v>0.51041666666666663</v>
      </c>
      <c r="O41" s="31">
        <v>0.40350877192982454</v>
      </c>
      <c r="P41" s="31">
        <v>0.4777777777777778</v>
      </c>
    </row>
    <row r="42" spans="1:16" x14ac:dyDescent="0.4">
      <c r="A42" s="33">
        <v>39</v>
      </c>
      <c r="B42" s="30">
        <v>144.69999999999999</v>
      </c>
      <c r="C42" s="30">
        <v>3.71025641025641</v>
      </c>
      <c r="D42" s="35">
        <v>1.8717948717948718</v>
      </c>
      <c r="E42" s="31">
        <v>0.38461538461538464</v>
      </c>
      <c r="F42" s="31">
        <v>0.25641025641025639</v>
      </c>
      <c r="G42" s="31">
        <v>0.29934210526315791</v>
      </c>
      <c r="H42" s="31">
        <v>0.15131578947368421</v>
      </c>
      <c r="I42" s="32">
        <v>9089.0109890109889</v>
      </c>
      <c r="J42" s="32">
        <v>-7039.130434782609</v>
      </c>
      <c r="K42" s="31">
        <v>0.10256410256410256</v>
      </c>
      <c r="L42" s="31">
        <v>0.32565789473684209</v>
      </c>
      <c r="M42" s="31">
        <v>0.19078947368421054</v>
      </c>
      <c r="N42" s="31">
        <v>0.50505050505050508</v>
      </c>
      <c r="O42" s="31">
        <v>0.39655172413793105</v>
      </c>
      <c r="P42" s="31">
        <v>0.48351648351648352</v>
      </c>
    </row>
    <row r="43" spans="1:16" x14ac:dyDescent="0.4">
      <c r="A43" s="33">
        <v>40</v>
      </c>
      <c r="B43" s="30">
        <v>232.7</v>
      </c>
      <c r="C43" s="30">
        <v>5.8174999999999999</v>
      </c>
      <c r="D43" s="35">
        <v>1.85</v>
      </c>
      <c r="E43" s="31">
        <v>0.4</v>
      </c>
      <c r="F43" s="31">
        <v>0.25</v>
      </c>
      <c r="G43" s="31">
        <v>0.30392156862745096</v>
      </c>
      <c r="H43" s="31">
        <v>0.15032679738562091</v>
      </c>
      <c r="I43" s="32">
        <v>9603.2258064516136</v>
      </c>
      <c r="J43" s="32">
        <v>-7039.130434782609</v>
      </c>
      <c r="K43" s="31">
        <v>0.1</v>
      </c>
      <c r="L43" s="31">
        <v>0.33006535947712418</v>
      </c>
      <c r="M43" s="31">
        <v>0.18954248366013071</v>
      </c>
      <c r="N43" s="31">
        <v>0.51485148514851486</v>
      </c>
      <c r="O43" s="31">
        <v>0.39655172413793105</v>
      </c>
      <c r="P43" s="31">
        <v>0.4838709677419355</v>
      </c>
    </row>
    <row r="44" spans="1:16" x14ac:dyDescent="0.4">
      <c r="A44" s="33">
        <v>41</v>
      </c>
      <c r="B44" s="30">
        <v>263.3</v>
      </c>
      <c r="C44" s="30">
        <v>6.4219512195121951</v>
      </c>
      <c r="D44" s="35">
        <v>1.8292682926829269</v>
      </c>
      <c r="E44" s="31">
        <v>0.41463414634146339</v>
      </c>
      <c r="F44" s="31">
        <v>0.24390243902439024</v>
      </c>
      <c r="G44" s="31">
        <v>0.30476190476190479</v>
      </c>
      <c r="H44" s="31">
        <v>0.1492063492063492</v>
      </c>
      <c r="I44" s="32">
        <v>9594.7916666666661</v>
      </c>
      <c r="J44" s="32">
        <v>-6951.0638297872338</v>
      </c>
      <c r="K44" s="31">
        <v>9.7560975609756101E-2</v>
      </c>
      <c r="L44" s="31">
        <v>0.33333333333333331</v>
      </c>
      <c r="M44" s="31">
        <v>0.19047619047619047</v>
      </c>
      <c r="N44" s="31">
        <v>0.51428571428571423</v>
      </c>
      <c r="O44" s="31">
        <v>0.4</v>
      </c>
      <c r="P44" s="31">
        <v>0.48958333333333331</v>
      </c>
    </row>
    <row r="45" spans="1:16" x14ac:dyDescent="0.4">
      <c r="A45" s="33">
        <v>42</v>
      </c>
      <c r="B45" s="30">
        <v>253.10000000000002</v>
      </c>
      <c r="C45" s="30">
        <v>6.026190476190477</v>
      </c>
      <c r="D45" s="35">
        <v>1.8333333333333333</v>
      </c>
      <c r="E45" s="31">
        <v>0.40476190476190477</v>
      </c>
      <c r="F45" s="31">
        <v>0.23809523809523808</v>
      </c>
      <c r="G45" s="31">
        <v>0.30529595015576322</v>
      </c>
      <c r="H45" s="31">
        <v>0.14953271028037382</v>
      </c>
      <c r="I45" s="32">
        <v>9559.1836734693879</v>
      </c>
      <c r="J45" s="32">
        <v>-7181.25</v>
      </c>
      <c r="K45" s="31">
        <v>9.5238095238095233E-2</v>
      </c>
      <c r="L45" s="31">
        <v>0.3364485981308411</v>
      </c>
      <c r="M45" s="31">
        <v>0.19003115264797507</v>
      </c>
      <c r="N45" s="31">
        <v>0.5092592592592593</v>
      </c>
      <c r="O45" s="31">
        <v>0.4098360655737705</v>
      </c>
      <c r="P45" s="31">
        <v>0.48979591836734693</v>
      </c>
    </row>
    <row r="46" spans="1:16" x14ac:dyDescent="0.4">
      <c r="A46" s="33">
        <v>43</v>
      </c>
      <c r="B46" s="30">
        <v>281.90000000000003</v>
      </c>
      <c r="C46" s="30">
        <v>6.5558139534883733</v>
      </c>
      <c r="D46" s="35">
        <v>1.8139534883720929</v>
      </c>
      <c r="E46" s="31">
        <v>0.41860465116279072</v>
      </c>
      <c r="F46" s="31">
        <v>0.23255813953488372</v>
      </c>
      <c r="G46" s="31">
        <v>0.30699088145896658</v>
      </c>
      <c r="H46" s="31">
        <v>0.1519756838905775</v>
      </c>
      <c r="I46" s="32">
        <v>9667.3267326732675</v>
      </c>
      <c r="J46" s="32">
        <v>-7050</v>
      </c>
      <c r="K46" s="31">
        <v>9.3023255813953487E-2</v>
      </c>
      <c r="L46" s="31">
        <v>0.34042553191489361</v>
      </c>
      <c r="M46" s="31">
        <v>0.18541033434650456</v>
      </c>
      <c r="N46" s="31">
        <v>0.5089285714285714</v>
      </c>
      <c r="O46" s="31">
        <v>0.4098360655737705</v>
      </c>
      <c r="P46" s="31">
        <v>0.49504950495049505</v>
      </c>
    </row>
    <row r="47" spans="1:16" x14ac:dyDescent="0.4">
      <c r="A47" s="33">
        <v>44</v>
      </c>
      <c r="B47" s="30">
        <v>275.70000000000005</v>
      </c>
      <c r="C47" s="30">
        <v>6.2659090909090915</v>
      </c>
      <c r="D47" s="35">
        <v>1.8181818181818181</v>
      </c>
      <c r="E47" s="31">
        <v>0.40909090909090912</v>
      </c>
      <c r="F47" s="31">
        <v>0.22727272727272727</v>
      </c>
      <c r="G47" s="31">
        <v>0.30654761904761907</v>
      </c>
      <c r="H47" s="31">
        <v>0.15476190476190477</v>
      </c>
      <c r="I47" s="32">
        <v>9647.5728155339802</v>
      </c>
      <c r="J47" s="32">
        <v>-7163.4615384615381</v>
      </c>
      <c r="K47" s="31">
        <v>9.0909090909090912E-2</v>
      </c>
      <c r="L47" s="31">
        <v>0.34523809523809523</v>
      </c>
      <c r="M47" s="31">
        <v>0.18154761904761904</v>
      </c>
      <c r="N47" s="31">
        <v>0.50862068965517238</v>
      </c>
      <c r="O47" s="31">
        <v>0.4098360655737705</v>
      </c>
      <c r="P47" s="31">
        <v>0.4854368932038835</v>
      </c>
    </row>
    <row r="48" spans="1:16" x14ac:dyDescent="0.4">
      <c r="A48" s="33">
        <v>45</v>
      </c>
      <c r="B48" s="30">
        <v>224.80000000000004</v>
      </c>
      <c r="C48" s="30">
        <v>4.9955555555555566</v>
      </c>
      <c r="D48" s="35">
        <v>1.8444444444444446</v>
      </c>
      <c r="E48" s="31">
        <v>0.4</v>
      </c>
      <c r="F48" s="31">
        <v>0.24444444444444444</v>
      </c>
      <c r="G48" s="31">
        <v>0.30029154518950435</v>
      </c>
      <c r="H48" s="31">
        <v>0.16034985422740525</v>
      </c>
      <c r="I48" s="32">
        <v>9647.5728155339802</v>
      </c>
      <c r="J48" s="32">
        <v>-6983.636363636364</v>
      </c>
      <c r="K48" s="31">
        <v>8.8888888888888892E-2</v>
      </c>
      <c r="L48" s="31">
        <v>0.33819241982507287</v>
      </c>
      <c r="M48" s="31">
        <v>0.18367346938775511</v>
      </c>
      <c r="N48" s="31">
        <v>0.50862068965517238</v>
      </c>
      <c r="O48" s="31">
        <v>0.3968253968253968</v>
      </c>
      <c r="P48" s="31">
        <v>0.4854368932038835</v>
      </c>
    </row>
    <row r="49" spans="1:16" x14ac:dyDescent="0.4">
      <c r="A49" s="33">
        <v>46</v>
      </c>
      <c r="B49" s="30">
        <v>260.00000000000006</v>
      </c>
      <c r="C49" s="30">
        <v>5.6521739130434794</v>
      </c>
      <c r="D49" s="35">
        <v>1.826086956521739</v>
      </c>
      <c r="E49" s="31">
        <v>0.41304347826086957</v>
      </c>
      <c r="F49" s="31">
        <v>0.2391304347826087</v>
      </c>
      <c r="G49" s="31">
        <v>0.3002832861189802</v>
      </c>
      <c r="H49" s="31">
        <v>0.15580736543909349</v>
      </c>
      <c r="I49" s="32">
        <v>9666.9811320754725</v>
      </c>
      <c r="J49" s="32">
        <v>-6983.636363636364</v>
      </c>
      <c r="K49" s="31">
        <v>8.6956521739130432E-2</v>
      </c>
      <c r="L49" s="31">
        <v>0.33711048158640228</v>
      </c>
      <c r="M49" s="31">
        <v>0.18413597733711048</v>
      </c>
      <c r="N49" s="31">
        <v>0.51260504201680668</v>
      </c>
      <c r="O49" s="31">
        <v>0.4</v>
      </c>
      <c r="P49" s="31">
        <v>0.48113207547169812</v>
      </c>
    </row>
    <row r="50" spans="1:16" x14ac:dyDescent="0.4">
      <c r="A50" s="33">
        <v>47</v>
      </c>
      <c r="B50" s="30">
        <v>233.20000000000005</v>
      </c>
      <c r="C50" s="30">
        <v>4.9617021276595752</v>
      </c>
      <c r="D50" s="35">
        <v>1.8510638297872339</v>
      </c>
      <c r="E50" s="31">
        <v>0.40425531914893614</v>
      </c>
      <c r="F50" s="31">
        <v>0.25531914893617019</v>
      </c>
      <c r="G50" s="31">
        <v>0.29916897506925205</v>
      </c>
      <c r="H50" s="31">
        <v>0.15512465373961218</v>
      </c>
      <c r="I50" s="32">
        <v>9636.1111111111113</v>
      </c>
      <c r="J50" s="32">
        <v>-7001.7857142857147</v>
      </c>
      <c r="K50" s="31">
        <v>8.5106382978723402E-2</v>
      </c>
      <c r="L50" s="31">
        <v>0.33795013850415512</v>
      </c>
      <c r="M50" s="31">
        <v>0.18282548476454294</v>
      </c>
      <c r="N50" s="31">
        <v>0.51639344262295084</v>
      </c>
      <c r="O50" s="31">
        <v>0.39393939393939392</v>
      </c>
      <c r="P50" s="31">
        <v>0.48148148148148145</v>
      </c>
    </row>
    <row r="51" spans="1:16" x14ac:dyDescent="0.4">
      <c r="A51" s="33">
        <v>48</v>
      </c>
      <c r="B51" s="30">
        <v>174.40000000000003</v>
      </c>
      <c r="C51" s="30">
        <v>3.6333333333333342</v>
      </c>
      <c r="D51" s="35">
        <v>1.875</v>
      </c>
      <c r="E51" s="31">
        <v>0.39583333333333331</v>
      </c>
      <c r="F51" s="31">
        <v>0.27083333333333331</v>
      </c>
      <c r="G51" s="31">
        <v>0.29459459459459458</v>
      </c>
      <c r="H51" s="31">
        <v>0.15945945945945947</v>
      </c>
      <c r="I51" s="32">
        <v>9574.3119266055037</v>
      </c>
      <c r="J51" s="32">
        <v>-7115.2542372881353</v>
      </c>
      <c r="K51" s="31">
        <v>0.10416666666666667</v>
      </c>
      <c r="L51" s="31">
        <v>0.34054054054054056</v>
      </c>
      <c r="M51" s="31">
        <v>0.18378378378378379</v>
      </c>
      <c r="N51" s="31">
        <v>0.5</v>
      </c>
      <c r="O51" s="31">
        <v>0.39705882352941174</v>
      </c>
      <c r="P51" s="31">
        <v>0.47706422018348627</v>
      </c>
    </row>
    <row r="52" spans="1:16" x14ac:dyDescent="0.4">
      <c r="A52" s="33">
        <v>49</v>
      </c>
      <c r="B52" s="30">
        <v>116.60000000000004</v>
      </c>
      <c r="C52" s="30">
        <v>2.3795918367346944</v>
      </c>
      <c r="D52" s="35">
        <v>1.8979591836734695</v>
      </c>
      <c r="E52" s="31">
        <v>0.38775510204081631</v>
      </c>
      <c r="F52" s="31">
        <v>0.2857142857142857</v>
      </c>
      <c r="G52" s="31">
        <v>0.29177718832891247</v>
      </c>
      <c r="H52" s="31">
        <v>0.15915119363395225</v>
      </c>
      <c r="I52" s="32">
        <v>9505.454545454546</v>
      </c>
      <c r="J52" s="32">
        <v>-7530</v>
      </c>
      <c r="K52" s="31">
        <v>0.12244897959183673</v>
      </c>
      <c r="L52" s="31">
        <v>0.33421750663129973</v>
      </c>
      <c r="M52" s="31">
        <v>0.19363395225464192</v>
      </c>
      <c r="N52" s="31">
        <v>0.5</v>
      </c>
      <c r="O52" s="31">
        <v>0.38356164383561642</v>
      </c>
      <c r="P52" s="31">
        <v>0.47272727272727272</v>
      </c>
    </row>
    <row r="53" spans="1:16" x14ac:dyDescent="0.4">
      <c r="A53" s="33">
        <v>50</v>
      </c>
      <c r="B53" s="30">
        <v>55.900000000000034</v>
      </c>
      <c r="C53" s="30">
        <v>1.1180000000000008</v>
      </c>
      <c r="D53" s="35">
        <v>1.92</v>
      </c>
      <c r="E53" s="31">
        <v>0.38</v>
      </c>
      <c r="F53" s="31">
        <v>0.3</v>
      </c>
      <c r="G53" s="31">
        <v>0.2868217054263566</v>
      </c>
      <c r="H53" s="31">
        <v>0.15762273901808785</v>
      </c>
      <c r="I53" s="32">
        <v>9489.1891891891901</v>
      </c>
      <c r="J53" s="32">
        <v>-7532.7868852459014</v>
      </c>
      <c r="K53" s="31">
        <v>0.14000000000000001</v>
      </c>
      <c r="L53" s="31">
        <v>0.32558139534883723</v>
      </c>
      <c r="M53" s="31">
        <v>0.19896640826873385</v>
      </c>
      <c r="N53" s="31">
        <v>0.5</v>
      </c>
      <c r="O53" s="31">
        <v>0.37662337662337664</v>
      </c>
      <c r="P53" s="31">
        <v>0.47747747747747749</v>
      </c>
    </row>
    <row r="54" spans="1:16" x14ac:dyDescent="0.4">
      <c r="A54" s="33">
        <v>51</v>
      </c>
      <c r="B54" s="30">
        <v>55.900000000000034</v>
      </c>
      <c r="C54" s="30">
        <v>1.0960784313725498</v>
      </c>
      <c r="D54" s="35">
        <v>1.9215686274509804</v>
      </c>
      <c r="E54" s="31">
        <v>0.37254901960784315</v>
      </c>
      <c r="F54" s="31">
        <v>0.29411764705882354</v>
      </c>
      <c r="G54" s="31">
        <v>0.28643216080402012</v>
      </c>
      <c r="H54" s="31">
        <v>0.15829145728643215</v>
      </c>
      <c r="I54" s="32">
        <v>9395.6140350877195</v>
      </c>
      <c r="J54" s="32">
        <v>-7546.0317460317465</v>
      </c>
      <c r="K54" s="31">
        <v>0.13725490196078433</v>
      </c>
      <c r="L54" s="31">
        <v>0.31909547738693467</v>
      </c>
      <c r="M54" s="31">
        <v>0.20100502512562815</v>
      </c>
      <c r="N54" s="31">
        <v>0.49606299212598426</v>
      </c>
      <c r="O54" s="31">
        <v>0.38750000000000001</v>
      </c>
      <c r="P54" s="31">
        <v>0.47368421052631576</v>
      </c>
    </row>
    <row r="55" spans="1:16" x14ac:dyDescent="0.4">
      <c r="A55" s="33">
        <v>52</v>
      </c>
      <c r="B55" s="30">
        <v>101.10000000000004</v>
      </c>
      <c r="C55" s="30">
        <v>1.9442307692307699</v>
      </c>
      <c r="D55" s="35">
        <v>1.9038461538461537</v>
      </c>
      <c r="E55" s="31">
        <v>0.38461538461538464</v>
      </c>
      <c r="F55" s="31">
        <v>0.28846153846153844</v>
      </c>
      <c r="G55" s="31">
        <v>0.29135802469135802</v>
      </c>
      <c r="H55" s="31">
        <v>0.15802469135802469</v>
      </c>
      <c r="I55" s="32">
        <v>9311.8644067796613</v>
      </c>
      <c r="J55" s="32">
        <v>-7553.125</v>
      </c>
      <c r="K55" s="31">
        <v>0.13461538461538461</v>
      </c>
      <c r="L55" s="31">
        <v>0.32592592592592595</v>
      </c>
      <c r="M55" s="31">
        <v>0.2</v>
      </c>
      <c r="N55" s="31">
        <v>0.49242424242424243</v>
      </c>
      <c r="O55" s="31">
        <v>0.39506172839506171</v>
      </c>
      <c r="P55" s="31">
        <v>0.46610169491525422</v>
      </c>
    </row>
    <row r="56" spans="1:16" x14ac:dyDescent="0.4">
      <c r="A56" s="33">
        <v>53</v>
      </c>
      <c r="B56" s="30">
        <v>145.80000000000004</v>
      </c>
      <c r="C56" s="30">
        <v>2.750943396226416</v>
      </c>
      <c r="D56" s="35">
        <v>1.8867924528301887</v>
      </c>
      <c r="E56" s="31">
        <v>0.39622641509433965</v>
      </c>
      <c r="F56" s="31">
        <v>0.28301886792452829</v>
      </c>
      <c r="G56" s="31">
        <v>0.29539951573849876</v>
      </c>
      <c r="H56" s="31">
        <v>0.15496368038740921</v>
      </c>
      <c r="I56" s="32">
        <v>9282.7868852459014</v>
      </c>
      <c r="J56" s="32">
        <v>-7553.125</v>
      </c>
      <c r="K56" s="31">
        <v>0.13207547169811321</v>
      </c>
      <c r="L56" s="31">
        <v>0.32445520581113801</v>
      </c>
      <c r="M56" s="31">
        <v>0.20338983050847459</v>
      </c>
      <c r="N56" s="31">
        <v>0.4925373134328358</v>
      </c>
      <c r="O56" s="31">
        <v>0.40476190476190477</v>
      </c>
      <c r="P56" s="31">
        <v>0.46721311475409838</v>
      </c>
    </row>
    <row r="57" spans="1:16" x14ac:dyDescent="0.4">
      <c r="A57" s="33">
        <v>54</v>
      </c>
      <c r="B57" s="30">
        <v>193.00000000000006</v>
      </c>
      <c r="C57" s="30">
        <v>3.5740740740740753</v>
      </c>
      <c r="D57" s="35">
        <v>1.8703703703703705</v>
      </c>
      <c r="E57" s="31">
        <v>0.40740740740740738</v>
      </c>
      <c r="F57" s="31">
        <v>0.27777777777777779</v>
      </c>
      <c r="G57" s="31">
        <v>0.29761904761904762</v>
      </c>
      <c r="H57" s="31">
        <v>0.15238095238095239</v>
      </c>
      <c r="I57" s="32">
        <v>9364</v>
      </c>
      <c r="J57" s="32">
        <v>-7553.125</v>
      </c>
      <c r="K57" s="31">
        <v>0.12962962962962962</v>
      </c>
      <c r="L57" s="31">
        <v>0.3261904761904762</v>
      </c>
      <c r="M57" s="31">
        <v>0.20238095238095238</v>
      </c>
      <c r="N57" s="31">
        <v>0.49635036496350365</v>
      </c>
      <c r="O57" s="31">
        <v>0.41176470588235292</v>
      </c>
      <c r="P57" s="31">
        <v>0.46400000000000002</v>
      </c>
    </row>
    <row r="58" spans="1:16" x14ac:dyDescent="0.4">
      <c r="A58" s="33">
        <v>55</v>
      </c>
      <c r="B58" s="30">
        <v>133.60000000000005</v>
      </c>
      <c r="C58" s="30">
        <v>2.4290909090909101</v>
      </c>
      <c r="D58" s="35">
        <v>1.8909090909090909</v>
      </c>
      <c r="E58" s="31">
        <v>0.4</v>
      </c>
      <c r="F58" s="31">
        <v>0.29090909090909089</v>
      </c>
      <c r="G58" s="31">
        <v>0.29137529137529139</v>
      </c>
      <c r="H58" s="31">
        <v>0.15151515151515152</v>
      </c>
      <c r="I58" s="32">
        <v>9364</v>
      </c>
      <c r="J58" s="32">
        <v>-7560</v>
      </c>
      <c r="K58" s="31">
        <v>0.14545454545454545</v>
      </c>
      <c r="L58" s="31">
        <v>0.32400932400932403</v>
      </c>
      <c r="M58" s="31">
        <v>0.20512820512820512</v>
      </c>
      <c r="N58" s="31">
        <v>0.48920863309352519</v>
      </c>
      <c r="O58" s="31">
        <v>0.39772727272727271</v>
      </c>
      <c r="P58" s="31">
        <v>0.46400000000000002</v>
      </c>
    </row>
    <row r="59" spans="1:16" x14ac:dyDescent="0.4">
      <c r="A59" s="33">
        <v>56</v>
      </c>
      <c r="B59" s="30">
        <v>133.60000000000005</v>
      </c>
      <c r="C59" s="30">
        <v>2.3857142857142866</v>
      </c>
      <c r="D59" s="35">
        <v>1.8928571428571428</v>
      </c>
      <c r="E59" s="31">
        <v>0.39285714285714285</v>
      </c>
      <c r="F59" s="31">
        <v>0.2857142857142857</v>
      </c>
      <c r="G59" s="31">
        <v>0.28935185185185186</v>
      </c>
      <c r="H59" s="31">
        <v>0.15046296296296297</v>
      </c>
      <c r="I59" s="32">
        <v>9364</v>
      </c>
      <c r="J59" s="32">
        <v>-7560</v>
      </c>
      <c r="K59" s="31">
        <v>0.14285714285714285</v>
      </c>
      <c r="L59" s="31">
        <v>0.32175925925925924</v>
      </c>
      <c r="M59" s="31">
        <v>0.20370370370370369</v>
      </c>
      <c r="N59" s="31">
        <v>0.48920863309352519</v>
      </c>
      <c r="O59" s="31">
        <v>0.39772727272727271</v>
      </c>
      <c r="P59" s="31">
        <v>0.46400000000000002</v>
      </c>
    </row>
    <row r="60" spans="1:16" x14ac:dyDescent="0.4">
      <c r="A60" s="33">
        <v>57</v>
      </c>
      <c r="B60" s="30">
        <v>132.90000000000006</v>
      </c>
      <c r="C60" s="30">
        <v>2.3315789473684223</v>
      </c>
      <c r="D60" s="35">
        <v>1.8947368421052631</v>
      </c>
      <c r="E60" s="31">
        <v>0.38596491228070173</v>
      </c>
      <c r="F60" s="31">
        <v>0.2807017543859649</v>
      </c>
      <c r="G60" s="31">
        <v>0.29024943310657597</v>
      </c>
      <c r="H60" s="31">
        <v>0.15192743764172337</v>
      </c>
      <c r="I60" s="32">
        <v>9425.78125</v>
      </c>
      <c r="J60" s="32">
        <v>-7728.3582089552237</v>
      </c>
      <c r="K60" s="31">
        <v>0.14035087719298245</v>
      </c>
      <c r="L60" s="31">
        <v>0.32199546485260772</v>
      </c>
      <c r="M60" s="31">
        <v>0.20181405895691609</v>
      </c>
      <c r="N60" s="31">
        <v>0.49295774647887325</v>
      </c>
      <c r="O60" s="31">
        <v>0.39325842696629215</v>
      </c>
      <c r="P60" s="31">
        <v>0.4609375</v>
      </c>
    </row>
    <row r="61" spans="1:16" x14ac:dyDescent="0.4">
      <c r="A61" s="33">
        <v>58</v>
      </c>
      <c r="B61" s="30">
        <v>99.000000000000057</v>
      </c>
      <c r="C61" s="30">
        <v>1.706896551724139</v>
      </c>
      <c r="D61" s="35">
        <v>1.9137931034482758</v>
      </c>
      <c r="E61" s="31">
        <v>0.37931034482758619</v>
      </c>
      <c r="F61" s="31">
        <v>0.29310344827586204</v>
      </c>
      <c r="G61" s="31">
        <v>0.29046563192904656</v>
      </c>
      <c r="H61" s="31">
        <v>0.15077605321507762</v>
      </c>
      <c r="I61" s="32">
        <v>9387.0229007633588</v>
      </c>
      <c r="J61" s="32">
        <v>-7755.8823529411766</v>
      </c>
      <c r="K61" s="31">
        <v>0.13793103448275862</v>
      </c>
      <c r="L61" s="31">
        <v>0.3215077605321508</v>
      </c>
      <c r="M61" s="31">
        <v>0.19955654101995565</v>
      </c>
      <c r="N61" s="31">
        <v>0.49655172413793103</v>
      </c>
      <c r="O61" s="31">
        <v>0.3888888888888889</v>
      </c>
      <c r="P61" s="31">
        <v>0.46564885496183206</v>
      </c>
    </row>
    <row r="62" spans="1:16" x14ac:dyDescent="0.4">
      <c r="A62" s="33">
        <v>59</v>
      </c>
      <c r="B62" s="30">
        <v>157.90000000000006</v>
      </c>
      <c r="C62" s="30">
        <v>2.6762711864406792</v>
      </c>
      <c r="D62" s="35">
        <v>1.8983050847457628</v>
      </c>
      <c r="E62" s="31">
        <v>0.38983050847457629</v>
      </c>
      <c r="F62" s="31">
        <v>0.28813559322033899</v>
      </c>
      <c r="G62" s="31">
        <v>0.29321663019693656</v>
      </c>
      <c r="H62" s="31">
        <v>0.1487964989059081</v>
      </c>
      <c r="I62" s="32">
        <v>9397.7611940298502</v>
      </c>
      <c r="J62" s="32">
        <v>-7755.8823529411766</v>
      </c>
      <c r="K62" s="31">
        <v>0.13559322033898305</v>
      </c>
      <c r="L62" s="31">
        <v>0.32385120350109409</v>
      </c>
      <c r="M62" s="31">
        <v>0.19912472647702406</v>
      </c>
      <c r="N62" s="31">
        <v>0.5</v>
      </c>
      <c r="O62" s="31">
        <v>0.39560439560439559</v>
      </c>
      <c r="P62" s="31">
        <v>0.47014925373134331</v>
      </c>
    </row>
    <row r="63" spans="1:16" x14ac:dyDescent="0.4">
      <c r="A63" s="33">
        <v>60</v>
      </c>
      <c r="B63" s="30">
        <v>166.60000000000005</v>
      </c>
      <c r="C63" s="30">
        <v>2.7766666666666677</v>
      </c>
      <c r="D63" s="35">
        <v>1.9</v>
      </c>
      <c r="E63" s="31">
        <v>0.38333333333333336</v>
      </c>
      <c r="F63" s="31">
        <v>0.28333333333333333</v>
      </c>
      <c r="G63" s="31">
        <v>0.29525862068965519</v>
      </c>
      <c r="H63" s="31">
        <v>0.14870689655172414</v>
      </c>
      <c r="I63" s="32">
        <v>9353.2846715328469</v>
      </c>
      <c r="J63" s="32">
        <v>-7700</v>
      </c>
      <c r="K63" s="31">
        <v>0.13333333333333333</v>
      </c>
      <c r="L63" s="31">
        <v>0.32543103448275862</v>
      </c>
      <c r="M63" s="31">
        <v>0.19827586206896552</v>
      </c>
      <c r="N63" s="31">
        <v>0.50993377483443714</v>
      </c>
      <c r="O63" s="31">
        <v>0.39130434782608697</v>
      </c>
      <c r="P63" s="31">
        <v>0.47445255474452552</v>
      </c>
    </row>
    <row r="64" spans="1:16" x14ac:dyDescent="0.4">
      <c r="A64" s="33">
        <v>61</v>
      </c>
      <c r="B64" s="30">
        <v>237.70000000000005</v>
      </c>
      <c r="C64" s="30">
        <v>3.8967213114754107</v>
      </c>
      <c r="D64" s="35">
        <v>1.8852459016393444</v>
      </c>
      <c r="E64" s="31">
        <v>0.39344262295081966</v>
      </c>
      <c r="F64" s="31">
        <v>0.27868852459016391</v>
      </c>
      <c r="G64" s="31">
        <v>0.29746835443037972</v>
      </c>
      <c r="H64" s="31">
        <v>0.14978902953586498</v>
      </c>
      <c r="I64" s="32">
        <v>9655.3191489361707</v>
      </c>
      <c r="J64" s="32">
        <v>-7594.3661971830988</v>
      </c>
      <c r="K64" s="31">
        <v>0.13114754098360656</v>
      </c>
      <c r="L64" s="31">
        <v>0.32911392405063289</v>
      </c>
      <c r="M64" s="31">
        <v>0.20042194092827004</v>
      </c>
      <c r="N64" s="31">
        <v>0.51282051282051277</v>
      </c>
      <c r="O64" s="31">
        <v>0.38947368421052631</v>
      </c>
      <c r="P64" s="31">
        <v>0.48226950354609927</v>
      </c>
    </row>
    <row r="65" spans="1:16" x14ac:dyDescent="0.4">
      <c r="A65" s="33">
        <v>62</v>
      </c>
      <c r="B65" s="30">
        <v>266.00000000000006</v>
      </c>
      <c r="C65" s="30">
        <v>4.2903225806451619</v>
      </c>
      <c r="D65" s="35">
        <v>1.8709677419354838</v>
      </c>
      <c r="E65" s="31">
        <v>0.40322580645161288</v>
      </c>
      <c r="F65" s="31">
        <v>0.27419354838709675</v>
      </c>
      <c r="G65" s="31">
        <v>0.29729729729729731</v>
      </c>
      <c r="H65" s="31">
        <v>0.15384615384615385</v>
      </c>
      <c r="I65" s="32">
        <v>9658.0419580419584</v>
      </c>
      <c r="J65" s="32">
        <v>-7452.7027027027025</v>
      </c>
      <c r="K65" s="31">
        <v>0.12903225806451613</v>
      </c>
      <c r="L65" s="31">
        <v>0.33264033264033266</v>
      </c>
      <c r="M65" s="31">
        <v>0.1995841995841996</v>
      </c>
      <c r="N65" s="31">
        <v>0.50624999999999998</v>
      </c>
      <c r="O65" s="31">
        <v>0.39583333333333331</v>
      </c>
      <c r="P65" s="31">
        <v>0.4825174825174825</v>
      </c>
    </row>
    <row r="66" spans="1:16" x14ac:dyDescent="0.4">
      <c r="A66" s="33">
        <v>63</v>
      </c>
      <c r="B66" s="30">
        <v>270.70000000000005</v>
      </c>
      <c r="C66" s="30">
        <v>4.2968253968253975</v>
      </c>
      <c r="D66" s="35">
        <v>1.873015873015873</v>
      </c>
      <c r="E66" s="31">
        <v>0.3968253968253968</v>
      </c>
      <c r="F66" s="31">
        <v>0.26984126984126983</v>
      </c>
      <c r="G66" s="31">
        <v>0.29508196721311475</v>
      </c>
      <c r="H66" s="31">
        <v>0.15163934426229508</v>
      </c>
      <c r="I66" s="32">
        <v>9715.9722222222226</v>
      </c>
      <c r="J66" s="32">
        <v>-7452.7027027027025</v>
      </c>
      <c r="K66" s="31">
        <v>0.12698412698412698</v>
      </c>
      <c r="L66" s="31">
        <v>0.33196721311475408</v>
      </c>
      <c r="M66" s="31">
        <v>0.19672131147540983</v>
      </c>
      <c r="N66" s="31">
        <v>0.50617283950617287</v>
      </c>
      <c r="O66" s="31">
        <v>0.39583333333333331</v>
      </c>
      <c r="P66" s="31">
        <v>0.4861111111111111</v>
      </c>
    </row>
    <row r="67" spans="1:16" x14ac:dyDescent="0.4">
      <c r="A67" s="33">
        <v>64</v>
      </c>
      <c r="B67" s="30">
        <v>212.80000000000004</v>
      </c>
      <c r="C67" s="30">
        <v>3.3250000000000006</v>
      </c>
      <c r="D67" s="35">
        <v>1.890625</v>
      </c>
      <c r="E67" s="31">
        <v>0.390625</v>
      </c>
      <c r="F67" s="31">
        <v>0.28125</v>
      </c>
      <c r="G67" s="31">
        <v>0.29292929292929293</v>
      </c>
      <c r="H67" s="31">
        <v>0.15555555555555556</v>
      </c>
      <c r="I67" s="32">
        <v>9676.5517241379312</v>
      </c>
      <c r="J67" s="32">
        <v>-7550.6493506493507</v>
      </c>
      <c r="K67" s="31">
        <v>0.140625</v>
      </c>
      <c r="L67" s="31">
        <v>0.33131313131313134</v>
      </c>
      <c r="M67" s="31">
        <v>0.19595959595959597</v>
      </c>
      <c r="N67" s="31">
        <v>0.50609756097560976</v>
      </c>
      <c r="O67" s="31">
        <v>0.39175257731958762</v>
      </c>
      <c r="P67" s="31">
        <v>0.48965517241379308</v>
      </c>
    </row>
    <row r="68" spans="1:16" x14ac:dyDescent="0.4">
      <c r="A68" s="33">
        <v>65</v>
      </c>
      <c r="B68" s="30">
        <v>205.40000000000003</v>
      </c>
      <c r="C68" s="30">
        <v>3.1600000000000006</v>
      </c>
      <c r="D68" s="35">
        <v>1.8923076923076922</v>
      </c>
      <c r="E68" s="31">
        <v>0.38461538461538464</v>
      </c>
      <c r="F68" s="31">
        <v>0.27692307692307694</v>
      </c>
      <c r="G68" s="31">
        <v>0.29282868525896416</v>
      </c>
      <c r="H68" s="31">
        <v>0.15737051792828685</v>
      </c>
      <c r="I68" s="32">
        <v>9678.9115646258506</v>
      </c>
      <c r="J68" s="32">
        <v>-7537.9746835443038</v>
      </c>
      <c r="K68" s="31">
        <v>0.13846153846153847</v>
      </c>
      <c r="L68" s="31">
        <v>0.32868525896414341</v>
      </c>
      <c r="M68" s="31">
        <v>0.19521912350597609</v>
      </c>
      <c r="N68" s="31">
        <v>0.50909090909090904</v>
      </c>
      <c r="O68" s="31">
        <v>0.39795918367346939</v>
      </c>
      <c r="P68" s="31">
        <v>0.48299319727891155</v>
      </c>
    </row>
    <row r="69" spans="1:16" x14ac:dyDescent="0.4">
      <c r="A69" s="33">
        <v>66</v>
      </c>
      <c r="B69" s="30">
        <v>147.20000000000005</v>
      </c>
      <c r="C69" s="30">
        <v>2.2303030303030309</v>
      </c>
      <c r="D69" s="35">
        <v>1.9090909090909092</v>
      </c>
      <c r="E69" s="31">
        <v>0.37878787878787878</v>
      </c>
      <c r="F69" s="31">
        <v>0.2878787878787879</v>
      </c>
      <c r="G69" s="31">
        <v>0.29133858267716534</v>
      </c>
      <c r="H69" s="31">
        <v>0.16141732283464566</v>
      </c>
      <c r="I69" s="32">
        <v>9721.6216216216217</v>
      </c>
      <c r="J69" s="32">
        <v>-7746.3414634146338</v>
      </c>
      <c r="K69" s="31">
        <v>0.15151515151515152</v>
      </c>
      <c r="L69" s="31">
        <v>0.32677165354330706</v>
      </c>
      <c r="M69" s="31">
        <v>0.19685039370078741</v>
      </c>
      <c r="N69" s="31">
        <v>0.51204819277108438</v>
      </c>
      <c r="O69" s="31">
        <v>0.39</v>
      </c>
      <c r="P69" s="31">
        <v>0.47972972972972971</v>
      </c>
    </row>
    <row r="70" spans="1:16" x14ac:dyDescent="0.4">
      <c r="A70" s="33">
        <v>67</v>
      </c>
      <c r="B70" s="30">
        <v>127.90000000000005</v>
      </c>
      <c r="C70" s="30">
        <v>1.9089552238805978</v>
      </c>
      <c r="D70" s="35">
        <v>1.9104477611940298</v>
      </c>
      <c r="E70" s="31">
        <v>0.37313432835820898</v>
      </c>
      <c r="F70" s="31">
        <v>0.28358208955223879</v>
      </c>
      <c r="G70" s="31">
        <v>0.28820116054158607</v>
      </c>
      <c r="H70" s="31">
        <v>0.16247582205029013</v>
      </c>
      <c r="I70" s="32">
        <v>9736.9127516778517</v>
      </c>
      <c r="J70" s="32">
        <v>-7746.4285714285716</v>
      </c>
      <c r="K70" s="31">
        <v>0.14925373134328357</v>
      </c>
      <c r="L70" s="31">
        <v>0.32108317214700194</v>
      </c>
      <c r="M70" s="31">
        <v>0.19342359767891681</v>
      </c>
      <c r="N70" s="31">
        <v>0.51204819277108438</v>
      </c>
      <c r="O70" s="31">
        <v>0.39</v>
      </c>
      <c r="P70" s="31">
        <v>0.48322147651006714</v>
      </c>
    </row>
    <row r="71" spans="1:16" x14ac:dyDescent="0.4">
      <c r="A71" s="33">
        <v>68</v>
      </c>
      <c r="B71" s="30">
        <v>94.600000000000051</v>
      </c>
      <c r="C71" s="30">
        <v>1.3911764705882361</v>
      </c>
      <c r="D71" s="35">
        <v>1.9264705882352942</v>
      </c>
      <c r="E71" s="31">
        <v>0.36764705882352944</v>
      </c>
      <c r="F71" s="31">
        <v>0.29411764705882354</v>
      </c>
      <c r="G71" s="31">
        <v>0.28517110266159695</v>
      </c>
      <c r="H71" s="31">
        <v>0.1634980988593156</v>
      </c>
      <c r="I71" s="32">
        <v>9704</v>
      </c>
      <c r="J71" s="32">
        <v>-7693.0232558139533</v>
      </c>
      <c r="K71" s="31">
        <v>0.14705882352941177</v>
      </c>
      <c r="L71" s="31">
        <v>0.31558935361216728</v>
      </c>
      <c r="M71" s="31">
        <v>0.19391634980988592</v>
      </c>
      <c r="N71" s="31">
        <v>0.51204819277108438</v>
      </c>
      <c r="O71" s="31">
        <v>0.38235294117647056</v>
      </c>
      <c r="P71" s="31">
        <v>0.48666666666666669</v>
      </c>
    </row>
    <row r="72" spans="1:16" x14ac:dyDescent="0.4">
      <c r="A72" s="33">
        <v>69</v>
      </c>
      <c r="B72" s="30">
        <v>98.900000000000048</v>
      </c>
      <c r="C72" s="30">
        <v>1.433333333333334</v>
      </c>
      <c r="D72" s="35">
        <v>1.9275362318840579</v>
      </c>
      <c r="E72" s="31">
        <v>0.36231884057971014</v>
      </c>
      <c r="F72" s="31">
        <v>0.28985507246376813</v>
      </c>
      <c r="G72" s="31">
        <v>0.28759398496240601</v>
      </c>
      <c r="H72" s="31">
        <v>0.16541353383458646</v>
      </c>
      <c r="I72" s="32">
        <v>9670.5882352941171</v>
      </c>
      <c r="J72" s="32">
        <v>-7668.181818181818</v>
      </c>
      <c r="K72" s="31">
        <v>0.14492753623188406</v>
      </c>
      <c r="L72" s="31">
        <v>0.31578947368421051</v>
      </c>
      <c r="M72" s="31">
        <v>0.19548872180451127</v>
      </c>
      <c r="N72" s="31">
        <v>0.5178571428571429</v>
      </c>
      <c r="O72" s="31">
        <v>0.375</v>
      </c>
      <c r="P72" s="31">
        <v>0.49673202614379086</v>
      </c>
    </row>
    <row r="73" spans="1:16" x14ac:dyDescent="0.4">
      <c r="A73" s="33">
        <v>70</v>
      </c>
      <c r="B73" s="30">
        <v>70.000000000000057</v>
      </c>
      <c r="C73" s="30">
        <v>1.0000000000000009</v>
      </c>
      <c r="D73" s="35">
        <v>1.9428571428571428</v>
      </c>
      <c r="E73" s="31">
        <v>0.35714285714285715</v>
      </c>
      <c r="F73" s="31">
        <v>0.3</v>
      </c>
      <c r="G73" s="31">
        <v>0.28703703703703703</v>
      </c>
      <c r="H73" s="31">
        <v>0.16666666666666666</v>
      </c>
      <c r="I73" s="32">
        <v>9649.032258064517</v>
      </c>
      <c r="J73" s="32">
        <v>-7720</v>
      </c>
      <c r="K73" s="31">
        <v>0.14285714285714285</v>
      </c>
      <c r="L73" s="31">
        <v>0.31296296296296294</v>
      </c>
      <c r="M73" s="31">
        <v>0.19814814814814816</v>
      </c>
      <c r="N73" s="31">
        <v>0.52071005917159763</v>
      </c>
      <c r="O73" s="31">
        <v>0.37383177570093457</v>
      </c>
      <c r="P73" s="31">
        <v>0.49032258064516127</v>
      </c>
    </row>
    <row r="74" spans="1:16" x14ac:dyDescent="0.4">
      <c r="A74" s="33">
        <v>71</v>
      </c>
      <c r="B74" s="30">
        <v>13.900000000000055</v>
      </c>
      <c r="C74" s="30">
        <v>0.19577464788732474</v>
      </c>
      <c r="D74" s="35">
        <v>1.9577464788732395</v>
      </c>
      <c r="E74" s="31">
        <v>0.352112676056338</v>
      </c>
      <c r="F74" s="31">
        <v>0.30985915492957744</v>
      </c>
      <c r="G74" s="31">
        <v>0.28233151183970856</v>
      </c>
      <c r="H74" s="31">
        <v>0.16939890710382513</v>
      </c>
      <c r="I74" s="32">
        <v>9649.032258064517</v>
      </c>
      <c r="J74" s="32">
        <v>-7741.9354838709678</v>
      </c>
      <c r="K74" s="31">
        <v>0.15492957746478872</v>
      </c>
      <c r="L74" s="31">
        <v>0.30965391621129323</v>
      </c>
      <c r="M74" s="31">
        <v>0.20036429872495445</v>
      </c>
      <c r="N74" s="31">
        <v>0.51764705882352946</v>
      </c>
      <c r="O74" s="31">
        <v>0.36363636363636365</v>
      </c>
      <c r="P74" s="31">
        <v>0.49032258064516127</v>
      </c>
    </row>
    <row r="75" spans="1:16" x14ac:dyDescent="0.4">
      <c r="A75" s="33">
        <v>72</v>
      </c>
      <c r="B75" s="30">
        <v>44.70000000000006</v>
      </c>
      <c r="C75" s="30">
        <v>0.62083333333333413</v>
      </c>
      <c r="D75" s="35">
        <v>1.9444444444444444</v>
      </c>
      <c r="E75" s="31">
        <v>0.3611111111111111</v>
      </c>
      <c r="F75" s="31">
        <v>0.30555555555555558</v>
      </c>
      <c r="G75" s="31">
        <v>0.28366247755834828</v>
      </c>
      <c r="H75" s="31">
        <v>0.17235188509874327</v>
      </c>
      <c r="I75" s="32">
        <v>9655.6962025316461</v>
      </c>
      <c r="J75" s="32">
        <v>-7679.166666666667</v>
      </c>
      <c r="K75" s="31">
        <v>0.15277777777777779</v>
      </c>
      <c r="L75" s="31">
        <v>0.3105924596050269</v>
      </c>
      <c r="M75" s="31">
        <v>0.20107719928186715</v>
      </c>
      <c r="N75" s="31">
        <v>0.51445086705202314</v>
      </c>
      <c r="O75" s="31">
        <v>0.375</v>
      </c>
      <c r="P75" s="31">
        <v>0.48734177215189872</v>
      </c>
    </row>
    <row r="76" spans="1:16" x14ac:dyDescent="0.4">
      <c r="A76" s="33">
        <v>73</v>
      </c>
      <c r="B76" s="30">
        <v>86.20000000000006</v>
      </c>
      <c r="C76" s="30">
        <v>1.18082191780822</v>
      </c>
      <c r="D76" s="35">
        <v>1.9315068493150684</v>
      </c>
      <c r="E76" s="31">
        <v>0.36986301369863012</v>
      </c>
      <c r="F76" s="31">
        <v>0.30136986301369861</v>
      </c>
      <c r="G76" s="31">
        <v>0.28723404255319152</v>
      </c>
      <c r="H76" s="31">
        <v>0.1702127659574468</v>
      </c>
      <c r="I76" s="32">
        <v>9590.1234567901229</v>
      </c>
      <c r="J76" s="32">
        <v>-7679.166666666667</v>
      </c>
      <c r="K76" s="31">
        <v>0.15068493150684931</v>
      </c>
      <c r="L76" s="31">
        <v>0.31560283687943264</v>
      </c>
      <c r="M76" s="31">
        <v>0.20035460992907803</v>
      </c>
      <c r="N76" s="31">
        <v>0.5168539325842697</v>
      </c>
      <c r="O76" s="31">
        <v>0.38053097345132741</v>
      </c>
      <c r="P76" s="31">
        <v>0.48148148148148145</v>
      </c>
    </row>
    <row r="77" spans="1:16" x14ac:dyDescent="0.4">
      <c r="A77" s="33">
        <v>74</v>
      </c>
      <c r="B77" s="30">
        <v>27.300000000000061</v>
      </c>
      <c r="C77" s="30">
        <v>0.36891891891891976</v>
      </c>
      <c r="D77" s="35">
        <v>1.9459459459459461</v>
      </c>
      <c r="E77" s="31">
        <v>0.36486486486486486</v>
      </c>
      <c r="F77" s="31">
        <v>0.3108108108108108</v>
      </c>
      <c r="G77" s="31">
        <v>0.28546409807355516</v>
      </c>
      <c r="H77" s="31">
        <v>0.17162872154115585</v>
      </c>
      <c r="I77" s="32">
        <v>9544.1717791411047</v>
      </c>
      <c r="J77" s="32">
        <v>-7767.3469387755104</v>
      </c>
      <c r="K77" s="31">
        <v>0.16216216216216217</v>
      </c>
      <c r="L77" s="31">
        <v>0.31523642732049034</v>
      </c>
      <c r="M77" s="31">
        <v>0.20140105078809106</v>
      </c>
      <c r="N77" s="31">
        <v>0.51666666666666672</v>
      </c>
      <c r="O77" s="31">
        <v>0.37391304347826088</v>
      </c>
      <c r="P77" s="31">
        <v>0.48466257668711654</v>
      </c>
    </row>
    <row r="78" spans="1:16" x14ac:dyDescent="0.4">
      <c r="A78" s="33">
        <v>75</v>
      </c>
      <c r="B78" s="30">
        <v>-14.599999999999937</v>
      </c>
      <c r="C78" s="30">
        <v>-0.19466666666666582</v>
      </c>
      <c r="D78" s="35">
        <v>1.96</v>
      </c>
      <c r="E78" s="31">
        <v>0.36</v>
      </c>
      <c r="F78" s="31">
        <v>0.32</v>
      </c>
      <c r="G78" s="31">
        <v>0.2820069204152249</v>
      </c>
      <c r="H78" s="31">
        <v>0.17128027681660898</v>
      </c>
      <c r="I78" s="32">
        <v>9544.1717791411047</v>
      </c>
      <c r="J78" s="32">
        <v>-7741.4141414141413</v>
      </c>
      <c r="K78" s="31">
        <v>0.16</v>
      </c>
      <c r="L78" s="31">
        <v>0.31487889273356401</v>
      </c>
      <c r="M78" s="31">
        <v>0.20069204152249134</v>
      </c>
      <c r="N78" s="31">
        <v>0.51098901098901095</v>
      </c>
      <c r="O78" s="31">
        <v>0.37068965517241381</v>
      </c>
      <c r="P78" s="31">
        <v>0.48466257668711654</v>
      </c>
    </row>
    <row r="79" spans="1:16" x14ac:dyDescent="0.4">
      <c r="A79" s="33">
        <v>76</v>
      </c>
      <c r="B79" s="30">
        <v>44.500000000000064</v>
      </c>
      <c r="C79" s="30">
        <v>0.58552631578947456</v>
      </c>
      <c r="D79" s="35">
        <v>1.9473684210526316</v>
      </c>
      <c r="E79" s="31">
        <v>0.36842105263157893</v>
      </c>
      <c r="F79" s="31">
        <v>0.31578947368421051</v>
      </c>
      <c r="G79" s="31">
        <v>0.28644939965694682</v>
      </c>
      <c r="H79" s="31">
        <v>0.16981132075471697</v>
      </c>
      <c r="I79" s="32">
        <v>9648.5029940119766</v>
      </c>
      <c r="J79" s="32">
        <v>-7741.4141414141413</v>
      </c>
      <c r="K79" s="31">
        <v>0.15789473684210525</v>
      </c>
      <c r="L79" s="31">
        <v>0.31560891938250429</v>
      </c>
      <c r="M79" s="31">
        <v>0.20068610634648371</v>
      </c>
      <c r="N79" s="31">
        <v>0.51630434782608692</v>
      </c>
      <c r="O79" s="31">
        <v>0.37606837606837606</v>
      </c>
      <c r="P79" s="31">
        <v>0.47305389221556887</v>
      </c>
    </row>
    <row r="80" spans="1:16" x14ac:dyDescent="0.4">
      <c r="A80" s="33">
        <v>77</v>
      </c>
      <c r="B80" s="30">
        <v>-26.499999999999936</v>
      </c>
      <c r="C80" s="30">
        <v>-0.34415584415584333</v>
      </c>
      <c r="D80" s="35">
        <v>1.9610389610389611</v>
      </c>
      <c r="E80" s="31">
        <v>0.36363636363636365</v>
      </c>
      <c r="F80" s="31">
        <v>0.32467532467532467</v>
      </c>
      <c r="G80" s="31">
        <v>0.28353140916808151</v>
      </c>
      <c r="H80" s="31">
        <v>0.17487266553480477</v>
      </c>
      <c r="I80" s="32">
        <v>9648.5029940119766</v>
      </c>
      <c r="J80" s="32">
        <v>-7756.3106796116508</v>
      </c>
      <c r="K80" s="31">
        <v>0.16883116883116883</v>
      </c>
      <c r="L80" s="31">
        <v>0.31239388794567063</v>
      </c>
      <c r="M80" s="31">
        <v>0.20033955857385399</v>
      </c>
      <c r="N80" s="31">
        <v>0.51630434782608692</v>
      </c>
      <c r="O80" s="31">
        <v>0.3728813559322034</v>
      </c>
      <c r="P80" s="31">
        <v>0.47305389221556887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6FF3-F253-4298-B6BD-B22B2E6EE9FB}">
  <sheetPr codeName="Sheet6"/>
  <dimension ref="A1:Q10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  <row r="52" spans="1:16" x14ac:dyDescent="0.4">
      <c r="A52" s="33">
        <v>49</v>
      </c>
      <c r="B52" s="30">
        <v>-2.9753977059954195E-14</v>
      </c>
      <c r="C52" s="30">
        <v>-2.0240800721057276E-16</v>
      </c>
      <c r="D52" s="35">
        <v>1.9795918367346939</v>
      </c>
      <c r="E52" s="31">
        <v>0.34693877551020408</v>
      </c>
      <c r="F52" s="31">
        <v>0.32653061224489793</v>
      </c>
      <c r="G52" s="31">
        <v>0.29882154882154882</v>
      </c>
      <c r="H52" s="31">
        <v>0.15824915824915825</v>
      </c>
      <c r="I52" s="32">
        <v>9003.3802816901407</v>
      </c>
      <c r="J52" s="32">
        <v>-8283.510638297872</v>
      </c>
      <c r="K52" s="31">
        <v>0.10884353741496598</v>
      </c>
      <c r="L52" s="31">
        <v>0.30892255892255893</v>
      </c>
      <c r="M52" s="31">
        <v>0.17255892255892255</v>
      </c>
      <c r="N52" s="31">
        <v>0.55313351498637597</v>
      </c>
      <c r="O52" s="31">
        <v>0.37560975609756098</v>
      </c>
      <c r="P52" s="31">
        <v>0.46197183098591549</v>
      </c>
    </row>
    <row r="53" spans="1:16" x14ac:dyDescent="0.4">
      <c r="A53" s="33">
        <v>50</v>
      </c>
      <c r="B53" s="30">
        <v>-2.8421709430404007E-14</v>
      </c>
      <c r="C53" s="30">
        <v>-1.8947806286936006E-16</v>
      </c>
      <c r="D53" s="35">
        <v>1.98</v>
      </c>
      <c r="E53" s="31">
        <v>0.34666666666666668</v>
      </c>
      <c r="F53" s="31">
        <v>0.32666666666666666</v>
      </c>
      <c r="G53" s="31">
        <v>0.29693961952026471</v>
      </c>
      <c r="H53" s="31">
        <v>0.15715467328370555</v>
      </c>
      <c r="I53" s="32">
        <v>8982.1727019498612</v>
      </c>
      <c r="J53" s="32">
        <v>-8240.5263157894733</v>
      </c>
      <c r="K53" s="31">
        <v>0.10666666666666667</v>
      </c>
      <c r="L53" s="31">
        <v>0.30686517783291978</v>
      </c>
      <c r="M53" s="31">
        <v>0.17369727047146402</v>
      </c>
      <c r="N53" s="31">
        <v>0.55525606469002697</v>
      </c>
      <c r="O53" s="31">
        <v>0.37142857142857144</v>
      </c>
      <c r="P53" s="31">
        <v>0.46239554317548748</v>
      </c>
    </row>
    <row r="54" spans="1:16" x14ac:dyDescent="0.4">
      <c r="A54" s="33">
        <v>51</v>
      </c>
      <c r="B54" s="30">
        <v>-2.6645352591003757E-14</v>
      </c>
      <c r="C54" s="30">
        <v>-1.7415263131375004E-16</v>
      </c>
      <c r="D54" s="35">
        <v>1.9803921568627452</v>
      </c>
      <c r="E54" s="31">
        <v>0.34640522875816993</v>
      </c>
      <c r="F54" s="31">
        <v>0.32679738562091504</v>
      </c>
      <c r="G54" s="31">
        <v>0.29773462783171523</v>
      </c>
      <c r="H54" s="31">
        <v>0.15938511326860841</v>
      </c>
      <c r="I54" s="32">
        <v>9017.391304347826</v>
      </c>
      <c r="J54" s="32">
        <v>-8346.7005076142141</v>
      </c>
      <c r="K54" s="31">
        <v>0.10457516339869281</v>
      </c>
      <c r="L54" s="31">
        <v>0.30744336569579289</v>
      </c>
      <c r="M54" s="31">
        <v>0.17152103559870549</v>
      </c>
      <c r="N54" s="31">
        <v>0.55526315789473679</v>
      </c>
      <c r="O54" s="31">
        <v>0.37264150943396224</v>
      </c>
      <c r="P54" s="31">
        <v>0.45652173913043476</v>
      </c>
    </row>
    <row r="55" spans="1:16" x14ac:dyDescent="0.4">
      <c r="A55" s="33">
        <v>52</v>
      </c>
      <c r="B55" s="30">
        <v>-2.8421709430404007E-14</v>
      </c>
      <c r="C55" s="30">
        <v>-1.8219044506669235E-16</v>
      </c>
      <c r="D55" s="35">
        <v>1.9807692307692308</v>
      </c>
      <c r="E55" s="31">
        <v>0.34615384615384615</v>
      </c>
      <c r="F55" s="31">
        <v>0.32692307692307693</v>
      </c>
      <c r="G55" s="31">
        <v>0.29727564102564102</v>
      </c>
      <c r="H55" s="31">
        <v>0.15945512820512819</v>
      </c>
      <c r="I55" s="32">
        <v>9091.9137466307275</v>
      </c>
      <c r="J55" s="32">
        <v>-8296.4824120603007</v>
      </c>
      <c r="K55" s="31">
        <v>0.10897435897435898</v>
      </c>
      <c r="L55" s="31">
        <v>0.30769230769230771</v>
      </c>
      <c r="M55" s="31">
        <v>0.17067307692307693</v>
      </c>
      <c r="N55" s="31">
        <v>0.5546875</v>
      </c>
      <c r="O55" s="31">
        <v>0.37558685446009388</v>
      </c>
      <c r="P55" s="31">
        <v>0.4555256064690027</v>
      </c>
    </row>
    <row r="56" spans="1:16" x14ac:dyDescent="0.4">
      <c r="A56" s="33">
        <v>53</v>
      </c>
      <c r="B56" s="30">
        <v>-2.8421709430404007E-14</v>
      </c>
      <c r="C56" s="30">
        <v>-1.7875288949939628E-16</v>
      </c>
      <c r="D56" s="35">
        <v>1.9811320754716981</v>
      </c>
      <c r="E56" s="31">
        <v>0.34591194968553457</v>
      </c>
      <c r="F56" s="31">
        <v>0.32704402515723269</v>
      </c>
      <c r="G56" s="31">
        <v>0.29733959311424102</v>
      </c>
      <c r="H56" s="31">
        <v>0.15805946791862285</v>
      </c>
      <c r="I56" s="32">
        <v>9060</v>
      </c>
      <c r="J56" s="32">
        <v>-8351.485148514852</v>
      </c>
      <c r="K56" s="31">
        <v>0.1069182389937107</v>
      </c>
      <c r="L56" s="31">
        <v>0.30672926447574334</v>
      </c>
      <c r="M56" s="31">
        <v>0.1729264475743349</v>
      </c>
      <c r="N56" s="31">
        <v>0.55102040816326525</v>
      </c>
      <c r="O56" s="31">
        <v>0.38009049773755654</v>
      </c>
      <c r="P56" s="31">
        <v>0.46052631578947367</v>
      </c>
    </row>
    <row r="57" spans="1:16" x14ac:dyDescent="0.4">
      <c r="A57" s="33">
        <v>54</v>
      </c>
      <c r="B57" s="30">
        <v>-2.8421709430404007E-14</v>
      </c>
      <c r="C57" s="30">
        <v>-1.75442650804963E-16</v>
      </c>
      <c r="D57" s="35">
        <v>1.9814814814814814</v>
      </c>
      <c r="E57" s="31">
        <v>0.34567901234567899</v>
      </c>
      <c r="F57" s="31">
        <v>0.3271604938271605</v>
      </c>
      <c r="G57" s="31">
        <v>0.29792147806004621</v>
      </c>
      <c r="H57" s="31">
        <v>0.15935334872979215</v>
      </c>
      <c r="I57" s="32">
        <v>9062.5322997416024</v>
      </c>
      <c r="J57" s="32">
        <v>-8385.0241545893714</v>
      </c>
      <c r="K57" s="31">
        <v>0.10493827160493827</v>
      </c>
      <c r="L57" s="31">
        <v>0.30561970746728251</v>
      </c>
      <c r="M57" s="31">
        <v>0.17244033872209391</v>
      </c>
      <c r="N57" s="31">
        <v>0.55163727959697728</v>
      </c>
      <c r="O57" s="31">
        <v>0.38392857142857145</v>
      </c>
      <c r="P57" s="31">
        <v>0.4573643410852713</v>
      </c>
    </row>
    <row r="58" spans="1:16" x14ac:dyDescent="0.4">
      <c r="A58" s="33">
        <v>55</v>
      </c>
      <c r="B58" s="30">
        <v>-2.8421709430404007E-14</v>
      </c>
      <c r="C58" s="30">
        <v>-1.7225278442669095E-16</v>
      </c>
      <c r="D58" s="35">
        <v>1.9818181818181819</v>
      </c>
      <c r="E58" s="31">
        <v>0.34545454545454546</v>
      </c>
      <c r="F58" s="31">
        <v>0.32727272727272727</v>
      </c>
      <c r="G58" s="31">
        <v>0.29571106094808125</v>
      </c>
      <c r="H58" s="31">
        <v>0.15876598946576373</v>
      </c>
      <c r="I58" s="32">
        <v>9066.1577608142488</v>
      </c>
      <c r="J58" s="32">
        <v>-8427.4881516587684</v>
      </c>
      <c r="K58" s="31">
        <v>0.10303030303030303</v>
      </c>
      <c r="L58" s="31">
        <v>0.30624529721595184</v>
      </c>
      <c r="M58" s="31">
        <v>0.17005267118133935</v>
      </c>
      <c r="N58" s="31">
        <v>0.54791154791154795</v>
      </c>
      <c r="O58" s="31">
        <v>0.38495575221238937</v>
      </c>
      <c r="P58" s="31">
        <v>0.45547073791348602</v>
      </c>
    </row>
    <row r="59" spans="1:16" x14ac:dyDescent="0.4">
      <c r="A59" s="33">
        <v>56</v>
      </c>
      <c r="B59" s="30">
        <v>-2.8421709430404007E-14</v>
      </c>
      <c r="C59" s="30">
        <v>-1.6917684184764289E-16</v>
      </c>
      <c r="D59" s="35">
        <v>1.9821428571428572</v>
      </c>
      <c r="E59" s="31">
        <v>0.34523809523809523</v>
      </c>
      <c r="F59" s="31">
        <v>0.32738095238095238</v>
      </c>
      <c r="G59" s="31">
        <v>0.29637841832963785</v>
      </c>
      <c r="H59" s="31">
        <v>0.15964523281596452</v>
      </c>
      <c r="I59" s="32">
        <v>9062.0947630922692</v>
      </c>
      <c r="J59" s="32">
        <v>-8415.7407407407409</v>
      </c>
      <c r="K59" s="31">
        <v>0.10714285714285714</v>
      </c>
      <c r="L59" s="31">
        <v>0.30968218773096823</v>
      </c>
      <c r="M59" s="31">
        <v>0.16777531411677754</v>
      </c>
      <c r="N59" s="31">
        <v>0.54653937947494036</v>
      </c>
      <c r="O59" s="31">
        <v>0.38325991189427311</v>
      </c>
      <c r="P59" s="31">
        <v>0.4538653366583541</v>
      </c>
    </row>
    <row r="60" spans="1:16" x14ac:dyDescent="0.4">
      <c r="A60" s="33">
        <v>57</v>
      </c>
      <c r="B60" s="30">
        <v>-2.8421709430404007E-14</v>
      </c>
      <c r="C60" s="30">
        <v>-1.66208827078386E-16</v>
      </c>
      <c r="D60" s="35">
        <v>1.9824561403508771</v>
      </c>
      <c r="E60" s="31">
        <v>0.34502923976608185</v>
      </c>
      <c r="F60" s="31">
        <v>0.32748538011695905</v>
      </c>
      <c r="G60" s="31">
        <v>0.29637681159420287</v>
      </c>
      <c r="H60" s="31">
        <v>0.15942028985507245</v>
      </c>
      <c r="I60" s="32">
        <v>9136.6748166259167</v>
      </c>
      <c r="J60" s="32">
        <v>-8350.9090909090901</v>
      </c>
      <c r="K60" s="31">
        <v>0.1111111111111111</v>
      </c>
      <c r="L60" s="31">
        <v>0.30942028985507247</v>
      </c>
      <c r="M60" s="31">
        <v>0.1681159420289855</v>
      </c>
      <c r="N60" s="31">
        <v>0.55035128805620603</v>
      </c>
      <c r="O60" s="31">
        <v>0.37931034482758619</v>
      </c>
      <c r="P60" s="31">
        <v>0.45476772616136918</v>
      </c>
    </row>
    <row r="61" spans="1:16" x14ac:dyDescent="0.4">
      <c r="A61" s="33">
        <v>58</v>
      </c>
      <c r="B61" s="30">
        <v>-2.8421709430404007E-14</v>
      </c>
      <c r="C61" s="30">
        <v>-1.6334315764600004E-16</v>
      </c>
      <c r="D61" s="35">
        <v>1.9827586206896552</v>
      </c>
      <c r="E61" s="31">
        <v>0.34482758620689657</v>
      </c>
      <c r="F61" s="31">
        <v>0.32758620689655171</v>
      </c>
      <c r="G61" s="31">
        <v>0.29637526652452023</v>
      </c>
      <c r="H61" s="31">
        <v>0.15920398009950248</v>
      </c>
      <c r="I61" s="32">
        <v>9117.9856115107905</v>
      </c>
      <c r="J61" s="32">
        <v>-8350</v>
      </c>
      <c r="K61" s="31">
        <v>0.10919540229885058</v>
      </c>
      <c r="L61" s="31">
        <v>0.31130063965884863</v>
      </c>
      <c r="M61" s="31">
        <v>0.16702203269367449</v>
      </c>
      <c r="N61" s="31">
        <v>0.55022831050228316</v>
      </c>
      <c r="O61" s="31">
        <v>0.37446808510638296</v>
      </c>
      <c r="P61" s="31">
        <v>0.45563549160671463</v>
      </c>
    </row>
    <row r="62" spans="1:16" x14ac:dyDescent="0.4">
      <c r="A62" s="33">
        <v>59</v>
      </c>
      <c r="B62" s="30">
        <v>-2.5757174171303632E-14</v>
      </c>
      <c r="C62" s="30">
        <v>-1.4552075802996401E-16</v>
      </c>
      <c r="D62" s="35">
        <v>1.9830508474576272</v>
      </c>
      <c r="E62" s="31">
        <v>0.34463276836158191</v>
      </c>
      <c r="F62" s="31">
        <v>0.32768361581920902</v>
      </c>
      <c r="G62" s="31">
        <v>0.29684210526315791</v>
      </c>
      <c r="H62" s="31">
        <v>0.16</v>
      </c>
      <c r="I62" s="32">
        <v>9148.6997635933803</v>
      </c>
      <c r="J62" s="32">
        <v>-8395.1754385964905</v>
      </c>
      <c r="K62" s="31">
        <v>0.11299435028248588</v>
      </c>
      <c r="L62" s="31">
        <v>0.31508771929824564</v>
      </c>
      <c r="M62" s="31">
        <v>0.1656140350877193</v>
      </c>
      <c r="N62" s="31">
        <v>0.55011135857461024</v>
      </c>
      <c r="O62" s="31">
        <v>0.3728813559322034</v>
      </c>
      <c r="P62" s="31">
        <v>0.45390070921985815</v>
      </c>
    </row>
    <row r="63" spans="1:16" x14ac:dyDescent="0.4">
      <c r="A63" s="33">
        <v>60</v>
      </c>
      <c r="B63" s="30">
        <v>-2.8421709430404007E-14</v>
      </c>
      <c r="C63" s="30">
        <v>-1.5789838572446671E-16</v>
      </c>
      <c r="D63" s="35">
        <v>1.9833333333333334</v>
      </c>
      <c r="E63" s="31">
        <v>0.34444444444444444</v>
      </c>
      <c r="F63" s="31">
        <v>0.32777777777777778</v>
      </c>
      <c r="G63" s="31">
        <v>0.29699510831586301</v>
      </c>
      <c r="H63" s="31">
        <v>0.16002795248078266</v>
      </c>
      <c r="I63" s="32">
        <v>9260.9411764705874</v>
      </c>
      <c r="J63" s="32">
        <v>-8437.1179039301314</v>
      </c>
      <c r="K63" s="31">
        <v>0.11666666666666667</v>
      </c>
      <c r="L63" s="31">
        <v>0.31586303284416489</v>
      </c>
      <c r="M63" s="31">
        <v>0.16491963661774983</v>
      </c>
      <c r="N63" s="31">
        <v>0.55088495575221241</v>
      </c>
      <c r="O63" s="31">
        <v>0.3728813559322034</v>
      </c>
      <c r="P63" s="31">
        <v>0.45411764705882351</v>
      </c>
    </row>
    <row r="64" spans="1:16" x14ac:dyDescent="0.4">
      <c r="A64" s="33">
        <v>61</v>
      </c>
      <c r="B64" s="30">
        <v>-2.8421709430404007E-14</v>
      </c>
      <c r="C64" s="30">
        <v>-1.5530988759783611E-16</v>
      </c>
      <c r="D64" s="35">
        <v>1.9836065573770492</v>
      </c>
      <c r="E64" s="31">
        <v>0.34426229508196721</v>
      </c>
      <c r="F64" s="31">
        <v>0.32786885245901637</v>
      </c>
      <c r="G64" s="31">
        <v>0.29698216735253774</v>
      </c>
      <c r="H64" s="31">
        <v>0.15912208504801098</v>
      </c>
      <c r="I64" s="32">
        <v>9258.1986143187059</v>
      </c>
      <c r="J64" s="32">
        <v>-8409.4827586206902</v>
      </c>
      <c r="K64" s="31">
        <v>0.11475409836065574</v>
      </c>
      <c r="L64" s="31">
        <v>0.3168724279835391</v>
      </c>
      <c r="M64" s="31">
        <v>0.16460905349794239</v>
      </c>
      <c r="N64" s="31">
        <v>0.55411255411255411</v>
      </c>
      <c r="O64" s="31">
        <v>0.37083333333333335</v>
      </c>
      <c r="P64" s="31">
        <v>0.45727482678983833</v>
      </c>
    </row>
    <row r="65" spans="1:16" x14ac:dyDescent="0.4">
      <c r="A65" s="33">
        <v>62</v>
      </c>
      <c r="B65" s="30">
        <v>-2.4868995751603507E-14</v>
      </c>
      <c r="C65" s="30">
        <v>-1.3370427823442746E-16</v>
      </c>
      <c r="D65" s="35">
        <v>1.9838709677419355</v>
      </c>
      <c r="E65" s="31">
        <v>0.34408602150537637</v>
      </c>
      <c r="F65" s="31">
        <v>0.32795698924731181</v>
      </c>
      <c r="G65" s="31">
        <v>0.29742547425474253</v>
      </c>
      <c r="H65" s="31">
        <v>0.15921409214092141</v>
      </c>
      <c r="I65" s="32">
        <v>9253.0751708428252</v>
      </c>
      <c r="J65" s="32">
        <v>-8429.3617021276605</v>
      </c>
      <c r="K65" s="31">
        <v>0.11290322580645161</v>
      </c>
      <c r="L65" s="31">
        <v>0.31707317073170732</v>
      </c>
      <c r="M65" s="31">
        <v>0.16463414634146342</v>
      </c>
      <c r="N65" s="31">
        <v>0.55128205128205132</v>
      </c>
      <c r="O65" s="31">
        <v>0.37860082304526749</v>
      </c>
      <c r="P65" s="31">
        <v>0.45785876993166286</v>
      </c>
    </row>
    <row r="66" spans="1:16" x14ac:dyDescent="0.4">
      <c r="A66" s="33">
        <v>63</v>
      </c>
      <c r="B66" s="30">
        <v>-2.1316282072803006E-14</v>
      </c>
      <c r="C66" s="30">
        <v>-1.1278456123176193E-16</v>
      </c>
      <c r="D66" s="35">
        <v>1.9841269841269842</v>
      </c>
      <c r="E66" s="31">
        <v>0.3439153439153439</v>
      </c>
      <c r="F66" s="31">
        <v>0.32804232804232802</v>
      </c>
      <c r="G66" s="31">
        <v>0.29799999999999999</v>
      </c>
      <c r="H66" s="31">
        <v>0.15866666666666668</v>
      </c>
      <c r="I66" s="32">
        <v>9291.9463087248314</v>
      </c>
      <c r="J66" s="32">
        <v>-8404.6218487394963</v>
      </c>
      <c r="K66" s="31">
        <v>0.1111111111111111</v>
      </c>
      <c r="L66" s="31">
        <v>0.316</v>
      </c>
      <c r="M66" s="31">
        <v>0.16400000000000001</v>
      </c>
      <c r="N66" s="31">
        <v>0.5527426160337553</v>
      </c>
      <c r="O66" s="31">
        <v>0.37804878048780488</v>
      </c>
      <c r="P66" s="31">
        <v>0.46085011185682329</v>
      </c>
    </row>
    <row r="67" spans="1:16" x14ac:dyDescent="0.4">
      <c r="A67" s="33">
        <v>64</v>
      </c>
      <c r="B67" s="30">
        <v>-2.5757174171303632E-14</v>
      </c>
      <c r="C67" s="30">
        <v>-1.3415194880887307E-16</v>
      </c>
      <c r="D67" s="35">
        <v>1.984375</v>
      </c>
      <c r="E67" s="31">
        <v>0.34375</v>
      </c>
      <c r="F67" s="31">
        <v>0.328125</v>
      </c>
      <c r="G67" s="31">
        <v>0.2978303747534517</v>
      </c>
      <c r="H67" s="31">
        <v>0.15976331360946747</v>
      </c>
      <c r="I67" s="32">
        <v>9290.0662251655631</v>
      </c>
      <c r="J67" s="32">
        <v>-8391.7695473251024</v>
      </c>
      <c r="K67" s="31">
        <v>0.109375</v>
      </c>
      <c r="L67" s="31">
        <v>0.31689677843524</v>
      </c>
      <c r="M67" s="31">
        <v>0.16370808678500987</v>
      </c>
      <c r="N67" s="31">
        <v>0.55394190871369298</v>
      </c>
      <c r="O67" s="31">
        <v>0.37349397590361444</v>
      </c>
      <c r="P67" s="31">
        <v>0.45695364238410596</v>
      </c>
    </row>
    <row r="68" spans="1:16" x14ac:dyDescent="0.4">
      <c r="A68" s="33">
        <v>65</v>
      </c>
      <c r="B68" s="30">
        <v>-2.8421709430404007E-14</v>
      </c>
      <c r="C68" s="30">
        <v>-1.4575235605335388E-16</v>
      </c>
      <c r="D68" s="35">
        <v>1.9846153846153847</v>
      </c>
      <c r="E68" s="31">
        <v>0.34358974358974359</v>
      </c>
      <c r="F68" s="31">
        <v>0.3282051282051282</v>
      </c>
      <c r="G68" s="31">
        <v>0.29831387808041504</v>
      </c>
      <c r="H68" s="31">
        <v>0.1601815823605707</v>
      </c>
      <c r="I68" s="32">
        <v>9272.391304347826</v>
      </c>
      <c r="J68" s="32">
        <v>-8335.2226720647777</v>
      </c>
      <c r="K68" s="31">
        <v>0.1076923076923077</v>
      </c>
      <c r="L68" s="31">
        <v>0.31776913099870296</v>
      </c>
      <c r="M68" s="31">
        <v>0.16277561608300908</v>
      </c>
      <c r="N68" s="31">
        <v>0.55714285714285716</v>
      </c>
      <c r="O68" s="31">
        <v>0.37051792828685259</v>
      </c>
      <c r="P68" s="31">
        <v>0.45652173913043476</v>
      </c>
    </row>
    <row r="69" spans="1:16" x14ac:dyDescent="0.4">
      <c r="A69" s="33">
        <v>66</v>
      </c>
      <c r="B69" s="30">
        <v>-2.1316282072803006E-14</v>
      </c>
      <c r="C69" s="30">
        <v>-1.0765799026668185E-16</v>
      </c>
      <c r="D69" s="35">
        <v>1.9848484848484849</v>
      </c>
      <c r="E69" s="31">
        <v>0.34343434343434343</v>
      </c>
      <c r="F69" s="31">
        <v>0.32828282828282829</v>
      </c>
      <c r="G69" s="31">
        <v>0.29770992366412213</v>
      </c>
      <c r="H69" s="31">
        <v>0.15903307888040713</v>
      </c>
      <c r="I69" s="32">
        <v>9304.2735042735039</v>
      </c>
      <c r="J69" s="32">
        <v>-8386</v>
      </c>
      <c r="K69" s="31">
        <v>0.10606060606060606</v>
      </c>
      <c r="L69" s="31">
        <v>0.32061068702290074</v>
      </c>
      <c r="M69" s="31">
        <v>0.16157760814249364</v>
      </c>
      <c r="N69" s="31">
        <v>0.55158730158730163</v>
      </c>
      <c r="O69" s="31">
        <v>0.37401574803149606</v>
      </c>
      <c r="P69" s="31">
        <v>0.45940170940170938</v>
      </c>
    </row>
    <row r="70" spans="1:16" x14ac:dyDescent="0.4">
      <c r="A70" s="33">
        <v>67</v>
      </c>
      <c r="B70" s="30">
        <v>-2.1316282072803006E-14</v>
      </c>
      <c r="C70" s="30">
        <v>-1.0605115459105973E-16</v>
      </c>
      <c r="D70" s="35">
        <v>1.9850746268656716</v>
      </c>
      <c r="E70" s="31">
        <v>0.34328358208955223</v>
      </c>
      <c r="F70" s="31">
        <v>0.32835820895522388</v>
      </c>
      <c r="G70" s="31">
        <v>0.29761904761904762</v>
      </c>
      <c r="H70" s="31">
        <v>0.15789473684210525</v>
      </c>
      <c r="I70" s="32">
        <v>9276</v>
      </c>
      <c r="J70" s="32">
        <v>-8382.936507936507</v>
      </c>
      <c r="K70" s="31">
        <v>0.1044776119402985</v>
      </c>
      <c r="L70" s="31">
        <v>0.32142857142857145</v>
      </c>
      <c r="M70" s="31">
        <v>0.16290726817042606</v>
      </c>
      <c r="N70" s="31">
        <v>0.54970760233918126</v>
      </c>
      <c r="O70" s="31">
        <v>0.37307692307692308</v>
      </c>
      <c r="P70" s="31">
        <v>0.4631578947368421</v>
      </c>
    </row>
    <row r="71" spans="1:16" x14ac:dyDescent="0.4">
      <c r="A71" s="33">
        <v>68</v>
      </c>
      <c r="B71" s="30">
        <v>-2.1316282072803006E-14</v>
      </c>
      <c r="C71" s="30">
        <v>-1.0449157878825003E-16</v>
      </c>
      <c r="D71" s="35">
        <v>1.9852941176470589</v>
      </c>
      <c r="E71" s="31">
        <v>0.34313725490196079</v>
      </c>
      <c r="F71" s="31">
        <v>0.32843137254901961</v>
      </c>
      <c r="G71" s="31">
        <v>0.29759704251386321</v>
      </c>
      <c r="H71" s="31">
        <v>0.15958102279728897</v>
      </c>
      <c r="I71" s="32">
        <v>9300</v>
      </c>
      <c r="J71" s="32">
        <v>-8418.1467181467178</v>
      </c>
      <c r="K71" s="31">
        <v>0.10784313725490197</v>
      </c>
      <c r="L71" s="31">
        <v>0.32285890326555761</v>
      </c>
      <c r="M71" s="31">
        <v>0.1614294516327788</v>
      </c>
      <c r="N71" s="31">
        <v>0.54770992366412219</v>
      </c>
      <c r="O71" s="31">
        <v>0.37404580152671757</v>
      </c>
      <c r="P71" s="31">
        <v>0.45755693581780538</v>
      </c>
    </row>
    <row r="72" spans="1:16" x14ac:dyDescent="0.4">
      <c r="A72" s="33">
        <v>69</v>
      </c>
      <c r="B72" s="30">
        <v>-2.1316282072803006E-14</v>
      </c>
      <c r="C72" s="30">
        <v>-1.0297720808117394E-16</v>
      </c>
      <c r="D72" s="35">
        <v>1.9855072463768115</v>
      </c>
      <c r="E72" s="31">
        <v>0.34299516908212563</v>
      </c>
      <c r="F72" s="31">
        <v>0.32850241545893721</v>
      </c>
      <c r="G72" s="31">
        <v>0.29683698296836986</v>
      </c>
      <c r="H72" s="31">
        <v>0.15936739659367397</v>
      </c>
      <c r="I72" s="32">
        <v>9319.057377049181</v>
      </c>
      <c r="J72" s="32">
        <v>-8480.9160305343503</v>
      </c>
      <c r="K72" s="31">
        <v>0.1111111111111111</v>
      </c>
      <c r="L72" s="31">
        <v>0.32238442822384428</v>
      </c>
      <c r="M72" s="31">
        <v>0.16301703163017031</v>
      </c>
      <c r="N72" s="31">
        <v>0.54528301886792452</v>
      </c>
      <c r="O72" s="31">
        <v>0.36940298507462688</v>
      </c>
      <c r="P72" s="31">
        <v>0.45696721311475408</v>
      </c>
    </row>
    <row r="73" spans="1:16" x14ac:dyDescent="0.4">
      <c r="A73" s="33">
        <v>70</v>
      </c>
      <c r="B73" s="30">
        <v>-3.5527136788005009E-14</v>
      </c>
      <c r="C73" s="30">
        <v>-1.6917684184764289E-16</v>
      </c>
      <c r="D73" s="35">
        <v>1.9857142857142858</v>
      </c>
      <c r="E73" s="31">
        <v>0.34285714285714286</v>
      </c>
      <c r="F73" s="31">
        <v>0.32857142857142857</v>
      </c>
      <c r="G73" s="31">
        <v>0.2968936678614098</v>
      </c>
      <c r="H73" s="31">
        <v>0.15770609318996415</v>
      </c>
      <c r="I73" s="32">
        <v>9347.283702213279</v>
      </c>
      <c r="J73" s="32">
        <v>-8476.136363636364</v>
      </c>
      <c r="K73" s="31">
        <v>0.11428571428571428</v>
      </c>
      <c r="L73" s="31">
        <v>0.32198327359617684</v>
      </c>
      <c r="M73" s="31">
        <v>0.16367980884109917</v>
      </c>
      <c r="N73" s="31">
        <v>0.54359925788497221</v>
      </c>
      <c r="O73" s="31">
        <v>0.36861313868613138</v>
      </c>
      <c r="P73" s="31">
        <v>0.46277665995975853</v>
      </c>
    </row>
    <row r="74" spans="1:16" x14ac:dyDescent="0.4">
      <c r="A74" s="33">
        <v>71</v>
      </c>
      <c r="B74" s="30">
        <v>-3.5527136788005009E-14</v>
      </c>
      <c r="C74" s="30">
        <v>-1.6679406942725356E-16</v>
      </c>
      <c r="D74" s="35">
        <v>1.9859154929577465</v>
      </c>
      <c r="E74" s="31">
        <v>0.34272300469483569</v>
      </c>
      <c r="F74" s="31">
        <v>0.32863849765258218</v>
      </c>
      <c r="G74" s="31">
        <v>0.29701230228471004</v>
      </c>
      <c r="H74" s="31">
        <v>0.15817223198594024</v>
      </c>
      <c r="I74" s="32">
        <v>9267.8500986193285</v>
      </c>
      <c r="J74" s="32">
        <v>-8460</v>
      </c>
      <c r="K74" s="31">
        <v>0.11267605633802817</v>
      </c>
      <c r="L74" s="31">
        <v>0.31751611013473929</v>
      </c>
      <c r="M74" s="31">
        <v>0.16637375512595196</v>
      </c>
      <c r="N74" s="31">
        <v>0.54243542435424352</v>
      </c>
      <c r="O74" s="31">
        <v>0.37323943661971831</v>
      </c>
      <c r="P74" s="31">
        <v>0.45956607495069035</v>
      </c>
    </row>
    <row r="75" spans="1:16" x14ac:dyDescent="0.4">
      <c r="A75" s="33">
        <v>72</v>
      </c>
      <c r="B75" s="30">
        <v>-3.5527136788005009E-14</v>
      </c>
      <c r="C75" s="30">
        <v>-1.6447748512965281E-16</v>
      </c>
      <c r="D75" s="35">
        <v>1.9861111111111112</v>
      </c>
      <c r="E75" s="31">
        <v>0.34259259259259262</v>
      </c>
      <c r="F75" s="31">
        <v>0.32870370370370372</v>
      </c>
      <c r="G75" s="31">
        <v>0.29636048526863085</v>
      </c>
      <c r="H75" s="31">
        <v>0.15713460427498555</v>
      </c>
      <c r="I75" s="32">
        <v>9270.3703703703704</v>
      </c>
      <c r="J75" s="32">
        <v>-8424.2647058823532</v>
      </c>
      <c r="K75" s="31">
        <v>0.11574074074074074</v>
      </c>
      <c r="L75" s="31">
        <v>0.31773541305603697</v>
      </c>
      <c r="M75" s="31">
        <v>0.16464471403812825</v>
      </c>
      <c r="N75" s="31">
        <v>0.54181818181818187</v>
      </c>
      <c r="O75" s="31">
        <v>0.37543859649122807</v>
      </c>
      <c r="P75" s="31">
        <v>0.46198830409356723</v>
      </c>
    </row>
    <row r="76" spans="1:16" x14ac:dyDescent="0.4">
      <c r="A76" s="33">
        <v>73</v>
      </c>
      <c r="B76" s="30">
        <v>-3.5527136788005009E-14</v>
      </c>
      <c r="C76" s="30">
        <v>-1.6222436889500003E-16</v>
      </c>
      <c r="D76" s="35">
        <v>1.9863013698630136</v>
      </c>
      <c r="E76" s="31">
        <v>0.34246575342465752</v>
      </c>
      <c r="F76" s="31">
        <v>0.32876712328767121</v>
      </c>
      <c r="G76" s="31">
        <v>0.29686609686609688</v>
      </c>
      <c r="H76" s="31">
        <v>0.15783475783475784</v>
      </c>
      <c r="I76" s="32">
        <v>9257.5815738963538</v>
      </c>
      <c r="J76" s="32">
        <v>-8408.3032490974729</v>
      </c>
      <c r="K76" s="31">
        <v>0.11872146118721461</v>
      </c>
      <c r="L76" s="31">
        <v>0.31851851851851853</v>
      </c>
      <c r="M76" s="31">
        <v>0.16467236467236468</v>
      </c>
      <c r="N76" s="31">
        <v>0.54382826475849733</v>
      </c>
      <c r="O76" s="31">
        <v>0.37370242214532873</v>
      </c>
      <c r="P76" s="31">
        <v>0.46065259117082535</v>
      </c>
    </row>
    <row r="77" spans="1:16" x14ac:dyDescent="0.4">
      <c r="A77" s="33">
        <v>74</v>
      </c>
      <c r="B77" s="30">
        <v>-2.8421709430404007E-14</v>
      </c>
      <c r="C77" s="30">
        <v>-1.2802571815497301E-16</v>
      </c>
      <c r="D77" s="35">
        <v>1.9864864864864864</v>
      </c>
      <c r="E77" s="31">
        <v>0.34234234234234234</v>
      </c>
      <c r="F77" s="31">
        <v>0.32882882882882886</v>
      </c>
      <c r="G77" s="31">
        <v>0.29617117117117114</v>
      </c>
      <c r="H77" s="31">
        <v>0.15822072072072071</v>
      </c>
      <c r="I77" s="32">
        <v>9237.4524714828895</v>
      </c>
      <c r="J77" s="32">
        <v>-8358.7188612099635</v>
      </c>
      <c r="K77" s="31">
        <v>0.11711711711711711</v>
      </c>
      <c r="L77" s="31">
        <v>0.31813063063063063</v>
      </c>
      <c r="M77" s="31">
        <v>0.16385135135135134</v>
      </c>
      <c r="N77" s="31">
        <v>0.54159292035398232</v>
      </c>
      <c r="O77" s="31">
        <v>0.37800687285223367</v>
      </c>
      <c r="P77" s="31">
        <v>0.45817490494296575</v>
      </c>
    </row>
    <row r="78" spans="1:16" x14ac:dyDescent="0.4">
      <c r="A78" s="33">
        <v>75</v>
      </c>
      <c r="B78" s="30">
        <v>-2.8421709430404007E-14</v>
      </c>
      <c r="C78" s="30">
        <v>-1.2631870857957337E-16</v>
      </c>
      <c r="D78" s="35">
        <v>1.9866666666666666</v>
      </c>
      <c r="E78" s="31">
        <v>0.34222222222222221</v>
      </c>
      <c r="F78" s="31">
        <v>0.3288888888888889</v>
      </c>
      <c r="G78" s="31">
        <v>0.29666666666666669</v>
      </c>
      <c r="H78" s="31">
        <v>0.15777777777777777</v>
      </c>
      <c r="I78" s="32">
        <v>9200</v>
      </c>
      <c r="J78" s="32">
        <v>-8338.0281690140837</v>
      </c>
      <c r="K78" s="31">
        <v>0.11555555555555555</v>
      </c>
      <c r="L78" s="31">
        <v>0.31777777777777777</v>
      </c>
      <c r="M78" s="31">
        <v>0.16388888888888889</v>
      </c>
      <c r="N78" s="31">
        <v>0.54370629370629375</v>
      </c>
      <c r="O78" s="31">
        <v>0.37966101694915255</v>
      </c>
      <c r="P78" s="31">
        <v>0.4606741573033708</v>
      </c>
    </row>
    <row r="79" spans="1:16" x14ac:dyDescent="0.4">
      <c r="A79" s="33">
        <v>76</v>
      </c>
      <c r="B79" s="30">
        <v>-2.1316282072803006E-14</v>
      </c>
      <c r="C79" s="30">
        <v>-9.3492465231592125E-17</v>
      </c>
      <c r="D79" s="35">
        <v>1.986842105263158</v>
      </c>
      <c r="E79" s="31">
        <v>0.34210526315789475</v>
      </c>
      <c r="F79" s="31">
        <v>0.32894736842105265</v>
      </c>
      <c r="G79" s="31">
        <v>0.29599121361889069</v>
      </c>
      <c r="H79" s="31">
        <v>0.15705656232839099</v>
      </c>
      <c r="I79" s="32">
        <v>9232.6530612244896</v>
      </c>
      <c r="J79" s="32">
        <v>-8370.6293706293709</v>
      </c>
      <c r="K79" s="31">
        <v>0.11842105263157894</v>
      </c>
      <c r="L79" s="31">
        <v>0.31905546403075236</v>
      </c>
      <c r="M79" s="31">
        <v>0.1630971993410214</v>
      </c>
      <c r="N79" s="31">
        <v>0.54044750430292599</v>
      </c>
      <c r="O79" s="31">
        <v>0.38047138047138046</v>
      </c>
      <c r="P79" s="31">
        <v>0.46196660482374768</v>
      </c>
    </row>
    <row r="80" spans="1:16" x14ac:dyDescent="0.4">
      <c r="A80" s="33">
        <v>77</v>
      </c>
      <c r="B80" s="30">
        <v>-2.1316282072803006E-14</v>
      </c>
      <c r="C80" s="30">
        <v>-9.2278277371441589E-17</v>
      </c>
      <c r="D80" s="35">
        <v>1.9870129870129871</v>
      </c>
      <c r="E80" s="31">
        <v>0.34199134199134201</v>
      </c>
      <c r="F80" s="31">
        <v>0.32900432900432902</v>
      </c>
      <c r="G80" s="31">
        <v>0.29599567099567098</v>
      </c>
      <c r="H80" s="31">
        <v>0.15692640692640691</v>
      </c>
      <c r="I80" s="32">
        <v>9231.6270566727599</v>
      </c>
      <c r="J80" s="32">
        <v>-8318.6206896551721</v>
      </c>
      <c r="K80" s="31">
        <v>0.12121212121212122</v>
      </c>
      <c r="L80" s="31">
        <v>0.31980519480519481</v>
      </c>
      <c r="M80" s="31">
        <v>0.16287878787878787</v>
      </c>
      <c r="N80" s="31">
        <v>0.54145516074450084</v>
      </c>
      <c r="O80" s="31">
        <v>0.37541528239202659</v>
      </c>
      <c r="P80" s="31">
        <v>0.46252285191956122</v>
      </c>
    </row>
    <row r="81" spans="1:16" x14ac:dyDescent="0.4">
      <c r="A81" s="33">
        <v>78</v>
      </c>
      <c r="B81" s="30">
        <v>-2.1316282072803006E-14</v>
      </c>
      <c r="C81" s="30">
        <v>-9.1095222533346175E-17</v>
      </c>
      <c r="D81" s="35">
        <v>1.9871794871794872</v>
      </c>
      <c r="E81" s="31">
        <v>0.34188034188034189</v>
      </c>
      <c r="F81" s="31">
        <v>0.32905982905982906</v>
      </c>
      <c r="G81" s="31">
        <v>0.29617662897145935</v>
      </c>
      <c r="H81" s="31">
        <v>0.15778136779752289</v>
      </c>
      <c r="I81" s="32">
        <v>9246</v>
      </c>
      <c r="J81" s="32">
        <v>-8354.94880546075</v>
      </c>
      <c r="K81" s="31">
        <v>0.12393162393162394</v>
      </c>
      <c r="L81" s="31">
        <v>0.3193322563274098</v>
      </c>
      <c r="M81" s="31">
        <v>0.16262789445341949</v>
      </c>
      <c r="N81" s="31">
        <v>0.54300168634064083</v>
      </c>
      <c r="O81" s="31">
        <v>0.37748344370860926</v>
      </c>
      <c r="P81" s="31">
        <v>0.46</v>
      </c>
    </row>
    <row r="82" spans="1:16" x14ac:dyDescent="0.4">
      <c r="A82" s="33">
        <v>79</v>
      </c>
      <c r="B82" s="30">
        <v>-1.7763568394002505E-14</v>
      </c>
      <c r="C82" s="30">
        <v>-7.4951765375537991E-17</v>
      </c>
      <c r="D82" s="35">
        <v>1.9873417721518987</v>
      </c>
      <c r="E82" s="31">
        <v>0.34177215189873417</v>
      </c>
      <c r="F82" s="31">
        <v>0.32911392405063289</v>
      </c>
      <c r="G82" s="31">
        <v>0.29670912951167727</v>
      </c>
      <c r="H82" s="31">
        <v>0.15870488322717621</v>
      </c>
      <c r="I82" s="32">
        <v>9308.4078711985694</v>
      </c>
      <c r="J82" s="32">
        <v>-8476.2541806020072</v>
      </c>
      <c r="K82" s="31">
        <v>0.12236286919831224</v>
      </c>
      <c r="L82" s="31">
        <v>0.31794055201698512</v>
      </c>
      <c r="M82" s="31">
        <v>0.16295116772823778</v>
      </c>
      <c r="N82" s="31">
        <v>0.54424040066777968</v>
      </c>
      <c r="O82" s="31">
        <v>0.3745928338762215</v>
      </c>
      <c r="P82" s="31">
        <v>0.45796064400715564</v>
      </c>
    </row>
    <row r="83" spans="1:16" x14ac:dyDescent="0.4">
      <c r="A83" s="33">
        <v>80</v>
      </c>
      <c r="B83" s="30">
        <v>-1.9539925233402755E-14</v>
      </c>
      <c r="C83" s="30">
        <v>-8.1416355139178141E-17</v>
      </c>
      <c r="D83" s="35">
        <v>1.9875</v>
      </c>
      <c r="E83" s="31">
        <v>0.34166666666666667</v>
      </c>
      <c r="F83" s="31">
        <v>0.32916666666666666</v>
      </c>
      <c r="G83" s="31">
        <v>0.29728317659352144</v>
      </c>
      <c r="H83" s="31">
        <v>0.15778474399164055</v>
      </c>
      <c r="I83" s="32">
        <v>9312.1265377855889</v>
      </c>
      <c r="J83" s="32">
        <v>-8449.0066225165556</v>
      </c>
      <c r="K83" s="31">
        <v>0.12083333333333333</v>
      </c>
      <c r="L83" s="31">
        <v>0.31818181818181818</v>
      </c>
      <c r="M83" s="31">
        <v>0.16144200626959249</v>
      </c>
      <c r="N83" s="31">
        <v>0.5451559934318555</v>
      </c>
      <c r="O83" s="31">
        <v>0.37216828478964403</v>
      </c>
      <c r="P83" s="31">
        <v>0.46221441124780316</v>
      </c>
    </row>
    <row r="84" spans="1:16" x14ac:dyDescent="0.4">
      <c r="A84" s="33">
        <v>81</v>
      </c>
      <c r="B84" s="30">
        <v>0</v>
      </c>
      <c r="C84" s="30">
        <v>0</v>
      </c>
      <c r="D84" s="35">
        <v>1.9876543209876543</v>
      </c>
      <c r="E84" s="31">
        <v>0.34156378600823045</v>
      </c>
      <c r="F84" s="31">
        <v>0.32921810699588477</v>
      </c>
      <c r="G84" s="31">
        <v>0.29641025641025642</v>
      </c>
      <c r="H84" s="31">
        <v>0.15794871794871795</v>
      </c>
      <c r="I84" s="32">
        <v>9369.5501730103806</v>
      </c>
      <c r="J84" s="32">
        <v>-8605.8441558441555</v>
      </c>
      <c r="K84" s="31">
        <v>0.12345679012345678</v>
      </c>
      <c r="L84" s="31">
        <v>0.31846153846153846</v>
      </c>
      <c r="M84" s="31">
        <v>0.16205128205128205</v>
      </c>
      <c r="N84" s="31">
        <v>0.54106280193236711</v>
      </c>
      <c r="O84" s="31">
        <v>0.370253164556962</v>
      </c>
      <c r="P84" s="31">
        <v>0.46020761245674741</v>
      </c>
    </row>
    <row r="85" spans="1:16" x14ac:dyDescent="0.4">
      <c r="A85" s="33">
        <v>82</v>
      </c>
      <c r="B85" s="30">
        <v>0</v>
      </c>
      <c r="C85" s="30">
        <v>0</v>
      </c>
      <c r="D85" s="35">
        <v>1.9878048780487805</v>
      </c>
      <c r="E85" s="31">
        <v>0.34146341463414637</v>
      </c>
      <c r="F85" s="31">
        <v>0.32926829268292684</v>
      </c>
      <c r="G85" s="31">
        <v>0.29573170731707316</v>
      </c>
      <c r="H85" s="31">
        <v>0.15701219512195122</v>
      </c>
      <c r="I85" s="32">
        <v>9360.8247422680415</v>
      </c>
      <c r="J85" s="32">
        <v>-8616.8284789644022</v>
      </c>
      <c r="K85" s="31">
        <v>0.12601626016260162</v>
      </c>
      <c r="L85" s="31">
        <v>0.31859756097560976</v>
      </c>
      <c r="M85" s="31">
        <v>0.16158536585365854</v>
      </c>
      <c r="N85" s="31">
        <v>0.54066985645933019</v>
      </c>
      <c r="O85" s="31">
        <v>0.37106918238993708</v>
      </c>
      <c r="P85" s="31">
        <v>0.46219931271477666</v>
      </c>
    </row>
    <row r="86" spans="1:16" x14ac:dyDescent="0.4">
      <c r="A86" s="33">
        <v>83</v>
      </c>
      <c r="B86" s="30">
        <v>-3.5527136788005009E-15</v>
      </c>
      <c r="C86" s="30">
        <v>-1.4267926420885545E-17</v>
      </c>
      <c r="D86" s="35">
        <v>1.9879518072289157</v>
      </c>
      <c r="E86" s="31">
        <v>0.34136546184738958</v>
      </c>
      <c r="F86" s="31">
        <v>0.32931726907630521</v>
      </c>
      <c r="G86" s="31">
        <v>0.29612870789341378</v>
      </c>
      <c r="H86" s="31">
        <v>0.15686274509803921</v>
      </c>
      <c r="I86" s="32">
        <v>9346.3497453310702</v>
      </c>
      <c r="J86" s="32">
        <v>-8605.4487179487187</v>
      </c>
      <c r="K86" s="31">
        <v>0.12449799196787148</v>
      </c>
      <c r="L86" s="31">
        <v>0.31975867269984914</v>
      </c>
      <c r="M86" s="31">
        <v>0.16038210155857216</v>
      </c>
      <c r="N86" s="31">
        <v>0.54088050314465408</v>
      </c>
      <c r="O86" s="31">
        <v>0.36990595611285265</v>
      </c>
      <c r="P86" s="31">
        <v>0.46349745331069608</v>
      </c>
    </row>
    <row r="87" spans="1:16" x14ac:dyDescent="0.4">
      <c r="A87" s="33">
        <v>84</v>
      </c>
      <c r="B87" s="30">
        <v>0</v>
      </c>
      <c r="C87" s="30">
        <v>0</v>
      </c>
      <c r="D87" s="35">
        <v>1.9880952380952381</v>
      </c>
      <c r="E87" s="31">
        <v>0.34126984126984128</v>
      </c>
      <c r="F87" s="31">
        <v>0.32936507936507936</v>
      </c>
      <c r="G87" s="31">
        <v>0.29569093610698366</v>
      </c>
      <c r="H87" s="31">
        <v>0.15601783060921248</v>
      </c>
      <c r="I87" s="32">
        <v>9438.6934673366832</v>
      </c>
      <c r="J87" s="32">
        <v>-8586.6666666666661</v>
      </c>
      <c r="K87" s="31">
        <v>0.12698412698412698</v>
      </c>
      <c r="L87" s="31">
        <v>0.31946508172362553</v>
      </c>
      <c r="M87" s="31">
        <v>0.16245666171371967</v>
      </c>
      <c r="N87" s="31">
        <v>0.54263565891472865</v>
      </c>
      <c r="O87" s="31">
        <v>0.36585365853658536</v>
      </c>
      <c r="P87" s="31">
        <v>0.46566164154103851</v>
      </c>
    </row>
    <row r="88" spans="1:16" x14ac:dyDescent="0.4">
      <c r="A88" s="33">
        <v>85</v>
      </c>
      <c r="B88" s="30">
        <v>0</v>
      </c>
      <c r="C88" s="30">
        <v>0</v>
      </c>
      <c r="D88" s="35">
        <v>1.9882352941176471</v>
      </c>
      <c r="E88" s="31">
        <v>0.3411764705882353</v>
      </c>
      <c r="F88" s="31">
        <v>0.32941176470588235</v>
      </c>
      <c r="G88" s="31">
        <v>0.29558823529411765</v>
      </c>
      <c r="H88" s="31">
        <v>0.15637254901960784</v>
      </c>
      <c r="I88" s="32">
        <v>9401.492537313432</v>
      </c>
      <c r="J88" s="32">
        <v>-8541.6927899686525</v>
      </c>
      <c r="K88" s="31">
        <v>0.12549019607843137</v>
      </c>
      <c r="L88" s="31">
        <v>0.32009803921568625</v>
      </c>
      <c r="M88" s="31">
        <v>0.16176470588235295</v>
      </c>
      <c r="N88" s="31">
        <v>0.53905053598774888</v>
      </c>
      <c r="O88" s="31">
        <v>0.36969696969696969</v>
      </c>
      <c r="P88" s="31">
        <v>0.46434494195688225</v>
      </c>
    </row>
    <row r="89" spans="1:16" x14ac:dyDescent="0.4">
      <c r="A89" s="33">
        <v>86</v>
      </c>
      <c r="B89" s="30">
        <v>-2.6645352591003757E-15</v>
      </c>
      <c r="C89" s="30">
        <v>-1.0327656043024712E-17</v>
      </c>
      <c r="D89" s="35">
        <v>1.9883720930232558</v>
      </c>
      <c r="E89" s="31">
        <v>0.34108527131782945</v>
      </c>
      <c r="F89" s="31">
        <v>0.32945736434108525</v>
      </c>
      <c r="G89" s="31">
        <v>0.29597282872392044</v>
      </c>
      <c r="H89" s="31">
        <v>0.15672003881610869</v>
      </c>
      <c r="I89" s="32">
        <v>9418.3606557377043</v>
      </c>
      <c r="J89" s="32">
        <v>-8542.724458204335</v>
      </c>
      <c r="K89" s="31">
        <v>0.12790697674418605</v>
      </c>
      <c r="L89" s="31">
        <v>0.3182920912178554</v>
      </c>
      <c r="M89" s="31">
        <v>0.16205725376031052</v>
      </c>
      <c r="N89" s="31">
        <v>0.53810975609756095</v>
      </c>
      <c r="O89" s="31">
        <v>0.3712574850299401</v>
      </c>
      <c r="P89" s="31">
        <v>0.4639344262295082</v>
      </c>
    </row>
    <row r="90" spans="1:16" x14ac:dyDescent="0.4">
      <c r="A90" s="33">
        <v>87</v>
      </c>
      <c r="B90" s="30">
        <v>0</v>
      </c>
      <c r="C90" s="30">
        <v>0</v>
      </c>
      <c r="D90" s="35">
        <v>1.9885057471264367</v>
      </c>
      <c r="E90" s="31">
        <v>0.34099616858237547</v>
      </c>
      <c r="F90" s="31">
        <v>0.32950191570881227</v>
      </c>
      <c r="G90" s="31">
        <v>0.29538904899135449</v>
      </c>
      <c r="H90" s="31">
        <v>0.15658021133525457</v>
      </c>
      <c r="I90" s="32">
        <v>9416.4227642276419</v>
      </c>
      <c r="J90" s="32">
        <v>-8555.8282208588953</v>
      </c>
      <c r="K90" s="31">
        <v>0.13026819923371646</v>
      </c>
      <c r="L90" s="31">
        <v>0.31700288184438041</v>
      </c>
      <c r="M90" s="31">
        <v>0.16138328530259366</v>
      </c>
      <c r="N90" s="31">
        <v>0.53939393939393943</v>
      </c>
      <c r="O90" s="31">
        <v>0.36904761904761907</v>
      </c>
      <c r="P90" s="31">
        <v>0.46341463414634149</v>
      </c>
    </row>
    <row r="91" spans="1:16" x14ac:dyDescent="0.4">
      <c r="A91" s="33">
        <v>88</v>
      </c>
      <c r="B91" s="30">
        <v>-1.7763568394002505E-15</v>
      </c>
      <c r="C91" s="30">
        <v>-6.7286243916676156E-18</v>
      </c>
      <c r="D91" s="35">
        <v>1.9886363636363635</v>
      </c>
      <c r="E91" s="31">
        <v>0.34090909090909088</v>
      </c>
      <c r="F91" s="31">
        <v>0.32954545454545453</v>
      </c>
      <c r="G91" s="31">
        <v>0.29576795054683785</v>
      </c>
      <c r="H91" s="31">
        <v>0.15786970993818356</v>
      </c>
      <c r="I91" s="32">
        <v>9415.9163987138272</v>
      </c>
      <c r="J91" s="32">
        <v>-8526.5060240963849</v>
      </c>
      <c r="K91" s="31">
        <v>0.12878787878787878</v>
      </c>
      <c r="L91" s="31">
        <v>0.31573941987636711</v>
      </c>
      <c r="M91" s="31">
        <v>0.16072277698525916</v>
      </c>
      <c r="N91" s="31">
        <v>0.54066265060240959</v>
      </c>
      <c r="O91" s="31">
        <v>0.37278106508875741</v>
      </c>
      <c r="P91" s="31">
        <v>0.45980707395498394</v>
      </c>
    </row>
    <row r="92" spans="1:16" x14ac:dyDescent="0.4">
      <c r="A92" s="33">
        <v>89</v>
      </c>
      <c r="B92" s="30">
        <v>0</v>
      </c>
      <c r="C92" s="30">
        <v>0</v>
      </c>
      <c r="D92" s="35">
        <v>1.9887640449438202</v>
      </c>
      <c r="E92" s="31">
        <v>0.34082397003745318</v>
      </c>
      <c r="F92" s="31">
        <v>0.32958801498127338</v>
      </c>
      <c r="G92" s="31">
        <v>0.29608675153229608</v>
      </c>
      <c r="H92" s="31">
        <v>0.15841584158415842</v>
      </c>
      <c r="I92" s="32">
        <v>9462.4203821656047</v>
      </c>
      <c r="J92" s="32">
        <v>-8590.7738095238092</v>
      </c>
      <c r="K92" s="31">
        <v>0.13108614232209737</v>
      </c>
      <c r="L92" s="31">
        <v>0.31494578029231496</v>
      </c>
      <c r="M92" s="31">
        <v>0.16077322017916076</v>
      </c>
      <c r="N92" s="31">
        <v>0.54341317365269459</v>
      </c>
      <c r="O92" s="31">
        <v>0.36950146627565983</v>
      </c>
      <c r="P92" s="31">
        <v>0.45859872611464969</v>
      </c>
    </row>
    <row r="93" spans="1:16" x14ac:dyDescent="0.4">
      <c r="A93" s="33">
        <v>90</v>
      </c>
      <c r="B93" s="30">
        <v>-3.5527136788005009E-15</v>
      </c>
      <c r="C93" s="30">
        <v>-1.3158198810372226E-17</v>
      </c>
      <c r="D93" s="35">
        <v>1.9888888888888889</v>
      </c>
      <c r="E93" s="31">
        <v>0.34074074074074073</v>
      </c>
      <c r="F93" s="31">
        <v>0.32962962962962961</v>
      </c>
      <c r="G93" s="31">
        <v>0.29608938547486036</v>
      </c>
      <c r="H93" s="31">
        <v>0.15782122905027932</v>
      </c>
      <c r="I93" s="32">
        <v>9471.6981132075471</v>
      </c>
      <c r="J93" s="32">
        <v>-8607.6696165191734</v>
      </c>
      <c r="K93" s="31">
        <v>0.13333333333333333</v>
      </c>
      <c r="L93" s="31">
        <v>0.31424581005586594</v>
      </c>
      <c r="M93" s="31">
        <v>0.15968342644320299</v>
      </c>
      <c r="N93" s="31">
        <v>0.54518518518518522</v>
      </c>
      <c r="O93" s="31">
        <v>0.36734693877551022</v>
      </c>
      <c r="P93" s="31">
        <v>0.46069182389937108</v>
      </c>
    </row>
    <row r="94" spans="1:16" x14ac:dyDescent="0.4">
      <c r="A94" s="33">
        <v>91</v>
      </c>
      <c r="B94" s="30">
        <v>-7.1054273576010019E-15</v>
      </c>
      <c r="C94" s="30">
        <v>-2.6027206438098908E-17</v>
      </c>
      <c r="D94" s="35">
        <v>1.9890109890109891</v>
      </c>
      <c r="E94" s="31">
        <v>0.34065934065934067</v>
      </c>
      <c r="F94" s="31">
        <v>0.32967032967032966</v>
      </c>
      <c r="G94" s="31">
        <v>0.29609195402298849</v>
      </c>
      <c r="H94" s="31">
        <v>0.15816091954022987</v>
      </c>
      <c r="I94" s="32">
        <v>9411.4906832298129</v>
      </c>
      <c r="J94" s="32">
        <v>-8556.3953488372099</v>
      </c>
      <c r="K94" s="31">
        <v>0.13186813186813187</v>
      </c>
      <c r="L94" s="31">
        <v>0.31356321839080459</v>
      </c>
      <c r="M94" s="31">
        <v>0.16045977011494253</v>
      </c>
      <c r="N94" s="31">
        <v>0.54545454545454541</v>
      </c>
      <c r="O94" s="31">
        <v>0.36962750716332377</v>
      </c>
      <c r="P94" s="31">
        <v>0.45962732919254656</v>
      </c>
    </row>
    <row r="95" spans="1:16" x14ac:dyDescent="0.4">
      <c r="A95" s="33">
        <v>92</v>
      </c>
      <c r="B95" s="30">
        <v>-7.9936057773011271E-15</v>
      </c>
      <c r="C95" s="30">
        <v>-2.896233977283017E-17</v>
      </c>
      <c r="D95" s="35">
        <v>1.9891304347826086</v>
      </c>
      <c r="E95" s="31">
        <v>0.34057971014492755</v>
      </c>
      <c r="F95" s="31">
        <v>0.32971014492753625</v>
      </c>
      <c r="G95" s="31">
        <v>0.29639762881896947</v>
      </c>
      <c r="H95" s="31">
        <v>0.15777473780209758</v>
      </c>
      <c r="I95" s="32">
        <v>9400.3076923076915</v>
      </c>
      <c r="J95" s="32">
        <v>-8545.0867052023114</v>
      </c>
      <c r="K95" s="31">
        <v>0.13043478260869565</v>
      </c>
      <c r="L95" s="31">
        <v>0.31418148654810762</v>
      </c>
      <c r="M95" s="31">
        <v>0.16096671226630188</v>
      </c>
      <c r="N95" s="31">
        <v>0.54571843251088537</v>
      </c>
      <c r="O95" s="31">
        <v>0.36827195467422097</v>
      </c>
      <c r="P95" s="31">
        <v>0.46153846153846156</v>
      </c>
    </row>
    <row r="96" spans="1:16" x14ac:dyDescent="0.4">
      <c r="A96" s="33">
        <v>93</v>
      </c>
      <c r="B96" s="30">
        <v>-3.5527136788005009E-15</v>
      </c>
      <c r="C96" s="30">
        <v>-1.2733740784231186E-17</v>
      </c>
      <c r="D96" s="35">
        <v>1.989247311827957</v>
      </c>
      <c r="E96" s="31">
        <v>0.34050179211469533</v>
      </c>
      <c r="F96" s="31">
        <v>0.32974910394265233</v>
      </c>
      <c r="G96" s="31">
        <v>0.29679747406405049</v>
      </c>
      <c r="H96" s="31">
        <v>0.15832205683355885</v>
      </c>
      <c r="I96" s="32">
        <v>9362.310030395136</v>
      </c>
      <c r="J96" s="32">
        <v>-8531.6239316239316</v>
      </c>
      <c r="K96" s="31">
        <v>0.12903225806451613</v>
      </c>
      <c r="L96" s="31">
        <v>0.3125845737483085</v>
      </c>
      <c r="M96" s="31">
        <v>0.16193053676138927</v>
      </c>
      <c r="N96" s="31">
        <v>0.54834054834054835</v>
      </c>
      <c r="O96" s="31">
        <v>0.36490250696378829</v>
      </c>
      <c r="P96" s="31">
        <v>0.46048632218844987</v>
      </c>
    </row>
    <row r="97" spans="1:16" x14ac:dyDescent="0.4">
      <c r="A97" s="33">
        <v>94</v>
      </c>
      <c r="B97" s="30">
        <v>-8.8817841970012523E-15</v>
      </c>
      <c r="C97" s="30">
        <v>-3.1495688641848415E-17</v>
      </c>
      <c r="D97" s="35">
        <v>1.9893617021276595</v>
      </c>
      <c r="E97" s="31">
        <v>0.34042553191489361</v>
      </c>
      <c r="F97" s="31">
        <v>0.32978723404255317</v>
      </c>
      <c r="G97" s="31">
        <v>0.2967914438502674</v>
      </c>
      <c r="H97" s="31">
        <v>0.15909090909090909</v>
      </c>
      <c r="I97" s="32">
        <v>9360.6606606606601</v>
      </c>
      <c r="J97" s="32">
        <v>-8547.8991596638662</v>
      </c>
      <c r="K97" s="31">
        <v>0.13120567375886524</v>
      </c>
      <c r="L97" s="31">
        <v>0.31149732620320858</v>
      </c>
      <c r="M97" s="31">
        <v>0.16265597147950089</v>
      </c>
      <c r="N97" s="31">
        <v>0.55078683834048636</v>
      </c>
      <c r="O97" s="31">
        <v>0.36164383561643837</v>
      </c>
      <c r="P97" s="31">
        <v>0.45795795795795796</v>
      </c>
    </row>
    <row r="98" spans="1:16" x14ac:dyDescent="0.4">
      <c r="A98" s="33">
        <v>95</v>
      </c>
      <c r="B98" s="30">
        <v>-1.0658141036401503E-14</v>
      </c>
      <c r="C98" s="30">
        <v>-3.7396986092636851E-17</v>
      </c>
      <c r="D98" s="35">
        <v>1.9894736842105263</v>
      </c>
      <c r="E98" s="31">
        <v>0.34035087719298246</v>
      </c>
      <c r="F98" s="31">
        <v>0.3298245614035088</v>
      </c>
      <c r="G98" s="31">
        <v>0.29717813051146386</v>
      </c>
      <c r="H98" s="31">
        <v>0.16049382716049382</v>
      </c>
      <c r="I98" s="32">
        <v>9345.9940652818987</v>
      </c>
      <c r="J98" s="32">
        <v>-8529.1208791208792</v>
      </c>
      <c r="K98" s="31">
        <v>0.12982456140350876</v>
      </c>
      <c r="L98" s="31">
        <v>0.31084656084656087</v>
      </c>
      <c r="M98" s="31">
        <v>0.16358024691358025</v>
      </c>
      <c r="N98" s="31">
        <v>0.55035460992907803</v>
      </c>
      <c r="O98" s="31">
        <v>0.3692722371967655</v>
      </c>
      <c r="P98" s="31">
        <v>0.45400593471810091</v>
      </c>
    </row>
    <row r="99" spans="1:16" x14ac:dyDescent="0.4">
      <c r="A99" s="33">
        <v>96</v>
      </c>
      <c r="B99" s="30">
        <v>-1.6875389974302379E-14</v>
      </c>
      <c r="C99" s="30">
        <v>-5.8595104077438819E-17</v>
      </c>
      <c r="D99" s="35">
        <v>1.9895833333333333</v>
      </c>
      <c r="E99" s="31">
        <v>0.34027777777777779</v>
      </c>
      <c r="F99" s="31">
        <v>0.3298611111111111</v>
      </c>
      <c r="G99" s="31">
        <v>0.29750982961992134</v>
      </c>
      <c r="H99" s="31">
        <v>0.16120576671035386</v>
      </c>
      <c r="I99" s="32">
        <v>9332.1585903083705</v>
      </c>
      <c r="J99" s="32">
        <v>-8536.0433604336049</v>
      </c>
      <c r="K99" s="31">
        <v>0.12847222222222221</v>
      </c>
      <c r="L99" s="31">
        <v>0.31148973350808212</v>
      </c>
      <c r="M99" s="31">
        <v>0.16251638269986893</v>
      </c>
      <c r="N99" s="31">
        <v>0.54978962131837306</v>
      </c>
      <c r="O99" s="31">
        <v>0.37096774193548387</v>
      </c>
      <c r="P99" s="31">
        <v>0.45227606461086639</v>
      </c>
    </row>
    <row r="100" spans="1:16" x14ac:dyDescent="0.4">
      <c r="A100" s="33">
        <v>97</v>
      </c>
      <c r="B100" s="30">
        <v>-1.0658141036401503E-14</v>
      </c>
      <c r="C100" s="30">
        <v>-3.6625914214438153E-17</v>
      </c>
      <c r="D100" s="35">
        <v>1.9896907216494846</v>
      </c>
      <c r="E100" s="31">
        <v>0.34020618556701032</v>
      </c>
      <c r="F100" s="31">
        <v>0.32989690721649484</v>
      </c>
      <c r="G100" s="31">
        <v>0.29653679653679654</v>
      </c>
      <c r="H100" s="31">
        <v>0.16060606060606061</v>
      </c>
      <c r="I100" s="32">
        <v>9320.1459854014593</v>
      </c>
      <c r="J100" s="32">
        <v>-8554.7169811320746</v>
      </c>
      <c r="K100" s="31">
        <v>0.13058419243986255</v>
      </c>
      <c r="L100" s="31">
        <v>0.31082251082251083</v>
      </c>
      <c r="M100" s="31">
        <v>0.16233766233766234</v>
      </c>
      <c r="N100" s="31">
        <v>0.54874651810584962</v>
      </c>
      <c r="O100" s="31">
        <v>0.37066666666666664</v>
      </c>
      <c r="P100" s="31">
        <v>0.45255474452554745</v>
      </c>
    </row>
    <row r="101" spans="1:16" x14ac:dyDescent="0.4">
      <c r="A101" s="33">
        <v>98</v>
      </c>
      <c r="B101" s="30">
        <v>-1.4210854715202004E-14</v>
      </c>
      <c r="C101" s="30">
        <v>-4.833624052789797E-17</v>
      </c>
      <c r="D101" s="35">
        <v>1.989795918367347</v>
      </c>
      <c r="E101" s="31">
        <v>0.3401360544217687</v>
      </c>
      <c r="F101" s="31">
        <v>0.32993197278911562</v>
      </c>
      <c r="G101" s="31">
        <v>0.29686829686829685</v>
      </c>
      <c r="H101" s="31">
        <v>0.16001716001716002</v>
      </c>
      <c r="I101" s="32">
        <v>9278.4682080924849</v>
      </c>
      <c r="J101" s="32">
        <v>-8526.2734584450409</v>
      </c>
      <c r="K101" s="31">
        <v>0.12925170068027211</v>
      </c>
      <c r="L101" s="31">
        <v>0.3105963105963106</v>
      </c>
      <c r="M101" s="31">
        <v>0.1625911625911626</v>
      </c>
      <c r="N101" s="31">
        <v>0.54696132596685088</v>
      </c>
      <c r="O101" s="31">
        <v>0.37467018469656993</v>
      </c>
      <c r="P101" s="31">
        <v>0.4552023121387283</v>
      </c>
    </row>
    <row r="102" spans="1:16" x14ac:dyDescent="0.4">
      <c r="A102" s="33">
        <v>99</v>
      </c>
      <c r="B102" s="30">
        <v>-1.4210854715202004E-14</v>
      </c>
      <c r="C102" s="30">
        <v>-4.7847995674080819E-17</v>
      </c>
      <c r="D102" s="35">
        <v>1.9898989898989898</v>
      </c>
      <c r="E102" s="31">
        <v>0.34006734006734007</v>
      </c>
      <c r="F102" s="31">
        <v>0.32996632996632996</v>
      </c>
      <c r="G102" s="31">
        <v>0.29710144927536231</v>
      </c>
      <c r="H102" s="31">
        <v>0.1606990622335891</v>
      </c>
      <c r="I102" s="32">
        <v>9337.5896700143476</v>
      </c>
      <c r="J102" s="32">
        <v>-8583.2891246684358</v>
      </c>
      <c r="K102" s="31">
        <v>0.13131313131313133</v>
      </c>
      <c r="L102" s="31">
        <v>0.31031543052003407</v>
      </c>
      <c r="M102" s="31">
        <v>0.16197783461210571</v>
      </c>
      <c r="N102" s="31">
        <v>0.54670329670329665</v>
      </c>
      <c r="O102" s="31">
        <v>0.37631578947368421</v>
      </c>
      <c r="P102" s="31">
        <v>0.4533715925394548</v>
      </c>
    </row>
    <row r="103" spans="1:16" x14ac:dyDescent="0.4">
      <c r="A103" s="33">
        <v>100</v>
      </c>
      <c r="B103" s="30">
        <v>-1.4210854715202004E-14</v>
      </c>
      <c r="C103" s="30">
        <v>-4.7369515717340015E-17</v>
      </c>
      <c r="D103" s="35">
        <v>1.99</v>
      </c>
      <c r="E103" s="31">
        <v>0.34</v>
      </c>
      <c r="F103" s="31">
        <v>0.33</v>
      </c>
      <c r="G103" s="31">
        <v>0.29695431472081218</v>
      </c>
      <c r="H103" s="31">
        <v>0.16116751269035534</v>
      </c>
      <c r="I103" s="32">
        <v>9343.0199430199427</v>
      </c>
      <c r="J103" s="32">
        <v>-8578.4776902887133</v>
      </c>
      <c r="K103" s="31">
        <v>0.13333333333333333</v>
      </c>
      <c r="L103" s="31">
        <v>0.30922165820642977</v>
      </c>
      <c r="M103" s="31">
        <v>0.16243654822335024</v>
      </c>
      <c r="N103" s="31">
        <v>0.54582763337893292</v>
      </c>
      <c r="O103" s="31">
        <v>0.37760416666666669</v>
      </c>
      <c r="P103" s="31">
        <v>0.45156695156695159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2023-01-04T07:55:28Z</dcterms:modified>
</cp:coreProperties>
</file>