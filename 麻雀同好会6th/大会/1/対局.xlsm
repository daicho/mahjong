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大会\1\"/>
    </mc:Choice>
  </mc:AlternateContent>
  <xr:revisionPtr revIDLastSave="0" documentId="13_ncr:1_{B1565180-D64F-4710-9C14-9A3C881B9C89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21" r:id="rId1"/>
    <sheet name="Sheet2" sheetId="22" r:id="rId2"/>
    <sheet name="Sheet3" sheetId="23" r:id="rId3"/>
    <sheet name="Sheet4" sheetId="24" r:id="rId4"/>
    <sheet name="Sheet5" sheetId="25" r:id="rId5"/>
    <sheet name="Sheet6" sheetId="26" r:id="rId6"/>
    <sheet name="Sheet7" sheetId="27" r:id="rId7"/>
    <sheet name="Sheet8" sheetId="28" r:id="rId8"/>
    <sheet name="Sheet9" sheetId="29" r:id="rId9"/>
    <sheet name="Sheet10" sheetId="31" r:id="rId10"/>
    <sheet name="Sheet11" sheetId="32" r:id="rId11"/>
    <sheet name="Sheet12" sheetId="33" r:id="rId12"/>
    <sheet name="役一覧" sheetId="15" state="hidden" r:id="rId13"/>
    <sheet name="点数表(親ロン)" sheetId="4" state="hidden" r:id="rId14"/>
    <sheet name="点数表(親ツモ)" sheetId="9" state="hidden" r:id="rId15"/>
    <sheet name="点数表(子→親)" sheetId="7" state="hidden" r:id="rId16"/>
    <sheet name="点数表(子ロン)" sheetId="3" state="hidden" r:id="rId17"/>
    <sheet name="点数表(子ツモ)" sheetId="10" state="hidden" r:id="rId18"/>
    <sheet name="点数表(子→子)" sheetId="5" state="hidden" r:id="rId19"/>
    <sheet name="点数表(親→子)" sheetId="6" state="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33" l="1"/>
  <c r="D13" i="33" s="1"/>
  <c r="E12" i="33"/>
  <c r="E11" i="33"/>
  <c r="E10" i="33"/>
  <c r="E9" i="33"/>
  <c r="E8" i="33"/>
  <c r="E7" i="33"/>
  <c r="E6" i="33"/>
  <c r="E5" i="33"/>
  <c r="T30" i="33"/>
  <c r="W30" i="33" s="1"/>
  <c r="O30" i="33"/>
  <c r="V30" i="33" s="1"/>
  <c r="J30" i="33"/>
  <c r="U30" i="33" s="1"/>
  <c r="D30" i="33"/>
  <c r="C30" i="33"/>
  <c r="B30" i="33"/>
  <c r="A30" i="33"/>
  <c r="T29" i="33"/>
  <c r="W29" i="33" s="1"/>
  <c r="O29" i="33"/>
  <c r="V29" i="33" s="1"/>
  <c r="J29" i="33"/>
  <c r="U29" i="33" s="1"/>
  <c r="D29" i="33"/>
  <c r="C29" i="33"/>
  <c r="B29" i="33"/>
  <c r="A29" i="33"/>
  <c r="T28" i="33"/>
  <c r="W28" i="33" s="1"/>
  <c r="O28" i="33"/>
  <c r="V28" i="33" s="1"/>
  <c r="J28" i="33"/>
  <c r="U28" i="33" s="1"/>
  <c r="D28" i="33"/>
  <c r="C28" i="33"/>
  <c r="B28" i="33"/>
  <c r="A28" i="33"/>
  <c r="T27" i="33"/>
  <c r="W27" i="33" s="1"/>
  <c r="O27" i="33"/>
  <c r="V27" i="33" s="1"/>
  <c r="J27" i="33"/>
  <c r="U27" i="33" s="1"/>
  <c r="D27" i="33"/>
  <c r="C27" i="33"/>
  <c r="B27" i="33"/>
  <c r="A27" i="33"/>
  <c r="T26" i="33"/>
  <c r="W26" i="33" s="1"/>
  <c r="O26" i="33"/>
  <c r="V26" i="33" s="1"/>
  <c r="J26" i="33"/>
  <c r="U26" i="33" s="1"/>
  <c r="D26" i="33"/>
  <c r="C26" i="33"/>
  <c r="B26" i="33"/>
  <c r="A26" i="33"/>
  <c r="T25" i="33"/>
  <c r="W25" i="33" s="1"/>
  <c r="O25" i="33"/>
  <c r="V25" i="33" s="1"/>
  <c r="J25" i="33"/>
  <c r="U25" i="33" s="1"/>
  <c r="D25" i="33"/>
  <c r="C25" i="33"/>
  <c r="B25" i="33"/>
  <c r="A25" i="33"/>
  <c r="T24" i="33"/>
  <c r="W24" i="33" s="1"/>
  <c r="O24" i="33"/>
  <c r="V24" i="33" s="1"/>
  <c r="J24" i="33"/>
  <c r="U24" i="33" s="1"/>
  <c r="D24" i="33"/>
  <c r="C24" i="33"/>
  <c r="B24" i="33"/>
  <c r="A24" i="33"/>
  <c r="T23" i="33"/>
  <c r="W23" i="33" s="1"/>
  <c r="O23" i="33"/>
  <c r="V23" i="33" s="1"/>
  <c r="J23" i="33"/>
  <c r="U23" i="33" s="1"/>
  <c r="D23" i="33"/>
  <c r="C23" i="33"/>
  <c r="B23" i="33"/>
  <c r="A23" i="33"/>
  <c r="D22" i="33"/>
  <c r="D21" i="33"/>
  <c r="D20" i="33"/>
  <c r="D19" i="33"/>
  <c r="D18" i="33"/>
  <c r="D16" i="33"/>
  <c r="C15" i="33"/>
  <c r="D14" i="33"/>
  <c r="D15" i="33" s="1"/>
  <c r="C14" i="33"/>
  <c r="D12" i="33"/>
  <c r="D11" i="33"/>
  <c r="D10" i="33"/>
  <c r="D8" i="33"/>
  <c r="D7" i="33"/>
  <c r="C7" i="33"/>
  <c r="B6" i="33"/>
  <c r="D6" i="33"/>
  <c r="C6" i="33"/>
  <c r="O5" i="33"/>
  <c r="O6" i="33" s="1"/>
  <c r="J5" i="33"/>
  <c r="J6" i="33" s="1"/>
  <c r="D5" i="33"/>
  <c r="C5" i="33"/>
  <c r="B5" i="33"/>
  <c r="A6" i="33" s="1"/>
  <c r="T4" i="33"/>
  <c r="T5" i="33" s="1"/>
  <c r="O4" i="33"/>
  <c r="V4" i="33" s="1"/>
  <c r="J4" i="33"/>
  <c r="U4" i="33" s="1"/>
  <c r="W3" i="33"/>
  <c r="V3" i="33"/>
  <c r="U3" i="33"/>
  <c r="W2" i="33"/>
  <c r="V2" i="33"/>
  <c r="U2" i="33"/>
  <c r="BO1" i="33"/>
  <c r="AT1" i="33"/>
  <c r="Y1" i="33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A5" i="33" l="1"/>
  <c r="W4" i="33"/>
  <c r="J7" i="33"/>
  <c r="U6" i="33"/>
  <c r="O7" i="33"/>
  <c r="V6" i="33"/>
  <c r="T6" i="33"/>
  <c r="W5" i="33"/>
  <c r="B7" i="33"/>
  <c r="D9" i="33"/>
  <c r="C12" i="33"/>
  <c r="C13" i="33" s="1"/>
  <c r="D17" i="33"/>
  <c r="U5" i="33"/>
  <c r="C18" i="33"/>
  <c r="V5" i="33"/>
  <c r="C8" i="33"/>
  <c r="C9" i="33" s="1"/>
  <c r="C10" i="33" s="1"/>
  <c r="C11" i="33" s="1"/>
  <c r="C16" i="33"/>
  <c r="C17" i="33" s="1"/>
  <c r="C19" i="33"/>
  <c r="C20" i="33" s="1"/>
  <c r="C21" i="33" s="1"/>
  <c r="C22" i="33" s="1"/>
  <c r="T30" i="32"/>
  <c r="W30" i="32" s="1"/>
  <c r="O30" i="32"/>
  <c r="V30" i="32" s="1"/>
  <c r="J30" i="32"/>
  <c r="U30" i="32" s="1"/>
  <c r="D30" i="32"/>
  <c r="C30" i="32"/>
  <c r="B30" i="32"/>
  <c r="A30" i="32"/>
  <c r="T29" i="32"/>
  <c r="W29" i="32" s="1"/>
  <c r="O29" i="32"/>
  <c r="V29" i="32" s="1"/>
  <c r="J29" i="32"/>
  <c r="U29" i="32" s="1"/>
  <c r="D29" i="32"/>
  <c r="C29" i="32"/>
  <c r="B29" i="32"/>
  <c r="A29" i="32"/>
  <c r="T28" i="32"/>
  <c r="W28" i="32" s="1"/>
  <c r="O28" i="32"/>
  <c r="V28" i="32" s="1"/>
  <c r="J28" i="32"/>
  <c r="U28" i="32" s="1"/>
  <c r="D28" i="32"/>
  <c r="C28" i="32"/>
  <c r="B28" i="32"/>
  <c r="A28" i="32"/>
  <c r="T27" i="32"/>
  <c r="W27" i="32" s="1"/>
  <c r="O27" i="32"/>
  <c r="V27" i="32" s="1"/>
  <c r="J27" i="32"/>
  <c r="U27" i="32" s="1"/>
  <c r="D27" i="32"/>
  <c r="C27" i="32"/>
  <c r="B27" i="32"/>
  <c r="A27" i="32"/>
  <c r="T26" i="32"/>
  <c r="W26" i="32" s="1"/>
  <c r="O26" i="32"/>
  <c r="V26" i="32" s="1"/>
  <c r="J26" i="32"/>
  <c r="U26" i="32" s="1"/>
  <c r="D26" i="32"/>
  <c r="C26" i="32"/>
  <c r="B26" i="32"/>
  <c r="A26" i="32"/>
  <c r="T25" i="32"/>
  <c r="W25" i="32" s="1"/>
  <c r="O25" i="32"/>
  <c r="V25" i="32" s="1"/>
  <c r="J25" i="32"/>
  <c r="U25" i="32" s="1"/>
  <c r="D25" i="32"/>
  <c r="C25" i="32"/>
  <c r="B25" i="32"/>
  <c r="A25" i="32"/>
  <c r="T24" i="32"/>
  <c r="W24" i="32" s="1"/>
  <c r="O24" i="32"/>
  <c r="V24" i="32" s="1"/>
  <c r="J24" i="32"/>
  <c r="U24" i="32" s="1"/>
  <c r="D24" i="32"/>
  <c r="C24" i="32"/>
  <c r="B24" i="32"/>
  <c r="A24" i="32"/>
  <c r="T23" i="32"/>
  <c r="W23" i="32" s="1"/>
  <c r="O23" i="32"/>
  <c r="V23" i="32" s="1"/>
  <c r="J23" i="32"/>
  <c r="U23" i="32" s="1"/>
  <c r="D23" i="32"/>
  <c r="C23" i="32"/>
  <c r="B23" i="32"/>
  <c r="A23" i="32" s="1"/>
  <c r="T22" i="32"/>
  <c r="W22" i="32" s="1"/>
  <c r="O22" i="32"/>
  <c r="V22" i="32" s="1"/>
  <c r="J22" i="32"/>
  <c r="U22" i="32" s="1"/>
  <c r="D22" i="32"/>
  <c r="C22" i="32"/>
  <c r="B22" i="32"/>
  <c r="A22" i="32" s="1"/>
  <c r="T21" i="32"/>
  <c r="W21" i="32" s="1"/>
  <c r="O21" i="32"/>
  <c r="V21" i="32" s="1"/>
  <c r="J21" i="32"/>
  <c r="U21" i="32" s="1"/>
  <c r="D21" i="32"/>
  <c r="C21" i="32"/>
  <c r="B21" i="32"/>
  <c r="A21" i="32" s="1"/>
  <c r="T20" i="32"/>
  <c r="W20" i="32" s="1"/>
  <c r="O20" i="32"/>
  <c r="V20" i="32" s="1"/>
  <c r="J20" i="32"/>
  <c r="U20" i="32" s="1"/>
  <c r="D20" i="32"/>
  <c r="C20" i="32"/>
  <c r="B20" i="32"/>
  <c r="A20" i="32" s="1"/>
  <c r="T19" i="32"/>
  <c r="W19" i="32" s="1"/>
  <c r="O19" i="32"/>
  <c r="V19" i="32" s="1"/>
  <c r="J19" i="32"/>
  <c r="U19" i="32" s="1"/>
  <c r="D19" i="32"/>
  <c r="C19" i="32"/>
  <c r="B19" i="32"/>
  <c r="A19" i="32" s="1"/>
  <c r="T18" i="32"/>
  <c r="W18" i="32" s="1"/>
  <c r="O18" i="32"/>
  <c r="V18" i="32" s="1"/>
  <c r="J18" i="32"/>
  <c r="U18" i="32" s="1"/>
  <c r="D18" i="32"/>
  <c r="C18" i="32"/>
  <c r="B18" i="32"/>
  <c r="A18" i="32" s="1"/>
  <c r="T17" i="32"/>
  <c r="W17" i="32" s="1"/>
  <c r="O17" i="32"/>
  <c r="V17" i="32" s="1"/>
  <c r="J17" i="32"/>
  <c r="U17" i="32" s="1"/>
  <c r="D17" i="32"/>
  <c r="C17" i="32"/>
  <c r="B17" i="32"/>
  <c r="A17" i="32" s="1"/>
  <c r="T16" i="32"/>
  <c r="W16" i="32" s="1"/>
  <c r="O16" i="32"/>
  <c r="V16" i="32" s="1"/>
  <c r="J16" i="32"/>
  <c r="U16" i="32" s="1"/>
  <c r="D16" i="32"/>
  <c r="C16" i="32"/>
  <c r="B16" i="32"/>
  <c r="A16" i="32" s="1"/>
  <c r="T15" i="32"/>
  <c r="W15" i="32" s="1"/>
  <c r="O15" i="32"/>
  <c r="V15" i="32" s="1"/>
  <c r="J15" i="32"/>
  <c r="U15" i="32" s="1"/>
  <c r="D15" i="32"/>
  <c r="C15" i="32"/>
  <c r="B15" i="32"/>
  <c r="A15" i="32"/>
  <c r="C13" i="32"/>
  <c r="D13" i="32"/>
  <c r="D12" i="32"/>
  <c r="C12" i="32"/>
  <c r="D11" i="32"/>
  <c r="D9" i="32"/>
  <c r="D8" i="32"/>
  <c r="D7" i="32"/>
  <c r="C6" i="32"/>
  <c r="T5" i="32"/>
  <c r="T6" i="32" s="1"/>
  <c r="C5" i="32"/>
  <c r="D5" i="32"/>
  <c r="T4" i="32"/>
  <c r="W4" i="32" s="1"/>
  <c r="O4" i="32"/>
  <c r="O5" i="32" s="1"/>
  <c r="J4" i="32"/>
  <c r="J5" i="32" s="1"/>
  <c r="W3" i="32"/>
  <c r="V3" i="32"/>
  <c r="U3" i="32"/>
  <c r="W2" i="32"/>
  <c r="V2" i="32"/>
  <c r="U2" i="32"/>
  <c r="BO1" i="32"/>
  <c r="AT1" i="32"/>
  <c r="Y1" i="32"/>
  <c r="B8" i="33" l="1"/>
  <c r="A7" i="33"/>
  <c r="O8" i="33"/>
  <c r="V7" i="33"/>
  <c r="T7" i="33"/>
  <c r="W6" i="33"/>
  <c r="U7" i="33"/>
  <c r="J8" i="33"/>
  <c r="C14" i="32"/>
  <c r="T7" i="32"/>
  <c r="W6" i="32"/>
  <c r="J6" i="32"/>
  <c r="U5" i="32"/>
  <c r="O6" i="32"/>
  <c r="V5" i="32"/>
  <c r="V4" i="32"/>
  <c r="D6" i="32"/>
  <c r="C9" i="32"/>
  <c r="D14" i="32"/>
  <c r="B5" i="32"/>
  <c r="C10" i="32"/>
  <c r="C7" i="32"/>
  <c r="C8" i="32" s="1"/>
  <c r="W5" i="32"/>
  <c r="D10" i="32"/>
  <c r="C11" i="32"/>
  <c r="U4" i="32"/>
  <c r="E14" i="31"/>
  <c r="E13" i="31"/>
  <c r="E12" i="31"/>
  <c r="E11" i="31"/>
  <c r="E10" i="31"/>
  <c r="E9" i="31"/>
  <c r="E8" i="31"/>
  <c r="E7" i="31"/>
  <c r="E6" i="31"/>
  <c r="E5" i="31"/>
  <c r="A8" i="33" l="1"/>
  <c r="W7" i="33"/>
  <c r="T8" i="33"/>
  <c r="U8" i="33"/>
  <c r="J9" i="33"/>
  <c r="O9" i="33"/>
  <c r="V8" i="33"/>
  <c r="B9" i="33"/>
  <c r="A9" i="33" s="1"/>
  <c r="O7" i="32"/>
  <c r="V6" i="32"/>
  <c r="U6" i="32"/>
  <c r="J7" i="32"/>
  <c r="A5" i="32"/>
  <c r="W7" i="32"/>
  <c r="T8" i="32"/>
  <c r="B6" i="32"/>
  <c r="A6" i="32" s="1"/>
  <c r="T30" i="31"/>
  <c r="W30" i="31" s="1"/>
  <c r="O30" i="31"/>
  <c r="V30" i="31" s="1"/>
  <c r="J30" i="31"/>
  <c r="U30" i="31" s="1"/>
  <c r="D30" i="31"/>
  <c r="C30" i="31"/>
  <c r="B30" i="31"/>
  <c r="A30" i="31"/>
  <c r="T29" i="31"/>
  <c r="W29" i="31" s="1"/>
  <c r="O29" i="31"/>
  <c r="V29" i="31" s="1"/>
  <c r="J29" i="31"/>
  <c r="U29" i="31" s="1"/>
  <c r="D29" i="31"/>
  <c r="C29" i="31"/>
  <c r="B29" i="31"/>
  <c r="A29" i="31"/>
  <c r="T28" i="31"/>
  <c r="W28" i="31" s="1"/>
  <c r="O28" i="31"/>
  <c r="V28" i="31" s="1"/>
  <c r="J28" i="31"/>
  <c r="U28" i="31" s="1"/>
  <c r="D28" i="31"/>
  <c r="C28" i="31"/>
  <c r="B28" i="31"/>
  <c r="A28" i="31"/>
  <c r="T27" i="31"/>
  <c r="W27" i="31" s="1"/>
  <c r="O27" i="31"/>
  <c r="V27" i="31" s="1"/>
  <c r="J27" i="31"/>
  <c r="U27" i="31" s="1"/>
  <c r="D27" i="31"/>
  <c r="C27" i="31"/>
  <c r="B27" i="31"/>
  <c r="A27" i="31"/>
  <c r="T26" i="31"/>
  <c r="W26" i="31" s="1"/>
  <c r="O26" i="31"/>
  <c r="V26" i="31" s="1"/>
  <c r="J26" i="31"/>
  <c r="U26" i="31" s="1"/>
  <c r="D26" i="31"/>
  <c r="C26" i="31"/>
  <c r="B26" i="31"/>
  <c r="A26" i="31"/>
  <c r="T25" i="31"/>
  <c r="W25" i="31" s="1"/>
  <c r="O25" i="31"/>
  <c r="V25" i="31" s="1"/>
  <c r="J25" i="31"/>
  <c r="U25" i="31" s="1"/>
  <c r="D25" i="31"/>
  <c r="C25" i="31"/>
  <c r="B25" i="31"/>
  <c r="A25" i="31"/>
  <c r="T24" i="31"/>
  <c r="W24" i="31" s="1"/>
  <c r="O24" i="31"/>
  <c r="V24" i="31" s="1"/>
  <c r="J24" i="31"/>
  <c r="U24" i="31" s="1"/>
  <c r="D24" i="31"/>
  <c r="C24" i="31"/>
  <c r="B24" i="31"/>
  <c r="A24" i="31"/>
  <c r="T23" i="31"/>
  <c r="W23" i="31" s="1"/>
  <c r="O23" i="31"/>
  <c r="V23" i="31" s="1"/>
  <c r="J23" i="31"/>
  <c r="U23" i="31" s="1"/>
  <c r="D23" i="31"/>
  <c r="C23" i="31"/>
  <c r="B23" i="31"/>
  <c r="A23" i="31"/>
  <c r="T22" i="31"/>
  <c r="W22" i="31" s="1"/>
  <c r="O22" i="31"/>
  <c r="V22" i="31" s="1"/>
  <c r="J22" i="31"/>
  <c r="U22" i="31" s="1"/>
  <c r="D22" i="31"/>
  <c r="C22" i="31"/>
  <c r="B22" i="31"/>
  <c r="A22" i="31"/>
  <c r="T21" i="31"/>
  <c r="W21" i="31" s="1"/>
  <c r="O21" i="31"/>
  <c r="V21" i="31" s="1"/>
  <c r="J21" i="31"/>
  <c r="U21" i="31" s="1"/>
  <c r="D21" i="31"/>
  <c r="C21" i="31"/>
  <c r="B21" i="31"/>
  <c r="A21" i="31"/>
  <c r="T20" i="31"/>
  <c r="W20" i="31" s="1"/>
  <c r="O20" i="31"/>
  <c r="V20" i="31" s="1"/>
  <c r="J20" i="31"/>
  <c r="U20" i="31" s="1"/>
  <c r="D20" i="31"/>
  <c r="C20" i="31"/>
  <c r="B20" i="31"/>
  <c r="A20" i="31"/>
  <c r="T19" i="31"/>
  <c r="W19" i="31" s="1"/>
  <c r="O19" i="31"/>
  <c r="V19" i="31" s="1"/>
  <c r="J19" i="31"/>
  <c r="U19" i="31" s="1"/>
  <c r="D19" i="31"/>
  <c r="C19" i="31"/>
  <c r="B19" i="31"/>
  <c r="A19" i="31"/>
  <c r="T18" i="31"/>
  <c r="W18" i="31" s="1"/>
  <c r="O18" i="31"/>
  <c r="V18" i="31" s="1"/>
  <c r="J18" i="31"/>
  <c r="U18" i="31" s="1"/>
  <c r="D18" i="31"/>
  <c r="C18" i="31"/>
  <c r="B18" i="31"/>
  <c r="A18" i="31"/>
  <c r="T17" i="31"/>
  <c r="W17" i="31" s="1"/>
  <c r="O17" i="31"/>
  <c r="V17" i="31" s="1"/>
  <c r="J17" i="31"/>
  <c r="U17" i="31" s="1"/>
  <c r="D17" i="31"/>
  <c r="C17" i="31"/>
  <c r="B17" i="31"/>
  <c r="A17" i="31"/>
  <c r="T16" i="31"/>
  <c r="W16" i="31" s="1"/>
  <c r="O16" i="31"/>
  <c r="V16" i="31" s="1"/>
  <c r="J16" i="31"/>
  <c r="U16" i="31" s="1"/>
  <c r="D16" i="31"/>
  <c r="C16" i="31"/>
  <c r="B16" i="31"/>
  <c r="A16" i="31"/>
  <c r="T15" i="31"/>
  <c r="W15" i="31" s="1"/>
  <c r="O15" i="31"/>
  <c r="V15" i="31" s="1"/>
  <c r="J15" i="31"/>
  <c r="U15" i="31" s="1"/>
  <c r="D15" i="31"/>
  <c r="C15" i="31"/>
  <c r="B15" i="31"/>
  <c r="A15" i="31" s="1"/>
  <c r="T14" i="31"/>
  <c r="W14" i="31" s="1"/>
  <c r="O14" i="31"/>
  <c r="V14" i="31" s="1"/>
  <c r="J14" i="31"/>
  <c r="U14" i="31" s="1"/>
  <c r="D14" i="31"/>
  <c r="C14" i="31"/>
  <c r="B14" i="31"/>
  <c r="A14" i="31" s="1"/>
  <c r="T13" i="31"/>
  <c r="W13" i="31" s="1"/>
  <c r="O13" i="31"/>
  <c r="V13" i="31" s="1"/>
  <c r="J13" i="31"/>
  <c r="U13" i="31" s="1"/>
  <c r="D13" i="31"/>
  <c r="C13" i="31"/>
  <c r="B13" i="31"/>
  <c r="A13" i="31"/>
  <c r="T12" i="31"/>
  <c r="W12" i="31" s="1"/>
  <c r="O12" i="31"/>
  <c r="V12" i="31" s="1"/>
  <c r="J12" i="31"/>
  <c r="U12" i="31" s="1"/>
  <c r="D12" i="31"/>
  <c r="C12" i="31"/>
  <c r="B12" i="31"/>
  <c r="A12" i="31" s="1"/>
  <c r="T11" i="31"/>
  <c r="W11" i="31" s="1"/>
  <c r="O11" i="31"/>
  <c r="V11" i="31" s="1"/>
  <c r="J11" i="31"/>
  <c r="U11" i="31" s="1"/>
  <c r="D11" i="31"/>
  <c r="C11" i="31"/>
  <c r="B11" i="31"/>
  <c r="A11" i="31"/>
  <c r="T10" i="31"/>
  <c r="W10" i="31" s="1"/>
  <c r="O10" i="31"/>
  <c r="V10" i="31" s="1"/>
  <c r="J10" i="31"/>
  <c r="U10" i="31" s="1"/>
  <c r="D10" i="31"/>
  <c r="C10" i="31"/>
  <c r="B10" i="31"/>
  <c r="A10" i="31" s="1"/>
  <c r="T9" i="31"/>
  <c r="W9" i="31" s="1"/>
  <c r="O9" i="31"/>
  <c r="V9" i="31" s="1"/>
  <c r="J9" i="31"/>
  <c r="U9" i="31" s="1"/>
  <c r="D9" i="31"/>
  <c r="C9" i="31"/>
  <c r="B9" i="31"/>
  <c r="A9" i="31"/>
  <c r="T8" i="31"/>
  <c r="W8" i="31" s="1"/>
  <c r="O8" i="31"/>
  <c r="V8" i="31" s="1"/>
  <c r="J8" i="31"/>
  <c r="U8" i="31" s="1"/>
  <c r="D8" i="31"/>
  <c r="C8" i="31"/>
  <c r="B8" i="31"/>
  <c r="A8" i="31" s="1"/>
  <c r="T7" i="31"/>
  <c r="W7" i="31" s="1"/>
  <c r="O7" i="31"/>
  <c r="V7" i="31" s="1"/>
  <c r="J7" i="31"/>
  <c r="U7" i="31" s="1"/>
  <c r="D7" i="31"/>
  <c r="C7" i="31"/>
  <c r="B7" i="31"/>
  <c r="A7" i="31"/>
  <c r="T6" i="31"/>
  <c r="W6" i="31" s="1"/>
  <c r="O6" i="31"/>
  <c r="V6" i="31" s="1"/>
  <c r="J6" i="31"/>
  <c r="U6" i="31" s="1"/>
  <c r="D6" i="31"/>
  <c r="C6" i="31"/>
  <c r="B6" i="31"/>
  <c r="A6" i="31" s="1"/>
  <c r="T5" i="31"/>
  <c r="W5" i="31" s="1"/>
  <c r="O5" i="31"/>
  <c r="V5" i="31" s="1"/>
  <c r="J5" i="31"/>
  <c r="U5" i="31" s="1"/>
  <c r="D5" i="31"/>
  <c r="C5" i="31"/>
  <c r="B5" i="31"/>
  <c r="A5" i="31" s="1"/>
  <c r="T4" i="31"/>
  <c r="W4" i="31" s="1"/>
  <c r="O4" i="31"/>
  <c r="V4" i="31" s="1"/>
  <c r="J4" i="31"/>
  <c r="U4" i="31" s="1"/>
  <c r="W3" i="31"/>
  <c r="V3" i="31"/>
  <c r="U3" i="31"/>
  <c r="W2" i="31"/>
  <c r="V2" i="31"/>
  <c r="U2" i="31"/>
  <c r="BO1" i="31"/>
  <c r="AT1" i="31"/>
  <c r="Y1" i="31"/>
  <c r="O10" i="33" l="1"/>
  <c r="V9" i="33"/>
  <c r="B10" i="33"/>
  <c r="A10" i="33" s="1"/>
  <c r="J10" i="33"/>
  <c r="U9" i="33"/>
  <c r="W8" i="33"/>
  <c r="T9" i="33"/>
  <c r="W8" i="32"/>
  <c r="T9" i="32"/>
  <c r="J8" i="32"/>
  <c r="U7" i="32"/>
  <c r="B7" i="32"/>
  <c r="A7" i="32" s="1"/>
  <c r="V7" i="32"/>
  <c r="O8" i="32"/>
  <c r="C17" i="29"/>
  <c r="E16" i="29"/>
  <c r="E15" i="29"/>
  <c r="D15" i="29" s="1"/>
  <c r="E14" i="29"/>
  <c r="E13" i="29"/>
  <c r="E12" i="29"/>
  <c r="E11" i="29"/>
  <c r="E10" i="29"/>
  <c r="E9" i="29"/>
  <c r="E8" i="29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T16" i="29"/>
  <c r="W16" i="29" s="1"/>
  <c r="O16" i="29"/>
  <c r="V16" i="29" s="1"/>
  <c r="J16" i="29"/>
  <c r="U16" i="29" s="1"/>
  <c r="D16" i="29"/>
  <c r="C16" i="29"/>
  <c r="B16" i="29"/>
  <c r="A16" i="29" s="1"/>
  <c r="T15" i="29"/>
  <c r="W15" i="29" s="1"/>
  <c r="O15" i="29"/>
  <c r="V15" i="29" s="1"/>
  <c r="J15" i="29"/>
  <c r="U15" i="29" s="1"/>
  <c r="C15" i="29"/>
  <c r="B15" i="29"/>
  <c r="A15" i="29" s="1"/>
  <c r="T14" i="29"/>
  <c r="W14" i="29" s="1"/>
  <c r="O14" i="29"/>
  <c r="V14" i="29" s="1"/>
  <c r="J14" i="29"/>
  <c r="U14" i="29" s="1"/>
  <c r="D14" i="29"/>
  <c r="C14" i="29"/>
  <c r="B14" i="29"/>
  <c r="A14" i="29" s="1"/>
  <c r="T13" i="29"/>
  <c r="W13" i="29" s="1"/>
  <c r="O13" i="29"/>
  <c r="V13" i="29" s="1"/>
  <c r="J13" i="29"/>
  <c r="U13" i="29" s="1"/>
  <c r="D13" i="29"/>
  <c r="C13" i="29"/>
  <c r="B13" i="29"/>
  <c r="A13" i="29"/>
  <c r="T12" i="29"/>
  <c r="W12" i="29" s="1"/>
  <c r="O12" i="29"/>
  <c r="V12" i="29" s="1"/>
  <c r="J12" i="29"/>
  <c r="U12" i="29" s="1"/>
  <c r="D12" i="29"/>
  <c r="C12" i="29"/>
  <c r="B12" i="29"/>
  <c r="A12" i="29" s="1"/>
  <c r="D11" i="29"/>
  <c r="C11" i="29"/>
  <c r="D10" i="29"/>
  <c r="D9" i="29"/>
  <c r="D8" i="29"/>
  <c r="D7" i="29"/>
  <c r="C7" i="29"/>
  <c r="D6" i="29"/>
  <c r="O5" i="29"/>
  <c r="O6" i="29" s="1"/>
  <c r="B5" i="29"/>
  <c r="T4" i="29"/>
  <c r="T5" i="29" s="1"/>
  <c r="O4" i="29"/>
  <c r="V4" i="29" s="1"/>
  <c r="J4" i="29"/>
  <c r="J5" i="29" s="1"/>
  <c r="E4" i="29"/>
  <c r="W3" i="29"/>
  <c r="V3" i="29"/>
  <c r="U3" i="29"/>
  <c r="W2" i="29"/>
  <c r="V2" i="29"/>
  <c r="U2" i="29"/>
  <c r="BO1" i="29"/>
  <c r="AT1" i="29"/>
  <c r="Y1" i="29"/>
  <c r="E11" i="28"/>
  <c r="E10" i="28"/>
  <c r="E9" i="28"/>
  <c r="E8" i="28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 s="1"/>
  <c r="D11" i="28"/>
  <c r="D10" i="28"/>
  <c r="D9" i="28"/>
  <c r="D7" i="28"/>
  <c r="J5" i="28"/>
  <c r="J6" i="28" s="1"/>
  <c r="C5" i="28"/>
  <c r="D5" i="28"/>
  <c r="T4" i="28"/>
  <c r="T5" i="28" s="1"/>
  <c r="O4" i="28"/>
  <c r="O5" i="28" s="1"/>
  <c r="J4" i="28"/>
  <c r="U4" i="28" s="1"/>
  <c r="E4" i="28"/>
  <c r="W3" i="28"/>
  <c r="V3" i="28"/>
  <c r="U3" i="28"/>
  <c r="W2" i="28"/>
  <c r="V2" i="28"/>
  <c r="U2" i="28"/>
  <c r="BO1" i="28"/>
  <c r="AT1" i="28"/>
  <c r="Y1" i="28"/>
  <c r="T10" i="33" l="1"/>
  <c r="W9" i="33"/>
  <c r="J11" i="33"/>
  <c r="U10" i="33"/>
  <c r="B11" i="33"/>
  <c r="A11" i="33" s="1"/>
  <c r="V10" i="33"/>
  <c r="O11" i="33"/>
  <c r="J9" i="32"/>
  <c r="U8" i="32"/>
  <c r="T10" i="32"/>
  <c r="W9" i="32"/>
  <c r="O9" i="32"/>
  <c r="V8" i="32"/>
  <c r="B8" i="32"/>
  <c r="A8" i="32" s="1"/>
  <c r="B17" i="29"/>
  <c r="A17" i="29" s="1"/>
  <c r="D17" i="29"/>
  <c r="V6" i="29"/>
  <c r="O7" i="29"/>
  <c r="U5" i="29"/>
  <c r="J6" i="29"/>
  <c r="T6" i="29"/>
  <c r="W5" i="29"/>
  <c r="A5" i="29"/>
  <c r="C5" i="29"/>
  <c r="D5" i="29"/>
  <c r="C8" i="29"/>
  <c r="U4" i="29"/>
  <c r="C6" i="29"/>
  <c r="B6" i="29"/>
  <c r="C9" i="29"/>
  <c r="C10" i="29" s="1"/>
  <c r="W4" i="29"/>
  <c r="B7" i="29"/>
  <c r="V5" i="29"/>
  <c r="T6" i="28"/>
  <c r="W5" i="28"/>
  <c r="U6" i="28"/>
  <c r="J7" i="28"/>
  <c r="O6" i="28"/>
  <c r="V5" i="28"/>
  <c r="D8" i="28"/>
  <c r="C11" i="28"/>
  <c r="V4" i="28"/>
  <c r="D6" i="28"/>
  <c r="C9" i="28"/>
  <c r="W4" i="28"/>
  <c r="C6" i="28"/>
  <c r="U5" i="28"/>
  <c r="C7" i="28"/>
  <c r="C8" i="28" s="1"/>
  <c r="B5" i="28"/>
  <c r="C10" i="28"/>
  <c r="E11" i="27"/>
  <c r="E10" i="27"/>
  <c r="E9" i="27"/>
  <c r="V11" i="33" l="1"/>
  <c r="O12" i="33"/>
  <c r="B12" i="33"/>
  <c r="T11" i="33"/>
  <c r="W10" i="33"/>
  <c r="J12" i="33"/>
  <c r="U11" i="33"/>
  <c r="B9" i="32"/>
  <c r="T11" i="32"/>
  <c r="W10" i="32"/>
  <c r="O10" i="32"/>
  <c r="V9" i="32"/>
  <c r="U9" i="32"/>
  <c r="J10" i="32"/>
  <c r="A7" i="29"/>
  <c r="A6" i="29"/>
  <c r="T7" i="29"/>
  <c r="W6" i="29"/>
  <c r="J7" i="29"/>
  <c r="U6" i="29"/>
  <c r="B8" i="29"/>
  <c r="A8" i="29" s="1"/>
  <c r="O8" i="29"/>
  <c r="V7" i="29"/>
  <c r="O7" i="28"/>
  <c r="V6" i="28"/>
  <c r="A5" i="28"/>
  <c r="J8" i="28"/>
  <c r="U7" i="28"/>
  <c r="B6" i="28"/>
  <c r="T7" i="28"/>
  <c r="W6" i="28"/>
  <c r="E8" i="27"/>
  <c r="E7" i="27"/>
  <c r="E6" i="27"/>
  <c r="E5" i="27"/>
  <c r="B13" i="33" l="1"/>
  <c r="T12" i="33"/>
  <c r="W11" i="33"/>
  <c r="O13" i="33"/>
  <c r="V12" i="33"/>
  <c r="J13" i="33"/>
  <c r="U12" i="33"/>
  <c r="A12" i="33"/>
  <c r="B10" i="32"/>
  <c r="A9" i="32"/>
  <c r="U10" i="32"/>
  <c r="J11" i="32"/>
  <c r="T12" i="32"/>
  <c r="W11" i="32"/>
  <c r="O11" i="32"/>
  <c r="V10" i="32"/>
  <c r="B9" i="29"/>
  <c r="J8" i="29"/>
  <c r="U7" i="29"/>
  <c r="O9" i="29"/>
  <c r="V8" i="29"/>
  <c r="T8" i="29"/>
  <c r="W7" i="29"/>
  <c r="B7" i="28"/>
  <c r="O8" i="28"/>
  <c r="V7" i="28"/>
  <c r="T8" i="28"/>
  <c r="W7" i="28"/>
  <c r="J9" i="28"/>
  <c r="U8" i="28"/>
  <c r="A6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C14" i="27"/>
  <c r="D12" i="27"/>
  <c r="D11" i="27"/>
  <c r="D10" i="27"/>
  <c r="D8" i="27"/>
  <c r="C8" i="27"/>
  <c r="C7" i="27"/>
  <c r="C6" i="27"/>
  <c r="T4" i="27"/>
  <c r="T5" i="27" s="1"/>
  <c r="O4" i="27"/>
  <c r="O5" i="27" s="1"/>
  <c r="J4" i="27"/>
  <c r="J5" i="27" s="1"/>
  <c r="E4" i="27"/>
  <c r="W3" i="27"/>
  <c r="V3" i="27"/>
  <c r="U3" i="27"/>
  <c r="W2" i="27"/>
  <c r="V2" i="27"/>
  <c r="U2" i="27"/>
  <c r="BO1" i="27"/>
  <c r="AT1" i="27"/>
  <c r="Y1" i="27"/>
  <c r="U13" i="33" l="1"/>
  <c r="J14" i="33"/>
  <c r="O14" i="33"/>
  <c r="V13" i="33"/>
  <c r="T13" i="33"/>
  <c r="W12" i="33"/>
  <c r="B14" i="33"/>
  <c r="A14" i="33"/>
  <c r="A13" i="33"/>
  <c r="B11" i="32"/>
  <c r="A11" i="32" s="1"/>
  <c r="O12" i="32"/>
  <c r="V11" i="32"/>
  <c r="T13" i="32"/>
  <c r="W12" i="32"/>
  <c r="J12" i="32"/>
  <c r="U11" i="32"/>
  <c r="A10" i="32"/>
  <c r="B10" i="29"/>
  <c r="T9" i="29"/>
  <c r="W8" i="29"/>
  <c r="O10" i="29"/>
  <c r="V9" i="29"/>
  <c r="J9" i="29"/>
  <c r="U8" i="29"/>
  <c r="A9" i="29"/>
  <c r="A10" i="29" s="1"/>
  <c r="A7" i="28"/>
  <c r="J10" i="28"/>
  <c r="U9" i="28"/>
  <c r="T9" i="28"/>
  <c r="W8" i="28"/>
  <c r="O9" i="28"/>
  <c r="V8" i="28"/>
  <c r="B8" i="28"/>
  <c r="U5" i="27"/>
  <c r="J6" i="27"/>
  <c r="O6" i="27"/>
  <c r="V5" i="27"/>
  <c r="B8" i="27"/>
  <c r="B9" i="27" s="1"/>
  <c r="W5" i="27"/>
  <c r="T6" i="27"/>
  <c r="B6" i="27"/>
  <c r="V4" i="27"/>
  <c r="D6" i="27"/>
  <c r="C9" i="27"/>
  <c r="D14" i="27"/>
  <c r="W4" i="27"/>
  <c r="B7" i="27"/>
  <c r="D9" i="27"/>
  <c r="C12" i="27"/>
  <c r="B5" i="27"/>
  <c r="D7" i="27"/>
  <c r="C10" i="27"/>
  <c r="C11" i="27" s="1"/>
  <c r="C5" i="27"/>
  <c r="D5" i="27"/>
  <c r="D13" i="27"/>
  <c r="U4" i="27"/>
  <c r="A15" i="26"/>
  <c r="E14" i="26"/>
  <c r="C14" i="26" s="1"/>
  <c r="E13" i="26"/>
  <c r="E12" i="26"/>
  <c r="C12" i="26" s="1"/>
  <c r="E11" i="26"/>
  <c r="D11" i="26" s="1"/>
  <c r="E10" i="26"/>
  <c r="E9" i="26"/>
  <c r="E8" i="26"/>
  <c r="D8" i="26" s="1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C15" i="26"/>
  <c r="B15" i="26"/>
  <c r="T14" i="26"/>
  <c r="W14" i="26" s="1"/>
  <c r="O14" i="26"/>
  <c r="V14" i="26" s="1"/>
  <c r="J14" i="26"/>
  <c r="U14" i="26" s="1"/>
  <c r="D14" i="26"/>
  <c r="C13" i="26"/>
  <c r="D13" i="26"/>
  <c r="D12" i="26"/>
  <c r="C9" i="26"/>
  <c r="D9" i="26"/>
  <c r="D7" i="26"/>
  <c r="J5" i="26"/>
  <c r="J6" i="26" s="1"/>
  <c r="D5" i="26"/>
  <c r="T4" i="26"/>
  <c r="T5" i="26" s="1"/>
  <c r="O4" i="26"/>
  <c r="O5" i="26" s="1"/>
  <c r="J4" i="26"/>
  <c r="U4" i="26" s="1"/>
  <c r="E4" i="26"/>
  <c r="W3" i="26"/>
  <c r="V3" i="26"/>
  <c r="U3" i="26"/>
  <c r="W2" i="26"/>
  <c r="V2" i="26"/>
  <c r="U2" i="26"/>
  <c r="BO1" i="26"/>
  <c r="AT1" i="26"/>
  <c r="Y1" i="26"/>
  <c r="C14" i="25"/>
  <c r="E13" i="25"/>
  <c r="D13" i="25" s="1"/>
  <c r="E12" i="25"/>
  <c r="E11" i="25"/>
  <c r="D11" i="25" s="1"/>
  <c r="E10" i="25"/>
  <c r="E9" i="25"/>
  <c r="E8" i="25"/>
  <c r="E7" i="25"/>
  <c r="C7" i="25" s="1"/>
  <c r="E6" i="25"/>
  <c r="E5" i="25"/>
  <c r="D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T13" i="25"/>
  <c r="W13" i="25" s="1"/>
  <c r="O13" i="25"/>
  <c r="V13" i="25" s="1"/>
  <c r="J13" i="25"/>
  <c r="U13" i="25" s="1"/>
  <c r="B13" i="25"/>
  <c r="C12" i="25"/>
  <c r="D12" i="25"/>
  <c r="C11" i="25"/>
  <c r="D10" i="25"/>
  <c r="C10" i="25"/>
  <c r="C8" i="25"/>
  <c r="D8" i="25"/>
  <c r="D7" i="25"/>
  <c r="O5" i="25"/>
  <c r="O6" i="25" s="1"/>
  <c r="J5" i="25"/>
  <c r="U5" i="25" s="1"/>
  <c r="T4" i="25"/>
  <c r="T5" i="25" s="1"/>
  <c r="O4" i="25"/>
  <c r="V4" i="25" s="1"/>
  <c r="J4" i="25"/>
  <c r="U4" i="25" s="1"/>
  <c r="E4" i="25"/>
  <c r="W3" i="25"/>
  <c r="V3" i="25"/>
  <c r="U3" i="25"/>
  <c r="W2" i="25"/>
  <c r="V2" i="25"/>
  <c r="U2" i="25"/>
  <c r="BO1" i="25"/>
  <c r="AT1" i="25"/>
  <c r="Y1" i="25"/>
  <c r="E12" i="24"/>
  <c r="D12" i="24" s="1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W12" i="24" s="1"/>
  <c r="O12" i="24"/>
  <c r="V12" i="24" s="1"/>
  <c r="J12" i="24"/>
  <c r="U12" i="24" s="1"/>
  <c r="B12" i="24"/>
  <c r="T11" i="24"/>
  <c r="W11" i="24" s="1"/>
  <c r="O11" i="24"/>
  <c r="V11" i="24" s="1"/>
  <c r="J11" i="24"/>
  <c r="U11" i="24" s="1"/>
  <c r="D11" i="24"/>
  <c r="C11" i="24"/>
  <c r="B11" i="24"/>
  <c r="A11" i="24"/>
  <c r="D9" i="24"/>
  <c r="C8" i="24"/>
  <c r="D8" i="24"/>
  <c r="D7" i="24"/>
  <c r="C7" i="24"/>
  <c r="J6" i="24"/>
  <c r="J7" i="24" s="1"/>
  <c r="D6" i="24"/>
  <c r="J5" i="24"/>
  <c r="U5" i="24" s="1"/>
  <c r="C6" i="24"/>
  <c r="T4" i="24"/>
  <c r="T5" i="24" s="1"/>
  <c r="O4" i="24"/>
  <c r="O5" i="24" s="1"/>
  <c r="J4" i="24"/>
  <c r="U4" i="24" s="1"/>
  <c r="E4" i="24"/>
  <c r="W3" i="24"/>
  <c r="V3" i="24"/>
  <c r="U3" i="24"/>
  <c r="W2" i="24"/>
  <c r="V2" i="24"/>
  <c r="U2" i="24"/>
  <c r="BO1" i="24"/>
  <c r="AT1" i="24"/>
  <c r="Y1" i="24"/>
  <c r="B15" i="33" l="1"/>
  <c r="T14" i="33"/>
  <c r="W13" i="33"/>
  <c r="O15" i="33"/>
  <c r="V14" i="33"/>
  <c r="J15" i="33"/>
  <c r="U14" i="33"/>
  <c r="J13" i="32"/>
  <c r="U12" i="32"/>
  <c r="T14" i="32"/>
  <c r="W13" i="32"/>
  <c r="O13" i="32"/>
  <c r="V12" i="32"/>
  <c r="B12" i="32"/>
  <c r="A12" i="32" s="1"/>
  <c r="U9" i="29"/>
  <c r="J10" i="29"/>
  <c r="V10" i="29"/>
  <c r="O11" i="29"/>
  <c r="V11" i="29" s="1"/>
  <c r="W9" i="29"/>
  <c r="T10" i="29"/>
  <c r="B11" i="29"/>
  <c r="A11" i="29" s="1"/>
  <c r="B9" i="28"/>
  <c r="A9" i="28" s="1"/>
  <c r="A8" i="28"/>
  <c r="V9" i="28"/>
  <c r="O10" i="28"/>
  <c r="T10" i="28"/>
  <c r="W9" i="28"/>
  <c r="U10" i="28"/>
  <c r="J11" i="28"/>
  <c r="C13" i="27"/>
  <c r="B10" i="27"/>
  <c r="V6" i="27"/>
  <c r="O7" i="27"/>
  <c r="J7" i="27"/>
  <c r="U6" i="27"/>
  <c r="A5" i="27"/>
  <c r="T7" i="27"/>
  <c r="W6" i="27"/>
  <c r="D15" i="26"/>
  <c r="B14" i="26"/>
  <c r="A14" i="26" s="1"/>
  <c r="C8" i="26"/>
  <c r="T6" i="26"/>
  <c r="W5" i="26"/>
  <c r="J7" i="26"/>
  <c r="U6" i="26"/>
  <c r="O6" i="26"/>
  <c r="V5" i="26"/>
  <c r="C6" i="26"/>
  <c r="V4" i="26"/>
  <c r="D6" i="26"/>
  <c r="W4" i="26"/>
  <c r="C7" i="26"/>
  <c r="B5" i="26"/>
  <c r="B6" i="26" s="1"/>
  <c r="C10" i="26"/>
  <c r="C11" i="26" s="1"/>
  <c r="U5" i="26"/>
  <c r="C5" i="26"/>
  <c r="D10" i="26"/>
  <c r="B14" i="25"/>
  <c r="A14" i="25" s="1"/>
  <c r="A13" i="25"/>
  <c r="C13" i="25"/>
  <c r="D6" i="25"/>
  <c r="O7" i="25"/>
  <c r="V6" i="25"/>
  <c r="T6" i="25"/>
  <c r="W5" i="25"/>
  <c r="C9" i="25"/>
  <c r="B6" i="25"/>
  <c r="B7" i="25" s="1"/>
  <c r="W4" i="25"/>
  <c r="D9" i="25"/>
  <c r="J6" i="25"/>
  <c r="B5" i="25"/>
  <c r="A5" i="25" s="1"/>
  <c r="V5" i="25"/>
  <c r="C6" i="25"/>
  <c r="C5" i="25"/>
  <c r="A12" i="24"/>
  <c r="C12" i="24"/>
  <c r="O6" i="24"/>
  <c r="V5" i="24"/>
  <c r="T6" i="24"/>
  <c r="W5" i="24"/>
  <c r="J8" i="24"/>
  <c r="U7" i="24"/>
  <c r="B5" i="24"/>
  <c r="C10" i="24"/>
  <c r="C5" i="24"/>
  <c r="D10" i="24"/>
  <c r="D5" i="24"/>
  <c r="U6" i="24"/>
  <c r="B6" i="24"/>
  <c r="V4" i="24"/>
  <c r="C9" i="24"/>
  <c r="W4" i="24"/>
  <c r="W30" i="2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U15" i="33" l="1"/>
  <c r="J16" i="33"/>
  <c r="O16" i="33"/>
  <c r="V15" i="33"/>
  <c r="T15" i="33"/>
  <c r="W14" i="33"/>
  <c r="B16" i="33"/>
  <c r="A15" i="33"/>
  <c r="W14" i="32"/>
  <c r="B13" i="32"/>
  <c r="O14" i="32"/>
  <c r="V13" i="32"/>
  <c r="U13" i="32"/>
  <c r="J14" i="32"/>
  <c r="T11" i="29"/>
  <c r="W11" i="29" s="1"/>
  <c r="W10" i="29"/>
  <c r="J11" i="29"/>
  <c r="U10" i="29"/>
  <c r="U11" i="28"/>
  <c r="T11" i="28"/>
  <c r="W10" i="28"/>
  <c r="O11" i="28"/>
  <c r="V10" i="28"/>
  <c r="B10" i="28"/>
  <c r="A6" i="27"/>
  <c r="J8" i="27"/>
  <c r="U7" i="27"/>
  <c r="B11" i="27"/>
  <c r="A10" i="27"/>
  <c r="O8" i="27"/>
  <c r="V7" i="27"/>
  <c r="W7" i="27"/>
  <c r="T8" i="27"/>
  <c r="A5" i="26"/>
  <c r="B7" i="26"/>
  <c r="A7" i="26" s="1"/>
  <c r="O7" i="26"/>
  <c r="V6" i="26"/>
  <c r="A6" i="26"/>
  <c r="J8" i="26"/>
  <c r="U7" i="26"/>
  <c r="T7" i="26"/>
  <c r="W6" i="26"/>
  <c r="B8" i="25"/>
  <c r="A6" i="25"/>
  <c r="A7" i="25" s="1"/>
  <c r="O8" i="25"/>
  <c r="V7" i="25"/>
  <c r="J7" i="25"/>
  <c r="U6" i="25"/>
  <c r="T7" i="25"/>
  <c r="W6" i="25"/>
  <c r="A5" i="24"/>
  <c r="A6" i="24" s="1"/>
  <c r="B7" i="24"/>
  <c r="U8" i="24"/>
  <c r="J9" i="24"/>
  <c r="T7" i="24"/>
  <c r="W6" i="24"/>
  <c r="O7" i="24"/>
  <c r="V6" i="24"/>
  <c r="E12" i="23"/>
  <c r="D12" i="23" s="1"/>
  <c r="E11" i="23"/>
  <c r="E10" i="23"/>
  <c r="E9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0" i="23"/>
  <c r="T5" i="23"/>
  <c r="B5" i="23"/>
  <c r="A5" i="23" s="1"/>
  <c r="D5" i="23"/>
  <c r="C5" i="23"/>
  <c r="T4" i="23"/>
  <c r="O4" i="23"/>
  <c r="O5" i="23" s="1"/>
  <c r="J4" i="23"/>
  <c r="J5" i="23" s="1"/>
  <c r="E4" i="23"/>
  <c r="W2" i="23"/>
  <c r="V2" i="23"/>
  <c r="U2" i="23"/>
  <c r="BO1" i="23"/>
  <c r="AT1" i="23"/>
  <c r="Y1" i="23"/>
  <c r="E12" i="22"/>
  <c r="D12" i="22" s="1"/>
  <c r="E11" i="22"/>
  <c r="E10" i="22"/>
  <c r="C10" i="22" s="1"/>
  <c r="E9" i="22"/>
  <c r="E8" i="22"/>
  <c r="E7" i="22"/>
  <c r="E6" i="22"/>
  <c r="E5" i="22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D15" i="22"/>
  <c r="C15" i="22"/>
  <c r="B15" i="22"/>
  <c r="A15" i="22"/>
  <c r="T14" i="22"/>
  <c r="O14" i="22"/>
  <c r="J14" i="22"/>
  <c r="D14" i="22"/>
  <c r="C14" i="22"/>
  <c r="B14" i="22"/>
  <c r="A14" i="22"/>
  <c r="T13" i="22"/>
  <c r="O13" i="22"/>
  <c r="J13" i="22"/>
  <c r="D13" i="22"/>
  <c r="C13" i="22"/>
  <c r="B13" i="22"/>
  <c r="A13" i="22" s="1"/>
  <c r="T12" i="22"/>
  <c r="O12" i="22"/>
  <c r="J12" i="22"/>
  <c r="T11" i="22"/>
  <c r="O11" i="22"/>
  <c r="J11" i="22"/>
  <c r="D11" i="22"/>
  <c r="C11" i="22"/>
  <c r="B11" i="22"/>
  <c r="A11" i="22" s="1"/>
  <c r="D9" i="22"/>
  <c r="D8" i="22"/>
  <c r="C8" i="22"/>
  <c r="J7" i="22"/>
  <c r="J8" i="22" s="1"/>
  <c r="D7" i="22"/>
  <c r="C7" i="22"/>
  <c r="J6" i="22"/>
  <c r="D6" i="22"/>
  <c r="J5" i="22"/>
  <c r="C6" i="22"/>
  <c r="D5" i="22"/>
  <c r="T4" i="22"/>
  <c r="T5" i="22" s="1"/>
  <c r="O4" i="22"/>
  <c r="O5" i="22" s="1"/>
  <c r="J4" i="22"/>
  <c r="E4" i="22"/>
  <c r="W2" i="22"/>
  <c r="V2" i="22"/>
  <c r="U2" i="22"/>
  <c r="BO1" i="22"/>
  <c r="AT1" i="22"/>
  <c r="Y1" i="22"/>
  <c r="E10" i="21"/>
  <c r="E9" i="21"/>
  <c r="E8" i="21"/>
  <c r="E7" i="21"/>
  <c r="E6" i="21"/>
  <c r="B17" i="33" l="1"/>
  <c r="A17" i="33"/>
  <c r="A16" i="33"/>
  <c r="J17" i="33"/>
  <c r="U16" i="33"/>
  <c r="W15" i="33"/>
  <c r="T16" i="33"/>
  <c r="O17" i="33"/>
  <c r="V16" i="33"/>
  <c r="V14" i="32"/>
  <c r="U14" i="32"/>
  <c r="B14" i="32"/>
  <c r="A14" i="32" s="1"/>
  <c r="A13" i="32"/>
  <c r="U11" i="29"/>
  <c r="V11" i="28"/>
  <c r="W11" i="28"/>
  <c r="B11" i="28"/>
  <c r="A11" i="28" s="1"/>
  <c r="A10" i="28"/>
  <c r="A7" i="27"/>
  <c r="O9" i="27"/>
  <c r="V8" i="27"/>
  <c r="B12" i="27"/>
  <c r="A12" i="27" s="1"/>
  <c r="A11" i="27"/>
  <c r="T9" i="27"/>
  <c r="W8" i="27"/>
  <c r="J9" i="27"/>
  <c r="U8" i="27"/>
  <c r="J9" i="26"/>
  <c r="U8" i="26"/>
  <c r="T8" i="26"/>
  <c r="W7" i="26"/>
  <c r="O8" i="26"/>
  <c r="V7" i="26"/>
  <c r="B8" i="26"/>
  <c r="A8" i="26" s="1"/>
  <c r="A8" i="25"/>
  <c r="T8" i="25"/>
  <c r="W7" i="25"/>
  <c r="B9" i="25"/>
  <c r="A9" i="25" s="1"/>
  <c r="J8" i="25"/>
  <c r="U7" i="25"/>
  <c r="V8" i="25"/>
  <c r="O9" i="25"/>
  <c r="A7" i="24"/>
  <c r="O8" i="24"/>
  <c r="V7" i="24"/>
  <c r="W7" i="24"/>
  <c r="T8" i="24"/>
  <c r="J10" i="24"/>
  <c r="U9" i="24"/>
  <c r="B8" i="24"/>
  <c r="A8" i="24" s="1"/>
  <c r="J6" i="23"/>
  <c r="O6" i="23"/>
  <c r="B6" i="23"/>
  <c r="B7" i="23" s="1"/>
  <c r="C11" i="23"/>
  <c r="C12" i="23" s="1"/>
  <c r="C6" i="23"/>
  <c r="D11" i="23"/>
  <c r="T6" i="23"/>
  <c r="D6" i="23"/>
  <c r="C7" i="23"/>
  <c r="C8" i="23" s="1"/>
  <c r="C9" i="23" s="1"/>
  <c r="D7" i="23"/>
  <c r="D8" i="23" s="1"/>
  <c r="D9" i="23" s="1"/>
  <c r="C10" i="23"/>
  <c r="B12" i="22"/>
  <c r="A12" i="22" s="1"/>
  <c r="C12" i="22"/>
  <c r="J9" i="22"/>
  <c r="T6" i="22"/>
  <c r="O6" i="22"/>
  <c r="B5" i="22"/>
  <c r="C5" i="22"/>
  <c r="D10" i="22"/>
  <c r="B6" i="22"/>
  <c r="B7" i="22" s="1"/>
  <c r="C9" i="22"/>
  <c r="E5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/>
  <c r="D10" i="21"/>
  <c r="C8" i="21"/>
  <c r="D8" i="21"/>
  <c r="O7" i="21"/>
  <c r="O8" i="21" s="1"/>
  <c r="D7" i="21"/>
  <c r="C7" i="21"/>
  <c r="O6" i="21"/>
  <c r="J6" i="21"/>
  <c r="J7" i="21" s="1"/>
  <c r="D6" i="21"/>
  <c r="O5" i="21"/>
  <c r="J5" i="21"/>
  <c r="T4" i="21"/>
  <c r="T5" i="21" s="1"/>
  <c r="O4" i="21"/>
  <c r="J4" i="21"/>
  <c r="E4" i="21"/>
  <c r="W2" i="21"/>
  <c r="V2" i="21"/>
  <c r="U2" i="21"/>
  <c r="BO1" i="21"/>
  <c r="AT1" i="21"/>
  <c r="Y1" i="21"/>
  <c r="B18" i="33" l="1"/>
  <c r="O18" i="33"/>
  <c r="V17" i="33"/>
  <c r="T17" i="33"/>
  <c r="W16" i="33"/>
  <c r="J18" i="33"/>
  <c r="U17" i="33"/>
  <c r="A8" i="27"/>
  <c r="J10" i="27"/>
  <c r="U9" i="27"/>
  <c r="T10" i="27"/>
  <c r="W9" i="27"/>
  <c r="B13" i="27"/>
  <c r="O10" i="27"/>
  <c r="V9" i="27"/>
  <c r="B9" i="26"/>
  <c r="A9" i="26" s="1"/>
  <c r="J10" i="26"/>
  <c r="U9" i="26"/>
  <c r="O9" i="26"/>
  <c r="V8" i="26"/>
  <c r="W8" i="26"/>
  <c r="T9" i="26"/>
  <c r="T9" i="25"/>
  <c r="W8" i="25"/>
  <c r="V9" i="25"/>
  <c r="O10" i="25"/>
  <c r="J9" i="25"/>
  <c r="U8" i="25"/>
  <c r="B10" i="25"/>
  <c r="A10" i="25" s="1"/>
  <c r="U10" i="24"/>
  <c r="T9" i="24"/>
  <c r="W8" i="24"/>
  <c r="B9" i="24"/>
  <c r="O9" i="24"/>
  <c r="V8" i="24"/>
  <c r="B8" i="23"/>
  <c r="A6" i="23"/>
  <c r="A7" i="23" s="1"/>
  <c r="J7" i="23"/>
  <c r="T7" i="23"/>
  <c r="O7" i="23"/>
  <c r="B8" i="22"/>
  <c r="A5" i="22"/>
  <c r="A6" i="22" s="1"/>
  <c r="A7" i="22" s="1"/>
  <c r="O7" i="22"/>
  <c r="T7" i="22"/>
  <c r="J10" i="22"/>
  <c r="J8" i="21"/>
  <c r="T6" i="21"/>
  <c r="O9" i="21"/>
  <c r="B5" i="21"/>
  <c r="A5" i="21" s="1"/>
  <c r="C10" i="21"/>
  <c r="C5" i="21"/>
  <c r="D5" i="21"/>
  <c r="C6" i="21"/>
  <c r="C9" i="21"/>
  <c r="D9" i="21"/>
  <c r="J19" i="33" l="1"/>
  <c r="U18" i="33"/>
  <c r="W17" i="33"/>
  <c r="T18" i="33"/>
  <c r="O19" i="33"/>
  <c r="V18" i="33"/>
  <c r="B19" i="33"/>
  <c r="A19" i="33" s="1"/>
  <c r="A18" i="33"/>
  <c r="A9" i="27"/>
  <c r="T11" i="27"/>
  <c r="W10" i="27"/>
  <c r="J11" i="27"/>
  <c r="U10" i="27"/>
  <c r="V10" i="27"/>
  <c r="O11" i="27"/>
  <c r="B14" i="27"/>
  <c r="A14" i="27" s="1"/>
  <c r="A13" i="27"/>
  <c r="T10" i="26"/>
  <c r="W9" i="26"/>
  <c r="O10" i="26"/>
  <c r="V9" i="26"/>
  <c r="U10" i="26"/>
  <c r="J11" i="26"/>
  <c r="B10" i="26"/>
  <c r="A10" i="26" s="1"/>
  <c r="T10" i="25"/>
  <c r="W9" i="25"/>
  <c r="B11" i="25"/>
  <c r="J10" i="25"/>
  <c r="U9" i="25"/>
  <c r="O11" i="25"/>
  <c r="V10" i="25"/>
  <c r="T10" i="24"/>
  <c r="W9" i="24"/>
  <c r="V9" i="24"/>
  <c r="O10" i="24"/>
  <c r="B10" i="24"/>
  <c r="A10" i="24" s="1"/>
  <c r="A9" i="24"/>
  <c r="A8" i="23"/>
  <c r="B9" i="23"/>
  <c r="T8" i="23"/>
  <c r="W8" i="23" s="1"/>
  <c r="J8" i="23"/>
  <c r="U8" i="23" s="1"/>
  <c r="O8" i="23"/>
  <c r="V8" i="23" s="1"/>
  <c r="A8" i="22"/>
  <c r="T8" i="22"/>
  <c r="O8" i="22"/>
  <c r="B9" i="22"/>
  <c r="O10" i="21"/>
  <c r="J9" i="21"/>
  <c r="T7" i="21"/>
  <c r="B6" i="21"/>
  <c r="J20" i="33" l="1"/>
  <c r="U19" i="33"/>
  <c r="B20" i="33"/>
  <c r="A20" i="33" s="1"/>
  <c r="O20" i="33"/>
  <c r="V19" i="33"/>
  <c r="T19" i="33"/>
  <c r="W18" i="33"/>
  <c r="O12" i="27"/>
  <c r="V11" i="27"/>
  <c r="J12" i="27"/>
  <c r="U11" i="27"/>
  <c r="T12" i="27"/>
  <c r="W11" i="27"/>
  <c r="O11" i="26"/>
  <c r="V10" i="26"/>
  <c r="T11" i="26"/>
  <c r="W10" i="26"/>
  <c r="J12" i="26"/>
  <c r="U11" i="26"/>
  <c r="B11" i="26"/>
  <c r="A11" i="26" s="1"/>
  <c r="T11" i="25"/>
  <c r="W10" i="25"/>
  <c r="B12" i="25"/>
  <c r="A12" i="25" s="1"/>
  <c r="O12" i="25"/>
  <c r="V11" i="25"/>
  <c r="J11" i="25"/>
  <c r="U10" i="25"/>
  <c r="A11" i="25"/>
  <c r="V10" i="24"/>
  <c r="W10" i="24"/>
  <c r="O9" i="23"/>
  <c r="V9" i="23" s="1"/>
  <c r="J9" i="23"/>
  <c r="U9" i="23" s="1"/>
  <c r="T9" i="23"/>
  <c r="W9" i="23" s="1"/>
  <c r="B10" i="23"/>
  <c r="A9" i="23"/>
  <c r="B10" i="22"/>
  <c r="A10" i="22" s="1"/>
  <c r="A9" i="22"/>
  <c r="O9" i="22"/>
  <c r="T9" i="22"/>
  <c r="B7" i="21"/>
  <c r="T8" i="21"/>
  <c r="A6" i="21"/>
  <c r="J10" i="21"/>
  <c r="T20" i="33" l="1"/>
  <c r="W19" i="33"/>
  <c r="O21" i="33"/>
  <c r="V20" i="33"/>
  <c r="B21" i="33"/>
  <c r="J21" i="33"/>
  <c r="U20" i="33"/>
  <c r="J13" i="27"/>
  <c r="U12" i="27"/>
  <c r="T13" i="27"/>
  <c r="W12" i="27"/>
  <c r="O13" i="27"/>
  <c r="V12" i="27"/>
  <c r="B12" i="26"/>
  <c r="J13" i="26"/>
  <c r="U13" i="26" s="1"/>
  <c r="U12" i="26"/>
  <c r="T12" i="26"/>
  <c r="W11" i="26"/>
  <c r="O12" i="26"/>
  <c r="V11" i="26"/>
  <c r="V12" i="25"/>
  <c r="T12" i="25"/>
  <c r="W11" i="25"/>
  <c r="J12" i="25"/>
  <c r="U11" i="25"/>
  <c r="A10" i="23"/>
  <c r="B11" i="23"/>
  <c r="T10" i="23"/>
  <c r="W10" i="23" s="1"/>
  <c r="J10" i="23"/>
  <c r="U10" i="23" s="1"/>
  <c r="O10" i="23"/>
  <c r="V10" i="23" s="1"/>
  <c r="T10" i="22"/>
  <c r="O10" i="22"/>
  <c r="B8" i="21"/>
  <c r="A7" i="21"/>
  <c r="T9" i="21"/>
  <c r="B22" i="33" l="1"/>
  <c r="A22" i="33" s="1"/>
  <c r="A21" i="33"/>
  <c r="U21" i="33"/>
  <c r="J22" i="33"/>
  <c r="U22" i="33" s="1"/>
  <c r="O22" i="33"/>
  <c r="V22" i="33" s="1"/>
  <c r="V21" i="33"/>
  <c r="T21" i="33"/>
  <c r="W20" i="33"/>
  <c r="T14" i="27"/>
  <c r="W14" i="27" s="1"/>
  <c r="W13" i="27"/>
  <c r="O14" i="27"/>
  <c r="V14" i="27" s="1"/>
  <c r="V13" i="27"/>
  <c r="J14" i="27"/>
  <c r="U14" i="27" s="1"/>
  <c r="U13" i="27"/>
  <c r="O13" i="26"/>
  <c r="V12" i="26"/>
  <c r="B13" i="26"/>
  <c r="A12" i="26"/>
  <c r="W12" i="26"/>
  <c r="T13" i="26"/>
  <c r="U12" i="25"/>
  <c r="W12" i="25"/>
  <c r="T11" i="23"/>
  <c r="W11" i="23" s="1"/>
  <c r="B12" i="23"/>
  <c r="A12" i="23" s="1"/>
  <c r="A11" i="23"/>
  <c r="O11" i="23"/>
  <c r="V11" i="23" s="1"/>
  <c r="J11" i="23"/>
  <c r="U11" i="23" s="1"/>
  <c r="B9" i="21"/>
  <c r="T10" i="21"/>
  <c r="A8" i="21"/>
  <c r="T22" i="33" l="1"/>
  <c r="W22" i="33" s="1"/>
  <c r="W21" i="33"/>
  <c r="W13" i="26"/>
  <c r="V13" i="26"/>
  <c r="A13" i="26"/>
  <c r="J12" i="23"/>
  <c r="U12" i="23" s="1"/>
  <c r="O12" i="23"/>
  <c r="V12" i="23" s="1"/>
  <c r="T12" i="23"/>
  <c r="W12" i="23" s="1"/>
  <c r="B10" i="21"/>
  <c r="A10" i="21" s="1"/>
  <c r="A9" i="21"/>
</calcChain>
</file>

<file path=xl/sharedStrings.xml><?xml version="1.0" encoding="utf-8"?>
<sst xmlns="http://schemas.openxmlformats.org/spreadsheetml/2006/main" count="1820" uniqueCount="215">
  <si>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</si>
  <si>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</si>
  <si>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</si>
  <si>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</si>
  <si>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</si>
  <si>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</si>
  <si>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</si>
  <si>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</si>
  <si>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</si>
  <si>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</si>
  <si>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</si>
  <si>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</si>
  <si>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</si>
  <si>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</si>
  <si>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</si>
  <si>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</si>
  <si>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</si>
  <si>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</si>
  <si>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</si>
  <si>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</si>
  <si>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</si>
  <si>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</si>
  <si>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</si>
  <si>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</si>
  <si>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</si>
  <si>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</si>
  <si>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</si>
  <si>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</si>
  <si>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</si>
  <si>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</si>
  <si>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</si>
  <si>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</si>
  <si>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</si>
  <si>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</si>
  <si>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</si>
  <si>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</si>
  <si>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</si>
  <si>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</si>
  <si>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</si>
  <si>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</si>
  <si>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</si>
  <si>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</si>
  <si>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</si>
  <si>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</si>
  <si>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</si>
  <si>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</si>
  <si>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</si>
  <si>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</si>
  <si>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</si>
  <si>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</si>
  <si>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</si>
  <si>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</si>
  <si>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</si>
  <si>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</si>
  <si>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</si>
  <si>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</si>
  <si>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</si>
  <si>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</si>
  <si>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</si>
  <si>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</si>
  <si>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</si>
  <si>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</si>
  <si>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</si>
  <si>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</si>
  <si>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</si>
  <si>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</si>
  <si>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</si>
  <si>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</si>
  <si>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</si>
  <si>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</si>
  <si>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</si>
  <si>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</si>
  <si>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</si>
  <si>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</si>
  <si>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</si>
  <si>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</si>
  <si>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</si>
  <si>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</si>
  <si>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</si>
  <si>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</si>
  <si>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</si>
  <si>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</si>
  <si>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</si>
  <si>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</si>
  <si>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</si>
  <si>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</si>
  <si>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</si>
  <si>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</si>
  <si>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</si>
  <si>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</si>
  <si>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</si>
  <si>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</si>
  <si>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</si>
  <si>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</si>
  <si>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</si>
  <si>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</si>
  <si>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</si>
  <si>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</si>
  <si>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</si>
  <si>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</si>
  <si>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</si>
  <si>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</si>
  <si>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</si>
  <si>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</si>
  <si>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</si>
  <si>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</si>
  <si>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</si>
  <si>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</si>
  <si>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</si>
  <si>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</si>
  <si>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</si>
  <si>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</si>
  <si>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</si>
  <si>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</si>
  <si>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</si>
  <si>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</si>
  <si>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</si>
  <si>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</si>
  <si>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</si>
  <si>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</si>
  <si>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</si>
  <si>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</si>
  <si>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</si>
  <si>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</si>
  <si>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</si>
  <si>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</si>
  <si>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</si>
  <si>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</si>
  <si>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</si>
  <si>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</si>
  <si>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</si>
  <si>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</si>
  <si>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</si>
  <si>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</si>
  <si>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</si>
  <si>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</si>
  <si>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</si>
  <si>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</si>
  <si>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</si>
  <si>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</si>
  <si>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</si>
  <si>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</si>
  <si>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</si>
  <si>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</si>
  <si>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</si>
  <si>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</si>
  <si>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</si>
  <si>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</si>
  <si>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</si>
  <si>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</si>
  <si>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</si>
  <si>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</si>
  <si>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</si>
  <si>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</si>
  <si>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</si>
  <si>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</si>
  <si>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</si>
  <si>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</si>
  <si>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</si>
  <si>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</si>
  <si>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</si>
  <si>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</si>
  <si>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</si>
  <si>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</si>
  <si>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</si>
  <si>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</si>
  <si>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</si>
  <si>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</si>
  <si>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</si>
  <si>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</si>
  <si>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</si>
  <si>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</si>
  <si>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</si>
  <si>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</si>
  <si>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</si>
  <si>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</si>
  <si>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</si>
  <si>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</si>
  <si>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</si>
  <si>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</si>
  <si>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</si>
  <si>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</si>
  <si>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</si>
  <si>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</si>
  <si>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</si>
  <si>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</si>
  <si>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</si>
  <si>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</si>
  <si>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</si>
  <si>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</si>
  <si>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</si>
  <si>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</si>
  <si>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いちかわ</t>
  </si>
  <si>
    <t>ロン</t>
  </si>
  <si>
    <t>放銃</t>
  </si>
  <si>
    <t>01</t>
  </si>
  <si>
    <t>02</t>
  </si>
  <si>
    <t>52</t>
  </si>
  <si>
    <t>ツモ支払</t>
  </si>
  <si>
    <t>ツモ</t>
  </si>
  <si>
    <t>*</t>
  </si>
  <si>
    <t>たかの</t>
    <phoneticPr fontId="1"/>
  </si>
  <si>
    <t>N</t>
  </si>
  <si>
    <t>T</t>
  </si>
  <si>
    <t>流局</t>
    <phoneticPr fontId="1"/>
  </si>
  <si>
    <t>れんたろう</t>
    <phoneticPr fontId="1"/>
  </si>
  <si>
    <t>だいち</t>
    <phoneticPr fontId="1"/>
  </si>
  <si>
    <t>りくと</t>
  </si>
  <si>
    <t>ただ</t>
    <phoneticPr fontId="1"/>
  </si>
  <si>
    <t>まっつん</t>
    <phoneticPr fontId="1"/>
  </si>
  <si>
    <t>いちかわ</t>
    <phoneticPr fontId="1"/>
  </si>
  <si>
    <t>りくと</t>
    <phoneticPr fontId="1"/>
  </si>
  <si>
    <t>ただ</t>
  </si>
  <si>
    <t>れんたろう</t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</si>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</sst>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6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C493-DA10-4307-8F7E-8FDBD88047CE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205</v>
      </c>
      <c r="G1" s="96"/>
      <c r="H1" s="96"/>
      <c r="I1" s="97"/>
      <c r="J1" s="98"/>
      <c r="K1" s="95" t="s">
        <v>201</v>
      </c>
      <c r="L1" s="96"/>
      <c r="M1" s="96"/>
      <c r="N1" s="97"/>
      <c r="O1" s="98"/>
      <c r="P1" s="95" t="s">
        <v>206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れんたろう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たかの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だいち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193</v>
      </c>
      <c r="G4" s="9">
        <v>12000</v>
      </c>
      <c r="H4" s="9"/>
      <c r="I4" s="48">
        <v>0</v>
      </c>
      <c r="J4" s="21">
        <f>IF(COUNTA($F4,$K4,$P4)&gt;0,J3+SUM(G4:I4),"")</f>
        <v>112000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88000</v>
      </c>
      <c r="P4" s="8"/>
      <c r="Q4" s="9"/>
      <c r="R4" s="9"/>
      <c r="S4" s="48"/>
      <c r="T4" s="21">
        <f>IF(COUNTA($F4,$K4,$P4)&gt;0,T3+SUM(Q4:S4),"")</f>
        <v>100000</v>
      </c>
      <c r="U4" s="53">
        <f t="shared" ref="U4:U30" si="0">IF($J4="","",ROUND(($J4-$J$3)/1000,1))</f>
        <v>12</v>
      </c>
      <c r="V4" s="54">
        <f t="shared" ref="V4:V30" si="1">IF($O4="","",ROUND(($O4-$O$3)/1000,1))</f>
        <v>-12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197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れんたろう</v>
      </c>
      <c r="F5" s="8" t="s">
        <v>194</v>
      </c>
      <c r="G5" s="9">
        <v>-2000</v>
      </c>
      <c r="H5" s="9"/>
      <c r="I5" s="48">
        <v>-1000</v>
      </c>
      <c r="J5" s="21">
        <f t="shared" ref="J5:J30" si="5">IF(COUNTA($F5,$K5,$P5)&gt;0,J4+SUM(G5:I5),"")</f>
        <v>109000</v>
      </c>
      <c r="K5" s="8"/>
      <c r="L5" s="9"/>
      <c r="M5" s="9"/>
      <c r="N5" s="48"/>
      <c r="O5" s="21">
        <f t="shared" ref="O5:O30" si="6">IF(COUNTA($F5,$K5,$P5)&gt;0,O4+SUM(L5:N5),"")</f>
        <v>88000</v>
      </c>
      <c r="P5" s="8" t="s">
        <v>193</v>
      </c>
      <c r="Q5" s="9">
        <v>2000</v>
      </c>
      <c r="R5" s="9"/>
      <c r="S5" s="48">
        <v>1000</v>
      </c>
      <c r="T5" s="21">
        <f t="shared" ref="T5:T30" si="7">IF(COUNTA($F5,$K5,$P5)&gt;0,T4+SUM(Q5:S5),"")</f>
        <v>103000</v>
      </c>
      <c r="U5" s="53">
        <f t="shared" si="0"/>
        <v>9</v>
      </c>
      <c r="V5" s="54">
        <f t="shared" si="1"/>
        <v>-12</v>
      </c>
      <c r="W5" s="55">
        <f t="shared" si="2"/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たかの</v>
      </c>
      <c r="F6" s="8" t="s">
        <v>193</v>
      </c>
      <c r="G6" s="9">
        <v>5200</v>
      </c>
      <c r="H6" s="9"/>
      <c r="I6" s="48">
        <v>0</v>
      </c>
      <c r="J6" s="21">
        <f t="shared" si="5"/>
        <v>114200</v>
      </c>
      <c r="K6" s="8" t="s">
        <v>194</v>
      </c>
      <c r="L6" s="9">
        <v>-5200</v>
      </c>
      <c r="M6" s="9"/>
      <c r="N6" s="48">
        <v>0</v>
      </c>
      <c r="O6" s="21">
        <f t="shared" si="6"/>
        <v>82800</v>
      </c>
      <c r="P6" s="8"/>
      <c r="Q6" s="9"/>
      <c r="R6" s="9"/>
      <c r="S6" s="48"/>
      <c r="T6" s="21">
        <f t="shared" si="7"/>
        <v>103000</v>
      </c>
      <c r="U6" s="53">
        <f t="shared" si="0"/>
        <v>14.2</v>
      </c>
      <c r="V6" s="54">
        <f t="shared" si="1"/>
        <v>-17.2</v>
      </c>
      <c r="W6" s="55">
        <f t="shared" si="2"/>
        <v>3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だいち</v>
      </c>
      <c r="F7" s="8" t="s">
        <v>198</v>
      </c>
      <c r="G7" s="9">
        <v>-500</v>
      </c>
      <c r="H7" s="9"/>
      <c r="I7" s="48">
        <v>0</v>
      </c>
      <c r="J7" s="21">
        <f t="shared" si="5"/>
        <v>113700</v>
      </c>
      <c r="K7" s="8" t="s">
        <v>199</v>
      </c>
      <c r="L7" s="9">
        <v>1200</v>
      </c>
      <c r="M7" s="9">
        <v>1000</v>
      </c>
      <c r="N7" s="48">
        <v>0</v>
      </c>
      <c r="O7" s="21">
        <f t="shared" si="6"/>
        <v>85000</v>
      </c>
      <c r="P7" s="8" t="s">
        <v>198</v>
      </c>
      <c r="Q7" s="9">
        <v>-700</v>
      </c>
      <c r="R7" s="9">
        <v>-1000</v>
      </c>
      <c r="S7" s="48">
        <v>0</v>
      </c>
      <c r="T7" s="21">
        <f t="shared" si="7"/>
        <v>101300</v>
      </c>
      <c r="U7" s="53">
        <f t="shared" si="0"/>
        <v>13.7</v>
      </c>
      <c r="V7" s="54">
        <f t="shared" si="1"/>
        <v>-15</v>
      </c>
      <c r="W7" s="55">
        <f t="shared" si="2"/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5"/>
        <v>112700</v>
      </c>
      <c r="K8" s="8" t="s">
        <v>194</v>
      </c>
      <c r="L8" s="9">
        <v>-16000</v>
      </c>
      <c r="M8" s="9"/>
      <c r="N8" s="48">
        <v>0</v>
      </c>
      <c r="O8" s="21">
        <f t="shared" si="6"/>
        <v>69000</v>
      </c>
      <c r="P8" s="8" t="s">
        <v>193</v>
      </c>
      <c r="Q8" s="9">
        <v>16000</v>
      </c>
      <c r="R8" s="9">
        <v>1000</v>
      </c>
      <c r="S8" s="48">
        <v>0</v>
      </c>
      <c r="T8" s="21">
        <f t="shared" si="7"/>
        <v>118300</v>
      </c>
      <c r="U8" s="53">
        <f t="shared" si="0"/>
        <v>12.7</v>
      </c>
      <c r="V8" s="54">
        <f t="shared" si="1"/>
        <v>-31</v>
      </c>
      <c r="W8" s="55">
        <f t="shared" si="2"/>
        <v>18.3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10</v>
      </c>
      <c r="BT8" s="30" t="s">
        <v>200</v>
      </c>
      <c r="BU8" s="40" t="s">
        <v>106</v>
      </c>
      <c r="BV8" s="41" t="s">
        <v>84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 t="s">
        <v>198</v>
      </c>
      <c r="G9" s="9">
        <v>-3000</v>
      </c>
      <c r="H9" s="9"/>
      <c r="I9" s="48">
        <v>0</v>
      </c>
      <c r="J9" s="21">
        <f t="shared" si="5"/>
        <v>109700</v>
      </c>
      <c r="K9" s="8" t="s">
        <v>198</v>
      </c>
      <c r="L9" s="9">
        <v>-5000</v>
      </c>
      <c r="M9" s="9"/>
      <c r="N9" s="48">
        <v>0</v>
      </c>
      <c r="O9" s="21">
        <f t="shared" si="6"/>
        <v>64000</v>
      </c>
      <c r="P9" s="8" t="s">
        <v>199</v>
      </c>
      <c r="Q9" s="9">
        <v>8000</v>
      </c>
      <c r="R9" s="9"/>
      <c r="S9" s="48">
        <v>0</v>
      </c>
      <c r="T9" s="21">
        <f t="shared" si="7"/>
        <v>126300</v>
      </c>
      <c r="U9" s="53">
        <f t="shared" si="0"/>
        <v>9.6999999999999993</v>
      </c>
      <c r="V9" s="54">
        <f t="shared" si="1"/>
        <v>-36</v>
      </c>
      <c r="W9" s="55">
        <f t="shared" si="2"/>
        <v>26.3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195</v>
      </c>
      <c r="BV9" s="41" t="s">
        <v>82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tr">
        <f>IF($P$1="","",$P$1)</f>
        <v>だいち</v>
      </c>
      <c r="F10" s="8" t="s">
        <v>194</v>
      </c>
      <c r="G10" s="9">
        <v>-8000</v>
      </c>
      <c r="H10" s="9">
        <v>-1000</v>
      </c>
      <c r="I10" s="48">
        <v>0</v>
      </c>
      <c r="J10" s="21">
        <f t="shared" si="5"/>
        <v>100700</v>
      </c>
      <c r="K10" s="8" t="s">
        <v>193</v>
      </c>
      <c r="L10" s="9">
        <v>8000</v>
      </c>
      <c r="M10" s="9">
        <v>1000</v>
      </c>
      <c r="N10" s="48">
        <v>0</v>
      </c>
      <c r="O10" s="21">
        <f t="shared" si="6"/>
        <v>73000</v>
      </c>
      <c r="P10" s="8"/>
      <c r="Q10" s="9"/>
      <c r="R10" s="9"/>
      <c r="S10" s="48"/>
      <c r="T10" s="21">
        <f t="shared" si="7"/>
        <v>126300</v>
      </c>
      <c r="U10" s="53">
        <f t="shared" si="0"/>
        <v>0.7</v>
      </c>
      <c r="V10" s="54">
        <f t="shared" si="1"/>
        <v>-27</v>
      </c>
      <c r="W10" s="55">
        <f t="shared" si="2"/>
        <v>26.3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195</v>
      </c>
      <c r="BA10" s="41" t="s">
        <v>196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allowBlank="1" showInputMessage="1" showErrorMessage="1" sqref="E4:E30" xr:uid="{58944A10-9670-4A95-AE58-16AB32EA6474}">
      <formula1>$U$2:$W$2</formula1>
    </dataValidation>
    <dataValidation type="list" showInputMessage="1" showErrorMessage="1" sqref="K4:K30 P4:P30 F4:F30" xr:uid="{8D36091F-7123-4CE9-A380-EEF0152A795E}">
      <formula1>"ロン,ツモ,放銃,ツモ支払,流局,チョンボ"</formula1>
    </dataValidation>
    <dataValidation type="list" allowBlank="1" showInputMessage="1" sqref="F1:T1" xr:uid="{C7847ABC-8BCC-46EB-B7A3-6CF9A65D3B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4A41-45B4-41C0-A4EC-3482D5D34A5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191</v>
      </c>
      <c r="G1" s="96"/>
      <c r="H1" s="96"/>
      <c r="I1" s="97"/>
      <c r="J1" s="98"/>
      <c r="K1" s="95" t="s">
        <v>192</v>
      </c>
      <c r="L1" s="96"/>
      <c r="M1" s="96"/>
      <c r="N1" s="97"/>
      <c r="O1" s="98"/>
      <c r="P1" s="95" t="s">
        <v>207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まっつん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いちかわ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りくと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いちかわ</v>
      </c>
      <c r="W2" s="16" t="str">
        <f>$P$1</f>
        <v>りくと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63000</v>
      </c>
      <c r="K3" s="7"/>
      <c r="L3" s="23"/>
      <c r="M3" s="23"/>
      <c r="N3" s="47"/>
      <c r="O3" s="20">
        <v>136300</v>
      </c>
      <c r="P3" s="7"/>
      <c r="Q3" s="23"/>
      <c r="R3" s="23"/>
      <c r="S3" s="47"/>
      <c r="T3" s="20">
        <v>100700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-1500</v>
      </c>
      <c r="H4" s="9"/>
      <c r="I4" s="48"/>
      <c r="J4" s="21">
        <f>IF(COUNTA($F4,$K4,$P4)&gt;0,J3+SUM(G4:I4),"")</f>
        <v>61500</v>
      </c>
      <c r="K4" s="8" t="s">
        <v>204</v>
      </c>
      <c r="L4" s="9">
        <v>3000</v>
      </c>
      <c r="M4" s="9">
        <v>-1000</v>
      </c>
      <c r="N4" s="48"/>
      <c r="O4" s="21">
        <f>IF(COUNTA($F4,$K4,$P4)&gt;0,O3+SUM(L4:N4),"")</f>
        <v>138300</v>
      </c>
      <c r="P4" s="8" t="s">
        <v>204</v>
      </c>
      <c r="Q4" s="9">
        <v>-1500</v>
      </c>
      <c r="R4" s="9"/>
      <c r="S4" s="48"/>
      <c r="T4" s="21">
        <f>IF(COUNTA($F4,$K4,$P4)&gt;0,T3+SUM(Q4:S4),"")</f>
        <v>99200</v>
      </c>
      <c r="U4" s="53">
        <f t="shared" ref="U4:U30" si="0">IF($J4="","",ROUND(($J4-$J$3)/1000,1))</f>
        <v>-1.5</v>
      </c>
      <c r="V4" s="54">
        <f t="shared" ref="V4:V30" si="1">IF($O4="","",ROUND(($O4-$O$3)/1000,1))</f>
        <v>2</v>
      </c>
      <c r="W4" s="55">
        <f t="shared" ref="W4:W30" si="2">IF($T4="","",ROUND(($T4-$T$3)/1000,1))</f>
        <v>-1.5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tr">
        <f>IF($K$1="","",$K$1)</f>
        <v>いちかわ</v>
      </c>
      <c r="F5" s="8" t="s">
        <v>198</v>
      </c>
      <c r="G5" s="9">
        <v>-6000</v>
      </c>
      <c r="H5" s="9"/>
      <c r="I5" s="48">
        <v>-500</v>
      </c>
      <c r="J5" s="21">
        <f t="shared" ref="J5:J30" si="5">IF(COUNTA($F5,$K5,$P5)&gt;0,J4+SUM(G5:I5),"")</f>
        <v>55000</v>
      </c>
      <c r="K5" s="8" t="s">
        <v>198</v>
      </c>
      <c r="L5" s="9">
        <v>-10000</v>
      </c>
      <c r="M5" s="9"/>
      <c r="N5" s="48">
        <v>-500</v>
      </c>
      <c r="O5" s="21">
        <f t="shared" ref="O5:O30" si="6">IF(COUNTA($F5,$K5,$P5)&gt;0,O4+SUM(L5:N5),"")</f>
        <v>127800</v>
      </c>
      <c r="P5" s="8" t="s">
        <v>199</v>
      </c>
      <c r="Q5" s="9">
        <v>16000</v>
      </c>
      <c r="R5" s="9">
        <v>1000</v>
      </c>
      <c r="S5" s="48">
        <v>1000</v>
      </c>
      <c r="T5" s="21">
        <f t="shared" ref="T5:T30" si="7">IF(COUNTA($F5,$K5,$P5)&gt;0,T4+SUM(Q5:S5),"")</f>
        <v>117200</v>
      </c>
      <c r="U5" s="53">
        <f t="shared" si="0"/>
        <v>-8</v>
      </c>
      <c r="V5" s="54">
        <f t="shared" si="1"/>
        <v>-8.5</v>
      </c>
      <c r="W5" s="55">
        <f t="shared" si="2"/>
        <v>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195</v>
      </c>
      <c r="BV5" s="41" t="s">
        <v>82</v>
      </c>
      <c r="BW5" s="41" t="s">
        <v>89</v>
      </c>
      <c r="BX5" s="41" t="s">
        <v>86</v>
      </c>
      <c r="BY5" s="41" t="s">
        <v>197</v>
      </c>
      <c r="BZ5" s="41" t="s">
        <v>79</v>
      </c>
      <c r="CA5" s="41" t="s">
        <v>79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53500</v>
      </c>
      <c r="K6" s="8" t="s">
        <v>199</v>
      </c>
      <c r="L6" s="9">
        <v>4000</v>
      </c>
      <c r="M6" s="9">
        <v>1000</v>
      </c>
      <c r="N6" s="48">
        <v>0</v>
      </c>
      <c r="O6" s="21">
        <f t="shared" si="6"/>
        <v>132800</v>
      </c>
      <c r="P6" s="8" t="s">
        <v>198</v>
      </c>
      <c r="Q6" s="9">
        <v>-2500</v>
      </c>
      <c r="R6" s="9">
        <v>-1000</v>
      </c>
      <c r="S6" s="48">
        <v>0</v>
      </c>
      <c r="T6" s="21">
        <f t="shared" si="7"/>
        <v>113700</v>
      </c>
      <c r="U6" s="53">
        <f t="shared" si="0"/>
        <v>-9.5</v>
      </c>
      <c r="V6" s="54">
        <f t="shared" si="1"/>
        <v>-3.5</v>
      </c>
      <c r="W6" s="55">
        <f t="shared" si="2"/>
        <v>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196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まっつん</v>
      </c>
      <c r="F7" s="8" t="s">
        <v>204</v>
      </c>
      <c r="G7" s="9">
        <v>3000</v>
      </c>
      <c r="H7" s="9">
        <v>-1000</v>
      </c>
      <c r="I7" s="48"/>
      <c r="J7" s="21">
        <f t="shared" si="5"/>
        <v>55500</v>
      </c>
      <c r="K7" s="8" t="s">
        <v>204</v>
      </c>
      <c r="L7" s="9">
        <v>-1500</v>
      </c>
      <c r="M7" s="9"/>
      <c r="N7" s="48"/>
      <c r="O7" s="21">
        <f t="shared" si="6"/>
        <v>131300</v>
      </c>
      <c r="P7" s="8" t="s">
        <v>204</v>
      </c>
      <c r="Q7" s="9">
        <v>-1500</v>
      </c>
      <c r="R7" s="9"/>
      <c r="S7" s="48"/>
      <c r="T7" s="21">
        <f t="shared" si="7"/>
        <v>112200</v>
      </c>
      <c r="U7" s="53">
        <f t="shared" si="0"/>
        <v>-7.5</v>
      </c>
      <c r="V7" s="54">
        <f t="shared" si="1"/>
        <v>-5</v>
      </c>
      <c r="W7" s="55">
        <f t="shared" si="2"/>
        <v>11.5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tr">
        <f>IF($F$1="","",$F$1)</f>
        <v>まっつん</v>
      </c>
      <c r="F8" s="8" t="s">
        <v>204</v>
      </c>
      <c r="G8" s="9">
        <v>0</v>
      </c>
      <c r="H8" s="9">
        <v>-1000</v>
      </c>
      <c r="I8" s="48"/>
      <c r="J8" s="21">
        <f t="shared" si="5"/>
        <v>54500</v>
      </c>
      <c r="K8" s="8" t="s">
        <v>204</v>
      </c>
      <c r="L8" s="9">
        <v>0</v>
      </c>
      <c r="M8" s="9"/>
      <c r="N8" s="48"/>
      <c r="O8" s="21">
        <f t="shared" si="6"/>
        <v>131300</v>
      </c>
      <c r="P8" s="8" t="s">
        <v>204</v>
      </c>
      <c r="Q8" s="9">
        <v>0</v>
      </c>
      <c r="R8" s="9"/>
      <c r="S8" s="48"/>
      <c r="T8" s="21">
        <f t="shared" si="7"/>
        <v>112200</v>
      </c>
      <c r="U8" s="53">
        <f t="shared" si="0"/>
        <v>-8.5</v>
      </c>
      <c r="V8" s="54">
        <f t="shared" si="1"/>
        <v>-5</v>
      </c>
      <c r="W8" s="55">
        <f t="shared" si="2"/>
        <v>11.5</v>
      </c>
      <c r="Y8" s="8" t="s">
        <v>203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2</v>
      </c>
      <c r="E9" s="4" t="str">
        <f>IF($F$1="","",$F$1)</f>
        <v>まっつん</v>
      </c>
      <c r="F9" s="8" t="s">
        <v>198</v>
      </c>
      <c r="G9" s="9">
        <v>-5000</v>
      </c>
      <c r="H9" s="9"/>
      <c r="I9" s="48">
        <v>-1000</v>
      </c>
      <c r="J9" s="21">
        <f t="shared" si="5"/>
        <v>48500</v>
      </c>
      <c r="K9" s="8" t="s">
        <v>198</v>
      </c>
      <c r="L9" s="9">
        <v>-3000</v>
      </c>
      <c r="M9" s="9"/>
      <c r="N9" s="48">
        <v>-1000</v>
      </c>
      <c r="O9" s="21">
        <f t="shared" si="6"/>
        <v>127300</v>
      </c>
      <c r="P9" s="8" t="s">
        <v>199</v>
      </c>
      <c r="Q9" s="9">
        <v>8000</v>
      </c>
      <c r="R9" s="9">
        <v>2000</v>
      </c>
      <c r="S9" s="48">
        <v>2000</v>
      </c>
      <c r="T9" s="21">
        <f t="shared" si="7"/>
        <v>124200</v>
      </c>
      <c r="U9" s="53">
        <f t="shared" si="0"/>
        <v>-14.5</v>
      </c>
      <c r="V9" s="54">
        <f t="shared" si="1"/>
        <v>-9</v>
      </c>
      <c r="W9" s="55">
        <f t="shared" si="2"/>
        <v>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200</v>
      </c>
      <c r="BU9" s="40" t="s">
        <v>82</v>
      </c>
      <c r="BV9" s="41" t="s">
        <v>86</v>
      </c>
      <c r="BW9" s="41" t="s">
        <v>197</v>
      </c>
      <c r="BX9" s="41" t="s">
        <v>79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いちかわ</v>
      </c>
      <c r="F10" s="8" t="s">
        <v>199</v>
      </c>
      <c r="G10" s="9">
        <v>16000</v>
      </c>
      <c r="H10" s="9"/>
      <c r="I10" s="48">
        <v>0</v>
      </c>
      <c r="J10" s="21">
        <f t="shared" si="5"/>
        <v>64500</v>
      </c>
      <c r="K10" s="8" t="s">
        <v>198</v>
      </c>
      <c r="L10" s="9">
        <v>-10000</v>
      </c>
      <c r="M10" s="9"/>
      <c r="N10" s="48">
        <v>0</v>
      </c>
      <c r="O10" s="21">
        <f t="shared" si="6"/>
        <v>117300</v>
      </c>
      <c r="P10" s="8" t="s">
        <v>198</v>
      </c>
      <c r="Q10" s="9">
        <v>-6000</v>
      </c>
      <c r="R10" s="9"/>
      <c r="S10" s="48">
        <v>0</v>
      </c>
      <c r="T10" s="21">
        <f t="shared" si="7"/>
        <v>118200</v>
      </c>
      <c r="U10" s="53">
        <f t="shared" si="0"/>
        <v>1.5</v>
      </c>
      <c r="V10" s="54">
        <f t="shared" si="1"/>
        <v>-19</v>
      </c>
      <c r="W10" s="55">
        <f t="shared" si="2"/>
        <v>17.5</v>
      </c>
      <c r="Y10" s="8"/>
      <c r="Z10" s="34"/>
      <c r="AA10" s="26"/>
      <c r="AB10" s="26"/>
      <c r="AC10" s="26">
        <v>8</v>
      </c>
      <c r="AD10" s="30" t="s">
        <v>200</v>
      </c>
      <c r="AE10" s="40" t="s">
        <v>82</v>
      </c>
      <c r="AF10" s="41" t="s">
        <v>96</v>
      </c>
      <c r="AG10" s="41" t="s">
        <v>104</v>
      </c>
      <c r="AH10" s="41" t="s">
        <v>197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-3000</v>
      </c>
      <c r="H11" s="9"/>
      <c r="I11" s="48">
        <v>0</v>
      </c>
      <c r="J11" s="21">
        <f t="shared" si="5"/>
        <v>61500</v>
      </c>
      <c r="K11" s="8" t="s">
        <v>198</v>
      </c>
      <c r="L11" s="9">
        <v>-3000</v>
      </c>
      <c r="M11" s="9"/>
      <c r="N11" s="48">
        <v>0</v>
      </c>
      <c r="O11" s="21">
        <f t="shared" si="6"/>
        <v>114300</v>
      </c>
      <c r="P11" s="8" t="s">
        <v>199</v>
      </c>
      <c r="Q11" s="9">
        <v>6000</v>
      </c>
      <c r="R11" s="9"/>
      <c r="S11" s="48">
        <v>0</v>
      </c>
      <c r="T11" s="21">
        <f t="shared" si="7"/>
        <v>124200</v>
      </c>
      <c r="U11" s="53">
        <f t="shared" si="0"/>
        <v>-1.5</v>
      </c>
      <c r="V11" s="54">
        <f t="shared" si="1"/>
        <v>-22</v>
      </c>
      <c r="W11" s="55">
        <f t="shared" si="2"/>
        <v>23.5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86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りくと</v>
      </c>
      <c r="F12" s="8" t="s">
        <v>199</v>
      </c>
      <c r="G12" s="9">
        <v>12000</v>
      </c>
      <c r="H12" s="9">
        <v>1000</v>
      </c>
      <c r="I12" s="48">
        <v>1000</v>
      </c>
      <c r="J12" s="21">
        <f t="shared" si="5"/>
        <v>75500</v>
      </c>
      <c r="K12" s="8" t="s">
        <v>198</v>
      </c>
      <c r="L12" s="9">
        <v>-4500</v>
      </c>
      <c r="M12" s="9"/>
      <c r="N12" s="48">
        <v>-500</v>
      </c>
      <c r="O12" s="21">
        <f t="shared" si="6"/>
        <v>109300</v>
      </c>
      <c r="P12" s="8" t="s">
        <v>198</v>
      </c>
      <c r="Q12" s="9">
        <v>-7500</v>
      </c>
      <c r="R12" s="9">
        <v>-1000</v>
      </c>
      <c r="S12" s="48">
        <v>-500</v>
      </c>
      <c r="T12" s="21">
        <f t="shared" si="7"/>
        <v>115200</v>
      </c>
      <c r="U12" s="53">
        <f t="shared" si="0"/>
        <v>12.5</v>
      </c>
      <c r="V12" s="54">
        <f t="shared" si="1"/>
        <v>-27</v>
      </c>
      <c r="W12" s="55">
        <f t="shared" si="2"/>
        <v>14.5</v>
      </c>
      <c r="Y12" s="8"/>
      <c r="Z12" s="34"/>
      <c r="AA12" s="26"/>
      <c r="AB12" s="26">
        <v>1</v>
      </c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86</v>
      </c>
      <c r="AI12" s="41" t="s">
        <v>86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qref="F1:T1" xr:uid="{DF6B4792-697E-4059-A255-A9857BD554B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6D8F6B-81B4-4FC0-88F7-C1C4AC2536B4}">
      <formula1>"ロン,ツモ,放銃,ツモ支払,流局,チョンボ"</formula1>
    </dataValidation>
    <dataValidation type="list" allowBlank="1" showInputMessage="1" showErrorMessage="1" sqref="E4:E30" xr:uid="{69D68436-2434-4225-912B-217C994E30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EF70-8124-4467-A87F-D249A09B3D4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201</v>
      </c>
      <c r="G1" s="96"/>
      <c r="H1" s="96"/>
      <c r="I1" s="97"/>
      <c r="J1" s="98"/>
      <c r="K1" s="95" t="s">
        <v>205</v>
      </c>
      <c r="L1" s="96"/>
      <c r="M1" s="96"/>
      <c r="N1" s="97"/>
      <c r="O1" s="98"/>
      <c r="P1" s="95" t="s">
        <v>206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たかの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れんたろう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だいち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75500</v>
      </c>
      <c r="K3" s="7"/>
      <c r="L3" s="23"/>
      <c r="M3" s="23"/>
      <c r="N3" s="47"/>
      <c r="O3" s="20">
        <v>125200</v>
      </c>
      <c r="P3" s="7"/>
      <c r="Q3" s="23"/>
      <c r="R3" s="23"/>
      <c r="S3" s="47"/>
      <c r="T3" s="20">
        <v>99300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198</v>
      </c>
      <c r="G4" s="9">
        <v>-3300</v>
      </c>
      <c r="H4" s="9"/>
      <c r="I4" s="48">
        <v>0</v>
      </c>
      <c r="J4" s="21">
        <f>IF(COUNTA($F4,$K4,$P4)&gt;0,J3+SUM(G4:I4),"")</f>
        <v>72200</v>
      </c>
      <c r="K4" s="8" t="s">
        <v>199</v>
      </c>
      <c r="L4" s="9">
        <v>5300</v>
      </c>
      <c r="M4" s="9"/>
      <c r="N4" s="48">
        <v>0</v>
      </c>
      <c r="O4" s="21">
        <f>IF(COUNTA($F4,$K4,$P4)&gt;0,O3+SUM(L4:N4),"")</f>
        <v>130500</v>
      </c>
      <c r="P4" s="8" t="s">
        <v>198</v>
      </c>
      <c r="Q4" s="9">
        <v>-2000</v>
      </c>
      <c r="R4" s="9"/>
      <c r="S4" s="48">
        <v>0</v>
      </c>
      <c r="T4" s="21">
        <f>IF(COUNTA($F4,$K4,$P4)&gt;0,T3+SUM(Q4:S4),"")</f>
        <v>97300</v>
      </c>
      <c r="U4" s="53">
        <f t="shared" ref="U4:U30" si="0">IF($J4="","",ROUND(($J4-$J$3)/1000,1))</f>
        <v>-3.3</v>
      </c>
      <c r="V4" s="54">
        <f t="shared" ref="V4:V30" si="1">IF($O4="","",ROUND(($O4-$O$3)/1000,1))</f>
        <v>5.3</v>
      </c>
      <c r="W4" s="55">
        <f t="shared" ref="W4:W30" si="2">IF($T4="","",ROUND(($T4-$T$3)/1000,1))</f>
        <v>-2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195</v>
      </c>
      <c r="BA4" s="41" t="s">
        <v>82</v>
      </c>
      <c r="BB4" s="41" t="s">
        <v>196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れんたろう</v>
      </c>
      <c r="F5" s="8" t="s">
        <v>193</v>
      </c>
      <c r="G5" s="9">
        <v>5200</v>
      </c>
      <c r="H5" s="9">
        <v>1000</v>
      </c>
      <c r="I5" s="48">
        <v>0</v>
      </c>
      <c r="J5" s="21">
        <f t="shared" ref="J5:J30" si="5">IF(COUNTA($F5,$K5,$P5)&gt;0,J4+SUM(G5:I5),"")</f>
        <v>78400</v>
      </c>
      <c r="K5" s="8"/>
      <c r="L5" s="9"/>
      <c r="M5" s="9">
        <v>-1000</v>
      </c>
      <c r="N5" s="48"/>
      <c r="O5" s="21">
        <f t="shared" ref="O5:O30" si="6">IF(COUNTA($F5,$K5,$P5)&gt;0,O4+SUM(L5:N5),"")</f>
        <v>129500</v>
      </c>
      <c r="P5" s="8" t="s">
        <v>194</v>
      </c>
      <c r="Q5" s="9">
        <v>-5200</v>
      </c>
      <c r="R5" s="9"/>
      <c r="S5" s="48">
        <v>0</v>
      </c>
      <c r="T5" s="21">
        <f t="shared" ref="T5:T30" si="7">IF(COUNTA($F5,$K5,$P5)&gt;0,T4+SUM(Q5:S5),"")</f>
        <v>92100</v>
      </c>
      <c r="U5" s="53">
        <f t="shared" si="0"/>
        <v>2.9</v>
      </c>
      <c r="V5" s="54">
        <f t="shared" si="1"/>
        <v>4.3</v>
      </c>
      <c r="W5" s="55">
        <f t="shared" si="2"/>
        <v>-7.2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195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 t="s">
        <v>193</v>
      </c>
      <c r="G6" s="9">
        <v>2000</v>
      </c>
      <c r="H6" s="9"/>
      <c r="I6" s="48">
        <v>0</v>
      </c>
      <c r="J6" s="21">
        <f t="shared" si="5"/>
        <v>80400</v>
      </c>
      <c r="K6" s="8"/>
      <c r="L6" s="9"/>
      <c r="M6" s="9"/>
      <c r="N6" s="48"/>
      <c r="O6" s="21">
        <f t="shared" si="6"/>
        <v>129500</v>
      </c>
      <c r="P6" s="8" t="s">
        <v>194</v>
      </c>
      <c r="Q6" s="9">
        <v>-2000</v>
      </c>
      <c r="R6" s="9"/>
      <c r="S6" s="48">
        <v>0</v>
      </c>
      <c r="T6" s="21">
        <f t="shared" si="7"/>
        <v>90100</v>
      </c>
      <c r="U6" s="53">
        <f t="shared" si="0"/>
        <v>4.9000000000000004</v>
      </c>
      <c r="V6" s="54">
        <f t="shared" si="1"/>
        <v>4.3</v>
      </c>
      <c r="W6" s="55">
        <f t="shared" si="2"/>
        <v>-9.1999999999999993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たかの</v>
      </c>
      <c r="F7" s="8" t="s">
        <v>198</v>
      </c>
      <c r="G7" s="9">
        <v>-3300</v>
      </c>
      <c r="H7" s="9"/>
      <c r="I7" s="48">
        <v>0</v>
      </c>
      <c r="J7" s="21">
        <f t="shared" si="5"/>
        <v>77100</v>
      </c>
      <c r="K7" s="8" t="s">
        <v>198</v>
      </c>
      <c r="L7" s="9">
        <v>-2000</v>
      </c>
      <c r="M7" s="9"/>
      <c r="N7" s="48">
        <v>0</v>
      </c>
      <c r="O7" s="21">
        <f t="shared" si="6"/>
        <v>127500</v>
      </c>
      <c r="P7" s="8" t="s">
        <v>199</v>
      </c>
      <c r="Q7" s="9">
        <v>5300</v>
      </c>
      <c r="R7" s="9"/>
      <c r="S7" s="48">
        <v>0</v>
      </c>
      <c r="T7" s="21">
        <f t="shared" si="7"/>
        <v>95400</v>
      </c>
      <c r="U7" s="53">
        <f t="shared" si="0"/>
        <v>1.6</v>
      </c>
      <c r="V7" s="54">
        <f t="shared" si="1"/>
        <v>2.2999999999999998</v>
      </c>
      <c r="W7" s="55">
        <f t="shared" si="2"/>
        <v>-3.9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197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tr">
        <f>IF($K$1="","",$K$1)</f>
        <v>れんたろう</v>
      </c>
      <c r="F8" s="8" t="s">
        <v>193</v>
      </c>
      <c r="G8" s="9">
        <v>3900</v>
      </c>
      <c r="H8" s="9"/>
      <c r="I8" s="48">
        <v>0</v>
      </c>
      <c r="J8" s="21">
        <f t="shared" si="5"/>
        <v>81000</v>
      </c>
      <c r="K8" s="8" t="s">
        <v>194</v>
      </c>
      <c r="L8" s="9">
        <v>-3900</v>
      </c>
      <c r="M8" s="9"/>
      <c r="N8" s="48">
        <v>0</v>
      </c>
      <c r="O8" s="21">
        <f t="shared" si="6"/>
        <v>123600</v>
      </c>
      <c r="P8" s="8"/>
      <c r="Q8" s="9"/>
      <c r="R8" s="9"/>
      <c r="S8" s="48"/>
      <c r="T8" s="21">
        <f t="shared" si="7"/>
        <v>95400</v>
      </c>
      <c r="U8" s="53">
        <f t="shared" si="0"/>
        <v>5.5</v>
      </c>
      <c r="V8" s="54">
        <f t="shared" si="1"/>
        <v>-1.6</v>
      </c>
      <c r="W8" s="55">
        <f t="shared" si="2"/>
        <v>-3.9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5"/>
        <v>81000</v>
      </c>
      <c r="K9" s="8" t="s">
        <v>194</v>
      </c>
      <c r="L9" s="9">
        <v>-7700</v>
      </c>
      <c r="M9" s="9"/>
      <c r="N9" s="48">
        <v>0</v>
      </c>
      <c r="O9" s="21">
        <f t="shared" si="6"/>
        <v>115900</v>
      </c>
      <c r="P9" s="8" t="s">
        <v>193</v>
      </c>
      <c r="Q9" s="9">
        <v>7700</v>
      </c>
      <c r="R9" s="9"/>
      <c r="S9" s="48">
        <v>0</v>
      </c>
      <c r="T9" s="21">
        <f t="shared" si="7"/>
        <v>103100</v>
      </c>
      <c r="U9" s="53">
        <f t="shared" si="0"/>
        <v>5.5</v>
      </c>
      <c r="V9" s="54">
        <f t="shared" si="1"/>
        <v>-9.3000000000000007</v>
      </c>
      <c r="W9" s="55">
        <f t="shared" si="2"/>
        <v>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195</v>
      </c>
      <c r="BV9" s="41" t="s">
        <v>196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tr">
        <f>IF($P$1="","",$P$1)</f>
        <v>だいち</v>
      </c>
      <c r="F10" s="8" t="s">
        <v>198</v>
      </c>
      <c r="G10" s="9">
        <v>-6000</v>
      </c>
      <c r="H10" s="9">
        <v>-1000</v>
      </c>
      <c r="I10" s="48">
        <v>-500</v>
      </c>
      <c r="J10" s="21">
        <f t="shared" si="5"/>
        <v>73500</v>
      </c>
      <c r="K10" s="8" t="s">
        <v>198</v>
      </c>
      <c r="L10" s="9">
        <v>-6000</v>
      </c>
      <c r="M10" s="9"/>
      <c r="N10" s="48">
        <v>-500</v>
      </c>
      <c r="O10" s="21">
        <f t="shared" si="6"/>
        <v>109400</v>
      </c>
      <c r="P10" s="8" t="s">
        <v>199</v>
      </c>
      <c r="Q10" s="9">
        <v>12000</v>
      </c>
      <c r="R10" s="9">
        <v>1000</v>
      </c>
      <c r="S10" s="48">
        <v>1000</v>
      </c>
      <c r="T10" s="21">
        <f t="shared" si="7"/>
        <v>117100</v>
      </c>
      <c r="U10" s="53">
        <f t="shared" si="0"/>
        <v>-2</v>
      </c>
      <c r="V10" s="54">
        <f t="shared" si="1"/>
        <v>-15.8</v>
      </c>
      <c r="W10" s="55">
        <f t="shared" si="2"/>
        <v>17.8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200</v>
      </c>
      <c r="BU10" s="40" t="s">
        <v>195</v>
      </c>
      <c r="BV10" s="41" t="s">
        <v>82</v>
      </c>
      <c r="BW10" s="41" t="s">
        <v>83</v>
      </c>
      <c r="BX10" s="41" t="s">
        <v>84</v>
      </c>
      <c r="BY10" s="41" t="s">
        <v>197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tr">
        <f>IF($P$1="","",$P$1)</f>
        <v>だいち</v>
      </c>
      <c r="F11" s="8" t="s">
        <v>199</v>
      </c>
      <c r="G11" s="9">
        <v>7700</v>
      </c>
      <c r="H11" s="9">
        <v>1000</v>
      </c>
      <c r="I11" s="48">
        <v>2000</v>
      </c>
      <c r="J11" s="21">
        <f t="shared" si="5"/>
        <v>84200</v>
      </c>
      <c r="K11" s="8" t="s">
        <v>198</v>
      </c>
      <c r="L11" s="9">
        <v>-2900</v>
      </c>
      <c r="M11" s="9">
        <v>-1000</v>
      </c>
      <c r="N11" s="48">
        <v>-1000</v>
      </c>
      <c r="O11" s="21">
        <f t="shared" si="6"/>
        <v>104500</v>
      </c>
      <c r="P11" s="8" t="s">
        <v>198</v>
      </c>
      <c r="Q11" s="9">
        <v>-4800</v>
      </c>
      <c r="R11" s="9"/>
      <c r="S11" s="48">
        <v>-1000</v>
      </c>
      <c r="T11" s="21">
        <f t="shared" si="7"/>
        <v>111300</v>
      </c>
      <c r="U11" s="53">
        <f t="shared" si="0"/>
        <v>8.6999999999999993</v>
      </c>
      <c r="V11" s="54">
        <f t="shared" si="1"/>
        <v>-20.7</v>
      </c>
      <c r="W11" s="55">
        <f t="shared" si="2"/>
        <v>12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195</v>
      </c>
      <c r="AF11" s="41" t="s">
        <v>82</v>
      </c>
      <c r="AG11" s="41" t="s">
        <v>92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西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たかの</v>
      </c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99F9E342-EE4F-4A82-BF9D-50273CA02C0C}">
      <formula1>$U$2:$W$2</formula1>
    </dataValidation>
    <dataValidation type="list" showInputMessage="1" showErrorMessage="1" sqref="K4:K30 P4:P30 F4:F30" xr:uid="{F41350B2-40BB-48B7-803A-0FAEEA3CF4F8}">
      <formula1>"ロン,ツモ,放銃,ツモ支払,流局,チョンボ"</formula1>
    </dataValidation>
    <dataValidation type="list" allowBlank="1" showInputMessage="1" sqref="F1:T1" xr:uid="{0CC47D24-FAE1-4B31-89E2-B03FB95BBE1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EDDB8-D3EB-41EF-BFF7-8A9DF8C03299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208</v>
      </c>
      <c r="G1" s="96"/>
      <c r="H1" s="96"/>
      <c r="I1" s="97"/>
      <c r="J1" s="98"/>
      <c r="K1" s="95" t="s">
        <v>201</v>
      </c>
      <c r="L1" s="96"/>
      <c r="M1" s="96"/>
      <c r="N1" s="97"/>
      <c r="O1" s="98"/>
      <c r="P1" s="95" t="s">
        <v>206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ただ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たかの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だいち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94500</v>
      </c>
      <c r="K3" s="7"/>
      <c r="L3" s="23"/>
      <c r="M3" s="23"/>
      <c r="N3" s="47"/>
      <c r="O3" s="20">
        <v>84200</v>
      </c>
      <c r="P3" s="7"/>
      <c r="Q3" s="23"/>
      <c r="R3" s="23"/>
      <c r="S3" s="47"/>
      <c r="T3" s="20">
        <v>121300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</v>
      </c>
      <c r="H4" s="9"/>
      <c r="I4" s="48">
        <v>0</v>
      </c>
      <c r="J4" s="21">
        <f>IF(COUNTA($F4,$K4,$P4)&gt;0,J3+SUM(G4:I4),"")</f>
        <v>92900</v>
      </c>
      <c r="K4" s="8"/>
      <c r="L4" s="9"/>
      <c r="M4" s="9">
        <v>-1000</v>
      </c>
      <c r="N4" s="48"/>
      <c r="O4" s="21">
        <f>IF(COUNTA($F4,$K4,$P4)&gt;0,O3+SUM(L4:N4),"")</f>
        <v>83200</v>
      </c>
      <c r="P4" s="8" t="s">
        <v>193</v>
      </c>
      <c r="Q4" s="9">
        <v>1600</v>
      </c>
      <c r="R4" s="9">
        <v>1000</v>
      </c>
      <c r="S4" s="48">
        <v>0</v>
      </c>
      <c r="T4" s="21">
        <f>IF(COUNTA($F4,$K4,$P4)&gt;0,T3+SUM(Q4:S4),"")</f>
        <v>123900</v>
      </c>
      <c r="U4" s="53">
        <f t="shared" ref="U4:U30" si="0">IF($J4="","",ROUND(($J4-$J$3)/1000,1))</f>
        <v>-1.6</v>
      </c>
      <c r="V4" s="54">
        <f t="shared" ref="V4:V30" si="1">IF($O4="","",ROUND(($O4-$O$3)/1000,1))</f>
        <v>-1</v>
      </c>
      <c r="W4" s="55">
        <f t="shared" ref="W4:W30" si="2">IF($T4="","",ROUND(($T4-$T$3)/1000,1))</f>
        <v>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25</v>
      </c>
      <c r="BU4" s="40" t="s">
        <v>101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 t="s">
        <v>204</v>
      </c>
      <c r="G5" s="9">
        <v>-1500</v>
      </c>
      <c r="H5" s="9"/>
      <c r="I5" s="48"/>
      <c r="J5" s="21">
        <f t="shared" ref="J5:J30" si="5">IF(COUNTA($F5,$K5,$P5)&gt;0,J4+SUM(G5:I5),"")</f>
        <v>91400</v>
      </c>
      <c r="K5" s="8" t="s">
        <v>204</v>
      </c>
      <c r="L5" s="9">
        <v>-1500</v>
      </c>
      <c r="M5" s="9"/>
      <c r="N5" s="48"/>
      <c r="O5" s="21">
        <f t="shared" ref="O5:O30" si="6">IF(COUNTA($F5,$K5,$P5)&gt;0,O4+SUM(L5:N5),"")</f>
        <v>81700</v>
      </c>
      <c r="P5" s="8" t="s">
        <v>204</v>
      </c>
      <c r="Q5" s="9">
        <v>3000</v>
      </c>
      <c r="R5" s="9">
        <v>-1000</v>
      </c>
      <c r="S5" s="48"/>
      <c r="T5" s="21">
        <f t="shared" ref="T5:T30" si="7">IF(COUNTA($F5,$K5,$P5)&gt;0,T4+SUM(Q5:S5),"")</f>
        <v>125900</v>
      </c>
      <c r="U5" s="53">
        <f t="shared" si="0"/>
        <v>-3.1</v>
      </c>
      <c r="V5" s="54">
        <f t="shared" si="1"/>
        <v>-2.5</v>
      </c>
      <c r="W5" s="55">
        <f t="shared" si="2"/>
        <v>4.5999999999999996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tr">
        <f>IF($P$1="","",$P$1)</f>
        <v>だいち</v>
      </c>
      <c r="F6" s="8" t="s">
        <v>193</v>
      </c>
      <c r="G6" s="9">
        <v>2600</v>
      </c>
      <c r="H6" s="9">
        <v>1000</v>
      </c>
      <c r="I6" s="48">
        <v>1000</v>
      </c>
      <c r="J6" s="21">
        <f t="shared" si="5"/>
        <v>96000</v>
      </c>
      <c r="K6" s="8"/>
      <c r="L6" s="9"/>
      <c r="M6" s="9"/>
      <c r="N6" s="48"/>
      <c r="O6" s="21">
        <f t="shared" si="6"/>
        <v>81700</v>
      </c>
      <c r="P6" s="8" t="s">
        <v>194</v>
      </c>
      <c r="Q6" s="9">
        <v>-2600</v>
      </c>
      <c r="R6" s="9"/>
      <c r="S6" s="48">
        <v>-1000</v>
      </c>
      <c r="T6" s="21">
        <f t="shared" si="7"/>
        <v>122300</v>
      </c>
      <c r="U6" s="53">
        <f t="shared" si="0"/>
        <v>1.5</v>
      </c>
      <c r="V6" s="54">
        <f t="shared" si="1"/>
        <v>-2.5</v>
      </c>
      <c r="W6" s="55">
        <f t="shared" si="2"/>
        <v>1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195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ただ</v>
      </c>
      <c r="F7" s="8" t="s">
        <v>193</v>
      </c>
      <c r="G7" s="9">
        <v>3900</v>
      </c>
      <c r="H7" s="9"/>
      <c r="I7" s="48">
        <v>0</v>
      </c>
      <c r="J7" s="21">
        <f t="shared" si="5"/>
        <v>99900</v>
      </c>
      <c r="K7" s="8" t="s">
        <v>194</v>
      </c>
      <c r="L7" s="9">
        <v>-3900</v>
      </c>
      <c r="M7" s="9"/>
      <c r="N7" s="48">
        <v>0</v>
      </c>
      <c r="O7" s="21">
        <f t="shared" si="6"/>
        <v>77800</v>
      </c>
      <c r="P7" s="8"/>
      <c r="Q7" s="9"/>
      <c r="R7" s="9"/>
      <c r="S7" s="48"/>
      <c r="T7" s="21">
        <f t="shared" si="7"/>
        <v>122300</v>
      </c>
      <c r="U7" s="53">
        <f t="shared" si="0"/>
        <v>5.4</v>
      </c>
      <c r="V7" s="54">
        <f t="shared" si="1"/>
        <v>-6.4</v>
      </c>
      <c r="W7" s="55">
        <f t="shared" si="2"/>
        <v>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195</v>
      </c>
      <c r="AF7" s="41" t="s">
        <v>85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ただ</v>
      </c>
      <c r="F8" s="8" t="s">
        <v>193</v>
      </c>
      <c r="G8" s="9">
        <v>18000</v>
      </c>
      <c r="H8" s="9"/>
      <c r="I8" s="48">
        <v>1000</v>
      </c>
      <c r="J8" s="21">
        <f t="shared" si="5"/>
        <v>118900</v>
      </c>
      <c r="K8" s="8" t="s">
        <v>194</v>
      </c>
      <c r="L8" s="9">
        <v>-18000</v>
      </c>
      <c r="M8" s="9"/>
      <c r="N8" s="48">
        <v>-1000</v>
      </c>
      <c r="O8" s="21">
        <f t="shared" si="6"/>
        <v>58800</v>
      </c>
      <c r="P8" s="8"/>
      <c r="Q8" s="9"/>
      <c r="R8" s="9"/>
      <c r="S8" s="48"/>
      <c r="T8" s="21">
        <f t="shared" si="7"/>
        <v>122300</v>
      </c>
      <c r="U8" s="53">
        <f t="shared" si="0"/>
        <v>24.4</v>
      </c>
      <c r="V8" s="54">
        <f t="shared" si="1"/>
        <v>-25.4</v>
      </c>
      <c r="W8" s="55">
        <f t="shared" si="2"/>
        <v>1</v>
      </c>
      <c r="Y8" s="8"/>
      <c r="Z8" s="34"/>
      <c r="AA8" s="26"/>
      <c r="AB8" s="26">
        <v>1</v>
      </c>
      <c r="AC8" s="26">
        <v>6</v>
      </c>
      <c r="AD8" s="30" t="s">
        <v>200</v>
      </c>
      <c r="AE8" s="40" t="s">
        <v>86</v>
      </c>
      <c r="AF8" s="41" t="s">
        <v>197</v>
      </c>
      <c r="AG8" s="41" t="s">
        <v>79</v>
      </c>
      <c r="AH8" s="41" t="s">
        <v>79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tr">
        <f>IF($F$1="","",$F$1)</f>
        <v>ただ</v>
      </c>
      <c r="F9" s="8"/>
      <c r="G9" s="9"/>
      <c r="H9" s="9"/>
      <c r="I9" s="48"/>
      <c r="J9" s="21">
        <f t="shared" si="5"/>
        <v>118900</v>
      </c>
      <c r="K9" s="8" t="s">
        <v>194</v>
      </c>
      <c r="L9" s="9">
        <v>-7700</v>
      </c>
      <c r="M9" s="9"/>
      <c r="N9" s="48">
        <v>-2000</v>
      </c>
      <c r="O9" s="21">
        <f t="shared" si="6"/>
        <v>49100</v>
      </c>
      <c r="P9" s="8" t="s">
        <v>193</v>
      </c>
      <c r="Q9" s="9">
        <v>7700</v>
      </c>
      <c r="R9" s="9"/>
      <c r="S9" s="48">
        <v>2000</v>
      </c>
      <c r="T9" s="21">
        <f t="shared" si="7"/>
        <v>132000</v>
      </c>
      <c r="U9" s="53">
        <f t="shared" si="0"/>
        <v>24.4</v>
      </c>
      <c r="V9" s="54">
        <f t="shared" si="1"/>
        <v>-35.1</v>
      </c>
      <c r="W9" s="55">
        <f t="shared" si="2"/>
        <v>10.7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たかの</v>
      </c>
      <c r="F10" s="8" t="s">
        <v>198</v>
      </c>
      <c r="G10" s="9">
        <v>-2900</v>
      </c>
      <c r="H10" s="9"/>
      <c r="I10" s="48">
        <v>0</v>
      </c>
      <c r="J10" s="21">
        <f t="shared" si="5"/>
        <v>116000</v>
      </c>
      <c r="K10" s="8" t="s">
        <v>198</v>
      </c>
      <c r="L10" s="9">
        <v>-4800</v>
      </c>
      <c r="M10" s="9"/>
      <c r="N10" s="48">
        <v>0</v>
      </c>
      <c r="O10" s="21">
        <f t="shared" si="6"/>
        <v>44300</v>
      </c>
      <c r="P10" s="8" t="s">
        <v>199</v>
      </c>
      <c r="Q10" s="9">
        <v>7700</v>
      </c>
      <c r="R10" s="9"/>
      <c r="S10" s="48">
        <v>0</v>
      </c>
      <c r="T10" s="21">
        <f t="shared" si="7"/>
        <v>139700</v>
      </c>
      <c r="U10" s="53">
        <f t="shared" si="0"/>
        <v>21.5</v>
      </c>
      <c r="V10" s="54">
        <f t="shared" si="1"/>
        <v>-39.9</v>
      </c>
      <c r="W10" s="55">
        <f t="shared" si="2"/>
        <v>18.399999999999999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195</v>
      </c>
      <c r="BV10" s="41" t="s">
        <v>82</v>
      </c>
      <c r="BW10" s="41" t="s">
        <v>84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5"/>
        <v>116000</v>
      </c>
      <c r="K11" s="8" t="s">
        <v>194</v>
      </c>
      <c r="L11" s="9">
        <v>-2900</v>
      </c>
      <c r="M11" s="9"/>
      <c r="N11" s="48">
        <v>0</v>
      </c>
      <c r="O11" s="21">
        <f t="shared" si="6"/>
        <v>41400</v>
      </c>
      <c r="P11" s="8" t="s">
        <v>193</v>
      </c>
      <c r="Q11" s="9">
        <v>2900</v>
      </c>
      <c r="R11" s="9"/>
      <c r="S11" s="48">
        <v>0</v>
      </c>
      <c r="T11" s="21">
        <f t="shared" si="7"/>
        <v>142600</v>
      </c>
      <c r="U11" s="53">
        <f t="shared" si="0"/>
        <v>21.5</v>
      </c>
      <c r="V11" s="54">
        <f t="shared" si="1"/>
        <v>-42.8</v>
      </c>
      <c r="W11" s="55">
        <f t="shared" si="2"/>
        <v>21.3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197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だいち</v>
      </c>
      <c r="F12" s="8" t="s">
        <v>193</v>
      </c>
      <c r="G12" s="9">
        <v>8000</v>
      </c>
      <c r="H12" s="9"/>
      <c r="I12" s="48">
        <v>1000</v>
      </c>
      <c r="J12" s="21">
        <f t="shared" si="5"/>
        <v>125000</v>
      </c>
      <c r="K12" s="8"/>
      <c r="L12" s="9"/>
      <c r="M12" s="9"/>
      <c r="N12" s="48"/>
      <c r="O12" s="21">
        <f t="shared" si="6"/>
        <v>41400</v>
      </c>
      <c r="P12" s="8" t="s">
        <v>194</v>
      </c>
      <c r="Q12" s="9">
        <v>-8000</v>
      </c>
      <c r="R12" s="9"/>
      <c r="S12" s="48">
        <v>-1000</v>
      </c>
      <c r="T12" s="21">
        <f t="shared" si="7"/>
        <v>133600</v>
      </c>
      <c r="U12" s="53">
        <f t="shared" si="0"/>
        <v>30.5</v>
      </c>
      <c r="V12" s="54">
        <f t="shared" si="1"/>
        <v>-42.8</v>
      </c>
      <c r="W12" s="55">
        <f t="shared" si="2"/>
        <v>12.3</v>
      </c>
      <c r="Y12" s="8"/>
      <c r="Z12" s="34"/>
      <c r="AA12" s="26"/>
      <c r="AB12" s="26"/>
      <c r="AC12" s="26">
        <v>5</v>
      </c>
      <c r="AD12" s="30" t="s">
        <v>200</v>
      </c>
      <c r="AE12" s="40" t="s">
        <v>84</v>
      </c>
      <c r="AF12" s="41" t="s">
        <v>197</v>
      </c>
      <c r="AG12" s="41" t="s">
        <v>79</v>
      </c>
      <c r="AH12" s="41" t="s">
        <v>79</v>
      </c>
      <c r="AI12" s="41" t="s">
        <v>83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7A22D74F-A11F-49ED-BECC-3254BC8687B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7598E34-46A8-42B9-A694-9FDCB1B06768}">
      <formula1>"ロン,ツモ,放銃,ツモ支払,流局,チョンボ"</formula1>
    </dataValidation>
    <dataValidation type="list" allowBlank="1" showInputMessage="1" showErrorMessage="1" sqref="E4:E30" xr:uid="{CEFE34E9-94E7-41AD-AB04-1FF265B969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749-E037-409C-BC4A-410302646F62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206</v>
      </c>
      <c r="G1" s="96"/>
      <c r="H1" s="96"/>
      <c r="I1" s="97"/>
      <c r="J1" s="98"/>
      <c r="K1" s="95" t="s">
        <v>209</v>
      </c>
      <c r="L1" s="96"/>
      <c r="M1" s="96"/>
      <c r="N1" s="97"/>
      <c r="O1" s="98"/>
      <c r="P1" s="95" t="s">
        <v>208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だいち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まっつん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ただ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133600</v>
      </c>
      <c r="K3" s="7"/>
      <c r="L3" s="23"/>
      <c r="M3" s="23"/>
      <c r="N3" s="47"/>
      <c r="O3" s="20">
        <v>31400</v>
      </c>
      <c r="P3" s="7"/>
      <c r="Q3" s="23"/>
      <c r="R3" s="23"/>
      <c r="S3" s="47"/>
      <c r="T3" s="20">
        <v>135000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7800</v>
      </c>
      <c r="H4" s="9"/>
      <c r="I4" s="48">
        <v>0</v>
      </c>
      <c r="J4" s="21">
        <f>IF(COUNTA($F4,$K4,$P4)&gt;0,J3+SUM(G4:I4),"")</f>
        <v>141400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27500</v>
      </c>
      <c r="P4" s="8" t="s">
        <v>198</v>
      </c>
      <c r="Q4" s="9">
        <v>-3900</v>
      </c>
      <c r="R4" s="9"/>
      <c r="S4" s="48">
        <v>0</v>
      </c>
      <c r="T4" s="21">
        <f>IF(COUNTA($F4,$K4,$P4)&gt;0,T3+SUM(Q4:S4),"")</f>
        <v>131100</v>
      </c>
      <c r="U4" s="53">
        <f t="shared" ref="U4:U30" si="0">IF($J4="","",ROUND(($J4-$J$3)/1000,1))</f>
        <v>7.8</v>
      </c>
      <c r="V4" s="54">
        <f t="shared" ref="V4:V30" si="1">IF($O4="","",ROUND(($O4-$O$3)/1000,1))</f>
        <v>-3.9</v>
      </c>
      <c r="W4" s="55">
        <f t="shared" ref="W4:W30" si="2">IF($T4="","",ROUND(($T4-$T$3)/1000,1))</f>
        <v>-3.9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5">IF(COUNTA($F5,$K5,$P5)&gt;0,J4+SUM(G5:I5),"")</f>
        <v>141400</v>
      </c>
      <c r="K5" s="8" t="s">
        <v>193</v>
      </c>
      <c r="L5" s="9">
        <v>7700</v>
      </c>
      <c r="M5" s="9"/>
      <c r="N5" s="48">
        <v>1000</v>
      </c>
      <c r="O5" s="21">
        <f t="shared" ref="O5:O30" si="6">IF(COUNTA($F5,$K5,$P5)&gt;0,O4+SUM(L5:N5),"")</f>
        <v>36200</v>
      </c>
      <c r="P5" s="8" t="s">
        <v>194</v>
      </c>
      <c r="Q5" s="9">
        <v>-7700</v>
      </c>
      <c r="R5" s="9"/>
      <c r="S5" s="48">
        <v>-1000</v>
      </c>
      <c r="T5" s="21">
        <f t="shared" ref="T5:T30" si="7">IF(COUNTA($F5,$K5,$P5)&gt;0,T4+SUM(Q5:S5),"")</f>
        <v>122400</v>
      </c>
      <c r="U5" s="53">
        <f t="shared" si="0"/>
        <v>7.8</v>
      </c>
      <c r="V5" s="54">
        <f t="shared" si="1"/>
        <v>4.8</v>
      </c>
      <c r="W5" s="55">
        <f t="shared" si="2"/>
        <v>-12.6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104</v>
      </c>
      <c r="BA5" s="41" t="s">
        <v>86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まっつん</v>
      </c>
      <c r="F6" s="8" t="s">
        <v>193</v>
      </c>
      <c r="G6" s="9">
        <v>3200</v>
      </c>
      <c r="H6" s="9"/>
      <c r="I6" s="48">
        <v>0</v>
      </c>
      <c r="J6" s="21">
        <f t="shared" si="5"/>
        <v>144600</v>
      </c>
      <c r="K6" s="8" t="s">
        <v>194</v>
      </c>
      <c r="L6" s="9">
        <v>-3200</v>
      </c>
      <c r="M6" s="9"/>
      <c r="N6" s="48">
        <v>0</v>
      </c>
      <c r="O6" s="21">
        <f t="shared" si="6"/>
        <v>33000</v>
      </c>
      <c r="P6" s="8"/>
      <c r="Q6" s="9"/>
      <c r="R6" s="9"/>
      <c r="S6" s="48"/>
      <c r="T6" s="21">
        <f t="shared" si="7"/>
        <v>122400</v>
      </c>
      <c r="U6" s="53">
        <f t="shared" si="0"/>
        <v>11</v>
      </c>
      <c r="V6" s="54">
        <f t="shared" si="1"/>
        <v>1.6</v>
      </c>
      <c r="W6" s="55">
        <f t="shared" si="2"/>
        <v>-12.6</v>
      </c>
      <c r="Y6" s="8"/>
      <c r="Z6" s="34"/>
      <c r="AA6" s="26">
        <v>1</v>
      </c>
      <c r="AB6" s="26"/>
      <c r="AC6" s="26">
        <v>2</v>
      </c>
      <c r="AD6" s="30">
        <v>50</v>
      </c>
      <c r="AE6" s="40" t="s">
        <v>195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199</v>
      </c>
      <c r="G7" s="9">
        <v>8000</v>
      </c>
      <c r="H7" s="9">
        <v>2000</v>
      </c>
      <c r="I7" s="48">
        <v>0</v>
      </c>
      <c r="J7" s="21">
        <f t="shared" si="5"/>
        <v>154600</v>
      </c>
      <c r="K7" s="8" t="s">
        <v>198</v>
      </c>
      <c r="L7" s="9">
        <v>-3000</v>
      </c>
      <c r="M7" s="9">
        <v>-1000</v>
      </c>
      <c r="N7" s="48">
        <v>0</v>
      </c>
      <c r="O7" s="21">
        <f t="shared" si="6"/>
        <v>29000</v>
      </c>
      <c r="P7" s="8" t="s">
        <v>198</v>
      </c>
      <c r="Q7" s="9">
        <v>-5000</v>
      </c>
      <c r="R7" s="9">
        <v>-1000</v>
      </c>
      <c r="S7" s="48">
        <v>0</v>
      </c>
      <c r="T7" s="21">
        <f t="shared" si="7"/>
        <v>116400</v>
      </c>
      <c r="U7" s="53">
        <f t="shared" si="0"/>
        <v>21</v>
      </c>
      <c r="V7" s="54">
        <f t="shared" si="1"/>
        <v>-2.4</v>
      </c>
      <c r="W7" s="55">
        <f t="shared" si="2"/>
        <v>-18.600000000000001</v>
      </c>
      <c r="Y7" s="8"/>
      <c r="Z7" s="34"/>
      <c r="AA7" s="26"/>
      <c r="AB7" s="26"/>
      <c r="AC7" s="26">
        <v>4</v>
      </c>
      <c r="AD7" s="30">
        <v>40</v>
      </c>
      <c r="AE7" s="40" t="s">
        <v>82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だいち</v>
      </c>
      <c r="F8" s="8" t="s">
        <v>199</v>
      </c>
      <c r="G8" s="9">
        <v>18000</v>
      </c>
      <c r="H8" s="9"/>
      <c r="I8" s="48">
        <v>0</v>
      </c>
      <c r="J8" s="21">
        <f t="shared" si="5"/>
        <v>172600</v>
      </c>
      <c r="K8" s="8" t="s">
        <v>198</v>
      </c>
      <c r="L8" s="9">
        <v>-9000</v>
      </c>
      <c r="M8" s="9"/>
      <c r="N8" s="48">
        <v>0</v>
      </c>
      <c r="O8" s="21">
        <f t="shared" si="6"/>
        <v>20000</v>
      </c>
      <c r="P8" s="8" t="s">
        <v>198</v>
      </c>
      <c r="Q8" s="9">
        <v>-9000</v>
      </c>
      <c r="R8" s="9"/>
      <c r="S8" s="48">
        <v>0</v>
      </c>
      <c r="T8" s="21">
        <f t="shared" si="7"/>
        <v>107400</v>
      </c>
      <c r="U8" s="53">
        <f t="shared" si="0"/>
        <v>39</v>
      </c>
      <c r="V8" s="54">
        <f t="shared" si="1"/>
        <v>-11.4</v>
      </c>
      <c r="W8" s="55">
        <f t="shared" si="2"/>
        <v>-27.6</v>
      </c>
      <c r="Y8" s="8"/>
      <c r="Z8" s="34"/>
      <c r="AA8" s="26"/>
      <c r="AB8" s="26"/>
      <c r="AC8" s="26">
        <v>6</v>
      </c>
      <c r="AD8" s="30" t="s">
        <v>200</v>
      </c>
      <c r="AE8" s="40" t="s">
        <v>101</v>
      </c>
      <c r="AF8" s="41" t="s">
        <v>197</v>
      </c>
      <c r="AG8" s="41" t="s">
        <v>79</v>
      </c>
      <c r="AH8" s="41" t="s">
        <v>79</v>
      </c>
      <c r="AI8" s="41" t="s">
        <v>82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だいち</v>
      </c>
      <c r="F9" s="8" t="s">
        <v>204</v>
      </c>
      <c r="G9" s="9">
        <v>-3000</v>
      </c>
      <c r="H9" s="9"/>
      <c r="I9" s="48"/>
      <c r="J9" s="21">
        <f t="shared" si="5"/>
        <v>169600</v>
      </c>
      <c r="K9" s="8" t="s">
        <v>204</v>
      </c>
      <c r="L9" s="9">
        <v>1500</v>
      </c>
      <c r="M9" s="9"/>
      <c r="N9" s="48"/>
      <c r="O9" s="21">
        <f t="shared" si="6"/>
        <v>21500</v>
      </c>
      <c r="P9" s="8" t="s">
        <v>204</v>
      </c>
      <c r="Q9" s="9">
        <v>1500</v>
      </c>
      <c r="R9" s="9"/>
      <c r="S9" s="48"/>
      <c r="T9" s="21">
        <f t="shared" si="7"/>
        <v>108900</v>
      </c>
      <c r="U9" s="53">
        <f t="shared" si="0"/>
        <v>36</v>
      </c>
      <c r="V9" s="54">
        <f t="shared" si="1"/>
        <v>-9.9</v>
      </c>
      <c r="W9" s="55">
        <f t="shared" si="2"/>
        <v>-26.1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tr">
        <f>IF($K$1="","",$K$1)</f>
        <v>まっつん</v>
      </c>
      <c r="F10" s="8"/>
      <c r="G10" s="9"/>
      <c r="H10" s="9"/>
      <c r="I10" s="48"/>
      <c r="J10" s="21">
        <f t="shared" si="5"/>
        <v>169600</v>
      </c>
      <c r="K10" s="8" t="s">
        <v>193</v>
      </c>
      <c r="L10" s="9">
        <v>9600</v>
      </c>
      <c r="M10" s="9"/>
      <c r="N10" s="48">
        <v>2000</v>
      </c>
      <c r="O10" s="21">
        <f t="shared" si="6"/>
        <v>33100</v>
      </c>
      <c r="P10" s="8" t="s">
        <v>194</v>
      </c>
      <c r="Q10" s="9">
        <v>-9600</v>
      </c>
      <c r="R10" s="9"/>
      <c r="S10" s="48">
        <v>-2000</v>
      </c>
      <c r="T10" s="21">
        <f t="shared" si="7"/>
        <v>97300</v>
      </c>
      <c r="U10" s="53">
        <f t="shared" si="0"/>
        <v>36</v>
      </c>
      <c r="V10" s="54">
        <f t="shared" si="1"/>
        <v>1.7</v>
      </c>
      <c r="W10" s="55">
        <f t="shared" si="2"/>
        <v>-37.700000000000003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25</v>
      </c>
      <c r="AZ10" s="40" t="s">
        <v>101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3</v>
      </c>
      <c r="D11" s="18">
        <f t="shared" si="4"/>
        <v>0</v>
      </c>
      <c r="E11" s="4" t="str">
        <f>IF($K$1="","",$K$1)</f>
        <v>まっつん</v>
      </c>
      <c r="F11" s="8" t="s">
        <v>199</v>
      </c>
      <c r="G11" s="9">
        <v>12000</v>
      </c>
      <c r="H11" s="9"/>
      <c r="I11" s="48">
        <v>3000</v>
      </c>
      <c r="J11" s="21">
        <f t="shared" si="5"/>
        <v>184600</v>
      </c>
      <c r="K11" s="8" t="s">
        <v>198</v>
      </c>
      <c r="L11" s="9">
        <v>-7500</v>
      </c>
      <c r="M11" s="9"/>
      <c r="N11" s="48">
        <v>-1500</v>
      </c>
      <c r="O11" s="21">
        <f t="shared" si="6"/>
        <v>24100</v>
      </c>
      <c r="P11" s="8" t="s">
        <v>198</v>
      </c>
      <c r="Q11" s="9">
        <v>-4500</v>
      </c>
      <c r="R11" s="9"/>
      <c r="S11" s="48">
        <v>-1500</v>
      </c>
      <c r="T11" s="21">
        <f t="shared" si="7"/>
        <v>91300</v>
      </c>
      <c r="U11" s="53">
        <f t="shared" si="0"/>
        <v>51</v>
      </c>
      <c r="V11" s="54">
        <f t="shared" si="1"/>
        <v>-7.3</v>
      </c>
      <c r="W11" s="55">
        <f t="shared" si="2"/>
        <v>-43.7</v>
      </c>
      <c r="Y11" s="8"/>
      <c r="Z11" s="34"/>
      <c r="AA11" s="26"/>
      <c r="AB11" s="26"/>
      <c r="AC11" s="26">
        <v>6</v>
      </c>
      <c r="AD11" s="30" t="s">
        <v>200</v>
      </c>
      <c r="AE11" s="40" t="s">
        <v>82</v>
      </c>
      <c r="AF11" s="41" t="s">
        <v>101</v>
      </c>
      <c r="AG11" s="41" t="s">
        <v>79</v>
      </c>
      <c r="AH11" s="41" t="s">
        <v>79</v>
      </c>
      <c r="AI11" s="41" t="s">
        <v>197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tr">
        <f>IF($P$1="","",$P$1)</f>
        <v>ただ</v>
      </c>
      <c r="F12" s="8" t="s">
        <v>204</v>
      </c>
      <c r="G12" s="9">
        <v>-3000</v>
      </c>
      <c r="H12" s="9"/>
      <c r="I12" s="48"/>
      <c r="J12" s="21">
        <f t="shared" si="5"/>
        <v>181600</v>
      </c>
      <c r="K12" s="8" t="s">
        <v>204</v>
      </c>
      <c r="L12" s="9">
        <v>1500</v>
      </c>
      <c r="M12" s="9">
        <v>-1000</v>
      </c>
      <c r="N12" s="48"/>
      <c r="O12" s="21">
        <f t="shared" si="6"/>
        <v>24600</v>
      </c>
      <c r="P12" s="8" t="s">
        <v>204</v>
      </c>
      <c r="Q12" s="9">
        <v>1500</v>
      </c>
      <c r="R12" s="9">
        <v>-1000</v>
      </c>
      <c r="S12" s="48"/>
      <c r="T12" s="21">
        <f t="shared" si="7"/>
        <v>91800</v>
      </c>
      <c r="U12" s="53">
        <f t="shared" si="0"/>
        <v>48</v>
      </c>
      <c r="V12" s="54">
        <f t="shared" si="1"/>
        <v>-6.8</v>
      </c>
      <c r="W12" s="55">
        <f t="shared" si="2"/>
        <v>-43.2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1</v>
      </c>
      <c r="D13" s="18">
        <f t="shared" si="4"/>
        <v>2</v>
      </c>
      <c r="E13" s="4" t="str">
        <f>IF($P$1="","",$P$1)</f>
        <v>ただ</v>
      </c>
      <c r="F13" s="8" t="s">
        <v>193</v>
      </c>
      <c r="G13" s="9">
        <v>2000</v>
      </c>
      <c r="H13" s="9">
        <v>2000</v>
      </c>
      <c r="I13" s="48">
        <v>1000</v>
      </c>
      <c r="J13" s="21">
        <f t="shared" si="5"/>
        <v>186600</v>
      </c>
      <c r="K13" s="8" t="s">
        <v>194</v>
      </c>
      <c r="L13" s="9">
        <v>-2000</v>
      </c>
      <c r="M13" s="9"/>
      <c r="N13" s="48">
        <v>-1000</v>
      </c>
      <c r="O13" s="21">
        <f t="shared" si="6"/>
        <v>21600</v>
      </c>
      <c r="P13" s="8"/>
      <c r="Q13" s="9"/>
      <c r="R13" s="9"/>
      <c r="S13" s="48"/>
      <c r="T13" s="21">
        <f t="shared" si="7"/>
        <v>91800</v>
      </c>
      <c r="U13" s="53">
        <f t="shared" si="0"/>
        <v>53</v>
      </c>
      <c r="V13" s="54">
        <f t="shared" si="1"/>
        <v>-9.8000000000000007</v>
      </c>
      <c r="W13" s="55">
        <f t="shared" si="2"/>
        <v>-43.2</v>
      </c>
      <c r="Y13" s="8"/>
      <c r="Z13" s="34"/>
      <c r="AA13" s="26"/>
      <c r="AB13" s="26"/>
      <c r="AC13" s="26">
        <v>2</v>
      </c>
      <c r="AD13" s="30">
        <v>30</v>
      </c>
      <c r="AE13" s="40" t="s">
        <v>84</v>
      </c>
      <c r="AF13" s="41" t="s">
        <v>83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15FF805B-2208-4738-9C79-895EDAA29467}">
      <formula1>$U$2:$W$2</formula1>
    </dataValidation>
    <dataValidation type="list" showInputMessage="1" showErrorMessage="1" sqref="K4:K30 P4:P30 F4:F30" xr:uid="{6710AE1C-80B3-4DF5-A93C-333DE19480AA}">
      <formula1>"ロン,ツモ,放銃,ツモ支払,流局,チョンボ"</formula1>
    </dataValidation>
    <dataValidation type="list" allowBlank="1" showInputMessage="1" sqref="F1:T1" xr:uid="{F9B3F645-1913-466E-AB75-7980DF214498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035E-6579-4664-A229-6072286AFDB4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209</v>
      </c>
      <c r="G1" s="96"/>
      <c r="H1" s="96"/>
      <c r="I1" s="97"/>
      <c r="J1" s="98"/>
      <c r="K1" s="95" t="s">
        <v>210</v>
      </c>
      <c r="L1" s="96"/>
      <c r="M1" s="96"/>
      <c r="N1" s="97"/>
      <c r="O1" s="98"/>
      <c r="P1" s="95" t="s">
        <v>208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まっつん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いちかわ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ただ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いちかわ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21600</v>
      </c>
      <c r="K3" s="7"/>
      <c r="L3" s="23"/>
      <c r="M3" s="23"/>
      <c r="N3" s="47"/>
      <c r="O3" s="20">
        <v>196600</v>
      </c>
      <c r="P3" s="7"/>
      <c r="Q3" s="23"/>
      <c r="R3" s="23"/>
      <c r="S3" s="47"/>
      <c r="T3" s="20">
        <v>81800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1500</v>
      </c>
      <c r="H4" s="9"/>
      <c r="I4" s="48"/>
      <c r="J4" s="21">
        <f>IF(COUNTA($F4,$K4,$P4)&gt;0,J3+SUM(G4:I4),"")</f>
        <v>23100</v>
      </c>
      <c r="K4" s="8" t="s">
        <v>204</v>
      </c>
      <c r="L4" s="9">
        <v>-3000</v>
      </c>
      <c r="M4" s="9"/>
      <c r="N4" s="48"/>
      <c r="O4" s="21">
        <f>IF(COUNTA($F4,$K4,$P4)&gt;0,O3+SUM(L4:N4),"")</f>
        <v>193600</v>
      </c>
      <c r="P4" s="8" t="s">
        <v>204</v>
      </c>
      <c r="Q4" s="9">
        <v>1500</v>
      </c>
      <c r="R4" s="9"/>
      <c r="S4" s="48"/>
      <c r="T4" s="21">
        <f>IF(COUNTA($F4,$K4,$P4)&gt;0,T3+SUM(Q4:S4),"")</f>
        <v>83300</v>
      </c>
      <c r="U4" s="53">
        <f t="shared" ref="U4:U30" si="0">IF($J4="","",ROUND(($J4-$J$3)/1000,1))</f>
        <v>1.5</v>
      </c>
      <c r="V4" s="54">
        <f t="shared" ref="V4:V30" si="1">IF($O4="","",ROUND(($O4-$O$3)/1000,1))</f>
        <v>-3</v>
      </c>
      <c r="W4" s="55">
        <f t="shared" ref="W4:W30" si="2">IF($T4="","",ROUND(($T4-$T$3)/1000,1))</f>
        <v>1.5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まっつん</v>
      </c>
      <c r="F5" s="8" t="s">
        <v>198</v>
      </c>
      <c r="G5" s="9">
        <v>-5000</v>
      </c>
      <c r="H5" s="9">
        <v>-1000</v>
      </c>
      <c r="I5" s="48">
        <v>-500</v>
      </c>
      <c r="J5" s="21">
        <f t="shared" ref="J5:J30" si="5">IF(COUNTA($F5,$K5,$P5)&gt;0,J4+SUM(G5:I5),"")</f>
        <v>16600</v>
      </c>
      <c r="K5" s="8" t="s">
        <v>198</v>
      </c>
      <c r="L5" s="9">
        <v>-3000</v>
      </c>
      <c r="M5" s="9"/>
      <c r="N5" s="48">
        <v>-500</v>
      </c>
      <c r="O5" s="21">
        <f t="shared" ref="O5:O30" si="6">IF(COUNTA($F5,$K5,$P5)&gt;0,O4+SUM(L5:N5),"")</f>
        <v>190100</v>
      </c>
      <c r="P5" s="8" t="s">
        <v>199</v>
      </c>
      <c r="Q5" s="9">
        <v>8000</v>
      </c>
      <c r="R5" s="9">
        <v>1000</v>
      </c>
      <c r="S5" s="48">
        <v>1000</v>
      </c>
      <c r="T5" s="21">
        <f t="shared" ref="T5:T30" si="7">IF(COUNTA($F5,$K5,$P5)&gt;0,T4+SUM(Q5:S5),"")</f>
        <v>93300</v>
      </c>
      <c r="U5" s="53">
        <f t="shared" si="0"/>
        <v>-5</v>
      </c>
      <c r="V5" s="54">
        <f t="shared" si="1"/>
        <v>-6.5</v>
      </c>
      <c r="W5" s="55">
        <f t="shared" si="2"/>
        <v>11.5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86</v>
      </c>
      <c r="BV5" s="41" t="s">
        <v>86</v>
      </c>
      <c r="BW5" s="41" t="s">
        <v>104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いちかわ</v>
      </c>
      <c r="F6" s="8" t="s">
        <v>199</v>
      </c>
      <c r="G6" s="9">
        <v>7700</v>
      </c>
      <c r="H6" s="9">
        <v>1000</v>
      </c>
      <c r="I6" s="48">
        <v>0</v>
      </c>
      <c r="J6" s="21">
        <f t="shared" si="5"/>
        <v>25300</v>
      </c>
      <c r="K6" s="8" t="s">
        <v>198</v>
      </c>
      <c r="L6" s="9">
        <v>-4800</v>
      </c>
      <c r="M6" s="9">
        <v>-1000</v>
      </c>
      <c r="N6" s="48">
        <v>0</v>
      </c>
      <c r="O6" s="21">
        <f t="shared" si="6"/>
        <v>184300</v>
      </c>
      <c r="P6" s="8" t="s">
        <v>198</v>
      </c>
      <c r="Q6" s="9">
        <v>-2900</v>
      </c>
      <c r="R6" s="9"/>
      <c r="S6" s="48">
        <v>0</v>
      </c>
      <c r="T6" s="21">
        <f t="shared" si="7"/>
        <v>90400</v>
      </c>
      <c r="U6" s="53">
        <f t="shared" si="0"/>
        <v>3.7</v>
      </c>
      <c r="V6" s="54">
        <f t="shared" si="1"/>
        <v>-12.3</v>
      </c>
      <c r="W6" s="55">
        <f t="shared" si="2"/>
        <v>8.6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195</v>
      </c>
      <c r="AF6" s="41" t="s">
        <v>82</v>
      </c>
      <c r="AG6" s="41" t="s">
        <v>196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198</v>
      </c>
      <c r="G7" s="9">
        <v>-500</v>
      </c>
      <c r="H7" s="9"/>
      <c r="I7" s="48">
        <v>0</v>
      </c>
      <c r="J7" s="21">
        <f t="shared" si="5"/>
        <v>24800</v>
      </c>
      <c r="K7" s="8" t="s">
        <v>199</v>
      </c>
      <c r="L7" s="9">
        <v>1200</v>
      </c>
      <c r="M7" s="9"/>
      <c r="N7" s="48">
        <v>0</v>
      </c>
      <c r="O7" s="21">
        <f t="shared" si="6"/>
        <v>185500</v>
      </c>
      <c r="P7" s="8" t="s">
        <v>198</v>
      </c>
      <c r="Q7" s="9">
        <v>-700</v>
      </c>
      <c r="R7" s="9"/>
      <c r="S7" s="48">
        <v>0</v>
      </c>
      <c r="T7" s="21">
        <f t="shared" si="7"/>
        <v>89700</v>
      </c>
      <c r="U7" s="53">
        <f t="shared" si="0"/>
        <v>3.2</v>
      </c>
      <c r="V7" s="54">
        <f t="shared" si="1"/>
        <v>-11.1</v>
      </c>
      <c r="W7" s="55">
        <f t="shared" si="2"/>
        <v>7.9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まっつん</v>
      </c>
      <c r="F8" s="8" t="s">
        <v>193</v>
      </c>
      <c r="G8" s="9">
        <v>7700</v>
      </c>
      <c r="H8" s="9"/>
      <c r="I8" s="48">
        <v>0</v>
      </c>
      <c r="J8" s="21">
        <f t="shared" si="5"/>
        <v>32500</v>
      </c>
      <c r="K8" s="8" t="s">
        <v>194</v>
      </c>
      <c r="L8" s="9">
        <v>-7700</v>
      </c>
      <c r="M8" s="9"/>
      <c r="N8" s="48">
        <v>0</v>
      </c>
      <c r="O8" s="21">
        <f t="shared" si="6"/>
        <v>177800</v>
      </c>
      <c r="P8" s="8"/>
      <c r="Q8" s="9"/>
      <c r="R8" s="9"/>
      <c r="S8" s="48"/>
      <c r="T8" s="21">
        <f t="shared" si="7"/>
        <v>89700</v>
      </c>
      <c r="U8" s="53">
        <f t="shared" si="0"/>
        <v>10.9</v>
      </c>
      <c r="V8" s="54">
        <f t="shared" si="1"/>
        <v>-18.8</v>
      </c>
      <c r="W8" s="55">
        <f t="shared" si="2"/>
        <v>7.9</v>
      </c>
      <c r="Y8" s="8"/>
      <c r="Z8" s="34"/>
      <c r="AA8" s="26"/>
      <c r="AB8" s="26"/>
      <c r="AC8" s="26">
        <v>3</v>
      </c>
      <c r="AD8" s="30">
        <v>40</v>
      </c>
      <c r="AE8" s="40" t="s">
        <v>85</v>
      </c>
      <c r="AF8" s="41" t="s">
        <v>84</v>
      </c>
      <c r="AG8" s="41" t="s">
        <v>197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まっつん</v>
      </c>
      <c r="F9" s="8" t="s">
        <v>199</v>
      </c>
      <c r="G9" s="9">
        <v>12000</v>
      </c>
      <c r="H9" s="9">
        <v>1000</v>
      </c>
      <c r="I9" s="48">
        <v>1000</v>
      </c>
      <c r="J9" s="21">
        <f t="shared" si="5"/>
        <v>46500</v>
      </c>
      <c r="K9" s="8" t="s">
        <v>198</v>
      </c>
      <c r="L9" s="9">
        <v>-6000</v>
      </c>
      <c r="M9" s="9">
        <v>-1000</v>
      </c>
      <c r="N9" s="48">
        <v>-500</v>
      </c>
      <c r="O9" s="21">
        <f t="shared" si="6"/>
        <v>170300</v>
      </c>
      <c r="P9" s="8" t="s">
        <v>198</v>
      </c>
      <c r="Q9" s="9">
        <v>-6000</v>
      </c>
      <c r="R9" s="9"/>
      <c r="S9" s="48">
        <v>-500</v>
      </c>
      <c r="T9" s="21">
        <f t="shared" si="7"/>
        <v>83200</v>
      </c>
      <c r="U9" s="53">
        <f t="shared" si="0"/>
        <v>24.9</v>
      </c>
      <c r="V9" s="54">
        <f t="shared" si="1"/>
        <v>-26.3</v>
      </c>
      <c r="W9" s="55">
        <f t="shared" si="2"/>
        <v>1.4</v>
      </c>
      <c r="Y9" s="8"/>
      <c r="Z9" s="34"/>
      <c r="AA9" s="26"/>
      <c r="AB9" s="26">
        <v>1</v>
      </c>
      <c r="AC9" s="26">
        <v>4</v>
      </c>
      <c r="AD9" s="30">
        <v>50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tr">
        <f>IF($F$1="","",$F$1)</f>
        <v>まっつん</v>
      </c>
      <c r="F10" s="8" t="s">
        <v>193</v>
      </c>
      <c r="G10" s="9">
        <v>7700</v>
      </c>
      <c r="H10" s="9"/>
      <c r="I10" s="48">
        <v>2000</v>
      </c>
      <c r="J10" s="21">
        <f t="shared" si="5"/>
        <v>56200</v>
      </c>
      <c r="K10" s="8" t="s">
        <v>193</v>
      </c>
      <c r="L10" s="9">
        <v>12000</v>
      </c>
      <c r="M10" s="9"/>
      <c r="N10" s="48"/>
      <c r="O10" s="21">
        <f t="shared" si="6"/>
        <v>182300</v>
      </c>
      <c r="P10" s="8" t="s">
        <v>194</v>
      </c>
      <c r="Q10" s="9">
        <v>-19700</v>
      </c>
      <c r="R10" s="9"/>
      <c r="S10" s="48">
        <v>-2000</v>
      </c>
      <c r="T10" s="21">
        <f t="shared" si="7"/>
        <v>61500</v>
      </c>
      <c r="U10" s="53">
        <f t="shared" si="0"/>
        <v>34.6</v>
      </c>
      <c r="V10" s="54">
        <f t="shared" si="1"/>
        <v>-14.3</v>
      </c>
      <c r="W10" s="55">
        <f t="shared" si="2"/>
        <v>-20.3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200</v>
      </c>
      <c r="AZ10" s="40" t="s">
        <v>96</v>
      </c>
      <c r="BA10" s="41" t="s">
        <v>98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3</v>
      </c>
      <c r="D11" s="18">
        <f t="shared" si="4"/>
        <v>0</v>
      </c>
      <c r="E11" s="4" t="str">
        <f>IF($F$1="","",$F$1)</f>
        <v>まっつん</v>
      </c>
      <c r="F11" s="8" t="s">
        <v>194</v>
      </c>
      <c r="G11" s="9">
        <v>-7700</v>
      </c>
      <c r="H11" s="9"/>
      <c r="I11" s="48">
        <v>-3000</v>
      </c>
      <c r="J11" s="21">
        <f t="shared" si="5"/>
        <v>45500</v>
      </c>
      <c r="K11" s="8"/>
      <c r="L11" s="9"/>
      <c r="M11" s="9"/>
      <c r="N11" s="48"/>
      <c r="O11" s="21">
        <f t="shared" si="6"/>
        <v>182300</v>
      </c>
      <c r="P11" s="8" t="s">
        <v>193</v>
      </c>
      <c r="Q11" s="9">
        <v>7700</v>
      </c>
      <c r="R11" s="9"/>
      <c r="S11" s="48">
        <v>3000</v>
      </c>
      <c r="T11" s="21">
        <f t="shared" si="7"/>
        <v>72200</v>
      </c>
      <c r="U11" s="53">
        <f t="shared" si="0"/>
        <v>23.9</v>
      </c>
      <c r="V11" s="54">
        <f t="shared" si="1"/>
        <v>-14.3</v>
      </c>
      <c r="W11" s="55">
        <f t="shared" si="2"/>
        <v>-9.6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195</v>
      </c>
      <c r="BV11" s="41" t="s">
        <v>85</v>
      </c>
      <c r="BW11" s="41" t="s">
        <v>83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tr">
        <f>IF($K$1="","",$K$1)</f>
        <v>いちかわ</v>
      </c>
      <c r="F12" s="8"/>
      <c r="G12" s="9"/>
      <c r="H12" s="9"/>
      <c r="I12" s="48"/>
      <c r="J12" s="21">
        <f t="shared" si="5"/>
        <v>45500</v>
      </c>
      <c r="K12" s="8" t="s">
        <v>193</v>
      </c>
      <c r="L12" s="9">
        <v>7700</v>
      </c>
      <c r="M12" s="9"/>
      <c r="N12" s="48">
        <v>0</v>
      </c>
      <c r="O12" s="21">
        <f t="shared" si="6"/>
        <v>190000</v>
      </c>
      <c r="P12" s="8" t="s">
        <v>194</v>
      </c>
      <c r="Q12" s="9">
        <v>-7700</v>
      </c>
      <c r="R12" s="9"/>
      <c r="S12" s="48">
        <v>0</v>
      </c>
      <c r="T12" s="21">
        <f t="shared" si="7"/>
        <v>64500</v>
      </c>
      <c r="U12" s="53">
        <f t="shared" si="0"/>
        <v>23.9</v>
      </c>
      <c r="V12" s="54">
        <f t="shared" si="1"/>
        <v>-6.6</v>
      </c>
      <c r="W12" s="55">
        <f t="shared" si="2"/>
        <v>-17.3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40</v>
      </c>
      <c r="AZ12" s="40" t="s">
        <v>195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1</v>
      </c>
      <c r="D13" s="18">
        <f t="shared" si="4"/>
        <v>0</v>
      </c>
      <c r="E13" s="4" t="str">
        <f>IF($K$1="","",$K$1)</f>
        <v>いちかわ</v>
      </c>
      <c r="F13" s="8" t="s">
        <v>199</v>
      </c>
      <c r="G13" s="9">
        <v>8000</v>
      </c>
      <c r="H13" s="9"/>
      <c r="I13" s="48">
        <v>1000</v>
      </c>
      <c r="J13" s="21">
        <f t="shared" si="5"/>
        <v>54500</v>
      </c>
      <c r="K13" s="8" t="s">
        <v>198</v>
      </c>
      <c r="L13" s="9">
        <v>-5000</v>
      </c>
      <c r="M13" s="9"/>
      <c r="N13" s="48">
        <v>-500</v>
      </c>
      <c r="O13" s="21">
        <f t="shared" si="6"/>
        <v>184500</v>
      </c>
      <c r="P13" s="8" t="s">
        <v>198</v>
      </c>
      <c r="Q13" s="9">
        <v>-3000</v>
      </c>
      <c r="R13" s="9"/>
      <c r="S13" s="48">
        <v>-500</v>
      </c>
      <c r="T13" s="21">
        <f t="shared" si="7"/>
        <v>61000</v>
      </c>
      <c r="U13" s="53">
        <f t="shared" si="0"/>
        <v>32.9</v>
      </c>
      <c r="V13" s="54">
        <f t="shared" si="1"/>
        <v>-12.1</v>
      </c>
      <c r="W13" s="55">
        <f t="shared" si="2"/>
        <v>-20.8</v>
      </c>
      <c r="Y13" s="8"/>
      <c r="Z13" s="34"/>
      <c r="AA13" s="26"/>
      <c r="AB13" s="26">
        <v>1</v>
      </c>
      <c r="AC13" s="26">
        <v>5</v>
      </c>
      <c r="AD13" s="30" t="s">
        <v>200</v>
      </c>
      <c r="AE13" s="40" t="s">
        <v>86</v>
      </c>
      <c r="AF13" s="41" t="s">
        <v>197</v>
      </c>
      <c r="AG13" s="41" t="s">
        <v>79</v>
      </c>
      <c r="AH13" s="41" t="s">
        <v>79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tr">
        <f>IF($P$1="","",$P$1)</f>
        <v>ただ</v>
      </c>
      <c r="F14" s="8" t="s">
        <v>193</v>
      </c>
      <c r="G14" s="9">
        <v>8000</v>
      </c>
      <c r="H14" s="9"/>
      <c r="I14" s="48">
        <v>0</v>
      </c>
      <c r="J14" s="21">
        <f t="shared" si="5"/>
        <v>62500</v>
      </c>
      <c r="K14" s="8" t="s">
        <v>194</v>
      </c>
      <c r="L14" s="9">
        <v>-8000</v>
      </c>
      <c r="M14" s="9"/>
      <c r="N14" s="48">
        <v>0</v>
      </c>
      <c r="O14" s="21">
        <f t="shared" si="6"/>
        <v>176500</v>
      </c>
      <c r="P14" s="8"/>
      <c r="Q14" s="9"/>
      <c r="R14" s="9"/>
      <c r="S14" s="48"/>
      <c r="T14" s="21">
        <f t="shared" si="7"/>
        <v>61000</v>
      </c>
      <c r="U14" s="53">
        <f t="shared" si="0"/>
        <v>40.9</v>
      </c>
      <c r="V14" s="54">
        <f t="shared" si="1"/>
        <v>-20.100000000000001</v>
      </c>
      <c r="W14" s="55">
        <f t="shared" si="2"/>
        <v>-20.8</v>
      </c>
      <c r="Y14" s="8"/>
      <c r="Z14" s="34"/>
      <c r="AA14" s="26">
        <v>1</v>
      </c>
      <c r="AB14" s="26"/>
      <c r="AC14" s="26">
        <v>4</v>
      </c>
      <c r="AD14" s="30">
        <v>40</v>
      </c>
      <c r="AE14" s="40" t="s">
        <v>195</v>
      </c>
      <c r="AF14" s="41" t="s">
        <v>196</v>
      </c>
      <c r="AG14" s="41" t="s">
        <v>84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21E937B0-A86E-45DD-AA03-F8146BB7F53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F37668E-E365-4C83-9526-2C85282A3107}">
      <formula1>"ロン,ツモ,放銃,ツモ支払,流局,チョンボ"</formula1>
    </dataValidation>
    <dataValidation type="list" allowBlank="1" showInputMessage="1" showErrorMessage="1" sqref="E4:E30" xr:uid="{3C6375D3-CD4D-4B90-B7C8-683C67A2DC1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5C8F-2C1B-4A22-8CA7-7617AEC56FF4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211</v>
      </c>
      <c r="G1" s="96"/>
      <c r="H1" s="96"/>
      <c r="I1" s="97"/>
      <c r="J1" s="98"/>
      <c r="K1" s="95" t="s">
        <v>209</v>
      </c>
      <c r="L1" s="96"/>
      <c r="M1" s="96"/>
      <c r="N1" s="97"/>
      <c r="O1" s="98"/>
      <c r="P1" s="95" t="s">
        <v>206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りくと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まっつん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だいち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51000</v>
      </c>
      <c r="K3" s="7"/>
      <c r="L3" s="23"/>
      <c r="M3" s="23"/>
      <c r="N3" s="47"/>
      <c r="O3" s="20">
        <v>72500</v>
      </c>
      <c r="P3" s="7"/>
      <c r="Q3" s="23"/>
      <c r="R3" s="23"/>
      <c r="S3" s="47"/>
      <c r="T3" s="20">
        <v>176500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-8000</v>
      </c>
      <c r="H4" s="9">
        <v>-1000</v>
      </c>
      <c r="I4" s="48">
        <v>0</v>
      </c>
      <c r="J4" s="21">
        <f>IF(COUNTA($F4,$K4,$P4)&gt;0,J3+SUM(G4:I4),"")</f>
        <v>42000</v>
      </c>
      <c r="K4" s="8" t="s">
        <v>193</v>
      </c>
      <c r="L4" s="9">
        <v>8000</v>
      </c>
      <c r="M4" s="9">
        <v>1000</v>
      </c>
      <c r="N4" s="48">
        <v>0</v>
      </c>
      <c r="O4" s="21">
        <f>IF(COUNTA($F4,$K4,$P4)&gt;0,O3+SUM(L4:N4),"")</f>
        <v>81500</v>
      </c>
      <c r="P4" s="8"/>
      <c r="Q4" s="9"/>
      <c r="R4" s="9"/>
      <c r="S4" s="48"/>
      <c r="T4" s="21">
        <f>IF(COUNTA($F4,$K4,$P4)&gt;0,T3+SUM(Q4:S4),"")</f>
        <v>176500</v>
      </c>
      <c r="U4" s="53">
        <f t="shared" ref="U4:U30" si="0">IF($J4="","",ROUND(($J4-$J$3)/1000,1))</f>
        <v>-9</v>
      </c>
      <c r="V4" s="54">
        <f t="shared" ref="V4:V30" si="1">IF($O4="","",ROUND(($O4-$O$3)/1000,1))</f>
        <v>9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200</v>
      </c>
      <c r="AZ4" s="40" t="s">
        <v>195</v>
      </c>
      <c r="BA4" s="41" t="s">
        <v>197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-2400</v>
      </c>
      <c r="H5" s="9"/>
      <c r="I5" s="48">
        <v>0</v>
      </c>
      <c r="J5" s="21">
        <f t="shared" ref="J5:J30" si="5">IF(COUNTA($F5,$K5,$P5)&gt;0,J4+SUM(G5:I5),"")</f>
        <v>39600</v>
      </c>
      <c r="K5" s="8" t="s">
        <v>198</v>
      </c>
      <c r="L5" s="9">
        <v>-4000</v>
      </c>
      <c r="M5" s="9"/>
      <c r="N5" s="48">
        <v>0</v>
      </c>
      <c r="O5" s="21">
        <f t="shared" ref="O5:O30" si="6">IF(COUNTA($F5,$K5,$P5)&gt;0,O4+SUM(L5:N5),"")</f>
        <v>77500</v>
      </c>
      <c r="P5" s="8" t="s">
        <v>199</v>
      </c>
      <c r="Q5" s="9">
        <v>6400</v>
      </c>
      <c r="R5" s="9"/>
      <c r="S5" s="48">
        <v>0</v>
      </c>
      <c r="T5" s="21">
        <f t="shared" ref="T5:T30" si="7">IF(COUNTA($F5,$K5,$P5)&gt;0,T4+SUM(Q5:S5),"")</f>
        <v>182900</v>
      </c>
      <c r="U5" s="53">
        <f t="shared" si="0"/>
        <v>-11.4</v>
      </c>
      <c r="V5" s="54">
        <f t="shared" si="1"/>
        <v>5</v>
      </c>
      <c r="W5" s="55">
        <f t="shared" si="2"/>
        <v>6.4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25</v>
      </c>
      <c r="BU5" s="40" t="s">
        <v>195</v>
      </c>
      <c r="BV5" s="41" t="s">
        <v>82</v>
      </c>
      <c r="BW5" s="41" t="s">
        <v>101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5"/>
        <v>39600</v>
      </c>
      <c r="K6" s="8" t="s">
        <v>193</v>
      </c>
      <c r="L6" s="9">
        <v>2600</v>
      </c>
      <c r="M6" s="9">
        <v>1000</v>
      </c>
      <c r="N6" s="48">
        <v>0</v>
      </c>
      <c r="O6" s="21">
        <f t="shared" si="6"/>
        <v>81100</v>
      </c>
      <c r="P6" s="8" t="s">
        <v>194</v>
      </c>
      <c r="Q6" s="9">
        <v>-2600</v>
      </c>
      <c r="R6" s="9">
        <v>-1000</v>
      </c>
      <c r="S6" s="48">
        <v>0</v>
      </c>
      <c r="T6" s="21">
        <f t="shared" si="7"/>
        <v>179300</v>
      </c>
      <c r="U6" s="53">
        <f t="shared" si="0"/>
        <v>-11.4</v>
      </c>
      <c r="V6" s="54">
        <f t="shared" si="1"/>
        <v>8.6</v>
      </c>
      <c r="W6" s="55">
        <f t="shared" si="2"/>
        <v>2.8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84</v>
      </c>
      <c r="BA6" s="41" t="s">
        <v>197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りくと</v>
      </c>
      <c r="F7" s="8" t="s">
        <v>193</v>
      </c>
      <c r="G7" s="9">
        <v>12000</v>
      </c>
      <c r="H7" s="9"/>
      <c r="I7" s="48">
        <v>0</v>
      </c>
      <c r="J7" s="21">
        <f t="shared" si="5"/>
        <v>51600</v>
      </c>
      <c r="K7" s="8"/>
      <c r="L7" s="9"/>
      <c r="M7" s="9"/>
      <c r="N7" s="48"/>
      <c r="O7" s="21">
        <f t="shared" si="6"/>
        <v>81100</v>
      </c>
      <c r="P7" s="8" t="s">
        <v>194</v>
      </c>
      <c r="Q7" s="9">
        <v>-12000</v>
      </c>
      <c r="R7" s="9"/>
      <c r="S7" s="48">
        <v>0</v>
      </c>
      <c r="T7" s="21">
        <f t="shared" si="7"/>
        <v>167300</v>
      </c>
      <c r="U7" s="53">
        <f t="shared" si="0"/>
        <v>0.6</v>
      </c>
      <c r="V7" s="54">
        <f t="shared" si="1"/>
        <v>8.6</v>
      </c>
      <c r="W7" s="55">
        <f t="shared" si="2"/>
        <v>-9.1999999999999993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195</v>
      </c>
      <c r="AF7" s="41" t="s">
        <v>83</v>
      </c>
      <c r="AG7" s="41" t="s">
        <v>92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5"/>
        <v>51600</v>
      </c>
      <c r="K8" s="8" t="s">
        <v>194</v>
      </c>
      <c r="L8" s="9">
        <v>-8000</v>
      </c>
      <c r="M8" s="9"/>
      <c r="N8" s="48">
        <v>-1000</v>
      </c>
      <c r="O8" s="21">
        <f t="shared" si="6"/>
        <v>72100</v>
      </c>
      <c r="P8" s="8" t="s">
        <v>193</v>
      </c>
      <c r="Q8" s="9">
        <v>8000</v>
      </c>
      <c r="R8" s="9"/>
      <c r="S8" s="48">
        <v>1000</v>
      </c>
      <c r="T8" s="21">
        <f t="shared" si="7"/>
        <v>176300</v>
      </c>
      <c r="U8" s="53">
        <f t="shared" si="0"/>
        <v>0.6</v>
      </c>
      <c r="V8" s="54">
        <f t="shared" si="1"/>
        <v>-0.4</v>
      </c>
      <c r="W8" s="55">
        <f t="shared" si="2"/>
        <v>-0.2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50</v>
      </c>
      <c r="BU8" s="40" t="s">
        <v>86</v>
      </c>
      <c r="BV8" s="41" t="s">
        <v>86</v>
      </c>
      <c r="BW8" s="41" t="s">
        <v>98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まっつん</v>
      </c>
      <c r="F9" s="8" t="s">
        <v>204</v>
      </c>
      <c r="G9" s="9">
        <v>-1500</v>
      </c>
      <c r="H9" s="9"/>
      <c r="I9" s="48"/>
      <c r="J9" s="21">
        <f t="shared" si="5"/>
        <v>50100</v>
      </c>
      <c r="K9" s="8" t="s">
        <v>204</v>
      </c>
      <c r="L9" s="9">
        <v>3000</v>
      </c>
      <c r="M9" s="9">
        <v>-1000</v>
      </c>
      <c r="N9" s="48"/>
      <c r="O9" s="21">
        <f t="shared" si="6"/>
        <v>74100</v>
      </c>
      <c r="P9" s="8" t="s">
        <v>204</v>
      </c>
      <c r="Q9" s="9">
        <v>-1500</v>
      </c>
      <c r="R9" s="9"/>
      <c r="S9" s="48"/>
      <c r="T9" s="21">
        <f t="shared" si="7"/>
        <v>174800</v>
      </c>
      <c r="U9" s="53">
        <f t="shared" si="0"/>
        <v>-0.9</v>
      </c>
      <c r="V9" s="54">
        <f t="shared" si="1"/>
        <v>1.6</v>
      </c>
      <c r="W9" s="55">
        <f t="shared" si="2"/>
        <v>-1.7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1</v>
      </c>
      <c r="E10" s="4" t="str">
        <f>IF($K$1="","",$K$1)</f>
        <v>まっつん</v>
      </c>
      <c r="F10" s="8" t="s">
        <v>199</v>
      </c>
      <c r="G10" s="9">
        <v>5300</v>
      </c>
      <c r="H10" s="9">
        <v>1000</v>
      </c>
      <c r="I10" s="48">
        <v>1000</v>
      </c>
      <c r="J10" s="21">
        <f t="shared" si="5"/>
        <v>57400</v>
      </c>
      <c r="K10" s="8" t="s">
        <v>198</v>
      </c>
      <c r="L10" s="9">
        <v>-3300</v>
      </c>
      <c r="M10" s="9"/>
      <c r="N10" s="48">
        <v>-500</v>
      </c>
      <c r="O10" s="21">
        <f t="shared" si="6"/>
        <v>70300</v>
      </c>
      <c r="P10" s="8" t="s">
        <v>198</v>
      </c>
      <c r="Q10" s="9">
        <v>-2000</v>
      </c>
      <c r="R10" s="9"/>
      <c r="S10" s="48">
        <v>-500</v>
      </c>
      <c r="T10" s="21">
        <f t="shared" si="7"/>
        <v>172300</v>
      </c>
      <c r="U10" s="53">
        <f t="shared" si="0"/>
        <v>6.4</v>
      </c>
      <c r="V10" s="54">
        <f t="shared" si="1"/>
        <v>-2.2000000000000002</v>
      </c>
      <c r="W10" s="55">
        <f t="shared" si="2"/>
        <v>-4.2</v>
      </c>
      <c r="Y10" s="8"/>
      <c r="Z10" s="34"/>
      <c r="AA10" s="26">
        <v>1</v>
      </c>
      <c r="AB10" s="26"/>
      <c r="AC10" s="26">
        <v>4</v>
      </c>
      <c r="AD10" s="30">
        <v>20</v>
      </c>
      <c r="AE10" s="40" t="s">
        <v>195</v>
      </c>
      <c r="AF10" s="41" t="s">
        <v>82</v>
      </c>
      <c r="AG10" s="41" t="s">
        <v>83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 t="s">
        <v>198</v>
      </c>
      <c r="G11" s="9">
        <v>-1500</v>
      </c>
      <c r="H11" s="9"/>
      <c r="I11" s="48">
        <v>0</v>
      </c>
      <c r="J11" s="21">
        <f t="shared" si="5"/>
        <v>55900</v>
      </c>
      <c r="K11" s="8" t="s">
        <v>199</v>
      </c>
      <c r="L11" s="9">
        <v>4000</v>
      </c>
      <c r="M11" s="9"/>
      <c r="N11" s="48">
        <v>0</v>
      </c>
      <c r="O11" s="21">
        <f t="shared" si="6"/>
        <v>74300</v>
      </c>
      <c r="P11" s="8" t="s">
        <v>198</v>
      </c>
      <c r="Q11" s="9">
        <v>-2500</v>
      </c>
      <c r="R11" s="9"/>
      <c r="S11" s="48">
        <v>0</v>
      </c>
      <c r="T11" s="21">
        <f t="shared" si="7"/>
        <v>169800</v>
      </c>
      <c r="U11" s="53">
        <f t="shared" si="0"/>
        <v>4.9000000000000004</v>
      </c>
      <c r="V11" s="54">
        <f t="shared" si="1"/>
        <v>1.8</v>
      </c>
      <c r="W11" s="55">
        <f t="shared" si="2"/>
        <v>-6.7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195</v>
      </c>
      <c r="BA11" s="41" t="s">
        <v>82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927B3657-0982-44A6-A3E8-153F2A63591B}">
      <formula1>$U$2:$W$2</formula1>
    </dataValidation>
    <dataValidation type="list" showInputMessage="1" showErrorMessage="1" sqref="K4:K30 P4:P30 F4:F30" xr:uid="{5691E6ED-F909-4C40-A9C9-CC75B2B0CA84}">
      <formula1>"ロン,ツモ,放銃,ツモ支払,流局,チョンボ"</formula1>
    </dataValidation>
    <dataValidation type="list" allowBlank="1" showInputMessage="1" sqref="F1:T1" xr:uid="{3B6D897B-73B0-45B1-A26C-35BBCF241D1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4705-E32E-47FD-B0BD-F7F044CB1BAB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210</v>
      </c>
      <c r="G1" s="96"/>
      <c r="H1" s="96"/>
      <c r="I1" s="97"/>
      <c r="J1" s="98"/>
      <c r="K1" s="95" t="s">
        <v>201</v>
      </c>
      <c r="L1" s="96"/>
      <c r="M1" s="96"/>
      <c r="N1" s="97"/>
      <c r="O1" s="98"/>
      <c r="P1" s="95" t="s">
        <v>211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いちかわ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たかの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りくと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いちかわ</v>
      </c>
      <c r="V2" s="82" t="str">
        <f>$K$1</f>
        <v>たかの</v>
      </c>
      <c r="W2" s="16" t="str">
        <f>$P$1</f>
        <v>りくと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159800</v>
      </c>
      <c r="K3" s="7"/>
      <c r="L3" s="23"/>
      <c r="M3" s="23"/>
      <c r="N3" s="47"/>
      <c r="O3" s="20">
        <v>74300</v>
      </c>
      <c r="P3" s="7"/>
      <c r="Q3" s="23"/>
      <c r="R3" s="23"/>
      <c r="S3" s="47"/>
      <c r="T3" s="20">
        <v>65900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204</v>
      </c>
      <c r="G4" s="9">
        <v>-3000</v>
      </c>
      <c r="H4" s="9"/>
      <c r="I4" s="48"/>
      <c r="J4" s="21">
        <f>IF(COUNTA($F4,$K4,$P4)&gt;0,J3+SUM(G4:I4),"")</f>
        <v>156800</v>
      </c>
      <c r="K4" s="8" t="s">
        <v>204</v>
      </c>
      <c r="L4" s="9">
        <v>1500</v>
      </c>
      <c r="M4" s="9"/>
      <c r="N4" s="48"/>
      <c r="O4" s="21">
        <f>IF(COUNTA($F4,$K4,$P4)&gt;0,O3+SUM(L4:N4),"")</f>
        <v>75800</v>
      </c>
      <c r="P4" s="8" t="s">
        <v>204</v>
      </c>
      <c r="Q4" s="9">
        <v>1500</v>
      </c>
      <c r="R4" s="9"/>
      <c r="S4" s="48"/>
      <c r="T4" s="21">
        <f>IF(COUNTA($F4,$K4,$P4)&gt;0,T3+SUM(Q4:S4),"")</f>
        <v>67400</v>
      </c>
      <c r="U4" s="53">
        <f t="shared" ref="U4:U30" si="0">IF($J4="","",ROUND(($J4-$J$3)/1000,1))</f>
        <v>-3</v>
      </c>
      <c r="V4" s="54">
        <f t="shared" ref="V4:V30" si="1">IF($O4="","",ROUND(($O4-$O$3)/1000,1))</f>
        <v>1.5</v>
      </c>
      <c r="W4" s="55">
        <f t="shared" ref="W4:W30" si="2">IF($T4="","",ROUND(($T4-$T$3)/1000,1))</f>
        <v>1.5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5">IF(COUNTA($F5,$K5,$P5)&gt;0,J4+SUM(G5:I5),"")</f>
        <v>156800</v>
      </c>
      <c r="K5" s="8" t="s">
        <v>194</v>
      </c>
      <c r="L5" s="9">
        <v>-7700</v>
      </c>
      <c r="M5" s="9">
        <v>-1000</v>
      </c>
      <c r="N5" s="48">
        <v>-1000</v>
      </c>
      <c r="O5" s="21">
        <f t="shared" ref="O5:O30" si="6">IF(COUNTA($F5,$K5,$P5)&gt;0,O4+SUM(L5:N5),"")</f>
        <v>66100</v>
      </c>
      <c r="P5" s="8" t="s">
        <v>193</v>
      </c>
      <c r="Q5" s="9">
        <v>7700</v>
      </c>
      <c r="R5" s="9">
        <v>1000</v>
      </c>
      <c r="S5" s="48">
        <v>1000</v>
      </c>
      <c r="T5" s="21">
        <f t="shared" ref="T5:T30" si="7">IF(COUNTA($F5,$K5,$P5)&gt;0,T4+SUM(Q5:S5),"")</f>
        <v>77100</v>
      </c>
      <c r="U5" s="53">
        <f t="shared" si="0"/>
        <v>-3</v>
      </c>
      <c r="V5" s="54">
        <f t="shared" si="1"/>
        <v>-8.1999999999999993</v>
      </c>
      <c r="W5" s="55">
        <f t="shared" si="2"/>
        <v>11.2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195</v>
      </c>
      <c r="BV5" s="41" t="s">
        <v>83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155300</v>
      </c>
      <c r="K6" s="8" t="s">
        <v>199</v>
      </c>
      <c r="L6" s="9">
        <v>4000</v>
      </c>
      <c r="M6" s="9"/>
      <c r="N6" s="48">
        <v>0</v>
      </c>
      <c r="O6" s="21">
        <f t="shared" si="6"/>
        <v>70100</v>
      </c>
      <c r="P6" s="8" t="s">
        <v>198</v>
      </c>
      <c r="Q6" s="9">
        <v>-2500</v>
      </c>
      <c r="R6" s="9"/>
      <c r="S6" s="48">
        <v>0</v>
      </c>
      <c r="T6" s="21">
        <f t="shared" si="7"/>
        <v>74600</v>
      </c>
      <c r="U6" s="53">
        <f t="shared" si="0"/>
        <v>-4.5</v>
      </c>
      <c r="V6" s="54">
        <f t="shared" si="1"/>
        <v>-4.2</v>
      </c>
      <c r="W6" s="55">
        <f t="shared" si="2"/>
        <v>8.6999999999999993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いちかわ</v>
      </c>
      <c r="F7" s="8" t="s">
        <v>199</v>
      </c>
      <c r="G7" s="9">
        <v>3000</v>
      </c>
      <c r="H7" s="9"/>
      <c r="I7" s="48">
        <v>0</v>
      </c>
      <c r="J7" s="21">
        <f t="shared" si="5"/>
        <v>158300</v>
      </c>
      <c r="K7" s="8" t="s">
        <v>198</v>
      </c>
      <c r="L7" s="9">
        <v>-1500</v>
      </c>
      <c r="M7" s="9"/>
      <c r="N7" s="48">
        <v>0</v>
      </c>
      <c r="O7" s="21">
        <f t="shared" si="6"/>
        <v>68600</v>
      </c>
      <c r="P7" s="8" t="s">
        <v>198</v>
      </c>
      <c r="Q7" s="9">
        <v>-1500</v>
      </c>
      <c r="R7" s="9"/>
      <c r="S7" s="48">
        <v>0</v>
      </c>
      <c r="T7" s="21">
        <f t="shared" si="7"/>
        <v>73100</v>
      </c>
      <c r="U7" s="53">
        <f t="shared" si="0"/>
        <v>-1.5</v>
      </c>
      <c r="V7" s="54">
        <f t="shared" si="1"/>
        <v>-5.7</v>
      </c>
      <c r="W7" s="55">
        <f t="shared" si="2"/>
        <v>7.2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いちかわ</v>
      </c>
      <c r="F8" s="8" t="s">
        <v>198</v>
      </c>
      <c r="G8" s="9">
        <v>-7500</v>
      </c>
      <c r="H8" s="9"/>
      <c r="I8" s="48">
        <v>-500</v>
      </c>
      <c r="J8" s="21">
        <f t="shared" si="5"/>
        <v>150300</v>
      </c>
      <c r="K8" s="8" t="s">
        <v>199</v>
      </c>
      <c r="L8" s="9">
        <v>12000</v>
      </c>
      <c r="M8" s="9"/>
      <c r="N8" s="48">
        <v>1000</v>
      </c>
      <c r="O8" s="21">
        <f t="shared" si="6"/>
        <v>81600</v>
      </c>
      <c r="P8" s="8" t="s">
        <v>198</v>
      </c>
      <c r="Q8" s="9">
        <v>-4500</v>
      </c>
      <c r="R8" s="9"/>
      <c r="S8" s="48">
        <v>-500</v>
      </c>
      <c r="T8" s="21">
        <f t="shared" si="7"/>
        <v>68100</v>
      </c>
      <c r="U8" s="53">
        <f t="shared" si="0"/>
        <v>-9.5</v>
      </c>
      <c r="V8" s="54">
        <f t="shared" si="1"/>
        <v>7.3</v>
      </c>
      <c r="W8" s="55">
        <f t="shared" si="2"/>
        <v>2.2000000000000002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200</v>
      </c>
      <c r="AZ8" s="40" t="s">
        <v>98</v>
      </c>
      <c r="BA8" s="41" t="s">
        <v>86</v>
      </c>
      <c r="BB8" s="41" t="s">
        <v>86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/>
      <c r="G9" s="9"/>
      <c r="H9" s="9"/>
      <c r="I9" s="48"/>
      <c r="J9" s="21">
        <f t="shared" si="5"/>
        <v>150300</v>
      </c>
      <c r="K9" s="8" t="s">
        <v>193</v>
      </c>
      <c r="L9" s="9">
        <v>7700</v>
      </c>
      <c r="M9" s="9"/>
      <c r="N9" s="48">
        <v>0</v>
      </c>
      <c r="O9" s="21">
        <f t="shared" si="6"/>
        <v>89300</v>
      </c>
      <c r="P9" s="8" t="s">
        <v>194</v>
      </c>
      <c r="Q9" s="9">
        <v>-7700</v>
      </c>
      <c r="R9" s="9"/>
      <c r="S9" s="48">
        <v>0</v>
      </c>
      <c r="T9" s="21">
        <f t="shared" si="7"/>
        <v>60400</v>
      </c>
      <c r="U9" s="53">
        <f t="shared" si="0"/>
        <v>-9.5</v>
      </c>
      <c r="V9" s="54">
        <f t="shared" si="1"/>
        <v>15</v>
      </c>
      <c r="W9" s="55">
        <f t="shared" si="2"/>
        <v>-5.5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40</v>
      </c>
      <c r="AZ9" s="40" t="s">
        <v>86</v>
      </c>
      <c r="BA9" s="41" t="s">
        <v>197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tr">
        <f>IF($K$1="","",$K$1)</f>
        <v>たかの</v>
      </c>
      <c r="F10" s="8" t="s">
        <v>193</v>
      </c>
      <c r="G10" s="9">
        <v>5200</v>
      </c>
      <c r="H10" s="9"/>
      <c r="I10" s="48">
        <v>1000</v>
      </c>
      <c r="J10" s="21">
        <f t="shared" si="5"/>
        <v>156500</v>
      </c>
      <c r="K10" s="8"/>
      <c r="L10" s="9"/>
      <c r="M10" s="9"/>
      <c r="N10" s="48"/>
      <c r="O10" s="21">
        <f t="shared" si="6"/>
        <v>89300</v>
      </c>
      <c r="P10" s="8" t="s">
        <v>194</v>
      </c>
      <c r="Q10" s="9">
        <v>-5200</v>
      </c>
      <c r="R10" s="9"/>
      <c r="S10" s="48">
        <v>-1000</v>
      </c>
      <c r="T10" s="21">
        <f t="shared" si="7"/>
        <v>54200</v>
      </c>
      <c r="U10" s="53">
        <f t="shared" si="0"/>
        <v>-3.3</v>
      </c>
      <c r="V10" s="54">
        <f t="shared" si="1"/>
        <v>15</v>
      </c>
      <c r="W10" s="55">
        <f t="shared" si="2"/>
        <v>-11.7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195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-1500</v>
      </c>
      <c r="H11" s="9"/>
      <c r="I11" s="48">
        <v>0</v>
      </c>
      <c r="J11" s="21">
        <f t="shared" si="5"/>
        <v>155000</v>
      </c>
      <c r="K11" s="8" t="s">
        <v>199</v>
      </c>
      <c r="L11" s="9">
        <v>4000</v>
      </c>
      <c r="M11" s="9"/>
      <c r="N11" s="48">
        <v>0</v>
      </c>
      <c r="O11" s="21">
        <f t="shared" si="6"/>
        <v>93300</v>
      </c>
      <c r="P11" s="8" t="s">
        <v>198</v>
      </c>
      <c r="Q11" s="9">
        <v>-2500</v>
      </c>
      <c r="R11" s="9"/>
      <c r="S11" s="48">
        <v>0</v>
      </c>
      <c r="T11" s="21">
        <f t="shared" si="7"/>
        <v>51700</v>
      </c>
      <c r="U11" s="53">
        <f t="shared" si="0"/>
        <v>-4.8</v>
      </c>
      <c r="V11" s="54">
        <f t="shared" si="1"/>
        <v>19</v>
      </c>
      <c r="W11" s="55">
        <f t="shared" si="2"/>
        <v>-14.2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197</v>
      </c>
      <c r="BB11" s="41" t="s">
        <v>197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1186E8F9-AF73-4B18-B2B2-B3E3F632AA5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AA37694A-AB89-460D-8DFD-0A2A5ACDC60E}">
      <formula1>"ロン,ツモ,放銃,ツモ支払,流局,チョンボ"</formula1>
    </dataValidation>
    <dataValidation type="list" allowBlank="1" showInputMessage="1" showErrorMessage="1" sqref="E4:E30" xr:uid="{F129323F-C237-427E-9C23-B0A4CFDFF53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24D66-9D88-4D4B-9930-33A442109C95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210</v>
      </c>
      <c r="G1" s="96"/>
      <c r="H1" s="96"/>
      <c r="I1" s="97"/>
      <c r="J1" s="98"/>
      <c r="K1" s="95" t="s">
        <v>201</v>
      </c>
      <c r="L1" s="96"/>
      <c r="M1" s="96"/>
      <c r="N1" s="97"/>
      <c r="O1" s="98"/>
      <c r="P1" s="95" t="s">
        <v>211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いちかわ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たかの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りくと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いちかわ</v>
      </c>
      <c r="V2" s="82" t="str">
        <f>$K$1</f>
        <v>たかの</v>
      </c>
      <c r="W2" s="16" t="str">
        <f>$P$1</f>
        <v>りくと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155000</v>
      </c>
      <c r="K3" s="7"/>
      <c r="L3" s="23"/>
      <c r="M3" s="23"/>
      <c r="N3" s="47"/>
      <c r="O3" s="20">
        <v>103300</v>
      </c>
      <c r="P3" s="7"/>
      <c r="Q3" s="23"/>
      <c r="R3" s="23"/>
      <c r="S3" s="47"/>
      <c r="T3" s="20">
        <v>41700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152700</v>
      </c>
      <c r="K4" s="8"/>
      <c r="L4" s="9"/>
      <c r="M4" s="9"/>
      <c r="N4" s="48"/>
      <c r="O4" s="21">
        <f>IF(COUNTA($F4,$K4,$P4)&gt;0,O3+SUM(L4:N4),"")</f>
        <v>103300</v>
      </c>
      <c r="P4" s="8" t="s">
        <v>193</v>
      </c>
      <c r="Q4" s="9">
        <v>1300</v>
      </c>
      <c r="R4" s="9">
        <v>1000</v>
      </c>
      <c r="S4" s="48">
        <v>0</v>
      </c>
      <c r="T4" s="21">
        <f>IF(COUNTA($F4,$K4,$P4)&gt;0,T3+SUM(Q4:S4),"")</f>
        <v>44000</v>
      </c>
      <c r="U4" s="53">
        <f t="shared" ref="U4:U30" si="0">IF($J4="","",ROUND(($J4-$J$3)/1000,1))</f>
        <v>-2.2999999999999998</v>
      </c>
      <c r="V4" s="54">
        <f t="shared" ref="V4:V30" si="1">IF($O4="","",ROUND(($O4-$O$3)/1000,1))</f>
        <v>0</v>
      </c>
      <c r="W4" s="55">
        <f t="shared" ref="W4:W30" si="2">IF($T4="","",ROUND(($T4-$T$3)/1000,1))</f>
        <v>2.2999999999999998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40</v>
      </c>
      <c r="BU4" s="40" t="s">
        <v>84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5">IF(COUNTA($F5,$K5,$P5)&gt;0,J4+SUM(G5:I5),"")</f>
        <v>152700</v>
      </c>
      <c r="K5" s="8" t="s">
        <v>193</v>
      </c>
      <c r="L5" s="9">
        <v>24000</v>
      </c>
      <c r="M5" s="9"/>
      <c r="N5" s="48">
        <v>0</v>
      </c>
      <c r="O5" s="21">
        <f t="shared" ref="O5:O30" si="6">IF(COUNTA($F5,$K5,$P5)&gt;0,O4+SUM(L5:N5),"")</f>
        <v>127300</v>
      </c>
      <c r="P5" s="8" t="s">
        <v>194</v>
      </c>
      <c r="Q5" s="9">
        <v>-24000</v>
      </c>
      <c r="R5" s="9"/>
      <c r="S5" s="48">
        <v>0</v>
      </c>
      <c r="T5" s="21">
        <f t="shared" ref="T5:T30" si="7">IF(COUNTA($F5,$K5,$P5)&gt;0,T4+SUM(Q5:S5),"")</f>
        <v>20000</v>
      </c>
      <c r="U5" s="53">
        <f t="shared" si="0"/>
        <v>-2.2999999999999998</v>
      </c>
      <c r="V5" s="54">
        <f t="shared" si="1"/>
        <v>24</v>
      </c>
      <c r="W5" s="55">
        <f t="shared" si="2"/>
        <v>-21.7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10</v>
      </c>
      <c r="AY5" s="30" t="s">
        <v>200</v>
      </c>
      <c r="AZ5" s="40" t="s">
        <v>195</v>
      </c>
      <c r="BA5" s="41" t="s">
        <v>196</v>
      </c>
      <c r="BB5" s="41" t="s">
        <v>86</v>
      </c>
      <c r="BC5" s="41" t="s">
        <v>86</v>
      </c>
      <c r="BD5" s="41" t="s">
        <v>197</v>
      </c>
      <c r="BE5" s="41" t="s">
        <v>80</v>
      </c>
      <c r="BF5" s="41" t="s">
        <v>80</v>
      </c>
      <c r="BG5" s="41" t="s">
        <v>80</v>
      </c>
      <c r="BH5" s="41" t="s">
        <v>79</v>
      </c>
      <c r="BI5" s="41" t="s">
        <v>79</v>
      </c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tr">
        <f>IF($K$1="","",$K$1)</f>
        <v>たかの</v>
      </c>
      <c r="F6" s="8" t="s">
        <v>198</v>
      </c>
      <c r="G6" s="9">
        <v>-2900</v>
      </c>
      <c r="H6" s="9"/>
      <c r="I6" s="48">
        <v>-500</v>
      </c>
      <c r="J6" s="21">
        <f t="shared" si="5"/>
        <v>149300</v>
      </c>
      <c r="K6" s="8" t="s">
        <v>198</v>
      </c>
      <c r="L6" s="9">
        <v>-4800</v>
      </c>
      <c r="M6" s="9"/>
      <c r="N6" s="48">
        <v>-500</v>
      </c>
      <c r="O6" s="21">
        <f t="shared" si="6"/>
        <v>122000</v>
      </c>
      <c r="P6" s="8" t="s">
        <v>199</v>
      </c>
      <c r="Q6" s="9">
        <v>7700</v>
      </c>
      <c r="R6" s="9"/>
      <c r="S6" s="48">
        <v>1000</v>
      </c>
      <c r="T6" s="21">
        <f t="shared" si="7"/>
        <v>28700</v>
      </c>
      <c r="U6" s="53">
        <f t="shared" si="0"/>
        <v>-5.7</v>
      </c>
      <c r="V6" s="54">
        <f t="shared" si="1"/>
        <v>18.7</v>
      </c>
      <c r="W6" s="55">
        <f t="shared" si="2"/>
        <v>-13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195</v>
      </c>
      <c r="BV6" s="41" t="s">
        <v>82</v>
      </c>
      <c r="BW6" s="41" t="s">
        <v>79</v>
      </c>
      <c r="BX6" s="41" t="s">
        <v>197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りくと</v>
      </c>
      <c r="F7" s="8" t="s">
        <v>198</v>
      </c>
      <c r="G7" s="9">
        <v>-5800</v>
      </c>
      <c r="H7" s="9"/>
      <c r="I7" s="48">
        <v>0</v>
      </c>
      <c r="J7" s="21">
        <f t="shared" si="5"/>
        <v>143500</v>
      </c>
      <c r="K7" s="8" t="s">
        <v>198</v>
      </c>
      <c r="L7" s="9">
        <v>-5800</v>
      </c>
      <c r="M7" s="9"/>
      <c r="N7" s="48">
        <v>0</v>
      </c>
      <c r="O7" s="21">
        <f t="shared" si="6"/>
        <v>116200</v>
      </c>
      <c r="P7" s="8" t="s">
        <v>199</v>
      </c>
      <c r="Q7" s="9">
        <v>11600</v>
      </c>
      <c r="R7" s="9"/>
      <c r="S7" s="48">
        <v>0</v>
      </c>
      <c r="T7" s="21">
        <f t="shared" si="7"/>
        <v>40300</v>
      </c>
      <c r="U7" s="53">
        <f t="shared" si="0"/>
        <v>-11.5</v>
      </c>
      <c r="V7" s="54">
        <f t="shared" si="1"/>
        <v>12.9</v>
      </c>
      <c r="W7" s="55">
        <f t="shared" si="2"/>
        <v>-1.4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195</v>
      </c>
      <c r="BV7" s="41" t="s">
        <v>82</v>
      </c>
      <c r="BW7" s="41" t="s">
        <v>79</v>
      </c>
      <c r="BX7" s="41" t="s">
        <v>197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tr">
        <f>IF($P$1="","",$P$1)</f>
        <v>りくと</v>
      </c>
      <c r="F8" s="8" t="s">
        <v>198</v>
      </c>
      <c r="G8" s="9">
        <v>-6000</v>
      </c>
      <c r="H8" s="9"/>
      <c r="I8" s="48">
        <v>-500</v>
      </c>
      <c r="J8" s="21">
        <f t="shared" si="5"/>
        <v>137000</v>
      </c>
      <c r="K8" s="8" t="s">
        <v>198</v>
      </c>
      <c r="L8" s="9">
        <v>-6000</v>
      </c>
      <c r="M8" s="9"/>
      <c r="N8" s="48">
        <v>-500</v>
      </c>
      <c r="O8" s="21">
        <f t="shared" si="6"/>
        <v>109700</v>
      </c>
      <c r="P8" s="8" t="s">
        <v>199</v>
      </c>
      <c r="Q8" s="9">
        <v>12000</v>
      </c>
      <c r="R8" s="9"/>
      <c r="S8" s="48">
        <v>1000</v>
      </c>
      <c r="T8" s="21">
        <f t="shared" si="7"/>
        <v>53300</v>
      </c>
      <c r="U8" s="53">
        <f t="shared" si="0"/>
        <v>-18</v>
      </c>
      <c r="V8" s="54">
        <f t="shared" si="1"/>
        <v>6.4</v>
      </c>
      <c r="W8" s="55">
        <f t="shared" si="2"/>
        <v>11.6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200</v>
      </c>
      <c r="BU8" s="40" t="s">
        <v>86</v>
      </c>
      <c r="BV8" s="41" t="s">
        <v>86</v>
      </c>
      <c r="BW8" s="41" t="s">
        <v>86</v>
      </c>
      <c r="BX8" s="41" t="s">
        <v>197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tr">
        <f>IF($P$1="","",$P$1)</f>
        <v>りくと</v>
      </c>
      <c r="F9" s="8" t="s">
        <v>194</v>
      </c>
      <c r="G9" s="9">
        <v>-2600</v>
      </c>
      <c r="H9" s="9"/>
      <c r="I9" s="48">
        <v>-2000</v>
      </c>
      <c r="J9" s="21">
        <f t="shared" si="5"/>
        <v>132400</v>
      </c>
      <c r="K9" s="8" t="s">
        <v>193</v>
      </c>
      <c r="L9" s="9">
        <v>2600</v>
      </c>
      <c r="M9" s="9"/>
      <c r="N9" s="48">
        <v>2000</v>
      </c>
      <c r="O9" s="21">
        <f t="shared" si="6"/>
        <v>114300</v>
      </c>
      <c r="P9" s="8"/>
      <c r="Q9" s="9"/>
      <c r="R9" s="9"/>
      <c r="S9" s="48"/>
      <c r="T9" s="21">
        <f t="shared" si="7"/>
        <v>53300</v>
      </c>
      <c r="U9" s="53">
        <f t="shared" si="0"/>
        <v>-22.6</v>
      </c>
      <c r="V9" s="54">
        <f t="shared" si="1"/>
        <v>11</v>
      </c>
      <c r="W9" s="55">
        <f t="shared" si="2"/>
        <v>11.6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92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tr">
        <f>IF($F$1="","",$F$1)</f>
        <v>いちかわ</v>
      </c>
      <c r="F10" s="8" t="s">
        <v>194</v>
      </c>
      <c r="G10" s="9">
        <v>-5200</v>
      </c>
      <c r="H10" s="9">
        <v>-1000</v>
      </c>
      <c r="I10" s="48">
        <v>0</v>
      </c>
      <c r="J10" s="21">
        <f t="shared" si="5"/>
        <v>126200</v>
      </c>
      <c r="K10" s="8" t="s">
        <v>193</v>
      </c>
      <c r="L10" s="9">
        <v>5200</v>
      </c>
      <c r="M10" s="9">
        <v>1000</v>
      </c>
      <c r="N10" s="48">
        <v>0</v>
      </c>
      <c r="O10" s="21">
        <f t="shared" si="6"/>
        <v>120500</v>
      </c>
      <c r="P10" s="8"/>
      <c r="Q10" s="9"/>
      <c r="R10" s="9"/>
      <c r="S10" s="48"/>
      <c r="T10" s="21">
        <f t="shared" si="7"/>
        <v>53300</v>
      </c>
      <c r="U10" s="53">
        <f t="shared" si="0"/>
        <v>-28.8</v>
      </c>
      <c r="V10" s="54">
        <f t="shared" si="1"/>
        <v>17.2</v>
      </c>
      <c r="W10" s="55">
        <f t="shared" si="2"/>
        <v>11.6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195</v>
      </c>
      <c r="BA10" s="41" t="s">
        <v>79</v>
      </c>
      <c r="BB10" s="41" t="s">
        <v>197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tr">
        <f>IF($K$1="","",$K$1)</f>
        <v>たかの</v>
      </c>
      <c r="F11" s="8" t="s">
        <v>194</v>
      </c>
      <c r="G11" s="9">
        <v>-1500</v>
      </c>
      <c r="H11" s="9"/>
      <c r="I11" s="48">
        <v>0</v>
      </c>
      <c r="J11" s="21">
        <f t="shared" si="5"/>
        <v>124700</v>
      </c>
      <c r="K11" s="8" t="s">
        <v>193</v>
      </c>
      <c r="L11" s="9">
        <v>1500</v>
      </c>
      <c r="M11" s="9"/>
      <c r="N11" s="48">
        <v>0</v>
      </c>
      <c r="O11" s="21">
        <f t="shared" si="6"/>
        <v>122000</v>
      </c>
      <c r="P11" s="8"/>
      <c r="Q11" s="9"/>
      <c r="R11" s="9"/>
      <c r="S11" s="48"/>
      <c r="T11" s="21">
        <f t="shared" si="7"/>
        <v>53300</v>
      </c>
      <c r="U11" s="53">
        <f t="shared" si="0"/>
        <v>-30.3</v>
      </c>
      <c r="V11" s="54">
        <f t="shared" si="1"/>
        <v>18.7</v>
      </c>
      <c r="W11" s="55">
        <f t="shared" si="2"/>
        <v>11.6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0</v>
      </c>
      <c r="E12" s="4" t="str">
        <f>IF($K$1="","",$K$1)</f>
        <v>たかの</v>
      </c>
      <c r="F12" s="8" t="s">
        <v>204</v>
      </c>
      <c r="G12" s="9">
        <v>-1500</v>
      </c>
      <c r="H12" s="9"/>
      <c r="I12" s="48"/>
      <c r="J12" s="21">
        <f t="shared" si="5"/>
        <v>123200</v>
      </c>
      <c r="K12" s="8" t="s">
        <v>204</v>
      </c>
      <c r="L12" s="9">
        <v>3000</v>
      </c>
      <c r="M12" s="9">
        <v>-1000</v>
      </c>
      <c r="N12" s="48"/>
      <c r="O12" s="21">
        <f t="shared" si="6"/>
        <v>124000</v>
      </c>
      <c r="P12" s="8" t="s">
        <v>204</v>
      </c>
      <c r="Q12" s="9">
        <v>-1500</v>
      </c>
      <c r="R12" s="9"/>
      <c r="S12" s="48"/>
      <c r="T12" s="21">
        <f t="shared" si="7"/>
        <v>51800</v>
      </c>
      <c r="U12" s="53">
        <f t="shared" si="0"/>
        <v>-31.8</v>
      </c>
      <c r="V12" s="54">
        <f t="shared" si="1"/>
        <v>20.7</v>
      </c>
      <c r="W12" s="55">
        <f t="shared" si="2"/>
        <v>10.1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2</v>
      </c>
      <c r="D13" s="18">
        <f t="shared" si="4"/>
        <v>1</v>
      </c>
      <c r="E13" s="4" t="str">
        <f>IF($K$1="","",$K$1)</f>
        <v>たかの</v>
      </c>
      <c r="F13" s="8"/>
      <c r="G13" s="9"/>
      <c r="H13" s="9"/>
      <c r="I13" s="48"/>
      <c r="J13" s="21">
        <f t="shared" si="5"/>
        <v>123200</v>
      </c>
      <c r="K13" s="8" t="s">
        <v>193</v>
      </c>
      <c r="L13" s="9">
        <v>2900</v>
      </c>
      <c r="M13" s="9">
        <v>1000</v>
      </c>
      <c r="N13" s="48">
        <v>2000</v>
      </c>
      <c r="O13" s="21">
        <f t="shared" si="6"/>
        <v>129900</v>
      </c>
      <c r="P13" s="8" t="s">
        <v>194</v>
      </c>
      <c r="Q13" s="9">
        <v>-2900</v>
      </c>
      <c r="R13" s="9"/>
      <c r="S13" s="48">
        <v>-2000</v>
      </c>
      <c r="T13" s="21">
        <f t="shared" si="7"/>
        <v>46900</v>
      </c>
      <c r="U13" s="53">
        <f t="shared" si="0"/>
        <v>-31.8</v>
      </c>
      <c r="V13" s="54">
        <f t="shared" si="1"/>
        <v>26.6</v>
      </c>
      <c r="W13" s="55">
        <f t="shared" si="2"/>
        <v>5.2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197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2</v>
      </c>
      <c r="C14" s="18">
        <f t="shared" si="9"/>
        <v>3</v>
      </c>
      <c r="D14" s="18">
        <f t="shared" si="4"/>
        <v>0</v>
      </c>
      <c r="E14" s="4" t="str">
        <f>IF($K$1="","",$K$1)</f>
        <v>たかの</v>
      </c>
      <c r="F14" s="8" t="s">
        <v>204</v>
      </c>
      <c r="G14" s="9">
        <v>-3000</v>
      </c>
      <c r="H14" s="9"/>
      <c r="I14" s="48"/>
      <c r="J14" s="21">
        <f t="shared" si="5"/>
        <v>120200</v>
      </c>
      <c r="K14" s="8" t="s">
        <v>204</v>
      </c>
      <c r="L14" s="9">
        <v>1500</v>
      </c>
      <c r="M14" s="9">
        <v>-1000</v>
      </c>
      <c r="N14" s="48"/>
      <c r="O14" s="21">
        <f t="shared" si="6"/>
        <v>130400</v>
      </c>
      <c r="P14" s="8" t="s">
        <v>204</v>
      </c>
      <c r="Q14" s="9">
        <v>1500</v>
      </c>
      <c r="R14" s="9">
        <v>-1000</v>
      </c>
      <c r="S14" s="48"/>
      <c r="T14" s="21">
        <f t="shared" si="7"/>
        <v>47400</v>
      </c>
      <c r="U14" s="53">
        <f t="shared" si="0"/>
        <v>-34.799999999999997</v>
      </c>
      <c r="V14" s="54">
        <f t="shared" si="1"/>
        <v>27.1</v>
      </c>
      <c r="W14" s="55">
        <f t="shared" si="2"/>
        <v>5.7</v>
      </c>
      <c r="Y14" s="8" t="s">
        <v>202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203</v>
      </c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>南</v>
      </c>
      <c r="B15" s="18">
        <f t="shared" si="8"/>
        <v>2</v>
      </c>
      <c r="C15" s="18">
        <f t="shared" si="9"/>
        <v>4</v>
      </c>
      <c r="D15" s="18">
        <f t="shared" si="4"/>
        <v>2</v>
      </c>
      <c r="E15" s="4" t="str">
        <f>IF($K$1="","",$K$1)</f>
        <v>たかの</v>
      </c>
      <c r="F15" s="8" t="s">
        <v>193</v>
      </c>
      <c r="G15" s="9">
        <v>3200</v>
      </c>
      <c r="H15" s="9">
        <v>2000</v>
      </c>
      <c r="I15" s="48">
        <v>4000</v>
      </c>
      <c r="J15" s="21">
        <f t="shared" si="5"/>
        <v>129400</v>
      </c>
      <c r="K15" s="8"/>
      <c r="L15" s="9"/>
      <c r="M15" s="9"/>
      <c r="N15" s="48"/>
      <c r="O15" s="21">
        <f t="shared" si="6"/>
        <v>130400</v>
      </c>
      <c r="P15" s="8" t="s">
        <v>194</v>
      </c>
      <c r="Q15" s="9">
        <v>-3200</v>
      </c>
      <c r="R15" s="9"/>
      <c r="S15" s="48">
        <v>-4000</v>
      </c>
      <c r="T15" s="21">
        <f t="shared" si="7"/>
        <v>40200</v>
      </c>
      <c r="U15" s="53">
        <f t="shared" si="0"/>
        <v>-25.6</v>
      </c>
      <c r="V15" s="54">
        <f t="shared" si="1"/>
        <v>27.1</v>
      </c>
      <c r="W15" s="55">
        <f t="shared" si="2"/>
        <v>-1.5</v>
      </c>
      <c r="Y15" s="8"/>
      <c r="Z15" s="34"/>
      <c r="AA15" s="26"/>
      <c r="AB15" s="26"/>
      <c r="AC15" s="26">
        <v>2</v>
      </c>
      <c r="AD15" s="30">
        <v>50</v>
      </c>
      <c r="AE15" s="40" t="s">
        <v>86</v>
      </c>
      <c r="AF15" s="41" t="s">
        <v>86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>南</v>
      </c>
      <c r="B16" s="18">
        <f t="shared" si="8"/>
        <v>3</v>
      </c>
      <c r="C16" s="18">
        <f t="shared" si="9"/>
        <v>0</v>
      </c>
      <c r="D16" s="18">
        <f t="shared" si="4"/>
        <v>0</v>
      </c>
      <c r="E16" s="4" t="str">
        <f>IF($P$1="","",$P$1)</f>
        <v>りくと</v>
      </c>
      <c r="F16" s="8" t="s">
        <v>199</v>
      </c>
      <c r="G16" s="9">
        <v>12000</v>
      </c>
      <c r="H16" s="9"/>
      <c r="I16" s="48">
        <v>0</v>
      </c>
      <c r="J16" s="21">
        <f t="shared" si="5"/>
        <v>141400</v>
      </c>
      <c r="K16" s="8" t="s">
        <v>198</v>
      </c>
      <c r="L16" s="9">
        <v>-4500</v>
      </c>
      <c r="M16" s="9"/>
      <c r="N16" s="48">
        <v>0</v>
      </c>
      <c r="O16" s="21">
        <f t="shared" si="6"/>
        <v>125900</v>
      </c>
      <c r="P16" s="8" t="s">
        <v>198</v>
      </c>
      <c r="Q16" s="9">
        <v>-7500</v>
      </c>
      <c r="R16" s="9"/>
      <c r="S16" s="48">
        <v>0</v>
      </c>
      <c r="T16" s="21">
        <f t="shared" si="7"/>
        <v>32700</v>
      </c>
      <c r="U16" s="53">
        <f t="shared" si="0"/>
        <v>-13.6</v>
      </c>
      <c r="V16" s="54">
        <f t="shared" si="1"/>
        <v>22.6</v>
      </c>
      <c r="W16" s="55">
        <f t="shared" si="2"/>
        <v>-9</v>
      </c>
      <c r="Y16" s="8"/>
      <c r="Z16" s="34"/>
      <c r="AA16" s="26">
        <v>1</v>
      </c>
      <c r="AB16" s="26"/>
      <c r="AC16" s="26">
        <v>6</v>
      </c>
      <c r="AD16" s="30" t="s">
        <v>200</v>
      </c>
      <c r="AE16" s="40" t="s">
        <v>195</v>
      </c>
      <c r="AF16" s="41" t="s">
        <v>82</v>
      </c>
      <c r="AG16" s="41" t="s">
        <v>197</v>
      </c>
      <c r="AH16" s="41" t="s">
        <v>79</v>
      </c>
      <c r="AI16" s="41" t="s">
        <v>80</v>
      </c>
      <c r="AJ16" s="41" t="s">
        <v>80</v>
      </c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C0970DF5-3CF4-407E-813C-E1F7EE8DB83C}">
      <formula1>$U$2:$W$2</formula1>
    </dataValidation>
    <dataValidation type="list" showInputMessage="1" showErrorMessage="1" sqref="K4:K30 P4:P30 F4:F30" xr:uid="{51B5393F-986E-4A53-B79C-C0883EF238BE}">
      <formula1>"ロン,ツモ,放銃,ツモ支払,流局,チョンボ"</formula1>
    </dataValidation>
    <dataValidation type="list" allowBlank="1" showInputMessage="1" sqref="F1:T1" xr:uid="{22FD4C08-1DBE-4AF0-A7D3-24036C4E54B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4C89B-9421-4B53-9002-50D5AF4E2B11}">
  <sheetPr codeName="Sheet2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208</v>
      </c>
      <c r="G1" s="96"/>
      <c r="H1" s="96"/>
      <c r="I1" s="97"/>
      <c r="J1" s="98"/>
      <c r="K1" s="95" t="s">
        <v>206</v>
      </c>
      <c r="L1" s="96"/>
      <c r="M1" s="96"/>
      <c r="N1" s="97"/>
      <c r="O1" s="98"/>
      <c r="P1" s="95" t="s">
        <v>209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ただ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だいち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まっつん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6" t="str">
        <f>$F$1</f>
        <v>ただ</v>
      </c>
      <c r="V2" s="87" t="str">
        <f>$K$1</f>
        <v>だいち</v>
      </c>
      <c r="W2" s="16" t="str">
        <f>$P$1</f>
        <v>まっつん</v>
      </c>
      <c r="Y2" s="83" t="s">
        <v>23</v>
      </c>
      <c r="Z2" s="88" t="s">
        <v>26</v>
      </c>
      <c r="AA2" s="84" t="s">
        <v>24</v>
      </c>
      <c r="AB2" s="84" t="s">
        <v>127</v>
      </c>
      <c r="AC2" s="84" t="s">
        <v>18</v>
      </c>
      <c r="AD2" s="85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83" t="s">
        <v>23</v>
      </c>
      <c r="AU2" s="88" t="s">
        <v>26</v>
      </c>
      <c r="AV2" s="84" t="s">
        <v>24</v>
      </c>
      <c r="AW2" s="84" t="s">
        <v>128</v>
      </c>
      <c r="AX2" s="84" t="s">
        <v>18</v>
      </c>
      <c r="AY2" s="85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83" t="s">
        <v>23</v>
      </c>
      <c r="BP2" s="88" t="s">
        <v>26</v>
      </c>
      <c r="BQ2" s="84" t="s">
        <v>24</v>
      </c>
      <c r="BR2" s="84" t="s">
        <v>128</v>
      </c>
      <c r="BS2" s="84" t="s">
        <v>18</v>
      </c>
      <c r="BT2" s="85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32700</v>
      </c>
      <c r="K3" s="7"/>
      <c r="L3" s="23"/>
      <c r="M3" s="23"/>
      <c r="N3" s="47"/>
      <c r="O3" s="20">
        <v>131400</v>
      </c>
      <c r="P3" s="7"/>
      <c r="Q3" s="23"/>
      <c r="R3" s="23"/>
      <c r="S3" s="47"/>
      <c r="T3" s="20">
        <v>135900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198</v>
      </c>
      <c r="G4" s="9">
        <v>-5000</v>
      </c>
      <c r="H4" s="9"/>
      <c r="I4" s="48">
        <v>0</v>
      </c>
      <c r="J4" s="21">
        <f>IF(COUNTA($F4,$K4,$P4)&gt;0,J3+SUM(G4:I4),"")</f>
        <v>27700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128400</v>
      </c>
      <c r="P4" s="8" t="s">
        <v>199</v>
      </c>
      <c r="Q4" s="9">
        <v>8000</v>
      </c>
      <c r="R4" s="9"/>
      <c r="S4" s="48">
        <v>0</v>
      </c>
      <c r="T4" s="21">
        <f>IF(COUNTA($F4,$K4,$P4)&gt;0,T3+SUM(Q4:S4),"")</f>
        <v>143900</v>
      </c>
      <c r="U4" s="53">
        <f t="shared" ref="U4:U30" si="0">IF($J4="","",ROUND(($J4-$J$3)/1000,1))</f>
        <v>-5</v>
      </c>
      <c r="V4" s="54">
        <f t="shared" ref="V4:V30" si="1">IF($O4="","",ROUND(($O4-$O$3)/1000,1))</f>
        <v>-3</v>
      </c>
      <c r="W4" s="55">
        <f t="shared" ref="W4:W30" si="2">IF($T4="","",ROUND(($T4-$T$3)/1000,1))</f>
        <v>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200</v>
      </c>
      <c r="BU4" s="40" t="s">
        <v>195</v>
      </c>
      <c r="BV4" s="41" t="s">
        <v>82</v>
      </c>
      <c r="BW4" s="41" t="s">
        <v>196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-6000</v>
      </c>
      <c r="H5" s="9"/>
      <c r="I5" s="48">
        <v>0</v>
      </c>
      <c r="J5" s="21">
        <f t="shared" ref="J5:J30" si="5">IF(COUNTA($F5,$K5,$P5)&gt;0,J4+SUM(G5:I5),"")</f>
        <v>21700</v>
      </c>
      <c r="K5" s="8" t="s">
        <v>199</v>
      </c>
      <c r="L5" s="9">
        <v>12000</v>
      </c>
      <c r="M5" s="9"/>
      <c r="N5" s="48">
        <v>0</v>
      </c>
      <c r="O5" s="21">
        <f t="shared" ref="O5:O30" si="6">IF(COUNTA($F5,$K5,$P5)&gt;0,O4+SUM(L5:N5),"")</f>
        <v>140400</v>
      </c>
      <c r="P5" s="8" t="s">
        <v>198</v>
      </c>
      <c r="Q5" s="9">
        <v>-6000</v>
      </c>
      <c r="R5" s="9"/>
      <c r="S5" s="48">
        <v>0</v>
      </c>
      <c r="T5" s="21">
        <f t="shared" ref="T5:T30" si="7">IF(COUNTA($F5,$K5,$P5)&gt;0,T4+SUM(Q5:S5),"")</f>
        <v>137900</v>
      </c>
      <c r="U5" s="53">
        <f t="shared" si="0"/>
        <v>-11</v>
      </c>
      <c r="V5" s="54">
        <f t="shared" si="1"/>
        <v>9</v>
      </c>
      <c r="W5" s="55">
        <f t="shared" si="2"/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40</v>
      </c>
      <c r="AZ5" s="40" t="s">
        <v>86</v>
      </c>
      <c r="BA5" s="41" t="s">
        <v>86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5"/>
        <v>21700</v>
      </c>
      <c r="K6" s="8" t="s">
        <v>193</v>
      </c>
      <c r="L6" s="9">
        <v>12000</v>
      </c>
      <c r="M6" s="9"/>
      <c r="N6" s="48">
        <v>1000</v>
      </c>
      <c r="O6" s="21">
        <f t="shared" si="6"/>
        <v>153400</v>
      </c>
      <c r="P6" s="8" t="s">
        <v>194</v>
      </c>
      <c r="Q6" s="9">
        <v>-12000</v>
      </c>
      <c r="R6" s="9"/>
      <c r="S6" s="48">
        <v>-1000</v>
      </c>
      <c r="T6" s="21">
        <f t="shared" si="7"/>
        <v>124900</v>
      </c>
      <c r="U6" s="53">
        <f t="shared" si="0"/>
        <v>-11</v>
      </c>
      <c r="V6" s="54">
        <f t="shared" si="1"/>
        <v>22</v>
      </c>
      <c r="W6" s="55">
        <f t="shared" si="2"/>
        <v>-11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200</v>
      </c>
      <c r="AZ6" s="40" t="s">
        <v>106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tr">
        <f>IF($K$1="","",$K$1)</f>
        <v>だいち</v>
      </c>
      <c r="F7" s="8" t="s">
        <v>194</v>
      </c>
      <c r="G7" s="9">
        <v>-24000</v>
      </c>
      <c r="H7" s="9"/>
      <c r="I7" s="48">
        <v>-2000</v>
      </c>
      <c r="J7" s="21">
        <f t="shared" si="5"/>
        <v>-4300</v>
      </c>
      <c r="K7" s="8" t="s">
        <v>193</v>
      </c>
      <c r="L7" s="9">
        <v>24000</v>
      </c>
      <c r="M7" s="9"/>
      <c r="N7" s="48">
        <v>2000</v>
      </c>
      <c r="O7" s="21">
        <f t="shared" si="6"/>
        <v>179400</v>
      </c>
      <c r="P7" s="8"/>
      <c r="Q7" s="9"/>
      <c r="R7" s="9"/>
      <c r="S7" s="48"/>
      <c r="T7" s="21">
        <f t="shared" si="7"/>
        <v>124900</v>
      </c>
      <c r="U7" s="53">
        <f t="shared" si="0"/>
        <v>-37</v>
      </c>
      <c r="V7" s="54">
        <f t="shared" si="1"/>
        <v>48</v>
      </c>
      <c r="W7" s="55">
        <f t="shared" si="2"/>
        <v>-11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8</v>
      </c>
      <c r="AY7" s="30" t="s">
        <v>200</v>
      </c>
      <c r="AZ7" s="40" t="s">
        <v>86</v>
      </c>
      <c r="BA7" s="41" t="s">
        <v>86</v>
      </c>
      <c r="BB7" s="41" t="s">
        <v>86</v>
      </c>
      <c r="BC7" s="41" t="s">
        <v>104</v>
      </c>
      <c r="BD7" s="41" t="s">
        <v>79</v>
      </c>
      <c r="BE7" s="41" t="s">
        <v>79</v>
      </c>
      <c r="BF7" s="41" t="s">
        <v>79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3</v>
      </c>
      <c r="D8" s="18">
        <f t="shared" si="4"/>
        <v>0</v>
      </c>
      <c r="E8" s="4" t="str">
        <f>IF($K$1="","",$K$1)</f>
        <v>だいち</v>
      </c>
      <c r="F8" s="8" t="s">
        <v>198</v>
      </c>
      <c r="G8" s="9">
        <v>-2400</v>
      </c>
      <c r="H8" s="9">
        <v>-1000</v>
      </c>
      <c r="I8" s="48">
        <v>-1500</v>
      </c>
      <c r="J8" s="21">
        <f t="shared" si="5"/>
        <v>-9200</v>
      </c>
      <c r="K8" s="8" t="s">
        <v>198</v>
      </c>
      <c r="L8" s="9">
        <v>-4000</v>
      </c>
      <c r="M8" s="9">
        <v>-1000</v>
      </c>
      <c r="N8" s="48">
        <v>-1500</v>
      </c>
      <c r="O8" s="21">
        <f t="shared" si="6"/>
        <v>172900</v>
      </c>
      <c r="P8" s="8" t="s">
        <v>199</v>
      </c>
      <c r="Q8" s="9">
        <v>6400</v>
      </c>
      <c r="R8" s="9">
        <v>2000</v>
      </c>
      <c r="S8" s="48">
        <v>3000</v>
      </c>
      <c r="T8" s="21">
        <f t="shared" si="7"/>
        <v>136300</v>
      </c>
      <c r="U8" s="53">
        <f t="shared" si="0"/>
        <v>-41.9</v>
      </c>
      <c r="V8" s="54">
        <f t="shared" si="1"/>
        <v>41.5</v>
      </c>
      <c r="W8" s="55">
        <f t="shared" si="2"/>
        <v>0.4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25</v>
      </c>
      <c r="BU8" s="40" t="s">
        <v>101</v>
      </c>
      <c r="BV8" s="41" t="s">
        <v>197</v>
      </c>
      <c r="BW8" s="41" t="s">
        <v>82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まっつん</v>
      </c>
      <c r="F9" s="8" t="s">
        <v>204</v>
      </c>
      <c r="G9" s="9">
        <v>1500</v>
      </c>
      <c r="H9" s="9">
        <v>-1000</v>
      </c>
      <c r="I9" s="48"/>
      <c r="J9" s="21">
        <f t="shared" si="5"/>
        <v>-8700</v>
      </c>
      <c r="K9" s="8" t="s">
        <v>204</v>
      </c>
      <c r="L9" s="9">
        <v>1500</v>
      </c>
      <c r="M9" s="9"/>
      <c r="N9" s="48"/>
      <c r="O9" s="21">
        <f t="shared" si="6"/>
        <v>174400</v>
      </c>
      <c r="P9" s="8" t="s">
        <v>204</v>
      </c>
      <c r="Q9" s="9">
        <v>-3000</v>
      </c>
      <c r="R9" s="9"/>
      <c r="S9" s="48"/>
      <c r="T9" s="21">
        <f t="shared" si="7"/>
        <v>133300</v>
      </c>
      <c r="U9" s="53">
        <f t="shared" si="0"/>
        <v>-41.4</v>
      </c>
      <c r="V9" s="54">
        <f t="shared" si="1"/>
        <v>43</v>
      </c>
      <c r="W9" s="55">
        <f t="shared" si="2"/>
        <v>-2.6</v>
      </c>
      <c r="Y9" s="8" t="s">
        <v>203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1</v>
      </c>
      <c r="D10" s="18">
        <f t="shared" si="4"/>
        <v>1</v>
      </c>
      <c r="E10" s="4" t="str">
        <f>IF($F$1="","",$F$1)</f>
        <v>ただ</v>
      </c>
      <c r="F10" s="8" t="s">
        <v>199</v>
      </c>
      <c r="G10" s="9">
        <v>3000</v>
      </c>
      <c r="H10" s="9">
        <v>1000</v>
      </c>
      <c r="I10" s="48">
        <v>1000</v>
      </c>
      <c r="J10" s="21">
        <f t="shared" si="5"/>
        <v>-3700</v>
      </c>
      <c r="K10" s="8" t="s">
        <v>198</v>
      </c>
      <c r="L10" s="9">
        <v>-1500</v>
      </c>
      <c r="M10" s="9"/>
      <c r="N10" s="48">
        <v>-500</v>
      </c>
      <c r="O10" s="21">
        <f t="shared" si="6"/>
        <v>172400</v>
      </c>
      <c r="P10" s="8" t="s">
        <v>198</v>
      </c>
      <c r="Q10" s="9">
        <v>-1500</v>
      </c>
      <c r="R10" s="9"/>
      <c r="S10" s="48">
        <v>-500</v>
      </c>
      <c r="T10" s="21">
        <f t="shared" si="7"/>
        <v>131300</v>
      </c>
      <c r="U10" s="53">
        <f t="shared" si="0"/>
        <v>-36.4</v>
      </c>
      <c r="V10" s="54">
        <f t="shared" si="1"/>
        <v>41</v>
      </c>
      <c r="W10" s="55">
        <f t="shared" si="2"/>
        <v>-4.5999999999999996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195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2</v>
      </c>
      <c r="D11" s="18">
        <f t="shared" si="4"/>
        <v>0</v>
      </c>
      <c r="E11" s="4" t="str">
        <f>IF($F$1="","",$F$1)</f>
        <v>ただ</v>
      </c>
      <c r="F11" s="8" t="s">
        <v>198</v>
      </c>
      <c r="G11" s="9">
        <v>-1700</v>
      </c>
      <c r="H11" s="9"/>
      <c r="I11" s="48">
        <v>-1000</v>
      </c>
      <c r="J11" s="21">
        <f t="shared" si="5"/>
        <v>-6400</v>
      </c>
      <c r="K11" s="8" t="s">
        <v>198</v>
      </c>
      <c r="L11" s="9">
        <v>-1100</v>
      </c>
      <c r="M11" s="9"/>
      <c r="N11" s="48">
        <v>-1000</v>
      </c>
      <c r="O11" s="21">
        <f t="shared" si="6"/>
        <v>170300</v>
      </c>
      <c r="P11" s="8" t="s">
        <v>199</v>
      </c>
      <c r="Q11" s="9">
        <v>2800</v>
      </c>
      <c r="R11" s="9"/>
      <c r="S11" s="48">
        <v>2000</v>
      </c>
      <c r="T11" s="21">
        <f t="shared" si="7"/>
        <v>136100</v>
      </c>
      <c r="U11" s="53">
        <f t="shared" si="0"/>
        <v>-39.1</v>
      </c>
      <c r="V11" s="54">
        <f t="shared" si="1"/>
        <v>38.9</v>
      </c>
      <c r="W11" s="55">
        <f t="shared" si="2"/>
        <v>0.2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20</v>
      </c>
      <c r="BU11" s="40" t="s">
        <v>195</v>
      </c>
      <c r="BV11" s="41" t="s">
        <v>82</v>
      </c>
      <c r="BW11" s="41" t="s">
        <v>83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tr">
        <f>IF($K$1="","",$K$1)</f>
        <v>だいち</v>
      </c>
      <c r="F12" s="8" t="s">
        <v>193</v>
      </c>
      <c r="G12" s="9">
        <v>2600</v>
      </c>
      <c r="H12" s="9"/>
      <c r="I12" s="48">
        <v>0</v>
      </c>
      <c r="J12" s="21">
        <f t="shared" si="5"/>
        <v>-3800</v>
      </c>
      <c r="K12" s="8"/>
      <c r="L12" s="9"/>
      <c r="M12" s="9"/>
      <c r="N12" s="48"/>
      <c r="O12" s="21">
        <f t="shared" si="6"/>
        <v>170300</v>
      </c>
      <c r="P12" s="8" t="s">
        <v>194</v>
      </c>
      <c r="Q12" s="9">
        <v>-2600</v>
      </c>
      <c r="R12" s="9"/>
      <c r="S12" s="48">
        <v>0</v>
      </c>
      <c r="T12" s="21">
        <f t="shared" si="7"/>
        <v>133500</v>
      </c>
      <c r="U12" s="53">
        <f t="shared" si="0"/>
        <v>-36.5</v>
      </c>
      <c r="V12" s="54">
        <f t="shared" si="1"/>
        <v>38.9</v>
      </c>
      <c r="W12" s="55">
        <f t="shared" si="2"/>
        <v>-2.4</v>
      </c>
      <c r="Y12" s="8"/>
      <c r="Z12" s="34"/>
      <c r="AA12" s="26"/>
      <c r="AB12" s="26"/>
      <c r="AC12" s="26">
        <v>2</v>
      </c>
      <c r="AD12" s="30">
        <v>40</v>
      </c>
      <c r="AE12" s="40" t="s">
        <v>85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tr">
        <f>IF($P$1="","",$P$1)</f>
        <v>まっつん</v>
      </c>
      <c r="F13" s="8" t="s">
        <v>198</v>
      </c>
      <c r="G13" s="9">
        <v>-3000</v>
      </c>
      <c r="H13" s="9"/>
      <c r="I13" s="48">
        <v>0</v>
      </c>
      <c r="J13" s="21">
        <f t="shared" si="5"/>
        <v>-6800</v>
      </c>
      <c r="K13" s="8" t="s">
        <v>198</v>
      </c>
      <c r="L13" s="9">
        <v>-3000</v>
      </c>
      <c r="M13" s="9"/>
      <c r="N13" s="48">
        <v>0</v>
      </c>
      <c r="O13" s="21">
        <f t="shared" si="6"/>
        <v>167300</v>
      </c>
      <c r="P13" s="8" t="s">
        <v>199</v>
      </c>
      <c r="Q13" s="9">
        <v>6000</v>
      </c>
      <c r="R13" s="9"/>
      <c r="S13" s="48">
        <v>0</v>
      </c>
      <c r="T13" s="21">
        <f t="shared" si="7"/>
        <v>139500</v>
      </c>
      <c r="U13" s="53">
        <f t="shared" si="0"/>
        <v>-39.5</v>
      </c>
      <c r="V13" s="54">
        <f t="shared" si="1"/>
        <v>35.9</v>
      </c>
      <c r="W13" s="55">
        <f t="shared" si="2"/>
        <v>3.6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86</v>
      </c>
      <c r="BV13" s="41" t="s">
        <v>79</v>
      </c>
      <c r="BW13" s="41" t="s">
        <v>197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1</v>
      </c>
      <c r="D14" s="18">
        <f t="shared" si="4"/>
        <v>0</v>
      </c>
      <c r="E14" s="4" t="str">
        <f>IF($P$1="","",$P$1)</f>
        <v>まっつん</v>
      </c>
      <c r="F14" s="8" t="s">
        <v>198</v>
      </c>
      <c r="G14" s="9">
        <v>-2900</v>
      </c>
      <c r="H14" s="9"/>
      <c r="I14" s="48">
        <v>-500</v>
      </c>
      <c r="J14" s="21">
        <f t="shared" si="5"/>
        <v>-10200</v>
      </c>
      <c r="K14" s="8" t="s">
        <v>199</v>
      </c>
      <c r="L14" s="9">
        <v>7700</v>
      </c>
      <c r="M14" s="9">
        <v>1000</v>
      </c>
      <c r="N14" s="48">
        <v>1000</v>
      </c>
      <c r="O14" s="21">
        <f t="shared" si="6"/>
        <v>177000</v>
      </c>
      <c r="P14" s="8" t="s">
        <v>198</v>
      </c>
      <c r="Q14" s="9">
        <v>-4800</v>
      </c>
      <c r="R14" s="9">
        <v>-1000</v>
      </c>
      <c r="S14" s="48">
        <v>-500</v>
      </c>
      <c r="T14" s="21">
        <f t="shared" si="7"/>
        <v>133200</v>
      </c>
      <c r="U14" s="53">
        <f t="shared" si="0"/>
        <v>-42.9</v>
      </c>
      <c r="V14" s="54">
        <f t="shared" si="1"/>
        <v>45.6</v>
      </c>
      <c r="W14" s="55">
        <f t="shared" si="2"/>
        <v>-2.7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86</v>
      </c>
      <c r="BA14" s="41" t="s">
        <v>79</v>
      </c>
      <c r="BB14" s="41" t="s">
        <v>79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0C5CE122-7866-4602-B87C-2488688374F3}">
      <formula1>$U$2:$W$2</formula1>
    </dataValidation>
    <dataValidation type="list" showInputMessage="1" showErrorMessage="1" sqref="K4:K30 P4:P30 F4:F30" xr:uid="{882D385F-6264-4A1E-8E3E-167C28989B90}">
      <formula1>"ロン,ツモ,放銃,ツモ支払,流局,チョンボ"</formula1>
    </dataValidation>
    <dataValidation type="list" allowBlank="1" showInputMessage="1" sqref="F1:T1" xr:uid="{C01C1741-59C9-45CF-B4E4-A22F7121541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3BF4-FCDC-44F5-A87D-51C03792BD31}">
  <sheetPr codeName="Sheet2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205</v>
      </c>
      <c r="G1" s="96"/>
      <c r="H1" s="96"/>
      <c r="I1" s="97"/>
      <c r="J1" s="98"/>
      <c r="K1" s="95" t="s">
        <v>209</v>
      </c>
      <c r="L1" s="96"/>
      <c r="M1" s="96"/>
      <c r="N1" s="97"/>
      <c r="O1" s="98"/>
      <c r="P1" s="95" t="s">
        <v>210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れんたろう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まっつん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いちかわ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93" t="str">
        <f>$F$1</f>
        <v>れんたろう</v>
      </c>
      <c r="V2" s="94" t="str">
        <f>$K$1</f>
        <v>まっつん</v>
      </c>
      <c r="W2" s="16" t="str">
        <f>$P$1</f>
        <v>いちかわ</v>
      </c>
      <c r="Y2" s="89" t="s">
        <v>23</v>
      </c>
      <c r="Z2" s="92" t="s">
        <v>26</v>
      </c>
      <c r="AA2" s="90" t="s">
        <v>24</v>
      </c>
      <c r="AB2" s="90" t="s">
        <v>127</v>
      </c>
      <c r="AC2" s="90" t="s">
        <v>18</v>
      </c>
      <c r="AD2" s="91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89" t="s">
        <v>23</v>
      </c>
      <c r="AU2" s="92" t="s">
        <v>26</v>
      </c>
      <c r="AV2" s="90" t="s">
        <v>24</v>
      </c>
      <c r="AW2" s="90" t="s">
        <v>128</v>
      </c>
      <c r="AX2" s="90" t="s">
        <v>18</v>
      </c>
      <c r="AY2" s="91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89" t="s">
        <v>23</v>
      </c>
      <c r="BP2" s="92" t="s">
        <v>26</v>
      </c>
      <c r="BQ2" s="90" t="s">
        <v>24</v>
      </c>
      <c r="BR2" s="90" t="s">
        <v>128</v>
      </c>
      <c r="BS2" s="90" t="s">
        <v>18</v>
      </c>
      <c r="BT2" s="91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-20200</v>
      </c>
      <c r="K3" s="7"/>
      <c r="L3" s="23"/>
      <c r="M3" s="23"/>
      <c r="N3" s="47"/>
      <c r="O3" s="20">
        <v>133200</v>
      </c>
      <c r="P3" s="7"/>
      <c r="Q3" s="23"/>
      <c r="R3" s="23"/>
      <c r="S3" s="47"/>
      <c r="T3" s="20">
        <v>187000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213</v>
      </c>
      <c r="F4" s="8" t="s">
        <v>194</v>
      </c>
      <c r="G4" s="9">
        <v>-8000</v>
      </c>
      <c r="H4" s="9"/>
      <c r="I4" s="48">
        <v>0</v>
      </c>
      <c r="J4" s="21">
        <f>IF(COUNTA($F4,$K4,$P4)&gt;0,J3+SUM(G4:I4),"")</f>
        <v>-28200</v>
      </c>
      <c r="K4" s="8"/>
      <c r="L4" s="9"/>
      <c r="M4" s="9"/>
      <c r="N4" s="48"/>
      <c r="O4" s="21">
        <f>IF(COUNTA($F4,$K4,$P4)&gt;0,O3+SUM(L4:N4),"")</f>
        <v>133200</v>
      </c>
      <c r="P4" s="8" t="s">
        <v>193</v>
      </c>
      <c r="Q4" s="9">
        <v>8000</v>
      </c>
      <c r="R4" s="9"/>
      <c r="S4" s="48">
        <v>0</v>
      </c>
      <c r="T4" s="21">
        <f>IF(COUNTA($F4,$K4,$P4)&gt;0,T3+SUM(Q4:S4),"")</f>
        <v>195000</v>
      </c>
      <c r="U4" s="53">
        <f t="shared" ref="U4:U30" si="0">IF($J4="","",ROUND(($J4-$J$3)/1000,1))</f>
        <v>-8</v>
      </c>
      <c r="V4" s="54">
        <f t="shared" ref="V4:V30" si="1">IF($O4="","",ROUND(($O4-$O$3)/1000,1))</f>
        <v>0</v>
      </c>
      <c r="W4" s="55">
        <f t="shared" ref="W4:W30" si="2">IF($T4="","",ROUND(($T4-$T$3)/1000,1))</f>
        <v>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200</v>
      </c>
      <c r="BU4" s="40" t="s">
        <v>195</v>
      </c>
      <c r="BV4" s="41" t="s">
        <v>83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-4800</v>
      </c>
      <c r="H5" s="9">
        <v>-1000</v>
      </c>
      <c r="I5" s="48">
        <v>0</v>
      </c>
      <c r="J5" s="21">
        <f t="shared" ref="J5:J30" si="5">IF(COUNTA($F5,$K5,$P5)&gt;0,J4+SUM(G5:I5),"")</f>
        <v>-34000</v>
      </c>
      <c r="K5" s="8" t="s">
        <v>199</v>
      </c>
      <c r="L5" s="9">
        <v>9600</v>
      </c>
      <c r="M5" s="9">
        <v>1000</v>
      </c>
      <c r="N5" s="48">
        <v>0</v>
      </c>
      <c r="O5" s="21">
        <f t="shared" ref="O5:O30" si="6">IF(COUNTA($F5,$K5,$P5)&gt;0,O4+SUM(L5:N5),"")</f>
        <v>143800</v>
      </c>
      <c r="P5" s="8" t="s">
        <v>198</v>
      </c>
      <c r="Q5" s="9">
        <v>-4800</v>
      </c>
      <c r="R5" s="9"/>
      <c r="S5" s="48">
        <v>0</v>
      </c>
      <c r="T5" s="21">
        <f t="shared" ref="T5:T30" si="7">IF(COUNTA($F5,$K5,$P5)&gt;0,T4+SUM(Q5:S5),"")</f>
        <v>190200</v>
      </c>
      <c r="U5" s="53">
        <f t="shared" si="0"/>
        <v>-13.8</v>
      </c>
      <c r="V5" s="54">
        <f t="shared" si="1"/>
        <v>10.6</v>
      </c>
      <c r="W5" s="55">
        <f t="shared" si="2"/>
        <v>3.2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50</v>
      </c>
      <c r="AZ5" s="40" t="s">
        <v>82</v>
      </c>
      <c r="BA5" s="41" t="s">
        <v>86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tr">
        <f>IF($K$1="","",$K$1)</f>
        <v>まっつん</v>
      </c>
      <c r="F6" s="8" t="s">
        <v>194</v>
      </c>
      <c r="G6" s="9">
        <v>-12000</v>
      </c>
      <c r="H6" s="9">
        <v>-1000</v>
      </c>
      <c r="I6" s="48">
        <v>-1000</v>
      </c>
      <c r="J6" s="21">
        <f t="shared" si="5"/>
        <v>-48000</v>
      </c>
      <c r="K6" s="8" t="s">
        <v>193</v>
      </c>
      <c r="L6" s="9">
        <v>12000</v>
      </c>
      <c r="M6" s="9">
        <v>1000</v>
      </c>
      <c r="N6" s="48">
        <v>1000</v>
      </c>
      <c r="O6" s="21">
        <f t="shared" si="6"/>
        <v>157800</v>
      </c>
      <c r="P6" s="8"/>
      <c r="Q6" s="9"/>
      <c r="R6" s="9"/>
      <c r="S6" s="48"/>
      <c r="T6" s="21">
        <f t="shared" si="7"/>
        <v>190200</v>
      </c>
      <c r="U6" s="53">
        <f t="shared" si="0"/>
        <v>-27.8</v>
      </c>
      <c r="V6" s="54">
        <f t="shared" si="1"/>
        <v>24.6</v>
      </c>
      <c r="W6" s="55">
        <f t="shared" si="2"/>
        <v>3.2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200</v>
      </c>
      <c r="AZ6" s="40" t="s">
        <v>195</v>
      </c>
      <c r="BA6" s="41" t="s">
        <v>86</v>
      </c>
      <c r="BB6" s="41" t="s">
        <v>197</v>
      </c>
      <c r="BC6" s="41" t="s">
        <v>79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tr">
        <f>IF($K$1="","",$K$1)</f>
        <v>まっつん</v>
      </c>
      <c r="F7" s="8" t="s">
        <v>204</v>
      </c>
      <c r="G7" s="9">
        <v>1500</v>
      </c>
      <c r="H7" s="9">
        <v>-1000</v>
      </c>
      <c r="I7" s="48"/>
      <c r="J7" s="21">
        <f t="shared" si="5"/>
        <v>-47500</v>
      </c>
      <c r="K7" s="8" t="s">
        <v>204</v>
      </c>
      <c r="L7" s="9">
        <v>-3000</v>
      </c>
      <c r="M7" s="9"/>
      <c r="N7" s="48"/>
      <c r="O7" s="21">
        <f t="shared" si="6"/>
        <v>154800</v>
      </c>
      <c r="P7" s="8" t="s">
        <v>204</v>
      </c>
      <c r="Q7" s="9">
        <v>1500</v>
      </c>
      <c r="R7" s="9">
        <v>-1000</v>
      </c>
      <c r="S7" s="48"/>
      <c r="T7" s="21">
        <f t="shared" si="7"/>
        <v>190700</v>
      </c>
      <c r="U7" s="53">
        <f t="shared" si="0"/>
        <v>-27.3</v>
      </c>
      <c r="V7" s="54">
        <f t="shared" si="1"/>
        <v>21.6</v>
      </c>
      <c r="W7" s="55">
        <f t="shared" si="2"/>
        <v>3.7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3</v>
      </c>
      <c r="D8" s="18">
        <f t="shared" si="4"/>
        <v>2</v>
      </c>
      <c r="E8" s="4" t="str">
        <f>IF($P$1="","",$P$1)</f>
        <v>いちかわ</v>
      </c>
      <c r="F8" s="8" t="s">
        <v>204</v>
      </c>
      <c r="G8" s="9">
        <v>-1500</v>
      </c>
      <c r="H8" s="9"/>
      <c r="I8" s="48"/>
      <c r="J8" s="21">
        <f t="shared" si="5"/>
        <v>-49000</v>
      </c>
      <c r="K8" s="8" t="s">
        <v>204</v>
      </c>
      <c r="L8" s="9">
        <v>-1500</v>
      </c>
      <c r="M8" s="9"/>
      <c r="N8" s="48"/>
      <c r="O8" s="21">
        <f t="shared" si="6"/>
        <v>153300</v>
      </c>
      <c r="P8" s="8" t="s">
        <v>204</v>
      </c>
      <c r="Q8" s="9">
        <v>3000</v>
      </c>
      <c r="R8" s="9">
        <v>-1000</v>
      </c>
      <c r="S8" s="48"/>
      <c r="T8" s="21">
        <f t="shared" si="7"/>
        <v>192700</v>
      </c>
      <c r="U8" s="53">
        <f t="shared" si="0"/>
        <v>-28.8</v>
      </c>
      <c r="V8" s="54">
        <f t="shared" si="1"/>
        <v>20.100000000000001</v>
      </c>
      <c r="W8" s="55">
        <f t="shared" si="2"/>
        <v>5.7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4</v>
      </c>
      <c r="D9" s="18">
        <f t="shared" si="4"/>
        <v>3</v>
      </c>
      <c r="E9" s="4" t="str">
        <f>IF($P$1="","",$P$1)</f>
        <v>いちかわ</v>
      </c>
      <c r="F9" s="8" t="s">
        <v>198</v>
      </c>
      <c r="G9" s="9">
        <v>-6000</v>
      </c>
      <c r="H9" s="9"/>
      <c r="I9" s="48">
        <v>-2000</v>
      </c>
      <c r="J9" s="21">
        <f t="shared" si="5"/>
        <v>-57000</v>
      </c>
      <c r="K9" s="8" t="s">
        <v>198</v>
      </c>
      <c r="L9" s="9">
        <v>-6000</v>
      </c>
      <c r="M9" s="9"/>
      <c r="N9" s="48">
        <v>-2000</v>
      </c>
      <c r="O9" s="21">
        <f t="shared" si="6"/>
        <v>145300</v>
      </c>
      <c r="P9" s="8" t="s">
        <v>199</v>
      </c>
      <c r="Q9" s="9">
        <v>12000</v>
      </c>
      <c r="R9" s="9">
        <v>3000</v>
      </c>
      <c r="S9" s="48">
        <v>4000</v>
      </c>
      <c r="T9" s="21">
        <f t="shared" si="7"/>
        <v>211700</v>
      </c>
      <c r="U9" s="53">
        <f t="shared" si="0"/>
        <v>-36.799999999999997</v>
      </c>
      <c r="V9" s="54">
        <f t="shared" si="1"/>
        <v>12.1</v>
      </c>
      <c r="W9" s="55">
        <f t="shared" si="2"/>
        <v>24.7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200</v>
      </c>
      <c r="BU9" s="40" t="s">
        <v>82</v>
      </c>
      <c r="BV9" s="41" t="s">
        <v>79</v>
      </c>
      <c r="BW9" s="41" t="s">
        <v>79</v>
      </c>
      <c r="BX9" s="41" t="s">
        <v>79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5</v>
      </c>
      <c r="D10" s="18">
        <f t="shared" si="4"/>
        <v>0</v>
      </c>
      <c r="E10" s="4" t="str">
        <f>IF($P$1="","",$P$1)</f>
        <v>いちかわ</v>
      </c>
      <c r="F10" s="8" t="s">
        <v>204</v>
      </c>
      <c r="G10" s="9">
        <v>1500</v>
      </c>
      <c r="H10" s="9">
        <v>-1000</v>
      </c>
      <c r="I10" s="48"/>
      <c r="J10" s="21">
        <f t="shared" si="5"/>
        <v>-56500</v>
      </c>
      <c r="K10" s="8" t="s">
        <v>204</v>
      </c>
      <c r="L10" s="9">
        <v>-3000</v>
      </c>
      <c r="M10" s="9"/>
      <c r="N10" s="48"/>
      <c r="O10" s="21">
        <f t="shared" si="6"/>
        <v>142300</v>
      </c>
      <c r="P10" s="8" t="s">
        <v>204</v>
      </c>
      <c r="Q10" s="9">
        <v>1500</v>
      </c>
      <c r="R10" s="9"/>
      <c r="S10" s="48"/>
      <c r="T10" s="21">
        <f t="shared" si="7"/>
        <v>213200</v>
      </c>
      <c r="U10" s="53">
        <f t="shared" si="0"/>
        <v>-36.299999999999997</v>
      </c>
      <c r="V10" s="54">
        <f t="shared" si="1"/>
        <v>9.1</v>
      </c>
      <c r="W10" s="55">
        <f t="shared" si="2"/>
        <v>26.2</v>
      </c>
      <c r="Y10" s="8" t="s">
        <v>203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東</v>
      </c>
      <c r="B11" s="18">
        <f t="shared" si="8"/>
        <v>3</v>
      </c>
      <c r="C11" s="18">
        <f t="shared" si="9"/>
        <v>6</v>
      </c>
      <c r="D11" s="18">
        <f t="shared" si="4"/>
        <v>1</v>
      </c>
      <c r="E11" s="4" t="str">
        <f>IF($P$1="","",$P$1)</f>
        <v>いちかわ</v>
      </c>
      <c r="F11" s="8" t="s">
        <v>193</v>
      </c>
      <c r="G11" s="9">
        <v>5200</v>
      </c>
      <c r="H11" s="9">
        <v>2000</v>
      </c>
      <c r="I11" s="48">
        <v>6000</v>
      </c>
      <c r="J11" s="21">
        <f t="shared" si="5"/>
        <v>-43300</v>
      </c>
      <c r="K11" s="8" t="s">
        <v>194</v>
      </c>
      <c r="L11" s="9">
        <v>-5200</v>
      </c>
      <c r="M11" s="9">
        <v>-1000</v>
      </c>
      <c r="N11" s="48">
        <v>-6000</v>
      </c>
      <c r="O11" s="21">
        <f t="shared" si="6"/>
        <v>130100</v>
      </c>
      <c r="P11" s="8"/>
      <c r="Q11" s="9"/>
      <c r="R11" s="9"/>
      <c r="S11" s="48"/>
      <c r="T11" s="21">
        <f t="shared" si="7"/>
        <v>213200</v>
      </c>
      <c r="U11" s="53">
        <f t="shared" si="0"/>
        <v>-23.1</v>
      </c>
      <c r="V11" s="54">
        <f t="shared" si="1"/>
        <v>-3.1</v>
      </c>
      <c r="W11" s="55">
        <f t="shared" si="2"/>
        <v>26.2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82</v>
      </c>
      <c r="AF11" s="41" t="s">
        <v>197</v>
      </c>
      <c r="AG11" s="41" t="s">
        <v>197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れんたろう</v>
      </c>
      <c r="F12" s="8" t="s">
        <v>193</v>
      </c>
      <c r="G12" s="9">
        <v>12000</v>
      </c>
      <c r="H12" s="9"/>
      <c r="I12" s="48">
        <v>0</v>
      </c>
      <c r="J12" s="21">
        <f t="shared" si="5"/>
        <v>-31300</v>
      </c>
      <c r="K12" s="8"/>
      <c r="L12" s="9"/>
      <c r="M12" s="9"/>
      <c r="N12" s="48"/>
      <c r="O12" s="21">
        <f t="shared" si="6"/>
        <v>130100</v>
      </c>
      <c r="P12" s="8" t="s">
        <v>194</v>
      </c>
      <c r="Q12" s="9">
        <v>-12000</v>
      </c>
      <c r="R12" s="9"/>
      <c r="S12" s="48">
        <v>0</v>
      </c>
      <c r="T12" s="21">
        <f t="shared" si="7"/>
        <v>201200</v>
      </c>
      <c r="U12" s="53">
        <f t="shared" si="0"/>
        <v>-11.1</v>
      </c>
      <c r="V12" s="54">
        <f t="shared" si="1"/>
        <v>-3.1</v>
      </c>
      <c r="W12" s="55">
        <f t="shared" si="2"/>
        <v>14.2</v>
      </c>
      <c r="Y12" s="8"/>
      <c r="Z12" s="34"/>
      <c r="AA12" s="26"/>
      <c r="AB12" s="26"/>
      <c r="AC12" s="26">
        <v>5</v>
      </c>
      <c r="AD12" s="30" t="s">
        <v>200</v>
      </c>
      <c r="AE12" s="40" t="s">
        <v>104</v>
      </c>
      <c r="AF12" s="41" t="s">
        <v>84</v>
      </c>
      <c r="AG12" s="41" t="s">
        <v>86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1</v>
      </c>
      <c r="C13" s="18">
        <f t="shared" si="9"/>
        <v>1</v>
      </c>
      <c r="D13" s="18">
        <f t="shared" si="4"/>
        <v>0</v>
      </c>
      <c r="E13" s="4" t="str">
        <f>IF($F$1="","",$F$1)</f>
        <v>れんたろう</v>
      </c>
      <c r="F13" s="8" t="s">
        <v>198</v>
      </c>
      <c r="G13" s="9">
        <v>-10000</v>
      </c>
      <c r="H13" s="9">
        <v>-1000</v>
      </c>
      <c r="I13" s="48">
        <v>-500</v>
      </c>
      <c r="J13" s="21">
        <f t="shared" si="5"/>
        <v>-42800</v>
      </c>
      <c r="K13" s="8" t="s">
        <v>198</v>
      </c>
      <c r="L13" s="9">
        <v>-6000</v>
      </c>
      <c r="M13" s="9"/>
      <c r="N13" s="48">
        <v>-500</v>
      </c>
      <c r="O13" s="21">
        <f t="shared" si="6"/>
        <v>123600</v>
      </c>
      <c r="P13" s="8" t="s">
        <v>199</v>
      </c>
      <c r="Q13" s="9">
        <v>16000</v>
      </c>
      <c r="R13" s="9">
        <v>1000</v>
      </c>
      <c r="S13" s="48">
        <v>1000</v>
      </c>
      <c r="T13" s="21">
        <f t="shared" si="7"/>
        <v>219200</v>
      </c>
      <c r="U13" s="53">
        <f t="shared" si="0"/>
        <v>-22.6</v>
      </c>
      <c r="V13" s="54">
        <f t="shared" si="1"/>
        <v>-9.6</v>
      </c>
      <c r="W13" s="55">
        <f t="shared" si="2"/>
        <v>32.200000000000003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10</v>
      </c>
      <c r="BT13" s="30" t="s">
        <v>200</v>
      </c>
      <c r="BU13" s="40" t="s">
        <v>195</v>
      </c>
      <c r="BV13" s="41" t="s">
        <v>82</v>
      </c>
      <c r="BW13" s="41" t="s">
        <v>196</v>
      </c>
      <c r="BX13" s="41" t="s">
        <v>86</v>
      </c>
      <c r="BY13" s="41" t="s">
        <v>197</v>
      </c>
      <c r="BZ13" s="41" t="s">
        <v>197</v>
      </c>
      <c r="CA13" s="41" t="s">
        <v>79</v>
      </c>
      <c r="CB13" s="41" t="s">
        <v>79</v>
      </c>
      <c r="CC13" s="41" t="s">
        <v>79</v>
      </c>
      <c r="CD13" s="41" t="s">
        <v>80</v>
      </c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2</v>
      </c>
      <c r="C14" s="18">
        <f t="shared" si="9"/>
        <v>0</v>
      </c>
      <c r="D14" s="18">
        <f t="shared" si="4"/>
        <v>0</v>
      </c>
      <c r="E14" s="4" t="str">
        <f>IF($K$1="","",$K$1)</f>
        <v>まっつん</v>
      </c>
      <c r="F14" s="8" t="s">
        <v>204</v>
      </c>
      <c r="G14" s="9">
        <v>1500</v>
      </c>
      <c r="H14" s="9"/>
      <c r="I14" s="48"/>
      <c r="J14" s="21">
        <f t="shared" si="5"/>
        <v>-41300</v>
      </c>
      <c r="K14" s="8" t="s">
        <v>204</v>
      </c>
      <c r="L14" s="9">
        <v>1500</v>
      </c>
      <c r="M14" s="9">
        <v>-1000</v>
      </c>
      <c r="N14" s="48"/>
      <c r="O14" s="21">
        <f t="shared" si="6"/>
        <v>124100</v>
      </c>
      <c r="P14" s="8" t="s">
        <v>204</v>
      </c>
      <c r="Q14" s="9">
        <v>-3000</v>
      </c>
      <c r="R14" s="9"/>
      <c r="S14" s="48"/>
      <c r="T14" s="21">
        <f t="shared" si="7"/>
        <v>216200</v>
      </c>
      <c r="U14" s="53">
        <f t="shared" si="0"/>
        <v>-21.1</v>
      </c>
      <c r="V14" s="54">
        <f t="shared" si="1"/>
        <v>-9.1</v>
      </c>
      <c r="W14" s="55">
        <f t="shared" si="2"/>
        <v>29.2</v>
      </c>
      <c r="Y14" s="8" t="s">
        <v>203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203</v>
      </c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202</v>
      </c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>南</v>
      </c>
      <c r="B15" s="18">
        <f t="shared" si="8"/>
        <v>2</v>
      </c>
      <c r="C15" s="18">
        <f t="shared" si="9"/>
        <v>1</v>
      </c>
      <c r="D15" s="18">
        <f t="shared" si="4"/>
        <v>1</v>
      </c>
      <c r="E15" s="4" t="str">
        <f>IF($K$1="","",$K$1)</f>
        <v>まっつん</v>
      </c>
      <c r="F15" s="8" t="s">
        <v>204</v>
      </c>
      <c r="G15" s="9">
        <v>-1500</v>
      </c>
      <c r="H15" s="9"/>
      <c r="I15" s="48"/>
      <c r="J15" s="21">
        <f t="shared" si="5"/>
        <v>-42800</v>
      </c>
      <c r="K15" s="8" t="s">
        <v>204</v>
      </c>
      <c r="L15" s="9">
        <v>3000</v>
      </c>
      <c r="M15" s="9">
        <v>-1000</v>
      </c>
      <c r="N15" s="48"/>
      <c r="O15" s="21">
        <f t="shared" si="6"/>
        <v>126100</v>
      </c>
      <c r="P15" s="8" t="s">
        <v>204</v>
      </c>
      <c r="Q15" s="9">
        <v>-1500</v>
      </c>
      <c r="R15" s="9"/>
      <c r="S15" s="48"/>
      <c r="T15" s="21">
        <f t="shared" si="7"/>
        <v>214700</v>
      </c>
      <c r="U15" s="53">
        <f t="shared" si="0"/>
        <v>-22.6</v>
      </c>
      <c r="V15" s="54">
        <f t="shared" si="1"/>
        <v>-7.1</v>
      </c>
      <c r="W15" s="55">
        <f t="shared" si="2"/>
        <v>27.7</v>
      </c>
      <c r="Y15" s="8" t="s">
        <v>202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203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202</v>
      </c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>南</v>
      </c>
      <c r="B16" s="18">
        <f t="shared" si="8"/>
        <v>2</v>
      </c>
      <c r="C16" s="18">
        <f t="shared" si="9"/>
        <v>2</v>
      </c>
      <c r="D16" s="18">
        <f t="shared" si="4"/>
        <v>2</v>
      </c>
      <c r="E16" s="4" t="str">
        <f>IF($K$1="","",$K$1)</f>
        <v>まっつん</v>
      </c>
      <c r="F16" s="8" t="s">
        <v>194</v>
      </c>
      <c r="G16" s="9">
        <v>-18000</v>
      </c>
      <c r="H16" s="9"/>
      <c r="I16" s="48">
        <v>-2000</v>
      </c>
      <c r="J16" s="21">
        <f t="shared" si="5"/>
        <v>-62800</v>
      </c>
      <c r="K16" s="8" t="s">
        <v>193</v>
      </c>
      <c r="L16" s="9">
        <v>18000</v>
      </c>
      <c r="M16" s="9">
        <v>2000</v>
      </c>
      <c r="N16" s="48">
        <v>2000</v>
      </c>
      <c r="O16" s="21">
        <f t="shared" si="6"/>
        <v>148100</v>
      </c>
      <c r="P16" s="8"/>
      <c r="Q16" s="9"/>
      <c r="R16" s="9"/>
      <c r="S16" s="48"/>
      <c r="T16" s="21">
        <f t="shared" si="7"/>
        <v>214700</v>
      </c>
      <c r="U16" s="53">
        <f t="shared" si="0"/>
        <v>-42.6</v>
      </c>
      <c r="V16" s="54">
        <f t="shared" si="1"/>
        <v>14.9</v>
      </c>
      <c r="W16" s="55">
        <f t="shared" si="2"/>
        <v>27.7</v>
      </c>
      <c r="Y16" s="8"/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>
        <v>7</v>
      </c>
      <c r="AY16" s="30" t="s">
        <v>200</v>
      </c>
      <c r="AZ16" s="40" t="s">
        <v>86</v>
      </c>
      <c r="BA16" s="41" t="s">
        <v>86</v>
      </c>
      <c r="BB16" s="41" t="s">
        <v>104</v>
      </c>
      <c r="BC16" s="41" t="s">
        <v>98</v>
      </c>
      <c r="BD16" s="41" t="s">
        <v>197</v>
      </c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>南</v>
      </c>
      <c r="B17" s="18">
        <f t="shared" si="8"/>
        <v>2</v>
      </c>
      <c r="C17" s="18">
        <f t="shared" si="9"/>
        <v>3</v>
      </c>
      <c r="D17" s="18">
        <f t="shared" si="4"/>
        <v>0</v>
      </c>
      <c r="E17" s="4" t="str">
        <f>IF($K$1="","",$K$1)</f>
        <v>まっつん</v>
      </c>
      <c r="F17" s="8"/>
      <c r="G17" s="9"/>
      <c r="H17" s="9"/>
      <c r="I17" s="48"/>
      <c r="J17" s="21">
        <f t="shared" si="5"/>
        <v>-62800</v>
      </c>
      <c r="K17" s="8" t="s">
        <v>194</v>
      </c>
      <c r="L17" s="9">
        <v>-2600</v>
      </c>
      <c r="M17" s="9">
        <v>-1000</v>
      </c>
      <c r="N17" s="48">
        <v>-3000</v>
      </c>
      <c r="O17" s="21">
        <f t="shared" si="6"/>
        <v>141500</v>
      </c>
      <c r="P17" s="8" t="s">
        <v>193</v>
      </c>
      <c r="Q17" s="9">
        <v>2600</v>
      </c>
      <c r="R17" s="9">
        <v>1000</v>
      </c>
      <c r="S17" s="48">
        <v>3000</v>
      </c>
      <c r="T17" s="21">
        <f t="shared" si="7"/>
        <v>221300</v>
      </c>
      <c r="U17" s="53">
        <f t="shared" si="0"/>
        <v>-42.6</v>
      </c>
      <c r="V17" s="54">
        <f t="shared" si="1"/>
        <v>8.3000000000000007</v>
      </c>
      <c r="W17" s="55">
        <f t="shared" si="2"/>
        <v>34.299999999999997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2</v>
      </c>
      <c r="BT17" s="30">
        <v>40</v>
      </c>
      <c r="BU17" s="40" t="s">
        <v>195</v>
      </c>
      <c r="BV17" s="41" t="s">
        <v>79</v>
      </c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>南</v>
      </c>
      <c r="B18" s="18">
        <f t="shared" si="8"/>
        <v>3</v>
      </c>
      <c r="C18" s="18">
        <f t="shared" si="9"/>
        <v>0</v>
      </c>
      <c r="D18" s="18">
        <f t="shared" si="4"/>
        <v>0</v>
      </c>
      <c r="E18" s="4" t="str">
        <f>IF($P$1="","",$P$1)</f>
        <v>いちかわ</v>
      </c>
      <c r="F18" s="8" t="s">
        <v>198</v>
      </c>
      <c r="G18" s="9">
        <v>-3900</v>
      </c>
      <c r="H18" s="9"/>
      <c r="I18" s="48">
        <v>0</v>
      </c>
      <c r="J18" s="21">
        <f t="shared" si="5"/>
        <v>-66700</v>
      </c>
      <c r="K18" s="8" t="s">
        <v>198</v>
      </c>
      <c r="L18" s="9">
        <v>-3900</v>
      </c>
      <c r="M18" s="9"/>
      <c r="N18" s="48">
        <v>0</v>
      </c>
      <c r="O18" s="21">
        <f t="shared" si="6"/>
        <v>137600</v>
      </c>
      <c r="P18" s="8" t="s">
        <v>199</v>
      </c>
      <c r="Q18" s="9">
        <v>7800</v>
      </c>
      <c r="R18" s="9"/>
      <c r="S18" s="48">
        <v>0</v>
      </c>
      <c r="T18" s="21">
        <f t="shared" si="7"/>
        <v>229100</v>
      </c>
      <c r="U18" s="53">
        <f t="shared" si="0"/>
        <v>-46.5</v>
      </c>
      <c r="V18" s="54">
        <f t="shared" si="1"/>
        <v>4.4000000000000004</v>
      </c>
      <c r="W18" s="55">
        <f t="shared" si="2"/>
        <v>42.1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>
        <v>1</v>
      </c>
      <c r="BS18" s="26">
        <v>3</v>
      </c>
      <c r="BT18" s="30">
        <v>40</v>
      </c>
      <c r="BU18" s="40" t="s">
        <v>86</v>
      </c>
      <c r="BV18" s="41" t="s">
        <v>86</v>
      </c>
      <c r="BW18" s="41" t="s">
        <v>197</v>
      </c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>南</v>
      </c>
      <c r="B19" s="18">
        <f t="shared" si="8"/>
        <v>3</v>
      </c>
      <c r="C19" s="18">
        <f t="shared" si="9"/>
        <v>1</v>
      </c>
      <c r="D19" s="18">
        <f t="shared" si="4"/>
        <v>0</v>
      </c>
      <c r="E19" s="4" t="str">
        <f>IF($P$1="","",$P$1)</f>
        <v>いちかわ</v>
      </c>
      <c r="F19" s="8" t="s">
        <v>198</v>
      </c>
      <c r="G19" s="9">
        <v>-3000</v>
      </c>
      <c r="H19" s="9"/>
      <c r="I19" s="48">
        <v>-500</v>
      </c>
      <c r="J19" s="21">
        <f t="shared" si="5"/>
        <v>-70200</v>
      </c>
      <c r="K19" s="8" t="s">
        <v>198</v>
      </c>
      <c r="L19" s="9">
        <v>-3000</v>
      </c>
      <c r="M19" s="9"/>
      <c r="N19" s="48">
        <v>-500</v>
      </c>
      <c r="O19" s="21">
        <f t="shared" si="6"/>
        <v>134100</v>
      </c>
      <c r="P19" s="8" t="s">
        <v>199</v>
      </c>
      <c r="Q19" s="9">
        <v>6000</v>
      </c>
      <c r="R19" s="9"/>
      <c r="S19" s="48">
        <v>1000</v>
      </c>
      <c r="T19" s="21">
        <f t="shared" si="7"/>
        <v>236100</v>
      </c>
      <c r="U19" s="53">
        <f t="shared" si="0"/>
        <v>-50</v>
      </c>
      <c r="V19" s="54">
        <f t="shared" si="1"/>
        <v>0.9</v>
      </c>
      <c r="W19" s="55">
        <f t="shared" si="2"/>
        <v>49.1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>
        <v>3</v>
      </c>
      <c r="BT19" s="30">
        <v>30</v>
      </c>
      <c r="BU19" s="40" t="s">
        <v>82</v>
      </c>
      <c r="BV19" s="41" t="s">
        <v>85</v>
      </c>
      <c r="BW19" s="41" t="s">
        <v>197</v>
      </c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>南</v>
      </c>
      <c r="B20" s="18">
        <f t="shared" si="8"/>
        <v>3</v>
      </c>
      <c r="C20" s="18">
        <f t="shared" si="9"/>
        <v>2</v>
      </c>
      <c r="D20" s="18">
        <f t="shared" si="4"/>
        <v>0</v>
      </c>
      <c r="E20" s="4" t="str">
        <f>IF($P$1="","",$P$1)</f>
        <v>いちかわ</v>
      </c>
      <c r="F20" s="8" t="s">
        <v>198</v>
      </c>
      <c r="G20" s="9">
        <v>-3000</v>
      </c>
      <c r="H20" s="9"/>
      <c r="I20" s="48">
        <v>-1000</v>
      </c>
      <c r="J20" s="21">
        <f t="shared" si="5"/>
        <v>-74200</v>
      </c>
      <c r="K20" s="8" t="s">
        <v>198</v>
      </c>
      <c r="L20" s="9">
        <v>-3000</v>
      </c>
      <c r="M20" s="9"/>
      <c r="N20" s="48">
        <v>-1000</v>
      </c>
      <c r="O20" s="21">
        <f t="shared" si="6"/>
        <v>130100</v>
      </c>
      <c r="P20" s="8" t="s">
        <v>199</v>
      </c>
      <c r="Q20" s="9">
        <v>6000</v>
      </c>
      <c r="R20" s="9"/>
      <c r="S20" s="48">
        <v>2000</v>
      </c>
      <c r="T20" s="21">
        <f t="shared" si="7"/>
        <v>244100</v>
      </c>
      <c r="U20" s="53">
        <f t="shared" si="0"/>
        <v>-54</v>
      </c>
      <c r="V20" s="54">
        <f t="shared" si="1"/>
        <v>-3.1</v>
      </c>
      <c r="W20" s="55">
        <f t="shared" si="2"/>
        <v>57.1</v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>
        <v>1</v>
      </c>
      <c r="BR20" s="26"/>
      <c r="BS20" s="26">
        <v>3</v>
      </c>
      <c r="BT20" s="30">
        <v>30</v>
      </c>
      <c r="BU20" s="40" t="s">
        <v>195</v>
      </c>
      <c r="BV20" s="41" t="s">
        <v>82</v>
      </c>
      <c r="BW20" s="41" t="s">
        <v>84</v>
      </c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>南</v>
      </c>
      <c r="B21" s="18">
        <f t="shared" si="8"/>
        <v>3</v>
      </c>
      <c r="C21" s="18">
        <f t="shared" si="9"/>
        <v>3</v>
      </c>
      <c r="D21" s="18">
        <f t="shared" si="4"/>
        <v>0</v>
      </c>
      <c r="E21" s="4" t="str">
        <f>IF($P$1="","",$P$1)</f>
        <v>いちかわ</v>
      </c>
      <c r="F21" s="8" t="s">
        <v>194</v>
      </c>
      <c r="G21" s="9">
        <v>-11600</v>
      </c>
      <c r="H21" s="9"/>
      <c r="I21" s="48">
        <v>-3000</v>
      </c>
      <c r="J21" s="21">
        <f t="shared" si="5"/>
        <v>-88800</v>
      </c>
      <c r="K21" s="8"/>
      <c r="L21" s="9"/>
      <c r="M21" s="9"/>
      <c r="N21" s="48"/>
      <c r="O21" s="21">
        <f t="shared" si="6"/>
        <v>130100</v>
      </c>
      <c r="P21" s="8" t="s">
        <v>193</v>
      </c>
      <c r="Q21" s="9">
        <v>11600</v>
      </c>
      <c r="R21" s="9"/>
      <c r="S21" s="48">
        <v>3000</v>
      </c>
      <c r="T21" s="21">
        <f t="shared" si="7"/>
        <v>258700</v>
      </c>
      <c r="U21" s="53">
        <f t="shared" si="0"/>
        <v>-68.599999999999994</v>
      </c>
      <c r="V21" s="54">
        <f t="shared" si="1"/>
        <v>-3.1</v>
      </c>
      <c r="W21" s="55">
        <f t="shared" si="2"/>
        <v>71.7</v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>
        <v>1</v>
      </c>
      <c r="BR21" s="26"/>
      <c r="BS21" s="26">
        <v>4</v>
      </c>
      <c r="BT21" s="30">
        <v>30</v>
      </c>
      <c r="BU21" s="40" t="s">
        <v>195</v>
      </c>
      <c r="BV21" s="41" t="s">
        <v>196</v>
      </c>
      <c r="BW21" s="41" t="s">
        <v>83</v>
      </c>
      <c r="BX21" s="41" t="s">
        <v>80</v>
      </c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>南</v>
      </c>
      <c r="B22" s="18">
        <f t="shared" si="8"/>
        <v>3</v>
      </c>
      <c r="C22" s="18">
        <f t="shared" si="9"/>
        <v>4</v>
      </c>
      <c r="D22" s="18">
        <f t="shared" si="4"/>
        <v>0</v>
      </c>
      <c r="E22" s="4" t="str">
        <f>IF($P$1="","",$P$1)</f>
        <v>いちかわ</v>
      </c>
      <c r="F22" s="8" t="s">
        <v>193</v>
      </c>
      <c r="G22" s="9">
        <v>16000</v>
      </c>
      <c r="H22" s="9">
        <v>1000</v>
      </c>
      <c r="I22" s="48">
        <v>4000</v>
      </c>
      <c r="J22" s="21">
        <f t="shared" si="5"/>
        <v>-67800</v>
      </c>
      <c r="K22" s="8"/>
      <c r="L22" s="9"/>
      <c r="M22" s="9">
        <v>-1000</v>
      </c>
      <c r="N22" s="48"/>
      <c r="O22" s="21">
        <f t="shared" si="6"/>
        <v>129100</v>
      </c>
      <c r="P22" s="8" t="s">
        <v>194</v>
      </c>
      <c r="Q22" s="9">
        <v>-16000</v>
      </c>
      <c r="R22" s="9"/>
      <c r="S22" s="48">
        <v>-4000</v>
      </c>
      <c r="T22" s="21">
        <f t="shared" si="7"/>
        <v>238700</v>
      </c>
      <c r="U22" s="53">
        <f t="shared" si="0"/>
        <v>-47.6</v>
      </c>
      <c r="V22" s="54">
        <f t="shared" si="1"/>
        <v>-4.0999999999999996</v>
      </c>
      <c r="W22" s="55">
        <f t="shared" si="2"/>
        <v>51.7</v>
      </c>
      <c r="Y22" s="8"/>
      <c r="Z22" s="34"/>
      <c r="AA22" s="26">
        <v>1</v>
      </c>
      <c r="AB22" s="26"/>
      <c r="AC22" s="26">
        <v>8</v>
      </c>
      <c r="AD22" s="30" t="s">
        <v>200</v>
      </c>
      <c r="AE22" s="40" t="s">
        <v>195</v>
      </c>
      <c r="AF22" s="41" t="s">
        <v>104</v>
      </c>
      <c r="AG22" s="41" t="s">
        <v>101</v>
      </c>
      <c r="AH22" s="41" t="s">
        <v>80</v>
      </c>
      <c r="AI22" s="41" t="s">
        <v>80</v>
      </c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>
        <v>1</v>
      </c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F5E1FEE-AE31-498F-AD8B-92475122B03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CDC823FD-1131-474F-9E24-EC1CBB5C47C0}">
      <formula1>"ロン,ツモ,放銃,ツモ支払,流局,チョンボ"</formula1>
    </dataValidation>
    <dataValidation type="list" allowBlank="1" showInputMessage="1" showErrorMessage="1" sqref="E4:E30" xr:uid="{C56EEC9E-B330-47AD-B814-A6C03237C4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9B12E-DEDD-49E2-AEB5-302618473BE4}">
  <sheetPr codeName="Sheet2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99" t="s">
        <v>0</v>
      </c>
      <c r="B1" s="101" t="s">
        <v>2</v>
      </c>
      <c r="C1" s="101" t="s">
        <v>1</v>
      </c>
      <c r="D1" s="101" t="s">
        <v>21</v>
      </c>
      <c r="E1" s="103" t="s">
        <v>3</v>
      </c>
      <c r="F1" s="95" t="s">
        <v>201</v>
      </c>
      <c r="G1" s="96"/>
      <c r="H1" s="96"/>
      <c r="I1" s="97"/>
      <c r="J1" s="98"/>
      <c r="K1" s="95" t="s">
        <v>210</v>
      </c>
      <c r="L1" s="96"/>
      <c r="M1" s="96"/>
      <c r="N1" s="97"/>
      <c r="O1" s="98"/>
      <c r="P1" s="95" t="s">
        <v>205</v>
      </c>
      <c r="Q1" s="96"/>
      <c r="R1" s="96"/>
      <c r="S1" s="97"/>
      <c r="T1" s="98"/>
      <c r="U1" s="95" t="s">
        <v>6</v>
      </c>
      <c r="V1" s="96"/>
      <c r="W1" s="98"/>
      <c r="Y1" s="95" t="str">
        <f>F1</f>
        <v>たかの</v>
      </c>
      <c r="Z1" s="10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8"/>
      <c r="AT1" s="95" t="str">
        <f>K1</f>
        <v>いちかわ</v>
      </c>
      <c r="AU1" s="10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8"/>
      <c r="BO1" s="95" t="str">
        <f>P1</f>
        <v>れんたろう</v>
      </c>
      <c r="BP1" s="10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8"/>
    </row>
    <row r="2" spans="1:87" x14ac:dyDescent="0.4">
      <c r="A2" s="100"/>
      <c r="B2" s="102"/>
      <c r="C2" s="102"/>
      <c r="D2" s="102"/>
      <c r="E2" s="10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93" t="str">
        <f>$F$1</f>
        <v>たかの</v>
      </c>
      <c r="V2" s="94" t="str">
        <f>$K$1</f>
        <v>いちかわ</v>
      </c>
      <c r="W2" s="16" t="str">
        <f>$P$1</f>
        <v>れんたろう</v>
      </c>
      <c r="Y2" s="89" t="s">
        <v>23</v>
      </c>
      <c r="Z2" s="92" t="s">
        <v>26</v>
      </c>
      <c r="AA2" s="90" t="s">
        <v>24</v>
      </c>
      <c r="AB2" s="90" t="s">
        <v>127</v>
      </c>
      <c r="AC2" s="90" t="s">
        <v>18</v>
      </c>
      <c r="AD2" s="91" t="s">
        <v>19</v>
      </c>
      <c r="AE2" s="105" t="s">
        <v>20</v>
      </c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89" t="s">
        <v>23</v>
      </c>
      <c r="AU2" s="92" t="s">
        <v>26</v>
      </c>
      <c r="AV2" s="90" t="s">
        <v>24</v>
      </c>
      <c r="AW2" s="90" t="s">
        <v>128</v>
      </c>
      <c r="AX2" s="90" t="s">
        <v>18</v>
      </c>
      <c r="AY2" s="91" t="s">
        <v>19</v>
      </c>
      <c r="AZ2" s="105" t="s">
        <v>20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89" t="s">
        <v>23</v>
      </c>
      <c r="BP2" s="92" t="s">
        <v>26</v>
      </c>
      <c r="BQ2" s="90" t="s">
        <v>24</v>
      </c>
      <c r="BR2" s="90" t="s">
        <v>128</v>
      </c>
      <c r="BS2" s="90" t="s">
        <v>18</v>
      </c>
      <c r="BT2" s="91" t="s">
        <v>19</v>
      </c>
      <c r="BU2" s="105" t="s">
        <v>20</v>
      </c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129100</v>
      </c>
      <c r="K3" s="7"/>
      <c r="L3" s="23"/>
      <c r="M3" s="23"/>
      <c r="N3" s="47"/>
      <c r="O3" s="20">
        <v>248700</v>
      </c>
      <c r="P3" s="7"/>
      <c r="Q3" s="23"/>
      <c r="R3" s="23"/>
      <c r="S3" s="47"/>
      <c r="T3" s="20">
        <v>-77800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214</v>
      </c>
      <c r="F4" s="8" t="s">
        <v>199</v>
      </c>
      <c r="G4" s="9">
        <v>2200</v>
      </c>
      <c r="H4" s="9"/>
      <c r="I4" s="48">
        <v>0</v>
      </c>
      <c r="J4" s="21">
        <f>IF(COUNTA($F4,$K4,$P4)&gt;0,J3+SUM(G4:I4),"")</f>
        <v>131300</v>
      </c>
      <c r="K4" s="8" t="s">
        <v>198</v>
      </c>
      <c r="L4" s="9">
        <v>-1100</v>
      </c>
      <c r="M4" s="9"/>
      <c r="N4" s="48">
        <v>0</v>
      </c>
      <c r="O4" s="21">
        <f>IF(COUNTA($F4,$K4,$P4)&gt;0,O3+SUM(L4:N4),"")</f>
        <v>247600</v>
      </c>
      <c r="P4" s="8" t="s">
        <v>198</v>
      </c>
      <c r="Q4" s="9">
        <v>-1100</v>
      </c>
      <c r="R4" s="9"/>
      <c r="S4" s="48">
        <v>0</v>
      </c>
      <c r="T4" s="21">
        <f>IF(COUNTA($F4,$K4,$P4)&gt;0,T3+SUM(Q4:S4),"")</f>
        <v>-78900</v>
      </c>
      <c r="U4" s="53">
        <f t="shared" ref="U4:U30" si="0">IF($J4="","",ROUND(($J4-$J$3)/1000,1))</f>
        <v>2.2000000000000002</v>
      </c>
      <c r="V4" s="54">
        <f t="shared" ref="V4:V30" si="1">IF($O4="","",ROUND(($O4-$O$3)/1000,1))</f>
        <v>-1.1000000000000001</v>
      </c>
      <c r="W4" s="55">
        <f t="shared" ref="W4:W30" si="2">IF($T4="","",ROUND(($T4-$T$3)/1000,1))</f>
        <v>-1.1000000000000001</v>
      </c>
      <c r="Y4" s="8"/>
      <c r="Z4" s="34"/>
      <c r="AA4" s="26"/>
      <c r="AB4" s="26">
        <v>1</v>
      </c>
      <c r="AC4" s="26">
        <v>1</v>
      </c>
      <c r="AD4" s="30">
        <v>40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たかの</v>
      </c>
      <c r="F5" s="8" t="s">
        <v>193</v>
      </c>
      <c r="G5" s="9">
        <v>2900</v>
      </c>
      <c r="H5" s="9">
        <v>1000</v>
      </c>
      <c r="I5" s="48">
        <v>1000</v>
      </c>
      <c r="J5" s="21">
        <f t="shared" ref="J5:J30" si="5">IF(COUNTA($F5,$K5,$P5)&gt;0,J4+SUM(G5:I5),"")</f>
        <v>136200</v>
      </c>
      <c r="K5" s="8"/>
      <c r="L5" s="9"/>
      <c r="M5" s="9"/>
      <c r="N5" s="48"/>
      <c r="O5" s="21">
        <f t="shared" ref="O5:O30" si="6">IF(COUNTA($F5,$K5,$P5)&gt;0,O4+SUM(L5:N5),"")</f>
        <v>247600</v>
      </c>
      <c r="P5" s="8" t="s">
        <v>194</v>
      </c>
      <c r="Q5" s="9">
        <v>-2900</v>
      </c>
      <c r="R5" s="9">
        <v>-1000</v>
      </c>
      <c r="S5" s="48">
        <v>-1000</v>
      </c>
      <c r="T5" s="21">
        <f t="shared" ref="T5:T30" si="7">IF(COUNTA($F5,$K5,$P5)&gt;0,T4+SUM(Q5:S5),"")</f>
        <v>-83800</v>
      </c>
      <c r="U5" s="53">
        <f t="shared" si="0"/>
        <v>7.1</v>
      </c>
      <c r="V5" s="54">
        <f t="shared" si="1"/>
        <v>-1.1000000000000001</v>
      </c>
      <c r="W5" s="55">
        <f t="shared" si="2"/>
        <v>-6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tr">
        <f>IF($F$1="","",$F$1)</f>
        <v>たかの</v>
      </c>
      <c r="F6" s="8" t="s">
        <v>193</v>
      </c>
      <c r="G6" s="9">
        <v>12000</v>
      </c>
      <c r="H6" s="9"/>
      <c r="I6" s="48">
        <v>2000</v>
      </c>
      <c r="J6" s="21">
        <f t="shared" si="5"/>
        <v>150200</v>
      </c>
      <c r="K6" s="8"/>
      <c r="L6" s="9"/>
      <c r="M6" s="9"/>
      <c r="N6" s="48"/>
      <c r="O6" s="21">
        <f t="shared" si="6"/>
        <v>247600</v>
      </c>
      <c r="P6" s="8" t="s">
        <v>194</v>
      </c>
      <c r="Q6" s="9">
        <v>-12000</v>
      </c>
      <c r="R6" s="9"/>
      <c r="S6" s="48">
        <v>-2000</v>
      </c>
      <c r="T6" s="21">
        <f t="shared" si="7"/>
        <v>-97800</v>
      </c>
      <c r="U6" s="53">
        <f t="shared" si="0"/>
        <v>21.1</v>
      </c>
      <c r="V6" s="54">
        <f t="shared" si="1"/>
        <v>-1.1000000000000001</v>
      </c>
      <c r="W6" s="55">
        <f t="shared" si="2"/>
        <v>-20</v>
      </c>
      <c r="Y6" s="8"/>
      <c r="Z6" s="34"/>
      <c r="AA6" s="26"/>
      <c r="AB6" s="26"/>
      <c r="AC6" s="26">
        <v>4</v>
      </c>
      <c r="AD6" s="30">
        <v>40</v>
      </c>
      <c r="AE6" s="40" t="s">
        <v>84</v>
      </c>
      <c r="AF6" s="41" t="s">
        <v>197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1</v>
      </c>
      <c r="C7" s="18">
        <f t="shared" si="9"/>
        <v>3</v>
      </c>
      <c r="D7" s="18">
        <f t="shared" si="4"/>
        <v>0</v>
      </c>
      <c r="E7" s="4" t="str">
        <f>IF($F$1="","",$F$1)</f>
        <v>たかの</v>
      </c>
      <c r="F7" s="8" t="s">
        <v>194</v>
      </c>
      <c r="G7" s="9">
        <v>-32000</v>
      </c>
      <c r="H7" s="9">
        <v>-1000</v>
      </c>
      <c r="I7" s="48">
        <v>-3000</v>
      </c>
      <c r="J7" s="21">
        <f t="shared" si="5"/>
        <v>114200</v>
      </c>
      <c r="K7" s="8"/>
      <c r="L7" s="9"/>
      <c r="M7" s="9"/>
      <c r="N7" s="48"/>
      <c r="O7" s="21">
        <f t="shared" si="6"/>
        <v>247600</v>
      </c>
      <c r="P7" s="8" t="s">
        <v>193</v>
      </c>
      <c r="Q7" s="9">
        <v>32000</v>
      </c>
      <c r="R7" s="9">
        <v>1000</v>
      </c>
      <c r="S7" s="48">
        <v>3000</v>
      </c>
      <c r="T7" s="21">
        <f t="shared" si="7"/>
        <v>-61800</v>
      </c>
      <c r="U7" s="53">
        <f t="shared" si="0"/>
        <v>-14.9</v>
      </c>
      <c r="V7" s="54">
        <f t="shared" si="1"/>
        <v>-1.1000000000000001</v>
      </c>
      <c r="W7" s="55">
        <f t="shared" si="2"/>
        <v>16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14</v>
      </c>
      <c r="BT7" s="30" t="s">
        <v>200</v>
      </c>
      <c r="BU7" s="40" t="s">
        <v>195</v>
      </c>
      <c r="BV7" s="41" t="s">
        <v>196</v>
      </c>
      <c r="BW7" s="41" t="s">
        <v>86</v>
      </c>
      <c r="BX7" s="41" t="s">
        <v>86</v>
      </c>
      <c r="BY7" s="41" t="s">
        <v>79</v>
      </c>
      <c r="BZ7" s="41" t="s">
        <v>79</v>
      </c>
      <c r="CA7" s="41" t="s">
        <v>79</v>
      </c>
      <c r="CB7" s="41" t="s">
        <v>80</v>
      </c>
      <c r="CC7" s="41" t="s">
        <v>80</v>
      </c>
      <c r="CD7" s="41" t="s">
        <v>80</v>
      </c>
      <c r="CE7" s="41" t="s">
        <v>197</v>
      </c>
      <c r="CF7" s="41" t="s">
        <v>104</v>
      </c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tr">
        <f>IF($K$1="","",$K$1)</f>
        <v>いちかわ</v>
      </c>
      <c r="F8" s="8" t="s">
        <v>199</v>
      </c>
      <c r="G8" s="9">
        <v>2800</v>
      </c>
      <c r="H8" s="9">
        <v>1000</v>
      </c>
      <c r="I8" s="48">
        <v>0</v>
      </c>
      <c r="J8" s="21">
        <f t="shared" si="5"/>
        <v>118000</v>
      </c>
      <c r="K8" s="8" t="s">
        <v>198</v>
      </c>
      <c r="L8" s="9">
        <v>-1700</v>
      </c>
      <c r="M8" s="9"/>
      <c r="N8" s="48">
        <v>0</v>
      </c>
      <c r="O8" s="21">
        <f t="shared" si="6"/>
        <v>245900</v>
      </c>
      <c r="P8" s="8" t="s">
        <v>198</v>
      </c>
      <c r="Q8" s="9">
        <v>-1100</v>
      </c>
      <c r="R8" s="9">
        <v>-1000</v>
      </c>
      <c r="S8" s="48">
        <v>0</v>
      </c>
      <c r="T8" s="21">
        <f t="shared" si="7"/>
        <v>-63900</v>
      </c>
      <c r="U8" s="53">
        <f t="shared" si="0"/>
        <v>-11.1</v>
      </c>
      <c r="V8" s="54">
        <f t="shared" si="1"/>
        <v>-2.8</v>
      </c>
      <c r="W8" s="55">
        <f t="shared" si="2"/>
        <v>13.9</v>
      </c>
      <c r="Y8" s="8"/>
      <c r="Z8" s="34"/>
      <c r="AA8" s="26"/>
      <c r="AB8" s="26">
        <v>1</v>
      </c>
      <c r="AC8" s="26">
        <v>2</v>
      </c>
      <c r="AD8" s="30">
        <v>40</v>
      </c>
      <c r="AE8" s="40" t="s">
        <v>86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れんたろう</v>
      </c>
      <c r="F9" s="8" t="s">
        <v>198</v>
      </c>
      <c r="G9" s="9">
        <v>-3000</v>
      </c>
      <c r="H9" s="9"/>
      <c r="I9" s="48">
        <v>0</v>
      </c>
      <c r="J9" s="21">
        <f t="shared" si="5"/>
        <v>115000</v>
      </c>
      <c r="K9" s="8" t="s">
        <v>199</v>
      </c>
      <c r="L9" s="9">
        <v>8000</v>
      </c>
      <c r="M9" s="9">
        <v>1000</v>
      </c>
      <c r="N9" s="48">
        <v>0</v>
      </c>
      <c r="O9" s="21">
        <f t="shared" si="6"/>
        <v>254900</v>
      </c>
      <c r="P9" s="8" t="s">
        <v>198</v>
      </c>
      <c r="Q9" s="9">
        <v>-5000</v>
      </c>
      <c r="R9" s="9">
        <v>-1000</v>
      </c>
      <c r="S9" s="48">
        <v>0</v>
      </c>
      <c r="T9" s="21">
        <f t="shared" si="7"/>
        <v>-69900</v>
      </c>
      <c r="U9" s="53">
        <f t="shared" si="0"/>
        <v>-14.1</v>
      </c>
      <c r="V9" s="54">
        <f t="shared" si="1"/>
        <v>6.2</v>
      </c>
      <c r="W9" s="55">
        <f t="shared" si="2"/>
        <v>7.9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200</v>
      </c>
      <c r="AZ9" s="40" t="s">
        <v>195</v>
      </c>
      <c r="BA9" s="41" t="s">
        <v>83</v>
      </c>
      <c r="BB9" s="41" t="s">
        <v>82</v>
      </c>
      <c r="BC9" s="41" t="s">
        <v>197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tr">
        <f>IF($F$1="","",$F$1)</f>
        <v>たかの</v>
      </c>
      <c r="F10" s="8"/>
      <c r="G10" s="9"/>
      <c r="H10" s="9"/>
      <c r="I10" s="48"/>
      <c r="J10" s="21">
        <f t="shared" si="5"/>
        <v>115000</v>
      </c>
      <c r="K10" s="8" t="s">
        <v>193</v>
      </c>
      <c r="L10" s="9">
        <v>2600</v>
      </c>
      <c r="M10" s="9"/>
      <c r="N10" s="48">
        <v>0</v>
      </c>
      <c r="O10" s="21">
        <f t="shared" si="6"/>
        <v>257500</v>
      </c>
      <c r="P10" s="8" t="s">
        <v>194</v>
      </c>
      <c r="Q10" s="9">
        <v>-2600</v>
      </c>
      <c r="R10" s="9"/>
      <c r="S10" s="48">
        <v>0</v>
      </c>
      <c r="T10" s="21">
        <f t="shared" si="7"/>
        <v>-72500</v>
      </c>
      <c r="U10" s="53">
        <f t="shared" si="0"/>
        <v>-14.1</v>
      </c>
      <c r="V10" s="54">
        <f t="shared" si="1"/>
        <v>8.8000000000000007</v>
      </c>
      <c r="W10" s="55">
        <f t="shared" si="2"/>
        <v>5.3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195</v>
      </c>
      <c r="BA10" s="41" t="s">
        <v>197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tr">
        <f>IF($K$1="","",$K$1)</f>
        <v>いちかわ</v>
      </c>
      <c r="F11" s="8" t="s">
        <v>204</v>
      </c>
      <c r="G11" s="9">
        <v>-1500</v>
      </c>
      <c r="H11" s="9"/>
      <c r="I11" s="48"/>
      <c r="J11" s="21">
        <f t="shared" si="5"/>
        <v>113500</v>
      </c>
      <c r="K11" s="8" t="s">
        <v>204</v>
      </c>
      <c r="L11" s="9">
        <v>3000</v>
      </c>
      <c r="M11" s="9">
        <v>-1000</v>
      </c>
      <c r="N11" s="48"/>
      <c r="O11" s="21">
        <f t="shared" si="6"/>
        <v>259500</v>
      </c>
      <c r="P11" s="8" t="s">
        <v>204</v>
      </c>
      <c r="Q11" s="9">
        <v>-1500</v>
      </c>
      <c r="R11" s="9"/>
      <c r="S11" s="48"/>
      <c r="T11" s="21">
        <f t="shared" si="7"/>
        <v>-74000</v>
      </c>
      <c r="U11" s="53">
        <f t="shared" si="0"/>
        <v>-15.6</v>
      </c>
      <c r="V11" s="54">
        <f t="shared" si="1"/>
        <v>10.8</v>
      </c>
      <c r="W11" s="55">
        <f t="shared" si="2"/>
        <v>3.8</v>
      </c>
      <c r="Y11" s="8" t="s">
        <v>202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1</v>
      </c>
      <c r="E12" s="4" t="str">
        <f>IF($K$1="","",$K$1)</f>
        <v>いちかわ</v>
      </c>
      <c r="F12" s="8" t="s">
        <v>204</v>
      </c>
      <c r="G12" s="9">
        <v>1500</v>
      </c>
      <c r="H12" s="9"/>
      <c r="I12" s="48"/>
      <c r="J12" s="21">
        <f t="shared" si="5"/>
        <v>115000</v>
      </c>
      <c r="K12" s="8" t="s">
        <v>204</v>
      </c>
      <c r="L12" s="9">
        <v>-3000</v>
      </c>
      <c r="M12" s="9"/>
      <c r="N12" s="48"/>
      <c r="O12" s="21">
        <f t="shared" si="6"/>
        <v>256500</v>
      </c>
      <c r="P12" s="8" t="s">
        <v>204</v>
      </c>
      <c r="Q12" s="9">
        <v>1500</v>
      </c>
      <c r="R12" s="9"/>
      <c r="S12" s="48"/>
      <c r="T12" s="21">
        <f t="shared" si="7"/>
        <v>-72500</v>
      </c>
      <c r="U12" s="53">
        <f t="shared" si="0"/>
        <v>-14.1</v>
      </c>
      <c r="V12" s="54">
        <f t="shared" si="1"/>
        <v>7.8</v>
      </c>
      <c r="W12" s="55">
        <f t="shared" si="2"/>
        <v>5.3</v>
      </c>
      <c r="Y12" s="8" t="s">
        <v>203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2</v>
      </c>
      <c r="D13" s="18">
        <f t="shared" si="4"/>
        <v>1</v>
      </c>
      <c r="E13" s="4" t="str">
        <f>IF($P$1="","",$P$1)</f>
        <v>れんたろう</v>
      </c>
      <c r="F13" s="8" t="s">
        <v>194</v>
      </c>
      <c r="G13" s="9">
        <v>-2000</v>
      </c>
      <c r="H13" s="9"/>
      <c r="I13" s="48">
        <v>-2000</v>
      </c>
      <c r="J13" s="21">
        <f t="shared" si="5"/>
        <v>111000</v>
      </c>
      <c r="K13" s="8" t="s">
        <v>193</v>
      </c>
      <c r="L13" s="9">
        <v>2000</v>
      </c>
      <c r="M13" s="9">
        <v>1000</v>
      </c>
      <c r="N13" s="48">
        <v>2000</v>
      </c>
      <c r="O13" s="21">
        <f t="shared" si="6"/>
        <v>261500</v>
      </c>
      <c r="P13" s="8"/>
      <c r="Q13" s="9"/>
      <c r="R13" s="9"/>
      <c r="S13" s="48"/>
      <c r="T13" s="21">
        <f t="shared" si="7"/>
        <v>-72500</v>
      </c>
      <c r="U13" s="53">
        <f t="shared" si="0"/>
        <v>-18.100000000000001</v>
      </c>
      <c r="V13" s="54">
        <f t="shared" si="1"/>
        <v>12.8</v>
      </c>
      <c r="W13" s="55">
        <f t="shared" si="2"/>
        <v>5.3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197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F467F018-23AF-4602-9ECB-E408E9EDFE4F}">
      <formula1>$U$2:$W$2</formula1>
    </dataValidation>
    <dataValidation type="list" showInputMessage="1" showErrorMessage="1" sqref="K4:K30 P4:P30 F4:F30" xr:uid="{DF393FAB-05F6-4597-AEB9-1EF19BB63320}">
      <formula1>"ロン,ツモ,放銃,ツモ支払,流局,チョンボ"</formula1>
    </dataValidation>
    <dataValidation type="list" allowBlank="1" showInputMessage="1" sqref="F1:T1" xr:uid="{AB8D579E-D1B9-4905-9878-E7510957FA4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2020-11-23T09:46:32Z</dcterms:modified>
</cp:coreProperties>
</file>