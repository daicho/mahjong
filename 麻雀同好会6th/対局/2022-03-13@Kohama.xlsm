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対局\"/>
    </mc:Choice>
  </mc:AlternateContent>
  <xr:revisionPtr revIDLastSave="0" documentId="13_ncr:1_{A6F4AF6E-2106-4D52-B6FC-2B258CA5EBDB}" xr6:coauthVersionLast="47" xr6:coauthVersionMax="47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8" l="1"/>
  <c r="E12" i="28"/>
  <c r="E11" i="28"/>
  <c r="E10" i="28"/>
  <c r="E9" i="28"/>
  <c r="E8" i="28"/>
  <c r="D8" i="28" s="1"/>
  <c r="E7" i="28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O12" i="28"/>
  <c r="J12" i="28"/>
  <c r="D12" i="28"/>
  <c r="C12" i="28"/>
  <c r="B12" i="28"/>
  <c r="A12" i="28" s="1"/>
  <c r="T11" i="28"/>
  <c r="O11" i="28"/>
  <c r="J11" i="28"/>
  <c r="D11" i="28"/>
  <c r="C11" i="28"/>
  <c r="B11" i="28"/>
  <c r="A11" i="28" s="1"/>
  <c r="C9" i="28"/>
  <c r="D9" i="28"/>
  <c r="J7" i="28"/>
  <c r="J8" i="28" s="1"/>
  <c r="D7" i="28"/>
  <c r="J6" i="28"/>
  <c r="T5" i="28"/>
  <c r="T6" i="28" s="1"/>
  <c r="J5" i="28"/>
  <c r="B5" i="28"/>
  <c r="D5" i="28"/>
  <c r="T4" i="28"/>
  <c r="O4" i="28"/>
  <c r="J4" i="28"/>
  <c r="W3" i="28"/>
  <c r="V3" i="28"/>
  <c r="U3" i="28"/>
  <c r="W2" i="28"/>
  <c r="V2" i="28"/>
  <c r="U2" i="28"/>
  <c r="BO1" i="28"/>
  <c r="AT1" i="28"/>
  <c r="Y1" i="28"/>
  <c r="E10" i="27"/>
  <c r="E9" i="27"/>
  <c r="E8" i="27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D13" i="27"/>
  <c r="D12" i="27"/>
  <c r="C10" i="27"/>
  <c r="D10" i="27"/>
  <c r="D9" i="27"/>
  <c r="C9" i="27"/>
  <c r="D8" i="27"/>
  <c r="T6" i="27"/>
  <c r="T7" i="27" s="1"/>
  <c r="C6" i="27"/>
  <c r="D6" i="27"/>
  <c r="T5" i="27"/>
  <c r="O5" i="27"/>
  <c r="O6" i="27" s="1"/>
  <c r="B5" i="27"/>
  <c r="D5" i="27"/>
  <c r="C5" i="27"/>
  <c r="T4" i="27"/>
  <c r="O4" i="27"/>
  <c r="J4" i="27"/>
  <c r="W3" i="27"/>
  <c r="V3" i="27"/>
  <c r="U3" i="27"/>
  <c r="W2" i="27"/>
  <c r="V2" i="27"/>
  <c r="U2" i="27"/>
  <c r="BO1" i="27"/>
  <c r="AT1" i="27"/>
  <c r="Y1" i="27"/>
  <c r="E13" i="26"/>
  <c r="E12" i="26"/>
  <c r="D12" i="26" s="1"/>
  <c r="E11" i="26"/>
  <c r="E10" i="26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 s="1"/>
  <c r="T13" i="26"/>
  <c r="O13" i="26"/>
  <c r="J13" i="26"/>
  <c r="D13" i="26"/>
  <c r="C13" i="26"/>
  <c r="B13" i="26"/>
  <c r="A13" i="26" s="1"/>
  <c r="T12" i="26"/>
  <c r="O12" i="26"/>
  <c r="J12" i="26"/>
  <c r="D11" i="26"/>
  <c r="D8" i="26"/>
  <c r="O7" i="26"/>
  <c r="O8" i="26" s="1"/>
  <c r="D7" i="26"/>
  <c r="O6" i="26"/>
  <c r="J6" i="26"/>
  <c r="J7" i="26" s="1"/>
  <c r="D6" i="26"/>
  <c r="O5" i="26"/>
  <c r="J5" i="26"/>
  <c r="T4" i="26"/>
  <c r="T5" i="26" s="1"/>
  <c r="O4" i="26"/>
  <c r="J4" i="26"/>
  <c r="W3" i="26"/>
  <c r="V3" i="26"/>
  <c r="U3" i="26"/>
  <c r="W2" i="26"/>
  <c r="V2" i="26"/>
  <c r="U2" i="26"/>
  <c r="BO1" i="26"/>
  <c r="AT1" i="26"/>
  <c r="Y1" i="26"/>
  <c r="E11" i="25"/>
  <c r="E10" i="25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 s="1"/>
  <c r="T11" i="25"/>
  <c r="O11" i="25"/>
  <c r="J11" i="25"/>
  <c r="D11" i="25"/>
  <c r="C11" i="25"/>
  <c r="B11" i="25"/>
  <c r="A11" i="25"/>
  <c r="D8" i="25"/>
  <c r="C8" i="25"/>
  <c r="J7" i="25"/>
  <c r="J8" i="25" s="1"/>
  <c r="D7" i="25"/>
  <c r="C7" i="25"/>
  <c r="J6" i="25"/>
  <c r="J5" i="25"/>
  <c r="B5" i="25"/>
  <c r="D5" i="25"/>
  <c r="T4" i="25"/>
  <c r="T5" i="25" s="1"/>
  <c r="O4" i="25"/>
  <c r="O5" i="25" s="1"/>
  <c r="J4" i="25"/>
  <c r="W3" i="25"/>
  <c r="V3" i="25"/>
  <c r="U3" i="25"/>
  <c r="W2" i="25"/>
  <c r="V2" i="25"/>
  <c r="U2" i="25"/>
  <c r="BO1" i="25"/>
  <c r="AT1" i="25"/>
  <c r="Y1" i="25"/>
  <c r="E10" i="24"/>
  <c r="E9" i="24"/>
  <c r="C9" i="24" s="1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C13" i="24"/>
  <c r="D13" i="24"/>
  <c r="D12" i="24"/>
  <c r="D11" i="24"/>
  <c r="C11" i="24"/>
  <c r="C12" i="24" s="1"/>
  <c r="D8" i="24"/>
  <c r="D7" i="24"/>
  <c r="T5" i="24"/>
  <c r="T6" i="24" s="1"/>
  <c r="J5" i="24"/>
  <c r="J6" i="24" s="1"/>
  <c r="C5" i="24"/>
  <c r="C6" i="24" s="1"/>
  <c r="D5" i="24"/>
  <c r="T4" i="24"/>
  <c r="O4" i="24"/>
  <c r="J4" i="24"/>
  <c r="W3" i="24"/>
  <c r="V3" i="24"/>
  <c r="U3" i="24"/>
  <c r="W2" i="24"/>
  <c r="V2" i="24"/>
  <c r="U2" i="24"/>
  <c r="BO1" i="24"/>
  <c r="AT1" i="24"/>
  <c r="Y1" i="24"/>
  <c r="E13" i="23"/>
  <c r="E12" i="23"/>
  <c r="E11" i="23"/>
  <c r="E10" i="23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O13" i="23"/>
  <c r="J13" i="23"/>
  <c r="D13" i="23"/>
  <c r="C13" i="23"/>
  <c r="B13" i="23"/>
  <c r="A13" i="23" s="1"/>
  <c r="T12" i="23"/>
  <c r="W12" i="23" s="1"/>
  <c r="O12" i="23"/>
  <c r="V12" i="23" s="1"/>
  <c r="J12" i="23"/>
  <c r="D12" i="23"/>
  <c r="C12" i="23"/>
  <c r="B12" i="23"/>
  <c r="A12" i="23" s="1"/>
  <c r="D11" i="23"/>
  <c r="D10" i="23"/>
  <c r="C10" i="23"/>
  <c r="C11" i="23" s="1"/>
  <c r="O7" i="23"/>
  <c r="O8" i="23" s="1"/>
  <c r="O6" i="23"/>
  <c r="C6" i="23"/>
  <c r="C7" i="23" s="1"/>
  <c r="O5" i="23"/>
  <c r="J5" i="23"/>
  <c r="C5" i="23"/>
  <c r="T4" i="23"/>
  <c r="T5" i="23" s="1"/>
  <c r="O4" i="23"/>
  <c r="J4" i="23"/>
  <c r="U4" i="23" s="1"/>
  <c r="W3" i="23"/>
  <c r="V3" i="23"/>
  <c r="U3" i="23"/>
  <c r="W2" i="23"/>
  <c r="V2" i="23"/>
  <c r="U2" i="23"/>
  <c r="BO1" i="23"/>
  <c r="AT1" i="23"/>
  <c r="Y1" i="23"/>
  <c r="E11" i="22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C13" i="22"/>
  <c r="D13" i="22"/>
  <c r="D11" i="22"/>
  <c r="C9" i="22"/>
  <c r="D9" i="22"/>
  <c r="D8" i="22"/>
  <c r="C8" i="22"/>
  <c r="D7" i="22"/>
  <c r="D6" i="22"/>
  <c r="O5" i="22"/>
  <c r="O6" i="22" s="1"/>
  <c r="D5" i="22"/>
  <c r="C5" i="22"/>
  <c r="T4" i="22"/>
  <c r="T5" i="22" s="1"/>
  <c r="O4" i="22"/>
  <c r="J4" i="22"/>
  <c r="J5" i="22" s="1"/>
  <c r="W3" i="22"/>
  <c r="V3" i="22"/>
  <c r="U3" i="22"/>
  <c r="W2" i="22"/>
  <c r="V2" i="22"/>
  <c r="U2" i="22"/>
  <c r="BO1" i="22"/>
  <c r="AT1" i="22"/>
  <c r="Y1" i="22"/>
  <c r="E14" i="21"/>
  <c r="D14" i="21" s="1"/>
  <c r="E13" i="21"/>
  <c r="E12" i="21"/>
  <c r="E11" i="21"/>
  <c r="A11" i="21" s="1"/>
  <c r="E10" i="21"/>
  <c r="E9" i="21"/>
  <c r="E8" i="21"/>
  <c r="D8" i="21" s="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 s="1"/>
  <c r="T14" i="21"/>
  <c r="O14" i="21"/>
  <c r="J14" i="21"/>
  <c r="C14" i="21"/>
  <c r="T13" i="21"/>
  <c r="O13" i="21"/>
  <c r="J13" i="21"/>
  <c r="D13" i="21"/>
  <c r="C13" i="21"/>
  <c r="B13" i="21"/>
  <c r="A13" i="21" s="1"/>
  <c r="T12" i="21"/>
  <c r="O12" i="21"/>
  <c r="J12" i="21"/>
  <c r="U12" i="21" s="1"/>
  <c r="D12" i="21"/>
  <c r="C12" i="21"/>
  <c r="B12" i="21"/>
  <c r="A12" i="21"/>
  <c r="T11" i="21"/>
  <c r="O11" i="21"/>
  <c r="J11" i="21"/>
  <c r="B11" i="21"/>
  <c r="D10" i="21"/>
  <c r="C10" i="21"/>
  <c r="D9" i="21"/>
  <c r="C9" i="21"/>
  <c r="T6" i="21"/>
  <c r="T7" i="21" s="1"/>
  <c r="O6" i="21"/>
  <c r="O7" i="21" s="1"/>
  <c r="D6" i="21"/>
  <c r="D7" i="21" s="1"/>
  <c r="T5" i="21"/>
  <c r="O5" i="21"/>
  <c r="A5" i="21"/>
  <c r="C5" i="21"/>
  <c r="B5" i="21"/>
  <c r="T4" i="21"/>
  <c r="O4" i="21"/>
  <c r="J4" i="21"/>
  <c r="W3" i="21"/>
  <c r="V3" i="21"/>
  <c r="U3" i="21"/>
  <c r="W2" i="21"/>
  <c r="V2" i="21"/>
  <c r="U2" i="21"/>
  <c r="BO1" i="21"/>
  <c r="AT1" i="21"/>
  <c r="Y1" i="21"/>
  <c r="E10" i="20"/>
  <c r="E9" i="20"/>
  <c r="E8" i="20"/>
  <c r="E7" i="20"/>
  <c r="E6" i="20"/>
  <c r="E5" i="20"/>
  <c r="D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C12" i="20"/>
  <c r="D10" i="20"/>
  <c r="D8" i="20"/>
  <c r="D9" i="20" s="1"/>
  <c r="D7" i="20"/>
  <c r="J6" i="20"/>
  <c r="J7" i="20" s="1"/>
  <c r="D6" i="20"/>
  <c r="O5" i="20"/>
  <c r="J5" i="20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E13" i="19"/>
  <c r="E12" i="19"/>
  <c r="E11" i="19"/>
  <c r="E10" i="19"/>
  <c r="E9" i="19"/>
  <c r="E8" i="19"/>
  <c r="E7" i="19"/>
  <c r="E6" i="19"/>
  <c r="E5" i="19"/>
  <c r="U12" i="28" l="1"/>
  <c r="V12" i="28"/>
  <c r="W12" i="28"/>
  <c r="W11" i="28"/>
  <c r="U11" i="28"/>
  <c r="V11" i="28"/>
  <c r="C8" i="28"/>
  <c r="W4" i="28"/>
  <c r="J9" i="28"/>
  <c r="T7" i="28"/>
  <c r="A5" i="28"/>
  <c r="C7" i="28"/>
  <c r="C10" i="28"/>
  <c r="C5" i="28"/>
  <c r="D10" i="28"/>
  <c r="B6" i="28"/>
  <c r="B7" i="28" s="1"/>
  <c r="C6" i="28"/>
  <c r="U4" i="28"/>
  <c r="V4" i="28"/>
  <c r="O5" i="28"/>
  <c r="D6" i="28"/>
  <c r="W4" i="27"/>
  <c r="A5" i="27"/>
  <c r="O7" i="27"/>
  <c r="T8" i="27"/>
  <c r="C12" i="27"/>
  <c r="C13" i="27" s="1"/>
  <c r="C8" i="27"/>
  <c r="B6" i="27"/>
  <c r="B7" i="27" s="1"/>
  <c r="C11" i="27"/>
  <c r="U4" i="27"/>
  <c r="J5" i="27"/>
  <c r="V5" i="27" s="1"/>
  <c r="D11" i="27"/>
  <c r="V4" i="27"/>
  <c r="C7" i="27"/>
  <c r="D7" i="27"/>
  <c r="W13" i="26"/>
  <c r="U13" i="26"/>
  <c r="V13" i="26"/>
  <c r="W12" i="26"/>
  <c r="U12" i="26"/>
  <c r="V12" i="26"/>
  <c r="B12" i="26"/>
  <c r="A12" i="26" s="1"/>
  <c r="C12" i="26"/>
  <c r="O9" i="26"/>
  <c r="J8" i="26"/>
  <c r="W5" i="26"/>
  <c r="V5" i="26"/>
  <c r="U5" i="26"/>
  <c r="T6" i="26"/>
  <c r="U6" i="26" s="1"/>
  <c r="A5" i="26"/>
  <c r="B7" i="26"/>
  <c r="B5" i="26"/>
  <c r="C5" i="26"/>
  <c r="D5" i="26"/>
  <c r="C8" i="26"/>
  <c r="C9" i="26" s="1"/>
  <c r="C10" i="26" s="1"/>
  <c r="C11" i="26" s="1"/>
  <c r="U4" i="26"/>
  <c r="B6" i="26"/>
  <c r="C6" i="26"/>
  <c r="C7" i="26" s="1"/>
  <c r="V4" i="26"/>
  <c r="W4" i="26"/>
  <c r="D9" i="26"/>
  <c r="D10" i="26" s="1"/>
  <c r="V11" i="25"/>
  <c r="U11" i="25"/>
  <c r="W11" i="25"/>
  <c r="O6" i="25"/>
  <c r="V5" i="25"/>
  <c r="U5" i="25"/>
  <c r="T6" i="25"/>
  <c r="W5" i="25"/>
  <c r="J9" i="25"/>
  <c r="A5" i="25"/>
  <c r="C10" i="25"/>
  <c r="C5" i="25"/>
  <c r="D10" i="25"/>
  <c r="B6" i="25"/>
  <c r="U4" i="25"/>
  <c r="C6" i="25"/>
  <c r="V4" i="25"/>
  <c r="D6" i="25"/>
  <c r="C9" i="25"/>
  <c r="W4" i="25"/>
  <c r="D9" i="25"/>
  <c r="D9" i="24"/>
  <c r="W4" i="24"/>
  <c r="J7" i="24"/>
  <c r="T7" i="24"/>
  <c r="V4" i="24"/>
  <c r="O5" i="24"/>
  <c r="D6" i="24"/>
  <c r="U4" i="24"/>
  <c r="U5" i="24"/>
  <c r="B5" i="24"/>
  <c r="B6" i="24" s="1"/>
  <c r="C10" i="24"/>
  <c r="C7" i="24"/>
  <c r="C8" i="24" s="1"/>
  <c r="W5" i="24"/>
  <c r="D10" i="24"/>
  <c r="V13" i="23"/>
  <c r="U13" i="23"/>
  <c r="W13" i="23"/>
  <c r="U12" i="23"/>
  <c r="V5" i="23"/>
  <c r="T6" i="23"/>
  <c r="W5" i="23"/>
  <c r="O9" i="23"/>
  <c r="D5" i="23"/>
  <c r="C8" i="23"/>
  <c r="C9" i="23" s="1"/>
  <c r="D8" i="23"/>
  <c r="V4" i="23"/>
  <c r="D6" i="23"/>
  <c r="D7" i="23" s="1"/>
  <c r="W4" i="23"/>
  <c r="D9" i="23"/>
  <c r="U5" i="23"/>
  <c r="J6" i="23"/>
  <c r="B5" i="23"/>
  <c r="B6" i="23" s="1"/>
  <c r="V4" i="22"/>
  <c r="W5" i="22"/>
  <c r="T6" i="22"/>
  <c r="O7" i="22"/>
  <c r="J6" i="22"/>
  <c r="U5" i="22"/>
  <c r="C14" i="22"/>
  <c r="U4" i="22"/>
  <c r="C6" i="22"/>
  <c r="C7" i="22" s="1"/>
  <c r="D14" i="22"/>
  <c r="W4" i="22"/>
  <c r="D12" i="22"/>
  <c r="C10" i="22"/>
  <c r="B5" i="22"/>
  <c r="V5" i="22"/>
  <c r="D10" i="22"/>
  <c r="C11" i="22"/>
  <c r="C12" i="22" s="1"/>
  <c r="U14" i="21"/>
  <c r="V14" i="21"/>
  <c r="W14" i="21"/>
  <c r="B14" i="21"/>
  <c r="A14" i="21" s="1"/>
  <c r="V13" i="21"/>
  <c r="W13" i="21"/>
  <c r="U13" i="21"/>
  <c r="V12" i="21"/>
  <c r="W12" i="21"/>
  <c r="V11" i="21"/>
  <c r="W11" i="21"/>
  <c r="U11" i="21"/>
  <c r="C11" i="21"/>
  <c r="D11" i="21"/>
  <c r="W4" i="21"/>
  <c r="O8" i="21"/>
  <c r="T8" i="21"/>
  <c r="D5" i="21"/>
  <c r="C8" i="21"/>
  <c r="B6" i="21"/>
  <c r="B7" i="21" s="1"/>
  <c r="U4" i="21"/>
  <c r="J5" i="21"/>
  <c r="C6" i="21"/>
  <c r="C7" i="21" s="1"/>
  <c r="V4" i="21"/>
  <c r="V5" i="20"/>
  <c r="J8" i="20"/>
  <c r="T6" i="20"/>
  <c r="W5" i="20"/>
  <c r="U4" i="20"/>
  <c r="D11" i="20"/>
  <c r="V4" i="20"/>
  <c r="W4" i="20"/>
  <c r="C7" i="20"/>
  <c r="C8" i="20" s="1"/>
  <c r="C9" i="20" s="1"/>
  <c r="C10" i="20" s="1"/>
  <c r="C11" i="20" s="1"/>
  <c r="B5" i="20"/>
  <c r="B6" i="20" s="1"/>
  <c r="O6" i="20"/>
  <c r="U5" i="20"/>
  <c r="C5" i="20"/>
  <c r="C6" i="20" s="1"/>
  <c r="C13" i="20"/>
  <c r="U6" i="20"/>
  <c r="W3" i="19"/>
  <c r="V3" i="19"/>
  <c r="U3" i="19"/>
  <c r="B8" i="28" l="1"/>
  <c r="O6" i="28"/>
  <c r="V5" i="28"/>
  <c r="U5" i="28"/>
  <c r="W5" i="28"/>
  <c r="T8" i="28"/>
  <c r="A7" i="28"/>
  <c r="J10" i="28"/>
  <c r="A6" i="28"/>
  <c r="A6" i="27"/>
  <c r="A7" i="27"/>
  <c r="B8" i="27"/>
  <c r="T9" i="27"/>
  <c r="O8" i="27"/>
  <c r="W5" i="27"/>
  <c r="J6" i="27"/>
  <c r="U5" i="27"/>
  <c r="A6" i="26"/>
  <c r="A7" i="26"/>
  <c r="B8" i="26"/>
  <c r="J9" i="26"/>
  <c r="T7" i="26"/>
  <c r="W6" i="26"/>
  <c r="V6" i="26"/>
  <c r="O10" i="26"/>
  <c r="A6" i="25"/>
  <c r="O7" i="25"/>
  <c r="V6" i="25"/>
  <c r="U6" i="25"/>
  <c r="B7" i="25"/>
  <c r="A7" i="25" s="1"/>
  <c r="J10" i="25"/>
  <c r="T7" i="25"/>
  <c r="W6" i="25"/>
  <c r="A5" i="24"/>
  <c r="B7" i="24"/>
  <c r="O6" i="24"/>
  <c r="V5" i="24"/>
  <c r="T8" i="24"/>
  <c r="A6" i="24"/>
  <c r="J8" i="24"/>
  <c r="B7" i="23"/>
  <c r="V6" i="23"/>
  <c r="J7" i="23"/>
  <c r="U6" i="23"/>
  <c r="W6" i="23"/>
  <c r="T7" i="23"/>
  <c r="A5" i="23"/>
  <c r="A6" i="23" s="1"/>
  <c r="A7" i="23" s="1"/>
  <c r="O10" i="23"/>
  <c r="W6" i="22"/>
  <c r="T7" i="22"/>
  <c r="A5" i="22"/>
  <c r="U6" i="22"/>
  <c r="J7" i="22"/>
  <c r="V6" i="22"/>
  <c r="B6" i="22"/>
  <c r="A6" i="22" s="1"/>
  <c r="O8" i="22"/>
  <c r="B8" i="21"/>
  <c r="A8" i="21" s="1"/>
  <c r="A7" i="21"/>
  <c r="A6" i="21"/>
  <c r="J6" i="21"/>
  <c r="U5" i="21"/>
  <c r="V5" i="21"/>
  <c r="W5" i="21"/>
  <c r="T9" i="21"/>
  <c r="O9" i="21"/>
  <c r="B7" i="20"/>
  <c r="A5" i="20"/>
  <c r="A6" i="20" s="1"/>
  <c r="T7" i="20"/>
  <c r="W6" i="20"/>
  <c r="V6" i="20"/>
  <c r="O7" i="20"/>
  <c r="J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9" i="28" l="1"/>
  <c r="A8" i="28"/>
  <c r="T9" i="28"/>
  <c r="O7" i="28"/>
  <c r="V6" i="28"/>
  <c r="U6" i="28"/>
  <c r="W6" i="28"/>
  <c r="B9" i="27"/>
  <c r="U6" i="27"/>
  <c r="J7" i="27"/>
  <c r="V6" i="27"/>
  <c r="W6" i="27"/>
  <c r="A8" i="27"/>
  <c r="A9" i="27" s="1"/>
  <c r="O9" i="27"/>
  <c r="T10" i="27"/>
  <c r="A8" i="26"/>
  <c r="O11" i="26"/>
  <c r="T8" i="26"/>
  <c r="W7" i="26"/>
  <c r="U7" i="26"/>
  <c r="V7" i="26"/>
  <c r="J10" i="26"/>
  <c r="B9" i="26"/>
  <c r="A9" i="26" s="1"/>
  <c r="W7" i="25"/>
  <c r="T8" i="25"/>
  <c r="O8" i="25"/>
  <c r="V7" i="25"/>
  <c r="U7" i="25"/>
  <c r="B8" i="25"/>
  <c r="A8" i="25" s="1"/>
  <c r="B8" i="24"/>
  <c r="T9" i="24"/>
  <c r="O7" i="24"/>
  <c r="V6" i="24"/>
  <c r="U6" i="24"/>
  <c r="W6" i="24"/>
  <c r="J9" i="24"/>
  <c r="A7" i="24"/>
  <c r="T8" i="23"/>
  <c r="W7" i="23"/>
  <c r="J8" i="23"/>
  <c r="U7" i="23"/>
  <c r="V7" i="23"/>
  <c r="O11" i="23"/>
  <c r="B8" i="23"/>
  <c r="T8" i="22"/>
  <c r="W7" i="22"/>
  <c r="V7" i="22"/>
  <c r="O9" i="22"/>
  <c r="B7" i="22"/>
  <c r="J8" i="22"/>
  <c r="V8" i="22" s="1"/>
  <c r="U7" i="22"/>
  <c r="J7" i="21"/>
  <c r="U6" i="21"/>
  <c r="V6" i="21"/>
  <c r="W6" i="21"/>
  <c r="O10" i="21"/>
  <c r="T10" i="21"/>
  <c r="B9" i="21"/>
  <c r="B8" i="20"/>
  <c r="J10" i="20"/>
  <c r="A7" i="20"/>
  <c r="O8" i="20"/>
  <c r="V7" i="20"/>
  <c r="U7" i="20"/>
  <c r="W7" i="20"/>
  <c r="T8" i="20"/>
  <c r="U13" i="19"/>
  <c r="W13" i="19"/>
  <c r="V13" i="19"/>
  <c r="U12" i="19"/>
  <c r="U11" i="19"/>
  <c r="V11" i="19"/>
  <c r="W11" i="19"/>
  <c r="U10" i="19"/>
  <c r="U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8" l="1"/>
  <c r="A10" i="28" s="1"/>
  <c r="A9" i="28"/>
  <c r="O8" i="28"/>
  <c r="V7" i="28"/>
  <c r="U7" i="28"/>
  <c r="W7" i="28"/>
  <c r="T10" i="28"/>
  <c r="O10" i="27"/>
  <c r="J8" i="27"/>
  <c r="U7" i="27"/>
  <c r="W7" i="27"/>
  <c r="V7" i="27"/>
  <c r="T11" i="27"/>
  <c r="B10" i="27"/>
  <c r="A10" i="27" s="1"/>
  <c r="T9" i="26"/>
  <c r="W8" i="26"/>
  <c r="V8" i="26"/>
  <c r="U8" i="26"/>
  <c r="J11" i="26"/>
  <c r="B10" i="26"/>
  <c r="T9" i="25"/>
  <c r="W8" i="25"/>
  <c r="B9" i="25"/>
  <c r="A9" i="25" s="1"/>
  <c r="O9" i="25"/>
  <c r="V8" i="25"/>
  <c r="U8" i="25"/>
  <c r="B9" i="24"/>
  <c r="A9" i="24" s="1"/>
  <c r="A8" i="24"/>
  <c r="J10" i="24"/>
  <c r="O8" i="24"/>
  <c r="V7" i="24"/>
  <c r="U7" i="24"/>
  <c r="W7" i="24"/>
  <c r="T10" i="24"/>
  <c r="B9" i="23"/>
  <c r="T9" i="23"/>
  <c r="W8" i="23"/>
  <c r="A8" i="23"/>
  <c r="J9" i="23"/>
  <c r="U8" i="23"/>
  <c r="V8" i="23"/>
  <c r="T9" i="22"/>
  <c r="W8" i="22"/>
  <c r="U8" i="22"/>
  <c r="J9" i="22"/>
  <c r="B8" i="22"/>
  <c r="A7" i="22"/>
  <c r="O10" i="22"/>
  <c r="V9" i="22"/>
  <c r="B10" i="21"/>
  <c r="A10" i="21" s="1"/>
  <c r="J8" i="21"/>
  <c r="U7" i="21"/>
  <c r="W7" i="21"/>
  <c r="V7" i="21"/>
  <c r="A9" i="21"/>
  <c r="J11" i="20"/>
  <c r="T9" i="20"/>
  <c r="W8" i="20"/>
  <c r="B9" i="20"/>
  <c r="A8" i="20"/>
  <c r="O9" i="20"/>
  <c r="V8" i="20"/>
  <c r="U8" i="20"/>
  <c r="W5" i="19"/>
  <c r="V5" i="19"/>
  <c r="U5" i="19"/>
  <c r="O9" i="28" l="1"/>
  <c r="V8" i="28"/>
  <c r="U8" i="28"/>
  <c r="W8" i="28"/>
  <c r="B11" i="27"/>
  <c r="A11" i="27" s="1"/>
  <c r="O11" i="27"/>
  <c r="T12" i="27"/>
  <c r="J9" i="27"/>
  <c r="U8" i="27"/>
  <c r="W8" i="27"/>
  <c r="V8" i="27"/>
  <c r="B11" i="26"/>
  <c r="A11" i="26" s="1"/>
  <c r="T10" i="26"/>
  <c r="W9" i="26"/>
  <c r="V9" i="26"/>
  <c r="U9" i="26"/>
  <c r="A10" i="26"/>
  <c r="T10" i="25"/>
  <c r="W9" i="25"/>
  <c r="O10" i="25"/>
  <c r="V9" i="25"/>
  <c r="U9" i="25"/>
  <c r="B10" i="25"/>
  <c r="A10" i="25" s="1"/>
  <c r="T11" i="24"/>
  <c r="B10" i="24"/>
  <c r="A10" i="24" s="1"/>
  <c r="O9" i="24"/>
  <c r="V8" i="24"/>
  <c r="W8" i="24"/>
  <c r="U8" i="24"/>
  <c r="J11" i="24"/>
  <c r="T10" i="23"/>
  <c r="W9" i="23"/>
  <c r="B10" i="23"/>
  <c r="A9" i="23"/>
  <c r="J10" i="23"/>
  <c r="U9" i="23"/>
  <c r="V9" i="23"/>
  <c r="T10" i="22"/>
  <c r="W9" i="22"/>
  <c r="O11" i="22"/>
  <c r="B9" i="22"/>
  <c r="A8" i="22"/>
  <c r="J10" i="22"/>
  <c r="U9" i="22"/>
  <c r="J9" i="21"/>
  <c r="U8" i="21"/>
  <c r="W8" i="21"/>
  <c r="V8" i="21"/>
  <c r="T10" i="20"/>
  <c r="W9" i="20"/>
  <c r="J12" i="20"/>
  <c r="O10" i="20"/>
  <c r="V9" i="20"/>
  <c r="U9" i="20"/>
  <c r="B10" i="20"/>
  <c r="A9" i="20"/>
  <c r="O10" i="28" l="1"/>
  <c r="V9" i="28"/>
  <c r="U9" i="28"/>
  <c r="W9" i="28"/>
  <c r="J10" i="27"/>
  <c r="U9" i="27"/>
  <c r="W9" i="27"/>
  <c r="V9" i="27"/>
  <c r="B12" i="27"/>
  <c r="T13" i="27"/>
  <c r="O12" i="27"/>
  <c r="W10" i="26"/>
  <c r="T11" i="26"/>
  <c r="V10" i="26"/>
  <c r="U10" i="26"/>
  <c r="W10" i="25"/>
  <c r="V10" i="25"/>
  <c r="U10" i="25"/>
  <c r="J12" i="24"/>
  <c r="T12" i="24"/>
  <c r="O10" i="24"/>
  <c r="V9" i="24"/>
  <c r="W9" i="24"/>
  <c r="U9" i="24"/>
  <c r="B11" i="24"/>
  <c r="A11" i="24" s="1"/>
  <c r="T11" i="23"/>
  <c r="W10" i="23"/>
  <c r="J11" i="23"/>
  <c r="U10" i="23"/>
  <c r="V10" i="23"/>
  <c r="B11" i="23"/>
  <c r="A11" i="23" s="1"/>
  <c r="A10" i="23"/>
  <c r="O12" i="22"/>
  <c r="T11" i="22"/>
  <c r="W10" i="22"/>
  <c r="J11" i="22"/>
  <c r="U10" i="22"/>
  <c r="B10" i="22"/>
  <c r="A9" i="22"/>
  <c r="V10" i="22"/>
  <c r="J10" i="21"/>
  <c r="U9" i="21"/>
  <c r="W9" i="21"/>
  <c r="V9" i="21"/>
  <c r="J13" i="20"/>
  <c r="B11" i="20"/>
  <c r="A11" i="20" s="1"/>
  <c r="T11" i="20"/>
  <c r="W10" i="20"/>
  <c r="A10" i="20"/>
  <c r="O11" i="20"/>
  <c r="V10" i="20"/>
  <c r="U10" i="20"/>
  <c r="V10" i="28" l="1"/>
  <c r="U10" i="28"/>
  <c r="W10" i="28"/>
  <c r="O13" i="27"/>
  <c r="B13" i="27"/>
  <c r="A13" i="27" s="1"/>
  <c r="A12" i="27"/>
  <c r="U10" i="27"/>
  <c r="J11" i="27"/>
  <c r="W10" i="27"/>
  <c r="V10" i="27"/>
  <c r="W11" i="26"/>
  <c r="U11" i="26"/>
  <c r="V11" i="26"/>
  <c r="J13" i="24"/>
  <c r="B12" i="24"/>
  <c r="O11" i="24"/>
  <c r="V10" i="24"/>
  <c r="W10" i="24"/>
  <c r="U10" i="24"/>
  <c r="T13" i="24"/>
  <c r="W11" i="23"/>
  <c r="U11" i="23"/>
  <c r="V11" i="23"/>
  <c r="V11" i="22"/>
  <c r="A10" i="22"/>
  <c r="O13" i="22"/>
  <c r="V12" i="22"/>
  <c r="B11" i="22"/>
  <c r="T12" i="22"/>
  <c r="W11" i="22"/>
  <c r="J12" i="22"/>
  <c r="U11" i="22"/>
  <c r="U10" i="21"/>
  <c r="W10" i="21"/>
  <c r="V10" i="21"/>
  <c r="O12" i="20"/>
  <c r="V11" i="20"/>
  <c r="U11" i="20"/>
  <c r="T12" i="20"/>
  <c r="W11" i="20"/>
  <c r="B12" i="20"/>
  <c r="J12" i="27" l="1"/>
  <c r="U11" i="27"/>
  <c r="W11" i="27"/>
  <c r="V11" i="27"/>
  <c r="B13" i="24"/>
  <c r="A13" i="24" s="1"/>
  <c r="O12" i="24"/>
  <c r="V11" i="24"/>
  <c r="W11" i="24"/>
  <c r="U11" i="24"/>
  <c r="A12" i="24"/>
  <c r="B12" i="22"/>
  <c r="A12" i="22" s="1"/>
  <c r="V13" i="22"/>
  <c r="O14" i="22"/>
  <c r="U12" i="22"/>
  <c r="J13" i="22"/>
  <c r="W12" i="22"/>
  <c r="T13" i="22"/>
  <c r="A11" i="22"/>
  <c r="A13" i="20"/>
  <c r="B13" i="20"/>
  <c r="A12" i="20"/>
  <c r="T13" i="20"/>
  <c r="W12" i="20"/>
  <c r="O13" i="20"/>
  <c r="V12" i="20"/>
  <c r="U12" i="20"/>
  <c r="J13" i="27" l="1"/>
  <c r="U12" i="27"/>
  <c r="W12" i="27"/>
  <c r="V12" i="27"/>
  <c r="O13" i="24"/>
  <c r="V12" i="24"/>
  <c r="W12" i="24"/>
  <c r="U12" i="24"/>
  <c r="T14" i="22"/>
  <c r="W14" i="22" s="1"/>
  <c r="W13" i="22"/>
  <c r="A13" i="22"/>
  <c r="B13" i="22"/>
  <c r="J14" i="22"/>
  <c r="U14" i="22" s="1"/>
  <c r="U13" i="22"/>
  <c r="V14" i="22"/>
  <c r="V13" i="20"/>
  <c r="U13" i="20"/>
  <c r="W13" i="20"/>
  <c r="U13" i="27" l="1"/>
  <c r="W13" i="27"/>
  <c r="V13" i="27"/>
  <c r="V13" i="24"/>
  <c r="W13" i="24"/>
  <c r="U13" i="24"/>
  <c r="B14" i="22"/>
  <c r="A14" i="22" s="1"/>
</calcChain>
</file>

<file path=xl/sharedStrings.xml><?xml version="1.0" encoding="utf-8"?>
<sst xmlns="http://schemas.openxmlformats.org/spreadsheetml/2006/main" count="1543" uniqueCount="211">
  <si>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</si>
  <si>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</si>
  <si>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</si>
  <si>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</si>
  <si>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</si>
  <si>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</si>
  <si>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</si>
  <si>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</si>
  <si>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</si>
  <si>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</si>
  <si>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</si>
  <si>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</si>
  <si>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</si>
  <si>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</si>
  <si>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</si>
  <si>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</si>
  <si>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</si>
  <si>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</si>
  <si>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</si>
  <si>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</si>
  <si>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</si>
  <si>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</si>
  <si>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</si>
  <si>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</si>
  <si>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</si>
  <si>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</si>
  <si>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</si>
  <si>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</si>
  <si>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</si>
  <si>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</si>
  <si>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</si>
  <si>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</si>
  <si>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</si>
  <si>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</si>
  <si>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</si>
  <si>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</si>
  <si>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</si>
  <si>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</si>
  <si>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</si>
  <si>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</si>
  <si>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</si>
  <si>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</si>
  <si>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</si>
  <si>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</si>
  <si>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</si>
  <si>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</si>
  <si>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</si>
  <si>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</si>
  <si>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</si>
  <si>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</si>
  <si>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</si>
  <si>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</si>
  <si>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</si>
  <si>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</si>
  <si>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</si>
  <si>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</si>
  <si>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</si>
  <si>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</si>
  <si>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</si>
  <si>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</si>
  <si>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</si>
  <si>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</si>
  <si>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</si>
  <si>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</si>
  <si>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</si>
  <si>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</si>
  <si>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</si>
  <si>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</si>
  <si>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</si>
  <si>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</si>
  <si>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</si>
  <si>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</si>
  <si>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</si>
  <si>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</si>
  <si>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</si>
  <si>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</si>
  <si>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</si>
  <si>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</si>
  <si>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</si>
  <si>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</si>
  <si>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</si>
  <si>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</si>
  <si>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</si>
  <si>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</si>
  <si>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</si>
  <si>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</si>
  <si>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</si>
  <si>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</si>
  <si>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</si>
  <si>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</si>
  <si>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</si>
  <si>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</si>
  <si>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</si>
  <si>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</si>
  <si>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</si>
  <si>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</si>
  <si>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</si>
  <si>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</si>
  <si>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</si>
  <si>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</si>
  <si>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</si>
  <si>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</si>
  <si>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</si>
  <si>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</si>
  <si>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</si>
  <si>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</si>
  <si>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</si>
  <si>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</si>
  <si>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</si>
  <si>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</si>
  <si>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</si>
  <si>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</si>
  <si>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</si>
  <si>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</si>
  <si>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</si>
  <si>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</si>
  <si>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</si>
  <si>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</si>
  <si>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</si>
  <si>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</si>
  <si>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</si>
  <si>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</si>
  <si>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</si>
  <si>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</si>
  <si>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</si>
  <si>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</si>
  <si>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</si>
  <si>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</si>
  <si>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</si>
  <si>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</si>
  <si>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</si>
  <si>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</si>
  <si>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</si>
  <si>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</si>
  <si>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</si>
  <si>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</si>
  <si>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</si>
  <si>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</si>
  <si>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</si>
  <si>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</si>
  <si>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</si>
  <si>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</si>
  <si>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</si>
  <si>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</si>
  <si>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</si>
  <si>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</si>
  <si>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</si>
  <si>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</si>
  <si>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</si>
  <si>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</si>
  <si>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</si>
  <si>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</si>
  <si>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</si>
  <si>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</si>
  <si>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</si>
  <si>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</si>
  <si>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</si>
  <si>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</si>
  <si>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</si>
  <si>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</si>
  <si>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</si>
  <si>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</si>
  <si>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</si>
  <si>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</si>
  <si>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</si>
  <si>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</si>
  <si>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</si>
  <si>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</si>
  <si>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</si>
  <si>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</si>
  <si>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</si>
  <si>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</si>
  <si>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</si>
  <si>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</si>
  <si>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</si>
  <si>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</si>
  <si>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</si>
  <si>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</si>
  <si>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</si>
  <si>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</si>
  <si>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</si>
  <si>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</si>
  <si>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</si>
  <si>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</si>
  <si>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</si>
  <si>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</si>
  <si>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</si>
  <si>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</si>
  <si>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</si>
  <si>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</si>
  <si>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</si>
  <si>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</si>
  <si>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りくと</t>
    <phoneticPr fontId="1"/>
  </si>
  <si>
    <t>ただ</t>
  </si>
  <si>
    <t>ただ</t>
    <phoneticPr fontId="1"/>
  </si>
  <si>
    <t>だいち</t>
    <phoneticPr fontId="1"/>
  </si>
  <si>
    <t>ツモ</t>
  </si>
  <si>
    <t>ツモ支払</t>
  </si>
  <si>
    <t>*</t>
  </si>
  <si>
    <t>01</t>
  </si>
  <si>
    <t>02</t>
  </si>
  <si>
    <t>52</t>
  </si>
  <si>
    <t>ロン</t>
  </si>
  <si>
    <t>放銃</t>
  </si>
  <si>
    <t>N</t>
  </si>
  <si>
    <t>T</t>
  </si>
  <si>
    <t>流局</t>
    <phoneticPr fontId="1"/>
  </si>
  <si>
    <t>流局</t>
    <phoneticPr fontId="1"/>
  </si>
  <si>
    <t>だいち</t>
  </si>
  <si>
    <t>51</t>
  </si>
  <si>
    <t>りくと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</si>
</sst>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196</v>
      </c>
      <c r="G4" s="9">
        <v>16000</v>
      </c>
      <c r="H4" s="9">
        <v>1000</v>
      </c>
      <c r="I4" s="48">
        <v>0</v>
      </c>
      <c r="J4" s="21">
        <f>IF(COUNTA($F4,$K4,$P4)&gt;0,J3+SUM(G4:I4),"")</f>
        <v>52000</v>
      </c>
      <c r="K4" s="8" t="s">
        <v>197</v>
      </c>
      <c r="L4" s="9">
        <v>-10000</v>
      </c>
      <c r="M4" s="9"/>
      <c r="N4" s="48">
        <v>0</v>
      </c>
      <c r="O4" s="21">
        <f>IF(COUNTA($F4,$K4,$P4)&gt;0,O3+SUM(L4:N4),"")</f>
        <v>25000</v>
      </c>
      <c r="P4" s="8" t="s">
        <v>197</v>
      </c>
      <c r="Q4" s="9">
        <v>-6000</v>
      </c>
      <c r="R4" s="9">
        <v>-1000</v>
      </c>
      <c r="S4" s="48">
        <v>0</v>
      </c>
      <c r="T4" s="21">
        <f>IF(COUNTA($F4,$K4,$P4)&gt;0,T3+SUM(Q4:S4),"")</f>
        <v>28000</v>
      </c>
      <c r="U4" s="53">
        <f>IF($J4="","",ROUND(($J4-$J$3)/1000,1)+(_xlfn.RANK.AVG($J4,($J4,$O4,$T4),1)-2)*10)</f>
        <v>27</v>
      </c>
      <c r="V4" s="54">
        <f>IF($O4="","",ROUND(($O4-$O$3)/1000,1)+(_xlfn.RANK.AVG($O4,($J4,$O4,$T4),1)-2)*10)</f>
        <v>-20</v>
      </c>
      <c r="W4" s="55">
        <f>IF($T4="","",ROUND(($T4-$T$3)/1000,1)+(_xlfn.RANK.AVG($T4,($J4,$O4,$T4),1)-2)*10)</f>
        <v>-7</v>
      </c>
      <c r="Y4" s="8"/>
      <c r="Z4" s="34"/>
      <c r="AA4" s="26">
        <v>1</v>
      </c>
      <c r="AB4" s="26"/>
      <c r="AC4" s="26">
        <v>10</v>
      </c>
      <c r="AD4" s="30" t="s">
        <v>198</v>
      </c>
      <c r="AE4" s="40" t="s">
        <v>106</v>
      </c>
      <c r="AF4" s="41" t="s">
        <v>84</v>
      </c>
      <c r="AG4" s="41" t="s">
        <v>83</v>
      </c>
      <c r="AH4" s="41" t="s">
        <v>199</v>
      </c>
      <c r="AI4" s="41" t="s">
        <v>82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197</v>
      </c>
      <c r="G5" s="9">
        <v>-6000</v>
      </c>
      <c r="H5" s="9"/>
      <c r="I5" s="48">
        <v>0</v>
      </c>
      <c r="J5" s="21">
        <f t="shared" ref="J5:J30" si="2">IF(COUNTA($F5,$K5,$P5)&gt;0,J4+SUM(G5:I5),"")</f>
        <v>46000</v>
      </c>
      <c r="K5" s="8" t="s">
        <v>197</v>
      </c>
      <c r="L5" s="9">
        <v>-6000</v>
      </c>
      <c r="M5" s="9"/>
      <c r="N5" s="48">
        <v>0</v>
      </c>
      <c r="O5" s="21">
        <f t="shared" ref="O5:O30" si="3">IF(COUNTA($F5,$K5,$P5)&gt;0,O4+SUM(L5:N5),"")</f>
        <v>19000</v>
      </c>
      <c r="P5" s="8" t="s">
        <v>196</v>
      </c>
      <c r="Q5" s="9">
        <v>12000</v>
      </c>
      <c r="R5" s="9"/>
      <c r="S5" s="48">
        <v>0</v>
      </c>
      <c r="T5" s="21">
        <f t="shared" ref="T5:T30" si="4">IF(COUNTA($F5,$K5,$P5)&gt;0,T4+SUM(Q5:S5),"")</f>
        <v>40000</v>
      </c>
      <c r="U5" s="53">
        <f>IF($J5="","",ROUND(($J5-$J$3)/1000,1)+(_xlfn.RANK.AVG($J5,($J5,$O5,$T5),1)-2)*10)</f>
        <v>21</v>
      </c>
      <c r="V5" s="54">
        <f>IF($O5="","",ROUND(($O5-$O$3)/1000,1)+(_xlfn.RANK.AVG($O5,($J5,$O5,$T5),1)-2)*10)</f>
        <v>-26</v>
      </c>
      <c r="W5" s="55">
        <f>IF($T5="","",ROUND(($T5-$T$3)/1000,1)+(_xlfn.RANK.AVG($T5,($J5,$O5,$T5),1)-2)*10)</f>
        <v>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198</v>
      </c>
      <c r="BU5" s="40" t="s">
        <v>199</v>
      </c>
      <c r="BV5" s="41" t="s">
        <v>82</v>
      </c>
      <c r="BW5" s="41" t="s">
        <v>200</v>
      </c>
      <c r="BX5" s="41" t="s">
        <v>84</v>
      </c>
      <c r="BY5" s="41" t="s">
        <v>201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46000</v>
      </c>
      <c r="K6" s="8" t="s">
        <v>202</v>
      </c>
      <c r="L6" s="9">
        <v>12000</v>
      </c>
      <c r="M6" s="9"/>
      <c r="N6" s="48">
        <v>1000</v>
      </c>
      <c r="O6" s="21">
        <f t="shared" si="3"/>
        <v>32000</v>
      </c>
      <c r="P6" s="8" t="s">
        <v>203</v>
      </c>
      <c r="Q6" s="9">
        <v>-12000</v>
      </c>
      <c r="R6" s="9"/>
      <c r="S6" s="48">
        <v>-1000</v>
      </c>
      <c r="T6" s="21">
        <f t="shared" si="4"/>
        <v>27000</v>
      </c>
      <c r="U6" s="53">
        <f>IF($J6="","",ROUND(($J6-$J$3)/1000,1)+(_xlfn.RANK.AVG($J6,($J6,$O6,$T6),1)-2)*10)</f>
        <v>21</v>
      </c>
      <c r="V6" s="54">
        <f>IF($O6="","",ROUND(($O6-$O$3)/1000,1)+(_xlfn.RANK.AVG($O6,($J6,$O6,$T6),1)-2)*10)</f>
        <v>-3</v>
      </c>
      <c r="W6" s="55">
        <f>IF($T6="","",ROUND(($T6-$T$3)/1000,1)+(_xlfn.RANK.AVG($T6,($J6,$O6,$T6),1)-2)*10)</f>
        <v>-18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198</v>
      </c>
      <c r="AZ6" s="40" t="s">
        <v>199</v>
      </c>
      <c r="BA6" s="41" t="s">
        <v>200</v>
      </c>
      <c r="BB6" s="41" t="s">
        <v>96</v>
      </c>
      <c r="BC6" s="41" t="s">
        <v>98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206</v>
      </c>
      <c r="G7" s="9">
        <v>-3000</v>
      </c>
      <c r="H7" s="9"/>
      <c r="I7" s="48"/>
      <c r="J7" s="21">
        <f t="shared" si="2"/>
        <v>43000</v>
      </c>
      <c r="K7" s="8" t="s">
        <v>206</v>
      </c>
      <c r="L7" s="9">
        <v>1500</v>
      </c>
      <c r="M7" s="9"/>
      <c r="N7" s="48"/>
      <c r="O7" s="21">
        <f t="shared" si="3"/>
        <v>33500</v>
      </c>
      <c r="P7" s="8" t="s">
        <v>206</v>
      </c>
      <c r="Q7" s="9">
        <v>1500</v>
      </c>
      <c r="R7" s="9"/>
      <c r="S7" s="48"/>
      <c r="T7" s="21">
        <f t="shared" si="4"/>
        <v>28500</v>
      </c>
      <c r="U7" s="53">
        <f>IF($J7="","",ROUND(($J7-$J$3)/1000,1)+(_xlfn.RANK.AVG($J7,($J7,$O7,$T7),1)-2)*10)</f>
        <v>18</v>
      </c>
      <c r="V7" s="54">
        <f>IF($O7="","",ROUND(($O7-$O$3)/1000,1)+(_xlfn.RANK.AVG($O7,($J7,$O7,$T7),1)-2)*10)</f>
        <v>-1.5</v>
      </c>
      <c r="W7" s="55">
        <f>IF($T7="","",ROUND(($T7-$T$3)/1000,1)+(_xlfn.RANK.AVG($T7,($J7,$O7,$T7),1)-2)*10)</f>
        <v>-16.5</v>
      </c>
      <c r="Y7" s="8" t="s">
        <v>204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IF($K$1="","",$K$1)</f>
        <v>ただ</v>
      </c>
      <c r="F8" s="8" t="s">
        <v>206</v>
      </c>
      <c r="G8" s="9">
        <v>-1500</v>
      </c>
      <c r="H8" s="9"/>
      <c r="I8" s="48"/>
      <c r="J8" s="21">
        <f t="shared" si="2"/>
        <v>41500</v>
      </c>
      <c r="K8" s="8" t="s">
        <v>206</v>
      </c>
      <c r="L8" s="9">
        <v>3000</v>
      </c>
      <c r="M8" s="9">
        <v>-1000</v>
      </c>
      <c r="N8" s="48"/>
      <c r="O8" s="21">
        <f t="shared" si="3"/>
        <v>35500</v>
      </c>
      <c r="P8" s="8" t="s">
        <v>206</v>
      </c>
      <c r="Q8" s="9">
        <v>-1500</v>
      </c>
      <c r="R8" s="9"/>
      <c r="S8" s="48"/>
      <c r="T8" s="21">
        <f t="shared" si="4"/>
        <v>27000</v>
      </c>
      <c r="U8" s="53">
        <f>IF($J8="","",ROUND(($J8-$J$3)/1000,1)+(_xlfn.RANK.AVG($J8,($J8,$O8,$T8),1)-2)*10)</f>
        <v>16.5</v>
      </c>
      <c r="V8" s="54">
        <f>IF($O8="","",ROUND(($O8-$O$3)/1000,1)+(_xlfn.RANK.AVG($O8,($J8,$O8,$T8),1)-2)*10)</f>
        <v>0.5</v>
      </c>
      <c r="W8" s="55">
        <f>IF($T8="","",ROUND(($T8-$T$3)/1000,1)+(_xlfn.RANK.AVG($T8,($J8,$O8,$T8),1)-2)*10)</f>
        <v>-18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1</v>
      </c>
      <c r="E9" s="4" t="str">
        <f>IF($K$1="","",$K$1)</f>
        <v>ただ</v>
      </c>
      <c r="F9" s="8" t="s">
        <v>203</v>
      </c>
      <c r="G9" s="9">
        <v>-5800</v>
      </c>
      <c r="H9" s="9"/>
      <c r="I9" s="48">
        <v>-2000</v>
      </c>
      <c r="J9" s="21">
        <f t="shared" si="2"/>
        <v>33700</v>
      </c>
      <c r="K9" s="8" t="s">
        <v>202</v>
      </c>
      <c r="L9" s="9">
        <v>5800</v>
      </c>
      <c r="M9" s="9">
        <v>1000</v>
      </c>
      <c r="N9" s="48">
        <v>2000</v>
      </c>
      <c r="O9" s="21">
        <f t="shared" si="3"/>
        <v>44300</v>
      </c>
      <c r="P9" s="8"/>
      <c r="Q9" s="9"/>
      <c r="R9" s="9"/>
      <c r="S9" s="48"/>
      <c r="T9" s="21">
        <f t="shared" si="4"/>
        <v>27000</v>
      </c>
      <c r="U9" s="53">
        <f>IF($J9="","",ROUND(($J9-$J$3)/1000,1)+(_xlfn.RANK.AVG($J9,($J9,$O9,$T9),1)-2)*10)</f>
        <v>-1.3</v>
      </c>
      <c r="V9" s="54">
        <f>IF($O9="","",ROUND(($O9-$O$3)/1000,1)+(_xlfn.RANK.AVG($O9,($J9,$O9,$T9),1)-2)*10)</f>
        <v>19.3</v>
      </c>
      <c r="W9" s="55">
        <f>IF($T9="","",ROUND(($T9-$T$3)/1000,1)+(_xlfn.RANK.AVG($T9,($J9,$O9,$T9),1)-2)*10)</f>
        <v>-18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199</v>
      </c>
      <c r="BA9" s="41" t="s">
        <v>83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tr">
        <f>IF($K$1="","",$K$1)</f>
        <v>ただ</v>
      </c>
      <c r="F10" s="8"/>
      <c r="G10" s="9"/>
      <c r="H10" s="9"/>
      <c r="I10" s="48"/>
      <c r="J10" s="21">
        <f t="shared" si="2"/>
        <v>33700</v>
      </c>
      <c r="K10" s="8" t="s">
        <v>202</v>
      </c>
      <c r="L10" s="9">
        <v>18000</v>
      </c>
      <c r="M10" s="9">
        <v>1000</v>
      </c>
      <c r="N10" s="48">
        <v>3000</v>
      </c>
      <c r="O10" s="21">
        <f t="shared" si="3"/>
        <v>66300</v>
      </c>
      <c r="P10" s="8" t="s">
        <v>203</v>
      </c>
      <c r="Q10" s="9">
        <v>-18000</v>
      </c>
      <c r="R10" s="9">
        <v>-1000</v>
      </c>
      <c r="S10" s="48">
        <v>-3000</v>
      </c>
      <c r="T10" s="21">
        <f t="shared" si="4"/>
        <v>5000</v>
      </c>
      <c r="U10" s="53">
        <f>IF($J10="","",ROUND(($J10-$J$3)/1000,1)+(_xlfn.RANK.AVG($J10,($J10,$O10,$T10),1)-2)*10)</f>
        <v>-1.3</v>
      </c>
      <c r="V10" s="54">
        <f>IF($O10="","",ROUND(($O10-$O$3)/1000,1)+(_xlfn.RANK.AVG($O10,($J10,$O10,$T10),1)-2)*10)</f>
        <v>41.3</v>
      </c>
      <c r="W10" s="55">
        <f>IF($T10="","",ROUND(($T10-$T$3)/1000,1)+(_xlfn.RANK.AVG($T10,($J10,$O10,$T10),1)-2)*10)</f>
        <v>-40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198</v>
      </c>
      <c r="AZ10" s="40" t="s">
        <v>104</v>
      </c>
      <c r="BA10" s="41" t="s">
        <v>79</v>
      </c>
      <c r="BB10" s="41" t="s">
        <v>79</v>
      </c>
      <c r="BC10" s="41" t="s">
        <v>84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4</v>
      </c>
      <c r="D11" s="18">
        <f t="shared" si="1"/>
        <v>0</v>
      </c>
      <c r="E11" s="4" t="str">
        <f>IF($K$1="","",$K$1)</f>
        <v>ただ</v>
      </c>
      <c r="F11" s="8" t="s">
        <v>197</v>
      </c>
      <c r="G11" s="9">
        <v>-6000</v>
      </c>
      <c r="H11" s="9"/>
      <c r="I11" s="48">
        <v>-2000</v>
      </c>
      <c r="J11" s="21">
        <f t="shared" si="2"/>
        <v>25700</v>
      </c>
      <c r="K11" s="8" t="s">
        <v>197</v>
      </c>
      <c r="L11" s="9">
        <v>-10000</v>
      </c>
      <c r="M11" s="9"/>
      <c r="N11" s="48">
        <v>-2000</v>
      </c>
      <c r="O11" s="21">
        <f t="shared" si="3"/>
        <v>54300</v>
      </c>
      <c r="P11" s="8" t="s">
        <v>196</v>
      </c>
      <c r="Q11" s="9">
        <v>16000</v>
      </c>
      <c r="R11" s="9"/>
      <c r="S11" s="48">
        <v>4000</v>
      </c>
      <c r="T11" s="21">
        <f t="shared" si="4"/>
        <v>25000</v>
      </c>
      <c r="U11" s="53">
        <f>IF($J11="","",ROUND(($J11-$J$3)/1000,1)+(_xlfn.RANK.AVG($J11,($J11,$O11,$T11),1)-2)*10)</f>
        <v>-9.3000000000000007</v>
      </c>
      <c r="V11" s="54">
        <f>IF($O11="","",ROUND(($O11-$O$3)/1000,1)+(_xlfn.RANK.AVG($O11,($J11,$O11,$T11),1)-2)*10)</f>
        <v>29.3</v>
      </c>
      <c r="W11" s="55">
        <f>IF($T11="","",ROUND(($T11-$T$3)/1000,1)+(_xlfn.RANK.AVG($T11,($J11,$O11,$T11),1)-2)*10)</f>
        <v>-20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9</v>
      </c>
      <c r="BT11" s="30" t="s">
        <v>198</v>
      </c>
      <c r="BU11" s="40" t="s">
        <v>106</v>
      </c>
      <c r="BV11" s="41" t="s">
        <v>79</v>
      </c>
      <c r="BW11" s="41" t="s">
        <v>79</v>
      </c>
      <c r="BX11" s="41" t="s">
        <v>79</v>
      </c>
      <c r="BY11" s="41" t="s">
        <v>79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/>
      <c r="G12" s="9"/>
      <c r="H12" s="9"/>
      <c r="I12" s="48"/>
      <c r="J12" s="21">
        <f t="shared" si="2"/>
        <v>25700</v>
      </c>
      <c r="K12" s="8" t="s">
        <v>202</v>
      </c>
      <c r="L12" s="9">
        <v>2600</v>
      </c>
      <c r="M12" s="9"/>
      <c r="N12" s="48">
        <v>0</v>
      </c>
      <c r="O12" s="21">
        <f t="shared" si="3"/>
        <v>56900</v>
      </c>
      <c r="P12" s="8" t="s">
        <v>203</v>
      </c>
      <c r="Q12" s="9">
        <v>-2600</v>
      </c>
      <c r="R12" s="9"/>
      <c r="S12" s="48">
        <v>0</v>
      </c>
      <c r="T12" s="21">
        <f t="shared" si="4"/>
        <v>22400</v>
      </c>
      <c r="U12" s="53">
        <f>IF($J12="","",ROUND(($J12-$J$3)/1000,1)+(_xlfn.RANK.AVG($J12,($J12,$O12,$T12),1)-2)*10)</f>
        <v>-9.3000000000000007</v>
      </c>
      <c r="V12" s="54">
        <f>IF($O12="","",ROUND(($O12-$O$3)/1000,1)+(_xlfn.RANK.AVG($O12,($J12,$O12,$T12),1)-2)*10)</f>
        <v>31.9</v>
      </c>
      <c r="W12" s="55">
        <f>IF($T12="","",ROUND(($T12-$T$3)/1000,1)+(_xlfn.RANK.AVG($T12,($J12,$O12,$T12),1)-2)*10)</f>
        <v>-22.6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40</v>
      </c>
      <c r="AZ12" s="40" t="s">
        <v>199</v>
      </c>
      <c r="BA12" s="41" t="s">
        <v>80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IF($F$1="","",$F$1)</f>
        <v>りくと</v>
      </c>
      <c r="F13" s="8" t="s">
        <v>197</v>
      </c>
      <c r="G13" s="9">
        <v>-5000</v>
      </c>
      <c r="H13" s="9"/>
      <c r="I13" s="48">
        <v>0</v>
      </c>
      <c r="J13" s="21">
        <f t="shared" si="2"/>
        <v>20700</v>
      </c>
      <c r="K13" s="8" t="s">
        <v>197</v>
      </c>
      <c r="L13" s="9">
        <v>-3000</v>
      </c>
      <c r="M13" s="9"/>
      <c r="N13" s="48">
        <v>0</v>
      </c>
      <c r="O13" s="21">
        <f t="shared" si="3"/>
        <v>53900</v>
      </c>
      <c r="P13" s="8" t="s">
        <v>196</v>
      </c>
      <c r="Q13" s="9">
        <v>8000</v>
      </c>
      <c r="R13" s="9"/>
      <c r="S13" s="48">
        <v>0</v>
      </c>
      <c r="T13" s="21">
        <f t="shared" si="4"/>
        <v>30400</v>
      </c>
      <c r="U13" s="53">
        <f>IF($J13="","",ROUND(($J13-$J$3)/1000,1)+(_xlfn.RANK.AVG($J13,($J13,$O13,$T13),1)-2)*10)</f>
        <v>-24.3</v>
      </c>
      <c r="V13" s="54">
        <f>IF($O13="","",ROUND(($O13-$O$3)/1000,1)+(_xlfn.RANK.AVG($O13,($J13,$O13,$T13),1)-2)*10)</f>
        <v>28.9</v>
      </c>
      <c r="W13" s="55">
        <f>IF($T13="","",ROUND(($T13-$T$3)/1000,1)+(_xlfn.RANK.AVG($T13,($J13,$O13,$T13),1)-2)*10)</f>
        <v>-4.5999999999999996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5</v>
      </c>
      <c r="BT13" s="30" t="s">
        <v>198</v>
      </c>
      <c r="BU13" s="40" t="s">
        <v>82</v>
      </c>
      <c r="BV13" s="41" t="s">
        <v>96</v>
      </c>
      <c r="BW13" s="41" t="s">
        <v>86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E9FFF92-E163-47FF-8344-462B2656431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1AAA8-6D65-447A-AAFB-6B055FB25DA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197</v>
      </c>
      <c r="L4" s="9">
        <v>-3300</v>
      </c>
      <c r="M4" s="9">
        <v>-1000</v>
      </c>
      <c r="N4" s="48">
        <v>0</v>
      </c>
      <c r="O4" s="21">
        <f>IF(COUNTA($F4,$K4,$P4)&gt;0,O3+SUM(L4:N4),"")</f>
        <v>30700</v>
      </c>
      <c r="P4" s="8" t="s">
        <v>196</v>
      </c>
      <c r="Q4" s="9">
        <v>5300</v>
      </c>
      <c r="R4" s="9">
        <v>1000</v>
      </c>
      <c r="S4" s="48">
        <v>0</v>
      </c>
      <c r="T4" s="21">
        <f>IF(COUNTA($F4,$K4,$P4)&gt;0,T3+SUM(Q4:S4),"")</f>
        <v>41300</v>
      </c>
      <c r="U4" s="53">
        <f>IF($J4="","",ROUND(($J4-$J$3)/1000,1)+(_xlfn.RANK.AVG($J4,($J4,$O4,$T4),1)-2)*10)</f>
        <v>-2</v>
      </c>
      <c r="V4" s="54">
        <f>IF($O4="","",ROUND(($O4-$O$3)/1000,1)+(_xlfn.RANK.AVG($O4,($J4,$O4,$T4),1)-2)*10)</f>
        <v>-14.3</v>
      </c>
      <c r="W4" s="55">
        <f>IF($T4="","",ROUND(($T4-$T$3)/1000,1)+(_xlfn.RANK.AVG($T4,($J4,$O4,$T4),1)-2)*10)</f>
        <v>16.3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40</v>
      </c>
      <c r="BU4" s="40" t="s">
        <v>201</v>
      </c>
      <c r="BV4" s="41" t="s">
        <v>98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203</v>
      </c>
      <c r="G5" s="9">
        <v>-7700</v>
      </c>
      <c r="H5" s="9"/>
      <c r="I5" s="48">
        <v>0</v>
      </c>
      <c r="J5" s="21">
        <f t="shared" ref="J5:J30" si="2">IF(COUNTA($F5,$K5,$P5)&gt;0,J4+SUM(G5:I5),"")</f>
        <v>25300</v>
      </c>
      <c r="K5" s="8" t="s">
        <v>202</v>
      </c>
      <c r="L5" s="9">
        <v>7700</v>
      </c>
      <c r="M5" s="9"/>
      <c r="N5" s="48">
        <v>0</v>
      </c>
      <c r="O5" s="21">
        <f t="shared" ref="O5:O30" si="3">IF(COUNTA($F5,$K5,$P5)&gt;0,O4+SUM(L5:N5),"")</f>
        <v>38400</v>
      </c>
      <c r="P5" s="8"/>
      <c r="Q5" s="9"/>
      <c r="R5" s="9"/>
      <c r="S5" s="48"/>
      <c r="T5" s="21">
        <f t="shared" ref="T5:T30" si="4">IF(COUNTA($F5,$K5,$P5)&gt;0,T4+SUM(Q5:S5),"")</f>
        <v>41300</v>
      </c>
      <c r="U5" s="53">
        <f>IF($J5="","",ROUND(($J5-$J$3)/1000,1)+(_xlfn.RANK.AVG($J5,($J5,$O5,$T5),1)-2)*10)</f>
        <v>-19.7</v>
      </c>
      <c r="V5" s="54">
        <f>IF($O5="","",ROUND(($O5-$O$3)/1000,1)+(_xlfn.RANK.AVG($O5,($J5,$O5,$T5),1)-2)*10)</f>
        <v>3.4</v>
      </c>
      <c r="W5" s="55">
        <f>IF($T5="","",ROUND(($T5-$T$3)/1000,1)+(_xlfn.RANK.AVG($T5,($J5,$O5,$T5),1)-2)*10)</f>
        <v>16.3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104</v>
      </c>
      <c r="BA5" s="41" t="s">
        <v>86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207</v>
      </c>
      <c r="G6" s="9">
        <v>3000</v>
      </c>
      <c r="H6" s="9">
        <v>-1000</v>
      </c>
      <c r="I6" s="48"/>
      <c r="J6" s="21">
        <f t="shared" si="2"/>
        <v>27300</v>
      </c>
      <c r="K6" s="8" t="s">
        <v>207</v>
      </c>
      <c r="L6" s="9">
        <v>-1500</v>
      </c>
      <c r="M6" s="9"/>
      <c r="N6" s="48"/>
      <c r="O6" s="21">
        <f t="shared" si="3"/>
        <v>36900</v>
      </c>
      <c r="P6" s="8" t="s">
        <v>207</v>
      </c>
      <c r="Q6" s="9">
        <v>-1500</v>
      </c>
      <c r="R6" s="9"/>
      <c r="S6" s="48"/>
      <c r="T6" s="21">
        <f t="shared" si="4"/>
        <v>39800</v>
      </c>
      <c r="U6" s="53">
        <f>IF($J6="","",ROUND(($J6-$J$3)/1000,1)+(_xlfn.RANK.AVG($J6,($J6,$O6,$T6),1)-2)*10)</f>
        <v>-17.7</v>
      </c>
      <c r="V6" s="54">
        <f>IF($O6="","",ROUND(($O6-$O$3)/1000,1)+(_xlfn.RANK.AVG($O6,($J6,$O6,$T6),1)-2)*10)</f>
        <v>1.9</v>
      </c>
      <c r="W6" s="55">
        <f>IF($T6="","",ROUND(($T6-$T$3)/1000,1)+(_xlfn.RANK.AVG($T6,($J6,$O6,$T6),1)-2)*10)</f>
        <v>14.8</v>
      </c>
      <c r="Y6" s="8" t="s">
        <v>205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tr">
        <f>IF($F$1="","",$F$1)</f>
        <v>りくと</v>
      </c>
      <c r="F7" s="8" t="s">
        <v>203</v>
      </c>
      <c r="G7" s="9">
        <v>-1300</v>
      </c>
      <c r="H7" s="9"/>
      <c r="I7" s="48">
        <v>-1000</v>
      </c>
      <c r="J7" s="21">
        <f t="shared" si="2"/>
        <v>25000</v>
      </c>
      <c r="K7" s="8"/>
      <c r="L7" s="9"/>
      <c r="M7" s="9">
        <v>-1000</v>
      </c>
      <c r="N7" s="48"/>
      <c r="O7" s="21">
        <f t="shared" si="3"/>
        <v>35900</v>
      </c>
      <c r="P7" s="8" t="s">
        <v>202</v>
      </c>
      <c r="Q7" s="9">
        <v>1300</v>
      </c>
      <c r="R7" s="9">
        <v>2000</v>
      </c>
      <c r="S7" s="48">
        <v>1000</v>
      </c>
      <c r="T7" s="21">
        <f t="shared" si="4"/>
        <v>44100</v>
      </c>
      <c r="U7" s="53">
        <f>IF($J7="","",ROUND(($J7-$J$3)/1000,1)+(_xlfn.RANK.AVG($J7,($J7,$O7,$T7),1)-2)*10)</f>
        <v>-20</v>
      </c>
      <c r="V7" s="54">
        <f>IF($O7="","",ROUND(($O7-$O$3)/1000,1)+(_xlfn.RANK.AVG($O7,($J7,$O7,$T7),1)-2)*10)</f>
        <v>0.9</v>
      </c>
      <c r="W7" s="55">
        <f>IF($T7="","",ROUND(($T7-$T$3)/1000,1)+(_xlfn.RANK.AVG($T7,($J7,$O7,$T7),1)-2)*10)</f>
        <v>19.100000000000001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1</v>
      </c>
      <c r="BT7" s="30">
        <v>40</v>
      </c>
      <c r="BU7" s="40" t="s">
        <v>199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203</v>
      </c>
      <c r="G8" s="9">
        <v>-8000</v>
      </c>
      <c r="H8" s="9"/>
      <c r="I8" s="48">
        <v>0</v>
      </c>
      <c r="J8" s="21">
        <f t="shared" si="2"/>
        <v>17000</v>
      </c>
      <c r="K8" s="8"/>
      <c r="L8" s="9"/>
      <c r="M8" s="9"/>
      <c r="N8" s="48"/>
      <c r="O8" s="21">
        <f t="shared" si="3"/>
        <v>35900</v>
      </c>
      <c r="P8" s="8" t="s">
        <v>202</v>
      </c>
      <c r="Q8" s="9">
        <v>8000</v>
      </c>
      <c r="R8" s="9"/>
      <c r="S8" s="48">
        <v>0</v>
      </c>
      <c r="T8" s="21">
        <f t="shared" si="4"/>
        <v>52100</v>
      </c>
      <c r="U8" s="53">
        <f>IF($J8="","",ROUND(($J8-$J$3)/1000,1)+(_xlfn.RANK.AVG($J8,($J8,$O8,$T8),1)-2)*10)</f>
        <v>-28</v>
      </c>
      <c r="V8" s="54">
        <f>IF($O8="","",ROUND(($O8-$O$3)/1000,1)+(_xlfn.RANK.AVG($O8,($J8,$O8,$T8),1)-2)*10)</f>
        <v>0.9</v>
      </c>
      <c r="W8" s="55">
        <f>IF($T8="","",ROUND(($T8-$T$3)/1000,1)+(_xlfn.RANK.AVG($T8,($J8,$O8,$T8),1)-2)*10)</f>
        <v>27.1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40</v>
      </c>
      <c r="BU8" s="40" t="s">
        <v>86</v>
      </c>
      <c r="BV8" s="41" t="s">
        <v>86</v>
      </c>
      <c r="BW8" s="41" t="s">
        <v>98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207</v>
      </c>
      <c r="G9" s="9">
        <v>3000</v>
      </c>
      <c r="H9" s="9">
        <v>-1000</v>
      </c>
      <c r="I9" s="48"/>
      <c r="J9" s="21">
        <f t="shared" si="2"/>
        <v>19000</v>
      </c>
      <c r="K9" s="8" t="s">
        <v>207</v>
      </c>
      <c r="L9" s="9">
        <v>-1500</v>
      </c>
      <c r="M9" s="9"/>
      <c r="N9" s="48"/>
      <c r="O9" s="21">
        <f t="shared" si="3"/>
        <v>34400</v>
      </c>
      <c r="P9" s="8" t="s">
        <v>207</v>
      </c>
      <c r="Q9" s="9">
        <v>-1500</v>
      </c>
      <c r="R9" s="9"/>
      <c r="S9" s="48"/>
      <c r="T9" s="21">
        <f t="shared" si="4"/>
        <v>50600</v>
      </c>
      <c r="U9" s="53">
        <f>IF($J9="","",ROUND(($J9-$J$3)/1000,1)+(_xlfn.RANK.AVG($J9,($J9,$O9,$T9),1)-2)*10)</f>
        <v>-26</v>
      </c>
      <c r="V9" s="54">
        <f>IF($O9="","",ROUND(($O9-$O$3)/1000,1)+(_xlfn.RANK.AVG($O9,($J9,$O9,$T9),1)-2)*10)</f>
        <v>-0.6</v>
      </c>
      <c r="W9" s="55">
        <f>IF($T9="","",ROUND(($T9-$T$3)/1000,1)+(_xlfn.RANK.AVG($T9,($J9,$O9,$T9),1)-2)*10)</f>
        <v>25.6</v>
      </c>
      <c r="Y9" s="8" t="s">
        <v>205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tr">
        <f>IF($F$1="","",$F$1)</f>
        <v>りくと</v>
      </c>
      <c r="F10" s="8" t="s">
        <v>202</v>
      </c>
      <c r="G10" s="9">
        <v>24000</v>
      </c>
      <c r="H10" s="9">
        <v>1000</v>
      </c>
      <c r="I10" s="48">
        <v>1000</v>
      </c>
      <c r="J10" s="21">
        <f t="shared" si="2"/>
        <v>45000</v>
      </c>
      <c r="K10" s="8"/>
      <c r="L10" s="9"/>
      <c r="M10" s="9"/>
      <c r="N10" s="48"/>
      <c r="O10" s="21">
        <f t="shared" si="3"/>
        <v>34400</v>
      </c>
      <c r="P10" s="8" t="s">
        <v>203</v>
      </c>
      <c r="Q10" s="9">
        <v>-24000</v>
      </c>
      <c r="R10" s="9"/>
      <c r="S10" s="48">
        <v>-1000</v>
      </c>
      <c r="T10" s="21">
        <f t="shared" si="4"/>
        <v>25600</v>
      </c>
      <c r="U10" s="53">
        <f>IF($J10="","",ROUND(($J10-$J$3)/1000,1)+(_xlfn.RANK.AVG($J10,($J10,$O10,$T10),1)-2)*10)</f>
        <v>20</v>
      </c>
      <c r="V10" s="54">
        <f>IF($O10="","",ROUND(($O10-$O$3)/1000,1)+(_xlfn.RANK.AVG($O10,($J10,$O10,$T10),1)-2)*10)</f>
        <v>-0.6</v>
      </c>
      <c r="W10" s="55">
        <f>IF($T10="","",ROUND(($T10-$T$3)/1000,1)+(_xlfn.RANK.AVG($T10,($J10,$O10,$T10),1)-2)*10)</f>
        <v>-19.399999999999999</v>
      </c>
      <c r="Y10" s="8"/>
      <c r="Z10" s="34"/>
      <c r="AA10" s="26">
        <v>1</v>
      </c>
      <c r="AB10" s="26"/>
      <c r="AC10" s="26">
        <v>9</v>
      </c>
      <c r="AD10" s="30" t="s">
        <v>198</v>
      </c>
      <c r="AE10" s="40" t="s">
        <v>199</v>
      </c>
      <c r="AF10" s="41" t="s">
        <v>200</v>
      </c>
      <c r="AG10" s="41" t="s">
        <v>104</v>
      </c>
      <c r="AH10" s="41" t="s">
        <v>101</v>
      </c>
      <c r="AI10" s="41" t="s">
        <v>79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showInputMessage="1" showErrorMessage="1" sqref="K4:K30 P4:P30 F4:F30" xr:uid="{F38A3165-C243-469C-A382-1D075596B2E7}">
      <formula1>"ロン,ツモ,放銃,ツモ支払,流局,チョンボ"</formula1>
    </dataValidation>
    <dataValidation type="list" allowBlank="1" showInputMessage="1" showErrorMessage="1" sqref="E4:E30" xr:uid="{968C37E3-D665-4B92-A020-2CE998E9B810}">
      <formula1>$U$2:$W$2</formula1>
    </dataValidation>
    <dataValidation type="list" allowBlank="1" showInputMessage="1" sqref="F1:T1" xr:uid="{535DC96A-70C0-4BB0-AFF5-EFCC0FAA6897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B3628-C846-424F-9CE2-D9547E904BB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203</v>
      </c>
      <c r="G4" s="9">
        <v>-2900</v>
      </c>
      <c r="H4" s="9">
        <v>-1000</v>
      </c>
      <c r="I4" s="48">
        <v>0</v>
      </c>
      <c r="J4" s="21">
        <f>IF(COUNTA($F4,$K4,$P4)&gt;0,J3+SUM(G4:I4),"")</f>
        <v>31100</v>
      </c>
      <c r="K4" s="8"/>
      <c r="L4" s="9"/>
      <c r="M4" s="9"/>
      <c r="N4" s="48"/>
      <c r="O4" s="21">
        <f>IF(COUNTA($F4,$K4,$P4)&gt;0,O3+SUM(L4:N4),"")</f>
        <v>35000</v>
      </c>
      <c r="P4" s="8" t="s">
        <v>202</v>
      </c>
      <c r="Q4" s="9">
        <v>2900</v>
      </c>
      <c r="R4" s="9">
        <v>1000</v>
      </c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IF($J4="","",ROUND(($J4-$J$3)/1000,1)+(_xlfn.RANK.AVG($J4,($J4,$O4,$T4),1)-2)*10)</f>
        <v>-13.9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13.9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30</v>
      </c>
      <c r="BU4" s="40" t="s">
        <v>199</v>
      </c>
      <c r="BV4" s="41" t="s">
        <v>83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203</v>
      </c>
      <c r="G5" s="9">
        <v>-2000</v>
      </c>
      <c r="H5" s="9">
        <v>-1000</v>
      </c>
      <c r="I5" s="48">
        <v>-1000</v>
      </c>
      <c r="J5" s="21">
        <f t="shared" ref="J5:J30" si="2">IF(COUNTA($F5,$K5,$P5)&gt;0,J4+SUM(G5:I5),"")</f>
        <v>27100</v>
      </c>
      <c r="K5" s="8" t="s">
        <v>202</v>
      </c>
      <c r="L5" s="9">
        <v>2000</v>
      </c>
      <c r="M5" s="9">
        <v>1000</v>
      </c>
      <c r="N5" s="48">
        <v>1000</v>
      </c>
      <c r="O5" s="21">
        <f t="shared" ref="O5:O30" si="3">IF(COUNTA($F5,$K5,$P5)&gt;0,O4+SUM(L5:N5),"")</f>
        <v>39000</v>
      </c>
      <c r="P5" s="8"/>
      <c r="Q5" s="9"/>
      <c r="R5" s="9"/>
      <c r="S5" s="48"/>
      <c r="T5" s="21">
        <f t="shared" ref="T5:T30" si="4">IF(COUNTA($F5,$K5,$P5)&gt;0,T4+SUM(Q5:S5),"")</f>
        <v>38900</v>
      </c>
      <c r="U5" s="53">
        <f>IF($J5="","",ROUND(($J5-$J$3)/1000,1)+(_xlfn.RANK.AVG($J5,($J5,$O5,$T5),1)-2)*10)</f>
        <v>-17.899999999999999</v>
      </c>
      <c r="V5" s="54">
        <f>IF($O5="","",ROUND(($O5-$O$3)/1000,1)+(_xlfn.RANK.AVG($O5,($J5,$O5,$T5),1)-2)*10)</f>
        <v>14</v>
      </c>
      <c r="W5" s="55">
        <f>IF($T5="","",ROUND(($T5-$T$3)/1000,1)+(_xlfn.RANK.AVG($T5,($J5,$O5,$T5),1)-2)*10)</f>
        <v>3.9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202</v>
      </c>
      <c r="G6" s="9">
        <v>11600</v>
      </c>
      <c r="H6" s="9"/>
      <c r="I6" s="48"/>
      <c r="J6" s="21">
        <f t="shared" si="2"/>
        <v>38700</v>
      </c>
      <c r="K6" s="8" t="s">
        <v>203</v>
      </c>
      <c r="L6" s="9">
        <v>-13600</v>
      </c>
      <c r="M6" s="9">
        <v>-1000</v>
      </c>
      <c r="N6" s="48">
        <v>0</v>
      </c>
      <c r="O6" s="21">
        <f t="shared" si="3"/>
        <v>24400</v>
      </c>
      <c r="P6" s="8" t="s">
        <v>202</v>
      </c>
      <c r="Q6" s="9">
        <v>2000</v>
      </c>
      <c r="R6" s="9">
        <v>1000</v>
      </c>
      <c r="S6" s="48">
        <v>0</v>
      </c>
      <c r="T6" s="21">
        <f t="shared" si="4"/>
        <v>41900</v>
      </c>
      <c r="U6" s="53">
        <f>IF($J6="","",ROUND(($J6-$J$3)/1000,1)+(_xlfn.RANK.AVG($J6,($J6,$O6,$T6),1)-2)*10)</f>
        <v>3.7</v>
      </c>
      <c r="V6" s="54">
        <f>IF($O6="","",ROUND(($O6-$O$3)/1000,1)+(_xlfn.RANK.AVG($O6,($J6,$O6,$T6),1)-2)*10)</f>
        <v>-20.6</v>
      </c>
      <c r="W6" s="55">
        <f>IF($T6="","",ROUND(($T6-$T$3)/1000,1)+(_xlfn.RANK.AVG($T6,($J6,$O6,$T6),1)-2)*10)</f>
        <v>16.899999999999999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209</v>
      </c>
      <c r="AF6" s="41" t="s">
        <v>83</v>
      </c>
      <c r="AG6" s="41" t="s">
        <v>201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30</v>
      </c>
      <c r="BU6" s="40" t="s">
        <v>199</v>
      </c>
      <c r="BV6" s="41" t="s">
        <v>83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210</v>
      </c>
      <c r="F7" s="8" t="s">
        <v>203</v>
      </c>
      <c r="G7" s="9">
        <v>-2600</v>
      </c>
      <c r="H7" s="9"/>
      <c r="I7" s="48">
        <v>-1000</v>
      </c>
      <c r="J7" s="21">
        <f t="shared" si="2"/>
        <v>35100</v>
      </c>
      <c r="K7" s="8"/>
      <c r="L7" s="9"/>
      <c r="M7" s="9"/>
      <c r="N7" s="48"/>
      <c r="O7" s="21">
        <f t="shared" si="3"/>
        <v>24400</v>
      </c>
      <c r="P7" s="8" t="s">
        <v>202</v>
      </c>
      <c r="Q7" s="9">
        <v>2600</v>
      </c>
      <c r="R7" s="9"/>
      <c r="S7" s="48">
        <v>1000</v>
      </c>
      <c r="T7" s="21">
        <f t="shared" si="4"/>
        <v>45500</v>
      </c>
      <c r="U7" s="53">
        <f>IF($J7="","",ROUND(($J7-$J$3)/1000,1)+(_xlfn.RANK.AVG($J7,($J7,$O7,$T7),1)-2)*10)</f>
        <v>0.1</v>
      </c>
      <c r="V7" s="54">
        <f>IF($O7="","",ROUND(($O7-$O$3)/1000,1)+(_xlfn.RANK.AVG($O7,($J7,$O7,$T7),1)-2)*10)</f>
        <v>-20.6</v>
      </c>
      <c r="W7" s="55">
        <f>IF($T7="","",ROUND(($T7-$T$3)/1000,1)+(_xlfn.RANK.AVG($T7,($J7,$O7,$T7),1)-2)*10)</f>
        <v>20.5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199</v>
      </c>
      <c r="BV7" s="41" t="s">
        <v>200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203</v>
      </c>
      <c r="G8" s="9">
        <v>-5800</v>
      </c>
      <c r="H8" s="9"/>
      <c r="I8" s="48">
        <v>0</v>
      </c>
      <c r="J8" s="21">
        <f t="shared" si="2"/>
        <v>29300</v>
      </c>
      <c r="K8" s="8" t="s">
        <v>202</v>
      </c>
      <c r="L8" s="9">
        <v>5800</v>
      </c>
      <c r="M8" s="9"/>
      <c r="N8" s="48">
        <v>0</v>
      </c>
      <c r="O8" s="21">
        <f t="shared" si="3"/>
        <v>30200</v>
      </c>
      <c r="P8" s="8"/>
      <c r="Q8" s="9"/>
      <c r="R8" s="9"/>
      <c r="S8" s="48"/>
      <c r="T8" s="21">
        <f t="shared" si="4"/>
        <v>45500</v>
      </c>
      <c r="U8" s="53">
        <f>IF($J8="","",ROUND(($J8-$J$3)/1000,1)+(_xlfn.RANK.AVG($J8,($J8,$O8,$T8),1)-2)*10)</f>
        <v>-15.7</v>
      </c>
      <c r="V8" s="54">
        <f>IF($O8="","",ROUND(($O8-$O$3)/1000,1)+(_xlfn.RANK.AVG($O8,($J8,$O8,$T8),1)-2)*10)</f>
        <v>-4.8</v>
      </c>
      <c r="W8" s="55">
        <f>IF($T8="","",ROUND(($T8-$T$3)/1000,1)+(_xlfn.RANK.AVG($T8,($J8,$O8,$T8),1)-2)*10)</f>
        <v>20.5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79</v>
      </c>
      <c r="BA8" s="41" t="s">
        <v>86</v>
      </c>
      <c r="BB8" s="41" t="s">
        <v>93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206</v>
      </c>
      <c r="G9" s="9">
        <v>3000</v>
      </c>
      <c r="H9" s="9"/>
      <c r="I9" s="48"/>
      <c r="J9" s="21">
        <f t="shared" si="2"/>
        <v>32300</v>
      </c>
      <c r="K9" s="8" t="s">
        <v>206</v>
      </c>
      <c r="L9" s="9">
        <v>-1500</v>
      </c>
      <c r="M9" s="9"/>
      <c r="N9" s="48"/>
      <c r="O9" s="21">
        <f t="shared" si="3"/>
        <v>28700</v>
      </c>
      <c r="P9" s="8" t="s">
        <v>206</v>
      </c>
      <c r="Q9" s="9">
        <v>-1500</v>
      </c>
      <c r="R9" s="9"/>
      <c r="S9" s="48"/>
      <c r="T9" s="21">
        <f t="shared" si="4"/>
        <v>44000</v>
      </c>
      <c r="U9" s="53">
        <f>IF($J9="","",ROUND(($J9-$J$3)/1000,1)+(_xlfn.RANK.AVG($J9,($J9,$O9,$T9),1)-2)*10)</f>
        <v>-2.7</v>
      </c>
      <c r="V9" s="54">
        <f>IF($O9="","",ROUND(($O9-$O$3)/1000,1)+(_xlfn.RANK.AVG($O9,($J9,$O9,$T9),1)-2)*10)</f>
        <v>-16.3</v>
      </c>
      <c r="W9" s="55">
        <f>IF($T9="","",ROUND(($T9-$T$3)/1000,1)+(_xlfn.RANK.AVG($T9,($J9,$O9,$T9),1)-2)*10)</f>
        <v>19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IF($P$1="","",$P$1)</f>
        <v>だいち</v>
      </c>
      <c r="F10" s="8" t="s">
        <v>197</v>
      </c>
      <c r="G10" s="9">
        <v>-6000</v>
      </c>
      <c r="H10" s="9"/>
      <c r="I10" s="48">
        <v>-1000</v>
      </c>
      <c r="J10" s="21">
        <f t="shared" si="2"/>
        <v>25300</v>
      </c>
      <c r="K10" s="8" t="s">
        <v>197</v>
      </c>
      <c r="L10" s="9">
        <v>-6000</v>
      </c>
      <c r="M10" s="9"/>
      <c r="N10" s="48">
        <v>-1000</v>
      </c>
      <c r="O10" s="21">
        <f t="shared" si="3"/>
        <v>21700</v>
      </c>
      <c r="P10" s="8" t="s">
        <v>196</v>
      </c>
      <c r="Q10" s="9">
        <v>12000</v>
      </c>
      <c r="R10" s="9"/>
      <c r="S10" s="48">
        <v>2000</v>
      </c>
      <c r="T10" s="21">
        <f t="shared" si="4"/>
        <v>58000</v>
      </c>
      <c r="U10" s="53">
        <f>IF($J10="","",ROUND(($J10-$J$3)/1000,1)+(_xlfn.RANK.AVG($J10,($J10,$O10,$T10),1)-2)*10)</f>
        <v>-9.6999999999999993</v>
      </c>
      <c r="V10" s="54">
        <f>IF($O10="","",ROUND(($O10-$O$3)/1000,1)+(_xlfn.RANK.AVG($O10,($J10,$O10,$T10),1)-2)*10)</f>
        <v>-23.3</v>
      </c>
      <c r="W10" s="55">
        <f>IF($T10="","",ROUND(($T10-$T$3)/1000,1)+(_xlfn.RANK.AVG($T10,($J10,$O10,$T10),1)-2)*10)</f>
        <v>33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5</v>
      </c>
      <c r="BT10" s="30" t="s">
        <v>198</v>
      </c>
      <c r="BU10" s="40" t="s">
        <v>82</v>
      </c>
      <c r="BV10" s="41" t="s">
        <v>104</v>
      </c>
      <c r="BW10" s="41" t="s">
        <v>201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IF($P$1="","",$P$1)</f>
        <v>だいち</v>
      </c>
      <c r="F11" s="8" t="s">
        <v>197</v>
      </c>
      <c r="G11" s="9">
        <v>-3900</v>
      </c>
      <c r="H11" s="9"/>
      <c r="I11" s="48">
        <v>-1500</v>
      </c>
      <c r="J11" s="21">
        <f t="shared" si="2"/>
        <v>19900</v>
      </c>
      <c r="K11" s="8" t="s">
        <v>197</v>
      </c>
      <c r="L11" s="9">
        <v>-3900</v>
      </c>
      <c r="M11" s="9">
        <v>-1000</v>
      </c>
      <c r="N11" s="48">
        <v>-1500</v>
      </c>
      <c r="O11" s="21">
        <f t="shared" si="3"/>
        <v>15300</v>
      </c>
      <c r="P11" s="8" t="s">
        <v>196</v>
      </c>
      <c r="Q11" s="9">
        <v>7800</v>
      </c>
      <c r="R11" s="9">
        <v>1000</v>
      </c>
      <c r="S11" s="48">
        <v>3000</v>
      </c>
      <c r="T11" s="21">
        <f t="shared" si="4"/>
        <v>69800</v>
      </c>
      <c r="U11" s="53">
        <f>IF($J11="","",ROUND(($J11-$J$3)/1000,1)+(_xlfn.RANK.AVG($J11,($J11,$O11,$T11),1)-2)*10)</f>
        <v>-15.1</v>
      </c>
      <c r="V11" s="54">
        <f>IF($O11="","",ROUND(($O11-$O$3)/1000,1)+(_xlfn.RANK.AVG($O11,($J11,$O11,$T11),1)-2)*10)</f>
        <v>-29.7</v>
      </c>
      <c r="W11" s="55">
        <f>IF($T11="","",ROUND(($T11-$T$3)/1000,1)+(_xlfn.RANK.AVG($T11,($J11,$O11,$T11),1)-2)*10)</f>
        <v>44.8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20</v>
      </c>
      <c r="BU11" s="40" t="s">
        <v>199</v>
      </c>
      <c r="BV11" s="41" t="s">
        <v>82</v>
      </c>
      <c r="BW11" s="41" t="s">
        <v>83</v>
      </c>
      <c r="BX11" s="41" t="s">
        <v>201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4</v>
      </c>
      <c r="D12" s="18">
        <f t="shared" si="1"/>
        <v>0</v>
      </c>
      <c r="E12" s="4" t="str">
        <f>IF($P$1="","",$P$1)</f>
        <v>だいち</v>
      </c>
      <c r="F12" s="8" t="s">
        <v>202</v>
      </c>
      <c r="G12" s="9">
        <v>2000</v>
      </c>
      <c r="H12" s="9"/>
      <c r="I12" s="48">
        <v>4000</v>
      </c>
      <c r="J12" s="21">
        <f t="shared" si="2"/>
        <v>25900</v>
      </c>
      <c r="K12" s="8" t="s">
        <v>203</v>
      </c>
      <c r="L12" s="9">
        <v>-2000</v>
      </c>
      <c r="M12" s="9"/>
      <c r="N12" s="48">
        <v>-4000</v>
      </c>
      <c r="O12" s="21">
        <f t="shared" si="3"/>
        <v>9300</v>
      </c>
      <c r="P12" s="8"/>
      <c r="Q12" s="9"/>
      <c r="R12" s="9"/>
      <c r="S12" s="48"/>
      <c r="T12" s="21">
        <f t="shared" si="4"/>
        <v>69800</v>
      </c>
      <c r="U12" s="53">
        <f>IF($J12="","",ROUND(($J12-$J$3)/1000,1)+(_xlfn.RANK.AVG($J12,($J12,$O12,$T12),1)-2)*10)</f>
        <v>-9.1</v>
      </c>
      <c r="V12" s="54">
        <f>IF($O12="","",ROUND(($O12-$O$3)/1000,1)+(_xlfn.RANK.AVG($O12,($J12,$O12,$T12),1)-2)*10)</f>
        <v>-35.700000000000003</v>
      </c>
      <c r="W12" s="55">
        <f>IF($T12="","",ROUND(($T12-$T$3)/1000,1)+(_xlfn.RANK.AVG($T12,($J12,$O12,$T12),1)-2)*10)</f>
        <v>44.8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86</v>
      </c>
      <c r="AF12" s="41" t="s">
        <v>86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IF($F$1="","",$F$1)</f>
        <v>りくと</v>
      </c>
      <c r="F13" s="8" t="s">
        <v>203</v>
      </c>
      <c r="G13" s="9">
        <v>-8000</v>
      </c>
      <c r="H13" s="9"/>
      <c r="I13" s="48">
        <v>0</v>
      </c>
      <c r="J13" s="21">
        <f t="shared" si="2"/>
        <v>17900</v>
      </c>
      <c r="K13" s="8"/>
      <c r="L13" s="9"/>
      <c r="M13" s="9"/>
      <c r="N13" s="48"/>
      <c r="O13" s="21">
        <f t="shared" si="3"/>
        <v>9300</v>
      </c>
      <c r="P13" s="8" t="s">
        <v>202</v>
      </c>
      <c r="Q13" s="9">
        <v>8000</v>
      </c>
      <c r="R13" s="9"/>
      <c r="S13" s="48">
        <v>0</v>
      </c>
      <c r="T13" s="21">
        <f t="shared" si="4"/>
        <v>77800</v>
      </c>
      <c r="U13" s="53">
        <f>IF($J13="","",ROUND(($J13-$J$3)/1000,1)+(_xlfn.RANK.AVG($J13,($J13,$O13,$T13),1)-2)*10)</f>
        <v>-17.100000000000001</v>
      </c>
      <c r="V13" s="54">
        <f>IF($O13="","",ROUND(($O13-$O$3)/1000,1)+(_xlfn.RANK.AVG($O13,($J13,$O13,$T13),1)-2)*10)</f>
        <v>-35.700000000000003</v>
      </c>
      <c r="W13" s="55">
        <f>IF($T13="","",ROUND(($T13-$T$3)/1000,1)+(_xlfn.RANK.AVG($T13,($J13,$O13,$T13),1)-2)*10)</f>
        <v>52.8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40</v>
      </c>
      <c r="BU13" s="40" t="s">
        <v>199</v>
      </c>
      <c r="BV13" s="41" t="s">
        <v>86</v>
      </c>
      <c r="BW13" s="41" t="s">
        <v>80</v>
      </c>
      <c r="BX13" s="41" t="s">
        <v>201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IF($K$1="","",$K$1)</f>
        <v>ただ</v>
      </c>
      <c r="F14" s="8" t="s">
        <v>197</v>
      </c>
      <c r="G14" s="9">
        <v>-1500</v>
      </c>
      <c r="H14" s="9"/>
      <c r="I14" s="48">
        <v>0</v>
      </c>
      <c r="J14" s="21">
        <f t="shared" si="2"/>
        <v>16400</v>
      </c>
      <c r="K14" s="8" t="s">
        <v>197</v>
      </c>
      <c r="L14" s="9">
        <v>-2500</v>
      </c>
      <c r="M14" s="9">
        <v>-1000</v>
      </c>
      <c r="N14" s="48">
        <v>0</v>
      </c>
      <c r="O14" s="21">
        <f t="shared" si="3"/>
        <v>5800</v>
      </c>
      <c r="P14" s="8" t="s">
        <v>196</v>
      </c>
      <c r="Q14" s="9">
        <v>4000</v>
      </c>
      <c r="R14" s="9">
        <v>1000</v>
      </c>
      <c r="S14" s="48">
        <v>0</v>
      </c>
      <c r="T14" s="21">
        <f t="shared" si="4"/>
        <v>82800</v>
      </c>
      <c r="U14" s="53">
        <f>IF($J14="","",ROUND(($J14-$J$3)/1000,1)+(_xlfn.RANK.AVG($J14,($J14,$O14,$T14),1)-2)*10)</f>
        <v>-18.600000000000001</v>
      </c>
      <c r="V14" s="54">
        <f>IF($O14="","",ROUND(($O14-$O$3)/1000,1)+(_xlfn.RANK.AVG($O14,($J14,$O14,$T14),1)-2)*10)</f>
        <v>-39.200000000000003</v>
      </c>
      <c r="W14" s="55">
        <f>IF($T14="","",ROUND(($T14-$T$3)/1000,1)+(_xlfn.RANK.AVG($T14,($J14,$O14,$T14),1)-2)*10)</f>
        <v>57.8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3</v>
      </c>
      <c r="BT14" s="30">
        <v>30</v>
      </c>
      <c r="BU14" s="40" t="s">
        <v>82</v>
      </c>
      <c r="BV14" s="41" t="s">
        <v>201</v>
      </c>
      <c r="BW14" s="41" t="s">
        <v>79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DBCF230E-9A08-4437-929C-E8C96A5FAF16}">
      <formula1>$U$2:$W$2</formula1>
    </dataValidation>
    <dataValidation type="list" showInputMessage="1" showErrorMessage="1" sqref="K4:K30 P4:P30 F4:F30" xr:uid="{23BFDA0E-B1BB-46A7-8C4B-D947C3795908}">
      <formula1>"ロン,ツモ,放銃,ツモ支払,流局,チョンボ"</formula1>
    </dataValidation>
    <dataValidation type="list" allowBlank="1" showInputMessage="1" sqref="F1:T1" xr:uid="{00856AC8-76B5-47D2-93FC-6D920F4E049D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96DBC-23B1-48E3-ABCD-7719C2E1F1CF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203</v>
      </c>
      <c r="L4" s="9">
        <v>-6400</v>
      </c>
      <c r="M4" s="9"/>
      <c r="N4" s="48">
        <v>0</v>
      </c>
      <c r="O4" s="21">
        <f>IF(COUNTA($F4,$K4,$P4)&gt;0,O3+SUM(L4:N4),"")</f>
        <v>28600</v>
      </c>
      <c r="P4" s="8" t="s">
        <v>202</v>
      </c>
      <c r="Q4" s="9">
        <v>6400</v>
      </c>
      <c r="R4" s="9"/>
      <c r="S4" s="48">
        <v>0</v>
      </c>
      <c r="T4" s="21">
        <f>IF(COUNTA($F4,$K4,$P4)&gt;0,T3+SUM(Q4:S4),"")</f>
        <v>41400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-16.399999999999999</v>
      </c>
      <c r="W4" s="55">
        <f>IF($T4="","",ROUND(($T4-$T$3)/1000,1)+(_xlfn.RANK.AVG($T4,($J4,$O4,$T4),1)-2)*10)</f>
        <v>16.399999999999999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50</v>
      </c>
      <c r="BU4" s="40" t="s">
        <v>199</v>
      </c>
      <c r="BV4" s="41" t="s">
        <v>80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202</v>
      </c>
      <c r="L5" s="9">
        <v>5200</v>
      </c>
      <c r="M5" s="9"/>
      <c r="N5" s="48">
        <v>0</v>
      </c>
      <c r="O5" s="21">
        <f t="shared" ref="O5:O30" si="3">IF(COUNTA($F5,$K5,$P5)&gt;0,O4+SUM(L5:N5),"")</f>
        <v>33800</v>
      </c>
      <c r="P5" s="8" t="s">
        <v>203</v>
      </c>
      <c r="Q5" s="9">
        <v>-5200</v>
      </c>
      <c r="R5" s="9"/>
      <c r="S5" s="48">
        <v>0</v>
      </c>
      <c r="T5" s="21">
        <f t="shared" ref="T5:T30" si="4">IF(COUNTA($F5,$K5,$P5)&gt;0,T4+SUM(Q5:S5),"")</f>
        <v>36200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-11.2</v>
      </c>
      <c r="W5" s="55">
        <f>IF($T5="","",ROUND(($T5-$T$3)/1000,1)+(_xlfn.RANK.AVG($T5,($J5,$O5,$T5),1)-2)*10)</f>
        <v>11.2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199</v>
      </c>
      <c r="BA5" s="41" t="s">
        <v>79</v>
      </c>
      <c r="BB5" s="41" t="s">
        <v>201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206</v>
      </c>
      <c r="G6" s="9">
        <v>-1500</v>
      </c>
      <c r="H6" s="9"/>
      <c r="I6" s="48"/>
      <c r="J6" s="21">
        <f t="shared" si="2"/>
        <v>33500</v>
      </c>
      <c r="K6" s="8" t="s">
        <v>206</v>
      </c>
      <c r="L6" s="9">
        <v>3000</v>
      </c>
      <c r="M6" s="9">
        <v>-1000</v>
      </c>
      <c r="N6" s="48"/>
      <c r="O6" s="21">
        <f t="shared" si="3"/>
        <v>35800</v>
      </c>
      <c r="P6" s="8" t="s">
        <v>206</v>
      </c>
      <c r="Q6" s="9">
        <v>-1500</v>
      </c>
      <c r="R6" s="9"/>
      <c r="S6" s="48"/>
      <c r="T6" s="21">
        <f t="shared" si="4"/>
        <v>34700</v>
      </c>
      <c r="U6" s="53">
        <f>IF($J6="","",ROUND(($J6-$J$3)/1000,1)+(_xlfn.RANK.AVG($J6,($J6,$O6,$T6),1)-2)*10)</f>
        <v>-11.5</v>
      </c>
      <c r="V6" s="54">
        <f>IF($O6="","",ROUND(($O6-$O$3)/1000,1)+(_xlfn.RANK.AVG($O6,($J6,$O6,$T6),1)-2)*10)</f>
        <v>10.8</v>
      </c>
      <c r="W6" s="55">
        <f>IF($T6="","",ROUND(($T6-$T$3)/1000,1)+(_xlfn.RANK.AVG($T6,($J6,$O6,$T6),1)-2)*10)</f>
        <v>-0.3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tr">
        <f>IF($K$1="","",$K$1)</f>
        <v>ただ</v>
      </c>
      <c r="F7" s="8" t="s">
        <v>206</v>
      </c>
      <c r="G7" s="9">
        <v>1500</v>
      </c>
      <c r="H7" s="9">
        <v>-1000</v>
      </c>
      <c r="I7" s="48"/>
      <c r="J7" s="21">
        <f t="shared" si="2"/>
        <v>34000</v>
      </c>
      <c r="K7" s="8" t="s">
        <v>206</v>
      </c>
      <c r="L7" s="9">
        <v>-3000</v>
      </c>
      <c r="M7" s="9"/>
      <c r="N7" s="48"/>
      <c r="O7" s="21">
        <f t="shared" si="3"/>
        <v>32800</v>
      </c>
      <c r="P7" s="8" t="s">
        <v>206</v>
      </c>
      <c r="Q7" s="9">
        <v>1500</v>
      </c>
      <c r="R7" s="9"/>
      <c r="S7" s="48"/>
      <c r="T7" s="21">
        <f t="shared" si="4"/>
        <v>36200</v>
      </c>
      <c r="U7" s="53">
        <f>IF($J7="","",ROUND(($J7-$J$3)/1000,1)+(_xlfn.RANK.AVG($J7,($J7,$O7,$T7),1)-2)*10)</f>
        <v>-1</v>
      </c>
      <c r="V7" s="54">
        <f>IF($O7="","",ROUND(($O7-$O$3)/1000,1)+(_xlfn.RANK.AVG($O7,($J7,$O7,$T7),1)-2)*10)</f>
        <v>-12.2</v>
      </c>
      <c r="W7" s="55">
        <f>IF($T7="","",ROUND(($T7-$T$3)/1000,1)+(_xlfn.RANK.AVG($T7,($J7,$O7,$T7),1)-2)*10)</f>
        <v>11.2</v>
      </c>
      <c r="Y7" s="8" t="s">
        <v>205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2</v>
      </c>
      <c r="D8" s="18">
        <f t="shared" si="1"/>
        <v>2</v>
      </c>
      <c r="E8" s="4" t="str">
        <f>IF($P$1="","",$P$1)</f>
        <v>だいち</v>
      </c>
      <c r="F8" s="8" t="s">
        <v>197</v>
      </c>
      <c r="G8" s="9">
        <v>-6000</v>
      </c>
      <c r="H8" s="9"/>
      <c r="I8" s="48">
        <v>-1000</v>
      </c>
      <c r="J8" s="21">
        <f t="shared" si="2"/>
        <v>27000</v>
      </c>
      <c r="K8" s="8" t="s">
        <v>197</v>
      </c>
      <c r="L8" s="9">
        <v>-6000</v>
      </c>
      <c r="M8" s="9"/>
      <c r="N8" s="48">
        <v>-1000</v>
      </c>
      <c r="O8" s="21">
        <f t="shared" si="3"/>
        <v>25800</v>
      </c>
      <c r="P8" s="8" t="s">
        <v>196</v>
      </c>
      <c r="Q8" s="9">
        <v>12000</v>
      </c>
      <c r="R8" s="9">
        <v>2000</v>
      </c>
      <c r="S8" s="48">
        <v>2000</v>
      </c>
      <c r="T8" s="21">
        <f t="shared" si="4"/>
        <v>52200</v>
      </c>
      <c r="U8" s="53">
        <f>IF($J8="","",ROUND(($J8-$J$3)/1000,1)+(_xlfn.RANK.AVG($J8,($J8,$O8,$T8),1)-2)*10)</f>
        <v>-8</v>
      </c>
      <c r="V8" s="54">
        <f>IF($O8="","",ROUND(($O8-$O$3)/1000,1)+(_xlfn.RANK.AVG($O8,($J8,$O8,$T8),1)-2)*10)</f>
        <v>-19.2</v>
      </c>
      <c r="W8" s="55">
        <f>IF($T8="","",ROUND(($T8-$T$3)/1000,1)+(_xlfn.RANK.AVG($T8,($J8,$O8,$T8),1)-2)*10)</f>
        <v>27.2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198</v>
      </c>
      <c r="BU8" s="40" t="s">
        <v>199</v>
      </c>
      <c r="BV8" s="41" t="s">
        <v>82</v>
      </c>
      <c r="BW8" s="41" t="s">
        <v>83</v>
      </c>
      <c r="BX8" s="41" t="s">
        <v>79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tr">
        <f>IF($P$1="","",$P$1)</f>
        <v>だいち</v>
      </c>
      <c r="F9" s="8" t="s">
        <v>197</v>
      </c>
      <c r="G9" s="9">
        <v>-4500</v>
      </c>
      <c r="H9" s="9">
        <v>-1000</v>
      </c>
      <c r="I9" s="48">
        <v>-1500</v>
      </c>
      <c r="J9" s="21">
        <f t="shared" si="2"/>
        <v>20000</v>
      </c>
      <c r="K9" s="8" t="s">
        <v>196</v>
      </c>
      <c r="L9" s="9">
        <v>12000</v>
      </c>
      <c r="M9" s="9">
        <v>1000</v>
      </c>
      <c r="N9" s="48">
        <v>3000</v>
      </c>
      <c r="O9" s="21">
        <f t="shared" si="3"/>
        <v>41800</v>
      </c>
      <c r="P9" s="8" t="s">
        <v>197</v>
      </c>
      <c r="Q9" s="9">
        <v>-7500</v>
      </c>
      <c r="R9" s="9"/>
      <c r="S9" s="48">
        <v>-1500</v>
      </c>
      <c r="T9" s="21">
        <f t="shared" si="4"/>
        <v>43200</v>
      </c>
      <c r="U9" s="53">
        <f>IF($J9="","",ROUND(($J9-$J$3)/1000,1)+(_xlfn.RANK.AVG($J9,($J9,$O9,$T9),1)-2)*10)</f>
        <v>-25</v>
      </c>
      <c r="V9" s="54">
        <f>IF($O9="","",ROUND(($O9-$O$3)/1000,1)+(_xlfn.RANK.AVG($O9,($J9,$O9,$T9),1)-2)*10)</f>
        <v>6.8</v>
      </c>
      <c r="W9" s="55">
        <f>IF($T9="","",ROUND(($T9-$T$3)/1000,1)+(_xlfn.RANK.AVG($T9,($J9,$O9,$T9),1)-2)*10)</f>
        <v>18.2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198</v>
      </c>
      <c r="AZ9" s="40" t="s">
        <v>199</v>
      </c>
      <c r="BA9" s="41" t="s">
        <v>82</v>
      </c>
      <c r="BB9" s="41" t="s">
        <v>79</v>
      </c>
      <c r="BC9" s="41" t="s">
        <v>79</v>
      </c>
      <c r="BD9" s="41" t="s">
        <v>79</v>
      </c>
      <c r="BE9" s="41" t="s">
        <v>79</v>
      </c>
      <c r="BF9" s="41" t="s">
        <v>201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IF($F$1="","",$F$1)</f>
        <v>りくと</v>
      </c>
      <c r="F10" s="8" t="s">
        <v>202</v>
      </c>
      <c r="G10" s="9">
        <v>7700</v>
      </c>
      <c r="H10" s="9">
        <v>1000</v>
      </c>
      <c r="I10" s="48">
        <v>0</v>
      </c>
      <c r="J10" s="21">
        <f t="shared" si="2"/>
        <v>28700</v>
      </c>
      <c r="K10" s="8"/>
      <c r="L10" s="9"/>
      <c r="M10" s="9">
        <v>-1000</v>
      </c>
      <c r="N10" s="48"/>
      <c r="O10" s="21">
        <f t="shared" si="3"/>
        <v>40800</v>
      </c>
      <c r="P10" s="8" t="s">
        <v>203</v>
      </c>
      <c r="Q10" s="9">
        <v>-7700</v>
      </c>
      <c r="R10" s="9"/>
      <c r="S10" s="48">
        <v>0</v>
      </c>
      <c r="T10" s="21">
        <f t="shared" si="4"/>
        <v>35500</v>
      </c>
      <c r="U10" s="53">
        <f>IF($J10="","",ROUND(($J10-$J$3)/1000,1)+(_xlfn.RANK.AVG($J10,($J10,$O10,$T10),1)-2)*10)</f>
        <v>-16.3</v>
      </c>
      <c r="V10" s="54">
        <f>IF($O10="","",ROUND(($O10-$O$3)/1000,1)+(_xlfn.RANK.AVG($O10,($J10,$O10,$T10),1)-2)*10)</f>
        <v>15.8</v>
      </c>
      <c r="W10" s="55">
        <f>IF($T10="","",ROUND(($T10-$T$3)/1000,1)+(_xlfn.RANK.AVG($T10,($J10,$O10,$T10),1)-2)*10)</f>
        <v>0.5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199</v>
      </c>
      <c r="AF10" s="41" t="s">
        <v>79</v>
      </c>
      <c r="AG10" s="41" t="s">
        <v>201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IF($F$1="","",$F$1)</f>
        <v>りくと</v>
      </c>
      <c r="F11" s="8" t="s">
        <v>197</v>
      </c>
      <c r="G11" s="9">
        <v>-4800</v>
      </c>
      <c r="H11" s="9">
        <v>-1000</v>
      </c>
      <c r="I11" s="48">
        <v>-500</v>
      </c>
      <c r="J11" s="21">
        <f t="shared" si="2"/>
        <v>22400</v>
      </c>
      <c r="K11" s="8" t="s">
        <v>197</v>
      </c>
      <c r="L11" s="9">
        <v>-2900</v>
      </c>
      <c r="M11" s="9"/>
      <c r="N11" s="48">
        <v>-500</v>
      </c>
      <c r="O11" s="21">
        <f t="shared" si="3"/>
        <v>37400</v>
      </c>
      <c r="P11" s="8" t="s">
        <v>196</v>
      </c>
      <c r="Q11" s="9">
        <v>7700</v>
      </c>
      <c r="R11" s="9">
        <v>1000</v>
      </c>
      <c r="S11" s="48">
        <v>1000</v>
      </c>
      <c r="T11" s="21">
        <f t="shared" si="4"/>
        <v>45200</v>
      </c>
      <c r="U11" s="53">
        <f>IF($J11="","",ROUND(($J11-$J$3)/1000,1)+(_xlfn.RANK.AVG($J11,($J11,$O11,$T11),1)-2)*10)</f>
        <v>-22.6</v>
      </c>
      <c r="V11" s="54">
        <f>IF($O11="","",ROUND(($O11-$O$3)/1000,1)+(_xlfn.RANK.AVG($O11,($J11,$O11,$T11),1)-2)*10)</f>
        <v>2.4</v>
      </c>
      <c r="W11" s="55">
        <f>IF($T11="","",ROUND(($T11-$T$3)/1000,1)+(_xlfn.RANK.AVG($T11,($J11,$O11,$T11),1)-2)*10)</f>
        <v>20.2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199</v>
      </c>
      <c r="BV11" s="41" t="s">
        <v>82</v>
      </c>
      <c r="BW11" s="41" t="s">
        <v>84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8196241C-B6A1-4D43-BEFA-DA3CE4F9F86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3408EE27-9086-4E9C-A128-DC272C929CAF}">
      <formula1>"ロン,ツモ,放銃,ツモ支払,流局,チョンボ"</formula1>
    </dataValidation>
    <dataValidation type="list" allowBlank="1" showInputMessage="1" showErrorMessage="1" sqref="E4:E30" xr:uid="{369F0ACE-7E81-437A-B1D8-1954EC908BE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70FD1-9E15-44B7-B7B7-C4D82331033C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 t="s">
        <v>202</v>
      </c>
      <c r="G4" s="9">
        <v>18000</v>
      </c>
      <c r="H4" s="9">
        <v>1000</v>
      </c>
      <c r="I4" s="48">
        <v>0</v>
      </c>
      <c r="J4" s="21">
        <f>IF(COUNTA($F4,$K4,$P4)&gt;0,J3+SUM(G4:I4),"")</f>
        <v>54000</v>
      </c>
      <c r="K4" s="8" t="s">
        <v>203</v>
      </c>
      <c r="L4" s="9">
        <v>-18000</v>
      </c>
      <c r="M4" s="9">
        <v>-1000</v>
      </c>
      <c r="N4" s="48">
        <v>0</v>
      </c>
      <c r="O4" s="21">
        <f>IF(COUNTA($F4,$K4,$P4)&gt;0,O3+SUM(L4:N4),"")</f>
        <v>16000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29</v>
      </c>
      <c r="V4" s="54">
        <f>IF($O4="","",ROUND(($O4-$O$3)/1000,1)+(_xlfn.RANK.AVG($O4,($J4,$O4,$T4),1)-2)*10)</f>
        <v>-29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7</v>
      </c>
      <c r="AD4" s="30" t="s">
        <v>198</v>
      </c>
      <c r="AE4" s="40" t="s">
        <v>199</v>
      </c>
      <c r="AF4" s="41" t="s">
        <v>200</v>
      </c>
      <c r="AG4" s="41" t="s">
        <v>79</v>
      </c>
      <c r="AH4" s="41" t="s">
        <v>79</v>
      </c>
      <c r="AI4" s="41" t="s">
        <v>201</v>
      </c>
      <c r="AJ4" s="41" t="s">
        <v>201</v>
      </c>
      <c r="AK4" s="41" t="s">
        <v>86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206</v>
      </c>
      <c r="G5" s="9">
        <v>0</v>
      </c>
      <c r="H5" s="9"/>
      <c r="I5" s="48"/>
      <c r="J5" s="21">
        <f t="shared" ref="J5:J30" si="2">IF(COUNTA($F5,$K5,$P5)&gt;0,J4+SUM(G5:I5),"")</f>
        <v>54000</v>
      </c>
      <c r="K5" s="8" t="s">
        <v>206</v>
      </c>
      <c r="L5" s="9">
        <v>0</v>
      </c>
      <c r="M5" s="9">
        <v>-1000</v>
      </c>
      <c r="N5" s="48"/>
      <c r="O5" s="21">
        <f t="shared" ref="O5:O30" si="3">IF(COUNTA($F5,$K5,$P5)&gt;0,O4+SUM(L5:N5),"")</f>
        <v>15000</v>
      </c>
      <c r="P5" s="8" t="s">
        <v>206</v>
      </c>
      <c r="Q5" s="9">
        <v>0</v>
      </c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29</v>
      </c>
      <c r="V5" s="54">
        <f>IF($O5="","",ROUND(($O5-$O$3)/1000,1)+(_xlfn.RANK.AVG($O5,($J5,$O5,$T5),1)-2)*10)</f>
        <v>-30</v>
      </c>
      <c r="W5" s="55">
        <f>IF($T5="","",ROUND(($T5-$T$3)/1000,1)+(_xlfn.RANK.AVG($T5,($J5,$O5,$T5),1)-2)*10)</f>
        <v>0</v>
      </c>
      <c r="Y5" s="8" t="s">
        <v>205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IF($F$1="","",$F$1)</f>
        <v>りくと</v>
      </c>
      <c r="F6" s="8" t="s">
        <v>203</v>
      </c>
      <c r="G6" s="9">
        <v>-12000</v>
      </c>
      <c r="H6" s="9"/>
      <c r="I6" s="48">
        <v>-2000</v>
      </c>
      <c r="J6" s="21">
        <f t="shared" si="2"/>
        <v>40000</v>
      </c>
      <c r="K6" s="8"/>
      <c r="L6" s="9"/>
      <c r="M6" s="9"/>
      <c r="N6" s="48"/>
      <c r="O6" s="21">
        <f t="shared" si="3"/>
        <v>15000</v>
      </c>
      <c r="P6" s="8" t="s">
        <v>202</v>
      </c>
      <c r="Q6" s="9">
        <v>12000</v>
      </c>
      <c r="R6" s="9">
        <v>1000</v>
      </c>
      <c r="S6" s="48">
        <v>2000</v>
      </c>
      <c r="T6" s="21">
        <f t="shared" si="4"/>
        <v>50000</v>
      </c>
      <c r="U6" s="53">
        <f>IF($J6="","",ROUND(($J6-$J$3)/1000,1)+(_xlfn.RANK.AVG($J6,($J6,$O6,$T6),1)-2)*10)</f>
        <v>5</v>
      </c>
      <c r="V6" s="54">
        <f>IF($O6="","",ROUND(($O6-$O$3)/1000,1)+(_xlfn.RANK.AVG($O6,($J6,$O6,$T6),1)-2)*10)</f>
        <v>-30</v>
      </c>
      <c r="W6" s="55">
        <f>IF($T6="","",ROUND(($T6-$T$3)/1000,1)+(_xlfn.RANK.AVG($T6,($J6,$O6,$T6),1)-2)*10)</f>
        <v>25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6</v>
      </c>
      <c r="BT6" s="30" t="s">
        <v>198</v>
      </c>
      <c r="BU6" s="40" t="s">
        <v>104</v>
      </c>
      <c r="BV6" s="41" t="s">
        <v>98</v>
      </c>
      <c r="BW6" s="41" t="s">
        <v>86</v>
      </c>
      <c r="BX6" s="41" t="s">
        <v>201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ただ</v>
      </c>
      <c r="F7" s="8" t="s">
        <v>197</v>
      </c>
      <c r="G7" s="9">
        <v>-6000</v>
      </c>
      <c r="H7" s="9"/>
      <c r="I7" s="48">
        <v>0</v>
      </c>
      <c r="J7" s="21">
        <f t="shared" si="2"/>
        <v>34000</v>
      </c>
      <c r="K7" s="8" t="s">
        <v>196</v>
      </c>
      <c r="L7" s="9">
        <v>12000</v>
      </c>
      <c r="M7" s="9">
        <v>1000</v>
      </c>
      <c r="N7" s="48">
        <v>0</v>
      </c>
      <c r="O7" s="21">
        <f t="shared" si="3"/>
        <v>28000</v>
      </c>
      <c r="P7" s="8" t="s">
        <v>197</v>
      </c>
      <c r="Q7" s="9">
        <v>-6000</v>
      </c>
      <c r="R7" s="9">
        <v>-1000</v>
      </c>
      <c r="S7" s="48">
        <v>0</v>
      </c>
      <c r="T7" s="21">
        <f t="shared" si="4"/>
        <v>43000</v>
      </c>
      <c r="U7" s="53">
        <f>IF($J7="","",ROUND(($J7-$J$3)/1000,1)+(_xlfn.RANK.AVG($J7,($J7,$O7,$T7),1)-2)*10)</f>
        <v>-1</v>
      </c>
      <c r="V7" s="54">
        <f>IF($O7="","",ROUND(($O7-$O$3)/1000,1)+(_xlfn.RANK.AVG($O7,($J7,$O7,$T7),1)-2)*10)</f>
        <v>-17</v>
      </c>
      <c r="W7" s="55">
        <f>IF($T7="","",ROUND(($T7-$T$3)/1000,1)+(_xlfn.RANK.AVG($T7,($J7,$O7,$T7),1)-2)*10)</f>
        <v>18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198</v>
      </c>
      <c r="AZ7" s="40" t="s">
        <v>82</v>
      </c>
      <c r="BA7" s="41" t="s">
        <v>85</v>
      </c>
      <c r="BB7" s="41" t="s">
        <v>201</v>
      </c>
      <c r="BC7" s="41" t="s">
        <v>201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tr">
        <f>IF($K$1="","",$K$1)</f>
        <v>ただ</v>
      </c>
      <c r="F8" s="8" t="s">
        <v>197</v>
      </c>
      <c r="G8" s="9">
        <v>-6000</v>
      </c>
      <c r="H8" s="9">
        <v>-1000</v>
      </c>
      <c r="I8" s="48">
        <v>-500</v>
      </c>
      <c r="J8" s="21">
        <f t="shared" si="2"/>
        <v>26500</v>
      </c>
      <c r="K8" s="8" t="s">
        <v>197</v>
      </c>
      <c r="L8" s="9">
        <v>-10000</v>
      </c>
      <c r="M8" s="9"/>
      <c r="N8" s="48">
        <v>-500</v>
      </c>
      <c r="O8" s="21">
        <f t="shared" si="3"/>
        <v>17500</v>
      </c>
      <c r="P8" s="8" t="s">
        <v>196</v>
      </c>
      <c r="Q8" s="9">
        <v>16000</v>
      </c>
      <c r="R8" s="9">
        <v>1000</v>
      </c>
      <c r="S8" s="48">
        <v>1000</v>
      </c>
      <c r="T8" s="21">
        <f t="shared" si="4"/>
        <v>61000</v>
      </c>
      <c r="U8" s="53">
        <f>IF($J8="","",ROUND(($J8-$J$3)/1000,1)+(_xlfn.RANK.AVG($J8,($J8,$O8,$T8),1)-2)*10)</f>
        <v>-8.5</v>
      </c>
      <c r="V8" s="54">
        <f>IF($O8="","",ROUND(($O8-$O$3)/1000,1)+(_xlfn.RANK.AVG($O8,($J8,$O8,$T8),1)-2)*10)</f>
        <v>-27.5</v>
      </c>
      <c r="W8" s="55">
        <f>IF($T8="","",ROUND(($T8-$T$3)/1000,1)+(_xlfn.RANK.AVG($T8,($J8,$O8,$T8),1)-2)*10)</f>
        <v>36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9</v>
      </c>
      <c r="BT8" s="30" t="s">
        <v>198</v>
      </c>
      <c r="BU8" s="40" t="s">
        <v>82</v>
      </c>
      <c r="BV8" s="41" t="s">
        <v>104</v>
      </c>
      <c r="BW8" s="41" t="s">
        <v>86</v>
      </c>
      <c r="BX8" s="41" t="s">
        <v>86</v>
      </c>
      <c r="BY8" s="41" t="s">
        <v>86</v>
      </c>
      <c r="BZ8" s="41" t="s">
        <v>96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196</v>
      </c>
      <c r="G9" s="9">
        <v>5300</v>
      </c>
      <c r="H9" s="9"/>
      <c r="I9" s="48">
        <v>0</v>
      </c>
      <c r="J9" s="21">
        <f t="shared" si="2"/>
        <v>31800</v>
      </c>
      <c r="K9" s="8" t="s">
        <v>197</v>
      </c>
      <c r="L9" s="9">
        <v>-2000</v>
      </c>
      <c r="M9" s="9"/>
      <c r="N9" s="48">
        <v>0</v>
      </c>
      <c r="O9" s="21">
        <f t="shared" si="3"/>
        <v>15500</v>
      </c>
      <c r="P9" s="8" t="s">
        <v>197</v>
      </c>
      <c r="Q9" s="9">
        <v>-3300</v>
      </c>
      <c r="R9" s="9"/>
      <c r="S9" s="48">
        <v>0</v>
      </c>
      <c r="T9" s="21">
        <f t="shared" si="4"/>
        <v>57700</v>
      </c>
      <c r="U9" s="53">
        <f>IF($J9="","",ROUND(($J9-$J$3)/1000,1)+(_xlfn.RANK.AVG($J9,($J9,$O9,$T9),1)-2)*10)</f>
        <v>-3.2</v>
      </c>
      <c r="V9" s="54">
        <f>IF($O9="","",ROUND(($O9-$O$3)/1000,1)+(_xlfn.RANK.AVG($O9,($J9,$O9,$T9),1)-2)*10)</f>
        <v>-29.5</v>
      </c>
      <c r="W9" s="55">
        <f>IF($T9="","",ROUND(($T9-$T$3)/1000,1)+(_xlfn.RANK.AVG($T9,($J9,$O9,$T9),1)-2)*10)</f>
        <v>32.700000000000003</v>
      </c>
      <c r="Y9" s="8"/>
      <c r="Z9" s="34"/>
      <c r="AA9" s="26">
        <v>1</v>
      </c>
      <c r="AB9" s="26"/>
      <c r="AC9" s="26">
        <v>4</v>
      </c>
      <c r="AD9" s="30">
        <v>20</v>
      </c>
      <c r="AE9" s="40" t="s">
        <v>199</v>
      </c>
      <c r="AF9" s="41" t="s">
        <v>82</v>
      </c>
      <c r="AG9" s="41" t="s">
        <v>83</v>
      </c>
      <c r="AH9" s="41" t="s">
        <v>201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りくと</v>
      </c>
      <c r="F10" s="8" t="s">
        <v>197</v>
      </c>
      <c r="G10" s="9">
        <v>-10000</v>
      </c>
      <c r="H10" s="9"/>
      <c r="I10" s="48">
        <v>0</v>
      </c>
      <c r="J10" s="21">
        <f t="shared" si="2"/>
        <v>21800</v>
      </c>
      <c r="K10" s="8" t="s">
        <v>197</v>
      </c>
      <c r="L10" s="9">
        <v>-6000</v>
      </c>
      <c r="M10" s="9">
        <v>-1000</v>
      </c>
      <c r="N10" s="48">
        <v>0</v>
      </c>
      <c r="O10" s="21">
        <f t="shared" si="3"/>
        <v>8500</v>
      </c>
      <c r="P10" s="8" t="s">
        <v>196</v>
      </c>
      <c r="Q10" s="9">
        <v>16000</v>
      </c>
      <c r="R10" s="9">
        <v>1000</v>
      </c>
      <c r="S10" s="48">
        <v>0</v>
      </c>
      <c r="T10" s="21">
        <f t="shared" si="4"/>
        <v>74700</v>
      </c>
      <c r="U10" s="53">
        <f>IF($J10="","",ROUND(($J10-$J$3)/1000,1)+(_xlfn.RANK.AVG($J10,($J10,$O10,$T10),1)-2)*10)</f>
        <v>-13.2</v>
      </c>
      <c r="V10" s="54">
        <f>IF($O10="","",ROUND(($O10-$O$3)/1000,1)+(_xlfn.RANK.AVG($O10,($J10,$O10,$T10),1)-2)*10)</f>
        <v>-36.5</v>
      </c>
      <c r="W10" s="55">
        <f>IF($T10="","",ROUND(($T10-$T$3)/1000,1)+(_xlfn.RANK.AVG($T10,($J10,$O10,$T10),1)-2)*10)</f>
        <v>49.7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8</v>
      </c>
      <c r="BT10" s="30" t="s">
        <v>198</v>
      </c>
      <c r="BU10" s="40" t="s">
        <v>199</v>
      </c>
      <c r="BV10" s="41" t="s">
        <v>82</v>
      </c>
      <c r="BW10" s="41" t="s">
        <v>201</v>
      </c>
      <c r="BX10" s="41" t="s">
        <v>96</v>
      </c>
      <c r="BY10" s="41" t="s">
        <v>86</v>
      </c>
      <c r="BZ10" s="41" t="s">
        <v>80</v>
      </c>
      <c r="CA10" s="41" t="s">
        <v>80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ただ</v>
      </c>
      <c r="F11" s="8" t="s">
        <v>197</v>
      </c>
      <c r="G11" s="9">
        <v>-12000</v>
      </c>
      <c r="H11" s="9"/>
      <c r="I11" s="48">
        <v>0</v>
      </c>
      <c r="J11" s="21">
        <f t="shared" si="2"/>
        <v>9800</v>
      </c>
      <c r="K11" s="8" t="s">
        <v>196</v>
      </c>
      <c r="L11" s="9">
        <v>24000</v>
      </c>
      <c r="M11" s="9">
        <v>1000</v>
      </c>
      <c r="N11" s="48">
        <v>0</v>
      </c>
      <c r="O11" s="21">
        <f t="shared" si="3"/>
        <v>33500</v>
      </c>
      <c r="P11" s="8" t="s">
        <v>197</v>
      </c>
      <c r="Q11" s="9">
        <v>-12000</v>
      </c>
      <c r="R11" s="9">
        <v>-1000</v>
      </c>
      <c r="S11" s="48">
        <v>0</v>
      </c>
      <c r="T11" s="21">
        <f t="shared" si="4"/>
        <v>61700</v>
      </c>
      <c r="U11" s="53">
        <f>IF($J11="","",ROUND(($J11-$J$3)/1000,1)+(_xlfn.RANK.AVG($J11,($J11,$O11,$T11),1)-2)*10)</f>
        <v>-35.200000000000003</v>
      </c>
      <c r="V11" s="54">
        <f>IF($O11="","",ROUND(($O11-$O$3)/1000,1)+(_xlfn.RANK.AVG($O11,($J11,$O11,$T11),1)-2)*10)</f>
        <v>-1.5</v>
      </c>
      <c r="W11" s="55">
        <f>IF($T11="","",ROUND(($T11-$T$3)/1000,1)+(_xlfn.RANK.AVG($T11,($J11,$O11,$T11),1)-2)*10)</f>
        <v>36.700000000000003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8</v>
      </c>
      <c r="AY11" s="30" t="s">
        <v>198</v>
      </c>
      <c r="AZ11" s="40" t="s">
        <v>199</v>
      </c>
      <c r="BA11" s="41" t="s">
        <v>82</v>
      </c>
      <c r="BB11" s="41" t="s">
        <v>200</v>
      </c>
      <c r="BC11" s="41" t="s">
        <v>201</v>
      </c>
      <c r="BD11" s="41" t="s">
        <v>80</v>
      </c>
      <c r="BE11" s="41" t="s">
        <v>79</v>
      </c>
      <c r="BF11" s="41" t="s">
        <v>79</v>
      </c>
      <c r="BG11" s="41" t="s">
        <v>79</v>
      </c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ただ</v>
      </c>
      <c r="F12" s="8" t="s">
        <v>203</v>
      </c>
      <c r="G12" s="9">
        <v>-2600</v>
      </c>
      <c r="H12" s="9"/>
      <c r="I12" s="48">
        <v>-1000</v>
      </c>
      <c r="J12" s="21">
        <f t="shared" si="2"/>
        <v>6200</v>
      </c>
      <c r="K12" s="8"/>
      <c r="L12" s="9"/>
      <c r="M12" s="9"/>
      <c r="N12" s="48"/>
      <c r="O12" s="21">
        <f t="shared" si="3"/>
        <v>33500</v>
      </c>
      <c r="P12" s="8" t="s">
        <v>202</v>
      </c>
      <c r="Q12" s="9">
        <v>2600</v>
      </c>
      <c r="R12" s="9"/>
      <c r="S12" s="48">
        <v>1000</v>
      </c>
      <c r="T12" s="21">
        <f t="shared" si="4"/>
        <v>65300</v>
      </c>
      <c r="U12" s="53">
        <f>IF($J12="","",ROUND(($J12-$J$3)/1000,1)+(_xlfn.RANK.AVG($J12,($J12,$O12,$T12),1)-2)*10)</f>
        <v>-38.799999999999997</v>
      </c>
      <c r="V12" s="54">
        <f>IF($O12="","",ROUND(($O12-$O$3)/1000,1)+(_xlfn.RANK.AVG($O12,($J12,$O12,$T12),1)-2)*10)</f>
        <v>-1.5</v>
      </c>
      <c r="W12" s="55">
        <f>IF($T12="","",ROUND(($T12-$T$3)/1000,1)+(_xlfn.RANK.AVG($T12,($J12,$O12,$T12),1)-2)*10)</f>
        <v>40.299999999999997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2</v>
      </c>
      <c r="BT12" s="30">
        <v>40</v>
      </c>
      <c r="BU12" s="40" t="s">
        <v>199</v>
      </c>
      <c r="BV12" s="41" t="s">
        <v>79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 t="s">
        <v>203</v>
      </c>
      <c r="G13" s="9">
        <v>-2000</v>
      </c>
      <c r="H13" s="9"/>
      <c r="I13" s="48">
        <v>0</v>
      </c>
      <c r="J13" s="21">
        <f t="shared" si="2"/>
        <v>4200</v>
      </c>
      <c r="K13" s="8"/>
      <c r="L13" s="9"/>
      <c r="M13" s="9">
        <v>-1000</v>
      </c>
      <c r="N13" s="48"/>
      <c r="O13" s="21">
        <f t="shared" si="3"/>
        <v>32500</v>
      </c>
      <c r="P13" s="8" t="s">
        <v>202</v>
      </c>
      <c r="Q13" s="9">
        <v>2000</v>
      </c>
      <c r="R13" s="9">
        <v>1000</v>
      </c>
      <c r="S13" s="48">
        <v>0</v>
      </c>
      <c r="T13" s="21">
        <f t="shared" si="4"/>
        <v>68300</v>
      </c>
      <c r="U13" s="53">
        <f>IF($J13="","",ROUND(($J13-$J$3)/1000,1)+(_xlfn.RANK.AVG($J13,($J13,$O13,$T13),1)-2)*10)</f>
        <v>-40.799999999999997</v>
      </c>
      <c r="V13" s="54">
        <f>IF($O13="","",ROUND(($O13-$O$3)/1000,1)+(_xlfn.RANK.AVG($O13,($J13,$O13,$T13),1)-2)*10)</f>
        <v>-2.5</v>
      </c>
      <c r="W13" s="55">
        <f>IF($T13="","",ROUND(($T13-$T$3)/1000,1)+(_xlfn.RANK.AVG($T13,($J13,$O13,$T13),1)-2)*10)</f>
        <v>43.3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1</v>
      </c>
      <c r="BT13" s="30">
        <v>40</v>
      </c>
      <c r="BU13" s="40" t="s">
        <v>86</v>
      </c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7E61477B-D151-4D18-A6D3-837D38D09D26}">
      <formula1>$U$2:$W$2</formula1>
    </dataValidation>
    <dataValidation type="list" showInputMessage="1" showErrorMessage="1" sqref="K4:K30 P4:P30 F4:F30" xr:uid="{6780B531-1269-4D8F-8132-6EC3DB2E15BB}">
      <formula1>"ロン,ツモ,放銃,ツモ支払,流局,チョンボ"</formula1>
    </dataValidation>
    <dataValidation type="list" allowBlank="1" showInputMessage="1" sqref="F1:T1" xr:uid="{CAB348D4-CD9D-4D84-AC63-5AC6F214107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B4197-3855-4035-A820-6C1C2E3F70C3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197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197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196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-11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198</v>
      </c>
      <c r="BU4" s="40" t="s">
        <v>199</v>
      </c>
      <c r="BV4" s="41" t="s">
        <v>82</v>
      </c>
      <c r="BW4" s="41" t="s">
        <v>200</v>
      </c>
      <c r="BX4" s="41" t="s">
        <v>83</v>
      </c>
      <c r="BY4" s="41" t="s">
        <v>201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197</v>
      </c>
      <c r="G5" s="9">
        <v>-500</v>
      </c>
      <c r="H5" s="9"/>
      <c r="I5" s="48">
        <v>-500</v>
      </c>
      <c r="J5" s="21">
        <f t="shared" ref="J5:J30" si="2">IF(COUNTA($F5,$K5,$P5)&gt;0,J4+SUM(G5:I5),"")</f>
        <v>28000</v>
      </c>
      <c r="K5" s="8" t="s">
        <v>196</v>
      </c>
      <c r="L5" s="9">
        <v>1200</v>
      </c>
      <c r="M5" s="9"/>
      <c r="N5" s="48">
        <v>1000</v>
      </c>
      <c r="O5" s="21">
        <f t="shared" ref="O5:O30" si="3">IF(COUNTA($F5,$K5,$P5)&gt;0,O4+SUM(L5:N5),"")</f>
        <v>31200</v>
      </c>
      <c r="P5" s="8" t="s">
        <v>197</v>
      </c>
      <c r="Q5" s="9">
        <v>-700</v>
      </c>
      <c r="R5" s="9"/>
      <c r="S5" s="48">
        <v>-500</v>
      </c>
      <c r="T5" s="21">
        <f t="shared" ref="T5:T30" si="4">IF(COUNTA($F5,$K5,$P5)&gt;0,T4+SUM(Q5:S5),"")</f>
        <v>45800</v>
      </c>
      <c r="U5" s="53">
        <f>IF($J5="","",ROUND(($J5-$J$3)/1000,1)+(_xlfn.RANK.AVG($J5,($J5,$O5,$T5),1)-2)*10)</f>
        <v>-17</v>
      </c>
      <c r="V5" s="54">
        <f>IF($O5="","",ROUND(($O5-$O$3)/1000,1)+(_xlfn.RANK.AVG($O5,($J5,$O5,$T5),1)-2)*10)</f>
        <v>-3.8</v>
      </c>
      <c r="W5" s="55">
        <f>IF($T5="","",ROUND(($T5-$T$3)/1000,1)+(_xlfn.RANK.AVG($T5,($J5,$O5,$T5),1)-2)*10)</f>
        <v>20.8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30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197</v>
      </c>
      <c r="G6" s="9">
        <v>-20000</v>
      </c>
      <c r="H6" s="9"/>
      <c r="I6" s="48">
        <v>0</v>
      </c>
      <c r="J6" s="21">
        <f t="shared" si="2"/>
        <v>8000</v>
      </c>
      <c r="K6" s="8" t="s">
        <v>197</v>
      </c>
      <c r="L6" s="9">
        <v>-12000</v>
      </c>
      <c r="M6" s="9"/>
      <c r="N6" s="48">
        <v>0</v>
      </c>
      <c r="O6" s="21">
        <f t="shared" si="3"/>
        <v>19200</v>
      </c>
      <c r="P6" s="8" t="s">
        <v>196</v>
      </c>
      <c r="Q6" s="9">
        <v>32000</v>
      </c>
      <c r="R6" s="9"/>
      <c r="S6" s="48">
        <v>0</v>
      </c>
      <c r="T6" s="21">
        <f t="shared" si="4"/>
        <v>77800</v>
      </c>
      <c r="U6" s="53">
        <f>IF($J6="","",ROUND(($J6-$J$3)/1000,1)+(_xlfn.RANK.AVG($J6,($J6,$O6,$T6),1)-2)*10)</f>
        <v>-37</v>
      </c>
      <c r="V6" s="54">
        <f>IF($O6="","",ROUND(($O6-$O$3)/1000,1)+(_xlfn.RANK.AVG($O6,($J6,$O6,$T6),1)-2)*10)</f>
        <v>-15.8</v>
      </c>
      <c r="W6" s="55">
        <f>IF($T6="","",ROUND(($T6-$T$3)/1000,1)+(_xlfn.RANK.AVG($T6,($J6,$O6,$T6),1)-2)*10)</f>
        <v>52.8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13</v>
      </c>
      <c r="BT6" s="30" t="s">
        <v>198</v>
      </c>
      <c r="BU6" s="40" t="s">
        <v>113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ただ</v>
      </c>
      <c r="F7" s="8" t="s">
        <v>197</v>
      </c>
      <c r="G7" s="9">
        <v>-3000</v>
      </c>
      <c r="H7" s="9"/>
      <c r="I7" s="48">
        <v>0</v>
      </c>
      <c r="J7" s="21">
        <f t="shared" si="2"/>
        <v>5000</v>
      </c>
      <c r="K7" s="8" t="s">
        <v>197</v>
      </c>
      <c r="L7" s="9">
        <v>-5000</v>
      </c>
      <c r="M7" s="9"/>
      <c r="N7" s="48">
        <v>0</v>
      </c>
      <c r="O7" s="21">
        <f t="shared" si="3"/>
        <v>14200</v>
      </c>
      <c r="P7" s="8" t="s">
        <v>196</v>
      </c>
      <c r="Q7" s="9">
        <v>8000</v>
      </c>
      <c r="R7" s="9"/>
      <c r="S7" s="48">
        <v>0</v>
      </c>
      <c r="T7" s="21">
        <f t="shared" si="4"/>
        <v>85800</v>
      </c>
      <c r="U7" s="53">
        <f>IF($J7="","",ROUND(($J7-$J$3)/1000,1)+(_xlfn.RANK.AVG($J7,($J7,$O7,$T7),1)-2)*10)</f>
        <v>-40</v>
      </c>
      <c r="V7" s="54">
        <f>IF($O7="","",ROUND(($O7-$O$3)/1000,1)+(_xlfn.RANK.AVG($O7,($J7,$O7,$T7),1)-2)*10)</f>
        <v>-20.8</v>
      </c>
      <c r="W7" s="55">
        <f>IF($T7="","",ROUND(($T7-$T$3)/1000,1)+(_xlfn.RANK.AVG($T7,($J7,$O7,$T7),1)-2)*10)</f>
        <v>60.8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198</v>
      </c>
      <c r="BU7" s="40" t="s">
        <v>199</v>
      </c>
      <c r="BV7" s="41" t="s">
        <v>82</v>
      </c>
      <c r="BW7" s="41" t="s">
        <v>83</v>
      </c>
      <c r="BX7" s="41" t="s">
        <v>85</v>
      </c>
      <c r="BY7" s="41" t="s">
        <v>84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206</v>
      </c>
      <c r="G8" s="9">
        <v>0</v>
      </c>
      <c r="H8" s="9">
        <v>-1000</v>
      </c>
      <c r="I8" s="48"/>
      <c r="J8" s="21">
        <f t="shared" si="2"/>
        <v>4000</v>
      </c>
      <c r="K8" s="8" t="s">
        <v>206</v>
      </c>
      <c r="L8" s="9">
        <v>0</v>
      </c>
      <c r="M8" s="9"/>
      <c r="N8" s="48"/>
      <c r="O8" s="21">
        <f t="shared" si="3"/>
        <v>14200</v>
      </c>
      <c r="P8" s="8" t="s">
        <v>206</v>
      </c>
      <c r="Q8" s="9">
        <v>0</v>
      </c>
      <c r="R8" s="9"/>
      <c r="S8" s="48"/>
      <c r="T8" s="21">
        <f t="shared" si="4"/>
        <v>85800</v>
      </c>
      <c r="U8" s="53">
        <f>IF($J8="","",ROUND(($J8-$J$3)/1000,1)+(_xlfn.RANK.AVG($J8,($J8,$O8,$T8),1)-2)*10)</f>
        <v>-41</v>
      </c>
      <c r="V8" s="54">
        <f>IF($O8="","",ROUND(($O8-$O$3)/1000,1)+(_xlfn.RANK.AVG($O8,($J8,$O8,$T8),1)-2)*10)</f>
        <v>-20.8</v>
      </c>
      <c r="W8" s="55">
        <f>IF($T8="","",ROUND(($T8-$T$3)/1000,1)+(_xlfn.RANK.AVG($T8,($J8,$O8,$T8),1)-2)*10)</f>
        <v>60.8</v>
      </c>
      <c r="Y8" s="8" t="s">
        <v>205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tr">
        <f>IF($P$1="","",$P$1)</f>
        <v>だいち</v>
      </c>
      <c r="F9" s="8" t="s">
        <v>197</v>
      </c>
      <c r="G9" s="9">
        <v>-3000</v>
      </c>
      <c r="H9" s="9"/>
      <c r="I9" s="48">
        <v>-500</v>
      </c>
      <c r="J9" s="21">
        <f t="shared" si="2"/>
        <v>500</v>
      </c>
      <c r="K9" s="8" t="s">
        <v>196</v>
      </c>
      <c r="L9" s="9">
        <v>8000</v>
      </c>
      <c r="M9" s="9">
        <v>1000</v>
      </c>
      <c r="N9" s="48">
        <v>1000</v>
      </c>
      <c r="O9" s="21">
        <f t="shared" si="3"/>
        <v>24200</v>
      </c>
      <c r="P9" s="8" t="s">
        <v>197</v>
      </c>
      <c r="Q9" s="9">
        <v>-5000</v>
      </c>
      <c r="R9" s="9"/>
      <c r="S9" s="48">
        <v>-500</v>
      </c>
      <c r="T9" s="21">
        <f t="shared" si="4"/>
        <v>80300</v>
      </c>
      <c r="U9" s="53">
        <f>IF($J9="","",ROUND(($J9-$J$3)/1000,1)+(_xlfn.RANK.AVG($J9,($J9,$O9,$T9),1)-2)*10)</f>
        <v>-44.5</v>
      </c>
      <c r="V9" s="54">
        <f>IF($O9="","",ROUND(($O9-$O$3)/1000,1)+(_xlfn.RANK.AVG($O9,($J9,$O9,$T9),1)-2)*10)</f>
        <v>-10.8</v>
      </c>
      <c r="W9" s="55">
        <f>IF($T9="","",ROUND(($T9-$T$3)/1000,1)+(_xlfn.RANK.AVG($T9,($J9,$O9,$T9),1)-2)*10)</f>
        <v>55.3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104</v>
      </c>
      <c r="BA9" s="41" t="s">
        <v>86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りくと</v>
      </c>
      <c r="F10" s="8" t="s">
        <v>206</v>
      </c>
      <c r="G10" s="9">
        <v>-3000</v>
      </c>
      <c r="H10" s="9"/>
      <c r="I10" s="48"/>
      <c r="J10" s="21">
        <f t="shared" si="2"/>
        <v>-2500</v>
      </c>
      <c r="K10" s="8" t="s">
        <v>206</v>
      </c>
      <c r="L10" s="9">
        <v>1500</v>
      </c>
      <c r="M10" s="9"/>
      <c r="N10" s="48"/>
      <c r="O10" s="21">
        <f t="shared" si="3"/>
        <v>25700</v>
      </c>
      <c r="P10" s="8" t="s">
        <v>206</v>
      </c>
      <c r="Q10" s="9">
        <v>1500</v>
      </c>
      <c r="R10" s="9"/>
      <c r="S10" s="48"/>
      <c r="T10" s="21">
        <f t="shared" si="4"/>
        <v>81800</v>
      </c>
      <c r="U10" s="53">
        <f>IF($J10="","",ROUND(($J10-$J$3)/1000,1)+(_xlfn.RANK.AVG($J10,($J10,$O10,$T10),1)-2)*10)</f>
        <v>-47.5</v>
      </c>
      <c r="V10" s="54">
        <f>IF($O10="","",ROUND(($O10-$O$3)/1000,1)+(_xlfn.RANK.AVG($O10,($J10,$O10,$T10),1)-2)*10)</f>
        <v>-9.3000000000000007</v>
      </c>
      <c r="W10" s="55">
        <f>IF($T10="","",ROUND(($T10-$T$3)/1000,1)+(_xlfn.RANK.AVG($T10,($J10,$O10,$T10),1)-2)*10)</f>
        <v>56.8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8C07E2B2-81FE-44F3-8B9A-6DA65740D6C3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E2E1603B-4A6B-48DD-8271-7E9F28E1A5E8}">
      <formula1>"ロン,ツモ,放銃,ツモ支払,流局,チョンボ"</formula1>
    </dataValidation>
    <dataValidation type="list" allowBlank="1" showInputMessage="1" showErrorMessage="1" sqref="E4:E30" xr:uid="{A94CC3C9-21EF-469F-824E-A5A9203B2BC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6C8A9-3B3A-4C3C-9FEE-FB403099D5AB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 t="s">
        <v>197</v>
      </c>
      <c r="G4" s="9">
        <v>-5000</v>
      </c>
      <c r="H4" s="9">
        <v>-1000</v>
      </c>
      <c r="I4" s="48">
        <v>0</v>
      </c>
      <c r="J4" s="21">
        <f>IF(COUNTA($F4,$K4,$P4)&gt;0,J3+SUM(G4:I4),"")</f>
        <v>29000</v>
      </c>
      <c r="K4" s="8" t="s">
        <v>196</v>
      </c>
      <c r="L4" s="9">
        <v>8000</v>
      </c>
      <c r="M4" s="9">
        <v>2000</v>
      </c>
      <c r="N4" s="48">
        <v>0</v>
      </c>
      <c r="O4" s="21">
        <f>IF(COUNTA($F4,$K4,$P4)&gt;0,O3+SUM(L4:N4),"")</f>
        <v>45000</v>
      </c>
      <c r="P4" s="8" t="s">
        <v>197</v>
      </c>
      <c r="Q4" s="9">
        <v>-3000</v>
      </c>
      <c r="R4" s="9">
        <v>-1000</v>
      </c>
      <c r="S4" s="48">
        <v>0</v>
      </c>
      <c r="T4" s="21">
        <f>IF(COUNTA($F4,$K4,$P4)&gt;0,T3+SUM(Q4:S4),"")</f>
        <v>31000</v>
      </c>
      <c r="U4" s="53">
        <f>IF($J4="","",ROUND(($J4-$J$3)/1000,1)+(_xlfn.RANK.AVG($J4,($J4,$O4,$T4),1)-2)*10)</f>
        <v>-16</v>
      </c>
      <c r="V4" s="54">
        <f>IF($O4="","",ROUND(($O4-$O$3)/1000,1)+(_xlfn.RANK.AVG($O4,($J4,$O4,$T4),1)-2)*10)</f>
        <v>20</v>
      </c>
      <c r="W4" s="55">
        <f>IF($T4="","",ROUND(($T4-$T$3)/1000,1)+(_xlfn.RANK.AVG($T4,($J4,$O4,$T4),1)-2)*10)</f>
        <v>-4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198</v>
      </c>
      <c r="AZ4" s="40" t="s">
        <v>199</v>
      </c>
      <c r="BA4" s="41" t="s">
        <v>86</v>
      </c>
      <c r="BB4" s="41" t="s">
        <v>201</v>
      </c>
      <c r="BC4" s="41" t="s">
        <v>201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203</v>
      </c>
      <c r="G5" s="9">
        <v>-2600</v>
      </c>
      <c r="H5" s="9"/>
      <c r="I5" s="48">
        <v>0</v>
      </c>
      <c r="J5" s="21">
        <f t="shared" ref="J5:J30" si="2">IF(COUNTA($F5,$K5,$P5)&gt;0,J4+SUM(G5:I5),"")</f>
        <v>26400</v>
      </c>
      <c r="K5" s="8"/>
      <c r="L5" s="9"/>
      <c r="M5" s="9"/>
      <c r="N5" s="48"/>
      <c r="O5" s="21">
        <f t="shared" ref="O5:O30" si="3">IF(COUNTA($F5,$K5,$P5)&gt;0,O4+SUM(L5:N5),"")</f>
        <v>45000</v>
      </c>
      <c r="P5" s="8" t="s">
        <v>202</v>
      </c>
      <c r="Q5" s="9">
        <v>2600</v>
      </c>
      <c r="R5" s="9"/>
      <c r="S5" s="48">
        <v>0</v>
      </c>
      <c r="T5" s="21">
        <f t="shared" ref="T5:T30" si="4">IF(COUNTA($F5,$K5,$P5)&gt;0,T4+SUM(Q5:S5),"")</f>
        <v>33600</v>
      </c>
      <c r="U5" s="53">
        <f>IF($J5="","",ROUND(($J5-$J$3)/1000,1)+(_xlfn.RANK.AVG($J5,($J5,$O5,$T5),1)-2)*10)</f>
        <v>-18.600000000000001</v>
      </c>
      <c r="V5" s="54">
        <f>IF($O5="","",ROUND(($O5-$O$3)/1000,1)+(_xlfn.RANK.AVG($O5,($J5,$O5,$T5),1)-2)*10)</f>
        <v>20</v>
      </c>
      <c r="W5" s="55">
        <f>IF($T5="","",ROUND(($T5-$T$3)/1000,1)+(_xlfn.RANK.AVG($T5,($J5,$O5,$T5),1)-2)*10)</f>
        <v>-1.4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40</v>
      </c>
      <c r="BU5" s="40" t="s">
        <v>199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-6000</v>
      </c>
      <c r="H6" s="9"/>
      <c r="I6" s="48">
        <v>0</v>
      </c>
      <c r="J6" s="21">
        <f t="shared" si="2"/>
        <v>20400</v>
      </c>
      <c r="K6" s="8" t="s">
        <v>197</v>
      </c>
      <c r="L6" s="9">
        <v>-6000</v>
      </c>
      <c r="M6" s="9"/>
      <c r="N6" s="48">
        <v>0</v>
      </c>
      <c r="O6" s="21">
        <f t="shared" si="3"/>
        <v>39000</v>
      </c>
      <c r="P6" s="8" t="s">
        <v>196</v>
      </c>
      <c r="Q6" s="9">
        <v>12000</v>
      </c>
      <c r="R6" s="9"/>
      <c r="S6" s="48">
        <v>0</v>
      </c>
      <c r="T6" s="21">
        <f t="shared" si="4"/>
        <v>45600</v>
      </c>
      <c r="U6" s="53">
        <f>IF($J6="","",ROUND(($J6-$J$3)/1000,1)+(_xlfn.RANK.AVG($J6,($J6,$O6,$T6),1)-2)*10)</f>
        <v>-24.6</v>
      </c>
      <c r="V6" s="54">
        <f>IF($O6="","",ROUND(($O6-$O$3)/1000,1)+(_xlfn.RANK.AVG($O6,($J6,$O6,$T6),1)-2)*10)</f>
        <v>4</v>
      </c>
      <c r="W6" s="55">
        <f>IF($T6="","",ROUND(($T6-$T$3)/1000,1)+(_xlfn.RANK.AVG($T6,($J6,$O6,$T6),1)-2)*10)</f>
        <v>20.6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198</v>
      </c>
      <c r="BU6" s="40" t="s">
        <v>199</v>
      </c>
      <c r="BV6" s="41" t="s">
        <v>82</v>
      </c>
      <c r="BW6" s="41" t="s">
        <v>83</v>
      </c>
      <c r="BX6" s="41" t="s">
        <v>84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202</v>
      </c>
      <c r="G7" s="9">
        <v>7700</v>
      </c>
      <c r="H7" s="9">
        <v>1000</v>
      </c>
      <c r="I7" s="48">
        <v>1000</v>
      </c>
      <c r="J7" s="21">
        <f t="shared" si="2"/>
        <v>30100</v>
      </c>
      <c r="K7" s="8"/>
      <c r="L7" s="9"/>
      <c r="M7" s="9">
        <v>-1000</v>
      </c>
      <c r="N7" s="48"/>
      <c r="O7" s="21">
        <f t="shared" si="3"/>
        <v>38000</v>
      </c>
      <c r="P7" s="8" t="s">
        <v>203</v>
      </c>
      <c r="Q7" s="9">
        <v>-7700</v>
      </c>
      <c r="R7" s="9"/>
      <c r="S7" s="48">
        <v>-1000</v>
      </c>
      <c r="T7" s="21">
        <f t="shared" si="4"/>
        <v>36900</v>
      </c>
      <c r="U7" s="53">
        <f>IF($J7="","",ROUND(($J7-$J$3)/1000,1)+(_xlfn.RANK.AVG($J7,($J7,$O7,$T7),1)-2)*10)</f>
        <v>-14.9</v>
      </c>
      <c r="V7" s="54">
        <f>IF($O7="","",ROUND(($O7-$O$3)/1000,1)+(_xlfn.RANK.AVG($O7,($J7,$O7,$T7),1)-2)*10)</f>
        <v>13</v>
      </c>
      <c r="W7" s="55">
        <f>IF($T7="","",ROUND(($T7-$T$3)/1000,1)+(_xlfn.RANK.AVG($T7,($J7,$O7,$T7),1)-2)*10)</f>
        <v>1.9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199</v>
      </c>
      <c r="AF7" s="41" t="s">
        <v>200</v>
      </c>
      <c r="AG7" s="41" t="s">
        <v>83</v>
      </c>
      <c r="AH7" s="41" t="s">
        <v>201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196</v>
      </c>
      <c r="G8" s="9">
        <v>12000</v>
      </c>
      <c r="H8" s="9">
        <v>1000</v>
      </c>
      <c r="I8" s="48">
        <v>0</v>
      </c>
      <c r="J8" s="21">
        <f t="shared" si="2"/>
        <v>43100</v>
      </c>
      <c r="K8" s="8" t="s">
        <v>197</v>
      </c>
      <c r="L8" s="9">
        <v>-6000</v>
      </c>
      <c r="M8" s="9"/>
      <c r="N8" s="48">
        <v>0</v>
      </c>
      <c r="O8" s="21">
        <f t="shared" si="3"/>
        <v>32000</v>
      </c>
      <c r="P8" s="8" t="s">
        <v>197</v>
      </c>
      <c r="Q8" s="9">
        <v>-6000</v>
      </c>
      <c r="R8" s="9">
        <v>-1000</v>
      </c>
      <c r="S8" s="48">
        <v>0</v>
      </c>
      <c r="T8" s="21">
        <f t="shared" si="4"/>
        <v>29900</v>
      </c>
      <c r="U8" s="53">
        <f>IF($J8="","",ROUND(($J8-$J$3)/1000,1)+(_xlfn.RANK.AVG($J8,($J8,$O8,$T8),1)-2)*10)</f>
        <v>18.100000000000001</v>
      </c>
      <c r="V8" s="54">
        <f>IF($O8="","",ROUND(($O8-$O$3)/1000,1)+(_xlfn.RANK.AVG($O8,($J8,$O8,$T8),1)-2)*10)</f>
        <v>-3</v>
      </c>
      <c r="W8" s="55">
        <f>IF($T8="","",ROUND(($T8-$T$3)/1000,1)+(_xlfn.RANK.AVG($T8,($J8,$O8,$T8),1)-2)*10)</f>
        <v>-15.1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199</v>
      </c>
      <c r="AF8" s="41" t="s">
        <v>82</v>
      </c>
      <c r="AG8" s="41" t="s">
        <v>84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りくと</v>
      </c>
      <c r="F9" s="8" t="s">
        <v>206</v>
      </c>
      <c r="G9" s="9">
        <v>1500</v>
      </c>
      <c r="H9" s="9">
        <v>-1000</v>
      </c>
      <c r="I9" s="48"/>
      <c r="J9" s="21">
        <f t="shared" si="2"/>
        <v>43600</v>
      </c>
      <c r="K9" s="8" t="s">
        <v>206</v>
      </c>
      <c r="L9" s="9">
        <v>-3000</v>
      </c>
      <c r="M9" s="9"/>
      <c r="N9" s="48"/>
      <c r="O9" s="21">
        <f t="shared" si="3"/>
        <v>29000</v>
      </c>
      <c r="P9" s="8" t="s">
        <v>206</v>
      </c>
      <c r="Q9" s="9">
        <v>1500</v>
      </c>
      <c r="R9" s="9">
        <v>-1000</v>
      </c>
      <c r="S9" s="48"/>
      <c r="T9" s="21">
        <f t="shared" si="4"/>
        <v>30400</v>
      </c>
      <c r="U9" s="53">
        <f>IF($J9="","",ROUND(($J9-$J$3)/1000,1)+(_xlfn.RANK.AVG($J9,($J9,$O9,$T9),1)-2)*10)</f>
        <v>18.600000000000001</v>
      </c>
      <c r="V9" s="54">
        <f>IF($O9="","",ROUND(($O9-$O$3)/1000,1)+(_xlfn.RANK.AVG($O9,($J9,$O9,$T9),1)-2)*10)</f>
        <v>-16</v>
      </c>
      <c r="W9" s="55">
        <f>IF($T9="","",ROUND(($T9-$T$3)/1000,1)+(_xlfn.RANK.AVG($T9,($J9,$O9,$T9),1)-2)*10)</f>
        <v>-4.5999999999999996</v>
      </c>
      <c r="Y9" s="8" t="s">
        <v>205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2</v>
      </c>
      <c r="E10" s="4" t="str">
        <f>IF($F$1="","",$F$1)</f>
        <v>りくと</v>
      </c>
      <c r="F10" s="8" t="s">
        <v>196</v>
      </c>
      <c r="G10" s="9">
        <v>12000</v>
      </c>
      <c r="H10" s="9">
        <v>3000</v>
      </c>
      <c r="I10" s="48">
        <v>2000</v>
      </c>
      <c r="J10" s="21">
        <f t="shared" si="2"/>
        <v>60600</v>
      </c>
      <c r="K10" s="8" t="s">
        <v>197</v>
      </c>
      <c r="L10" s="9">
        <v>-6000</v>
      </c>
      <c r="M10" s="9">
        <v>-1000</v>
      </c>
      <c r="N10" s="48">
        <v>-1000</v>
      </c>
      <c r="O10" s="21">
        <f t="shared" si="3"/>
        <v>21000</v>
      </c>
      <c r="P10" s="8" t="s">
        <v>197</v>
      </c>
      <c r="Q10" s="9">
        <v>-6000</v>
      </c>
      <c r="R10" s="9"/>
      <c r="S10" s="48">
        <v>-1000</v>
      </c>
      <c r="T10" s="21">
        <f t="shared" si="4"/>
        <v>23400</v>
      </c>
      <c r="U10" s="53">
        <f>IF($J10="","",ROUND(($J10-$J$3)/1000,1)+(_xlfn.RANK.AVG($J10,($J10,$O10,$T10),1)-2)*10)</f>
        <v>35.6</v>
      </c>
      <c r="V10" s="54">
        <f>IF($O10="","",ROUND(($O10-$O$3)/1000,1)+(_xlfn.RANK.AVG($O10,($J10,$O10,$T10),1)-2)*10)</f>
        <v>-24</v>
      </c>
      <c r="W10" s="55">
        <f>IF($T10="","",ROUND(($T10-$T$3)/1000,1)+(_xlfn.RANK.AVG($T10,($J10,$O10,$T10),1)-2)*10)</f>
        <v>-11.6</v>
      </c>
      <c r="Y10" s="8"/>
      <c r="Z10" s="34"/>
      <c r="AA10" s="26"/>
      <c r="AB10" s="26"/>
      <c r="AC10" s="26">
        <v>5</v>
      </c>
      <c r="AD10" s="30" t="s">
        <v>198</v>
      </c>
      <c r="AE10" s="40" t="s">
        <v>105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IF($F$1="","",$F$1)</f>
        <v>りくと</v>
      </c>
      <c r="F11" s="8" t="s">
        <v>202</v>
      </c>
      <c r="G11" s="9">
        <v>18000</v>
      </c>
      <c r="H11" s="9">
        <v>1000</v>
      </c>
      <c r="I11" s="48">
        <v>3000</v>
      </c>
      <c r="J11" s="21">
        <f t="shared" si="2"/>
        <v>82600</v>
      </c>
      <c r="K11" s="8" t="s">
        <v>203</v>
      </c>
      <c r="L11" s="9">
        <v>-18000</v>
      </c>
      <c r="M11" s="9">
        <v>-1000</v>
      </c>
      <c r="N11" s="48">
        <v>-3000</v>
      </c>
      <c r="O11" s="21">
        <f t="shared" si="3"/>
        <v>-1000</v>
      </c>
      <c r="P11" s="8"/>
      <c r="Q11" s="9"/>
      <c r="R11" s="9"/>
      <c r="S11" s="48"/>
      <c r="T11" s="21">
        <f t="shared" si="4"/>
        <v>23400</v>
      </c>
      <c r="U11" s="53">
        <f>IF($J11="","",ROUND(($J11-$J$3)/1000,1)+(_xlfn.RANK.AVG($J11,($J11,$O11,$T11),1)-2)*10)</f>
        <v>57.6</v>
      </c>
      <c r="V11" s="54">
        <f>IF($O11="","",ROUND(($O11-$O$3)/1000,1)+(_xlfn.RANK.AVG($O11,($J11,$O11,$T11),1)-2)*10)</f>
        <v>-46</v>
      </c>
      <c r="W11" s="55">
        <f>IF($T11="","",ROUND(($T11-$T$3)/1000,1)+(_xlfn.RANK.AVG($T11,($J11,$O11,$T11),1)-2)*10)</f>
        <v>-11.6</v>
      </c>
      <c r="Y11" s="8"/>
      <c r="Z11" s="34"/>
      <c r="AA11" s="26">
        <v>1</v>
      </c>
      <c r="AB11" s="26"/>
      <c r="AC11" s="26">
        <v>6</v>
      </c>
      <c r="AD11" s="30" t="s">
        <v>198</v>
      </c>
      <c r="AE11" s="40" t="s">
        <v>199</v>
      </c>
      <c r="AF11" s="41" t="s">
        <v>200</v>
      </c>
      <c r="AG11" s="41" t="s">
        <v>86</v>
      </c>
      <c r="AH11" s="41" t="s">
        <v>86</v>
      </c>
      <c r="AI11" s="41" t="s">
        <v>79</v>
      </c>
      <c r="AJ11" s="41" t="s">
        <v>201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7E24676D-BE33-4F2F-804D-769226369B2D}">
      <formula1>$U$2:$W$2</formula1>
    </dataValidation>
    <dataValidation type="list" showInputMessage="1" showErrorMessage="1" sqref="K4:K30 P4:P30 F4:F30" xr:uid="{466A882E-0D58-4E52-A867-CBB8096F7E9E}">
      <formula1>"ロン,ツモ,放銃,ツモ支払,流局,チョンボ"</formula1>
    </dataValidation>
    <dataValidation type="list" allowBlank="1" showInputMessage="1" sqref="F1:T1" xr:uid="{EAF46807-9291-483E-B84A-8B67B83AB86B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B1653-2385-44FA-B41F-F90F4FDE222F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197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197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196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-11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198</v>
      </c>
      <c r="BU4" s="40" t="s">
        <v>199</v>
      </c>
      <c r="BV4" s="41" t="s">
        <v>82</v>
      </c>
      <c r="BW4" s="41" t="s">
        <v>86</v>
      </c>
      <c r="BX4" s="41" t="s">
        <v>79</v>
      </c>
      <c r="BY4" s="41" t="s">
        <v>201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206</v>
      </c>
      <c r="G5" s="9">
        <v>0</v>
      </c>
      <c r="H5" s="9"/>
      <c r="I5" s="48"/>
      <c r="J5" s="21">
        <f t="shared" ref="J5:J30" si="2">IF(COUNTA($F5,$K5,$P5)&gt;0,J4+SUM(G5:I5),"")</f>
        <v>29000</v>
      </c>
      <c r="K5" s="8" t="s">
        <v>206</v>
      </c>
      <c r="L5" s="9">
        <v>0</v>
      </c>
      <c r="M5" s="9"/>
      <c r="N5" s="48"/>
      <c r="O5" s="21">
        <f t="shared" ref="O5:O30" si="3">IF(COUNTA($F5,$K5,$P5)&gt;0,O4+SUM(L5:N5),"")</f>
        <v>29000</v>
      </c>
      <c r="P5" s="8" t="s">
        <v>206</v>
      </c>
      <c r="Q5" s="9">
        <v>0</v>
      </c>
      <c r="R5" s="9">
        <v>-1000</v>
      </c>
      <c r="S5" s="48"/>
      <c r="T5" s="21">
        <f t="shared" ref="T5:T30" si="4">IF(COUNTA($F5,$K5,$P5)&gt;0,T4+SUM(Q5:S5),"")</f>
        <v>46000</v>
      </c>
      <c r="U5" s="53">
        <f>IF($J5="","",ROUND(($J5-$J$3)/1000,1)+(_xlfn.RANK.AVG($J5,($J5,$O5,$T5),1)-2)*10)</f>
        <v>-11</v>
      </c>
      <c r="V5" s="54">
        <f>IF($O5="","",ROUND(($O5-$O$3)/1000,1)+(_xlfn.RANK.AVG($O5,($J5,$O5,$T5),1)-2)*10)</f>
        <v>-11</v>
      </c>
      <c r="W5" s="55">
        <f>IF($T5="","",ROUND(($T5-$T$3)/1000,1)+(_xlfn.RANK.AVG($T5,($J5,$O5,$T5),1)-2)*10)</f>
        <v>21</v>
      </c>
      <c r="Y5" s="8" t="s">
        <v>205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IF($P$1="","",$P$1)</f>
        <v>だいち</v>
      </c>
      <c r="F6" s="8" t="s">
        <v>206</v>
      </c>
      <c r="G6" s="9">
        <v>-3000</v>
      </c>
      <c r="H6" s="9"/>
      <c r="I6" s="48"/>
      <c r="J6" s="21">
        <f t="shared" si="2"/>
        <v>26000</v>
      </c>
      <c r="K6" s="8" t="s">
        <v>206</v>
      </c>
      <c r="L6" s="9">
        <v>1500</v>
      </c>
      <c r="M6" s="9">
        <v>-1000</v>
      </c>
      <c r="N6" s="48"/>
      <c r="O6" s="21">
        <f t="shared" si="3"/>
        <v>29500</v>
      </c>
      <c r="P6" s="8" t="s">
        <v>206</v>
      </c>
      <c r="Q6" s="9">
        <v>1500</v>
      </c>
      <c r="R6" s="9">
        <v>-1000</v>
      </c>
      <c r="S6" s="48"/>
      <c r="T6" s="21">
        <f t="shared" si="4"/>
        <v>46500</v>
      </c>
      <c r="U6" s="53">
        <f>IF($J6="","",ROUND(($J6-$J$3)/1000,1)+(_xlfn.RANK.AVG($J6,($J6,$O6,$T6),1)-2)*10)</f>
        <v>-19</v>
      </c>
      <c r="V6" s="54">
        <f>IF($O6="","",ROUND(($O6-$O$3)/1000,1)+(_xlfn.RANK.AVG($O6,($J6,$O6,$T6),1)-2)*10)</f>
        <v>-5.5</v>
      </c>
      <c r="W6" s="55">
        <f>IF($T6="","",ROUND(($T6-$T$3)/1000,1)+(_xlfn.RANK.AVG($T6,($J6,$O6,$T6),1)-2)*10)</f>
        <v>21.5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3</v>
      </c>
      <c r="E7" s="4" t="str">
        <f>IF($P$1="","",$P$1)</f>
        <v>だいち</v>
      </c>
      <c r="F7" s="8" t="s">
        <v>197</v>
      </c>
      <c r="G7" s="9">
        <v>-6000</v>
      </c>
      <c r="H7" s="9"/>
      <c r="I7" s="48">
        <v>-1500</v>
      </c>
      <c r="J7" s="21">
        <f t="shared" si="2"/>
        <v>18500</v>
      </c>
      <c r="K7" s="8" t="s">
        <v>196</v>
      </c>
      <c r="L7" s="9">
        <v>16000</v>
      </c>
      <c r="M7" s="9">
        <v>4000</v>
      </c>
      <c r="N7" s="48">
        <v>3000</v>
      </c>
      <c r="O7" s="21">
        <f t="shared" si="3"/>
        <v>52500</v>
      </c>
      <c r="P7" s="8" t="s">
        <v>197</v>
      </c>
      <c r="Q7" s="9">
        <v>-10000</v>
      </c>
      <c r="R7" s="9">
        <v>-1000</v>
      </c>
      <c r="S7" s="48">
        <v>-1500</v>
      </c>
      <c r="T7" s="21">
        <f t="shared" si="4"/>
        <v>34000</v>
      </c>
      <c r="U7" s="53">
        <f>IF($J7="","",ROUND(($J7-$J$3)/1000,1)+(_xlfn.RANK.AVG($J7,($J7,$O7,$T7),1)-2)*10)</f>
        <v>-26.5</v>
      </c>
      <c r="V7" s="54">
        <f>IF($O7="","",ROUND(($O7-$O$3)/1000,1)+(_xlfn.RANK.AVG($O7,($J7,$O7,$T7),1)-2)*10)</f>
        <v>27.5</v>
      </c>
      <c r="W7" s="55">
        <f>IF($T7="","",ROUND(($T7-$T$3)/1000,1)+(_xlfn.RANK.AVG($T7,($J7,$O7,$T7),1)-2)*10)</f>
        <v>-1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9</v>
      </c>
      <c r="AY7" s="30" t="s">
        <v>198</v>
      </c>
      <c r="AZ7" s="40" t="s">
        <v>209</v>
      </c>
      <c r="BA7" s="41" t="s">
        <v>82</v>
      </c>
      <c r="BB7" s="41" t="s">
        <v>96</v>
      </c>
      <c r="BC7" s="41" t="s">
        <v>79</v>
      </c>
      <c r="BD7" s="41" t="s">
        <v>79</v>
      </c>
      <c r="BE7" s="41" t="s">
        <v>79</v>
      </c>
      <c r="BF7" s="41" t="s">
        <v>201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197</v>
      </c>
      <c r="G8" s="9">
        <v>-7500</v>
      </c>
      <c r="H8" s="9"/>
      <c r="I8" s="48">
        <v>0</v>
      </c>
      <c r="J8" s="21">
        <f t="shared" si="2"/>
        <v>11000</v>
      </c>
      <c r="K8" s="8" t="s">
        <v>196</v>
      </c>
      <c r="L8" s="9">
        <v>12000</v>
      </c>
      <c r="M8" s="9">
        <v>1000</v>
      </c>
      <c r="N8" s="48">
        <v>0</v>
      </c>
      <c r="O8" s="21">
        <f t="shared" si="3"/>
        <v>65500</v>
      </c>
      <c r="P8" s="8" t="s">
        <v>197</v>
      </c>
      <c r="Q8" s="9">
        <v>-4500</v>
      </c>
      <c r="R8" s="9">
        <v>-1000</v>
      </c>
      <c r="S8" s="48">
        <v>0</v>
      </c>
      <c r="T8" s="21">
        <f t="shared" si="4"/>
        <v>28500</v>
      </c>
      <c r="U8" s="53">
        <f>IF($J8="","",ROUND(($J8-$J$3)/1000,1)+(_xlfn.RANK.AVG($J8,($J8,$O8,$T8),1)-2)*10)</f>
        <v>-34</v>
      </c>
      <c r="V8" s="54">
        <f>IF($O8="","",ROUND(($O8-$O$3)/1000,1)+(_xlfn.RANK.AVG($O8,($J8,$O8,$T8),1)-2)*10)</f>
        <v>40.5</v>
      </c>
      <c r="W8" s="55">
        <f>IF($T8="","",ROUND(($T8-$T$3)/1000,1)+(_xlfn.RANK.AVG($T8,($J8,$O8,$T8),1)-2)*10)</f>
        <v>-6.5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198</v>
      </c>
      <c r="AZ8" s="40" t="s">
        <v>199</v>
      </c>
      <c r="BA8" s="41" t="s">
        <v>82</v>
      </c>
      <c r="BB8" s="41" t="s">
        <v>200</v>
      </c>
      <c r="BC8" s="41" t="s">
        <v>85</v>
      </c>
      <c r="BD8" s="41" t="s">
        <v>83</v>
      </c>
      <c r="BE8" s="41" t="s">
        <v>84</v>
      </c>
      <c r="BF8" s="41" t="s">
        <v>201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197</v>
      </c>
      <c r="G9" s="9">
        <v>-6000</v>
      </c>
      <c r="H9" s="9"/>
      <c r="I9" s="48">
        <v>0</v>
      </c>
      <c r="J9" s="21">
        <f t="shared" si="2"/>
        <v>5000</v>
      </c>
      <c r="K9" s="8" t="s">
        <v>197</v>
      </c>
      <c r="L9" s="9">
        <v>-10000</v>
      </c>
      <c r="M9" s="9">
        <v>-1000</v>
      </c>
      <c r="N9" s="48">
        <v>0</v>
      </c>
      <c r="O9" s="21">
        <f t="shared" si="3"/>
        <v>54500</v>
      </c>
      <c r="P9" s="8" t="s">
        <v>196</v>
      </c>
      <c r="Q9" s="9">
        <v>16000</v>
      </c>
      <c r="R9" s="9">
        <v>1000</v>
      </c>
      <c r="S9" s="48">
        <v>0</v>
      </c>
      <c r="T9" s="21">
        <f t="shared" si="4"/>
        <v>45500</v>
      </c>
      <c r="U9" s="53">
        <f>IF($J9="","",ROUND(($J9-$J$3)/1000,1)+(_xlfn.RANK.AVG($J9,($J9,$O9,$T9),1)-2)*10)</f>
        <v>-40</v>
      </c>
      <c r="V9" s="54">
        <f>IF($O9="","",ROUND(($O9-$O$3)/1000,1)+(_xlfn.RANK.AVG($O9,($J9,$O9,$T9),1)-2)*10)</f>
        <v>29.5</v>
      </c>
      <c r="W9" s="55">
        <f>IF($T9="","",ROUND(($T9-$T$3)/1000,1)+(_xlfn.RANK.AVG($T9,($J9,$O9,$T9),1)-2)*10)</f>
        <v>10.5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9</v>
      </c>
      <c r="BT9" s="30" t="s">
        <v>198</v>
      </c>
      <c r="BU9" s="40" t="s">
        <v>199</v>
      </c>
      <c r="BV9" s="41" t="s">
        <v>82</v>
      </c>
      <c r="BW9" s="41" t="s">
        <v>200</v>
      </c>
      <c r="BX9" s="41" t="s">
        <v>83</v>
      </c>
      <c r="BY9" s="41" t="s">
        <v>85</v>
      </c>
      <c r="BZ9" s="41" t="s">
        <v>84</v>
      </c>
      <c r="CA9" s="41" t="s">
        <v>201</v>
      </c>
      <c r="CB9" s="41" t="s">
        <v>79</v>
      </c>
      <c r="CC9" s="41" t="s">
        <v>79</v>
      </c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196</v>
      </c>
      <c r="G10" s="9">
        <v>8000</v>
      </c>
      <c r="H10" s="9">
        <v>1000</v>
      </c>
      <c r="I10" s="48">
        <v>0</v>
      </c>
      <c r="J10" s="21">
        <f t="shared" si="2"/>
        <v>14000</v>
      </c>
      <c r="K10" s="8" t="s">
        <v>197</v>
      </c>
      <c r="L10" s="9">
        <v>-3000</v>
      </c>
      <c r="M10" s="9"/>
      <c r="N10" s="48">
        <v>0</v>
      </c>
      <c r="O10" s="21">
        <f t="shared" si="3"/>
        <v>51500</v>
      </c>
      <c r="P10" s="8" t="s">
        <v>197</v>
      </c>
      <c r="Q10" s="9">
        <v>-5000</v>
      </c>
      <c r="R10" s="9">
        <v>-1000</v>
      </c>
      <c r="S10" s="48">
        <v>0</v>
      </c>
      <c r="T10" s="21">
        <f t="shared" si="4"/>
        <v>39500</v>
      </c>
      <c r="U10" s="53">
        <f>IF($J10="","",ROUND(($J10-$J$3)/1000,1)+(_xlfn.RANK.AVG($J10,($J10,$O10,$T10),1)-2)*10)</f>
        <v>-31</v>
      </c>
      <c r="V10" s="54">
        <f>IF($O10="","",ROUND(($O10-$O$3)/1000,1)+(_xlfn.RANK.AVG($O10,($J10,$O10,$T10),1)-2)*10)</f>
        <v>26.5</v>
      </c>
      <c r="W10" s="55">
        <f>IF($T10="","",ROUND(($T10-$T$3)/1000,1)+(_xlfn.RANK.AVG($T10,($J10,$O10,$T10),1)-2)*10)</f>
        <v>4.5</v>
      </c>
      <c r="Y10" s="8"/>
      <c r="Z10" s="34"/>
      <c r="AA10" s="26">
        <v>1</v>
      </c>
      <c r="AB10" s="26"/>
      <c r="AC10" s="26">
        <v>4</v>
      </c>
      <c r="AD10" s="30">
        <v>40</v>
      </c>
      <c r="AE10" s="40" t="s">
        <v>199</v>
      </c>
      <c r="AF10" s="41" t="s">
        <v>82</v>
      </c>
      <c r="AG10" s="41" t="s">
        <v>200</v>
      </c>
      <c r="AH10" s="41" t="s">
        <v>201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りくと</v>
      </c>
      <c r="F11" s="8" t="s">
        <v>202</v>
      </c>
      <c r="G11" s="9">
        <v>3900</v>
      </c>
      <c r="H11" s="9">
        <v>1000</v>
      </c>
      <c r="I11" s="48">
        <v>0</v>
      </c>
      <c r="J11" s="21">
        <f t="shared" si="2"/>
        <v>18900</v>
      </c>
      <c r="K11" s="8"/>
      <c r="L11" s="9"/>
      <c r="M11" s="9">
        <v>-1000</v>
      </c>
      <c r="N11" s="48"/>
      <c r="O11" s="21">
        <f t="shared" si="3"/>
        <v>50500</v>
      </c>
      <c r="P11" s="8" t="s">
        <v>203</v>
      </c>
      <c r="Q11" s="9">
        <v>-3900</v>
      </c>
      <c r="R11" s="9"/>
      <c r="S11" s="48">
        <v>0</v>
      </c>
      <c r="T11" s="21">
        <f t="shared" si="4"/>
        <v>35600</v>
      </c>
      <c r="U11" s="53">
        <f>IF($J11="","",ROUND(($J11-$J$3)/1000,1)+(_xlfn.RANK.AVG($J11,($J11,$O11,$T11),1)-2)*10)</f>
        <v>-26.1</v>
      </c>
      <c r="V11" s="54">
        <f>IF($O11="","",ROUND(($O11-$O$3)/1000,1)+(_xlfn.RANK.AVG($O11,($J11,$O11,$T11),1)-2)*10)</f>
        <v>25.5</v>
      </c>
      <c r="W11" s="55">
        <f>IF($T11="","",ROUND(($T11-$T$3)/1000,1)+(_xlfn.RANK.AVG($T11,($J11,$O11,$T11),1)-2)*10)</f>
        <v>0.6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199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IF($F$1="","",$F$1)</f>
        <v>りくと</v>
      </c>
      <c r="F12" s="8" t="s">
        <v>206</v>
      </c>
      <c r="G12" s="9">
        <v>-1500</v>
      </c>
      <c r="H12" s="9"/>
      <c r="I12" s="48"/>
      <c r="J12" s="21">
        <f t="shared" si="2"/>
        <v>17400</v>
      </c>
      <c r="K12" s="8" t="s">
        <v>206</v>
      </c>
      <c r="L12" s="9">
        <v>-1500</v>
      </c>
      <c r="M12" s="9"/>
      <c r="N12" s="48"/>
      <c r="O12" s="21">
        <f t="shared" si="3"/>
        <v>49000</v>
      </c>
      <c r="P12" s="8" t="s">
        <v>206</v>
      </c>
      <c r="Q12" s="9">
        <v>3000</v>
      </c>
      <c r="R12" s="9">
        <v>-1000</v>
      </c>
      <c r="S12" s="48"/>
      <c r="T12" s="21">
        <f t="shared" si="4"/>
        <v>37600</v>
      </c>
      <c r="U12" s="53">
        <f>IF($J12="","",ROUND(($J12-$J$3)/1000,1)+(_xlfn.RANK.AVG($J12,($J12,$O12,$T12),1)-2)*10)</f>
        <v>-27.6</v>
      </c>
      <c r="V12" s="54">
        <f>IF($O12="","",ROUND(($O12-$O$3)/1000,1)+(_xlfn.RANK.AVG($O12,($J12,$O12,$T12),1)-2)*10)</f>
        <v>24</v>
      </c>
      <c r="W12" s="55">
        <f>IF($T12="","",ROUND(($T12-$T$3)/1000,1)+(_xlfn.RANK.AVG($T12,($J12,$O12,$T12),1)-2)*10)</f>
        <v>2.6</v>
      </c>
      <c r="Y12" s="8" t="s">
        <v>204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1</v>
      </c>
      <c r="E13" s="4" t="str">
        <f>IF($K$1="","",$K$1)</f>
        <v>ただ</v>
      </c>
      <c r="F13" s="8" t="s">
        <v>206</v>
      </c>
      <c r="G13" s="9">
        <v>0</v>
      </c>
      <c r="H13" s="9"/>
      <c r="I13" s="48"/>
      <c r="J13" s="21">
        <f t="shared" si="2"/>
        <v>17400</v>
      </c>
      <c r="K13" s="8" t="s">
        <v>206</v>
      </c>
      <c r="L13" s="9">
        <v>0</v>
      </c>
      <c r="M13" s="9">
        <v>2000</v>
      </c>
      <c r="N13" s="48"/>
      <c r="O13" s="21">
        <f t="shared" si="3"/>
        <v>51000</v>
      </c>
      <c r="P13" s="8" t="s">
        <v>206</v>
      </c>
      <c r="Q13" s="9">
        <v>0</v>
      </c>
      <c r="R13" s="9">
        <v>-1000</v>
      </c>
      <c r="S13" s="48"/>
      <c r="T13" s="21">
        <f t="shared" si="4"/>
        <v>36600</v>
      </c>
      <c r="U13" s="53">
        <f>IF($J13="","",ROUND(($J13-$J$3)/1000,1)+(_xlfn.RANK.AVG($J13,($J13,$O13,$T13),1)-2)*10)</f>
        <v>-27.6</v>
      </c>
      <c r="V13" s="54">
        <f>IF($O13="","",ROUND(($O13-$O$3)/1000,1)+(_xlfn.RANK.AVG($O13,($J13,$O13,$T13),1)-2)*10)</f>
        <v>26</v>
      </c>
      <c r="W13" s="55">
        <f>IF($T13="","",ROUND(($T13-$T$3)/1000,1)+(_xlfn.RANK.AVG($T13,($J13,$O13,$T13),1)-2)*10)</f>
        <v>1.6</v>
      </c>
      <c r="Y13" s="8" t="s">
        <v>204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204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disablePrompts="1" count="3">
    <dataValidation type="list" allowBlank="1" showInputMessage="1" sqref="F1:T1" xr:uid="{0E6F219E-AD16-4815-BC9C-0EF058AC2B3C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246F6ECC-9458-41A8-9E49-4FD2BDBEBE80}">
      <formula1>"ロン,ツモ,放銃,ツモ支払,流局,チョンボ"</formula1>
    </dataValidation>
    <dataValidation type="list" allowBlank="1" showInputMessage="1" showErrorMessage="1" sqref="E4:E30" xr:uid="{7E27F1C4-D776-4E75-BDE2-69943A7BAE6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78589-83FE-4057-A0CC-C2FC1BDF6320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/>
      <c r="G4" s="9"/>
      <c r="H4" s="9"/>
      <c r="I4" s="48"/>
      <c r="J4" s="21">
        <f>IF(COUNTA($F4,$K4,$P4)&gt;0,J3+SUM(G4:I4),"")</f>
        <v>35000</v>
      </c>
      <c r="K4" s="8" t="s">
        <v>202</v>
      </c>
      <c r="L4" s="9">
        <v>16000</v>
      </c>
      <c r="M4" s="9">
        <v>1000</v>
      </c>
      <c r="N4" s="48">
        <v>0</v>
      </c>
      <c r="O4" s="21">
        <f>IF(COUNTA($F4,$K4,$P4)&gt;0,O3+SUM(L4:N4),"")</f>
        <v>52000</v>
      </c>
      <c r="P4" s="8" t="s">
        <v>203</v>
      </c>
      <c r="Q4" s="9">
        <v>-16000</v>
      </c>
      <c r="R4" s="9">
        <v>-1000</v>
      </c>
      <c r="S4" s="48">
        <v>0</v>
      </c>
      <c r="T4" s="21">
        <f>IF(COUNTA($F4,$K4,$P4)&gt;0,T3+SUM(Q4:S4),"")</f>
        <v>18000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27</v>
      </c>
      <c r="W4" s="55">
        <f>IF($T4="","",ROUND(($T4-$T$3)/1000,1)+(_xlfn.RANK.AVG($T4,($J4,$O4,$T4),1)-2)*10)</f>
        <v>-27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8</v>
      </c>
      <c r="AY4" s="30" t="s">
        <v>198</v>
      </c>
      <c r="AZ4" s="40" t="s">
        <v>104</v>
      </c>
      <c r="BA4" s="41" t="s">
        <v>79</v>
      </c>
      <c r="BB4" s="41" t="s">
        <v>79</v>
      </c>
      <c r="BC4" s="41" t="s">
        <v>79</v>
      </c>
      <c r="BD4" s="41" t="s">
        <v>79</v>
      </c>
      <c r="BE4" s="41" t="s">
        <v>86</v>
      </c>
      <c r="BF4" s="41" t="s">
        <v>88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203</v>
      </c>
      <c r="G5" s="9">
        <v>-8000</v>
      </c>
      <c r="H5" s="9">
        <v>-1000</v>
      </c>
      <c r="I5" s="48">
        <v>0</v>
      </c>
      <c r="J5" s="21">
        <f t="shared" ref="J5:J30" si="2">IF(COUNTA($F5,$K5,$P5)&gt;0,J4+SUM(G5:I5),"")</f>
        <v>26000</v>
      </c>
      <c r="K5" s="8" t="s">
        <v>202</v>
      </c>
      <c r="L5" s="9">
        <v>8000</v>
      </c>
      <c r="M5" s="9">
        <v>2000</v>
      </c>
      <c r="N5" s="48">
        <v>0</v>
      </c>
      <c r="O5" s="21">
        <f t="shared" ref="O5:O30" si="3">IF(COUNTA($F5,$K5,$P5)&gt;0,O4+SUM(L5:N5),"")</f>
        <v>62000</v>
      </c>
      <c r="P5" s="8"/>
      <c r="Q5" s="9"/>
      <c r="R5" s="9">
        <v>-1000</v>
      </c>
      <c r="S5" s="48"/>
      <c r="T5" s="21">
        <f t="shared" ref="T5:T30" si="4">IF(COUNTA($F5,$K5,$P5)&gt;0,T4+SUM(Q5:S5),"")</f>
        <v>17000</v>
      </c>
      <c r="U5" s="53">
        <f>IF($J5="","",ROUND(($J5-$J$3)/1000,1)+(_xlfn.RANK.AVG($J5,($J5,$O5,$T5),1)-2)*10)</f>
        <v>-9</v>
      </c>
      <c r="V5" s="54">
        <f>IF($O5="","",ROUND(($O5-$O$3)/1000,1)+(_xlfn.RANK.AVG($O5,($J5,$O5,$T5),1)-2)*10)</f>
        <v>37</v>
      </c>
      <c r="W5" s="55">
        <f>IF($T5="","",ROUND(($T5-$T$3)/1000,1)+(_xlfn.RANK.AVG($T5,($J5,$O5,$T5),1)-2)*10)</f>
        <v>-28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40</v>
      </c>
      <c r="AZ5" s="40" t="s">
        <v>85</v>
      </c>
      <c r="BA5" s="41" t="s">
        <v>84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203</v>
      </c>
      <c r="G6" s="9">
        <v>-5200</v>
      </c>
      <c r="H6" s="9"/>
      <c r="I6" s="48">
        <v>0</v>
      </c>
      <c r="J6" s="21">
        <f t="shared" si="2"/>
        <v>20800</v>
      </c>
      <c r="K6" s="8"/>
      <c r="L6" s="9"/>
      <c r="M6" s="9"/>
      <c r="N6" s="48"/>
      <c r="O6" s="21">
        <f t="shared" si="3"/>
        <v>62000</v>
      </c>
      <c r="P6" s="8" t="s">
        <v>202</v>
      </c>
      <c r="Q6" s="9">
        <v>5200</v>
      </c>
      <c r="R6" s="9"/>
      <c r="S6" s="48">
        <v>0</v>
      </c>
      <c r="T6" s="21">
        <f t="shared" si="4"/>
        <v>22200</v>
      </c>
      <c r="U6" s="53">
        <f>IF($J6="","",ROUND(($J6-$J$3)/1000,1)+(_xlfn.RANK.AVG($J6,($J6,$O6,$T6),1)-2)*10)</f>
        <v>-24.2</v>
      </c>
      <c r="V6" s="54">
        <f>IF($O6="","",ROUND(($O6-$O$3)/1000,1)+(_xlfn.RANK.AVG($O6,($J6,$O6,$T6),1)-2)*10)</f>
        <v>37</v>
      </c>
      <c r="W6" s="55">
        <f>IF($T6="","",ROUND(($T6-$T$3)/1000,1)+(_xlfn.RANK.AVG($T6,($J6,$O6,$T6),1)-2)*10)</f>
        <v>-12.8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199</v>
      </c>
      <c r="BV6" s="41" t="s">
        <v>92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/>
      <c r="G7" s="9"/>
      <c r="H7" s="9"/>
      <c r="I7" s="48"/>
      <c r="J7" s="21">
        <f t="shared" si="2"/>
        <v>20800</v>
      </c>
      <c r="K7" s="8" t="s">
        <v>202</v>
      </c>
      <c r="L7" s="9">
        <v>3900</v>
      </c>
      <c r="M7" s="9"/>
      <c r="N7" s="48">
        <v>0</v>
      </c>
      <c r="O7" s="21">
        <f t="shared" si="3"/>
        <v>65900</v>
      </c>
      <c r="P7" s="8" t="s">
        <v>203</v>
      </c>
      <c r="Q7" s="9">
        <v>-3900</v>
      </c>
      <c r="R7" s="9"/>
      <c r="S7" s="48">
        <v>0</v>
      </c>
      <c r="T7" s="21">
        <f t="shared" si="4"/>
        <v>18300</v>
      </c>
      <c r="U7" s="53">
        <f>IF($J7="","",ROUND(($J7-$J$3)/1000,1)+(_xlfn.RANK.AVG($J7,($J7,$O7,$T7),1)-2)*10)</f>
        <v>-14.2</v>
      </c>
      <c r="V7" s="54">
        <f>IF($O7="","",ROUND(($O7-$O$3)/1000,1)+(_xlfn.RANK.AVG($O7,($J7,$O7,$T7),1)-2)*10)</f>
        <v>40.9</v>
      </c>
      <c r="W7" s="55">
        <f>IF($T7="","",ROUND(($T7-$T$3)/1000,1)+(_xlfn.RANK.AVG($T7,($J7,$O7,$T7),1)-2)*10)</f>
        <v>-26.7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86</v>
      </c>
      <c r="BA7" s="41" t="s">
        <v>201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206</v>
      </c>
      <c r="G8" s="9">
        <v>0</v>
      </c>
      <c r="H8" s="9"/>
      <c r="I8" s="48"/>
      <c r="J8" s="21">
        <f t="shared" si="2"/>
        <v>20800</v>
      </c>
      <c r="K8" s="8" t="s">
        <v>206</v>
      </c>
      <c r="L8" s="9">
        <v>0</v>
      </c>
      <c r="M8" s="9"/>
      <c r="N8" s="48"/>
      <c r="O8" s="21">
        <f t="shared" si="3"/>
        <v>65900</v>
      </c>
      <c r="P8" s="8" t="s">
        <v>206</v>
      </c>
      <c r="Q8" s="9">
        <v>0</v>
      </c>
      <c r="R8" s="9"/>
      <c r="S8" s="48"/>
      <c r="T8" s="21">
        <f t="shared" si="4"/>
        <v>18300</v>
      </c>
      <c r="U8" s="53">
        <f>IF($J8="","",ROUND(($J8-$J$3)/1000,1)+(_xlfn.RANK.AVG($J8,($J8,$O8,$T8),1)-2)*10)</f>
        <v>-14.2</v>
      </c>
      <c r="V8" s="54">
        <f>IF($O8="","",ROUND(($O8-$O$3)/1000,1)+(_xlfn.RANK.AVG($O8,($J8,$O8,$T8),1)-2)*10)</f>
        <v>40.9</v>
      </c>
      <c r="W8" s="55">
        <f>IF($T8="","",ROUND(($T8-$T$3)/1000,1)+(_xlfn.RANK.AVG($T8,($J8,$O8,$T8),1)-2)*10)</f>
        <v>-26.7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IF($F$1="","",$F$1)</f>
        <v>りくと</v>
      </c>
      <c r="F9" s="8" t="s">
        <v>203</v>
      </c>
      <c r="G9" s="9">
        <v>-3900</v>
      </c>
      <c r="H9" s="9"/>
      <c r="I9" s="48">
        <v>-1000</v>
      </c>
      <c r="J9" s="21">
        <f t="shared" si="2"/>
        <v>15900</v>
      </c>
      <c r="K9" s="8"/>
      <c r="L9" s="9"/>
      <c r="M9" s="9"/>
      <c r="N9" s="48"/>
      <c r="O9" s="21">
        <f t="shared" si="3"/>
        <v>65900</v>
      </c>
      <c r="P9" s="8" t="s">
        <v>202</v>
      </c>
      <c r="Q9" s="9">
        <v>3900</v>
      </c>
      <c r="R9" s="9"/>
      <c r="S9" s="48">
        <v>1000</v>
      </c>
      <c r="T9" s="21">
        <f t="shared" si="4"/>
        <v>23200</v>
      </c>
      <c r="U9" s="53">
        <f>IF($J9="","",ROUND(($J9-$J$3)/1000,1)+(_xlfn.RANK.AVG($J9,($J9,$O9,$T9),1)-2)*10)</f>
        <v>-29.1</v>
      </c>
      <c r="V9" s="54">
        <f>IF($O9="","",ROUND(($O9-$O$3)/1000,1)+(_xlfn.RANK.AVG($O9,($J9,$O9,$T9),1)-2)*10)</f>
        <v>40.9</v>
      </c>
      <c r="W9" s="55">
        <f>IF($T9="","",ROUND(($T9-$T$3)/1000,1)+(_xlfn.RANK.AVG($T9,($J9,$O9,$T9),1)-2)*10)</f>
        <v>-11.8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199</v>
      </c>
      <c r="BV9" s="41" t="s">
        <v>201</v>
      </c>
      <c r="BW9" s="41" t="s">
        <v>83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206</v>
      </c>
      <c r="G10" s="9">
        <v>1500</v>
      </c>
      <c r="H10" s="9">
        <v>-1000</v>
      </c>
      <c r="I10" s="48"/>
      <c r="J10" s="21">
        <f t="shared" si="2"/>
        <v>16400</v>
      </c>
      <c r="K10" s="8" t="s">
        <v>206</v>
      </c>
      <c r="L10" s="9">
        <v>1500</v>
      </c>
      <c r="M10" s="9">
        <v>1000</v>
      </c>
      <c r="N10" s="48"/>
      <c r="O10" s="21">
        <f t="shared" si="3"/>
        <v>68400</v>
      </c>
      <c r="P10" s="8" t="s">
        <v>206</v>
      </c>
      <c r="Q10" s="9">
        <v>-3000</v>
      </c>
      <c r="R10" s="9"/>
      <c r="S10" s="48"/>
      <c r="T10" s="21">
        <f t="shared" si="4"/>
        <v>20200</v>
      </c>
      <c r="U10" s="53">
        <f>IF($J10="","",ROUND(($J10-$J$3)/1000,1)+(_xlfn.RANK.AVG($J10,($J10,$O10,$T10),1)-2)*10)</f>
        <v>-28.6</v>
      </c>
      <c r="V10" s="54">
        <f>IF($O10="","",ROUND(($O10-$O$3)/1000,1)+(_xlfn.RANK.AVG($O10,($J10,$O10,$T10),1)-2)*10)</f>
        <v>43.4</v>
      </c>
      <c r="W10" s="55">
        <f>IF($T10="","",ROUND(($T10-$T$3)/1000,1)+(_xlfn.RANK.AVG($T10,($J10,$O10,$T10),1)-2)*10)</f>
        <v>-14.8</v>
      </c>
      <c r="Y10" s="8" t="s">
        <v>205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D3336E00-1083-47BD-872F-EB05F20F5D1B}">
      <formula1>$U$2:$W$2</formula1>
    </dataValidation>
    <dataValidation type="list" showInputMessage="1" showErrorMessage="1" sqref="K4:K30 P4:P30 F4:F30" xr:uid="{6469CED1-EF33-4287-86A0-C144F1C59C3A}">
      <formula1>"ロン,ツモ,放銃,ツモ支払,流局,チョンボ"</formula1>
    </dataValidation>
    <dataValidation type="list" allowBlank="1" showInputMessage="1" sqref="F1:T1" xr:uid="{6E8B72C6-4775-4E29-B1EE-2ECAAAD9004F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A51A6-31BA-4D0A-95DA-6E838D8C53E3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202</v>
      </c>
      <c r="G4" s="9">
        <v>8000</v>
      </c>
      <c r="H4" s="9"/>
      <c r="I4" s="48"/>
      <c r="J4" s="21">
        <f>IF(COUNTA($F4,$K4,$P4)&gt;0,J3+SUM(G4:I4),"")</f>
        <v>43000</v>
      </c>
      <c r="K4" s="8" t="s">
        <v>203</v>
      </c>
      <c r="L4" s="9">
        <v>-20000</v>
      </c>
      <c r="M4" s="9"/>
      <c r="N4" s="48">
        <v>0</v>
      </c>
      <c r="O4" s="21">
        <f>IF(COUNTA($F4,$K4,$P4)&gt;0,O3+SUM(L4:N4),"")</f>
        <v>15000</v>
      </c>
      <c r="P4" s="8" t="s">
        <v>202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8</v>
      </c>
      <c r="V4" s="54">
        <f>IF($O4="","",ROUND(($O4-$O$3)/1000,1)+(_xlfn.RANK.AVG($O4,($J4,$O4,$T4),1)-2)*10)</f>
        <v>-30</v>
      </c>
      <c r="W4" s="55">
        <f>IF($T4="","",ROUND(($T4-$T$3)/1000,1)+(_xlfn.RANK.AVG($T4,($J4,$O4,$T4),1)-2)*10)</f>
        <v>22</v>
      </c>
      <c r="Y4" s="8"/>
      <c r="Z4" s="34"/>
      <c r="AA4" s="26"/>
      <c r="AB4" s="26">
        <v>1</v>
      </c>
      <c r="AC4" s="26">
        <v>5</v>
      </c>
      <c r="AD4" s="30" t="s">
        <v>198</v>
      </c>
      <c r="AE4" s="40" t="s">
        <v>104</v>
      </c>
      <c r="AF4" s="41" t="s">
        <v>86</v>
      </c>
      <c r="AG4" s="41" t="s">
        <v>86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198</v>
      </c>
      <c r="BU4" s="40" t="s">
        <v>104</v>
      </c>
      <c r="BV4" s="41" t="s">
        <v>92</v>
      </c>
      <c r="BW4" s="41" t="s">
        <v>201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206</v>
      </c>
      <c r="G5" s="9">
        <v>1500</v>
      </c>
      <c r="H5" s="9">
        <v>-2000</v>
      </c>
      <c r="I5" s="48"/>
      <c r="J5" s="21">
        <f t="shared" ref="J5:J30" si="2">IF(COUNTA($F5,$K5,$P5)&gt;0,J4+SUM(G5:I5),"")</f>
        <v>42500</v>
      </c>
      <c r="K5" s="8" t="s">
        <v>206</v>
      </c>
      <c r="L5" s="9">
        <v>-3000</v>
      </c>
      <c r="M5" s="9"/>
      <c r="N5" s="48"/>
      <c r="O5" s="21">
        <f t="shared" ref="O5:O30" si="3">IF(COUNTA($F5,$K5,$P5)&gt;0,O4+SUM(L5:N5),"")</f>
        <v>12000</v>
      </c>
      <c r="P5" s="8" t="s">
        <v>206</v>
      </c>
      <c r="Q5" s="9">
        <v>1500</v>
      </c>
      <c r="R5" s="9">
        <v>-2000</v>
      </c>
      <c r="S5" s="48"/>
      <c r="T5" s="21">
        <f t="shared" ref="T5:T30" si="4">IF(COUNTA($F5,$K5,$P5)&gt;0,T4+SUM(Q5:S5),"")</f>
        <v>46500</v>
      </c>
      <c r="U5" s="53">
        <f>IF($J5="","",ROUND(($J5-$J$3)/1000,1)+(_xlfn.RANK.AVG($J5,($J5,$O5,$T5),1)-2)*10)</f>
        <v>7.5</v>
      </c>
      <c r="V5" s="54">
        <f>IF($O5="","",ROUND(($O5-$O$3)/1000,1)+(_xlfn.RANK.AVG($O5,($J5,$O5,$T5),1)-2)*10)</f>
        <v>-33</v>
      </c>
      <c r="W5" s="55">
        <f>IF($T5="","",ROUND(($T5-$T$3)/1000,1)+(_xlfn.RANK.AVG($T5,($J5,$O5,$T5),1)-2)*10)</f>
        <v>21.5</v>
      </c>
      <c r="Y5" s="8" t="s">
        <v>205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4</v>
      </c>
      <c r="E6" s="4" t="str">
        <f>IF($P$1="","",$P$1)</f>
        <v>だいち</v>
      </c>
      <c r="F6" s="8" t="s">
        <v>203</v>
      </c>
      <c r="G6" s="9">
        <v>-12000</v>
      </c>
      <c r="H6" s="9"/>
      <c r="I6" s="48">
        <v>-2000</v>
      </c>
      <c r="J6" s="21">
        <f t="shared" si="2"/>
        <v>28500</v>
      </c>
      <c r="K6" s="8"/>
      <c r="L6" s="9"/>
      <c r="M6" s="9"/>
      <c r="N6" s="48"/>
      <c r="O6" s="21">
        <f t="shared" si="3"/>
        <v>12000</v>
      </c>
      <c r="P6" s="8" t="s">
        <v>202</v>
      </c>
      <c r="Q6" s="9">
        <v>12000</v>
      </c>
      <c r="R6" s="9">
        <v>4000</v>
      </c>
      <c r="S6" s="48">
        <v>2000</v>
      </c>
      <c r="T6" s="21">
        <f t="shared" si="4"/>
        <v>64500</v>
      </c>
      <c r="U6" s="53">
        <f>IF($J6="","",ROUND(($J6-$J$3)/1000,1)+(_xlfn.RANK.AVG($J6,($J6,$O6,$T6),1)-2)*10)</f>
        <v>-6.5</v>
      </c>
      <c r="V6" s="54">
        <f>IF($O6="","",ROUND(($O6-$O$3)/1000,1)+(_xlfn.RANK.AVG($O6,($J6,$O6,$T6),1)-2)*10)</f>
        <v>-33</v>
      </c>
      <c r="W6" s="55">
        <f>IF($T6="","",ROUND(($T6-$T$3)/1000,1)+(_xlfn.RANK.AVG($T6,($J6,$O6,$T6),1)-2)*10)</f>
        <v>39.5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40</v>
      </c>
      <c r="BU6" s="40" t="s">
        <v>96</v>
      </c>
      <c r="BV6" s="41" t="s">
        <v>98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IF($P$1="","",$P$1)</f>
        <v>だいち</v>
      </c>
      <c r="F7" s="8" t="s">
        <v>197</v>
      </c>
      <c r="G7" s="9">
        <v>-1500</v>
      </c>
      <c r="H7" s="9"/>
      <c r="I7" s="48">
        <v>-1500</v>
      </c>
      <c r="J7" s="21">
        <f t="shared" si="2"/>
        <v>25500</v>
      </c>
      <c r="K7" s="8" t="s">
        <v>196</v>
      </c>
      <c r="L7" s="9">
        <v>4000</v>
      </c>
      <c r="M7" s="9"/>
      <c r="N7" s="48">
        <v>3000</v>
      </c>
      <c r="O7" s="21">
        <f t="shared" si="3"/>
        <v>19000</v>
      </c>
      <c r="P7" s="8" t="s">
        <v>197</v>
      </c>
      <c r="Q7" s="9">
        <v>-2500</v>
      </c>
      <c r="R7" s="9"/>
      <c r="S7" s="48">
        <v>-1500</v>
      </c>
      <c r="T7" s="21">
        <f t="shared" si="4"/>
        <v>60500</v>
      </c>
      <c r="U7" s="53">
        <f>IF($J7="","",ROUND(($J7-$J$3)/1000,1)+(_xlfn.RANK.AVG($J7,($J7,$O7,$T7),1)-2)*10)</f>
        <v>-9.5</v>
      </c>
      <c r="V7" s="54">
        <f>IF($O7="","",ROUND(($O7-$O$3)/1000,1)+(_xlfn.RANK.AVG($O7,($J7,$O7,$T7),1)-2)*10)</f>
        <v>-26</v>
      </c>
      <c r="W7" s="55">
        <f>IF($T7="","",ROUND(($T7-$T$3)/1000,1)+(_xlfn.RANK.AVG($T7,($J7,$O7,$T7),1)-2)*10)</f>
        <v>35.5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60</v>
      </c>
      <c r="AZ7" s="40" t="s">
        <v>199</v>
      </c>
      <c r="BA7" s="41" t="s">
        <v>82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/>
      <c r="G8" s="9"/>
      <c r="H8" s="9"/>
      <c r="I8" s="48"/>
      <c r="J8" s="21">
        <f t="shared" si="2"/>
        <v>25500</v>
      </c>
      <c r="K8" s="8" t="s">
        <v>202</v>
      </c>
      <c r="L8" s="9">
        <v>2600</v>
      </c>
      <c r="M8" s="9"/>
      <c r="N8" s="48">
        <v>0</v>
      </c>
      <c r="O8" s="21">
        <f t="shared" si="3"/>
        <v>21600</v>
      </c>
      <c r="P8" s="8" t="s">
        <v>203</v>
      </c>
      <c r="Q8" s="9">
        <v>-2600</v>
      </c>
      <c r="R8" s="9"/>
      <c r="S8" s="48">
        <v>0</v>
      </c>
      <c r="T8" s="21">
        <f t="shared" si="4"/>
        <v>57900</v>
      </c>
      <c r="U8" s="53">
        <f>IF($J8="","",ROUND(($J8-$J$3)/1000,1)+(_xlfn.RANK.AVG($J8,($J8,$O8,$T8),1)-2)*10)</f>
        <v>-9.5</v>
      </c>
      <c r="V8" s="54">
        <f>IF($O8="","",ROUND(($O8-$O$3)/1000,1)+(_xlfn.RANK.AVG($O8,($J8,$O8,$T8),1)-2)*10)</f>
        <v>-23.4</v>
      </c>
      <c r="W8" s="55">
        <f>IF($T8="","",ROUND(($T8-$T$3)/1000,1)+(_xlfn.RANK.AVG($T8,($J8,$O8,$T8),1)-2)*10)</f>
        <v>32.9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40</v>
      </c>
      <c r="AZ8" s="40" t="s">
        <v>86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196</v>
      </c>
      <c r="G9" s="9">
        <v>8000</v>
      </c>
      <c r="H9" s="9">
        <v>3000</v>
      </c>
      <c r="I9" s="48">
        <v>0</v>
      </c>
      <c r="J9" s="21">
        <f t="shared" si="2"/>
        <v>36500</v>
      </c>
      <c r="K9" s="8" t="s">
        <v>197</v>
      </c>
      <c r="L9" s="9">
        <v>-5000</v>
      </c>
      <c r="M9" s="9">
        <v>-2000</v>
      </c>
      <c r="N9" s="48">
        <v>0</v>
      </c>
      <c r="O9" s="21">
        <f t="shared" si="3"/>
        <v>14600</v>
      </c>
      <c r="P9" s="8" t="s">
        <v>197</v>
      </c>
      <c r="Q9" s="9">
        <v>-3000</v>
      </c>
      <c r="R9" s="9">
        <v>-1000</v>
      </c>
      <c r="S9" s="48">
        <v>0</v>
      </c>
      <c r="T9" s="21">
        <f t="shared" si="4"/>
        <v>53900</v>
      </c>
      <c r="U9" s="53">
        <f>IF($J9="","",ROUND(($J9-$J$3)/1000,1)+(_xlfn.RANK.AVG($J9,($J9,$O9,$T9),1)-2)*10)</f>
        <v>1.5</v>
      </c>
      <c r="V9" s="54">
        <f>IF($O9="","",ROUND(($O9-$O$3)/1000,1)+(_xlfn.RANK.AVG($O9,($J9,$O9,$T9),1)-2)*10)</f>
        <v>-30.4</v>
      </c>
      <c r="W9" s="55">
        <f>IF($T9="","",ROUND(($T9-$T$3)/1000,1)+(_xlfn.RANK.AVG($T9,($J9,$O9,$T9),1)-2)*10)</f>
        <v>28.9</v>
      </c>
      <c r="Y9" s="8"/>
      <c r="Z9" s="34"/>
      <c r="AA9" s="26">
        <v>1</v>
      </c>
      <c r="AB9" s="26"/>
      <c r="AC9" s="26">
        <v>5</v>
      </c>
      <c r="AD9" s="30" t="s">
        <v>198</v>
      </c>
      <c r="AE9" s="40" t="s">
        <v>199</v>
      </c>
      <c r="AF9" s="41" t="s">
        <v>82</v>
      </c>
      <c r="AG9" s="41" t="s">
        <v>96</v>
      </c>
      <c r="AH9" s="41" t="s">
        <v>86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202</v>
      </c>
      <c r="G10" s="9">
        <v>12000</v>
      </c>
      <c r="H10" s="9"/>
      <c r="I10" s="48">
        <v>0</v>
      </c>
      <c r="J10" s="21">
        <f t="shared" si="2"/>
        <v>48500</v>
      </c>
      <c r="K10" s="8" t="s">
        <v>203</v>
      </c>
      <c r="L10" s="9">
        <v>-12000</v>
      </c>
      <c r="M10" s="9"/>
      <c r="N10" s="48">
        <v>0</v>
      </c>
      <c r="O10" s="21">
        <f t="shared" si="3"/>
        <v>2600</v>
      </c>
      <c r="P10" s="8"/>
      <c r="Q10" s="9"/>
      <c r="R10" s="9"/>
      <c r="S10" s="48"/>
      <c r="T10" s="21">
        <f t="shared" si="4"/>
        <v>53900</v>
      </c>
      <c r="U10" s="53">
        <f>IF($J10="","",ROUND(($J10-$J$3)/1000,1)+(_xlfn.RANK.AVG($J10,($J10,$O10,$T10),1)-2)*10)</f>
        <v>13.5</v>
      </c>
      <c r="V10" s="54">
        <f>IF($O10="","",ROUND(($O10-$O$3)/1000,1)+(_xlfn.RANK.AVG($O10,($J10,$O10,$T10),1)-2)*10)</f>
        <v>-42.4</v>
      </c>
      <c r="W10" s="55">
        <f>IF($T10="","",ROUND(($T10-$T$3)/1000,1)+(_xlfn.RANK.AVG($T10,($J10,$O10,$T10),1)-2)*10)</f>
        <v>28.9</v>
      </c>
      <c r="Y10" s="8"/>
      <c r="Z10" s="34"/>
      <c r="AA10" s="26">
        <v>1</v>
      </c>
      <c r="AB10" s="26"/>
      <c r="AC10" s="26">
        <v>6</v>
      </c>
      <c r="AD10" s="30" t="s">
        <v>198</v>
      </c>
      <c r="AE10" s="40" t="s">
        <v>199</v>
      </c>
      <c r="AF10" s="41" t="s">
        <v>101</v>
      </c>
      <c r="AG10" s="41" t="s">
        <v>104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りくと</v>
      </c>
      <c r="F11" s="8" t="s">
        <v>197</v>
      </c>
      <c r="G11" s="9">
        <v>-7500</v>
      </c>
      <c r="H11" s="9">
        <v>-1000</v>
      </c>
      <c r="I11" s="48">
        <v>0</v>
      </c>
      <c r="J11" s="21">
        <f t="shared" si="2"/>
        <v>40000</v>
      </c>
      <c r="K11" s="8" t="s">
        <v>196</v>
      </c>
      <c r="L11" s="9">
        <v>12000</v>
      </c>
      <c r="M11" s="9">
        <v>1000</v>
      </c>
      <c r="N11" s="48">
        <v>0</v>
      </c>
      <c r="O11" s="21">
        <f t="shared" si="3"/>
        <v>15600</v>
      </c>
      <c r="P11" s="8" t="s">
        <v>197</v>
      </c>
      <c r="Q11" s="9">
        <v>-4500</v>
      </c>
      <c r="R11" s="9"/>
      <c r="S11" s="48">
        <v>0</v>
      </c>
      <c r="T11" s="21">
        <f t="shared" si="4"/>
        <v>49400</v>
      </c>
      <c r="U11" s="53">
        <f>IF($J11="","",ROUND(($J11-$J$3)/1000,1)+(_xlfn.RANK.AVG($J11,($J11,$O11,$T11),1)-2)*10)</f>
        <v>5</v>
      </c>
      <c r="V11" s="54">
        <f>IF($O11="","",ROUND(($O11-$O$3)/1000,1)+(_xlfn.RANK.AVG($O11,($J11,$O11,$T11),1)-2)*10)</f>
        <v>-29.4</v>
      </c>
      <c r="W11" s="55">
        <f>IF($T11="","",ROUND(($T11-$T$3)/1000,1)+(_xlfn.RANK.AVG($T11,($J11,$O11,$T11),1)-2)*10)</f>
        <v>24.4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7</v>
      </c>
      <c r="AY11" s="30" t="s">
        <v>198</v>
      </c>
      <c r="AZ11" s="40" t="s">
        <v>199</v>
      </c>
      <c r="BA11" s="41" t="s">
        <v>82</v>
      </c>
      <c r="BB11" s="41" t="s">
        <v>200</v>
      </c>
      <c r="BC11" s="41" t="s">
        <v>96</v>
      </c>
      <c r="BD11" s="41" t="s">
        <v>201</v>
      </c>
      <c r="BE11" s="41" t="s">
        <v>86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IF($K$1="","",$K$1)</f>
        <v>ただ</v>
      </c>
      <c r="F12" s="8" t="s">
        <v>196</v>
      </c>
      <c r="G12" s="9">
        <v>5300</v>
      </c>
      <c r="H12" s="9"/>
      <c r="I12" s="48">
        <v>0</v>
      </c>
      <c r="J12" s="21">
        <f t="shared" si="2"/>
        <v>45300</v>
      </c>
      <c r="K12" s="8" t="s">
        <v>197</v>
      </c>
      <c r="L12" s="9">
        <v>-3300</v>
      </c>
      <c r="M12" s="9"/>
      <c r="N12" s="48">
        <v>0</v>
      </c>
      <c r="O12" s="21">
        <f t="shared" si="3"/>
        <v>12300</v>
      </c>
      <c r="P12" s="8" t="s">
        <v>197</v>
      </c>
      <c r="Q12" s="9">
        <v>-2000</v>
      </c>
      <c r="R12" s="9"/>
      <c r="S12" s="48">
        <v>0</v>
      </c>
      <c r="T12" s="21">
        <f t="shared" si="4"/>
        <v>47400</v>
      </c>
      <c r="U12" s="53">
        <f>IF($J12="","",ROUND(($J12-$J$3)/1000,1)+(_xlfn.RANK.AVG($J12,($J12,$O12,$T12),1)-2)*10)</f>
        <v>10.3</v>
      </c>
      <c r="V12" s="54">
        <f>IF($O12="","",ROUND(($O12-$O$3)/1000,1)+(_xlfn.RANK.AVG($O12,($J12,$O12,$T12),1)-2)*10)</f>
        <v>-32.700000000000003</v>
      </c>
      <c r="W12" s="55">
        <f>IF($T12="","",ROUND(($T12-$T$3)/1000,1)+(_xlfn.RANK.AVG($T12,($J12,$O12,$T12),1)-2)*10)</f>
        <v>22.4</v>
      </c>
      <c r="Y12" s="8"/>
      <c r="Z12" s="34"/>
      <c r="AA12" s="26">
        <v>1</v>
      </c>
      <c r="AB12" s="26"/>
      <c r="AC12" s="26">
        <v>4</v>
      </c>
      <c r="AD12" s="30">
        <v>20</v>
      </c>
      <c r="AE12" s="40" t="s">
        <v>199</v>
      </c>
      <c r="AF12" s="41" t="s">
        <v>82</v>
      </c>
      <c r="AG12" s="41" t="s">
        <v>200</v>
      </c>
      <c r="AH12" s="41" t="s">
        <v>83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FC96EC63-0F65-40CC-B2BE-111F91728F7F}">
      <formula1>"ロン,ツモ,放銃,ツモ支払,流局,チョンボ"</formula1>
    </dataValidation>
    <dataValidation type="list" allowBlank="1" showInputMessage="1" showErrorMessage="1" sqref="E4:E30" xr:uid="{9A319DB8-2AED-4776-A5FB-BD09259CE5D8}">
      <formula1>$U$2:$W$2</formula1>
    </dataValidation>
    <dataValidation type="list" allowBlank="1" showInputMessage="1" sqref="F1:T1" xr:uid="{5867E8C3-4BE1-429E-B417-184B5F85BA1E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2022-03-13T08:40:08Z</dcterms:modified>
</cp:coreProperties>
</file>