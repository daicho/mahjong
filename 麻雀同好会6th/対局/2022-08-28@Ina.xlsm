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専攻科\対局\"/>
    </mc:Choice>
  </mc:AlternateContent>
  <xr:revisionPtr revIDLastSave="0" documentId="13_ncr:1_{D6A3E279-036F-4377-A6B1-E61AC25D9212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役一覧" sheetId="15" state="hidden" r:id="rId12"/>
    <sheet name="点数表(親ロン)" sheetId="4" state="hidden" r:id="rId13"/>
    <sheet name="点数表(親ツモ)" sheetId="9" state="hidden" r:id="rId14"/>
    <sheet name="点数表(子→親)" sheetId="7" state="hidden" r:id="rId15"/>
    <sheet name="点数表(子ロン)" sheetId="3" state="hidden" r:id="rId16"/>
    <sheet name="点数表(子ツモ)" sheetId="10" state="hidden" r:id="rId17"/>
    <sheet name="点数表(子→子)" sheetId="5" state="hidden" r:id="rId18"/>
    <sheet name="点数表(親→子)" sheetId="6" state="hidden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9" l="1"/>
  <c r="D10" i="29" s="1"/>
  <c r="E9" i="29"/>
  <c r="E8" i="29"/>
  <c r="D8" i="29" s="1"/>
  <c r="E7" i="29"/>
  <c r="E6" i="29"/>
  <c r="C6" i="29" s="1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D15" i="29"/>
  <c r="D14" i="29"/>
  <c r="D11" i="29"/>
  <c r="D12" i="29" s="1"/>
  <c r="D7" i="29"/>
  <c r="C7" i="29"/>
  <c r="O6" i="29"/>
  <c r="O7" i="29" s="1"/>
  <c r="O5" i="29"/>
  <c r="B6" i="29"/>
  <c r="B5" i="29"/>
  <c r="A5" i="29"/>
  <c r="T4" i="29"/>
  <c r="T5" i="29" s="1"/>
  <c r="O4" i="29"/>
  <c r="J4" i="29"/>
  <c r="J5" i="29" s="1"/>
  <c r="W3" i="29"/>
  <c r="V3" i="29"/>
  <c r="U3" i="29"/>
  <c r="W2" i="29"/>
  <c r="V2" i="29"/>
  <c r="U2" i="29"/>
  <c r="BO1" i="29"/>
  <c r="AT1" i="29"/>
  <c r="Y1" i="29"/>
  <c r="E15" i="28"/>
  <c r="E14" i="28"/>
  <c r="D14" i="28"/>
  <c r="E13" i="28"/>
  <c r="C13" i="28" s="1"/>
  <c r="E12" i="28"/>
  <c r="D12" i="28" s="1"/>
  <c r="E11" i="28"/>
  <c r="E10" i="28"/>
  <c r="E9" i="28"/>
  <c r="E8" i="28"/>
  <c r="E7" i="28"/>
  <c r="E6" i="28"/>
  <c r="E5" i="28"/>
  <c r="A5" i="28" s="1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O15" i="28"/>
  <c r="J15" i="28"/>
  <c r="D15" i="28"/>
  <c r="C15" i="28"/>
  <c r="B15" i="28"/>
  <c r="A15" i="28"/>
  <c r="T14" i="28"/>
  <c r="O14" i="28"/>
  <c r="V14" i="28" s="1"/>
  <c r="J14" i="28"/>
  <c r="C14" i="28"/>
  <c r="D13" i="28"/>
  <c r="D11" i="28"/>
  <c r="D10" i="28"/>
  <c r="D9" i="28"/>
  <c r="D8" i="28"/>
  <c r="D7" i="28"/>
  <c r="B6" i="28"/>
  <c r="D6" i="28"/>
  <c r="C6" i="28"/>
  <c r="T5" i="28"/>
  <c r="T6" i="28" s="1"/>
  <c r="O5" i="28"/>
  <c r="O6" i="28" s="1"/>
  <c r="J5" i="28"/>
  <c r="D5" i="28"/>
  <c r="C5" i="28"/>
  <c r="B5" i="28"/>
  <c r="T4" i="28"/>
  <c r="O4" i="28"/>
  <c r="J4" i="28"/>
  <c r="W3" i="28"/>
  <c r="V3" i="28"/>
  <c r="U3" i="28"/>
  <c r="W2" i="28"/>
  <c r="V2" i="28"/>
  <c r="U2" i="28"/>
  <c r="BO1" i="28"/>
  <c r="AT1" i="28"/>
  <c r="Y1" i="28"/>
  <c r="B14" i="27"/>
  <c r="A14" i="27" s="1"/>
  <c r="E13" i="27"/>
  <c r="B13" i="27" s="1"/>
  <c r="A13" i="27" s="1"/>
  <c r="E12" i="27"/>
  <c r="E11" i="27"/>
  <c r="D11" i="27" s="1"/>
  <c r="E10" i="27"/>
  <c r="E9" i="27"/>
  <c r="E8" i="27"/>
  <c r="C8" i="27" s="1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T13" i="27"/>
  <c r="O13" i="27"/>
  <c r="J13" i="27"/>
  <c r="D13" i="27"/>
  <c r="C13" i="27"/>
  <c r="D12" i="27"/>
  <c r="D10" i="27"/>
  <c r="C10" i="27"/>
  <c r="D7" i="27"/>
  <c r="O6" i="27"/>
  <c r="O7" i="27" s="1"/>
  <c r="D6" i="27"/>
  <c r="O5" i="27"/>
  <c r="D5" i="27"/>
  <c r="C5" i="27"/>
  <c r="C6" i="27" s="1"/>
  <c r="B5" i="27"/>
  <c r="T4" i="27"/>
  <c r="T5" i="27" s="1"/>
  <c r="O4" i="27"/>
  <c r="J4" i="27"/>
  <c r="J5" i="27" s="1"/>
  <c r="W3" i="27"/>
  <c r="V3" i="27"/>
  <c r="U3" i="27"/>
  <c r="W2" i="27"/>
  <c r="V2" i="27"/>
  <c r="U2" i="27"/>
  <c r="BO1" i="27"/>
  <c r="AT1" i="27"/>
  <c r="Y1" i="27"/>
  <c r="E12" i="26"/>
  <c r="D12" i="26" s="1"/>
  <c r="E11" i="26"/>
  <c r="E10" i="26"/>
  <c r="C10" i="26" s="1"/>
  <c r="E9" i="26"/>
  <c r="C9" i="26" s="1"/>
  <c r="E8" i="26"/>
  <c r="A8" i="26" s="1"/>
  <c r="E7" i="26"/>
  <c r="E6" i="26"/>
  <c r="C6" i="26"/>
  <c r="E5" i="26"/>
  <c r="D5" i="26" s="1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 s="1"/>
  <c r="T12" i="26"/>
  <c r="O12" i="26"/>
  <c r="J12" i="26"/>
  <c r="T11" i="26"/>
  <c r="O11" i="26"/>
  <c r="J11" i="26"/>
  <c r="U11" i="26" s="1"/>
  <c r="D11" i="26"/>
  <c r="C11" i="26"/>
  <c r="B11" i="26"/>
  <c r="A11" i="26"/>
  <c r="T10" i="26"/>
  <c r="O10" i="26"/>
  <c r="J10" i="26"/>
  <c r="T9" i="26"/>
  <c r="O9" i="26"/>
  <c r="J9" i="26"/>
  <c r="D9" i="26"/>
  <c r="B9" i="26"/>
  <c r="A9" i="26"/>
  <c r="T8" i="26"/>
  <c r="W8" i="26" s="1"/>
  <c r="O8" i="26"/>
  <c r="J8" i="26"/>
  <c r="D8" i="26"/>
  <c r="C8" i="26"/>
  <c r="B8" i="26"/>
  <c r="T7" i="26"/>
  <c r="O7" i="26"/>
  <c r="J7" i="26"/>
  <c r="D7" i="26"/>
  <c r="C7" i="26"/>
  <c r="B7" i="26"/>
  <c r="A7" i="26" s="1"/>
  <c r="T6" i="26"/>
  <c r="T5" i="26"/>
  <c r="O5" i="26"/>
  <c r="O6" i="26" s="1"/>
  <c r="T4" i="26"/>
  <c r="O4" i="26"/>
  <c r="J4" i="26"/>
  <c r="J5" i="26" s="1"/>
  <c r="W3" i="26"/>
  <c r="V3" i="26"/>
  <c r="U3" i="26"/>
  <c r="W2" i="26"/>
  <c r="V2" i="26"/>
  <c r="U2" i="26"/>
  <c r="BO1" i="26"/>
  <c r="AT1" i="26"/>
  <c r="Y1" i="26"/>
  <c r="E6" i="25"/>
  <c r="D6" i="25" s="1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C12" i="25"/>
  <c r="D12" i="25"/>
  <c r="D10" i="25"/>
  <c r="D8" i="25"/>
  <c r="D7" i="25"/>
  <c r="O5" i="25"/>
  <c r="O6" i="25" s="1"/>
  <c r="B5" i="25"/>
  <c r="D5" i="25"/>
  <c r="C5" i="25"/>
  <c r="T4" i="25"/>
  <c r="T5" i="25" s="1"/>
  <c r="O4" i="25"/>
  <c r="J4" i="25"/>
  <c r="J5" i="25" s="1"/>
  <c r="W3" i="25"/>
  <c r="V3" i="25"/>
  <c r="U3" i="25"/>
  <c r="W2" i="25"/>
  <c r="V2" i="25"/>
  <c r="U2" i="25"/>
  <c r="BO1" i="25"/>
  <c r="AT1" i="25"/>
  <c r="Y1" i="25"/>
  <c r="B13" i="24"/>
  <c r="A13" i="24" s="1"/>
  <c r="E12" i="24"/>
  <c r="E11" i="24"/>
  <c r="E10" i="24"/>
  <c r="D10" i="24" s="1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T12" i="24"/>
  <c r="O12" i="24"/>
  <c r="J12" i="24"/>
  <c r="D12" i="24"/>
  <c r="C12" i="24"/>
  <c r="B12" i="24"/>
  <c r="A12" i="24" s="1"/>
  <c r="T11" i="24"/>
  <c r="O11" i="24"/>
  <c r="J11" i="24"/>
  <c r="D11" i="24"/>
  <c r="C11" i="24"/>
  <c r="B11" i="24"/>
  <c r="A11" i="24"/>
  <c r="D8" i="24"/>
  <c r="B6" i="24"/>
  <c r="C6" i="24"/>
  <c r="O5" i="24"/>
  <c r="O6" i="24" s="1"/>
  <c r="J5" i="24"/>
  <c r="J6" i="24" s="1"/>
  <c r="D5" i="24"/>
  <c r="D6" i="24" s="1"/>
  <c r="D7" i="24" s="1"/>
  <c r="C5" i="24"/>
  <c r="B5" i="24"/>
  <c r="A5" i="24"/>
  <c r="T4" i="24"/>
  <c r="T5" i="24" s="1"/>
  <c r="O4" i="24"/>
  <c r="J4" i="24"/>
  <c r="W3" i="24"/>
  <c r="V3" i="24"/>
  <c r="U3" i="24"/>
  <c r="W2" i="24"/>
  <c r="V2" i="24"/>
  <c r="U2" i="24"/>
  <c r="BO1" i="24"/>
  <c r="AT1" i="24"/>
  <c r="Y1" i="24"/>
  <c r="D11" i="23"/>
  <c r="E10" i="23"/>
  <c r="D10" i="23" s="1"/>
  <c r="E9" i="23"/>
  <c r="E8" i="23"/>
  <c r="D8" i="23" s="1"/>
  <c r="E7" i="23"/>
  <c r="D7" i="23" s="1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C10" i="23"/>
  <c r="T6" i="23"/>
  <c r="T7" i="23" s="1"/>
  <c r="B6" i="23"/>
  <c r="D6" i="23"/>
  <c r="C6" i="23"/>
  <c r="T5" i="23"/>
  <c r="D5" i="23"/>
  <c r="C5" i="23"/>
  <c r="B5" i="23"/>
  <c r="A5" i="23"/>
  <c r="T4" i="23"/>
  <c r="O4" i="23"/>
  <c r="O5" i="23" s="1"/>
  <c r="J4" i="23"/>
  <c r="W3" i="23"/>
  <c r="V3" i="23"/>
  <c r="U3" i="23"/>
  <c r="W2" i="23"/>
  <c r="V2" i="23"/>
  <c r="U2" i="23"/>
  <c r="BO1" i="23"/>
  <c r="AT1" i="23"/>
  <c r="Y1" i="23"/>
  <c r="D12" i="22"/>
  <c r="E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C12" i="22"/>
  <c r="T11" i="22"/>
  <c r="O11" i="22"/>
  <c r="J11" i="22"/>
  <c r="D11" i="22"/>
  <c r="C11" i="22"/>
  <c r="B11" i="22"/>
  <c r="A11" i="22" s="1"/>
  <c r="C10" i="22"/>
  <c r="D9" i="22"/>
  <c r="D8" i="22"/>
  <c r="C8" i="22"/>
  <c r="D7" i="22"/>
  <c r="C7" i="22"/>
  <c r="D6" i="22"/>
  <c r="J5" i="22"/>
  <c r="J6" i="22" s="1"/>
  <c r="B5" i="22"/>
  <c r="D5" i="22"/>
  <c r="T4" i="22"/>
  <c r="T5" i="22" s="1"/>
  <c r="O4" i="22"/>
  <c r="O5" i="22" s="1"/>
  <c r="J4" i="22"/>
  <c r="W3" i="22"/>
  <c r="V3" i="22"/>
  <c r="U3" i="22"/>
  <c r="W2" i="22"/>
  <c r="V2" i="22"/>
  <c r="U2" i="22"/>
  <c r="BO1" i="22"/>
  <c r="AT1" i="22"/>
  <c r="Y1" i="22"/>
  <c r="D11" i="21"/>
  <c r="E10" i="21"/>
  <c r="D10" i="21" s="1"/>
  <c r="E9" i="21"/>
  <c r="E8" i="21"/>
  <c r="E7" i="21"/>
  <c r="D7" i="21" s="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C11" i="21"/>
  <c r="J5" i="21"/>
  <c r="J6" i="21" s="1"/>
  <c r="C5" i="21"/>
  <c r="T4" i="21"/>
  <c r="T5" i="21" s="1"/>
  <c r="O4" i="21"/>
  <c r="O5" i="21" s="1"/>
  <c r="J4" i="21"/>
  <c r="W3" i="21"/>
  <c r="V3" i="21"/>
  <c r="U3" i="21"/>
  <c r="W2" i="21"/>
  <c r="V2" i="21"/>
  <c r="U2" i="21"/>
  <c r="BO1" i="21"/>
  <c r="AT1" i="21"/>
  <c r="Y1" i="21"/>
  <c r="E11" i="20"/>
  <c r="E10" i="20"/>
  <c r="E9" i="20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C11" i="20"/>
  <c r="D11" i="20"/>
  <c r="T8" i="20"/>
  <c r="T9" i="20" s="1"/>
  <c r="C8" i="20"/>
  <c r="T7" i="20"/>
  <c r="D7" i="20"/>
  <c r="C7" i="20"/>
  <c r="T6" i="20"/>
  <c r="J6" i="20"/>
  <c r="J7" i="20" s="1"/>
  <c r="T5" i="20"/>
  <c r="J5" i="20"/>
  <c r="D5" i="20"/>
  <c r="C5" i="20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C8" i="29" l="1"/>
  <c r="D6" i="29"/>
  <c r="V4" i="29"/>
  <c r="A6" i="29"/>
  <c r="C14" i="29"/>
  <c r="C15" i="29" s="1"/>
  <c r="V5" i="29"/>
  <c r="J6" i="29"/>
  <c r="U5" i="29"/>
  <c r="C9" i="29"/>
  <c r="T6" i="29"/>
  <c r="V6" i="29" s="1"/>
  <c r="W5" i="29"/>
  <c r="O8" i="29"/>
  <c r="W4" i="29"/>
  <c r="B7" i="29"/>
  <c r="D9" i="29"/>
  <c r="C12" i="29"/>
  <c r="C10" i="29"/>
  <c r="C5" i="29"/>
  <c r="B8" i="29"/>
  <c r="B9" i="29" s="1"/>
  <c r="C13" i="29"/>
  <c r="D5" i="29"/>
  <c r="D13" i="29"/>
  <c r="C11" i="29"/>
  <c r="U4" i="29"/>
  <c r="U15" i="28"/>
  <c r="W15" i="28"/>
  <c r="V15" i="28"/>
  <c r="W14" i="28"/>
  <c r="U14" i="28"/>
  <c r="B14" i="28"/>
  <c r="A14" i="28" s="1"/>
  <c r="U5" i="28"/>
  <c r="W4" i="28"/>
  <c r="V4" i="28"/>
  <c r="U4" i="28"/>
  <c r="T7" i="28"/>
  <c r="W6" i="28"/>
  <c r="O7" i="28"/>
  <c r="C12" i="28"/>
  <c r="J6" i="28"/>
  <c r="V6" i="28" s="1"/>
  <c r="C7" i="28"/>
  <c r="B9" i="28"/>
  <c r="B7" i="28"/>
  <c r="V5" i="28"/>
  <c r="C10" i="28"/>
  <c r="C11" i="28" s="1"/>
  <c r="C9" i="28"/>
  <c r="W5" i="28"/>
  <c r="B8" i="28"/>
  <c r="A6" i="28"/>
  <c r="C8" i="28"/>
  <c r="V13" i="27"/>
  <c r="U13" i="27"/>
  <c r="W13" i="27"/>
  <c r="T6" i="27"/>
  <c r="W5" i="27"/>
  <c r="O8" i="27"/>
  <c r="J6" i="27"/>
  <c r="V6" i="27" s="1"/>
  <c r="U5" i="27"/>
  <c r="V5" i="27"/>
  <c r="B6" i="27"/>
  <c r="B7" i="27" s="1"/>
  <c r="D8" i="27"/>
  <c r="C11" i="27"/>
  <c r="U4" i="27"/>
  <c r="V4" i="27"/>
  <c r="C9" i="27"/>
  <c r="W4" i="27"/>
  <c r="D9" i="27"/>
  <c r="C12" i="27"/>
  <c r="A5" i="27"/>
  <c r="C7" i="27"/>
  <c r="V12" i="26"/>
  <c r="W12" i="26"/>
  <c r="U12" i="26"/>
  <c r="A12" i="26"/>
  <c r="B12" i="26"/>
  <c r="C12" i="26"/>
  <c r="W11" i="26"/>
  <c r="V11" i="26"/>
  <c r="V10" i="26"/>
  <c r="W10" i="26"/>
  <c r="U10" i="26"/>
  <c r="B10" i="26"/>
  <c r="A10" i="26" s="1"/>
  <c r="D10" i="26"/>
  <c r="U9" i="26"/>
  <c r="V9" i="26"/>
  <c r="W9" i="26"/>
  <c r="U8" i="26"/>
  <c r="V8" i="26"/>
  <c r="U7" i="26"/>
  <c r="V7" i="26"/>
  <c r="W7" i="26"/>
  <c r="B5" i="26"/>
  <c r="A5" i="26" s="1"/>
  <c r="C5" i="26"/>
  <c r="W4" i="26"/>
  <c r="J6" i="26"/>
  <c r="U6" i="26" s="1"/>
  <c r="U5" i="26"/>
  <c r="W5" i="26"/>
  <c r="V4" i="26"/>
  <c r="D6" i="26"/>
  <c r="V5" i="26"/>
  <c r="B6" i="26"/>
  <c r="A6" i="26" s="1"/>
  <c r="U4" i="26"/>
  <c r="V4" i="25"/>
  <c r="O7" i="25"/>
  <c r="C10" i="25"/>
  <c r="C11" i="25" s="1"/>
  <c r="J6" i="25"/>
  <c r="U5" i="25"/>
  <c r="T6" i="25"/>
  <c r="W5" i="25"/>
  <c r="A5" i="25"/>
  <c r="A6" i="25"/>
  <c r="B8" i="25"/>
  <c r="B6" i="25"/>
  <c r="C8" i="25"/>
  <c r="U4" i="25"/>
  <c r="C6" i="25"/>
  <c r="D11" i="25"/>
  <c r="C9" i="25"/>
  <c r="W4" i="25"/>
  <c r="B7" i="25"/>
  <c r="D9" i="25"/>
  <c r="C7" i="25"/>
  <c r="V5" i="25"/>
  <c r="V12" i="24"/>
  <c r="W12" i="24"/>
  <c r="U12" i="24"/>
  <c r="W11" i="24"/>
  <c r="U11" i="24"/>
  <c r="V11" i="24"/>
  <c r="C7" i="24"/>
  <c r="V4" i="24"/>
  <c r="U4" i="24"/>
  <c r="O7" i="24"/>
  <c r="B7" i="24"/>
  <c r="J7" i="24"/>
  <c r="T6" i="24"/>
  <c r="V6" i="24" s="1"/>
  <c r="W5" i="24"/>
  <c r="C10" i="24"/>
  <c r="A6" i="24"/>
  <c r="C8" i="24"/>
  <c r="V5" i="24"/>
  <c r="C9" i="24"/>
  <c r="W4" i="24"/>
  <c r="D9" i="24"/>
  <c r="U5" i="24"/>
  <c r="A6" i="23"/>
  <c r="W4" i="23"/>
  <c r="T8" i="23"/>
  <c r="O6" i="23"/>
  <c r="C8" i="23"/>
  <c r="C11" i="23"/>
  <c r="U4" i="23"/>
  <c r="V4" i="23"/>
  <c r="J5" i="23"/>
  <c r="C9" i="23"/>
  <c r="B7" i="23"/>
  <c r="D9" i="23"/>
  <c r="C7" i="23"/>
  <c r="B12" i="22"/>
  <c r="A12" i="22" s="1"/>
  <c r="V11" i="22"/>
  <c r="U11" i="22"/>
  <c r="W11" i="22"/>
  <c r="T6" i="22"/>
  <c r="W5" i="22"/>
  <c r="B6" i="22"/>
  <c r="B7" i="22" s="1"/>
  <c r="J7" i="22"/>
  <c r="O6" i="22"/>
  <c r="U6" i="22" s="1"/>
  <c r="V5" i="22"/>
  <c r="A5" i="22"/>
  <c r="U5" i="22"/>
  <c r="C5" i="22"/>
  <c r="D10" i="22"/>
  <c r="C6" i="22"/>
  <c r="U4" i="22"/>
  <c r="V4" i="22"/>
  <c r="C9" i="22"/>
  <c r="W4" i="22"/>
  <c r="U4" i="21"/>
  <c r="J7" i="21"/>
  <c r="O6" i="21"/>
  <c r="V5" i="21"/>
  <c r="T6" i="21"/>
  <c r="W5" i="21"/>
  <c r="D5" i="21"/>
  <c r="C8" i="21"/>
  <c r="C9" i="21" s="1"/>
  <c r="B6" i="21"/>
  <c r="D8" i="21"/>
  <c r="C6" i="21"/>
  <c r="C7" i="21" s="1"/>
  <c r="V4" i="21"/>
  <c r="D6" i="21"/>
  <c r="W4" i="21"/>
  <c r="D9" i="21"/>
  <c r="U5" i="21"/>
  <c r="B5" i="21"/>
  <c r="C10" i="21"/>
  <c r="A5" i="21"/>
  <c r="C6" i="20"/>
  <c r="W4" i="20"/>
  <c r="U4" i="20"/>
  <c r="J8" i="20"/>
  <c r="T10" i="20"/>
  <c r="U5" i="20"/>
  <c r="V5" i="20"/>
  <c r="O6" i="20"/>
  <c r="U6" i="20" s="1"/>
  <c r="W5" i="20"/>
  <c r="B6" i="20"/>
  <c r="B7" i="20" s="1"/>
  <c r="D8" i="20"/>
  <c r="C10" i="20"/>
  <c r="V4" i="20"/>
  <c r="C9" i="20"/>
  <c r="D9" i="20"/>
  <c r="D10" i="20" s="1"/>
  <c r="W3" i="19"/>
  <c r="V3" i="19"/>
  <c r="U3" i="19"/>
  <c r="B10" i="29" l="1"/>
  <c r="A8" i="29"/>
  <c r="A9" i="29" s="1"/>
  <c r="O9" i="29"/>
  <c r="J7" i="29"/>
  <c r="U6" i="29"/>
  <c r="A7" i="29"/>
  <c r="T7" i="29"/>
  <c r="W6" i="29"/>
  <c r="A7" i="28"/>
  <c r="A8" i="28" s="1"/>
  <c r="A9" i="28" s="1"/>
  <c r="J7" i="28"/>
  <c r="V7" i="28" s="1"/>
  <c r="U6" i="28"/>
  <c r="T8" i="28"/>
  <c r="O8" i="28"/>
  <c r="B10" i="28"/>
  <c r="B8" i="27"/>
  <c r="A6" i="27"/>
  <c r="A7" i="27" s="1"/>
  <c r="O9" i="27"/>
  <c r="J7" i="27"/>
  <c r="U6" i="27"/>
  <c r="T7" i="27"/>
  <c r="W6" i="27"/>
  <c r="V6" i="26"/>
  <c r="W6" i="26"/>
  <c r="O8" i="25"/>
  <c r="T7" i="25"/>
  <c r="W6" i="25"/>
  <c r="J7" i="25"/>
  <c r="U6" i="25"/>
  <c r="B9" i="25"/>
  <c r="A8" i="25"/>
  <c r="V6" i="25"/>
  <c r="A7" i="25"/>
  <c r="J8" i="24"/>
  <c r="A7" i="24"/>
  <c r="B8" i="24"/>
  <c r="O8" i="24"/>
  <c r="W6" i="24"/>
  <c r="T7" i="24"/>
  <c r="U7" i="24" s="1"/>
  <c r="U6" i="24"/>
  <c r="T9" i="23"/>
  <c r="A7" i="23"/>
  <c r="J6" i="23"/>
  <c r="U5" i="23"/>
  <c r="W5" i="23"/>
  <c r="O7" i="23"/>
  <c r="B8" i="23"/>
  <c r="V5" i="23"/>
  <c r="B8" i="22"/>
  <c r="A8" i="22" s="1"/>
  <c r="W6" i="22"/>
  <c r="T7" i="22"/>
  <c r="J8" i="22"/>
  <c r="A6" i="22"/>
  <c r="A7" i="22"/>
  <c r="V6" i="22"/>
  <c r="O7" i="22"/>
  <c r="T7" i="21"/>
  <c r="W6" i="21"/>
  <c r="O7" i="21"/>
  <c r="U7" i="21" s="1"/>
  <c r="V6" i="21"/>
  <c r="B7" i="21"/>
  <c r="U6" i="21"/>
  <c r="A6" i="21"/>
  <c r="A7" i="21" s="1"/>
  <c r="J8" i="21"/>
  <c r="B8" i="20"/>
  <c r="J9" i="20"/>
  <c r="A7" i="20"/>
  <c r="A6" i="20"/>
  <c r="T11" i="20"/>
  <c r="O7" i="20"/>
  <c r="V6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A10" i="29" l="1"/>
  <c r="W7" i="29"/>
  <c r="T8" i="29"/>
  <c r="B11" i="29"/>
  <c r="J8" i="29"/>
  <c r="U7" i="29"/>
  <c r="V7" i="29"/>
  <c r="O10" i="29"/>
  <c r="B11" i="28"/>
  <c r="A11" i="28" s="1"/>
  <c r="O9" i="28"/>
  <c r="A10" i="28"/>
  <c r="U7" i="28"/>
  <c r="J8" i="28"/>
  <c r="W7" i="28"/>
  <c r="T9" i="28"/>
  <c r="O10" i="27"/>
  <c r="B9" i="27"/>
  <c r="J8" i="27"/>
  <c r="U7" i="27"/>
  <c r="V7" i="27"/>
  <c r="T8" i="27"/>
  <c r="W7" i="27"/>
  <c r="A8" i="27"/>
  <c r="B10" i="25"/>
  <c r="W7" i="25"/>
  <c r="T8" i="25"/>
  <c r="A9" i="25"/>
  <c r="J8" i="25"/>
  <c r="U7" i="25"/>
  <c r="V7" i="25"/>
  <c r="O9" i="25"/>
  <c r="B9" i="24"/>
  <c r="A9" i="24"/>
  <c r="J9" i="24"/>
  <c r="T8" i="24"/>
  <c r="W7" i="24"/>
  <c r="A8" i="24"/>
  <c r="V7" i="24"/>
  <c r="O9" i="24"/>
  <c r="O8" i="23"/>
  <c r="J7" i="23"/>
  <c r="U6" i="23"/>
  <c r="W6" i="23"/>
  <c r="B9" i="23"/>
  <c r="A9" i="23" s="1"/>
  <c r="T10" i="23"/>
  <c r="V6" i="23"/>
  <c r="A8" i="23"/>
  <c r="O8" i="22"/>
  <c r="V7" i="22"/>
  <c r="U7" i="22"/>
  <c r="J9" i="22"/>
  <c r="W7" i="22"/>
  <c r="T8" i="22"/>
  <c r="B9" i="22"/>
  <c r="O8" i="21"/>
  <c r="V7" i="21"/>
  <c r="T8" i="21"/>
  <c r="W7" i="21"/>
  <c r="B8" i="21"/>
  <c r="J9" i="21"/>
  <c r="U8" i="21"/>
  <c r="B9" i="20"/>
  <c r="O8" i="20"/>
  <c r="V7" i="20"/>
  <c r="W7" i="20"/>
  <c r="U7" i="20"/>
  <c r="A8" i="20"/>
  <c r="J10" i="20"/>
  <c r="V11" i="19"/>
  <c r="W11" i="19"/>
  <c r="V10" i="19"/>
  <c r="W10" i="19"/>
  <c r="V9" i="19"/>
  <c r="W9" i="19"/>
  <c r="U8" i="19"/>
  <c r="V8" i="19"/>
  <c r="W8" i="19"/>
  <c r="W7" i="19"/>
  <c r="V7" i="19"/>
  <c r="C6" i="19"/>
  <c r="W4" i="19"/>
  <c r="V6" i="19"/>
  <c r="W6" i="19"/>
  <c r="U4" i="19"/>
  <c r="V4" i="19"/>
  <c r="T5" i="19"/>
  <c r="J5" i="19"/>
  <c r="O5" i="19"/>
  <c r="B12" i="29" l="1"/>
  <c r="A12" i="29" s="1"/>
  <c r="T9" i="29"/>
  <c r="W8" i="29"/>
  <c r="O11" i="29"/>
  <c r="J9" i="29"/>
  <c r="U8" i="29"/>
  <c r="V8" i="29"/>
  <c r="A11" i="29"/>
  <c r="T10" i="28"/>
  <c r="J9" i="28"/>
  <c r="V9" i="28" s="1"/>
  <c r="U8" i="28"/>
  <c r="V8" i="28"/>
  <c r="O10" i="28"/>
  <c r="W8" i="28"/>
  <c r="B12" i="28"/>
  <c r="A12" i="28" s="1"/>
  <c r="A9" i="27"/>
  <c r="J9" i="27"/>
  <c r="U8" i="27"/>
  <c r="V8" i="27"/>
  <c r="T9" i="27"/>
  <c r="W8" i="27"/>
  <c r="B10" i="27"/>
  <c r="O11" i="27"/>
  <c r="O10" i="25"/>
  <c r="V9" i="25"/>
  <c r="J9" i="25"/>
  <c r="U8" i="25"/>
  <c r="T9" i="25"/>
  <c r="W8" i="25"/>
  <c r="B11" i="25"/>
  <c r="V8" i="25"/>
  <c r="A10" i="25"/>
  <c r="T9" i="24"/>
  <c r="V9" i="24" s="1"/>
  <c r="W8" i="24"/>
  <c r="U8" i="24"/>
  <c r="O10" i="24"/>
  <c r="B10" i="24"/>
  <c r="A10" i="24" s="1"/>
  <c r="J10" i="24"/>
  <c r="V8" i="24"/>
  <c r="O9" i="23"/>
  <c r="T11" i="23"/>
  <c r="J8" i="23"/>
  <c r="V8" i="23" s="1"/>
  <c r="U7" i="23"/>
  <c r="W7" i="23"/>
  <c r="V7" i="23"/>
  <c r="B10" i="23"/>
  <c r="A10" i="23" s="1"/>
  <c r="U8" i="22"/>
  <c r="B10" i="22"/>
  <c r="A10" i="22" s="1"/>
  <c r="O9" i="22"/>
  <c r="V8" i="22"/>
  <c r="A9" i="22"/>
  <c r="W8" i="22"/>
  <c r="T9" i="22"/>
  <c r="J10" i="22"/>
  <c r="J10" i="21"/>
  <c r="B9" i="21"/>
  <c r="A8" i="21"/>
  <c r="T9" i="21"/>
  <c r="U9" i="21" s="1"/>
  <c r="W8" i="21"/>
  <c r="O9" i="21"/>
  <c r="V8" i="21"/>
  <c r="A9" i="20"/>
  <c r="B10" i="20"/>
  <c r="A10" i="20" s="1"/>
  <c r="J11" i="20"/>
  <c r="O9" i="20"/>
  <c r="V8" i="20"/>
  <c r="W8" i="20"/>
  <c r="U8" i="20"/>
  <c r="V5" i="19"/>
  <c r="U5" i="19"/>
  <c r="W5" i="19"/>
  <c r="T10" i="29" l="1"/>
  <c r="W9" i="29"/>
  <c r="B13" i="29"/>
  <c r="J10" i="29"/>
  <c r="U9" i="29"/>
  <c r="V9" i="29"/>
  <c r="O12" i="29"/>
  <c r="J10" i="28"/>
  <c r="W10" i="28" s="1"/>
  <c r="U9" i="28"/>
  <c r="O11" i="28"/>
  <c r="B13" i="28"/>
  <c r="A13" i="28" s="1"/>
  <c r="W9" i="28"/>
  <c r="T11" i="28"/>
  <c r="B11" i="27"/>
  <c r="T10" i="27"/>
  <c r="W9" i="27"/>
  <c r="O12" i="27"/>
  <c r="A10" i="27"/>
  <c r="J10" i="27"/>
  <c r="U9" i="27"/>
  <c r="V9" i="27"/>
  <c r="O11" i="25"/>
  <c r="B12" i="25"/>
  <c r="A12" i="25" s="1"/>
  <c r="A11" i="25"/>
  <c r="T10" i="25"/>
  <c r="W9" i="25"/>
  <c r="J10" i="25"/>
  <c r="V10" i="25" s="1"/>
  <c r="U9" i="25"/>
  <c r="U9" i="24"/>
  <c r="T10" i="24"/>
  <c r="W10" i="24" s="1"/>
  <c r="W9" i="24"/>
  <c r="J9" i="23"/>
  <c r="V9" i="23" s="1"/>
  <c r="U8" i="23"/>
  <c r="W8" i="23"/>
  <c r="B11" i="23"/>
  <c r="A11" i="23" s="1"/>
  <c r="O10" i="23"/>
  <c r="U9" i="22"/>
  <c r="W9" i="22"/>
  <c r="T10" i="22"/>
  <c r="O10" i="22"/>
  <c r="V9" i="22"/>
  <c r="V9" i="21"/>
  <c r="O10" i="21"/>
  <c r="T10" i="21"/>
  <c r="W9" i="21"/>
  <c r="B10" i="21"/>
  <c r="A10" i="21" s="1"/>
  <c r="A9" i="21"/>
  <c r="J11" i="21"/>
  <c r="B11" i="20"/>
  <c r="A11" i="20" s="1"/>
  <c r="O10" i="20"/>
  <c r="V9" i="20"/>
  <c r="U9" i="20"/>
  <c r="W9" i="20"/>
  <c r="W10" i="29" l="1"/>
  <c r="T11" i="29"/>
  <c r="O13" i="29"/>
  <c r="J11" i="29"/>
  <c r="U10" i="29"/>
  <c r="V10" i="29"/>
  <c r="B14" i="29"/>
  <c r="A14" i="29" s="1"/>
  <c r="A13" i="29"/>
  <c r="U10" i="28"/>
  <c r="J11" i="28"/>
  <c r="V11" i="28" s="1"/>
  <c r="T12" i="28"/>
  <c r="W11" i="28"/>
  <c r="V10" i="28"/>
  <c r="O12" i="28"/>
  <c r="A11" i="27"/>
  <c r="J11" i="27"/>
  <c r="U10" i="27"/>
  <c r="V10" i="27"/>
  <c r="W10" i="27"/>
  <c r="T11" i="27"/>
  <c r="B12" i="27"/>
  <c r="A12" i="27" s="1"/>
  <c r="O12" i="25"/>
  <c r="T11" i="25"/>
  <c r="W10" i="25"/>
  <c r="J11" i="25"/>
  <c r="U10" i="25"/>
  <c r="V10" i="24"/>
  <c r="U10" i="24"/>
  <c r="O11" i="23"/>
  <c r="J10" i="23"/>
  <c r="V10" i="23" s="1"/>
  <c r="U9" i="23"/>
  <c r="W9" i="23"/>
  <c r="W10" i="22"/>
  <c r="U10" i="22"/>
  <c r="V10" i="22"/>
  <c r="T11" i="21"/>
  <c r="W10" i="21"/>
  <c r="B11" i="21"/>
  <c r="A11" i="21" s="1"/>
  <c r="V10" i="21"/>
  <c r="O11" i="21"/>
  <c r="V11" i="21" s="1"/>
  <c r="U10" i="21"/>
  <c r="V10" i="20"/>
  <c r="O11" i="20"/>
  <c r="U10" i="20"/>
  <c r="W10" i="20"/>
  <c r="B15" i="29" l="1"/>
  <c r="A15" i="29" s="1"/>
  <c r="J12" i="29"/>
  <c r="U11" i="29"/>
  <c r="V11" i="29"/>
  <c r="O14" i="29"/>
  <c r="T12" i="29"/>
  <c r="W11" i="29"/>
  <c r="O13" i="28"/>
  <c r="T13" i="28"/>
  <c r="J12" i="28"/>
  <c r="V12" i="28" s="1"/>
  <c r="U11" i="28"/>
  <c r="T12" i="27"/>
  <c r="W11" i="27"/>
  <c r="J12" i="27"/>
  <c r="U11" i="27"/>
  <c r="V11" i="27"/>
  <c r="U11" i="25"/>
  <c r="J12" i="25"/>
  <c r="U12" i="25" s="1"/>
  <c r="T12" i="25"/>
  <c r="W12" i="25" s="1"/>
  <c r="W11" i="25"/>
  <c r="V11" i="25"/>
  <c r="J11" i="23"/>
  <c r="U10" i="23"/>
  <c r="W10" i="23"/>
  <c r="W11" i="21"/>
  <c r="U11" i="21"/>
  <c r="V11" i="20"/>
  <c r="U11" i="20"/>
  <c r="W11" i="20"/>
  <c r="T13" i="29" l="1"/>
  <c r="W12" i="29"/>
  <c r="J13" i="29"/>
  <c r="U12" i="29"/>
  <c r="V12" i="29"/>
  <c r="O15" i="29"/>
  <c r="W12" i="28"/>
  <c r="J13" i="28"/>
  <c r="W13" i="28" s="1"/>
  <c r="U12" i="28"/>
  <c r="U12" i="27"/>
  <c r="V12" i="27"/>
  <c r="W12" i="27"/>
  <c r="V12" i="25"/>
  <c r="V11" i="23"/>
  <c r="U11" i="23"/>
  <c r="W11" i="23"/>
  <c r="J14" i="29" l="1"/>
  <c r="U13" i="29"/>
  <c r="V13" i="29"/>
  <c r="T14" i="29"/>
  <c r="W13" i="29"/>
  <c r="V13" i="28"/>
  <c r="U13" i="28"/>
  <c r="T15" i="29" l="1"/>
  <c r="W14" i="29"/>
  <c r="J15" i="29"/>
  <c r="U14" i="29"/>
  <c r="V14" i="29"/>
  <c r="U15" i="29" l="1"/>
  <c r="V15" i="29"/>
  <c r="W15" i="29"/>
</calcChain>
</file>

<file path=xl/sharedStrings.xml><?xml version="1.0" encoding="utf-8"?>
<sst xmlns="http://schemas.openxmlformats.org/spreadsheetml/2006/main" count="1589" uniqueCount="208">
  <si>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</si>
  <si>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</si>
  <si>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</si>
  <si>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</si>
  <si>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</si>
  <si>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</si>
  <si>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</si>
  <si>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</si>
  <si>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</si>
  <si>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</si>
  <si>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</si>
  <si>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</si>
  <si>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</si>
  <si>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</si>
  <si>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</si>
  <si>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</si>
  <si>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</si>
  <si>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</si>
  <si>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</si>
  <si>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</si>
  <si>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</si>
  <si>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</si>
  <si>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</si>
  <si>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</si>
  <si>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</si>
  <si>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</si>
  <si>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</si>
  <si>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</si>
  <si>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</si>
  <si>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</si>
  <si>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</si>
  <si>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</si>
  <si>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</si>
  <si>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</si>
  <si>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</si>
  <si>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</si>
  <si>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</si>
  <si>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</si>
  <si>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</si>
  <si>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</si>
  <si>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</si>
  <si>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</si>
  <si>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</si>
  <si>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</si>
  <si>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</si>
  <si>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</si>
  <si>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</si>
  <si>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</si>
  <si>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</si>
  <si>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</si>
  <si>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</si>
  <si>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</si>
  <si>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</si>
  <si>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</si>
  <si>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</si>
  <si>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</si>
  <si>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</si>
  <si>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</si>
  <si>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</si>
  <si>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</si>
  <si>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</si>
  <si>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</si>
  <si>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</si>
  <si>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</si>
  <si>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</si>
  <si>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</si>
  <si>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</si>
  <si>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</si>
  <si>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</si>
  <si>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</si>
  <si>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</si>
  <si>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</si>
  <si>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</si>
  <si>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</si>
  <si>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</si>
  <si>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</si>
  <si>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</si>
  <si>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</si>
  <si>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</si>
  <si>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</si>
  <si>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</si>
  <si>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</si>
  <si>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</si>
  <si>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</si>
  <si>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</si>
  <si>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</si>
  <si>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</si>
  <si>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</si>
  <si>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</si>
  <si>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</si>
  <si>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</si>
  <si>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</si>
  <si>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</si>
  <si>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</si>
  <si>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</si>
  <si>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</si>
  <si>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</si>
  <si>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</si>
  <si>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</si>
  <si>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</si>
  <si>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</si>
  <si>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</si>
  <si>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</si>
  <si>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</si>
  <si>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</si>
  <si>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</si>
  <si>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</si>
  <si>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</si>
  <si>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</si>
  <si>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</si>
  <si>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</si>
  <si>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</si>
  <si>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</si>
  <si>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</si>
  <si>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</si>
  <si>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</si>
  <si>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</si>
  <si>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</si>
  <si>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</si>
  <si>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</si>
  <si>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</si>
  <si>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</si>
  <si>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</si>
  <si>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</si>
  <si>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</si>
  <si>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</si>
  <si>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</si>
  <si>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</si>
  <si>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</si>
  <si>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</si>
  <si>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</si>
  <si>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</si>
  <si>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</si>
  <si>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</si>
  <si>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</si>
  <si>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</si>
  <si>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</si>
  <si>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</si>
  <si>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</si>
  <si>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</si>
  <si>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</si>
  <si>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</si>
  <si>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</si>
  <si>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</si>
  <si>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</si>
  <si>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</si>
  <si>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</si>
  <si>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</si>
  <si>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</si>
  <si>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</si>
  <si>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</si>
  <si>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</si>
  <si>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</si>
  <si>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</si>
  <si>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</si>
  <si>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</si>
  <si>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</si>
  <si>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</si>
  <si>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</si>
  <si>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</si>
  <si>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</si>
  <si>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</si>
  <si>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</si>
  <si>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</si>
  <si>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</si>
  <si>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</si>
  <si>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</si>
  <si>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</si>
  <si>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</si>
  <si>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</si>
  <si>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</si>
  <si>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</si>
  <si>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</si>
  <si>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</si>
  <si>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</si>
  <si>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</si>
  <si>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</si>
  <si>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</si>
  <si>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</si>
  <si>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</si>
  <si>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</si>
  <si>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</si>
  <si>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</si>
  <si>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</si>
  <si>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</si>
  <si>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</si>
  <si>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</si>
  <si>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</si>
  <si>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</si>
  <si>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</si>
  <si>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</si>
  <si>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</si>
  <si>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だいち</t>
    <phoneticPr fontId="1"/>
  </si>
  <si>
    <t>ただ</t>
    <phoneticPr fontId="1"/>
  </si>
  <si>
    <t>ぱぱ</t>
  </si>
  <si>
    <t>ぱぱ</t>
    <phoneticPr fontId="1"/>
  </si>
  <si>
    <t>T</t>
  </si>
  <si>
    <t>N</t>
  </si>
  <si>
    <t>流局</t>
    <phoneticPr fontId="1"/>
  </si>
  <si>
    <t>ロン</t>
  </si>
  <si>
    <t>放銃</t>
  </si>
  <si>
    <t>01</t>
  </si>
  <si>
    <t>ツモ</t>
  </si>
  <si>
    <t>ツモ支払</t>
  </si>
  <si>
    <t>*</t>
  </si>
  <si>
    <t>02</t>
  </si>
  <si>
    <t>52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</si>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</sst>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198</v>
      </c>
      <c r="G4" s="9">
        <v>1500</v>
      </c>
      <c r="H4" s="9"/>
      <c r="I4" s="48"/>
      <c r="J4" s="21">
        <f>IF(COUNTA($F4,$K4,$P4)&gt;0,J3+SUM(G4:I4),"")</f>
        <v>36500</v>
      </c>
      <c r="K4" s="8" t="s">
        <v>198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198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21.5</v>
      </c>
      <c r="V4" s="54">
        <f>IF($O4="","",ROUND(($O4-$O$3)/1000,1)+(_xlfn.RANK.AVG($O4,($J4,$O4,$T4),1)-2)*20)</f>
        <v>0.5</v>
      </c>
      <c r="W4" s="55">
        <f>IF($T4="","",ROUND(($T4-$T$3)/1000,1)+(_xlfn.RANK.AVG($T4,($J4,$O4,$T4),1)-2)*20)</f>
        <v>-23</v>
      </c>
      <c r="Y4" s="8" t="s">
        <v>196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196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だいち</v>
      </c>
      <c r="F5" s="8" t="s">
        <v>199</v>
      </c>
      <c r="G5" s="9">
        <v>2000</v>
      </c>
      <c r="H5" s="9">
        <v>1000</v>
      </c>
      <c r="I5" s="48">
        <v>1000</v>
      </c>
      <c r="J5" s="21">
        <f t="shared" ref="J5:J30" si="2">IF(COUNTA($F5,$K5,$P5)&gt;0,J4+SUM(G5:I5),"")</f>
        <v>40500</v>
      </c>
      <c r="K5" s="8" t="s">
        <v>200</v>
      </c>
      <c r="L5" s="9">
        <v>-2000</v>
      </c>
      <c r="M5" s="9"/>
      <c r="N5" s="48">
        <v>-1000</v>
      </c>
      <c r="O5" s="21">
        <f t="shared" ref="O5:O30" si="3">IF(COUNTA($F5,$K5,$P5)&gt;0,O4+SUM(L5:N5),"")</f>
        <v>32500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25.5</v>
      </c>
      <c r="V5" s="54">
        <f>IF($O5="","",ROUND(($O5-$O$3)/1000,1)+(_xlfn.RANK.AVG($O5,($J5,$O5,$T5),1)-2)*20)</f>
        <v>-2.5</v>
      </c>
      <c r="W5" s="55">
        <f>IF($T5="","",ROUND(($T5-$T$3)/1000,1)+(_xlfn.RANK.AVG($T5,($J5,$O5,$T5),1)-2)*20)</f>
        <v>-23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201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202</v>
      </c>
      <c r="G6" s="9">
        <v>18000</v>
      </c>
      <c r="H6" s="9"/>
      <c r="I6" s="48">
        <v>2000</v>
      </c>
      <c r="J6" s="21">
        <f t="shared" si="2"/>
        <v>60500</v>
      </c>
      <c r="K6" s="8" t="s">
        <v>203</v>
      </c>
      <c r="L6" s="9">
        <v>-9000</v>
      </c>
      <c r="M6" s="9"/>
      <c r="N6" s="48">
        <v>-1000</v>
      </c>
      <c r="O6" s="21">
        <f t="shared" si="3"/>
        <v>22500</v>
      </c>
      <c r="P6" s="8" t="s">
        <v>203</v>
      </c>
      <c r="Q6" s="9">
        <v>-9000</v>
      </c>
      <c r="R6" s="9"/>
      <c r="S6" s="48">
        <v>-1000</v>
      </c>
      <c r="T6" s="21">
        <f t="shared" si="4"/>
        <v>22000</v>
      </c>
      <c r="U6" s="53">
        <f>IF($J6="","",ROUND(($J6-$J$3)/1000,1)+(_xlfn.RANK.AVG($J6,($J6,$O6,$T6),1)-2)*20)</f>
        <v>45.5</v>
      </c>
      <c r="V6" s="54">
        <f>IF($O6="","",ROUND(($O6-$O$3)/1000,1)+(_xlfn.RANK.AVG($O6,($J6,$O6,$T6),1)-2)*20)</f>
        <v>-12.5</v>
      </c>
      <c r="W6" s="55">
        <f>IF($T6="","",ROUND(($T6-$T$3)/1000,1)+(_xlfn.RANK.AVG($T6,($J6,$O6,$T6),1)-2)*20)</f>
        <v>-33</v>
      </c>
      <c r="Y6" s="8"/>
      <c r="Z6" s="34"/>
      <c r="AA6" s="26">
        <v>1</v>
      </c>
      <c r="AB6" s="26"/>
      <c r="AC6" s="26">
        <v>7</v>
      </c>
      <c r="AD6" s="30" t="s">
        <v>204</v>
      </c>
      <c r="AE6" s="40" t="s">
        <v>201</v>
      </c>
      <c r="AF6" s="41" t="s">
        <v>82</v>
      </c>
      <c r="AG6" s="41" t="s">
        <v>205</v>
      </c>
      <c r="AH6" s="41" t="s">
        <v>83</v>
      </c>
      <c r="AI6" s="41" t="s">
        <v>84</v>
      </c>
      <c r="AJ6" s="41" t="s">
        <v>79</v>
      </c>
      <c r="AK6" s="41" t="s">
        <v>80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203</v>
      </c>
      <c r="G7" s="9">
        <v>-4800</v>
      </c>
      <c r="H7" s="9"/>
      <c r="I7" s="48">
        <v>-1500</v>
      </c>
      <c r="J7" s="21">
        <f t="shared" si="2"/>
        <v>54200</v>
      </c>
      <c r="K7" s="8" t="s">
        <v>202</v>
      </c>
      <c r="L7" s="9">
        <v>7700</v>
      </c>
      <c r="M7" s="9"/>
      <c r="N7" s="48">
        <v>3000</v>
      </c>
      <c r="O7" s="21">
        <f t="shared" si="3"/>
        <v>33200</v>
      </c>
      <c r="P7" s="8" t="s">
        <v>203</v>
      </c>
      <c r="Q7" s="9">
        <v>-2900</v>
      </c>
      <c r="R7" s="9"/>
      <c r="S7" s="48">
        <v>-1500</v>
      </c>
      <c r="T7" s="21">
        <f t="shared" si="4"/>
        <v>17600</v>
      </c>
      <c r="U7" s="53">
        <f>IF($J7="","",ROUND(($J7-$J$3)/1000,1)+(_xlfn.RANK.AVG($J7,($J7,$O7,$T7),1)-2)*20)</f>
        <v>39.200000000000003</v>
      </c>
      <c r="V7" s="54">
        <f>IF($O7="","",ROUND(($O7-$O$3)/1000,1)+(_xlfn.RANK.AVG($O7,($J7,$O7,$T7),1)-2)*20)</f>
        <v>-1.8</v>
      </c>
      <c r="W7" s="55">
        <f>IF($T7="","",ROUND(($T7-$T$3)/1000,1)+(_xlfn.RANK.AVG($T7,($J7,$O7,$T7),1)-2)*20)</f>
        <v>-37.4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201</v>
      </c>
      <c r="BA7" s="41" t="s">
        <v>82</v>
      </c>
      <c r="BB7" s="41" t="s">
        <v>205</v>
      </c>
      <c r="BC7" s="41" t="s">
        <v>206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199</v>
      </c>
      <c r="G8" s="9">
        <v>5200</v>
      </c>
      <c r="H8" s="9">
        <v>1000</v>
      </c>
      <c r="I8" s="48">
        <v>0</v>
      </c>
      <c r="J8" s="21">
        <f t="shared" si="2"/>
        <v>60400</v>
      </c>
      <c r="K8" s="8"/>
      <c r="L8" s="9"/>
      <c r="M8" s="9"/>
      <c r="N8" s="48"/>
      <c r="O8" s="21">
        <f t="shared" si="3"/>
        <v>33200</v>
      </c>
      <c r="P8" s="8" t="s">
        <v>200</v>
      </c>
      <c r="Q8" s="9">
        <v>-5200</v>
      </c>
      <c r="R8" s="9">
        <v>-1000</v>
      </c>
      <c r="S8" s="48">
        <v>0</v>
      </c>
      <c r="T8" s="21">
        <f t="shared" si="4"/>
        <v>11400</v>
      </c>
      <c r="U8" s="53">
        <f>IF($J8="","",ROUND(($J8-$J$3)/1000,1)+(_xlfn.RANK.AVG($J8,($J8,$O8,$T8),1)-2)*20)</f>
        <v>45.4</v>
      </c>
      <c r="V8" s="54">
        <f>IF($O8="","",ROUND(($O8-$O$3)/1000,1)+(_xlfn.RANK.AVG($O8,($J8,$O8,$T8),1)-2)*20)</f>
        <v>-1.8</v>
      </c>
      <c r="W8" s="55">
        <f>IF($T8="","",ROUND(($T8-$T$3)/1000,1)+(_xlfn.RANK.AVG($T8,($J8,$O8,$T8),1)-2)*20)</f>
        <v>-43.6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201</v>
      </c>
      <c r="AF8" s="41" t="s">
        <v>86</v>
      </c>
      <c r="AG8" s="41" t="s">
        <v>206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 t="s">
        <v>198</v>
      </c>
      <c r="G9" s="9">
        <v>-3000</v>
      </c>
      <c r="H9" s="9"/>
      <c r="I9" s="48"/>
      <c r="J9" s="21">
        <f t="shared" si="2"/>
        <v>57400</v>
      </c>
      <c r="K9" s="8" t="s">
        <v>198</v>
      </c>
      <c r="L9" s="9">
        <v>1500</v>
      </c>
      <c r="M9" s="9"/>
      <c r="N9" s="48"/>
      <c r="O9" s="21">
        <f t="shared" si="3"/>
        <v>34700</v>
      </c>
      <c r="P9" s="8" t="s">
        <v>198</v>
      </c>
      <c r="Q9" s="9">
        <v>1500</v>
      </c>
      <c r="R9" s="9">
        <v>-1000</v>
      </c>
      <c r="S9" s="48"/>
      <c r="T9" s="21">
        <f t="shared" si="4"/>
        <v>11900</v>
      </c>
      <c r="U9" s="53">
        <f>IF($J9="","",ROUND(($J9-$J$3)/1000,1)+(_xlfn.RANK.AVG($J9,($J9,$O9,$T9),1)-2)*20)</f>
        <v>42.4</v>
      </c>
      <c r="V9" s="54">
        <f>IF($O9="","",ROUND(($O9-$O$3)/1000,1)+(_xlfn.RANK.AVG($O9,($J9,$O9,$T9),1)-2)*20)</f>
        <v>-0.3</v>
      </c>
      <c r="W9" s="55">
        <f>IF($T9="","",ROUND(($T9-$T$3)/1000,1)+(_xlfn.RANK.AVG($T9,($J9,$O9,$T9),1)-2)*20)</f>
        <v>-43.1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196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IF($P$1="","",$P$1)</f>
        <v>ぱぱ</v>
      </c>
      <c r="F10" s="8" t="s">
        <v>203</v>
      </c>
      <c r="G10" s="9">
        <v>-3000</v>
      </c>
      <c r="H10" s="9"/>
      <c r="I10" s="48">
        <v>-500</v>
      </c>
      <c r="J10" s="21">
        <f t="shared" si="2"/>
        <v>53900</v>
      </c>
      <c r="K10" s="8" t="s">
        <v>202</v>
      </c>
      <c r="L10" s="9">
        <v>8000</v>
      </c>
      <c r="M10" s="9">
        <v>2000</v>
      </c>
      <c r="N10" s="48">
        <v>1000</v>
      </c>
      <c r="O10" s="21">
        <f t="shared" si="3"/>
        <v>45700</v>
      </c>
      <c r="P10" s="8" t="s">
        <v>203</v>
      </c>
      <c r="Q10" s="9">
        <v>-5000</v>
      </c>
      <c r="R10" s="9">
        <v>-1000</v>
      </c>
      <c r="S10" s="48">
        <v>-500</v>
      </c>
      <c r="T10" s="21">
        <f t="shared" si="4"/>
        <v>5400</v>
      </c>
      <c r="U10" s="53">
        <f>IF($J10="","",ROUND(($J10-$J$3)/1000,1)+(_xlfn.RANK.AVG($J10,($J10,$O10,$T10),1)-2)*20)</f>
        <v>38.9</v>
      </c>
      <c r="V10" s="54">
        <f>IF($O10="","",ROUND(($O10-$O$3)/1000,1)+(_xlfn.RANK.AVG($O10,($J10,$O10,$T10),1)-2)*20)</f>
        <v>10.7</v>
      </c>
      <c r="W10" s="55">
        <f>IF($T10="","",ROUND(($T10-$T$3)/1000,1)+(_xlfn.RANK.AVG($T10,($J10,$O10,$T10),1)-2)*20)</f>
        <v>-49.6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5</v>
      </c>
      <c r="AY10" s="30" t="s">
        <v>204</v>
      </c>
      <c r="AZ10" s="40" t="s">
        <v>105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203</v>
      </c>
      <c r="G11" s="9">
        <v>-10000</v>
      </c>
      <c r="H11" s="9"/>
      <c r="I11" s="48">
        <v>0</v>
      </c>
      <c r="J11" s="21">
        <f t="shared" si="2"/>
        <v>43900</v>
      </c>
      <c r="K11" s="8" t="s">
        <v>202</v>
      </c>
      <c r="L11" s="9">
        <v>16000</v>
      </c>
      <c r="M11" s="9"/>
      <c r="N11" s="48">
        <v>0</v>
      </c>
      <c r="O11" s="21">
        <f t="shared" si="3"/>
        <v>61700</v>
      </c>
      <c r="P11" s="8" t="s">
        <v>203</v>
      </c>
      <c r="Q11" s="9">
        <v>-6000</v>
      </c>
      <c r="R11" s="9"/>
      <c r="S11" s="48">
        <v>0</v>
      </c>
      <c r="T11" s="21">
        <f t="shared" si="4"/>
        <v>-600</v>
      </c>
      <c r="U11" s="53">
        <f>IF($J11="","",ROUND(($J11-$J$3)/1000,1)+(_xlfn.RANK.AVG($J11,($J11,$O11,$T11),1)-2)*20)</f>
        <v>8.9</v>
      </c>
      <c r="V11" s="54">
        <f>IF($O11="","",ROUND(($O11-$O$3)/1000,1)+(_xlfn.RANK.AVG($O11,($J11,$O11,$T11),1)-2)*20)</f>
        <v>46.7</v>
      </c>
      <c r="W11" s="55">
        <f>IF($T11="","",ROUND(($T11-$T$3)/1000,1)+(_xlfn.RANK.AVG($T11,($J11,$O11,$T11),1)-2)*20)</f>
        <v>-55.6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8</v>
      </c>
      <c r="AY11" s="30" t="s">
        <v>204</v>
      </c>
      <c r="AZ11" s="40" t="s">
        <v>87</v>
      </c>
      <c r="BA11" s="41" t="s">
        <v>79</v>
      </c>
      <c r="BB11" s="41" t="s">
        <v>79</v>
      </c>
      <c r="BC11" s="41" t="s">
        <v>79</v>
      </c>
      <c r="BD11" s="41" t="s">
        <v>98</v>
      </c>
      <c r="BE11" s="41" t="s">
        <v>96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0FEE08D-E4CA-46AC-96DD-4979D74B1AB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53E72-D043-46CE-B29D-E6CEAF2567D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4000</v>
      </c>
      <c r="H4" s="9">
        <v>1000</v>
      </c>
      <c r="I4" s="48">
        <v>0</v>
      </c>
      <c r="J4" s="21">
        <f>IF(COUNTA($F4,$K4,$P4)&gt;0,J3+SUM(G4:I4),"")</f>
        <v>40000</v>
      </c>
      <c r="K4" s="8" t="s">
        <v>203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203</v>
      </c>
      <c r="Q4" s="9">
        <v>-1500</v>
      </c>
      <c r="R4" s="9">
        <v>-1000</v>
      </c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IF($J4="","",ROUND(($J4-$J$3)/1000,1)+(_xlfn.RANK.AVG($J4,($J4,$O4,$T4),1)-2)*20)</f>
        <v>25</v>
      </c>
      <c r="V4" s="54">
        <f>IF($O4="","",ROUND(($O4-$O$3)/1000,1)+(_xlfn.RANK.AVG($O4,($J4,$O4,$T4),1)-2)*20)</f>
        <v>-12.5</v>
      </c>
      <c r="W4" s="55">
        <f>IF($T4="","",ROUND(($T4-$T$3)/1000,1)+(_xlfn.RANK.AVG($T4,($J4,$O4,$T4),1)-2)*20)</f>
        <v>-12.5</v>
      </c>
      <c r="Y4" s="8"/>
      <c r="Z4" s="34"/>
      <c r="AA4" s="26"/>
      <c r="AB4" s="26"/>
      <c r="AC4" s="26">
        <v>3</v>
      </c>
      <c r="AD4" s="30">
        <v>30</v>
      </c>
      <c r="AE4" s="40" t="s">
        <v>82</v>
      </c>
      <c r="AF4" s="41" t="s">
        <v>86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ぱぱ</v>
      </c>
      <c r="F5" s="8" t="s">
        <v>199</v>
      </c>
      <c r="G5" s="9">
        <v>16000</v>
      </c>
      <c r="H5" s="9"/>
      <c r="I5" s="48">
        <v>0</v>
      </c>
      <c r="J5" s="21">
        <f t="shared" ref="J5:J30" si="2">IF(COUNTA($F5,$K5,$P5)&gt;0,J4+SUM(G5:I5),"")</f>
        <v>56000</v>
      </c>
      <c r="K5" s="8" t="s">
        <v>200</v>
      </c>
      <c r="L5" s="9">
        <v>-16000</v>
      </c>
      <c r="M5" s="9"/>
      <c r="N5" s="48">
        <v>0</v>
      </c>
      <c r="O5" s="21">
        <f t="shared" ref="O5:O30" si="3">IF(COUNTA($F5,$K5,$P5)&gt;0,O4+SUM(L5:N5),"")</f>
        <v>16500</v>
      </c>
      <c r="P5" s="8"/>
      <c r="Q5" s="9"/>
      <c r="R5" s="9"/>
      <c r="S5" s="48"/>
      <c r="T5" s="21">
        <f t="shared" ref="T5:T30" si="4">IF(COUNTA($F5,$K5,$P5)&gt;0,T4+SUM(Q5:S5),"")</f>
        <v>32500</v>
      </c>
      <c r="U5" s="53">
        <f>IF($J5="","",ROUND(($J5-$J$3)/1000,1)+(_xlfn.RANK.AVG($J5,($J5,$O5,$T5),1)-2)*20)</f>
        <v>41</v>
      </c>
      <c r="V5" s="54">
        <f>IF($O5="","",ROUND(($O5-$O$3)/1000,1)+(_xlfn.RANK.AVG($O5,($J5,$O5,$T5),1)-2)*20)</f>
        <v>-38.5</v>
      </c>
      <c r="W5" s="55">
        <f>IF($T5="","",ROUND(($T5-$T$3)/1000,1)+(_xlfn.RANK.AVG($T5,($J5,$O5,$T5),1)-2)*20)</f>
        <v>-2.5</v>
      </c>
      <c r="Y5" s="8"/>
      <c r="Z5" s="34"/>
      <c r="AA5" s="26">
        <v>1</v>
      </c>
      <c r="AB5" s="26"/>
      <c r="AC5" s="26">
        <v>9</v>
      </c>
      <c r="AD5" s="30" t="s">
        <v>204</v>
      </c>
      <c r="AE5" s="40" t="s">
        <v>201</v>
      </c>
      <c r="AF5" s="41" t="s">
        <v>205</v>
      </c>
      <c r="AG5" s="41" t="s">
        <v>86</v>
      </c>
      <c r="AH5" s="41" t="s">
        <v>104</v>
      </c>
      <c r="AI5" s="41" t="s">
        <v>84</v>
      </c>
      <c r="AJ5" s="41" t="s">
        <v>93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202</v>
      </c>
      <c r="G6" s="9">
        <v>7800</v>
      </c>
      <c r="H6" s="9"/>
      <c r="I6" s="48">
        <v>0</v>
      </c>
      <c r="J6" s="21">
        <f t="shared" si="2"/>
        <v>63800</v>
      </c>
      <c r="K6" s="8" t="s">
        <v>203</v>
      </c>
      <c r="L6" s="9">
        <v>-3900</v>
      </c>
      <c r="M6" s="9"/>
      <c r="N6" s="48">
        <v>0</v>
      </c>
      <c r="O6" s="21">
        <f t="shared" si="3"/>
        <v>12600</v>
      </c>
      <c r="P6" s="8" t="s">
        <v>203</v>
      </c>
      <c r="Q6" s="9">
        <v>-3900</v>
      </c>
      <c r="R6" s="9"/>
      <c r="S6" s="48">
        <v>0</v>
      </c>
      <c r="T6" s="21">
        <f t="shared" si="4"/>
        <v>28600</v>
      </c>
      <c r="U6" s="53">
        <f>IF($J6="","",ROUND(($J6-$J$3)/1000,1)+(_xlfn.RANK.AVG($J6,($J6,$O6,$T6),1)-2)*20)</f>
        <v>48.8</v>
      </c>
      <c r="V6" s="54">
        <f>IF($O6="","",ROUND(($O6-$O$3)/1000,1)+(_xlfn.RANK.AVG($O6,($J6,$O6,$T6),1)-2)*20)</f>
        <v>-42.4</v>
      </c>
      <c r="W6" s="55">
        <f>IF($T6="","",ROUND(($T6-$T$3)/1000,1)+(_xlfn.RANK.AVG($T6,($J6,$O6,$T6),1)-2)*20)</f>
        <v>-6.4</v>
      </c>
      <c r="Y6" s="8"/>
      <c r="Z6" s="34"/>
      <c r="AA6" s="26">
        <v>1</v>
      </c>
      <c r="AB6" s="26"/>
      <c r="AC6" s="26">
        <v>4</v>
      </c>
      <c r="AD6" s="30">
        <v>20</v>
      </c>
      <c r="AE6" s="40" t="s">
        <v>82</v>
      </c>
      <c r="AF6" s="41" t="s">
        <v>201</v>
      </c>
      <c r="AG6" s="41" t="s">
        <v>83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IF($F$1="","",$F$1)</f>
        <v>だいち</v>
      </c>
      <c r="F7" s="8"/>
      <c r="G7" s="9"/>
      <c r="H7" s="9"/>
      <c r="I7" s="48"/>
      <c r="J7" s="21">
        <f t="shared" si="2"/>
        <v>63800</v>
      </c>
      <c r="K7" s="8" t="s">
        <v>199</v>
      </c>
      <c r="L7" s="9">
        <v>3900</v>
      </c>
      <c r="M7" s="9"/>
      <c r="N7" s="48">
        <v>1000</v>
      </c>
      <c r="O7" s="21">
        <f t="shared" si="3"/>
        <v>17500</v>
      </c>
      <c r="P7" s="8" t="s">
        <v>200</v>
      </c>
      <c r="Q7" s="9">
        <v>-3900</v>
      </c>
      <c r="R7" s="9"/>
      <c r="S7" s="48">
        <v>-1000</v>
      </c>
      <c r="T7" s="21">
        <f t="shared" si="4"/>
        <v>23700</v>
      </c>
      <c r="U7" s="53">
        <f>IF($J7="","",ROUND(($J7-$J$3)/1000,1)+(_xlfn.RANK.AVG($J7,($J7,$O7,$T7),1)-2)*20)</f>
        <v>48.8</v>
      </c>
      <c r="V7" s="54">
        <f>IF($O7="","",ROUND(($O7-$O$3)/1000,1)+(_xlfn.RANK.AVG($O7,($J7,$O7,$T7),1)-2)*20)</f>
        <v>-37.5</v>
      </c>
      <c r="W7" s="55">
        <f>IF($T7="","",ROUND(($T7-$T$3)/1000,1)+(_xlfn.RANK.AVG($T7,($J7,$O7,$T7),1)-2)*20)</f>
        <v>-11.3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206</v>
      </c>
      <c r="BB7" s="41" t="s">
        <v>206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203</v>
      </c>
      <c r="G8" s="9">
        <v>-9000</v>
      </c>
      <c r="H8" s="9"/>
      <c r="I8" s="48">
        <v>0</v>
      </c>
      <c r="J8" s="21">
        <f t="shared" si="2"/>
        <v>54800</v>
      </c>
      <c r="K8" s="8" t="s">
        <v>202</v>
      </c>
      <c r="L8" s="9">
        <v>18000</v>
      </c>
      <c r="M8" s="9"/>
      <c r="N8" s="48">
        <v>0</v>
      </c>
      <c r="O8" s="21">
        <f t="shared" si="3"/>
        <v>35500</v>
      </c>
      <c r="P8" s="8" t="s">
        <v>203</v>
      </c>
      <c r="Q8" s="9">
        <v>-9000</v>
      </c>
      <c r="R8" s="9"/>
      <c r="S8" s="48">
        <v>0</v>
      </c>
      <c r="T8" s="21">
        <f t="shared" si="4"/>
        <v>14700</v>
      </c>
      <c r="U8" s="53">
        <f>IF($J8="","",ROUND(($J8-$J$3)/1000,1)+(_xlfn.RANK.AVG($J8,($J8,$O8,$T8),1)-2)*20)</f>
        <v>39.799999999999997</v>
      </c>
      <c r="V8" s="54">
        <f>IF($O8="","",ROUND(($O8-$O$3)/1000,1)+(_xlfn.RANK.AVG($O8,($J8,$O8,$T8),1)-2)*20)</f>
        <v>0.5</v>
      </c>
      <c r="W8" s="55">
        <f>IF($T8="","",ROUND(($T8-$T$3)/1000,1)+(_xlfn.RANK.AVG($T8,($J8,$O8,$T8),1)-2)*20)</f>
        <v>-40.299999999999997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204</v>
      </c>
      <c r="AZ8" s="40" t="s">
        <v>201</v>
      </c>
      <c r="BA8" s="41" t="s">
        <v>82</v>
      </c>
      <c r="BB8" s="41" t="s">
        <v>86</v>
      </c>
      <c r="BC8" s="41" t="s">
        <v>80</v>
      </c>
      <c r="BD8" s="41" t="s">
        <v>80</v>
      </c>
      <c r="BE8" s="41" t="s">
        <v>80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199</v>
      </c>
      <c r="G9" s="9">
        <v>2600</v>
      </c>
      <c r="H9" s="9">
        <v>1000</v>
      </c>
      <c r="I9" s="48">
        <v>1000</v>
      </c>
      <c r="J9" s="21">
        <f t="shared" si="2"/>
        <v>59400</v>
      </c>
      <c r="K9" s="8"/>
      <c r="L9" s="9"/>
      <c r="M9" s="9"/>
      <c r="N9" s="48"/>
      <c r="O9" s="21">
        <f t="shared" si="3"/>
        <v>35500</v>
      </c>
      <c r="P9" s="8" t="s">
        <v>200</v>
      </c>
      <c r="Q9" s="9">
        <v>-2600</v>
      </c>
      <c r="R9" s="9">
        <v>-1000</v>
      </c>
      <c r="S9" s="48">
        <v>-1000</v>
      </c>
      <c r="T9" s="21">
        <f t="shared" si="4"/>
        <v>10100</v>
      </c>
      <c r="U9" s="53">
        <f>IF($J9="","",ROUND(($J9-$J$3)/1000,1)+(_xlfn.RANK.AVG($J9,($J9,$O9,$T9),1)-2)*20)</f>
        <v>44.4</v>
      </c>
      <c r="V9" s="54">
        <f>IF($O9="","",ROUND(($O9-$O$3)/1000,1)+(_xlfn.RANK.AVG($O9,($J9,$O9,$T9),1)-2)*20)</f>
        <v>0.5</v>
      </c>
      <c r="W9" s="55">
        <f>IF($T9="","",ROUND(($T9-$T$3)/1000,1)+(_xlfn.RANK.AVG($T9,($J9,$O9,$T9),1)-2)*20)</f>
        <v>-44.9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201</v>
      </c>
      <c r="AF9" s="41" t="s">
        <v>205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ぱぱ</v>
      </c>
      <c r="F10" s="8" t="s">
        <v>199</v>
      </c>
      <c r="G10" s="9">
        <v>3200</v>
      </c>
      <c r="H10" s="9"/>
      <c r="I10" s="48">
        <v>0</v>
      </c>
      <c r="J10" s="21">
        <f t="shared" si="2"/>
        <v>62600</v>
      </c>
      <c r="K10" s="8" t="s">
        <v>200</v>
      </c>
      <c r="L10" s="9">
        <v>-3200</v>
      </c>
      <c r="M10" s="9"/>
      <c r="N10" s="48">
        <v>0</v>
      </c>
      <c r="O10" s="21">
        <f t="shared" si="3"/>
        <v>32300</v>
      </c>
      <c r="P10" s="8"/>
      <c r="Q10" s="9"/>
      <c r="R10" s="9"/>
      <c r="S10" s="48"/>
      <c r="T10" s="21">
        <f t="shared" si="4"/>
        <v>10100</v>
      </c>
      <c r="U10" s="53">
        <f>IF($J10="","",ROUND(($J10-$J$3)/1000,1)+(_xlfn.RANK.AVG($J10,($J10,$O10,$T10),1)-2)*20)</f>
        <v>47.6</v>
      </c>
      <c r="V10" s="54">
        <f>IF($O10="","",ROUND(($O10-$O$3)/1000,1)+(_xlfn.RANK.AVG($O10,($J10,$O10,$T10),1)-2)*20)</f>
        <v>-2.7</v>
      </c>
      <c r="W10" s="55">
        <f>IF($T10="","",ROUND(($T10-$T$3)/1000,1)+(_xlfn.RANK.AVG($T10,($J10,$O10,$T10),1)-2)*20)</f>
        <v>-44.9</v>
      </c>
      <c r="Y10" s="8"/>
      <c r="Z10" s="34"/>
      <c r="AA10" s="26">
        <v>1</v>
      </c>
      <c r="AB10" s="26"/>
      <c r="AC10" s="26">
        <v>2</v>
      </c>
      <c r="AD10" s="30">
        <v>50</v>
      </c>
      <c r="AE10" s="40" t="s">
        <v>201</v>
      </c>
      <c r="AF10" s="41" t="s">
        <v>205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199</v>
      </c>
      <c r="G11" s="9">
        <v>12000</v>
      </c>
      <c r="H11" s="9">
        <v>1000</v>
      </c>
      <c r="I11" s="48">
        <v>0</v>
      </c>
      <c r="J11" s="21">
        <f t="shared" si="2"/>
        <v>75600</v>
      </c>
      <c r="K11" s="8"/>
      <c r="L11" s="9"/>
      <c r="M11" s="9"/>
      <c r="N11" s="48"/>
      <c r="O11" s="21">
        <f t="shared" si="3"/>
        <v>32300</v>
      </c>
      <c r="P11" s="8" t="s">
        <v>200</v>
      </c>
      <c r="Q11" s="9">
        <v>-12000</v>
      </c>
      <c r="R11" s="9">
        <v>-1000</v>
      </c>
      <c r="S11" s="48">
        <v>0</v>
      </c>
      <c r="T11" s="21">
        <f t="shared" si="4"/>
        <v>-2900</v>
      </c>
      <c r="U11" s="53">
        <f>IF($J11="","",ROUND(($J11-$J$3)/1000,1)+(_xlfn.RANK.AVG($J11,($J11,$O11,$T11),1)-2)*20)</f>
        <v>60.6</v>
      </c>
      <c r="V11" s="54">
        <f>IF($O11="","",ROUND(($O11-$O$3)/1000,1)+(_xlfn.RANK.AVG($O11,($J11,$O11,$T11),1)-2)*20)</f>
        <v>-2.7</v>
      </c>
      <c r="W11" s="55">
        <f>IF($T11="","",ROUND(($T11-$T$3)/1000,1)+(_xlfn.RANK.AVG($T11,($J11,$O11,$T11),1)-2)*20)</f>
        <v>-57.9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201</v>
      </c>
      <c r="AF11" s="41" t="s">
        <v>205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7BEEDB62-1780-4DD7-AFA6-57E539C22901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E1354D15-6C7F-4026-84AE-2C722287DE0C}">
      <formula1>"ロン,ツモ,放銃,ツモ支払,流局,チョンボ"</formula1>
    </dataValidation>
    <dataValidation type="list" allowBlank="1" showInputMessage="1" showErrorMessage="1" sqref="E4:E30" xr:uid="{C6469609-E5C0-4BBE-8BAF-1F92E4227BC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11081-5941-4A1E-8212-910654CC29C8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198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198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10.5</v>
      </c>
      <c r="V4" s="54">
        <f>IF($O4="","",ROUND(($O4-$O$3)/1000,1)+(_xlfn.RANK.AVG($O4,($J4,$O4,$T4),1)-2)*20)</f>
        <v>10.5</v>
      </c>
      <c r="W4" s="55">
        <f>IF($T4="","",ROUND(($T4-$T$3)/1000,1)+(_xlfn.RANK.AVG($T4,($J4,$O4,$T4),1)-2)*20)</f>
        <v>-23</v>
      </c>
      <c r="Y4" s="8" t="s">
        <v>196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196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tr">
        <f>IF($K$1="","",$K$1)</f>
        <v>ただ</v>
      </c>
      <c r="F5" s="8" t="s">
        <v>199</v>
      </c>
      <c r="G5" s="9">
        <v>5200</v>
      </c>
      <c r="H5" s="9">
        <v>2000</v>
      </c>
      <c r="I5" s="48">
        <v>1000</v>
      </c>
      <c r="J5" s="21">
        <f t="shared" ref="J5:J30" si="2">IF(COUNTA($F5,$K5,$P5)&gt;0,J4+SUM(G5:I5),"")</f>
        <v>43700</v>
      </c>
      <c r="K5" s="8" t="s">
        <v>200</v>
      </c>
      <c r="L5" s="9">
        <v>-5200</v>
      </c>
      <c r="M5" s="9"/>
      <c r="N5" s="48">
        <v>-1000</v>
      </c>
      <c r="O5" s="21">
        <f t="shared" ref="O5:O30" si="3">IF(COUNTA($F5,$K5,$P5)&gt;0,O4+SUM(L5:N5),"")</f>
        <v>29300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28.7</v>
      </c>
      <c r="V5" s="54">
        <f>IF($O5="","",ROUND(($O5-$O$3)/1000,1)+(_xlfn.RANK.AVG($O5,($J5,$O5,$T5),1)-2)*20)</f>
        <v>-25.7</v>
      </c>
      <c r="W5" s="55">
        <f>IF($T5="","",ROUND(($T5-$T$3)/1000,1)+(_xlfn.RANK.AVG($T5,($J5,$O5,$T5),1)-2)*20)</f>
        <v>-3</v>
      </c>
      <c r="Y5" s="8"/>
      <c r="Z5" s="34"/>
      <c r="AA5" s="26"/>
      <c r="AB5" s="26"/>
      <c r="AC5" s="26">
        <v>3</v>
      </c>
      <c r="AD5" s="30">
        <v>40</v>
      </c>
      <c r="AE5" s="40" t="s">
        <v>86</v>
      </c>
      <c r="AF5" s="41" t="s">
        <v>86</v>
      </c>
      <c r="AG5" s="41" t="s">
        <v>206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ぱぱ</v>
      </c>
      <c r="F6" s="8" t="s">
        <v>199</v>
      </c>
      <c r="G6" s="9">
        <v>2600</v>
      </c>
      <c r="H6" s="9"/>
      <c r="I6" s="48">
        <v>0</v>
      </c>
      <c r="J6" s="21">
        <f t="shared" si="2"/>
        <v>46300</v>
      </c>
      <c r="K6" s="8" t="s">
        <v>200</v>
      </c>
      <c r="L6" s="9">
        <v>-2600</v>
      </c>
      <c r="M6" s="9"/>
      <c r="N6" s="48">
        <v>0</v>
      </c>
      <c r="O6" s="21">
        <f t="shared" si="3"/>
        <v>26700</v>
      </c>
      <c r="P6" s="8"/>
      <c r="Q6" s="9"/>
      <c r="R6" s="9"/>
      <c r="S6" s="48"/>
      <c r="T6" s="21">
        <f t="shared" si="4"/>
        <v>32000</v>
      </c>
      <c r="U6" s="53">
        <f>IF($J6="","",ROUND(($J6-$J$3)/1000,1)+(_xlfn.RANK.AVG($J6,($J6,$O6,$T6),1)-2)*20)</f>
        <v>31.3</v>
      </c>
      <c r="V6" s="54">
        <f>IF($O6="","",ROUND(($O6-$O$3)/1000,1)+(_xlfn.RANK.AVG($O6,($J6,$O6,$T6),1)-2)*20)</f>
        <v>-28.3</v>
      </c>
      <c r="W6" s="55">
        <f>IF($T6="","",ROUND(($T6-$T$3)/1000,1)+(_xlfn.RANK.AVG($T6,($J6,$O6,$T6),1)-2)*20)</f>
        <v>-3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201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200</v>
      </c>
      <c r="G7" s="9">
        <v>-8000</v>
      </c>
      <c r="H7" s="9">
        <v>-1000</v>
      </c>
      <c r="I7" s="48">
        <v>0</v>
      </c>
      <c r="J7" s="21">
        <f t="shared" si="2"/>
        <v>37300</v>
      </c>
      <c r="K7" s="8" t="s">
        <v>199</v>
      </c>
      <c r="L7" s="9">
        <v>8000</v>
      </c>
      <c r="M7" s="9">
        <v>1000</v>
      </c>
      <c r="N7" s="48">
        <v>0</v>
      </c>
      <c r="O7" s="21">
        <f t="shared" si="3"/>
        <v>35700</v>
      </c>
      <c r="P7" s="8"/>
      <c r="Q7" s="9"/>
      <c r="R7" s="9"/>
      <c r="S7" s="48"/>
      <c r="T7" s="21">
        <f t="shared" si="4"/>
        <v>32000</v>
      </c>
      <c r="U7" s="53">
        <f>IF($J7="","",ROUND(($J7-$J$3)/1000,1)+(_xlfn.RANK.AVG($J7,($J7,$O7,$T7),1)-2)*20)</f>
        <v>22.3</v>
      </c>
      <c r="V7" s="54">
        <f>IF($O7="","",ROUND(($O7-$O$3)/1000,1)+(_xlfn.RANK.AVG($O7,($J7,$O7,$T7),1)-2)*20)</f>
        <v>0.7</v>
      </c>
      <c r="W7" s="55">
        <f>IF($T7="","",ROUND(($T7-$T$3)/1000,1)+(_xlfn.RANK.AVG($T7,($J7,$O7,$T7),1)-2)*20)</f>
        <v>-23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98</v>
      </c>
      <c r="BA7" s="41" t="s">
        <v>86</v>
      </c>
      <c r="BB7" s="41" t="s">
        <v>206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199</v>
      </c>
      <c r="G8" s="9">
        <v>3900</v>
      </c>
      <c r="H8" s="9"/>
      <c r="I8" s="48">
        <v>0</v>
      </c>
      <c r="J8" s="21">
        <f t="shared" si="2"/>
        <v>41200</v>
      </c>
      <c r="K8" s="8" t="s">
        <v>200</v>
      </c>
      <c r="L8" s="9">
        <v>-3900</v>
      </c>
      <c r="M8" s="9"/>
      <c r="N8" s="48">
        <v>0</v>
      </c>
      <c r="O8" s="21">
        <f t="shared" si="3"/>
        <v>31800</v>
      </c>
      <c r="P8" s="8"/>
      <c r="Q8" s="9"/>
      <c r="R8" s="9"/>
      <c r="S8" s="48"/>
      <c r="T8" s="21">
        <f t="shared" si="4"/>
        <v>32000</v>
      </c>
      <c r="U8" s="53">
        <f>IF($J8="","",ROUND(($J8-$J$3)/1000,1)+(_xlfn.RANK.AVG($J8,($J8,$O8,$T8),1)-2)*20)</f>
        <v>26.2</v>
      </c>
      <c r="V8" s="54">
        <f>IF($O8="","",ROUND(($O8-$O$3)/1000,1)+(_xlfn.RANK.AVG($O8,($J8,$O8,$T8),1)-2)*20)</f>
        <v>-23.2</v>
      </c>
      <c r="W8" s="55">
        <f>IF($T8="","",ROUND(($T8-$T$3)/1000,1)+(_xlfn.RANK.AVG($T8,($J8,$O8,$T8),1)-2)*20)</f>
        <v>-3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79</v>
      </c>
      <c r="AG8" s="41" t="s">
        <v>206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 t="s">
        <v>202</v>
      </c>
      <c r="G9" s="9">
        <v>16000</v>
      </c>
      <c r="H9" s="9"/>
      <c r="I9" s="48">
        <v>0</v>
      </c>
      <c r="J9" s="21">
        <f t="shared" si="2"/>
        <v>57200</v>
      </c>
      <c r="K9" s="8" t="s">
        <v>203</v>
      </c>
      <c r="L9" s="9">
        <v>-6000</v>
      </c>
      <c r="M9" s="9"/>
      <c r="N9" s="48">
        <v>0</v>
      </c>
      <c r="O9" s="21">
        <f t="shared" si="3"/>
        <v>25800</v>
      </c>
      <c r="P9" s="8" t="s">
        <v>203</v>
      </c>
      <c r="Q9" s="9">
        <v>-10000</v>
      </c>
      <c r="R9" s="9"/>
      <c r="S9" s="48">
        <v>0</v>
      </c>
      <c r="T9" s="21">
        <f t="shared" si="4"/>
        <v>22000</v>
      </c>
      <c r="U9" s="53">
        <f>IF($J9="","",ROUND(($J9-$J$3)/1000,1)+(_xlfn.RANK.AVG($J9,($J9,$O9,$T9),1)-2)*20)</f>
        <v>42.2</v>
      </c>
      <c r="V9" s="54">
        <f>IF($O9="","",ROUND(($O9-$O$3)/1000,1)+(_xlfn.RANK.AVG($O9,($J9,$O9,$T9),1)-2)*20)</f>
        <v>-9.1999999999999993</v>
      </c>
      <c r="W9" s="55">
        <f>IF($T9="","",ROUND(($T9-$T$3)/1000,1)+(_xlfn.RANK.AVG($T9,($J9,$O9,$T9),1)-2)*20)</f>
        <v>-33</v>
      </c>
      <c r="Y9" s="8"/>
      <c r="Z9" s="34"/>
      <c r="AA9" s="26">
        <v>1</v>
      </c>
      <c r="AB9" s="26"/>
      <c r="AC9" s="26">
        <v>9</v>
      </c>
      <c r="AD9" s="30" t="s">
        <v>204</v>
      </c>
      <c r="AE9" s="40" t="s">
        <v>201</v>
      </c>
      <c r="AF9" s="41" t="s">
        <v>82</v>
      </c>
      <c r="AG9" s="41" t="s">
        <v>205</v>
      </c>
      <c r="AH9" s="41" t="s">
        <v>101</v>
      </c>
      <c r="AI9" s="41" t="s">
        <v>79</v>
      </c>
      <c r="AJ9" s="41" t="s">
        <v>79</v>
      </c>
      <c r="AK9" s="41" t="s">
        <v>80</v>
      </c>
      <c r="AL9" s="41" t="s">
        <v>80</v>
      </c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198</v>
      </c>
      <c r="G10" s="9">
        <v>3000</v>
      </c>
      <c r="H10" s="9">
        <v>0</v>
      </c>
      <c r="I10" s="48"/>
      <c r="J10" s="21">
        <f t="shared" si="2"/>
        <v>60200</v>
      </c>
      <c r="K10" s="8" t="s">
        <v>198</v>
      </c>
      <c r="L10" s="9">
        <v>-1500</v>
      </c>
      <c r="M10" s="9"/>
      <c r="N10" s="48"/>
      <c r="O10" s="21">
        <f t="shared" si="3"/>
        <v>24300</v>
      </c>
      <c r="P10" s="8" t="s">
        <v>198</v>
      </c>
      <c r="Q10" s="9">
        <v>-1500</v>
      </c>
      <c r="R10" s="9"/>
      <c r="S10" s="48"/>
      <c r="T10" s="21">
        <f t="shared" si="4"/>
        <v>20500</v>
      </c>
      <c r="U10" s="53">
        <f>IF($J10="","",ROUND(($J10-$J$3)/1000,1)+(_xlfn.RANK.AVG($J10,($J10,$O10,$T10),1)-2)*20)</f>
        <v>45.2</v>
      </c>
      <c r="V10" s="54">
        <f>IF($O10="","",ROUND(($O10-$O$3)/1000,1)+(_xlfn.RANK.AVG($O10,($J10,$O10,$T10),1)-2)*20)</f>
        <v>-10.7</v>
      </c>
      <c r="W10" s="55">
        <f>IF($T10="","",ROUND(($T10-$T$3)/1000,1)+(_xlfn.RANK.AVG($T10,($J10,$O10,$T10),1)-2)*20)</f>
        <v>-34.5</v>
      </c>
      <c r="Y10" s="8" t="s">
        <v>196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16D2EC80-1817-4CD3-8DA4-7694D29C0AD3}">
      <formula1>$U$2:$W$2</formula1>
    </dataValidation>
    <dataValidation type="list" showInputMessage="1" showErrorMessage="1" sqref="K4:K30 P4:P30 F4:F30" xr:uid="{0F62E0E3-EC3E-4B86-8E87-31240343AFDA}">
      <formula1>"ロン,ツモ,放銃,ツモ支払,流局,チョンボ"</formula1>
    </dataValidation>
    <dataValidation type="list" allowBlank="1" showInputMessage="1" sqref="F1:T1" xr:uid="{331F3258-0621-4F33-BAA7-A70B97C58728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BE2C5-6FE8-4E55-B354-57A494B290C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203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202</v>
      </c>
      <c r="L4" s="9">
        <v>3000</v>
      </c>
      <c r="M4" s="9"/>
      <c r="N4" s="48">
        <v>0</v>
      </c>
      <c r="O4" s="21">
        <f>IF(COUNTA($F4,$K4,$P4)&gt;0,O3+SUM(L4:N4),"")</f>
        <v>38000</v>
      </c>
      <c r="P4" s="8" t="s">
        <v>203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23</v>
      </c>
      <c r="W4" s="55">
        <f>IF($T4="","",ROUND(($T4-$T$3)/1000,1)+(_xlfn.RANK.AVG($T4,($J4,$O4,$T4),1)-2)*20)</f>
        <v>-11.5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201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-3000</v>
      </c>
      <c r="H5" s="9">
        <v>-1000</v>
      </c>
      <c r="I5" s="48">
        <v>-500</v>
      </c>
      <c r="J5" s="21">
        <f t="shared" ref="J5:J30" si="2">IF(COUNTA($F5,$K5,$P5)&gt;0,J4+SUM(G5:I5),"")</f>
        <v>29000</v>
      </c>
      <c r="K5" s="8" t="s">
        <v>203</v>
      </c>
      <c r="L5" s="9">
        <v>-5000</v>
      </c>
      <c r="M5" s="9"/>
      <c r="N5" s="48">
        <v>-500</v>
      </c>
      <c r="O5" s="21">
        <f t="shared" ref="O5:O30" si="3">IF(COUNTA($F5,$K5,$P5)&gt;0,O4+SUM(L5:N5),"")</f>
        <v>32500</v>
      </c>
      <c r="P5" s="8" t="s">
        <v>202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43500</v>
      </c>
      <c r="U5" s="53">
        <f>IF($J5="","",ROUND(($J5-$J$3)/1000,1)+(_xlfn.RANK.AVG($J5,($J5,$O5,$T5),1)-2)*20)</f>
        <v>-26</v>
      </c>
      <c r="V5" s="54">
        <f>IF($O5="","",ROUND(($O5-$O$3)/1000,1)+(_xlfn.RANK.AVG($O5,($J5,$O5,$T5),1)-2)*20)</f>
        <v>-2.5</v>
      </c>
      <c r="W5" s="55">
        <f>IF($T5="","",ROUND(($T5-$T$3)/1000,1)+(_xlfn.RANK.AVG($T5,($J5,$O5,$T5),1)-2)*20)</f>
        <v>28.5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204</v>
      </c>
      <c r="BU5" s="40" t="s">
        <v>201</v>
      </c>
      <c r="BV5" s="41" t="s">
        <v>82</v>
      </c>
      <c r="BW5" s="41" t="s">
        <v>84</v>
      </c>
      <c r="BX5" s="41" t="s">
        <v>79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ぱぱ</v>
      </c>
      <c r="F6" s="8"/>
      <c r="G6" s="9"/>
      <c r="H6" s="9"/>
      <c r="I6" s="48"/>
      <c r="J6" s="21">
        <f t="shared" si="2"/>
        <v>29000</v>
      </c>
      <c r="K6" s="8" t="s">
        <v>199</v>
      </c>
      <c r="L6" s="9">
        <v>5200</v>
      </c>
      <c r="M6" s="9"/>
      <c r="N6" s="48">
        <v>0</v>
      </c>
      <c r="O6" s="21">
        <f t="shared" si="3"/>
        <v>37700</v>
      </c>
      <c r="P6" s="8" t="s">
        <v>200</v>
      </c>
      <c r="Q6" s="9">
        <v>-5200</v>
      </c>
      <c r="R6" s="9"/>
      <c r="S6" s="48">
        <v>0</v>
      </c>
      <c r="T6" s="21">
        <f t="shared" si="4"/>
        <v>38300</v>
      </c>
      <c r="U6" s="53">
        <f>IF($J6="","",ROUND(($J6-$J$3)/1000,1)+(_xlfn.RANK.AVG($J6,($J6,$O6,$T6),1)-2)*20)</f>
        <v>-26</v>
      </c>
      <c r="V6" s="54">
        <f>IF($O6="","",ROUND(($O6-$O$3)/1000,1)+(_xlfn.RANK.AVG($O6,($J6,$O6,$T6),1)-2)*20)</f>
        <v>2.7</v>
      </c>
      <c r="W6" s="55">
        <f>IF($T6="","",ROUND(($T6-$T$3)/1000,1)+(_xlfn.RANK.AVG($T6,($J6,$O6,$T6),1)-2)*20)</f>
        <v>23.3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201</v>
      </c>
      <c r="BA6" s="41" t="s">
        <v>86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202</v>
      </c>
      <c r="G7" s="9">
        <v>12000</v>
      </c>
      <c r="H7" s="9"/>
      <c r="I7" s="48">
        <v>0</v>
      </c>
      <c r="J7" s="21">
        <f t="shared" si="2"/>
        <v>41000</v>
      </c>
      <c r="K7" s="8" t="s">
        <v>203</v>
      </c>
      <c r="L7" s="9">
        <v>-6000</v>
      </c>
      <c r="M7" s="9"/>
      <c r="N7" s="48">
        <v>0</v>
      </c>
      <c r="O7" s="21">
        <f t="shared" si="3"/>
        <v>31700</v>
      </c>
      <c r="P7" s="8" t="s">
        <v>203</v>
      </c>
      <c r="Q7" s="9">
        <v>-6000</v>
      </c>
      <c r="R7" s="9"/>
      <c r="S7" s="48">
        <v>0</v>
      </c>
      <c r="T7" s="21">
        <f t="shared" si="4"/>
        <v>32300</v>
      </c>
      <c r="U7" s="53">
        <f>IF($J7="","",ROUND(($J7-$J$3)/1000,1)+(_xlfn.RANK.AVG($J7,($J7,$O7,$T7),1)-2)*20)</f>
        <v>26</v>
      </c>
      <c r="V7" s="54">
        <f>IF($O7="","",ROUND(($O7-$O$3)/1000,1)+(_xlfn.RANK.AVG($O7,($J7,$O7,$T7),1)-2)*20)</f>
        <v>-23.3</v>
      </c>
      <c r="W7" s="55">
        <f>IF($T7="","",ROUND(($T7-$T$3)/1000,1)+(_xlfn.RANK.AVG($T7,($J7,$O7,$T7),1)-2)*20)</f>
        <v>-2.7</v>
      </c>
      <c r="Y7" s="8"/>
      <c r="Z7" s="34"/>
      <c r="AA7" s="26">
        <v>1</v>
      </c>
      <c r="AB7" s="26"/>
      <c r="AC7" s="26">
        <v>5</v>
      </c>
      <c r="AD7" s="30" t="s">
        <v>204</v>
      </c>
      <c r="AE7" s="40" t="s">
        <v>201</v>
      </c>
      <c r="AF7" s="41" t="s">
        <v>82</v>
      </c>
      <c r="AG7" s="41" t="s">
        <v>205</v>
      </c>
      <c r="AH7" s="41" t="s">
        <v>83</v>
      </c>
      <c r="AI7" s="41" t="s">
        <v>206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れんたろう</v>
      </c>
      <c r="F8" s="8" t="s">
        <v>203</v>
      </c>
      <c r="G8" s="9">
        <v>-2500</v>
      </c>
      <c r="H8" s="9"/>
      <c r="I8" s="48">
        <v>-500</v>
      </c>
      <c r="J8" s="21">
        <f t="shared" si="2"/>
        <v>38000</v>
      </c>
      <c r="K8" s="8" t="s">
        <v>203</v>
      </c>
      <c r="L8" s="9">
        <v>-1500</v>
      </c>
      <c r="M8" s="9">
        <v>-1000</v>
      </c>
      <c r="N8" s="48">
        <v>-500</v>
      </c>
      <c r="O8" s="21">
        <f t="shared" si="3"/>
        <v>28700</v>
      </c>
      <c r="P8" s="8" t="s">
        <v>202</v>
      </c>
      <c r="Q8" s="9">
        <v>4000</v>
      </c>
      <c r="R8" s="9">
        <v>1000</v>
      </c>
      <c r="S8" s="48">
        <v>1000</v>
      </c>
      <c r="T8" s="21">
        <f t="shared" si="4"/>
        <v>38300</v>
      </c>
      <c r="U8" s="53">
        <f>IF($J8="","",ROUND(($J8-$J$3)/1000,1)+(_xlfn.RANK.AVG($J8,($J8,$O8,$T8),1)-2)*20)</f>
        <v>3</v>
      </c>
      <c r="V8" s="54">
        <f>IF($O8="","",ROUND(($O8-$O$3)/1000,1)+(_xlfn.RANK.AVG($O8,($J8,$O8,$T8),1)-2)*20)</f>
        <v>-26.3</v>
      </c>
      <c r="W8" s="55">
        <f>IF($T8="","",ROUND(($T8-$T$3)/1000,1)+(_xlfn.RANK.AVG($T8,($J8,$O8,$T8),1)-2)*20)</f>
        <v>23.3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201</v>
      </c>
      <c r="BV8" s="41" t="s">
        <v>82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202</v>
      </c>
      <c r="G9" s="9">
        <v>7700</v>
      </c>
      <c r="H9" s="9"/>
      <c r="I9" s="48">
        <v>0</v>
      </c>
      <c r="J9" s="21">
        <f t="shared" si="2"/>
        <v>45700</v>
      </c>
      <c r="K9" s="8" t="s">
        <v>203</v>
      </c>
      <c r="L9" s="9">
        <v>-4800</v>
      </c>
      <c r="M9" s="9"/>
      <c r="N9" s="48">
        <v>0</v>
      </c>
      <c r="O9" s="21">
        <f t="shared" si="3"/>
        <v>23900</v>
      </c>
      <c r="P9" s="8" t="s">
        <v>203</v>
      </c>
      <c r="Q9" s="9">
        <v>-2900</v>
      </c>
      <c r="R9" s="9"/>
      <c r="S9" s="48">
        <v>0</v>
      </c>
      <c r="T9" s="21">
        <f t="shared" si="4"/>
        <v>35400</v>
      </c>
      <c r="U9" s="53">
        <f>IF($J9="","",ROUND(($J9-$J$3)/1000,1)+(_xlfn.RANK.AVG($J9,($J9,$O9,$T9),1)-2)*20)</f>
        <v>30.7</v>
      </c>
      <c r="V9" s="54">
        <f>IF($O9="","",ROUND(($O9-$O$3)/1000,1)+(_xlfn.RANK.AVG($O9,($J9,$O9,$T9),1)-2)*20)</f>
        <v>-31.1</v>
      </c>
      <c r="W9" s="55">
        <f>IF($T9="","",ROUND(($T9-$T$3)/1000,1)+(_xlfn.RANK.AVG($T9,($J9,$O9,$T9),1)-2)*20)</f>
        <v>0.4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86</v>
      </c>
      <c r="AG9" s="41" t="s">
        <v>79</v>
      </c>
      <c r="AH9" s="41" t="s">
        <v>206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ぱぱ</v>
      </c>
      <c r="F10" s="8" t="s">
        <v>199</v>
      </c>
      <c r="G10" s="9">
        <v>2000</v>
      </c>
      <c r="H10" s="9"/>
      <c r="I10" s="48">
        <v>0</v>
      </c>
      <c r="J10" s="21">
        <f t="shared" si="2"/>
        <v>47700</v>
      </c>
      <c r="K10" s="8"/>
      <c r="L10" s="9"/>
      <c r="M10" s="9"/>
      <c r="N10" s="48"/>
      <c r="O10" s="21">
        <f t="shared" si="3"/>
        <v>23900</v>
      </c>
      <c r="P10" s="8" t="s">
        <v>200</v>
      </c>
      <c r="Q10" s="9">
        <v>-2000</v>
      </c>
      <c r="R10" s="9"/>
      <c r="S10" s="48">
        <v>0</v>
      </c>
      <c r="T10" s="21">
        <f t="shared" si="4"/>
        <v>33400</v>
      </c>
      <c r="U10" s="53">
        <f>IF($J10="","",ROUND(($J10-$J$3)/1000,1)+(_xlfn.RANK.AVG($J10,($J10,$O10,$T10),1)-2)*20)</f>
        <v>32.700000000000003</v>
      </c>
      <c r="V10" s="54">
        <f>IF($O10="","",ROUND(($O10-$O$3)/1000,1)+(_xlfn.RANK.AVG($O10,($J10,$O10,$T10),1)-2)*20)</f>
        <v>-31.1</v>
      </c>
      <c r="W10" s="55">
        <f>IF($T10="","",ROUND(($T10-$T$3)/1000,1)+(_xlfn.RANK.AVG($T10,($J10,$O10,$T10),1)-2)*20)</f>
        <v>-1.6</v>
      </c>
      <c r="Y10" s="8"/>
      <c r="Z10" s="34"/>
      <c r="AA10" s="26"/>
      <c r="AB10" s="26"/>
      <c r="AC10" s="26">
        <v>2</v>
      </c>
      <c r="AD10" s="30">
        <v>30</v>
      </c>
      <c r="AE10" s="40" t="s">
        <v>83</v>
      </c>
      <c r="AF10" s="41" t="s">
        <v>206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 t="s">
        <v>199</v>
      </c>
      <c r="G11" s="9">
        <v>12000</v>
      </c>
      <c r="H11" s="9"/>
      <c r="I11" s="48">
        <v>0</v>
      </c>
      <c r="J11" s="21">
        <f t="shared" si="2"/>
        <v>59700</v>
      </c>
      <c r="K11" s="8"/>
      <c r="L11" s="9"/>
      <c r="M11" s="9"/>
      <c r="N11" s="48"/>
      <c r="O11" s="21">
        <f t="shared" si="3"/>
        <v>23900</v>
      </c>
      <c r="P11" s="8" t="s">
        <v>200</v>
      </c>
      <c r="Q11" s="9">
        <v>-12000</v>
      </c>
      <c r="R11" s="9"/>
      <c r="S11" s="48">
        <v>0</v>
      </c>
      <c r="T11" s="21">
        <f t="shared" si="4"/>
        <v>21400</v>
      </c>
      <c r="U11" s="53">
        <f>IF($J11="","",ROUND(($J11-$J$3)/1000,1)+(_xlfn.RANK.AVG($J11,($J11,$O11,$T11),1)-2)*20)</f>
        <v>44.7</v>
      </c>
      <c r="V11" s="54">
        <f>IF($O11="","",ROUND(($O11-$O$3)/1000,1)+(_xlfn.RANK.AVG($O11,($J11,$O11,$T11),1)-2)*20)</f>
        <v>-11.1</v>
      </c>
      <c r="W11" s="55">
        <f>IF($T11="","",ROUND(($T11-$T$3)/1000,1)+(_xlfn.RANK.AVG($T11,($J11,$O11,$T11),1)-2)*20)</f>
        <v>-33.6</v>
      </c>
      <c r="Y11" s="8"/>
      <c r="Z11" s="34"/>
      <c r="AA11" s="26"/>
      <c r="AB11" s="26">
        <v>1</v>
      </c>
      <c r="AC11" s="26">
        <v>5</v>
      </c>
      <c r="AD11" s="30" t="s">
        <v>204</v>
      </c>
      <c r="AE11" s="40" t="s">
        <v>86</v>
      </c>
      <c r="AF11" s="41" t="s">
        <v>86</v>
      </c>
      <c r="AG11" s="41" t="s">
        <v>86</v>
      </c>
      <c r="AH11" s="41" t="s">
        <v>104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3F9DF73F-00A8-4D43-824A-31217EF6D7A7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86F0AA0B-484E-40F5-A26A-25AD64DFA606}">
      <formula1>"ロン,ツモ,放銃,ツモ支払,流局,チョンボ"</formula1>
    </dataValidation>
    <dataValidation type="list" allowBlank="1" showInputMessage="1" showErrorMessage="1" sqref="E4:E30" xr:uid="{3F850209-C045-4BED-88BE-7D3AB096CA7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88D9A-CE7E-420D-9C83-BDD11E5BA43C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199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-18000</v>
      </c>
      <c r="R4" s="9">
        <v>-1000</v>
      </c>
      <c r="S4" s="48">
        <v>0</v>
      </c>
      <c r="T4" s="21">
        <f>IF(COUNTA($F4,$K4,$P4)&gt;0,T3+SUM(Q4:S4),"")</f>
        <v>16000</v>
      </c>
      <c r="U4" s="53">
        <f>IF($J4="","",ROUND(($J4-$J$3)/1000,1)+(_xlfn.RANK.AVG($J4,($J4,$O4,$T4),1)-2)*20)</f>
        <v>39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-39</v>
      </c>
      <c r="Y4" s="8"/>
      <c r="Z4" s="34"/>
      <c r="AA4" s="26"/>
      <c r="AB4" s="26">
        <v>1</v>
      </c>
      <c r="AC4" s="26">
        <v>7</v>
      </c>
      <c r="AD4" s="30" t="s">
        <v>204</v>
      </c>
      <c r="AE4" s="40" t="s">
        <v>86</v>
      </c>
      <c r="AF4" s="41" t="s">
        <v>86</v>
      </c>
      <c r="AG4" s="41" t="s">
        <v>98</v>
      </c>
      <c r="AH4" s="41" t="s">
        <v>79</v>
      </c>
      <c r="AI4" s="41" t="s">
        <v>79</v>
      </c>
      <c r="AJ4" s="41" t="s">
        <v>206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198</v>
      </c>
      <c r="G5" s="9">
        <v>1500</v>
      </c>
      <c r="H5" s="9">
        <v>-1000</v>
      </c>
      <c r="I5" s="48"/>
      <c r="J5" s="21">
        <f t="shared" ref="J5:J30" si="2">IF(COUNTA($F5,$K5,$P5)&gt;0,J4+SUM(G5:I5),"")</f>
        <v>54500</v>
      </c>
      <c r="K5" s="8" t="s">
        <v>198</v>
      </c>
      <c r="L5" s="9">
        <v>-3000</v>
      </c>
      <c r="M5" s="9"/>
      <c r="N5" s="48"/>
      <c r="O5" s="21">
        <f t="shared" ref="O5:O30" si="3">IF(COUNTA($F5,$K5,$P5)&gt;0,O4+SUM(L5:N5),"")</f>
        <v>32000</v>
      </c>
      <c r="P5" s="8" t="s">
        <v>198</v>
      </c>
      <c r="Q5" s="9">
        <v>1500</v>
      </c>
      <c r="R5" s="9"/>
      <c r="S5" s="48"/>
      <c r="T5" s="21">
        <f t="shared" ref="T5:T30" si="4">IF(COUNTA($F5,$K5,$P5)&gt;0,T4+SUM(Q5:S5),"")</f>
        <v>17500</v>
      </c>
      <c r="U5" s="53">
        <f>IF($J5="","",ROUND(($J5-$J$3)/1000,1)+(_xlfn.RANK.AVG($J5,($J5,$O5,$T5),1)-2)*20)</f>
        <v>39.5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-37.5</v>
      </c>
      <c r="Y5" s="8" t="s">
        <v>196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IF($F$1="","",$F$1)</f>
        <v>れんたろう</v>
      </c>
      <c r="F6" s="8" t="s">
        <v>198</v>
      </c>
      <c r="G6" s="9">
        <v>-3000</v>
      </c>
      <c r="H6" s="9"/>
      <c r="I6" s="48"/>
      <c r="J6" s="21">
        <f t="shared" si="2"/>
        <v>51500</v>
      </c>
      <c r="K6" s="8" t="s">
        <v>198</v>
      </c>
      <c r="L6" s="9">
        <v>1500</v>
      </c>
      <c r="M6" s="9"/>
      <c r="N6" s="48"/>
      <c r="O6" s="21">
        <f t="shared" si="3"/>
        <v>33500</v>
      </c>
      <c r="P6" s="8" t="s">
        <v>198</v>
      </c>
      <c r="Q6" s="9">
        <v>1500</v>
      </c>
      <c r="R6" s="9">
        <v>-1000</v>
      </c>
      <c r="S6" s="48"/>
      <c r="T6" s="21">
        <f t="shared" si="4"/>
        <v>18000</v>
      </c>
      <c r="U6" s="53">
        <f>IF($J6="","",ROUND(($J6-$J$3)/1000,1)+(_xlfn.RANK.AVG($J6,($J6,$O6,$T6),1)-2)*20)</f>
        <v>36.5</v>
      </c>
      <c r="V6" s="54">
        <f>IF($O6="","",ROUND(($O6-$O$3)/1000,1)+(_xlfn.RANK.AVG($O6,($J6,$O6,$T6),1)-2)*20)</f>
        <v>-1.5</v>
      </c>
      <c r="W6" s="55">
        <f>IF($T6="","",ROUND(($T6-$T$3)/1000,1)+(_xlfn.RANK.AVG($T6,($J6,$O6,$T6),1)-2)*20)</f>
        <v>-37</v>
      </c>
      <c r="Y6" s="8" t="s">
        <v>197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196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2</v>
      </c>
      <c r="E7" s="4" t="str">
        <f>IF($K$1="","",$K$1)</f>
        <v>ただ</v>
      </c>
      <c r="F7" s="8" t="s">
        <v>203</v>
      </c>
      <c r="G7" s="9">
        <v>-4800</v>
      </c>
      <c r="H7" s="9"/>
      <c r="I7" s="48">
        <v>-1500</v>
      </c>
      <c r="J7" s="21">
        <f t="shared" si="2"/>
        <v>45200</v>
      </c>
      <c r="K7" s="8" t="s">
        <v>202</v>
      </c>
      <c r="L7" s="9">
        <v>9600</v>
      </c>
      <c r="M7" s="9">
        <v>2000</v>
      </c>
      <c r="N7" s="48">
        <v>3000</v>
      </c>
      <c r="O7" s="21">
        <f t="shared" si="3"/>
        <v>48100</v>
      </c>
      <c r="P7" s="8" t="s">
        <v>203</v>
      </c>
      <c r="Q7" s="9">
        <v>-4800</v>
      </c>
      <c r="R7" s="9"/>
      <c r="S7" s="48">
        <v>-1500</v>
      </c>
      <c r="T7" s="21">
        <f t="shared" si="4"/>
        <v>11700</v>
      </c>
      <c r="U7" s="53">
        <f>IF($J7="","",ROUND(($J7-$J$3)/1000,1)+(_xlfn.RANK.AVG($J7,($J7,$O7,$T7),1)-2)*20)</f>
        <v>10.199999999999999</v>
      </c>
      <c r="V7" s="54">
        <f>IF($O7="","",ROUND(($O7-$O$3)/1000,1)+(_xlfn.RANK.AVG($O7,($J7,$O7,$T7),1)-2)*20)</f>
        <v>33.1</v>
      </c>
      <c r="W7" s="55">
        <f>IF($T7="","",ROUND(($T7-$T$3)/1000,1)+(_xlfn.RANK.AVG($T7,($J7,$O7,$T7),1)-2)*20)</f>
        <v>-43.3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50</v>
      </c>
      <c r="AZ7" s="40" t="s">
        <v>82</v>
      </c>
      <c r="BA7" s="41" t="s">
        <v>201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ただ</v>
      </c>
      <c r="F8" s="8" t="s">
        <v>202</v>
      </c>
      <c r="G8" s="9">
        <v>12000</v>
      </c>
      <c r="H8" s="9">
        <v>2000</v>
      </c>
      <c r="I8" s="48">
        <v>4000</v>
      </c>
      <c r="J8" s="21">
        <f t="shared" si="2"/>
        <v>63200</v>
      </c>
      <c r="K8" s="8" t="s">
        <v>203</v>
      </c>
      <c r="L8" s="9">
        <v>-7500</v>
      </c>
      <c r="M8" s="9">
        <v>-1000</v>
      </c>
      <c r="N8" s="48">
        <v>-2000</v>
      </c>
      <c r="O8" s="21">
        <f t="shared" si="3"/>
        <v>37600</v>
      </c>
      <c r="P8" s="8" t="s">
        <v>203</v>
      </c>
      <c r="Q8" s="9">
        <v>-4500</v>
      </c>
      <c r="R8" s="9">
        <v>-1000</v>
      </c>
      <c r="S8" s="48">
        <v>-2000</v>
      </c>
      <c r="T8" s="21">
        <f t="shared" si="4"/>
        <v>4200</v>
      </c>
      <c r="U8" s="53">
        <f>IF($J8="","",ROUND(($J8-$J$3)/1000,1)+(_xlfn.RANK.AVG($J8,($J8,$O8,$T8),1)-2)*20)</f>
        <v>48.2</v>
      </c>
      <c r="V8" s="54">
        <f>IF($O8="","",ROUND(($O8-$O$3)/1000,1)+(_xlfn.RANK.AVG($O8,($J8,$O8,$T8),1)-2)*20)</f>
        <v>2.6</v>
      </c>
      <c r="W8" s="55">
        <f>IF($T8="","",ROUND(($T8-$T$3)/1000,1)+(_xlfn.RANK.AVG($T8,($J8,$O8,$T8),1)-2)*20)</f>
        <v>-50.8</v>
      </c>
      <c r="Y8" s="8"/>
      <c r="Z8" s="34"/>
      <c r="AA8" s="26">
        <v>1</v>
      </c>
      <c r="AB8" s="26"/>
      <c r="AC8" s="26">
        <v>6</v>
      </c>
      <c r="AD8" s="30" t="s">
        <v>204</v>
      </c>
      <c r="AE8" s="40" t="s">
        <v>201</v>
      </c>
      <c r="AF8" s="41" t="s">
        <v>82</v>
      </c>
      <c r="AG8" s="41" t="s">
        <v>79</v>
      </c>
      <c r="AH8" s="41" t="s">
        <v>80</v>
      </c>
      <c r="AI8" s="41" t="s">
        <v>206</v>
      </c>
      <c r="AJ8" s="41" t="s">
        <v>86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199</v>
      </c>
      <c r="G9" s="9">
        <v>8000</v>
      </c>
      <c r="H9" s="9">
        <v>1000</v>
      </c>
      <c r="I9" s="48">
        <v>0</v>
      </c>
      <c r="J9" s="21">
        <f t="shared" si="2"/>
        <v>72200</v>
      </c>
      <c r="K9" s="8" t="s">
        <v>200</v>
      </c>
      <c r="L9" s="9">
        <v>-8000</v>
      </c>
      <c r="M9" s="9">
        <v>-1000</v>
      </c>
      <c r="N9" s="48">
        <v>0</v>
      </c>
      <c r="O9" s="21">
        <f t="shared" si="3"/>
        <v>28600</v>
      </c>
      <c r="P9" s="8"/>
      <c r="Q9" s="9"/>
      <c r="R9" s="9"/>
      <c r="S9" s="48"/>
      <c r="T9" s="21">
        <f t="shared" si="4"/>
        <v>4200</v>
      </c>
      <c r="U9" s="53">
        <f>IF($J9="","",ROUND(($J9-$J$3)/1000,1)+(_xlfn.RANK.AVG($J9,($J9,$O9,$T9),1)-2)*20)</f>
        <v>57.2</v>
      </c>
      <c r="V9" s="54">
        <f>IF($O9="","",ROUND(($O9-$O$3)/1000,1)+(_xlfn.RANK.AVG($O9,($J9,$O9,$T9),1)-2)*20)</f>
        <v>-6.4</v>
      </c>
      <c r="W9" s="55">
        <f>IF($T9="","",ROUND(($T9-$T$3)/1000,1)+(_xlfn.RANK.AVG($T9,($J9,$O9,$T9),1)-2)*20)</f>
        <v>-50.8</v>
      </c>
      <c r="Y9" s="8"/>
      <c r="Z9" s="34"/>
      <c r="AA9" s="26">
        <v>1</v>
      </c>
      <c r="AB9" s="26"/>
      <c r="AC9" s="26">
        <v>5</v>
      </c>
      <c r="AD9" s="30" t="s">
        <v>204</v>
      </c>
      <c r="AE9" s="40" t="s">
        <v>201</v>
      </c>
      <c r="AF9" s="41" t="s">
        <v>85</v>
      </c>
      <c r="AG9" s="41" t="s">
        <v>79</v>
      </c>
      <c r="AH9" s="41" t="s">
        <v>80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203</v>
      </c>
      <c r="G10" s="9">
        <v>-10000</v>
      </c>
      <c r="H10" s="9"/>
      <c r="I10" s="48">
        <v>0</v>
      </c>
      <c r="J10" s="21">
        <f t="shared" si="2"/>
        <v>62200</v>
      </c>
      <c r="K10" s="8" t="s">
        <v>202</v>
      </c>
      <c r="L10" s="9">
        <v>16000</v>
      </c>
      <c r="M10" s="9"/>
      <c r="N10" s="48">
        <v>0</v>
      </c>
      <c r="O10" s="21">
        <f t="shared" si="3"/>
        <v>44600</v>
      </c>
      <c r="P10" s="8" t="s">
        <v>203</v>
      </c>
      <c r="Q10" s="9">
        <v>-6000</v>
      </c>
      <c r="R10" s="9"/>
      <c r="S10" s="48">
        <v>0</v>
      </c>
      <c r="T10" s="21">
        <f t="shared" si="4"/>
        <v>-1800</v>
      </c>
      <c r="U10" s="53">
        <f>IF($J10="","",ROUND(($J10-$J$3)/1000,1)+(_xlfn.RANK.AVG($J10,($J10,$O10,$T10),1)-2)*20)</f>
        <v>47.2</v>
      </c>
      <c r="V10" s="54">
        <f>IF($O10="","",ROUND(($O10-$O$3)/1000,1)+(_xlfn.RANK.AVG($O10,($J10,$O10,$T10),1)-2)*20)</f>
        <v>9.6</v>
      </c>
      <c r="W10" s="55">
        <f>IF($T10="","",ROUND(($T10-$T$3)/1000,1)+(_xlfn.RANK.AVG($T10,($J10,$O10,$T10),1)-2)*20)</f>
        <v>-56.8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9</v>
      </c>
      <c r="AY10" s="30" t="s">
        <v>204</v>
      </c>
      <c r="AZ10" s="40" t="s">
        <v>86</v>
      </c>
      <c r="BA10" s="41" t="s">
        <v>106</v>
      </c>
      <c r="BB10" s="41" t="s">
        <v>82</v>
      </c>
      <c r="BC10" s="41" t="s">
        <v>206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CFC6F051-EC25-45D4-94CA-86126B20C964}">
      <formula1>$U$2:$W$2</formula1>
    </dataValidation>
    <dataValidation type="list" showInputMessage="1" showErrorMessage="1" sqref="K4:K30 P4:P30 F4:F30" xr:uid="{861D526C-E30A-4AF7-8C58-4707505BDFBE}">
      <formula1>"ロン,ツモ,放銃,ツモ支払,流局,チョンボ"</formula1>
    </dataValidation>
    <dataValidation type="list" allowBlank="1" showInputMessage="1" sqref="F1:T1" xr:uid="{5D6A0F87-CBC2-4D9C-8FC1-A37961866C2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17E9-7F53-46F9-BFE8-8C3A11C35CF3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203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 t="s">
        <v>203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202</v>
      </c>
      <c r="Q4" s="9">
        <v>11600</v>
      </c>
      <c r="R4" s="9"/>
      <c r="S4" s="48">
        <v>0</v>
      </c>
      <c r="T4" s="21">
        <f>IF(COUNTA($F4,$K4,$P4)&gt;0,T3+SUM(Q4:S4),"")</f>
        <v>46600</v>
      </c>
      <c r="U4" s="53">
        <f>IF($J4="","",ROUND(($J4-$J$3)/1000,1)+(_xlfn.RANK.AVG($J4,($J4,$O4,$T4),1)-2)*20)</f>
        <v>-15.8</v>
      </c>
      <c r="V4" s="54">
        <f>IF($O4="","",ROUND(($O4-$O$3)/1000,1)+(_xlfn.RANK.AVG($O4,($J4,$O4,$T4),1)-2)*20)</f>
        <v>-15.8</v>
      </c>
      <c r="W4" s="55">
        <f>IF($T4="","",ROUND(($T4-$T$3)/1000,1)+(_xlfn.RANK.AVG($T4,($J4,$O4,$T4),1)-2)*20)</f>
        <v>31.6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201</v>
      </c>
      <c r="BV4" s="41" t="s">
        <v>82</v>
      </c>
      <c r="BW4" s="41" t="s">
        <v>206</v>
      </c>
      <c r="BX4" s="41" t="s">
        <v>86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ぱぱ</v>
      </c>
      <c r="F5" s="8"/>
      <c r="G5" s="9"/>
      <c r="H5" s="9"/>
      <c r="I5" s="48"/>
      <c r="J5" s="21">
        <f t="shared" ref="J5:J30" si="2">IF(COUNTA($F5,$K5,$P5)&gt;0,J4+SUM(G5:I5),"")</f>
        <v>29200</v>
      </c>
      <c r="K5" s="8" t="s">
        <v>200</v>
      </c>
      <c r="L5" s="9">
        <v>-3900</v>
      </c>
      <c r="M5" s="9"/>
      <c r="N5" s="48">
        <v>-1000</v>
      </c>
      <c r="O5" s="21">
        <f t="shared" ref="O5:O30" si="3">IF(COUNTA($F5,$K5,$P5)&gt;0,O4+SUM(L5:N5),"")</f>
        <v>24300</v>
      </c>
      <c r="P5" s="8" t="s">
        <v>199</v>
      </c>
      <c r="Q5" s="9">
        <v>3900</v>
      </c>
      <c r="R5" s="9"/>
      <c r="S5" s="48">
        <v>1000</v>
      </c>
      <c r="T5" s="21">
        <f t="shared" ref="T5:T30" si="4">IF(COUNTA($F5,$K5,$P5)&gt;0,T4+SUM(Q5:S5),"")</f>
        <v>51500</v>
      </c>
      <c r="U5" s="53">
        <f>IF($J5="","",ROUND(($J5-$J$3)/1000,1)+(_xlfn.RANK.AVG($J5,($J5,$O5,$T5),1)-2)*20)</f>
        <v>-5.8</v>
      </c>
      <c r="V5" s="54">
        <f>IF($O5="","",ROUND(($O5-$O$3)/1000,1)+(_xlfn.RANK.AVG($O5,($J5,$O5,$T5),1)-2)*20)</f>
        <v>-30.7</v>
      </c>
      <c r="W5" s="55">
        <f>IF($T5="","",ROUND(($T5-$T$3)/1000,1)+(_xlfn.RANK.AVG($T5,($J5,$O5,$T5),1)-2)*20)</f>
        <v>36.5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201</v>
      </c>
      <c r="BV5" s="41" t="s">
        <v>80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ぱぱ</v>
      </c>
      <c r="F6" s="8" t="s">
        <v>198</v>
      </c>
      <c r="G6" s="9">
        <v>1500</v>
      </c>
      <c r="H6" s="9"/>
      <c r="I6" s="48"/>
      <c r="J6" s="21">
        <f t="shared" si="2"/>
        <v>30700</v>
      </c>
      <c r="K6" s="8" t="s">
        <v>198</v>
      </c>
      <c r="L6" s="9">
        <v>-3000</v>
      </c>
      <c r="M6" s="9"/>
      <c r="N6" s="48"/>
      <c r="O6" s="21">
        <f t="shared" si="3"/>
        <v>21300</v>
      </c>
      <c r="P6" s="8" t="s">
        <v>198</v>
      </c>
      <c r="Q6" s="9">
        <v>1500</v>
      </c>
      <c r="R6" s="9">
        <v>-1000</v>
      </c>
      <c r="S6" s="48"/>
      <c r="T6" s="21">
        <f t="shared" si="4"/>
        <v>52000</v>
      </c>
      <c r="U6" s="53">
        <f>IF($J6="","",ROUND(($J6-$J$3)/1000,1)+(_xlfn.RANK.AVG($J6,($J6,$O6,$T6),1)-2)*20)</f>
        <v>-4.3</v>
      </c>
      <c r="V6" s="54">
        <f>IF($O6="","",ROUND(($O6-$O$3)/1000,1)+(_xlfn.RANK.AVG($O6,($J6,$O6,$T6),1)-2)*20)</f>
        <v>-33.700000000000003</v>
      </c>
      <c r="W6" s="55">
        <f>IF($T6="","",ROUND(($T6-$T$3)/1000,1)+(_xlfn.RANK.AVG($T6,($J6,$O6,$T6),1)-2)*20)</f>
        <v>37</v>
      </c>
      <c r="Y6" s="8" t="s">
        <v>196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1</v>
      </c>
      <c r="E7" s="4" t="str">
        <f>IF($P$1="","",$P$1)</f>
        <v>ぱぱ</v>
      </c>
      <c r="F7" s="8"/>
      <c r="G7" s="9"/>
      <c r="H7" s="9">
        <v>-1000</v>
      </c>
      <c r="I7" s="48"/>
      <c r="J7" s="21">
        <f t="shared" si="2"/>
        <v>29700</v>
      </c>
      <c r="K7" s="8" t="s">
        <v>199</v>
      </c>
      <c r="L7" s="9">
        <v>2600</v>
      </c>
      <c r="M7" s="9">
        <v>2000</v>
      </c>
      <c r="N7" s="48">
        <v>3000</v>
      </c>
      <c r="O7" s="21">
        <f t="shared" si="3"/>
        <v>28900</v>
      </c>
      <c r="P7" s="8" t="s">
        <v>200</v>
      </c>
      <c r="Q7" s="9">
        <v>-2600</v>
      </c>
      <c r="R7" s="9"/>
      <c r="S7" s="48">
        <v>-3000</v>
      </c>
      <c r="T7" s="21">
        <f t="shared" si="4"/>
        <v>46400</v>
      </c>
      <c r="U7" s="53">
        <f>IF($J7="","",ROUND(($J7-$J$3)/1000,1)+(_xlfn.RANK.AVG($J7,($J7,$O7,$T7),1)-2)*20)</f>
        <v>-5.3</v>
      </c>
      <c r="V7" s="54">
        <f>IF($O7="","",ROUND(($O7-$O$3)/1000,1)+(_xlfn.RANK.AVG($O7,($J7,$O7,$T7),1)-2)*20)</f>
        <v>-26.1</v>
      </c>
      <c r="W7" s="55">
        <f>IF($T7="","",ROUND(($T7-$T$3)/1000,1)+(_xlfn.RANK.AVG($T7,($J7,$O7,$T7),1)-2)*20)</f>
        <v>31.4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40</v>
      </c>
      <c r="AZ7" s="40" t="s">
        <v>86</v>
      </c>
      <c r="BA7" s="41" t="s">
        <v>206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203</v>
      </c>
      <c r="G8" s="9">
        <v>-4800</v>
      </c>
      <c r="H8" s="9"/>
      <c r="I8" s="48">
        <v>0</v>
      </c>
      <c r="J8" s="21">
        <f t="shared" si="2"/>
        <v>24900</v>
      </c>
      <c r="K8" s="8" t="s">
        <v>203</v>
      </c>
      <c r="L8" s="9">
        <v>-2900</v>
      </c>
      <c r="M8" s="9"/>
      <c r="N8" s="48">
        <v>0</v>
      </c>
      <c r="O8" s="21">
        <f t="shared" si="3"/>
        <v>26000</v>
      </c>
      <c r="P8" s="8" t="s">
        <v>202</v>
      </c>
      <c r="Q8" s="9">
        <v>7700</v>
      </c>
      <c r="R8" s="9"/>
      <c r="S8" s="48">
        <v>0</v>
      </c>
      <c r="T8" s="21">
        <f t="shared" si="4"/>
        <v>54100</v>
      </c>
      <c r="U8" s="53">
        <f>IF($J8="","",ROUND(($J8-$J$3)/1000,1)+(_xlfn.RANK.AVG($J8,($J8,$O8,$T8),1)-2)*20)</f>
        <v>-30.1</v>
      </c>
      <c r="V8" s="54">
        <f>IF($O8="","",ROUND(($O8-$O$3)/1000,1)+(_xlfn.RANK.AVG($O8,($J8,$O8,$T8),1)-2)*20)</f>
        <v>-9</v>
      </c>
      <c r="W8" s="55">
        <f>IF($T8="","",ROUND(($T8-$T$3)/1000,1)+(_xlfn.RANK.AVG($T8,($J8,$O8,$T8),1)-2)*20)</f>
        <v>39.1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201</v>
      </c>
      <c r="BV8" s="41" t="s">
        <v>82</v>
      </c>
      <c r="BW8" s="41" t="s">
        <v>80</v>
      </c>
      <c r="BX8" s="41" t="s">
        <v>206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/>
      <c r="G9" s="9"/>
      <c r="H9" s="9"/>
      <c r="I9" s="48"/>
      <c r="J9" s="21">
        <f t="shared" si="2"/>
        <v>24900</v>
      </c>
      <c r="K9" s="8" t="s">
        <v>199</v>
      </c>
      <c r="L9" s="9">
        <v>3900</v>
      </c>
      <c r="M9" s="9"/>
      <c r="N9" s="48">
        <v>0</v>
      </c>
      <c r="O9" s="21">
        <f t="shared" si="3"/>
        <v>29900</v>
      </c>
      <c r="P9" s="8" t="s">
        <v>200</v>
      </c>
      <c r="Q9" s="9">
        <v>-3900</v>
      </c>
      <c r="R9" s="9"/>
      <c r="S9" s="48">
        <v>0</v>
      </c>
      <c r="T9" s="21">
        <f t="shared" si="4"/>
        <v>50200</v>
      </c>
      <c r="U9" s="53">
        <f>IF($J9="","",ROUND(($J9-$J$3)/1000,1)+(_xlfn.RANK.AVG($J9,($J9,$O9,$T9),1)-2)*20)</f>
        <v>-30.1</v>
      </c>
      <c r="V9" s="54">
        <f>IF($O9="","",ROUND(($O9-$O$3)/1000,1)+(_xlfn.RANK.AVG($O9,($J9,$O9,$T9),1)-2)*20)</f>
        <v>-5.0999999999999996</v>
      </c>
      <c r="W9" s="55">
        <f>IF($T9="","",ROUND(($T9-$T$3)/1000,1)+(_xlfn.RANK.AVG($T9,($J9,$O9,$T9),1)-2)*20)</f>
        <v>35.200000000000003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201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IF($K$1="","",$K$1)</f>
        <v>ただ</v>
      </c>
      <c r="F10" s="8" t="s">
        <v>203</v>
      </c>
      <c r="G10" s="9">
        <v>-12000</v>
      </c>
      <c r="H10" s="9">
        <v>-1000</v>
      </c>
      <c r="I10" s="48">
        <v>-500</v>
      </c>
      <c r="J10" s="21">
        <f t="shared" si="2"/>
        <v>11400</v>
      </c>
      <c r="K10" s="8" t="s">
        <v>202</v>
      </c>
      <c r="L10" s="9">
        <v>24000</v>
      </c>
      <c r="M10" s="9">
        <v>1000</v>
      </c>
      <c r="N10" s="48">
        <v>1000</v>
      </c>
      <c r="O10" s="21">
        <f t="shared" si="3"/>
        <v>55900</v>
      </c>
      <c r="P10" s="8" t="s">
        <v>203</v>
      </c>
      <c r="Q10" s="9">
        <v>-12000</v>
      </c>
      <c r="R10" s="9"/>
      <c r="S10" s="48">
        <v>-500</v>
      </c>
      <c r="T10" s="21">
        <f t="shared" si="4"/>
        <v>37700</v>
      </c>
      <c r="U10" s="53">
        <f>IF($J10="","",ROUND(($J10-$J$3)/1000,1)+(_xlfn.RANK.AVG($J10,($J10,$O10,$T10),1)-2)*20)</f>
        <v>-43.6</v>
      </c>
      <c r="V10" s="54">
        <f>IF($O10="","",ROUND(($O10-$O$3)/1000,1)+(_xlfn.RANK.AVG($O10,($J10,$O10,$T10),1)-2)*20)</f>
        <v>40.9</v>
      </c>
      <c r="W10" s="55">
        <f>IF($T10="","",ROUND(($T10-$T$3)/1000,1)+(_xlfn.RANK.AVG($T10,($J10,$O10,$T10),1)-2)*20)</f>
        <v>2.7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10</v>
      </c>
      <c r="AY10" s="30" t="s">
        <v>204</v>
      </c>
      <c r="AZ10" s="40" t="s">
        <v>201</v>
      </c>
      <c r="BA10" s="41" t="s">
        <v>82</v>
      </c>
      <c r="BB10" s="41" t="s">
        <v>106</v>
      </c>
      <c r="BC10" s="41" t="s">
        <v>84</v>
      </c>
      <c r="BD10" s="41" t="s">
        <v>83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IF($K$1="","",$K$1)</f>
        <v>ただ</v>
      </c>
      <c r="F11" s="8" t="s">
        <v>200</v>
      </c>
      <c r="G11" s="9">
        <v>-8000</v>
      </c>
      <c r="H11" s="9"/>
      <c r="I11" s="48">
        <v>-2000</v>
      </c>
      <c r="J11" s="21">
        <f t="shared" si="2"/>
        <v>1400</v>
      </c>
      <c r="K11" s="8"/>
      <c r="L11" s="9"/>
      <c r="M11" s="9">
        <v>-1000</v>
      </c>
      <c r="N11" s="48"/>
      <c r="O11" s="21">
        <f t="shared" si="3"/>
        <v>54900</v>
      </c>
      <c r="P11" s="8" t="s">
        <v>199</v>
      </c>
      <c r="Q11" s="9">
        <v>8000</v>
      </c>
      <c r="R11" s="9">
        <v>1000</v>
      </c>
      <c r="S11" s="48">
        <v>2000</v>
      </c>
      <c r="T11" s="21">
        <f t="shared" si="4"/>
        <v>48700</v>
      </c>
      <c r="U11" s="53">
        <f>IF($J11="","",ROUND(($J11-$J$3)/1000,1)+(_xlfn.RANK.AVG($J11,($J11,$O11,$T11),1)-2)*20)</f>
        <v>-53.6</v>
      </c>
      <c r="V11" s="54">
        <f>IF($O11="","",ROUND(($O11-$O$3)/1000,1)+(_xlfn.RANK.AVG($O11,($J11,$O11,$T11),1)-2)*20)</f>
        <v>39.9</v>
      </c>
      <c r="W11" s="55">
        <f>IF($T11="","",ROUND(($T11-$T$3)/1000,1)+(_xlfn.RANK.AVG($T11,($J11,$O11,$T11),1)-2)*20)</f>
        <v>13.7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204</v>
      </c>
      <c r="BU11" s="40" t="s">
        <v>201</v>
      </c>
      <c r="BV11" s="41" t="s">
        <v>84</v>
      </c>
      <c r="BW11" s="41" t="s">
        <v>83</v>
      </c>
      <c r="BX11" s="41" t="s">
        <v>80</v>
      </c>
      <c r="BY11" s="41" t="s">
        <v>80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IF($P$1="","",$P$1)</f>
        <v>ぱぱ</v>
      </c>
      <c r="F12" s="8" t="s">
        <v>203</v>
      </c>
      <c r="G12" s="9">
        <v>-5800</v>
      </c>
      <c r="H12" s="9"/>
      <c r="I12" s="48">
        <v>0</v>
      </c>
      <c r="J12" s="21">
        <f t="shared" si="2"/>
        <v>-4400</v>
      </c>
      <c r="K12" s="8" t="s">
        <v>203</v>
      </c>
      <c r="L12" s="9">
        <v>-5800</v>
      </c>
      <c r="M12" s="9"/>
      <c r="N12" s="48">
        <v>0</v>
      </c>
      <c r="O12" s="21">
        <f t="shared" si="3"/>
        <v>49100</v>
      </c>
      <c r="P12" s="8" t="s">
        <v>202</v>
      </c>
      <c r="Q12" s="9">
        <v>11600</v>
      </c>
      <c r="R12" s="9"/>
      <c r="S12" s="48">
        <v>0</v>
      </c>
      <c r="T12" s="21">
        <f t="shared" si="4"/>
        <v>60300</v>
      </c>
      <c r="U12" s="53">
        <f>IF($J12="","",ROUND(($J12-$J$3)/1000,1)+(_xlfn.RANK.AVG($J12,($J12,$O12,$T12),1)-2)*20)</f>
        <v>-59.4</v>
      </c>
      <c r="V12" s="54">
        <f>IF($O12="","",ROUND(($O12-$O$3)/1000,1)+(_xlfn.RANK.AVG($O12,($J12,$O12,$T12),1)-2)*20)</f>
        <v>14.1</v>
      </c>
      <c r="W12" s="55">
        <f>IF($T12="","",ROUND(($T12-$T$3)/1000,1)+(_xlfn.RANK.AVG($T12,($J12,$O12,$T12),1)-2)*20)</f>
        <v>45.3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4</v>
      </c>
      <c r="BT12" s="30">
        <v>30</v>
      </c>
      <c r="BU12" s="40" t="s">
        <v>85</v>
      </c>
      <c r="BV12" s="41" t="s">
        <v>84</v>
      </c>
      <c r="BW12" s="41" t="s">
        <v>206</v>
      </c>
      <c r="BX12" s="41" t="s">
        <v>206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showInputMessage="1" showErrorMessage="1" sqref="K4:K30 P4:P30 F4:F30" xr:uid="{D8FFD8DB-514A-49F7-A1F2-7EA708F03C46}">
      <formula1>"ロン,ツモ,放銃,ツモ支払,流局,チョンボ"</formula1>
    </dataValidation>
    <dataValidation type="list" allowBlank="1" showInputMessage="1" showErrorMessage="1" sqref="E4:E30" xr:uid="{5ADCF590-A7FB-4857-959E-C2545A6CC674}">
      <formula1>$U$2:$W$2</formula1>
    </dataValidation>
    <dataValidation type="list" allowBlank="1" showInputMessage="1" sqref="F1:T1" xr:uid="{AE3C29EB-BDE4-4A19-9AB5-5B674527A57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C963C-98CB-4694-85D4-138C1A5B223C}">
  <sheetPr codeName="Sheet16">
    <pageSetUpPr fitToPage="1"/>
  </sheetPr>
  <dimension ref="A1:CI30"/>
  <sheetViews>
    <sheetView topLeftCell="F8"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200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204</v>
      </c>
      <c r="AZ4" s="40" t="s">
        <v>201</v>
      </c>
      <c r="BA4" s="41" t="s">
        <v>206</v>
      </c>
      <c r="BB4" s="41" t="s">
        <v>79</v>
      </c>
      <c r="BC4" s="41" t="s">
        <v>80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199</v>
      </c>
      <c r="L5" s="9">
        <v>12000</v>
      </c>
      <c r="M5" s="9"/>
      <c r="N5" s="48">
        <v>1000</v>
      </c>
      <c r="O5" s="21">
        <f t="shared" ref="O5:O30" si="3">IF(COUNTA($F5,$K5,$P5)&gt;0,O4+SUM(L5:N5),"")</f>
        <v>60000</v>
      </c>
      <c r="P5" s="8" t="s">
        <v>200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10000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45</v>
      </c>
      <c r="W5" s="55">
        <f>IF($T5="","",ROUND(($T5-$T$3)/1000,1)+(_xlfn.RANK.AVG($T5,($J5,$O5,$T5),1)-2)*20)</f>
        <v>-45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204</v>
      </c>
      <c r="AZ5" s="40" t="s">
        <v>201</v>
      </c>
      <c r="BA5" s="41" t="s">
        <v>86</v>
      </c>
      <c r="BB5" s="41" t="s">
        <v>79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35000</v>
      </c>
      <c r="K6" s="8" t="s">
        <v>199</v>
      </c>
      <c r="L6" s="9">
        <v>11600</v>
      </c>
      <c r="M6" s="9"/>
      <c r="N6" s="48">
        <v>2000</v>
      </c>
      <c r="O6" s="21">
        <f t="shared" si="3"/>
        <v>73600</v>
      </c>
      <c r="P6" s="8" t="s">
        <v>200</v>
      </c>
      <c r="Q6" s="9">
        <v>-11600</v>
      </c>
      <c r="R6" s="9"/>
      <c r="S6" s="48">
        <v>-2000</v>
      </c>
      <c r="T6" s="21">
        <f t="shared" si="4"/>
        <v>-3600</v>
      </c>
      <c r="U6" s="53">
        <f>IF($J6="","",ROUND(($J6-$J$3)/1000,1)+(_xlfn.RANK.AVG($J6,($J6,$O6,$T6),1)-2)*20)</f>
        <v>0</v>
      </c>
      <c r="V6" s="54">
        <f>IF($O6="","",ROUND(($O6-$O$3)/1000,1)+(_xlfn.RANK.AVG($O6,($J6,$O6,$T6),1)-2)*20)</f>
        <v>58.6</v>
      </c>
      <c r="W6" s="55">
        <f>IF($T6="","",ROUND(($T6-$T$3)/1000,1)+(_xlfn.RANK.AVG($T6,($J6,$O6,$T6),1)-2)*20)</f>
        <v>-58.6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30</v>
      </c>
      <c r="AZ6" s="40" t="s">
        <v>86</v>
      </c>
      <c r="BA6" s="41" t="s">
        <v>206</v>
      </c>
      <c r="BB6" s="41" t="s">
        <v>206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disablePrompts="1" count="3">
    <dataValidation type="list" allowBlank="1" showInputMessage="1" sqref="F1:T1" xr:uid="{DBE71E46-1E6C-4462-8F9A-FC73F3A8F751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allowBlank="1" showInputMessage="1" showErrorMessage="1" sqref="E4:E30" xr:uid="{E33EB236-7B26-4193-975F-BAAEBDE2E04D}">
      <formula1>$U$2:$W$2</formula1>
    </dataValidation>
    <dataValidation type="list" showInputMessage="1" showErrorMessage="1" sqref="K4:K30 P4:P30 F4:F30" xr:uid="{7313DB86-04FD-4B05-B59D-2C7F44D9F16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FA361-91C5-4790-BB1D-6C188799AF13}">
  <sheetPr codeName="Sheet17">
    <pageSetUpPr fitToPage="1"/>
  </sheetPr>
  <dimension ref="A1:CI30"/>
  <sheetViews>
    <sheetView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16000</v>
      </c>
      <c r="H4" s="9">
        <v>1000</v>
      </c>
      <c r="I4" s="48">
        <v>0</v>
      </c>
      <c r="J4" s="21">
        <f>IF(COUNTA($F4,$K4,$P4)&gt;0,J3+SUM(G4:I4),"")</f>
        <v>52000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-16000</v>
      </c>
      <c r="R4" s="9">
        <v>-1000</v>
      </c>
      <c r="S4" s="48">
        <v>0</v>
      </c>
      <c r="T4" s="21">
        <f>IF(COUNTA($F4,$K4,$P4)&gt;0,T3+SUM(Q4:S4),"")</f>
        <v>18000</v>
      </c>
      <c r="U4" s="53">
        <f>IF($J4="","",ROUND(($J4-$J$3)/1000,1)+(_xlfn.RANK.AVG($J4,($J4,$O4,$T4),1)-2)*20)</f>
        <v>37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-37</v>
      </c>
      <c r="Y4" s="8"/>
      <c r="Z4" s="34"/>
      <c r="AA4" s="26">
        <v>1</v>
      </c>
      <c r="AB4" s="26"/>
      <c r="AC4" s="26">
        <v>8</v>
      </c>
      <c r="AD4" s="30" t="s">
        <v>204</v>
      </c>
      <c r="AE4" s="40" t="s">
        <v>201</v>
      </c>
      <c r="AF4" s="41" t="s">
        <v>101</v>
      </c>
      <c r="AG4" s="41" t="s">
        <v>205</v>
      </c>
      <c r="AH4" s="41" t="s">
        <v>79</v>
      </c>
      <c r="AI4" s="41" t="s">
        <v>79</v>
      </c>
      <c r="AJ4" s="41" t="s">
        <v>80</v>
      </c>
      <c r="AK4" s="41" t="s">
        <v>80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ぱぱ</v>
      </c>
      <c r="F5" s="8" t="s">
        <v>200</v>
      </c>
      <c r="G5" s="9">
        <v>-24000</v>
      </c>
      <c r="H5" s="9"/>
      <c r="I5" s="48">
        <v>0</v>
      </c>
      <c r="J5" s="21">
        <f t="shared" ref="J5:J30" si="2">IF(COUNTA($F5,$K5,$P5)&gt;0,J4+SUM(G5:I5),"")</f>
        <v>28000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199</v>
      </c>
      <c r="Q5" s="9">
        <v>24000</v>
      </c>
      <c r="R5" s="9"/>
      <c r="S5" s="48">
        <v>0</v>
      </c>
      <c r="T5" s="21">
        <f t="shared" ref="T5:T30" si="4">IF(COUNTA($F5,$K5,$P5)&gt;0,T4+SUM(Q5:S5),"")</f>
        <v>42000</v>
      </c>
      <c r="U5" s="53">
        <f>IF($J5="","",ROUND(($J5-$J$3)/1000,1)+(_xlfn.RANK.AVG($J5,($J5,$O5,$T5),1)-2)*20)</f>
        <v>-27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10</v>
      </c>
      <c r="BT5" s="30" t="s">
        <v>204</v>
      </c>
      <c r="BU5" s="40" t="s">
        <v>106</v>
      </c>
      <c r="BV5" s="41" t="s">
        <v>79</v>
      </c>
      <c r="BW5" s="41" t="s">
        <v>79</v>
      </c>
      <c r="BX5" s="41" t="s">
        <v>84</v>
      </c>
      <c r="BY5" s="41" t="s">
        <v>206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ぱぱ</v>
      </c>
      <c r="F6" s="8" t="s">
        <v>202</v>
      </c>
      <c r="G6" s="9">
        <v>8000</v>
      </c>
      <c r="H6" s="9"/>
      <c r="I6" s="48">
        <v>1000</v>
      </c>
      <c r="J6" s="21">
        <f t="shared" si="2"/>
        <v>37000</v>
      </c>
      <c r="K6" s="8" t="s">
        <v>203</v>
      </c>
      <c r="L6" s="9">
        <v>-3000</v>
      </c>
      <c r="M6" s="9"/>
      <c r="N6" s="48">
        <v>-500</v>
      </c>
      <c r="O6" s="21">
        <f t="shared" si="3"/>
        <v>31500</v>
      </c>
      <c r="P6" s="8" t="s">
        <v>203</v>
      </c>
      <c r="Q6" s="9">
        <v>-5000</v>
      </c>
      <c r="R6" s="9"/>
      <c r="S6" s="48">
        <v>-500</v>
      </c>
      <c r="T6" s="21">
        <f t="shared" si="4"/>
        <v>36500</v>
      </c>
      <c r="U6" s="53">
        <f>IF($J6="","",ROUND(($J6-$J$3)/1000,1)+(_xlfn.RANK.AVG($J6,($J6,$O6,$T6),1)-2)*20)</f>
        <v>22</v>
      </c>
      <c r="V6" s="54">
        <f>IF($O6="","",ROUND(($O6-$O$3)/1000,1)+(_xlfn.RANK.AVG($O6,($J6,$O6,$T6),1)-2)*20)</f>
        <v>-23.5</v>
      </c>
      <c r="W6" s="55">
        <f>IF($T6="","",ROUND(($T6-$T$3)/1000,1)+(_xlfn.RANK.AVG($T6,($J6,$O6,$T6),1)-2)*20)</f>
        <v>1.5</v>
      </c>
      <c r="Y6" s="8"/>
      <c r="Z6" s="34"/>
      <c r="AA6" s="26">
        <v>1</v>
      </c>
      <c r="AB6" s="26"/>
      <c r="AC6" s="26">
        <v>5</v>
      </c>
      <c r="AD6" s="30" t="s">
        <v>204</v>
      </c>
      <c r="AE6" s="40" t="s">
        <v>201</v>
      </c>
      <c r="AF6" s="41" t="s">
        <v>82</v>
      </c>
      <c r="AG6" s="41" t="s">
        <v>86</v>
      </c>
      <c r="AH6" s="41" t="s">
        <v>80</v>
      </c>
      <c r="AI6" s="41" t="s">
        <v>206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/>
      <c r="G7" s="9"/>
      <c r="H7" s="9"/>
      <c r="I7" s="48"/>
      <c r="J7" s="21">
        <f t="shared" si="2"/>
        <v>37000</v>
      </c>
      <c r="K7" s="8" t="s">
        <v>199</v>
      </c>
      <c r="L7" s="9">
        <v>8000</v>
      </c>
      <c r="M7" s="9"/>
      <c r="N7" s="48">
        <v>0</v>
      </c>
      <c r="O7" s="21">
        <f t="shared" si="3"/>
        <v>39500</v>
      </c>
      <c r="P7" s="8" t="s">
        <v>200</v>
      </c>
      <c r="Q7" s="9">
        <v>-8000</v>
      </c>
      <c r="R7" s="9"/>
      <c r="S7" s="48">
        <v>0</v>
      </c>
      <c r="T7" s="21">
        <f t="shared" si="4"/>
        <v>28500</v>
      </c>
      <c r="U7" s="53">
        <f>IF($J7="","",ROUND(($J7-$J$3)/1000,1)+(_xlfn.RANK.AVG($J7,($J7,$O7,$T7),1)-2)*20)</f>
        <v>2</v>
      </c>
      <c r="V7" s="54">
        <f>IF($O7="","",ROUND(($O7-$O$3)/1000,1)+(_xlfn.RANK.AVG($O7,($J7,$O7,$T7),1)-2)*20)</f>
        <v>24.5</v>
      </c>
      <c r="W7" s="55">
        <f>IF($T7="","",ROUND(($T7-$T$3)/1000,1)+(_xlfn.RANK.AVG($T7,($J7,$O7,$T7),1)-2)*20)</f>
        <v>-26.5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204</v>
      </c>
      <c r="AZ7" s="40" t="s">
        <v>86</v>
      </c>
      <c r="BA7" s="41" t="s">
        <v>206</v>
      </c>
      <c r="BB7" s="41" t="s">
        <v>79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200</v>
      </c>
      <c r="G8" s="9">
        <v>-2400</v>
      </c>
      <c r="H8" s="9">
        <v>-1000</v>
      </c>
      <c r="I8" s="48">
        <v>0</v>
      </c>
      <c r="J8" s="21">
        <f t="shared" si="2"/>
        <v>33600</v>
      </c>
      <c r="K8" s="8" t="s">
        <v>199</v>
      </c>
      <c r="L8" s="9">
        <v>2400</v>
      </c>
      <c r="M8" s="9">
        <v>1000</v>
      </c>
      <c r="N8" s="48">
        <v>0</v>
      </c>
      <c r="O8" s="21">
        <f t="shared" si="3"/>
        <v>42900</v>
      </c>
      <c r="P8" s="8"/>
      <c r="Q8" s="9"/>
      <c r="R8" s="9"/>
      <c r="S8" s="48"/>
      <c r="T8" s="21">
        <f t="shared" si="4"/>
        <v>28500</v>
      </c>
      <c r="U8" s="53">
        <f>IF($J8="","",ROUND(($J8-$J$3)/1000,1)+(_xlfn.RANK.AVG($J8,($J8,$O8,$T8),1)-2)*20)</f>
        <v>-1.4</v>
      </c>
      <c r="V8" s="54">
        <f>IF($O8="","",ROUND(($O8-$O$3)/1000,1)+(_xlfn.RANK.AVG($O8,($J8,$O8,$T8),1)-2)*20)</f>
        <v>27.9</v>
      </c>
      <c r="W8" s="55">
        <f>IF($T8="","",ROUND(($T8-$T$3)/1000,1)+(_xlfn.RANK.AVG($T8,($J8,$O8,$T8),1)-2)*20)</f>
        <v>-26.5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25</v>
      </c>
      <c r="AZ8" s="40" t="s">
        <v>101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/>
      <c r="G9" s="9"/>
      <c r="H9" s="9"/>
      <c r="I9" s="48"/>
      <c r="J9" s="21">
        <f t="shared" si="2"/>
        <v>33600</v>
      </c>
      <c r="K9" s="8" t="s">
        <v>200</v>
      </c>
      <c r="L9" s="9">
        <v>-24000</v>
      </c>
      <c r="M9" s="9"/>
      <c r="N9" s="48">
        <v>-1000</v>
      </c>
      <c r="O9" s="21">
        <f t="shared" si="3"/>
        <v>17900</v>
      </c>
      <c r="P9" s="8" t="s">
        <v>199</v>
      </c>
      <c r="Q9" s="9">
        <v>24000</v>
      </c>
      <c r="R9" s="9"/>
      <c r="S9" s="48">
        <v>1000</v>
      </c>
      <c r="T9" s="21">
        <f t="shared" si="4"/>
        <v>53500</v>
      </c>
      <c r="U9" s="53">
        <f>IF($J9="","",ROUND(($J9-$J$3)/1000,1)+(_xlfn.RANK.AVG($J9,($J9,$O9,$T9),1)-2)*20)</f>
        <v>-1.4</v>
      </c>
      <c r="V9" s="54">
        <f>IF($O9="","",ROUND(($O9-$O$3)/1000,1)+(_xlfn.RANK.AVG($O9,($J9,$O9,$T9),1)-2)*20)</f>
        <v>-37.1</v>
      </c>
      <c r="W9" s="55">
        <f>IF($T9="","",ROUND(($T9-$T$3)/1000,1)+(_xlfn.RANK.AVG($T9,($J9,$O9,$T9),1)-2)*20)</f>
        <v>38.5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11</v>
      </c>
      <c r="BT9" s="30" t="s">
        <v>204</v>
      </c>
      <c r="BU9" s="40" t="s">
        <v>86</v>
      </c>
      <c r="BV9" s="41" t="s">
        <v>86</v>
      </c>
      <c r="BW9" s="41" t="s">
        <v>98</v>
      </c>
      <c r="BX9" s="41" t="s">
        <v>104</v>
      </c>
      <c r="BY9" s="41" t="s">
        <v>99</v>
      </c>
      <c r="BZ9" s="41" t="s">
        <v>79</v>
      </c>
      <c r="CA9" s="41" t="s">
        <v>79</v>
      </c>
      <c r="CB9" s="41" t="s">
        <v>79</v>
      </c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ぱぱ</v>
      </c>
      <c r="F10" s="8" t="s">
        <v>203</v>
      </c>
      <c r="G10" s="9">
        <v>-6000</v>
      </c>
      <c r="H10" s="9"/>
      <c r="I10" s="48">
        <v>0</v>
      </c>
      <c r="J10" s="21">
        <f t="shared" si="2"/>
        <v>27600</v>
      </c>
      <c r="K10" s="8" t="s">
        <v>202</v>
      </c>
      <c r="L10" s="9">
        <v>16000</v>
      </c>
      <c r="M10" s="9"/>
      <c r="N10" s="48">
        <v>0</v>
      </c>
      <c r="O10" s="21">
        <f t="shared" si="3"/>
        <v>33900</v>
      </c>
      <c r="P10" s="8" t="s">
        <v>203</v>
      </c>
      <c r="Q10" s="9">
        <v>-10000</v>
      </c>
      <c r="R10" s="9"/>
      <c r="S10" s="48">
        <v>0</v>
      </c>
      <c r="T10" s="21">
        <f t="shared" si="4"/>
        <v>43500</v>
      </c>
      <c r="U10" s="53">
        <f>IF($J10="","",ROUND(($J10-$J$3)/1000,1)+(_xlfn.RANK.AVG($J10,($J10,$O10,$T10),1)-2)*20)</f>
        <v>-27.4</v>
      </c>
      <c r="V10" s="54">
        <f>IF($O10="","",ROUND(($O10-$O$3)/1000,1)+(_xlfn.RANK.AVG($O10,($J10,$O10,$T10),1)-2)*20)</f>
        <v>-1.1000000000000001</v>
      </c>
      <c r="W10" s="55">
        <f>IF($T10="","",ROUND(($T10-$T$3)/1000,1)+(_xlfn.RANK.AVG($T10,($J10,$O10,$T10),1)-2)*20)</f>
        <v>28.5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9</v>
      </c>
      <c r="AY10" s="30" t="s">
        <v>204</v>
      </c>
      <c r="AZ10" s="40" t="s">
        <v>201</v>
      </c>
      <c r="BA10" s="41" t="s">
        <v>82</v>
      </c>
      <c r="BB10" s="41" t="s">
        <v>84</v>
      </c>
      <c r="BC10" s="41" t="s">
        <v>206</v>
      </c>
      <c r="BD10" s="41" t="s">
        <v>79</v>
      </c>
      <c r="BE10" s="41" t="s">
        <v>79</v>
      </c>
      <c r="BF10" s="41" t="s">
        <v>104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 t="s">
        <v>199</v>
      </c>
      <c r="G11" s="9">
        <v>12000</v>
      </c>
      <c r="H11" s="9"/>
      <c r="I11" s="48">
        <v>0</v>
      </c>
      <c r="J11" s="21">
        <f t="shared" si="2"/>
        <v>39600</v>
      </c>
      <c r="K11" s="8" t="s">
        <v>200</v>
      </c>
      <c r="L11" s="9">
        <v>-12000</v>
      </c>
      <c r="M11" s="9"/>
      <c r="N11" s="48">
        <v>0</v>
      </c>
      <c r="O11" s="21">
        <f t="shared" si="3"/>
        <v>21900</v>
      </c>
      <c r="P11" s="8"/>
      <c r="Q11" s="9"/>
      <c r="R11" s="9"/>
      <c r="S11" s="48"/>
      <c r="T11" s="21">
        <f t="shared" si="4"/>
        <v>43500</v>
      </c>
      <c r="U11" s="53">
        <f>IF($J11="","",ROUND(($J11-$J$3)/1000,1)+(_xlfn.RANK.AVG($J11,($J11,$O11,$T11),1)-2)*20)</f>
        <v>4.5999999999999996</v>
      </c>
      <c r="V11" s="54">
        <f>IF($O11="","",ROUND(($O11-$O$3)/1000,1)+(_xlfn.RANK.AVG($O11,($J11,$O11,$T11),1)-2)*20)</f>
        <v>-33.1</v>
      </c>
      <c r="W11" s="55">
        <f>IF($T11="","",ROUND(($T11-$T$3)/1000,1)+(_xlfn.RANK.AVG($T11,($J11,$O11,$T11),1)-2)*20)</f>
        <v>28.5</v>
      </c>
      <c r="Y11" s="8"/>
      <c r="Z11" s="34"/>
      <c r="AA11" s="26"/>
      <c r="AB11" s="26"/>
      <c r="AC11" s="26">
        <v>4</v>
      </c>
      <c r="AD11" s="30">
        <v>40</v>
      </c>
      <c r="AE11" s="40" t="s">
        <v>96</v>
      </c>
      <c r="AF11" s="41" t="s">
        <v>79</v>
      </c>
      <c r="AG11" s="41" t="s">
        <v>206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IF($F$1="","",$F$1)</f>
        <v>れんたろう</v>
      </c>
      <c r="F12" s="8" t="s">
        <v>203</v>
      </c>
      <c r="G12" s="9">
        <v>-4800</v>
      </c>
      <c r="H12" s="9"/>
      <c r="I12" s="48">
        <v>-500</v>
      </c>
      <c r="J12" s="21">
        <f t="shared" si="2"/>
        <v>34300</v>
      </c>
      <c r="K12" s="8" t="s">
        <v>202</v>
      </c>
      <c r="L12" s="9">
        <v>7700</v>
      </c>
      <c r="M12" s="9"/>
      <c r="N12" s="48">
        <v>1000</v>
      </c>
      <c r="O12" s="21">
        <f t="shared" si="3"/>
        <v>30600</v>
      </c>
      <c r="P12" s="8" t="s">
        <v>203</v>
      </c>
      <c r="Q12" s="9">
        <v>-2900</v>
      </c>
      <c r="R12" s="9"/>
      <c r="S12" s="48">
        <v>-500</v>
      </c>
      <c r="T12" s="21">
        <f t="shared" si="4"/>
        <v>40100</v>
      </c>
      <c r="U12" s="53">
        <f>IF($J12="","",ROUND(($J12-$J$3)/1000,1)+(_xlfn.RANK.AVG($J12,($J12,$O12,$T12),1)-2)*20)</f>
        <v>-0.7</v>
      </c>
      <c r="V12" s="54">
        <f>IF($O12="","",ROUND(($O12-$O$3)/1000,1)+(_xlfn.RANK.AVG($O12,($J12,$O12,$T12),1)-2)*20)</f>
        <v>-24.4</v>
      </c>
      <c r="W12" s="55">
        <f>IF($T12="","",ROUND(($T12-$T$3)/1000,1)+(_xlfn.RANK.AVG($T12,($J12,$O12,$T12),1)-2)*20)</f>
        <v>25.1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30</v>
      </c>
      <c r="AZ12" s="40" t="s">
        <v>201</v>
      </c>
      <c r="BA12" s="41" t="s">
        <v>82</v>
      </c>
      <c r="BB12" s="41" t="s">
        <v>205</v>
      </c>
      <c r="BC12" s="41" t="s">
        <v>86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674BA012-0810-4C10-85AC-8F734466769D}">
      <formula1>"ロン,ツモ,放銃,ツモ支払,流局,チョンボ"</formula1>
    </dataValidation>
    <dataValidation type="list" allowBlank="1" showInputMessage="1" showErrorMessage="1" sqref="E4:E30" xr:uid="{D4C09ABE-01BF-4908-9D4A-A17E2CDB62A8}">
      <formula1>$U$2:$W$2</formula1>
    </dataValidation>
    <dataValidation type="list" allowBlank="1" showInputMessage="1" sqref="F1:T1" xr:uid="{72CA6D63-A128-4DFA-86F7-801B72EEEB63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3FB81-24FA-480B-9E3C-F3AD449DC77D}">
  <sheetPr codeName="Sheet18">
    <pageSetUpPr fitToPage="1"/>
  </sheetPr>
  <dimension ref="A1:CI30"/>
  <sheetViews>
    <sheetView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203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202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203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IF($J4="","",ROUND(($J4-$J$3)/1000,1)+(_xlfn.RANK.AVG($J4,($J4,$O4,$T4),1)-2)*20)</f>
        <v>-27.5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204</v>
      </c>
      <c r="AZ4" s="40" t="s">
        <v>201</v>
      </c>
      <c r="BA4" s="41" t="s">
        <v>82</v>
      </c>
      <c r="BB4" s="41" t="s">
        <v>87</v>
      </c>
      <c r="BC4" s="41" t="s">
        <v>83</v>
      </c>
      <c r="BD4" s="41" t="s">
        <v>206</v>
      </c>
      <c r="BE4" s="41" t="s">
        <v>79</v>
      </c>
      <c r="BF4" s="41" t="s">
        <v>79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203</v>
      </c>
      <c r="G5" s="9">
        <v>-6000</v>
      </c>
      <c r="H5" s="9"/>
      <c r="I5" s="48">
        <v>0</v>
      </c>
      <c r="J5" s="21">
        <f t="shared" ref="J5:J30" si="2">IF(COUNTA($F5,$K5,$P5)&gt;0,J4+SUM(G5:I5),"")</f>
        <v>21500</v>
      </c>
      <c r="K5" s="8" t="s">
        <v>202</v>
      </c>
      <c r="L5" s="9">
        <v>12000</v>
      </c>
      <c r="M5" s="9"/>
      <c r="N5" s="48">
        <v>0</v>
      </c>
      <c r="O5" s="21">
        <f t="shared" ref="O5:O30" si="3">IF(COUNTA($F5,$K5,$P5)&gt;0,O4+SUM(L5:N5),"")</f>
        <v>59000</v>
      </c>
      <c r="P5" s="8" t="s">
        <v>203</v>
      </c>
      <c r="Q5" s="9">
        <v>-6000</v>
      </c>
      <c r="R5" s="9"/>
      <c r="S5" s="48">
        <v>0</v>
      </c>
      <c r="T5" s="21">
        <f t="shared" ref="T5:T30" si="4">IF(COUNTA($F5,$K5,$P5)&gt;0,T4+SUM(Q5:S5),"")</f>
        <v>24500</v>
      </c>
      <c r="U5" s="53">
        <f>IF($J5="","",ROUND(($J5-$J$3)/1000,1)+(_xlfn.RANK.AVG($J5,($J5,$O5,$T5),1)-2)*20)</f>
        <v>-33.5</v>
      </c>
      <c r="V5" s="54">
        <f>IF($O5="","",ROUND(($O5-$O$3)/1000,1)+(_xlfn.RANK.AVG($O5,($J5,$O5,$T5),1)-2)*20)</f>
        <v>44</v>
      </c>
      <c r="W5" s="55">
        <f>IF($T5="","",ROUND(($T5-$T$3)/1000,1)+(_xlfn.RANK.AVG($T5,($J5,$O5,$T5),1)-2)*20)</f>
        <v>-10.5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204</v>
      </c>
      <c r="AZ5" s="40" t="s">
        <v>201</v>
      </c>
      <c r="BA5" s="41" t="s">
        <v>82</v>
      </c>
      <c r="BB5" s="41" t="s">
        <v>83</v>
      </c>
      <c r="BC5" s="41" t="s">
        <v>85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200</v>
      </c>
      <c r="G6" s="9">
        <v>-9600</v>
      </c>
      <c r="H6" s="9"/>
      <c r="I6" s="48">
        <v>-1000</v>
      </c>
      <c r="J6" s="21">
        <f t="shared" si="2"/>
        <v>10900</v>
      </c>
      <c r="K6" s="8" t="s">
        <v>199</v>
      </c>
      <c r="L6" s="9">
        <v>9600</v>
      </c>
      <c r="M6" s="9"/>
      <c r="N6" s="48">
        <v>1000</v>
      </c>
      <c r="O6" s="21">
        <f t="shared" si="3"/>
        <v>69600</v>
      </c>
      <c r="P6" s="8"/>
      <c r="Q6" s="9"/>
      <c r="R6" s="9"/>
      <c r="S6" s="48"/>
      <c r="T6" s="21">
        <f t="shared" si="4"/>
        <v>24500</v>
      </c>
      <c r="U6" s="53">
        <f>IF($J6="","",ROUND(($J6-$J$3)/1000,1)+(_xlfn.RANK.AVG($J6,($J6,$O6,$T6),1)-2)*20)</f>
        <v>-44.1</v>
      </c>
      <c r="V6" s="54">
        <f>IF($O6="","",ROUND(($O6-$O$3)/1000,1)+(_xlfn.RANK.AVG($O6,($J6,$O6,$T6),1)-2)*20)</f>
        <v>54.6</v>
      </c>
      <c r="W6" s="55">
        <f>IF($T6="","",ROUND(($T6-$T$3)/1000,1)+(_xlfn.RANK.AVG($T6,($J6,$O6,$T6),1)-2)*20)</f>
        <v>-10.5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25</v>
      </c>
      <c r="AZ6" s="40" t="s">
        <v>101</v>
      </c>
      <c r="BA6" s="41" t="s">
        <v>79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/>
      <c r="G7" s="9"/>
      <c r="H7" s="9"/>
      <c r="I7" s="48"/>
      <c r="J7" s="21">
        <f t="shared" si="2"/>
        <v>10900</v>
      </c>
      <c r="K7" s="8" t="s">
        <v>199</v>
      </c>
      <c r="L7" s="9">
        <v>2400</v>
      </c>
      <c r="M7" s="9"/>
      <c r="N7" s="48">
        <v>2000</v>
      </c>
      <c r="O7" s="21">
        <f t="shared" si="3"/>
        <v>74000</v>
      </c>
      <c r="P7" s="8" t="s">
        <v>200</v>
      </c>
      <c r="Q7" s="9">
        <v>-2400</v>
      </c>
      <c r="R7" s="9"/>
      <c r="S7" s="48">
        <v>-2000</v>
      </c>
      <c r="T7" s="21">
        <f t="shared" si="4"/>
        <v>20100</v>
      </c>
      <c r="U7" s="53">
        <f>IF($J7="","",ROUND(($J7-$J$3)/1000,1)+(_xlfn.RANK.AVG($J7,($J7,$O7,$T7),1)-2)*20)</f>
        <v>-44.1</v>
      </c>
      <c r="V7" s="54">
        <f>IF($O7="","",ROUND(($O7-$O$3)/1000,1)+(_xlfn.RANK.AVG($O7,($J7,$O7,$T7),1)-2)*20)</f>
        <v>59</v>
      </c>
      <c r="W7" s="55">
        <f>IF($T7="","",ROUND(($T7-$T$3)/1000,1)+(_xlfn.RANK.AVG($T7,($J7,$O7,$T7),1)-2)*20)</f>
        <v>-14.9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25</v>
      </c>
      <c r="AZ7" s="40" t="s">
        <v>101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だいち</v>
      </c>
      <c r="F8" s="8" t="s">
        <v>202</v>
      </c>
      <c r="G8" s="9">
        <v>6400</v>
      </c>
      <c r="H8" s="9"/>
      <c r="I8" s="48">
        <v>3000</v>
      </c>
      <c r="J8" s="21">
        <f t="shared" si="2"/>
        <v>20300</v>
      </c>
      <c r="K8" s="8" t="s">
        <v>203</v>
      </c>
      <c r="L8" s="9">
        <v>-4000</v>
      </c>
      <c r="M8" s="9"/>
      <c r="N8" s="48">
        <v>-1500</v>
      </c>
      <c r="O8" s="21">
        <f t="shared" si="3"/>
        <v>68500</v>
      </c>
      <c r="P8" s="8" t="s">
        <v>203</v>
      </c>
      <c r="Q8" s="9">
        <v>-2400</v>
      </c>
      <c r="R8" s="9"/>
      <c r="S8" s="48">
        <v>-1500</v>
      </c>
      <c r="T8" s="21">
        <f t="shared" si="4"/>
        <v>16200</v>
      </c>
      <c r="U8" s="53">
        <f>IF($J8="","",ROUND(($J8-$J$3)/1000,1)+(_xlfn.RANK.AVG($J8,($J8,$O8,$T8),1)-2)*20)</f>
        <v>-14.7</v>
      </c>
      <c r="V8" s="54">
        <f>IF($O8="","",ROUND(($O8-$O$3)/1000,1)+(_xlfn.RANK.AVG($O8,($J8,$O8,$T8),1)-2)*20)</f>
        <v>53.5</v>
      </c>
      <c r="W8" s="55">
        <f>IF($T8="","",ROUND(($T8-$T$3)/1000,1)+(_xlfn.RANK.AVG($T8,($J8,$O8,$T8),1)-2)*20)</f>
        <v>-38.799999999999997</v>
      </c>
      <c r="Y8" s="8"/>
      <c r="Z8" s="34"/>
      <c r="AA8" s="26"/>
      <c r="AB8" s="26"/>
      <c r="AC8" s="26">
        <v>4</v>
      </c>
      <c r="AD8" s="30">
        <v>25</v>
      </c>
      <c r="AE8" s="40" t="s">
        <v>82</v>
      </c>
      <c r="AF8" s="41" t="s">
        <v>101</v>
      </c>
      <c r="AG8" s="41" t="s">
        <v>206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 t="s">
        <v>199</v>
      </c>
      <c r="G9" s="9">
        <v>5200</v>
      </c>
      <c r="H9" s="9"/>
      <c r="I9" s="48">
        <v>0</v>
      </c>
      <c r="J9" s="21">
        <f t="shared" si="2"/>
        <v>25500</v>
      </c>
      <c r="K9" s="8" t="s">
        <v>200</v>
      </c>
      <c r="L9" s="9">
        <v>-5200</v>
      </c>
      <c r="M9" s="9"/>
      <c r="N9" s="48">
        <v>0</v>
      </c>
      <c r="O9" s="21">
        <f t="shared" si="3"/>
        <v>63300</v>
      </c>
      <c r="P9" s="8"/>
      <c r="Q9" s="9"/>
      <c r="R9" s="9"/>
      <c r="S9" s="48"/>
      <c r="T9" s="21">
        <f t="shared" si="4"/>
        <v>16200</v>
      </c>
      <c r="U9" s="53">
        <f>IF($J9="","",ROUND(($J9-$J$3)/1000,1)+(_xlfn.RANK.AVG($J9,($J9,$O9,$T9),1)-2)*20)</f>
        <v>-9.5</v>
      </c>
      <c r="V9" s="54">
        <f>IF($O9="","",ROUND(($O9-$O$3)/1000,1)+(_xlfn.RANK.AVG($O9,($J9,$O9,$T9),1)-2)*20)</f>
        <v>48.3</v>
      </c>
      <c r="W9" s="55">
        <f>IF($T9="","",ROUND(($T9-$T$3)/1000,1)+(_xlfn.RANK.AVG($T9,($J9,$O9,$T9),1)-2)*20)</f>
        <v>-38.799999999999997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201</v>
      </c>
      <c r="AF9" s="41" t="s">
        <v>205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202</v>
      </c>
      <c r="G10" s="9">
        <v>11600</v>
      </c>
      <c r="H10" s="9">
        <v>2000</v>
      </c>
      <c r="I10" s="48">
        <v>0</v>
      </c>
      <c r="J10" s="21">
        <f t="shared" si="2"/>
        <v>39100</v>
      </c>
      <c r="K10" s="8" t="s">
        <v>203</v>
      </c>
      <c r="L10" s="9">
        <v>-5800</v>
      </c>
      <c r="M10" s="9"/>
      <c r="N10" s="48">
        <v>0</v>
      </c>
      <c r="O10" s="21">
        <f t="shared" si="3"/>
        <v>57500</v>
      </c>
      <c r="P10" s="8" t="s">
        <v>203</v>
      </c>
      <c r="Q10" s="9">
        <v>-5800</v>
      </c>
      <c r="R10" s="9">
        <v>-2000</v>
      </c>
      <c r="S10" s="48">
        <v>0</v>
      </c>
      <c r="T10" s="21">
        <f t="shared" si="4"/>
        <v>8400</v>
      </c>
      <c r="U10" s="53">
        <f>IF($J10="","",ROUND(($J10-$J$3)/1000,1)+(_xlfn.RANK.AVG($J10,($J10,$O10,$T10),1)-2)*20)</f>
        <v>4.0999999999999996</v>
      </c>
      <c r="V10" s="54">
        <f>IF($O10="","",ROUND(($O10-$O$3)/1000,1)+(_xlfn.RANK.AVG($O10,($J10,$O10,$T10),1)-2)*20)</f>
        <v>42.5</v>
      </c>
      <c r="W10" s="55">
        <f>IF($T10="","",ROUND(($T10-$T$3)/1000,1)+(_xlfn.RANK.AVG($T10,($J10,$O10,$T10),1)-2)*20)</f>
        <v>-46.6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201</v>
      </c>
      <c r="AF10" s="41" t="s">
        <v>82</v>
      </c>
      <c r="AG10" s="41" t="s">
        <v>80</v>
      </c>
      <c r="AH10" s="41" t="s">
        <v>87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れんたろう</v>
      </c>
      <c r="F11" s="8" t="s">
        <v>203</v>
      </c>
      <c r="G11" s="9">
        <v>-7500</v>
      </c>
      <c r="H11" s="9"/>
      <c r="I11" s="48">
        <v>-500</v>
      </c>
      <c r="J11" s="21">
        <f t="shared" si="2"/>
        <v>31100</v>
      </c>
      <c r="K11" s="8" t="s">
        <v>203</v>
      </c>
      <c r="L11" s="9">
        <v>-4500</v>
      </c>
      <c r="M11" s="9">
        <v>-1000</v>
      </c>
      <c r="N11" s="48">
        <v>-500</v>
      </c>
      <c r="O11" s="21">
        <f t="shared" si="3"/>
        <v>51500</v>
      </c>
      <c r="P11" s="8" t="s">
        <v>202</v>
      </c>
      <c r="Q11" s="9">
        <v>12000</v>
      </c>
      <c r="R11" s="9">
        <v>1000</v>
      </c>
      <c r="S11" s="48">
        <v>1000</v>
      </c>
      <c r="T11" s="21">
        <f t="shared" si="4"/>
        <v>22400</v>
      </c>
      <c r="U11" s="53">
        <f>IF($J11="","",ROUND(($J11-$J$3)/1000,1)+(_xlfn.RANK.AVG($J11,($J11,$O11,$T11),1)-2)*20)</f>
        <v>-3.9</v>
      </c>
      <c r="V11" s="54">
        <f>IF($O11="","",ROUND(($O11-$O$3)/1000,1)+(_xlfn.RANK.AVG($O11,($J11,$O11,$T11),1)-2)*20)</f>
        <v>36.5</v>
      </c>
      <c r="W11" s="55">
        <f>IF($T11="","",ROUND(($T11-$T$3)/1000,1)+(_xlfn.RANK.AVG($T11,($J11,$O11,$T11),1)-2)*20)</f>
        <v>-32.6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7</v>
      </c>
      <c r="BT11" s="30" t="s">
        <v>204</v>
      </c>
      <c r="BU11" s="40" t="s">
        <v>82</v>
      </c>
      <c r="BV11" s="41" t="s">
        <v>106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だいち</v>
      </c>
      <c r="F12" s="8" t="s">
        <v>203</v>
      </c>
      <c r="G12" s="9">
        <v>-4500</v>
      </c>
      <c r="H12" s="9"/>
      <c r="I12" s="48">
        <v>0</v>
      </c>
      <c r="J12" s="21">
        <f t="shared" si="2"/>
        <v>26600</v>
      </c>
      <c r="K12" s="8" t="s">
        <v>203</v>
      </c>
      <c r="L12" s="9">
        <v>-7500</v>
      </c>
      <c r="M12" s="9">
        <v>-1000</v>
      </c>
      <c r="N12" s="48">
        <v>0</v>
      </c>
      <c r="O12" s="21">
        <f t="shared" si="3"/>
        <v>43000</v>
      </c>
      <c r="P12" s="8" t="s">
        <v>202</v>
      </c>
      <c r="Q12" s="9">
        <v>12000</v>
      </c>
      <c r="R12" s="9">
        <v>1000</v>
      </c>
      <c r="S12" s="48">
        <v>0</v>
      </c>
      <c r="T12" s="21">
        <f t="shared" si="4"/>
        <v>35400</v>
      </c>
      <c r="U12" s="53">
        <f>IF($J12="","",ROUND(($J12-$J$3)/1000,1)+(_xlfn.RANK.AVG($J12,($J12,$O12,$T12),1)-2)*20)</f>
        <v>-28.4</v>
      </c>
      <c r="V12" s="54">
        <f>IF($O12="","",ROUND(($O12-$O$3)/1000,1)+(_xlfn.RANK.AVG($O12,($J12,$O12,$T12),1)-2)*20)</f>
        <v>28</v>
      </c>
      <c r="W12" s="55">
        <f>IF($T12="","",ROUND(($T12-$T$3)/1000,1)+(_xlfn.RANK.AVG($T12,($J12,$O12,$T12),1)-2)*20)</f>
        <v>0.4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204</v>
      </c>
      <c r="BU12" s="40" t="s">
        <v>201</v>
      </c>
      <c r="BV12" s="41" t="s">
        <v>82</v>
      </c>
      <c r="BW12" s="41" t="s">
        <v>86</v>
      </c>
      <c r="BX12" s="41" t="s">
        <v>79</v>
      </c>
      <c r="BY12" s="41" t="s">
        <v>80</v>
      </c>
      <c r="BZ12" s="41" t="s">
        <v>80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ぱぱ</v>
      </c>
      <c r="F13" s="8" t="s">
        <v>203</v>
      </c>
      <c r="G13" s="9">
        <v>-4500</v>
      </c>
      <c r="H13" s="9">
        <v>-1000</v>
      </c>
      <c r="I13" s="48">
        <v>0</v>
      </c>
      <c r="J13" s="21">
        <f t="shared" si="2"/>
        <v>21100</v>
      </c>
      <c r="K13" s="8" t="s">
        <v>202</v>
      </c>
      <c r="L13" s="9">
        <v>12000</v>
      </c>
      <c r="M13" s="9">
        <v>1000</v>
      </c>
      <c r="N13" s="48">
        <v>0</v>
      </c>
      <c r="O13" s="21">
        <f t="shared" si="3"/>
        <v>56000</v>
      </c>
      <c r="P13" s="8" t="s">
        <v>203</v>
      </c>
      <c r="Q13" s="9">
        <v>-7500</v>
      </c>
      <c r="R13" s="9"/>
      <c r="S13" s="48">
        <v>0</v>
      </c>
      <c r="T13" s="21">
        <f t="shared" si="4"/>
        <v>27900</v>
      </c>
      <c r="U13" s="53">
        <f>IF($J13="","",ROUND(($J13-$J$3)/1000,1)+(_xlfn.RANK.AVG($J13,($J13,$O13,$T13),1)-2)*20)</f>
        <v>-33.9</v>
      </c>
      <c r="V13" s="54">
        <f>IF($O13="","",ROUND(($O13-$O$3)/1000,1)+(_xlfn.RANK.AVG($O13,($J13,$O13,$T13),1)-2)*20)</f>
        <v>41</v>
      </c>
      <c r="W13" s="55">
        <f>IF($T13="","",ROUND(($T13-$T$3)/1000,1)+(_xlfn.RANK.AVG($T13,($J13,$O13,$T13),1)-2)*20)</f>
        <v>-7.1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7</v>
      </c>
      <c r="AY13" s="30" t="s">
        <v>204</v>
      </c>
      <c r="AZ13" s="40" t="s">
        <v>201</v>
      </c>
      <c r="BA13" s="41" t="s">
        <v>82</v>
      </c>
      <c r="BB13" s="41" t="s">
        <v>205</v>
      </c>
      <c r="BC13" s="41" t="s">
        <v>86</v>
      </c>
      <c r="BD13" s="41" t="s">
        <v>206</v>
      </c>
      <c r="BE13" s="41" t="s">
        <v>79</v>
      </c>
      <c r="BF13" s="41" t="s">
        <v>79</v>
      </c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462A262F-B760-4A81-B603-12DC57E087D1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allowBlank="1" showInputMessage="1" showErrorMessage="1" sqref="E4:E30" xr:uid="{E8CA72FE-8F42-41D6-B670-E6CC0E4353CE}">
      <formula1>$U$2:$W$2</formula1>
    </dataValidation>
    <dataValidation type="list" showInputMessage="1" showErrorMessage="1" sqref="K4:K30 P4:P30 F4:F30" xr:uid="{B8DD69B1-854F-48A1-BCF3-B70FC82A557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50266-B8CC-460B-8967-67E99A0DFAC6}">
  <sheetPr codeName="Sheet19">
    <pageSetUpPr fitToPage="1"/>
  </sheetPr>
  <dimension ref="A1:CI30"/>
  <sheetViews>
    <sheetView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2200</v>
      </c>
      <c r="H4" s="9">
        <v>2000</v>
      </c>
      <c r="I4" s="48">
        <v>0</v>
      </c>
      <c r="J4" s="21">
        <f>IF(COUNTA($F4,$K4,$P4)&gt;0,J3+SUM(G4:I4),"")</f>
        <v>39200</v>
      </c>
      <c r="K4" s="8" t="s">
        <v>203</v>
      </c>
      <c r="L4" s="9">
        <v>-1100</v>
      </c>
      <c r="M4" s="9">
        <v>-1000</v>
      </c>
      <c r="N4" s="48">
        <v>0</v>
      </c>
      <c r="O4" s="21">
        <f>IF(COUNTA($F4,$K4,$P4)&gt;0,O3+SUM(L4:N4),"")</f>
        <v>32900</v>
      </c>
      <c r="P4" s="8" t="s">
        <v>203</v>
      </c>
      <c r="Q4" s="9">
        <v>-1100</v>
      </c>
      <c r="R4" s="9">
        <v>-1000</v>
      </c>
      <c r="S4" s="48">
        <v>0</v>
      </c>
      <c r="T4" s="21">
        <f>IF(COUNTA($F4,$K4,$P4)&gt;0,T3+SUM(Q4:S4),"")</f>
        <v>32900</v>
      </c>
      <c r="U4" s="53">
        <f>IF($J4="","",ROUND(($J4-$J$3)/1000,1)+(_xlfn.RANK.AVG($J4,($J4,$O4,$T4),1)-2)*20)</f>
        <v>24.2</v>
      </c>
      <c r="V4" s="54">
        <f>IF($O4="","",ROUND(($O4-$O$3)/1000,1)+(_xlfn.RANK.AVG($O4,($J4,$O4,$T4),1)-2)*20)</f>
        <v>-12.1</v>
      </c>
      <c r="W4" s="55">
        <f>IF($T4="","",ROUND(($T4-$T$3)/1000,1)+(_xlfn.RANK.AVG($T4,($J4,$O4,$T4),1)-2)*20)</f>
        <v>-12.1</v>
      </c>
      <c r="Y4" s="8"/>
      <c r="Z4" s="34"/>
      <c r="AA4" s="26"/>
      <c r="AB4" s="26"/>
      <c r="AC4" s="26">
        <v>2</v>
      </c>
      <c r="AD4" s="30">
        <v>20</v>
      </c>
      <c r="AE4" s="40" t="s">
        <v>83</v>
      </c>
      <c r="AF4" s="41" t="s">
        <v>82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ぱぱ</v>
      </c>
      <c r="F5" s="8"/>
      <c r="G5" s="9"/>
      <c r="H5" s="9">
        <v>-1000</v>
      </c>
      <c r="I5" s="48"/>
      <c r="J5" s="21">
        <f t="shared" ref="J5:J30" si="2">IF(COUNTA($F5,$K5,$P5)&gt;0,J4+SUM(G5:I5),"")</f>
        <v>38200</v>
      </c>
      <c r="K5" s="8" t="s">
        <v>199</v>
      </c>
      <c r="L5" s="9">
        <v>2600</v>
      </c>
      <c r="M5" s="9">
        <v>1000</v>
      </c>
      <c r="N5" s="48">
        <v>1000</v>
      </c>
      <c r="O5" s="21">
        <f t="shared" ref="O5:O30" si="3">IF(COUNTA($F5,$K5,$P5)&gt;0,O4+SUM(L5:N5),"")</f>
        <v>37500</v>
      </c>
      <c r="P5" s="8" t="s">
        <v>200</v>
      </c>
      <c r="Q5" s="9">
        <v>-2600</v>
      </c>
      <c r="R5" s="9"/>
      <c r="S5" s="48">
        <v>-1000</v>
      </c>
      <c r="T5" s="21">
        <f t="shared" ref="T5:T30" si="4">IF(COUNTA($F5,$K5,$P5)&gt;0,T4+SUM(Q5:S5),"")</f>
        <v>29300</v>
      </c>
      <c r="U5" s="53">
        <f>IF($J5="","",ROUND(($J5-$J$3)/1000,1)+(_xlfn.RANK.AVG($J5,($J5,$O5,$T5),1)-2)*20)</f>
        <v>23.2</v>
      </c>
      <c r="V5" s="54">
        <f>IF($O5="","",ROUND(($O5-$O$3)/1000,1)+(_xlfn.RANK.AVG($O5,($J5,$O5,$T5),1)-2)*20)</f>
        <v>2.5</v>
      </c>
      <c r="W5" s="55">
        <f>IF($T5="","",ROUND(($T5-$T$3)/1000,1)+(_xlfn.RANK.AVG($T5,($J5,$O5,$T5),1)-2)*20)</f>
        <v>-25.7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201</v>
      </c>
      <c r="BA5" s="41" t="s">
        <v>84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203</v>
      </c>
      <c r="G6" s="9">
        <v>-3000</v>
      </c>
      <c r="H6" s="9"/>
      <c r="I6" s="48">
        <v>0</v>
      </c>
      <c r="J6" s="21">
        <f t="shared" si="2"/>
        <v>35200</v>
      </c>
      <c r="K6" s="8" t="s">
        <v>203</v>
      </c>
      <c r="L6" s="9">
        <v>-5000</v>
      </c>
      <c r="M6" s="9"/>
      <c r="N6" s="48">
        <v>0</v>
      </c>
      <c r="O6" s="21">
        <f t="shared" si="3"/>
        <v>32500</v>
      </c>
      <c r="P6" s="8" t="s">
        <v>202</v>
      </c>
      <c r="Q6" s="9">
        <v>8000</v>
      </c>
      <c r="R6" s="9"/>
      <c r="S6" s="48">
        <v>0</v>
      </c>
      <c r="T6" s="21">
        <f t="shared" si="4"/>
        <v>37300</v>
      </c>
      <c r="U6" s="53">
        <f>IF($J6="","",ROUND(($J6-$J$3)/1000,1)+(_xlfn.RANK.AVG($J6,($J6,$O6,$T6),1)-2)*20)</f>
        <v>0.2</v>
      </c>
      <c r="V6" s="54">
        <f>IF($O6="","",ROUND(($O6-$O$3)/1000,1)+(_xlfn.RANK.AVG($O6,($J6,$O6,$T6),1)-2)*20)</f>
        <v>-22.5</v>
      </c>
      <c r="W6" s="55">
        <f>IF($T6="","",ROUND(($T6-$T$3)/1000,1)+(_xlfn.RANK.AVG($T6,($J6,$O6,$T6),1)-2)*20)</f>
        <v>22.3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204</v>
      </c>
      <c r="BU6" s="40" t="s">
        <v>201</v>
      </c>
      <c r="BV6" s="41" t="s">
        <v>82</v>
      </c>
      <c r="BW6" s="41" t="s">
        <v>83</v>
      </c>
      <c r="BX6" s="41" t="s">
        <v>206</v>
      </c>
      <c r="BY6" s="41" t="s">
        <v>80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200</v>
      </c>
      <c r="G7" s="9">
        <v>-18000</v>
      </c>
      <c r="H7" s="9"/>
      <c r="I7" s="48">
        <v>0</v>
      </c>
      <c r="J7" s="21">
        <f t="shared" si="2"/>
        <v>17200</v>
      </c>
      <c r="K7" s="8"/>
      <c r="L7" s="9"/>
      <c r="M7" s="9"/>
      <c r="N7" s="48"/>
      <c r="O7" s="21">
        <f t="shared" si="3"/>
        <v>32500</v>
      </c>
      <c r="P7" s="8" t="s">
        <v>199</v>
      </c>
      <c r="Q7" s="9">
        <v>18000</v>
      </c>
      <c r="R7" s="9"/>
      <c r="S7" s="48">
        <v>0</v>
      </c>
      <c r="T7" s="21">
        <f t="shared" si="4"/>
        <v>55300</v>
      </c>
      <c r="U7" s="53">
        <f>IF($J7="","",ROUND(($J7-$J$3)/1000,1)+(_xlfn.RANK.AVG($J7,($J7,$O7,$T7),1)-2)*20)</f>
        <v>-37.799999999999997</v>
      </c>
      <c r="V7" s="54">
        <f>IF($O7="","",ROUND(($O7-$O$3)/1000,1)+(_xlfn.RANK.AVG($O7,($J7,$O7,$T7),1)-2)*20)</f>
        <v>-2.5</v>
      </c>
      <c r="W7" s="55">
        <f>IF($T7="","",ROUND(($T7-$T$3)/1000,1)+(_xlfn.RANK.AVG($T7,($J7,$O7,$T7),1)-2)*20)</f>
        <v>40.299999999999997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204</v>
      </c>
      <c r="BU7" s="40" t="s">
        <v>201</v>
      </c>
      <c r="BV7" s="41" t="s">
        <v>86</v>
      </c>
      <c r="BW7" s="41" t="s">
        <v>86</v>
      </c>
      <c r="BX7" s="41" t="s">
        <v>79</v>
      </c>
      <c r="BY7" s="41" t="s">
        <v>80</v>
      </c>
      <c r="BZ7" s="41" t="s">
        <v>80</v>
      </c>
      <c r="CA7" s="41" t="s">
        <v>80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/>
      <c r="G8" s="9"/>
      <c r="H8" s="9"/>
      <c r="I8" s="48"/>
      <c r="J8" s="21">
        <f t="shared" si="2"/>
        <v>17200</v>
      </c>
      <c r="K8" s="8" t="s">
        <v>200</v>
      </c>
      <c r="L8" s="9">
        <v>-12000</v>
      </c>
      <c r="M8" s="9"/>
      <c r="N8" s="48">
        <v>-1000</v>
      </c>
      <c r="O8" s="21">
        <f t="shared" si="3"/>
        <v>19500</v>
      </c>
      <c r="P8" s="8" t="s">
        <v>199</v>
      </c>
      <c r="Q8" s="9">
        <v>12000</v>
      </c>
      <c r="R8" s="9"/>
      <c r="S8" s="48">
        <v>1000</v>
      </c>
      <c r="T8" s="21">
        <f t="shared" si="4"/>
        <v>68300</v>
      </c>
      <c r="U8" s="53">
        <f>IF($J8="","",ROUND(($J8-$J$3)/1000,1)+(_xlfn.RANK.AVG($J8,($J8,$O8,$T8),1)-2)*20)</f>
        <v>-37.799999999999997</v>
      </c>
      <c r="V8" s="54">
        <f>IF($O8="","",ROUND(($O8-$O$3)/1000,1)+(_xlfn.RANK.AVG($O8,($J8,$O8,$T8),1)-2)*20)</f>
        <v>-15.5</v>
      </c>
      <c r="W8" s="55">
        <f>IF($T8="","",ROUND(($T8-$T$3)/1000,1)+(_xlfn.RANK.AVG($T8,($J8,$O8,$T8),1)-2)*20)</f>
        <v>53.3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204</v>
      </c>
      <c r="BU8" s="40" t="s">
        <v>86</v>
      </c>
      <c r="BV8" s="41" t="s">
        <v>79</v>
      </c>
      <c r="BW8" s="41" t="s">
        <v>79</v>
      </c>
      <c r="BX8" s="41" t="s">
        <v>206</v>
      </c>
      <c r="BY8" s="41" t="s">
        <v>206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2"/>
        <v>17200</v>
      </c>
      <c r="K9" s="8" t="s">
        <v>200</v>
      </c>
      <c r="L9" s="9">
        <v>-12000</v>
      </c>
      <c r="M9" s="9">
        <v>-1000</v>
      </c>
      <c r="N9" s="48">
        <v>-2000</v>
      </c>
      <c r="O9" s="21">
        <f t="shared" si="3"/>
        <v>4500</v>
      </c>
      <c r="P9" s="8" t="s">
        <v>199</v>
      </c>
      <c r="Q9" s="9">
        <v>12000</v>
      </c>
      <c r="R9" s="9">
        <v>1000</v>
      </c>
      <c r="S9" s="48">
        <v>2000</v>
      </c>
      <c r="T9" s="21">
        <f t="shared" si="4"/>
        <v>83300</v>
      </c>
      <c r="U9" s="53">
        <f>IF($J9="","",ROUND(($J9-$J$3)/1000,1)+(_xlfn.RANK.AVG($J9,($J9,$O9,$T9),1)-2)*20)</f>
        <v>-17.8</v>
      </c>
      <c r="V9" s="54">
        <f>IF($O9="","",ROUND(($O9-$O$3)/1000,1)+(_xlfn.RANK.AVG($O9,($J9,$O9,$T9),1)-2)*20)</f>
        <v>-50.5</v>
      </c>
      <c r="W9" s="55">
        <f>IF($T9="","",ROUND(($T9-$T$3)/1000,1)+(_xlfn.RANK.AVG($T9,($J9,$O9,$T9),1)-2)*20)</f>
        <v>68.3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201</v>
      </c>
      <c r="BV9" s="41" t="s">
        <v>86</v>
      </c>
      <c r="BW9" s="41" t="s">
        <v>80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IF($P$1="","",$P$1)</f>
        <v>だいち</v>
      </c>
      <c r="F10" s="8" t="s">
        <v>198</v>
      </c>
      <c r="G10" s="9">
        <v>3000</v>
      </c>
      <c r="H10" s="9"/>
      <c r="I10" s="48"/>
      <c r="J10" s="21">
        <f t="shared" si="2"/>
        <v>20200</v>
      </c>
      <c r="K10" s="8" t="s">
        <v>198</v>
      </c>
      <c r="L10" s="9">
        <v>-1500</v>
      </c>
      <c r="M10" s="9"/>
      <c r="N10" s="48"/>
      <c r="O10" s="21">
        <f t="shared" si="3"/>
        <v>3000</v>
      </c>
      <c r="P10" s="8" t="s">
        <v>198</v>
      </c>
      <c r="Q10" s="9">
        <v>-1500</v>
      </c>
      <c r="R10" s="9"/>
      <c r="S10" s="48"/>
      <c r="T10" s="21">
        <f t="shared" si="4"/>
        <v>81800</v>
      </c>
      <c r="U10" s="53">
        <f>IF($J10="","",ROUND(($J10-$J$3)/1000,1)+(_xlfn.RANK.AVG($J10,($J10,$O10,$T10),1)-2)*20)</f>
        <v>-14.8</v>
      </c>
      <c r="V10" s="54">
        <f>IF($O10="","",ROUND(($O10-$O$3)/1000,1)+(_xlfn.RANK.AVG($O10,($J10,$O10,$T10),1)-2)*20)</f>
        <v>-52</v>
      </c>
      <c r="W10" s="55">
        <f>IF($T10="","",ROUND(($T10-$T$3)/1000,1)+(_xlfn.RANK.AVG($T10,($J10,$O10,$T10),1)-2)*20)</f>
        <v>66.8</v>
      </c>
      <c r="Y10" s="8" t="s">
        <v>196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4</v>
      </c>
      <c r="D11" s="18">
        <f t="shared" si="1"/>
        <v>0</v>
      </c>
      <c r="E11" s="4" t="str">
        <f>IF($F$1="","",$F$1)</f>
        <v>ぱぱ</v>
      </c>
      <c r="F11" s="8" t="s">
        <v>198</v>
      </c>
      <c r="G11" s="9">
        <v>0</v>
      </c>
      <c r="H11" s="9"/>
      <c r="I11" s="48"/>
      <c r="J11" s="21">
        <f t="shared" si="2"/>
        <v>20200</v>
      </c>
      <c r="K11" s="8" t="s">
        <v>198</v>
      </c>
      <c r="L11" s="9">
        <v>0</v>
      </c>
      <c r="M11" s="9"/>
      <c r="N11" s="48"/>
      <c r="O11" s="21">
        <f t="shared" si="3"/>
        <v>3000</v>
      </c>
      <c r="P11" s="8" t="s">
        <v>198</v>
      </c>
      <c r="Q11" s="9">
        <v>0</v>
      </c>
      <c r="R11" s="9">
        <v>-1000</v>
      </c>
      <c r="S11" s="48"/>
      <c r="T11" s="21">
        <f t="shared" si="4"/>
        <v>80800</v>
      </c>
      <c r="U11" s="53">
        <f>IF($J11="","",ROUND(($J11-$J$3)/1000,1)+(_xlfn.RANK.AVG($J11,($J11,$O11,$T11),1)-2)*20)</f>
        <v>-14.8</v>
      </c>
      <c r="V11" s="54">
        <f>IF($O11="","",ROUND(($O11-$O$3)/1000,1)+(_xlfn.RANK.AVG($O11,($J11,$O11,$T11),1)-2)*20)</f>
        <v>-52</v>
      </c>
      <c r="W11" s="55">
        <f>IF($T11="","",ROUND(($T11-$T$3)/1000,1)+(_xlfn.RANK.AVG($T11,($J11,$O11,$T11),1)-2)*20)</f>
        <v>65.8</v>
      </c>
      <c r="Y11" s="8" t="s">
        <v>196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196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196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5</v>
      </c>
      <c r="D12" s="18">
        <f t="shared" si="1"/>
        <v>1</v>
      </c>
      <c r="E12" s="4" t="str">
        <f>IF($F$1="","",$F$1)</f>
        <v>ぱぱ</v>
      </c>
      <c r="F12" s="8" t="s">
        <v>200</v>
      </c>
      <c r="G12" s="9">
        <v>-6400</v>
      </c>
      <c r="H12" s="9"/>
      <c r="I12" s="48">
        <v>-5000</v>
      </c>
      <c r="J12" s="21">
        <f t="shared" si="2"/>
        <v>8800</v>
      </c>
      <c r="K12" s="8" t="s">
        <v>199</v>
      </c>
      <c r="L12" s="9">
        <v>6400</v>
      </c>
      <c r="M12" s="9">
        <v>1000</v>
      </c>
      <c r="N12" s="48">
        <v>5000</v>
      </c>
      <c r="O12" s="21">
        <f t="shared" si="3"/>
        <v>15400</v>
      </c>
      <c r="P12" s="8"/>
      <c r="Q12" s="9"/>
      <c r="R12" s="9"/>
      <c r="S12" s="48"/>
      <c r="T12" s="21">
        <f t="shared" si="4"/>
        <v>80800</v>
      </c>
      <c r="U12" s="53">
        <f>IF($J12="","",ROUND(($J12-$J$3)/1000,1)+(_xlfn.RANK.AVG($J12,($J12,$O12,$T12),1)-2)*20)</f>
        <v>-46.2</v>
      </c>
      <c r="V12" s="54">
        <f>IF($O12="","",ROUND(($O12-$O$3)/1000,1)+(_xlfn.RANK.AVG($O12,($J12,$O12,$T12),1)-2)*20)</f>
        <v>-19.600000000000001</v>
      </c>
      <c r="W12" s="55">
        <f>IF($T12="","",ROUND(($T12-$T$3)/1000,1)+(_xlfn.RANK.AVG($T12,($J12,$O12,$T12),1)-2)*20)</f>
        <v>65.8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4</v>
      </c>
      <c r="AY12" s="30">
        <v>25</v>
      </c>
      <c r="AZ12" s="40" t="s">
        <v>101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ただ</v>
      </c>
      <c r="F13" s="8" t="s">
        <v>203</v>
      </c>
      <c r="G13" s="9">
        <v>-3900</v>
      </c>
      <c r="H13" s="9"/>
      <c r="I13" s="48">
        <v>0</v>
      </c>
      <c r="J13" s="21">
        <f t="shared" si="2"/>
        <v>4900</v>
      </c>
      <c r="K13" s="8" t="s">
        <v>202</v>
      </c>
      <c r="L13" s="9">
        <v>7800</v>
      </c>
      <c r="M13" s="9"/>
      <c r="N13" s="48">
        <v>0</v>
      </c>
      <c r="O13" s="21">
        <f t="shared" si="3"/>
        <v>23200</v>
      </c>
      <c r="P13" s="8" t="s">
        <v>203</v>
      </c>
      <c r="Q13" s="9">
        <v>-3900</v>
      </c>
      <c r="R13" s="9"/>
      <c r="S13" s="48">
        <v>0</v>
      </c>
      <c r="T13" s="21">
        <f t="shared" si="4"/>
        <v>76900</v>
      </c>
      <c r="U13" s="53">
        <f>IF($J13="","",ROUND(($J13-$J$3)/1000,1)+(_xlfn.RANK.AVG($J13,($J13,$O13,$T13),1)-2)*20)</f>
        <v>-50.1</v>
      </c>
      <c r="V13" s="54">
        <f>IF($O13="","",ROUND(($O13-$O$3)/1000,1)+(_xlfn.RANK.AVG($O13,($J13,$O13,$T13),1)-2)*20)</f>
        <v>-11.8</v>
      </c>
      <c r="W13" s="55">
        <f>IF($T13="","",ROUND(($T13-$T$3)/1000,1)+(_xlfn.RANK.AVG($T13,($J13,$O13,$T13),1)-2)*20)</f>
        <v>61.9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40</v>
      </c>
      <c r="AZ13" s="40" t="s">
        <v>86</v>
      </c>
      <c r="BA13" s="41" t="s">
        <v>206</v>
      </c>
      <c r="BB13" s="41" t="s">
        <v>206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tr">
        <f>IF($K$1="","",$K$1)</f>
        <v>ただ</v>
      </c>
      <c r="F14" s="8" t="s">
        <v>198</v>
      </c>
      <c r="G14" s="9">
        <v>1500</v>
      </c>
      <c r="H14" s="9">
        <v>-1000</v>
      </c>
      <c r="I14" s="48"/>
      <c r="J14" s="21">
        <f t="shared" si="2"/>
        <v>5400</v>
      </c>
      <c r="K14" s="8" t="s">
        <v>198</v>
      </c>
      <c r="L14" s="9">
        <v>-3000</v>
      </c>
      <c r="M14" s="9"/>
      <c r="N14" s="48"/>
      <c r="O14" s="21">
        <f t="shared" si="3"/>
        <v>20200</v>
      </c>
      <c r="P14" s="8" t="s">
        <v>198</v>
      </c>
      <c r="Q14" s="9">
        <v>1500</v>
      </c>
      <c r="R14" s="9"/>
      <c r="S14" s="48"/>
      <c r="T14" s="21">
        <f t="shared" si="4"/>
        <v>78400</v>
      </c>
      <c r="U14" s="53">
        <f>IF($J14="","",ROUND(($J14-$J$3)/1000,1)+(_xlfn.RANK.AVG($J14,($J14,$O14,$T14),1)-2)*20)</f>
        <v>-49.6</v>
      </c>
      <c r="V14" s="54">
        <f>IF($O14="","",ROUND(($O14-$O$3)/1000,1)+(_xlfn.RANK.AVG($O14,($J14,$O14,$T14),1)-2)*20)</f>
        <v>-14.8</v>
      </c>
      <c r="W14" s="55">
        <f>IF($T14="","",ROUND(($T14-$T$3)/1000,1)+(_xlfn.RANK.AVG($T14,($J14,$O14,$T14),1)-2)*20)</f>
        <v>63.4</v>
      </c>
      <c r="Y14" s="8" t="s">
        <v>196</v>
      </c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197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196</v>
      </c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1</v>
      </c>
      <c r="E15" s="4" t="str">
        <f>IF($P$1="","",$P$1)</f>
        <v>だいち</v>
      </c>
      <c r="F15" s="8" t="s">
        <v>200</v>
      </c>
      <c r="G15" s="9">
        <v>-48000</v>
      </c>
      <c r="H15" s="9">
        <v>-1000</v>
      </c>
      <c r="I15" s="48">
        <v>-2000</v>
      </c>
      <c r="J15" s="21">
        <f t="shared" si="2"/>
        <v>-45600</v>
      </c>
      <c r="K15" s="8"/>
      <c r="L15" s="9"/>
      <c r="M15" s="9">
        <v>-1000</v>
      </c>
      <c r="N15" s="48"/>
      <c r="O15" s="21">
        <f t="shared" si="3"/>
        <v>19200</v>
      </c>
      <c r="P15" s="8" t="s">
        <v>199</v>
      </c>
      <c r="Q15" s="9">
        <v>48000</v>
      </c>
      <c r="R15" s="9">
        <v>3000</v>
      </c>
      <c r="S15" s="48">
        <v>2000</v>
      </c>
      <c r="T15" s="21">
        <f t="shared" si="4"/>
        <v>131400</v>
      </c>
      <c r="U15" s="53">
        <f>IF($J15="","",ROUND(($J15-$J$3)/1000,1)+(_xlfn.RANK.AVG($J15,($J15,$O15,$T15),1)-2)*20)</f>
        <v>-100.6</v>
      </c>
      <c r="V15" s="54">
        <f>IF($O15="","",ROUND(($O15-$O$3)/1000,1)+(_xlfn.RANK.AVG($O15,($J15,$O15,$T15),1)-2)*20)</f>
        <v>-15.8</v>
      </c>
      <c r="W15" s="55">
        <f>IF($T15="","",ROUND(($T15-$T$3)/1000,1)+(_xlfn.RANK.AVG($T15,($J15,$O15,$T15),1)-2)*20)</f>
        <v>116.4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13</v>
      </c>
      <c r="BT15" s="30" t="s">
        <v>204</v>
      </c>
      <c r="BU15" s="40" t="s">
        <v>107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688211EC-E2E6-4D65-97A9-23F2FDD178DF}">
      <formula1>"ロン,ツモ,放銃,ツモ支払,流局,チョンボ"</formula1>
    </dataValidation>
    <dataValidation type="list" allowBlank="1" showInputMessage="1" showErrorMessage="1" sqref="E4:E30" xr:uid="{CCD1CC54-99A8-4E66-8320-3B7CA325DB3A}">
      <formula1>$U$2:$W$2</formula1>
    </dataValidation>
    <dataValidation type="list" allowBlank="1" showInputMessage="1" sqref="F1:T1" xr:uid="{4DBBFEC6-D528-4848-9FC8-28DBFC35881F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D49B-63BB-4A19-A715-426B26445DAA}">
  <sheetPr codeName="Sheet20">
    <pageSetUpPr fitToPage="1"/>
  </sheetPr>
  <dimension ref="A1:CI30"/>
  <sheetViews>
    <sheetView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198</v>
      </c>
      <c r="L4" s="9">
        <v>-3000</v>
      </c>
      <c r="M4" s="9"/>
      <c r="N4" s="48"/>
      <c r="O4" s="21">
        <f>IF(COUNTA($F4,$K4,$P4)&gt;0,O3+SUM(L4:N4),"")</f>
        <v>32000</v>
      </c>
      <c r="P4" s="8" t="s">
        <v>198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21.5</v>
      </c>
      <c r="Y4" s="8" t="s">
        <v>196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IF($P$1="","",$P$1)</f>
        <v>れんたろう</v>
      </c>
      <c r="F5" s="8" t="s">
        <v>203</v>
      </c>
      <c r="G5" s="9">
        <v>-5800</v>
      </c>
      <c r="H5" s="9"/>
      <c r="I5" s="48">
        <v>-500</v>
      </c>
      <c r="J5" s="21">
        <f t="shared" ref="J5:J30" si="2">IF(COUNTA($F5,$K5,$P5)&gt;0,J4+SUM(G5:I5),"")</f>
        <v>29200</v>
      </c>
      <c r="K5" s="8" t="s">
        <v>203</v>
      </c>
      <c r="L5" s="9">
        <v>-5800</v>
      </c>
      <c r="M5" s="9"/>
      <c r="N5" s="48">
        <v>-500</v>
      </c>
      <c r="O5" s="21">
        <f t="shared" ref="O5:O30" si="3">IF(COUNTA($F5,$K5,$P5)&gt;0,O4+SUM(L5:N5),"")</f>
        <v>25700</v>
      </c>
      <c r="P5" s="8" t="s">
        <v>202</v>
      </c>
      <c r="Q5" s="9">
        <v>11600</v>
      </c>
      <c r="R5" s="9">
        <v>1000</v>
      </c>
      <c r="S5" s="48">
        <v>1000</v>
      </c>
      <c r="T5" s="21">
        <f t="shared" ref="T5:T30" si="4">IF(COUNTA($F5,$K5,$P5)&gt;0,T4+SUM(Q5:S5),"")</f>
        <v>50100</v>
      </c>
      <c r="U5" s="53">
        <f>IF($J5="","",ROUND(($J5-$J$3)/1000,1)+(_xlfn.RANK.AVG($J5,($J5,$O5,$T5),1)-2)*20)</f>
        <v>-5.8</v>
      </c>
      <c r="V5" s="54">
        <f>IF($O5="","",ROUND(($O5-$O$3)/1000,1)+(_xlfn.RANK.AVG($O5,($J5,$O5,$T5),1)-2)*20)</f>
        <v>-29.3</v>
      </c>
      <c r="W5" s="55">
        <f>IF($T5="","",ROUND(($T5-$T$3)/1000,1)+(_xlfn.RANK.AVG($T5,($J5,$O5,$T5),1)-2)*20)</f>
        <v>35.1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201</v>
      </c>
      <c r="BV5" s="41" t="s">
        <v>82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れんたろう</v>
      </c>
      <c r="F6" s="8" t="s">
        <v>203</v>
      </c>
      <c r="G6" s="9">
        <v>-3000</v>
      </c>
      <c r="H6" s="9"/>
      <c r="I6" s="48">
        <v>-1000</v>
      </c>
      <c r="J6" s="21">
        <f t="shared" si="2"/>
        <v>25200</v>
      </c>
      <c r="K6" s="8" t="s">
        <v>203</v>
      </c>
      <c r="L6" s="9">
        <v>-3000</v>
      </c>
      <c r="M6" s="9">
        <v>-1000</v>
      </c>
      <c r="N6" s="48">
        <v>-1000</v>
      </c>
      <c r="O6" s="21">
        <f t="shared" si="3"/>
        <v>20700</v>
      </c>
      <c r="P6" s="8" t="s">
        <v>202</v>
      </c>
      <c r="Q6" s="9">
        <v>6000</v>
      </c>
      <c r="R6" s="9">
        <v>1000</v>
      </c>
      <c r="S6" s="48">
        <v>2000</v>
      </c>
      <c r="T6" s="21">
        <f t="shared" si="4"/>
        <v>59100</v>
      </c>
      <c r="U6" s="53">
        <f>IF($J6="","",ROUND(($J6-$J$3)/1000,1)+(_xlfn.RANK.AVG($J6,($J6,$O6,$T6),1)-2)*20)</f>
        <v>-9.8000000000000007</v>
      </c>
      <c r="V6" s="54">
        <f>IF($O6="","",ROUND(($O6-$O$3)/1000,1)+(_xlfn.RANK.AVG($O6,($J6,$O6,$T6),1)-2)*20)</f>
        <v>-34.299999999999997</v>
      </c>
      <c r="W6" s="55">
        <f>IF($T6="","",ROUND(($T6-$T$3)/1000,1)+(_xlfn.RANK.AVG($T6,($J6,$O6,$T6),1)-2)*20)</f>
        <v>44.1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104</v>
      </c>
      <c r="BV6" s="41" t="s">
        <v>206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IF($P$1="","",$P$1)</f>
        <v>れんたろう</v>
      </c>
      <c r="F7" s="8" t="s">
        <v>198</v>
      </c>
      <c r="G7" s="9">
        <v>-1500</v>
      </c>
      <c r="H7" s="9"/>
      <c r="I7" s="48"/>
      <c r="J7" s="21">
        <f t="shared" si="2"/>
        <v>23700</v>
      </c>
      <c r="K7" s="8" t="s">
        <v>198</v>
      </c>
      <c r="L7" s="9">
        <v>-1500</v>
      </c>
      <c r="M7" s="9"/>
      <c r="N7" s="48"/>
      <c r="O7" s="21">
        <f t="shared" si="3"/>
        <v>19200</v>
      </c>
      <c r="P7" s="8" t="s">
        <v>198</v>
      </c>
      <c r="Q7" s="9">
        <v>3000</v>
      </c>
      <c r="R7" s="9">
        <v>-2000</v>
      </c>
      <c r="S7" s="48"/>
      <c r="T7" s="21">
        <f t="shared" si="4"/>
        <v>60100</v>
      </c>
      <c r="U7" s="53">
        <f>IF($J7="","",ROUND(($J7-$J$3)/1000,1)+(_xlfn.RANK.AVG($J7,($J7,$O7,$T7),1)-2)*20)</f>
        <v>-11.3</v>
      </c>
      <c r="V7" s="54">
        <f>IF($O7="","",ROUND(($O7-$O$3)/1000,1)+(_xlfn.RANK.AVG($O7,($J7,$O7,$T7),1)-2)*20)</f>
        <v>-35.799999999999997</v>
      </c>
      <c r="W7" s="55">
        <f>IF($T7="","",ROUND(($T7-$T$3)/1000,1)+(_xlfn.RANK.AVG($T7,($J7,$O7,$T7),1)-2)*20)</f>
        <v>45.1</v>
      </c>
      <c r="Y7" s="8" t="s">
        <v>197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196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2</v>
      </c>
      <c r="E8" s="4" t="str">
        <f>IF($P$1="","",$P$1)</f>
        <v>れんたろう</v>
      </c>
      <c r="F8" s="8"/>
      <c r="G8" s="9"/>
      <c r="H8" s="9"/>
      <c r="I8" s="48"/>
      <c r="J8" s="21">
        <f t="shared" si="2"/>
        <v>23700</v>
      </c>
      <c r="K8" s="8" t="s">
        <v>200</v>
      </c>
      <c r="L8" s="9">
        <v>-12000</v>
      </c>
      <c r="M8" s="9"/>
      <c r="N8" s="48">
        <v>-4000</v>
      </c>
      <c r="O8" s="21">
        <f t="shared" si="3"/>
        <v>3200</v>
      </c>
      <c r="P8" s="8" t="s">
        <v>199</v>
      </c>
      <c r="Q8" s="9">
        <v>12000</v>
      </c>
      <c r="R8" s="9">
        <v>2000</v>
      </c>
      <c r="S8" s="48">
        <v>4000</v>
      </c>
      <c r="T8" s="21">
        <f t="shared" si="4"/>
        <v>78100</v>
      </c>
      <c r="U8" s="53">
        <f>IF($J8="","",ROUND(($J8-$J$3)/1000,1)+(_xlfn.RANK.AVG($J8,($J8,$O8,$T8),1)-2)*20)</f>
        <v>-11.3</v>
      </c>
      <c r="V8" s="54">
        <f>IF($O8="","",ROUND(($O8-$O$3)/1000,1)+(_xlfn.RANK.AVG($O8,($J8,$O8,$T8),1)-2)*20)</f>
        <v>-51.8</v>
      </c>
      <c r="W8" s="55">
        <f>IF($T8="","",ROUND(($T8-$T$3)/1000,1)+(_xlfn.RANK.AVG($T8,($J8,$O8,$T8),1)-2)*20)</f>
        <v>63.1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204</v>
      </c>
      <c r="BU8" s="40" t="s">
        <v>201</v>
      </c>
      <c r="BV8" s="41" t="s">
        <v>205</v>
      </c>
      <c r="BW8" s="41" t="s">
        <v>83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tr">
        <f>IF($P$1="","",$P$1)</f>
        <v>れんたろう</v>
      </c>
      <c r="F9" s="8" t="s">
        <v>202</v>
      </c>
      <c r="G9" s="9">
        <v>2800</v>
      </c>
      <c r="H9" s="9"/>
      <c r="I9" s="48">
        <v>5000</v>
      </c>
      <c r="J9" s="21">
        <f t="shared" si="2"/>
        <v>31500</v>
      </c>
      <c r="K9" s="8" t="s">
        <v>203</v>
      </c>
      <c r="L9" s="9">
        <v>-1100</v>
      </c>
      <c r="M9" s="9"/>
      <c r="N9" s="48">
        <v>-2500</v>
      </c>
      <c r="O9" s="21">
        <f t="shared" si="3"/>
        <v>-400</v>
      </c>
      <c r="P9" s="8" t="s">
        <v>203</v>
      </c>
      <c r="Q9" s="9">
        <v>-1700</v>
      </c>
      <c r="R9" s="9"/>
      <c r="S9" s="48">
        <v>-2500</v>
      </c>
      <c r="T9" s="21">
        <f t="shared" si="4"/>
        <v>73900</v>
      </c>
      <c r="U9" s="53">
        <f>IF($J9="","",ROUND(($J9-$J$3)/1000,1)+(_xlfn.RANK.AVG($J9,($J9,$O9,$T9),1)-2)*20)</f>
        <v>-3.5</v>
      </c>
      <c r="V9" s="54">
        <f>IF($O9="","",ROUND(($O9-$O$3)/1000,1)+(_xlfn.RANK.AVG($O9,($J9,$O9,$T9),1)-2)*20)</f>
        <v>-55.4</v>
      </c>
      <c r="W9" s="55">
        <f>IF($T9="","",ROUND(($T9-$T$3)/1000,1)+(_xlfn.RANK.AVG($T9,($J9,$O9,$T9),1)-2)*20)</f>
        <v>58.9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201</v>
      </c>
      <c r="AF9" s="41" t="s">
        <v>82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ただ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4B56CD19-74DD-4A0C-B1B6-AD86744EE902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allowBlank="1" showInputMessage="1" showErrorMessage="1" sqref="E4:E30" xr:uid="{522AD630-2200-4AF5-90E6-AB869F9651A4}">
      <formula1>$U$2:$W$2</formula1>
    </dataValidation>
    <dataValidation type="list" showInputMessage="1" showErrorMessage="1" sqref="K4:K30 P4:P30 F4:F30" xr:uid="{6BA2844D-38F6-44D0-B47C-A61B23481FA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2022-08-28T08:31:55Z</dcterms:modified>
</cp:coreProperties>
</file>