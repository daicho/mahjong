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専攻科\対局\"/>
    </mc:Choice>
  </mc:AlternateContent>
  <xr:revisionPtr revIDLastSave="0" documentId="13_ncr:1_{41820618-7BF6-4088-80AA-EAD495075254}" xr6:coauthVersionLast="47" xr6:coauthVersionMax="47" xr10:uidLastSave="{00000000-0000-0000-0000-000000000000}"/>
  <bookViews>
    <workbookView xWindow="-120" yWindow="-120" windowWidth="29040" windowHeight="15990" activeTab="1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Sheet11" sheetId="29" r:id="rId11"/>
    <sheet name="役一覧" sheetId="15" state="hidden" r:id="rId12"/>
    <sheet name="点数表(親ロン)" sheetId="4" state="hidden" r:id="rId13"/>
    <sheet name="点数表(親ツモ)" sheetId="9" state="hidden" r:id="rId14"/>
    <sheet name="点数表(子→親)" sheetId="7" state="hidden" r:id="rId15"/>
    <sheet name="点数表(子ロン)" sheetId="3" state="hidden" r:id="rId16"/>
    <sheet name="点数表(子ツモ)" sheetId="10" state="hidden" r:id="rId17"/>
    <sheet name="点数表(子→子)" sheetId="5" state="hidden" r:id="rId18"/>
    <sheet name="点数表(親→子)" sheetId="6" state="hidden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9" l="1"/>
  <c r="E9" i="29"/>
  <c r="E8" i="29"/>
  <c r="E7" i="29"/>
  <c r="E6" i="29"/>
  <c r="E5" i="29"/>
  <c r="T30" i="29" l="1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D14" i="29"/>
  <c r="C14" i="29"/>
  <c r="B14" i="29"/>
  <c r="A14" i="29"/>
  <c r="T13" i="29"/>
  <c r="W13" i="29" s="1"/>
  <c r="O13" i="29"/>
  <c r="V13" i="29" s="1"/>
  <c r="J13" i="29"/>
  <c r="U13" i="29" s="1"/>
  <c r="D13" i="29"/>
  <c r="C13" i="29"/>
  <c r="B13" i="29"/>
  <c r="A13" i="29"/>
  <c r="D12" i="29"/>
  <c r="C12" i="29"/>
  <c r="D8" i="29"/>
  <c r="D7" i="29"/>
  <c r="C7" i="29"/>
  <c r="C8" i="29" s="1"/>
  <c r="T5" i="29"/>
  <c r="T6" i="29" s="1"/>
  <c r="C5" i="29"/>
  <c r="D5" i="29"/>
  <c r="T4" i="29"/>
  <c r="O4" i="29"/>
  <c r="O5" i="29" s="1"/>
  <c r="J4" i="29"/>
  <c r="J5" i="29" s="1"/>
  <c r="W3" i="29"/>
  <c r="V3" i="29"/>
  <c r="U3" i="29"/>
  <c r="W2" i="29"/>
  <c r="V2" i="29"/>
  <c r="U2" i="29"/>
  <c r="BO1" i="29"/>
  <c r="AT1" i="29"/>
  <c r="Y1" i="29"/>
  <c r="D13" i="28"/>
  <c r="E12" i="28"/>
  <c r="E11" i="28"/>
  <c r="E10" i="28"/>
  <c r="E9" i="28"/>
  <c r="E8" i="28"/>
  <c r="E7" i="28"/>
  <c r="E6" i="28"/>
  <c r="E5" i="28"/>
  <c r="B5" i="28" s="1"/>
  <c r="A5" i="28" s="1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C13" i="28"/>
  <c r="D12" i="28"/>
  <c r="D11" i="28"/>
  <c r="D10" i="28"/>
  <c r="D9" i="28"/>
  <c r="D7" i="28"/>
  <c r="D8" i="28" s="1"/>
  <c r="D6" i="28"/>
  <c r="B6" i="28"/>
  <c r="T4" i="28"/>
  <c r="T5" i="28" s="1"/>
  <c r="O4" i="28"/>
  <c r="O5" i="28" s="1"/>
  <c r="J4" i="28"/>
  <c r="J5" i="28" s="1"/>
  <c r="W3" i="28"/>
  <c r="V3" i="28"/>
  <c r="U3" i="28"/>
  <c r="W2" i="28"/>
  <c r="V2" i="28"/>
  <c r="U2" i="28"/>
  <c r="BO1" i="28"/>
  <c r="AT1" i="28"/>
  <c r="Y1" i="28"/>
  <c r="E12" i="27"/>
  <c r="E11" i="27"/>
  <c r="E10" i="27"/>
  <c r="C10" i="27" s="1"/>
  <c r="E9" i="27"/>
  <c r="D9" i="27" s="1"/>
  <c r="E8" i="27"/>
  <c r="E7" i="27"/>
  <c r="E6" i="27"/>
  <c r="C6" i="27" s="1"/>
  <c r="E5" i="27"/>
  <c r="D5" i="27" s="1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O12" i="27"/>
  <c r="J12" i="27"/>
  <c r="D12" i="27"/>
  <c r="C12" i="27"/>
  <c r="B12" i="27"/>
  <c r="A12" i="27" s="1"/>
  <c r="C11" i="27"/>
  <c r="D11" i="27"/>
  <c r="D10" i="27"/>
  <c r="T7" i="27"/>
  <c r="T8" i="27" s="1"/>
  <c r="D7" i="27"/>
  <c r="T6" i="27"/>
  <c r="D6" i="27"/>
  <c r="T5" i="27"/>
  <c r="O5" i="27"/>
  <c r="O6" i="27" s="1"/>
  <c r="J5" i="27"/>
  <c r="J6" i="27" s="1"/>
  <c r="T4" i="27"/>
  <c r="O4" i="27"/>
  <c r="J4" i="27"/>
  <c r="W3" i="27"/>
  <c r="V3" i="27"/>
  <c r="U3" i="27"/>
  <c r="W2" i="27"/>
  <c r="V2" i="27"/>
  <c r="U2" i="27"/>
  <c r="BO1" i="27"/>
  <c r="AT1" i="27"/>
  <c r="Y1" i="27"/>
  <c r="E11" i="26"/>
  <c r="E10" i="26"/>
  <c r="E9" i="26"/>
  <c r="D9" i="26" s="1"/>
  <c r="E8" i="26"/>
  <c r="E7" i="26"/>
  <c r="E6" i="26"/>
  <c r="B6" i="26" s="1"/>
  <c r="E5" i="26"/>
  <c r="D5" i="26" s="1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D10" i="26"/>
  <c r="D8" i="26"/>
  <c r="T6" i="26"/>
  <c r="T7" i="26" s="1"/>
  <c r="T5" i="26"/>
  <c r="B5" i="26"/>
  <c r="A5" i="26" s="1"/>
  <c r="T4" i="26"/>
  <c r="O4" i="26"/>
  <c r="O5" i="26" s="1"/>
  <c r="J4" i="26"/>
  <c r="J5" i="26" s="1"/>
  <c r="W3" i="26"/>
  <c r="V3" i="26"/>
  <c r="U3" i="26"/>
  <c r="W2" i="26"/>
  <c r="V2" i="26"/>
  <c r="U2" i="26"/>
  <c r="BO1" i="26"/>
  <c r="AT1" i="26"/>
  <c r="Y1" i="26"/>
  <c r="E13" i="25"/>
  <c r="E12" i="25"/>
  <c r="E11" i="25"/>
  <c r="E10" i="25"/>
  <c r="D10" i="25" s="1"/>
  <c r="E9" i="25"/>
  <c r="E8" i="25"/>
  <c r="E7" i="25"/>
  <c r="E6" i="25"/>
  <c r="E5" i="25"/>
  <c r="D5" i="25" s="1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 s="1"/>
  <c r="T13" i="25"/>
  <c r="O13" i="25"/>
  <c r="J13" i="25"/>
  <c r="D13" i="25"/>
  <c r="C13" i="25"/>
  <c r="B13" i="25"/>
  <c r="A13" i="25"/>
  <c r="T12" i="25"/>
  <c r="O12" i="25"/>
  <c r="J12" i="25"/>
  <c r="D12" i="25"/>
  <c r="C12" i="25"/>
  <c r="B12" i="25"/>
  <c r="A12" i="25" s="1"/>
  <c r="T11" i="25"/>
  <c r="O11" i="25"/>
  <c r="J11" i="25"/>
  <c r="D11" i="25"/>
  <c r="C11" i="25"/>
  <c r="B11" i="25"/>
  <c r="A11" i="25"/>
  <c r="C10" i="25"/>
  <c r="D9" i="25"/>
  <c r="C7" i="25"/>
  <c r="D7" i="25"/>
  <c r="O6" i="25"/>
  <c r="O7" i="25" s="1"/>
  <c r="T5" i="25"/>
  <c r="T6" i="25" s="1"/>
  <c r="O5" i="25"/>
  <c r="C5" i="25"/>
  <c r="T4" i="25"/>
  <c r="O4" i="25"/>
  <c r="J4" i="25"/>
  <c r="W3" i="25"/>
  <c r="V3" i="25"/>
  <c r="U3" i="25"/>
  <c r="W2" i="25"/>
  <c r="V2" i="25"/>
  <c r="U2" i="25"/>
  <c r="BO1" i="25"/>
  <c r="AT1" i="25"/>
  <c r="Y1" i="25"/>
  <c r="E10" i="24"/>
  <c r="E9" i="24"/>
  <c r="E8" i="24"/>
  <c r="E7" i="24"/>
  <c r="D7" i="24" s="1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D13" i="24"/>
  <c r="C13" i="24"/>
  <c r="D12" i="24"/>
  <c r="C11" i="24"/>
  <c r="D11" i="24"/>
  <c r="D10" i="24"/>
  <c r="D9" i="24"/>
  <c r="D8" i="24"/>
  <c r="D6" i="24"/>
  <c r="C6" i="24"/>
  <c r="T5" i="24"/>
  <c r="T6" i="24" s="1"/>
  <c r="O5" i="24"/>
  <c r="O6" i="24" s="1"/>
  <c r="J5" i="24"/>
  <c r="J6" i="24" s="1"/>
  <c r="D5" i="24"/>
  <c r="C5" i="24"/>
  <c r="T4" i="24"/>
  <c r="O4" i="24"/>
  <c r="J4" i="24"/>
  <c r="U4" i="24" s="1"/>
  <c r="W3" i="24"/>
  <c r="V3" i="24"/>
  <c r="U3" i="24"/>
  <c r="W2" i="24"/>
  <c r="V2" i="24"/>
  <c r="U2" i="24"/>
  <c r="BO1" i="24"/>
  <c r="AT1" i="24"/>
  <c r="Y1" i="24"/>
  <c r="E13" i="23"/>
  <c r="A13" i="23" s="1"/>
  <c r="E12" i="23"/>
  <c r="E11" i="23"/>
  <c r="E10" i="23"/>
  <c r="E9" i="23"/>
  <c r="B9" i="23" s="1"/>
  <c r="A9" i="23" s="1"/>
  <c r="E8" i="23"/>
  <c r="D8" i="23" s="1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T13" i="23"/>
  <c r="O13" i="23"/>
  <c r="J13" i="23"/>
  <c r="D13" i="23"/>
  <c r="C13" i="23"/>
  <c r="B13" i="23"/>
  <c r="T12" i="23"/>
  <c r="O12" i="23"/>
  <c r="J12" i="23"/>
  <c r="U12" i="23" s="1"/>
  <c r="D12" i="23"/>
  <c r="C12" i="23"/>
  <c r="B12" i="23"/>
  <c r="A12" i="23" s="1"/>
  <c r="T11" i="23"/>
  <c r="O11" i="23"/>
  <c r="J11" i="23"/>
  <c r="D11" i="23"/>
  <c r="C11" i="23"/>
  <c r="B11" i="23"/>
  <c r="A11" i="23"/>
  <c r="T10" i="23"/>
  <c r="O10" i="23"/>
  <c r="J10" i="23"/>
  <c r="D10" i="23"/>
  <c r="C10" i="23"/>
  <c r="B10" i="23"/>
  <c r="A10" i="23"/>
  <c r="T9" i="23"/>
  <c r="O9" i="23"/>
  <c r="J9" i="23"/>
  <c r="D9" i="23"/>
  <c r="C9" i="23"/>
  <c r="T8" i="23"/>
  <c r="O8" i="23"/>
  <c r="J8" i="23"/>
  <c r="B8" i="23"/>
  <c r="D7" i="23"/>
  <c r="B5" i="23"/>
  <c r="D5" i="23"/>
  <c r="D6" i="23" s="1"/>
  <c r="C5" i="23"/>
  <c r="T4" i="23"/>
  <c r="T5" i="23" s="1"/>
  <c r="O4" i="23"/>
  <c r="O5" i="23" s="1"/>
  <c r="J4" i="23"/>
  <c r="W3" i="23"/>
  <c r="V3" i="23"/>
  <c r="U3" i="23"/>
  <c r="W2" i="23"/>
  <c r="V2" i="23"/>
  <c r="U2" i="23"/>
  <c r="BO1" i="23"/>
  <c r="AT1" i="23"/>
  <c r="Y1" i="23"/>
  <c r="D8" i="22"/>
  <c r="E7" i="22"/>
  <c r="E6" i="22"/>
  <c r="E5" i="22"/>
  <c r="A5" i="22" s="1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D12" i="22"/>
  <c r="D11" i="22"/>
  <c r="D10" i="22"/>
  <c r="C10" i="22"/>
  <c r="D9" i="22"/>
  <c r="C9" i="22"/>
  <c r="C7" i="22"/>
  <c r="D7" i="22"/>
  <c r="T6" i="22"/>
  <c r="T7" i="22" s="1"/>
  <c r="O6" i="22"/>
  <c r="O7" i="22" s="1"/>
  <c r="C6" i="22"/>
  <c r="D6" i="22"/>
  <c r="T5" i="22"/>
  <c r="O5" i="22"/>
  <c r="D5" i="22"/>
  <c r="C5" i="22"/>
  <c r="B5" i="22"/>
  <c r="T4" i="22"/>
  <c r="O4" i="22"/>
  <c r="J4" i="22"/>
  <c r="W3" i="22"/>
  <c r="V3" i="22"/>
  <c r="U3" i="22"/>
  <c r="W2" i="22"/>
  <c r="V2" i="22"/>
  <c r="U2" i="22"/>
  <c r="BO1" i="22"/>
  <c r="AT1" i="22"/>
  <c r="Y1" i="22"/>
  <c r="E12" i="21"/>
  <c r="E11" i="21"/>
  <c r="E10" i="21"/>
  <c r="C10" i="21" s="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T12" i="21"/>
  <c r="O12" i="21"/>
  <c r="J12" i="21"/>
  <c r="D12" i="21"/>
  <c r="C12" i="21"/>
  <c r="B12" i="21"/>
  <c r="A12" i="21" s="1"/>
  <c r="T11" i="21"/>
  <c r="O11" i="21"/>
  <c r="J11" i="21"/>
  <c r="D11" i="21"/>
  <c r="C11" i="21"/>
  <c r="B11" i="21"/>
  <c r="A11" i="21"/>
  <c r="C9" i="21"/>
  <c r="D9" i="21"/>
  <c r="D7" i="21"/>
  <c r="T6" i="21"/>
  <c r="D6" i="21"/>
  <c r="T5" i="21"/>
  <c r="D5" i="21"/>
  <c r="C5" i="21"/>
  <c r="B5" i="21"/>
  <c r="A5" i="21" s="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D11" i="20"/>
  <c r="E10" i="20"/>
  <c r="D10" i="20" s="1"/>
  <c r="E9" i="20"/>
  <c r="E8" i="20"/>
  <c r="E7" i="20"/>
  <c r="E6" i="20"/>
  <c r="E5" i="20"/>
  <c r="C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9" i="20"/>
  <c r="C9" i="20"/>
  <c r="D8" i="20"/>
  <c r="D7" i="20"/>
  <c r="D6" i="20"/>
  <c r="T5" i="20"/>
  <c r="T6" i="20" s="1"/>
  <c r="O5" i="20"/>
  <c r="O6" i="20" s="1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W4" i="29" l="1"/>
  <c r="T7" i="29"/>
  <c r="J6" i="29"/>
  <c r="U5" i="29"/>
  <c r="O6" i="29"/>
  <c r="W6" i="29" s="1"/>
  <c r="V5" i="29"/>
  <c r="U4" i="29"/>
  <c r="C6" i="29"/>
  <c r="D11" i="29"/>
  <c r="V4" i="29"/>
  <c r="D6" i="29"/>
  <c r="C9" i="29"/>
  <c r="C10" i="29" s="1"/>
  <c r="C11" i="29" s="1"/>
  <c r="D9" i="29"/>
  <c r="B5" i="29"/>
  <c r="W5" i="29"/>
  <c r="D10" i="29"/>
  <c r="B13" i="28"/>
  <c r="A13" i="28" s="1"/>
  <c r="D5" i="28"/>
  <c r="C5" i="28"/>
  <c r="J6" i="28"/>
  <c r="U5" i="28"/>
  <c r="B8" i="28"/>
  <c r="T6" i="28"/>
  <c r="W5" i="28"/>
  <c r="O6" i="28"/>
  <c r="V5" i="28"/>
  <c r="A6" i="28"/>
  <c r="U4" i="28"/>
  <c r="C6" i="28"/>
  <c r="V4" i="28"/>
  <c r="C9" i="28"/>
  <c r="C10" i="28" s="1"/>
  <c r="C11" i="28" s="1"/>
  <c r="W4" i="28"/>
  <c r="B7" i="28"/>
  <c r="C12" i="28"/>
  <c r="C7" i="28"/>
  <c r="C8" i="28" s="1"/>
  <c r="W12" i="27"/>
  <c r="V12" i="27"/>
  <c r="U12" i="27"/>
  <c r="B6" i="27"/>
  <c r="A6" i="27" s="1"/>
  <c r="B5" i="27"/>
  <c r="A5" i="27" s="1"/>
  <c r="C5" i="27"/>
  <c r="U4" i="27"/>
  <c r="W4" i="27"/>
  <c r="O7" i="27"/>
  <c r="V6" i="27"/>
  <c r="W6" i="27"/>
  <c r="J7" i="27"/>
  <c r="U6" i="27"/>
  <c r="T9" i="27"/>
  <c r="W5" i="27"/>
  <c r="B8" i="27"/>
  <c r="C8" i="27"/>
  <c r="D8" i="27"/>
  <c r="V4" i="27"/>
  <c r="B7" i="27"/>
  <c r="C9" i="27"/>
  <c r="U5" i="27"/>
  <c r="C7" i="27"/>
  <c r="V5" i="27"/>
  <c r="C5" i="26"/>
  <c r="W4" i="26"/>
  <c r="W5" i="26"/>
  <c r="J6" i="26"/>
  <c r="U5" i="26"/>
  <c r="V5" i="26"/>
  <c r="O6" i="26"/>
  <c r="W6" i="26" s="1"/>
  <c r="C11" i="26"/>
  <c r="C12" i="26" s="1"/>
  <c r="C13" i="26" s="1"/>
  <c r="T8" i="26"/>
  <c r="U4" i="26"/>
  <c r="C6" i="26"/>
  <c r="C7" i="26" s="1"/>
  <c r="C8" i="26" s="1"/>
  <c r="C9" i="26" s="1"/>
  <c r="C10" i="26" s="1"/>
  <c r="D11" i="26"/>
  <c r="V4" i="26"/>
  <c r="D6" i="26"/>
  <c r="D7" i="26" s="1"/>
  <c r="B7" i="26"/>
  <c r="B8" i="26" s="1"/>
  <c r="B9" i="26" s="1"/>
  <c r="D12" i="26"/>
  <c r="D13" i="26" s="1"/>
  <c r="A6" i="26"/>
  <c r="U13" i="25"/>
  <c r="W13" i="25"/>
  <c r="V13" i="25"/>
  <c r="U12" i="25"/>
  <c r="V12" i="25"/>
  <c r="W12" i="25"/>
  <c r="U11" i="25"/>
  <c r="V11" i="25"/>
  <c r="W11" i="25"/>
  <c r="B5" i="25"/>
  <c r="A5" i="25" s="1"/>
  <c r="W4" i="25"/>
  <c r="V4" i="25"/>
  <c r="T7" i="25"/>
  <c r="O8" i="25"/>
  <c r="B7" i="25"/>
  <c r="W5" i="25"/>
  <c r="B8" i="25"/>
  <c r="B9" i="25" s="1"/>
  <c r="C8" i="25"/>
  <c r="B6" i="25"/>
  <c r="A6" i="25" s="1"/>
  <c r="D8" i="25"/>
  <c r="U4" i="25"/>
  <c r="C6" i="25"/>
  <c r="J5" i="25"/>
  <c r="D6" i="25"/>
  <c r="C9" i="25"/>
  <c r="V4" i="24"/>
  <c r="W4" i="24"/>
  <c r="J7" i="24"/>
  <c r="U6" i="24"/>
  <c r="O7" i="24"/>
  <c r="V6" i="24"/>
  <c r="W6" i="24"/>
  <c r="T7" i="24"/>
  <c r="C12" i="24"/>
  <c r="U5" i="24"/>
  <c r="C7" i="24"/>
  <c r="C8" i="24" s="1"/>
  <c r="C9" i="24" s="1"/>
  <c r="B5" i="24"/>
  <c r="A5" i="24" s="1"/>
  <c r="V5" i="24"/>
  <c r="C10" i="24"/>
  <c r="W5" i="24"/>
  <c r="V13" i="23"/>
  <c r="W13" i="23"/>
  <c r="U13" i="23"/>
  <c r="V12" i="23"/>
  <c r="W12" i="23"/>
  <c r="U11" i="23"/>
  <c r="V11" i="23"/>
  <c r="W11" i="23"/>
  <c r="U10" i="23"/>
  <c r="V10" i="23"/>
  <c r="W10" i="23"/>
  <c r="U9" i="23"/>
  <c r="W9" i="23"/>
  <c r="V9" i="23"/>
  <c r="U8" i="23"/>
  <c r="V8" i="23"/>
  <c r="W8" i="23"/>
  <c r="A8" i="23"/>
  <c r="C8" i="23"/>
  <c r="U4" i="23"/>
  <c r="O6" i="23"/>
  <c r="T6" i="23"/>
  <c r="W5" i="23"/>
  <c r="V4" i="23"/>
  <c r="A5" i="23"/>
  <c r="B6" i="23"/>
  <c r="B7" i="23" s="1"/>
  <c r="J5" i="23"/>
  <c r="V5" i="23" s="1"/>
  <c r="C6" i="23"/>
  <c r="C7" i="23" s="1"/>
  <c r="W4" i="23"/>
  <c r="W4" i="22"/>
  <c r="O8" i="22"/>
  <c r="T8" i="22"/>
  <c r="B8" i="22"/>
  <c r="C8" i="22"/>
  <c r="B6" i="22"/>
  <c r="A6" i="22" s="1"/>
  <c r="C11" i="22"/>
  <c r="U4" i="22"/>
  <c r="J5" i="22"/>
  <c r="V4" i="22"/>
  <c r="B7" i="22"/>
  <c r="C12" i="22"/>
  <c r="U12" i="21"/>
  <c r="V12" i="21"/>
  <c r="W12" i="21"/>
  <c r="U11" i="21"/>
  <c r="V11" i="21"/>
  <c r="W11" i="21"/>
  <c r="D10" i="21"/>
  <c r="W4" i="21"/>
  <c r="O6" i="21"/>
  <c r="B6" i="21"/>
  <c r="A6" i="21" s="1"/>
  <c r="D8" i="21"/>
  <c r="U4" i="21"/>
  <c r="T7" i="21"/>
  <c r="J5" i="21"/>
  <c r="C6" i="21"/>
  <c r="V4" i="21"/>
  <c r="C7" i="21"/>
  <c r="C8" i="21" s="1"/>
  <c r="D5" i="20"/>
  <c r="B5" i="20"/>
  <c r="A5" i="20" s="1"/>
  <c r="V4" i="20"/>
  <c r="W4" i="20"/>
  <c r="T7" i="20"/>
  <c r="U5" i="20"/>
  <c r="J6" i="20"/>
  <c r="V6" i="20" s="1"/>
  <c r="O7" i="20"/>
  <c r="V5" i="20"/>
  <c r="C10" i="20"/>
  <c r="C8" i="20"/>
  <c r="B6" i="20"/>
  <c r="C11" i="20"/>
  <c r="C7" i="20"/>
  <c r="W5" i="20"/>
  <c r="U4" i="20"/>
  <c r="C6" i="20"/>
  <c r="W3" i="19"/>
  <c r="V3" i="19"/>
  <c r="U3" i="19"/>
  <c r="A5" i="29" l="1"/>
  <c r="O7" i="29"/>
  <c r="V6" i="29"/>
  <c r="J7" i="29"/>
  <c r="U6" i="29"/>
  <c r="B6" i="29"/>
  <c r="T8" i="29"/>
  <c r="T7" i="28"/>
  <c r="W6" i="28"/>
  <c r="B9" i="28"/>
  <c r="A9" i="28" s="1"/>
  <c r="O7" i="28"/>
  <c r="V6" i="28"/>
  <c r="A8" i="28"/>
  <c r="A7" i="28"/>
  <c r="U6" i="28"/>
  <c r="J7" i="28"/>
  <c r="W7" i="27"/>
  <c r="A7" i="27"/>
  <c r="A8" i="27"/>
  <c r="B9" i="27"/>
  <c r="T10" i="27"/>
  <c r="J8" i="27"/>
  <c r="U7" i="27"/>
  <c r="O8" i="27"/>
  <c r="V7" i="27"/>
  <c r="A7" i="26"/>
  <c r="A8" i="26" s="1"/>
  <c r="A9" i="26" s="1"/>
  <c r="B10" i="26"/>
  <c r="T9" i="26"/>
  <c r="O7" i="26"/>
  <c r="V6" i="26"/>
  <c r="U6" i="26"/>
  <c r="J7" i="26"/>
  <c r="B10" i="25"/>
  <c r="O9" i="25"/>
  <c r="A7" i="25"/>
  <c r="A8" i="25" s="1"/>
  <c r="A9" i="25" s="1"/>
  <c r="J6" i="25"/>
  <c r="U5" i="25"/>
  <c r="V5" i="25"/>
  <c r="T8" i="25"/>
  <c r="O8" i="24"/>
  <c r="V7" i="24"/>
  <c r="T8" i="24"/>
  <c r="W7" i="24"/>
  <c r="J8" i="24"/>
  <c r="U7" i="24"/>
  <c r="B6" i="24"/>
  <c r="A6" i="23"/>
  <c r="J6" i="23"/>
  <c r="U5" i="23"/>
  <c r="T7" i="23"/>
  <c r="A7" i="23"/>
  <c r="O7" i="23"/>
  <c r="J6" i="22"/>
  <c r="U5" i="22"/>
  <c r="V5" i="22"/>
  <c r="W5" i="22"/>
  <c r="T9" i="22"/>
  <c r="B9" i="22"/>
  <c r="A7" i="22"/>
  <c r="A8" i="22" s="1"/>
  <c r="O9" i="22"/>
  <c r="B7" i="21"/>
  <c r="T8" i="21"/>
  <c r="O7" i="21"/>
  <c r="J6" i="21"/>
  <c r="V6" i="21" s="1"/>
  <c r="U5" i="21"/>
  <c r="W5" i="21"/>
  <c r="V5" i="21"/>
  <c r="T8" i="20"/>
  <c r="O8" i="20"/>
  <c r="J7" i="20"/>
  <c r="U6" i="20"/>
  <c r="A6" i="20"/>
  <c r="B7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V10" i="19" s="1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W8" i="19" s="1"/>
  <c r="O8" i="19"/>
  <c r="V8" i="19" s="1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7" i="29" l="1"/>
  <c r="A6" i="29"/>
  <c r="T9" i="29"/>
  <c r="B7" i="29"/>
  <c r="J8" i="29"/>
  <c r="U7" i="29"/>
  <c r="O8" i="29"/>
  <c r="W8" i="29" s="1"/>
  <c r="V7" i="29"/>
  <c r="O8" i="28"/>
  <c r="V7" i="28"/>
  <c r="T8" i="28"/>
  <c r="W7" i="28"/>
  <c r="B10" i="28"/>
  <c r="J8" i="28"/>
  <c r="U7" i="28"/>
  <c r="A9" i="27"/>
  <c r="O9" i="27"/>
  <c r="V8" i="27"/>
  <c r="J9" i="27"/>
  <c r="U8" i="27"/>
  <c r="W8" i="27"/>
  <c r="T11" i="27"/>
  <c r="B10" i="27"/>
  <c r="A10" i="27" s="1"/>
  <c r="T10" i="26"/>
  <c r="V7" i="26"/>
  <c r="O8" i="26"/>
  <c r="B11" i="26"/>
  <c r="J8" i="26"/>
  <c r="U7" i="26"/>
  <c r="W7" i="26"/>
  <c r="A10" i="26"/>
  <c r="A10" i="25"/>
  <c r="O10" i="25"/>
  <c r="T9" i="25"/>
  <c r="J7" i="25"/>
  <c r="U6" i="25"/>
  <c r="W6" i="25"/>
  <c r="V6" i="25"/>
  <c r="O9" i="24"/>
  <c r="V8" i="24"/>
  <c r="B7" i="24"/>
  <c r="A6" i="24"/>
  <c r="J9" i="24"/>
  <c r="U8" i="24"/>
  <c r="T9" i="24"/>
  <c r="W8" i="24"/>
  <c r="U6" i="23"/>
  <c r="J7" i="23"/>
  <c r="U7" i="23" s="1"/>
  <c r="V7" i="23"/>
  <c r="V6" i="23"/>
  <c r="W7" i="23"/>
  <c r="W6" i="23"/>
  <c r="A10" i="22"/>
  <c r="B10" i="22"/>
  <c r="A9" i="22"/>
  <c r="T10" i="22"/>
  <c r="O10" i="22"/>
  <c r="J7" i="22"/>
  <c r="U6" i="22"/>
  <c r="V6" i="22"/>
  <c r="W6" i="22"/>
  <c r="T9" i="21"/>
  <c r="B8" i="21"/>
  <c r="O8" i="21"/>
  <c r="U6" i="21"/>
  <c r="J7" i="21"/>
  <c r="V7" i="21" s="1"/>
  <c r="W6" i="21"/>
  <c r="A7" i="21"/>
  <c r="J8" i="20"/>
  <c r="U7" i="20"/>
  <c r="B8" i="20"/>
  <c r="W8" i="20"/>
  <c r="T9" i="20"/>
  <c r="V7" i="20"/>
  <c r="O9" i="20"/>
  <c r="V8" i="20"/>
  <c r="A7" i="20"/>
  <c r="W7" i="20"/>
  <c r="U11" i="19"/>
  <c r="W11" i="19"/>
  <c r="V11" i="19"/>
  <c r="W10" i="19"/>
  <c r="U10" i="19"/>
  <c r="U9" i="19"/>
  <c r="W9" i="19"/>
  <c r="U8" i="19"/>
  <c r="V7" i="19"/>
  <c r="W7" i="19"/>
  <c r="U6" i="19"/>
  <c r="C6" i="19"/>
  <c r="W4" i="19"/>
  <c r="V6" i="19"/>
  <c r="W6" i="19"/>
  <c r="U4" i="19"/>
  <c r="V4" i="19"/>
  <c r="T5" i="19"/>
  <c r="J5" i="19"/>
  <c r="O5" i="19"/>
  <c r="O9" i="29" l="1"/>
  <c r="V8" i="29"/>
  <c r="T10" i="29"/>
  <c r="J9" i="29"/>
  <c r="U8" i="29"/>
  <c r="B8" i="29"/>
  <c r="A8" i="29" s="1"/>
  <c r="A7" i="29"/>
  <c r="W8" i="28"/>
  <c r="T9" i="28"/>
  <c r="O9" i="28"/>
  <c r="V8" i="28"/>
  <c r="B11" i="28"/>
  <c r="J9" i="28"/>
  <c r="U8" i="28"/>
  <c r="A10" i="28"/>
  <c r="A11" i="28" s="1"/>
  <c r="O10" i="27"/>
  <c r="V9" i="27"/>
  <c r="B11" i="27"/>
  <c r="A11" i="27" s="1"/>
  <c r="J10" i="27"/>
  <c r="U9" i="27"/>
  <c r="W9" i="27"/>
  <c r="U8" i="26"/>
  <c r="J9" i="26"/>
  <c r="W8" i="26"/>
  <c r="B12" i="26"/>
  <c r="O9" i="26"/>
  <c r="V8" i="26"/>
  <c r="A11" i="26"/>
  <c r="T11" i="26"/>
  <c r="T10" i="25"/>
  <c r="J8" i="25"/>
  <c r="U7" i="25"/>
  <c r="V7" i="25"/>
  <c r="W7" i="25"/>
  <c r="J10" i="24"/>
  <c r="U9" i="24"/>
  <c r="W9" i="24"/>
  <c r="T10" i="24"/>
  <c r="B8" i="24"/>
  <c r="A8" i="24" s="1"/>
  <c r="V9" i="24"/>
  <c r="O10" i="24"/>
  <c r="A7" i="24"/>
  <c r="J8" i="22"/>
  <c r="U7" i="22"/>
  <c r="V7" i="22"/>
  <c r="W7" i="22"/>
  <c r="O11" i="22"/>
  <c r="T11" i="22"/>
  <c r="B11" i="22"/>
  <c r="A11" i="22" s="1"/>
  <c r="T10" i="21"/>
  <c r="J8" i="21"/>
  <c r="V8" i="21" s="1"/>
  <c r="U7" i="21"/>
  <c r="W7" i="21"/>
  <c r="B9" i="21"/>
  <c r="O9" i="21"/>
  <c r="A8" i="21"/>
  <c r="B9" i="20"/>
  <c r="J9" i="20"/>
  <c r="U8" i="20"/>
  <c r="O10" i="20"/>
  <c r="A8" i="20"/>
  <c r="T10" i="20"/>
  <c r="V5" i="19"/>
  <c r="U5" i="19"/>
  <c r="W5" i="19"/>
  <c r="O10" i="29" l="1"/>
  <c r="V9" i="29"/>
  <c r="B9" i="29"/>
  <c r="J10" i="29"/>
  <c r="U9" i="29"/>
  <c r="W9" i="29"/>
  <c r="T11" i="29"/>
  <c r="W10" i="29"/>
  <c r="J10" i="28"/>
  <c r="U9" i="28"/>
  <c r="B12" i="28"/>
  <c r="A12" i="28"/>
  <c r="O10" i="28"/>
  <c r="V9" i="28"/>
  <c r="T10" i="28"/>
  <c r="W9" i="28"/>
  <c r="O11" i="27"/>
  <c r="V10" i="27"/>
  <c r="J11" i="27"/>
  <c r="U10" i="27"/>
  <c r="W10" i="27"/>
  <c r="A12" i="26"/>
  <c r="O10" i="26"/>
  <c r="V9" i="26"/>
  <c r="T12" i="26"/>
  <c r="B13" i="26"/>
  <c r="A13" i="26" s="1"/>
  <c r="J10" i="26"/>
  <c r="U9" i="26"/>
  <c r="W9" i="26"/>
  <c r="U8" i="25"/>
  <c r="J9" i="25"/>
  <c r="V8" i="25"/>
  <c r="W8" i="25"/>
  <c r="V10" i="24"/>
  <c r="O11" i="24"/>
  <c r="B9" i="24"/>
  <c r="A9" i="24"/>
  <c r="T11" i="24"/>
  <c r="W10" i="24"/>
  <c r="J11" i="24"/>
  <c r="U10" i="24"/>
  <c r="J9" i="22"/>
  <c r="U8" i="22"/>
  <c r="V8" i="22"/>
  <c r="W8" i="22"/>
  <c r="T12" i="22"/>
  <c r="O12" i="22"/>
  <c r="B12" i="22"/>
  <c r="A12" i="22" s="1"/>
  <c r="J9" i="21"/>
  <c r="U8" i="21"/>
  <c r="W8" i="21"/>
  <c r="O10" i="21"/>
  <c r="V9" i="21"/>
  <c r="B10" i="21"/>
  <c r="A10" i="21" s="1"/>
  <c r="A9" i="21"/>
  <c r="O11" i="20"/>
  <c r="J10" i="20"/>
  <c r="U9" i="20"/>
  <c r="B10" i="20"/>
  <c r="A10" i="20" s="1"/>
  <c r="W9" i="20"/>
  <c r="A9" i="20"/>
  <c r="T11" i="20"/>
  <c r="W10" i="20"/>
  <c r="V9" i="20"/>
  <c r="O11" i="29" l="1"/>
  <c r="V10" i="29"/>
  <c r="T12" i="29"/>
  <c r="J11" i="29"/>
  <c r="U10" i="29"/>
  <c r="B10" i="29"/>
  <c r="A9" i="29"/>
  <c r="T11" i="28"/>
  <c r="W10" i="28"/>
  <c r="O11" i="28"/>
  <c r="V10" i="28"/>
  <c r="J11" i="28"/>
  <c r="U10" i="28"/>
  <c r="U11" i="27"/>
  <c r="W11" i="27"/>
  <c r="V11" i="27"/>
  <c r="J11" i="26"/>
  <c r="U10" i="26"/>
  <c r="W10" i="26"/>
  <c r="T13" i="26"/>
  <c r="O11" i="26"/>
  <c r="V10" i="26"/>
  <c r="J10" i="25"/>
  <c r="U9" i="25"/>
  <c r="V9" i="25"/>
  <c r="W9" i="25"/>
  <c r="T12" i="24"/>
  <c r="W11" i="24"/>
  <c r="J12" i="24"/>
  <c r="U11" i="24"/>
  <c r="B10" i="24"/>
  <c r="O12" i="24"/>
  <c r="V11" i="24"/>
  <c r="J10" i="22"/>
  <c r="U9" i="22"/>
  <c r="W9" i="22"/>
  <c r="V9" i="22"/>
  <c r="J10" i="21"/>
  <c r="U9" i="21"/>
  <c r="W9" i="21"/>
  <c r="J11" i="20"/>
  <c r="U10" i="20"/>
  <c r="V10" i="20"/>
  <c r="B11" i="20"/>
  <c r="A11" i="20" s="1"/>
  <c r="A10" i="29" l="1"/>
  <c r="B11" i="29"/>
  <c r="O12" i="29"/>
  <c r="V12" i="29" s="1"/>
  <c r="V11" i="29"/>
  <c r="J12" i="29"/>
  <c r="U12" i="29" s="1"/>
  <c r="U11" i="29"/>
  <c r="W11" i="29"/>
  <c r="W12" i="29"/>
  <c r="J12" i="28"/>
  <c r="U11" i="28"/>
  <c r="O12" i="28"/>
  <c r="V11" i="28"/>
  <c r="T12" i="28"/>
  <c r="W11" i="28"/>
  <c r="V11" i="26"/>
  <c r="O12" i="26"/>
  <c r="U11" i="26"/>
  <c r="J12" i="26"/>
  <c r="W11" i="26"/>
  <c r="U10" i="25"/>
  <c r="V10" i="25"/>
  <c r="W10" i="25"/>
  <c r="B11" i="24"/>
  <c r="T13" i="24"/>
  <c r="W12" i="24"/>
  <c r="O13" i="24"/>
  <c r="V12" i="24"/>
  <c r="A10" i="24"/>
  <c r="U12" i="24"/>
  <c r="J13" i="24"/>
  <c r="U13" i="24" s="1"/>
  <c r="J11" i="22"/>
  <c r="U10" i="22"/>
  <c r="W10" i="22"/>
  <c r="V10" i="22"/>
  <c r="U10" i="21"/>
  <c r="W10" i="21"/>
  <c r="V10" i="21"/>
  <c r="U11" i="20"/>
  <c r="W11" i="20"/>
  <c r="V11" i="20"/>
  <c r="B12" i="29" l="1"/>
  <c r="A12" i="29" s="1"/>
  <c r="A11" i="29"/>
  <c r="V12" i="28"/>
  <c r="W12" i="28"/>
  <c r="U12" i="28"/>
  <c r="O13" i="26"/>
  <c r="V12" i="26"/>
  <c r="J13" i="26"/>
  <c r="U12" i="26"/>
  <c r="W12" i="26"/>
  <c r="V13" i="24"/>
  <c r="A12" i="24"/>
  <c r="B12" i="24"/>
  <c r="W13" i="24"/>
  <c r="A11" i="24"/>
  <c r="J12" i="22"/>
  <c r="U11" i="22"/>
  <c r="W11" i="22"/>
  <c r="V11" i="22"/>
  <c r="U13" i="26" l="1"/>
  <c r="W13" i="26"/>
  <c r="V13" i="26"/>
  <c r="B13" i="24"/>
  <c r="A13" i="24" s="1"/>
  <c r="U12" i="22"/>
  <c r="W12" i="22"/>
  <c r="V12" i="22"/>
</calcChain>
</file>

<file path=xl/sharedStrings.xml><?xml version="1.0" encoding="utf-8"?>
<sst xmlns="http://schemas.openxmlformats.org/spreadsheetml/2006/main" count="1566" uniqueCount="209">
  <si>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</si>
  <si>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</si>
  <si>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</si>
  <si>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</si>
  <si>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</si>
  <si>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</si>
  <si>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</si>
  <si>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</si>
  <si>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</si>
  <si>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</si>
  <si>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</si>
  <si>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</si>
  <si>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</si>
  <si>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</si>
  <si>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</si>
  <si>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</si>
  <si>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</si>
  <si>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</si>
  <si>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</si>
  <si>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</si>
  <si>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</si>
  <si>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</si>
  <si>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</si>
  <si>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</si>
  <si>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</si>
  <si>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</si>
  <si>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</si>
  <si>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</si>
  <si>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</si>
  <si>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</si>
  <si>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</si>
  <si>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</si>
  <si>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</si>
  <si>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</si>
  <si>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</si>
  <si>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</si>
  <si>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</si>
  <si>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</si>
  <si>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</si>
  <si>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</si>
  <si>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</si>
  <si>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</si>
  <si>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</si>
  <si>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</si>
  <si>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</si>
  <si>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</si>
  <si>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</si>
  <si>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</si>
  <si>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</si>
  <si>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</si>
  <si>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</si>
  <si>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</si>
  <si>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</si>
  <si>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</si>
  <si>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</si>
  <si>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</si>
  <si>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</si>
  <si>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</si>
  <si>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</si>
  <si>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</si>
  <si>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</si>
  <si>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</si>
  <si>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</si>
  <si>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</si>
  <si>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</si>
  <si>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</si>
  <si>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</si>
  <si>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</si>
  <si>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</si>
  <si>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</si>
  <si>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</si>
  <si>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</si>
  <si>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</si>
  <si>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</si>
  <si>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</si>
  <si>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</si>
  <si>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</si>
  <si>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</si>
  <si>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</si>
  <si>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</si>
  <si>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</si>
  <si>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</si>
  <si>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</si>
  <si>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</si>
  <si>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</si>
  <si>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</si>
  <si>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</si>
  <si>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</si>
  <si>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</si>
  <si>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</si>
  <si>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</si>
  <si>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</si>
  <si>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</si>
  <si>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</si>
  <si>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</si>
  <si>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</si>
  <si>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</si>
  <si>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</si>
  <si>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</si>
  <si>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</si>
  <si>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</si>
  <si>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</si>
  <si>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</si>
  <si>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</si>
  <si>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</si>
  <si>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</si>
  <si>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</si>
  <si>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</si>
  <si>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</si>
  <si>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</si>
  <si>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</si>
  <si>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</si>
  <si>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</si>
  <si>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</si>
  <si>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</si>
  <si>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</si>
  <si>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</si>
  <si>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</si>
  <si>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</si>
  <si>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</si>
  <si>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</si>
  <si>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</si>
  <si>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</si>
  <si>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</si>
  <si>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</si>
  <si>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</si>
  <si>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</si>
  <si>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</si>
  <si>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</si>
  <si>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</si>
  <si>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</si>
  <si>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</si>
  <si>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</si>
  <si>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</si>
  <si>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</si>
  <si>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</si>
  <si>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</si>
  <si>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</si>
  <si>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</si>
  <si>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</si>
  <si>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</si>
  <si>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</si>
  <si>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</si>
  <si>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</si>
  <si>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</si>
  <si>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</si>
  <si>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</si>
  <si>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</si>
  <si>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</si>
  <si>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</si>
  <si>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</si>
  <si>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</si>
  <si>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</si>
  <si>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</si>
  <si>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</si>
  <si>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</si>
  <si>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</si>
  <si>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</si>
  <si>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</si>
  <si>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</si>
  <si>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</si>
  <si>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</si>
  <si>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</si>
  <si>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</si>
  <si>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</si>
  <si>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</si>
  <si>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</si>
  <si>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</si>
  <si>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</si>
  <si>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</si>
  <si>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</si>
  <si>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</si>
  <si>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</si>
  <si>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</si>
  <si>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</si>
  <si>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</si>
  <si>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</si>
  <si>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</si>
  <si>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</si>
  <si>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</si>
  <si>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</si>
  <si>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</si>
  <si>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</si>
  <si>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</si>
  <si>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</si>
  <si>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</si>
  <si>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</si>
  <si>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</si>
  <si>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</si>
  <si>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</si>
  <si>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</si>
  <si>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</si>
  <si>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だいち</t>
    <phoneticPr fontId="1"/>
  </si>
  <si>
    <t>ただ</t>
    <phoneticPr fontId="1"/>
  </si>
  <si>
    <t>ぱぱ</t>
  </si>
  <si>
    <t>ぱぱ</t>
    <phoneticPr fontId="1"/>
  </si>
  <si>
    <t>N</t>
  </si>
  <si>
    <t>T</t>
  </si>
  <si>
    <t>流局</t>
    <phoneticPr fontId="1"/>
  </si>
  <si>
    <t>ツモ支払</t>
  </si>
  <si>
    <t>ツモ</t>
  </si>
  <si>
    <t>放銃</t>
  </si>
  <si>
    <t>ロン</t>
  </si>
  <si>
    <t>01</t>
  </si>
  <si>
    <t>52</t>
  </si>
  <si>
    <t>02</t>
  </si>
  <si>
    <t>*</t>
  </si>
  <si>
    <t>れんたろう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</si>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</sst>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ぱぱ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198</v>
      </c>
      <c r="G4" s="9">
        <v>-1500</v>
      </c>
      <c r="H4" s="9"/>
      <c r="I4" s="48"/>
      <c r="J4" s="21">
        <f>IF(COUNTA($F4,$K4,$P4)&gt;0,J3+SUM(G4:I4),"")</f>
        <v>33500</v>
      </c>
      <c r="K4" s="8" t="s">
        <v>198</v>
      </c>
      <c r="L4" s="9">
        <v>-1500</v>
      </c>
      <c r="M4" s="9"/>
      <c r="N4" s="48"/>
      <c r="O4" s="21">
        <f>IF(COUNTA($F4,$K4,$P4)&gt;0,O3+SUM(L4:N4),"")</f>
        <v>33500</v>
      </c>
      <c r="P4" s="8" t="s">
        <v>198</v>
      </c>
      <c r="Q4" s="9">
        <v>3000</v>
      </c>
      <c r="R4" s="9"/>
      <c r="S4" s="48"/>
      <c r="T4" s="21">
        <f>IF(COUNTA($F4,$K4,$P4)&gt;0,T3+SUM(Q4:S4),"")</f>
        <v>38000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23</v>
      </c>
      <c r="Y4" s="8" t="s">
        <v>196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196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ぱぱ</v>
      </c>
      <c r="F5" s="8" t="s">
        <v>199</v>
      </c>
      <c r="G5" s="9">
        <v>-500</v>
      </c>
      <c r="H5" s="9"/>
      <c r="I5" s="48">
        <v>-500</v>
      </c>
      <c r="J5" s="21">
        <f t="shared" ref="J5:J30" si="2">IF(COUNTA($F5,$K5,$P5)&gt;0,J4+SUM(G5:I5),"")</f>
        <v>32500</v>
      </c>
      <c r="K5" s="8" t="s">
        <v>200</v>
      </c>
      <c r="L5" s="9">
        <v>1200</v>
      </c>
      <c r="M5" s="9"/>
      <c r="N5" s="48">
        <v>1000</v>
      </c>
      <c r="O5" s="21">
        <f t="shared" ref="O5:O30" si="3">IF(COUNTA($F5,$K5,$P5)&gt;0,O4+SUM(L5:N5),"")</f>
        <v>35700</v>
      </c>
      <c r="P5" s="8" t="s">
        <v>199</v>
      </c>
      <c r="Q5" s="9">
        <v>-700</v>
      </c>
      <c r="R5" s="9"/>
      <c r="S5" s="48">
        <v>-500</v>
      </c>
      <c r="T5" s="21">
        <f t="shared" ref="T5:T30" si="4">IF(COUNTA($F5,$K5,$P5)&gt;0,T4+SUM(Q5:S5),"")</f>
        <v>36800</v>
      </c>
      <c r="U5" s="53">
        <f>IF($J5="","",ROUND(($J5-$J$3)/1000,1)+(_xlfn.RANK.AVG($J5,($J5,$O5,$T5),1)-2)*20)</f>
        <v>-22.5</v>
      </c>
      <c r="V5" s="54">
        <f>IF($O5="","",ROUND(($O5-$O$3)/1000,1)+(_xlfn.RANK.AVG($O5,($J5,$O5,$T5),1)-2)*20)</f>
        <v>0.7</v>
      </c>
      <c r="W5" s="55">
        <f>IF($T5="","",ROUND(($T5-$T$3)/1000,1)+(_xlfn.RANK.AVG($T5,($J5,$O5,$T5),1)-2)*20)</f>
        <v>21.8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1</v>
      </c>
      <c r="AY5" s="30">
        <v>30</v>
      </c>
      <c r="AZ5" s="40" t="s">
        <v>82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/>
      <c r="G6" s="9"/>
      <c r="H6" s="9"/>
      <c r="I6" s="48"/>
      <c r="J6" s="21">
        <f t="shared" si="2"/>
        <v>32500</v>
      </c>
      <c r="K6" s="8" t="s">
        <v>201</v>
      </c>
      <c r="L6" s="9">
        <v>-2600</v>
      </c>
      <c r="M6" s="9"/>
      <c r="N6" s="48">
        <v>0</v>
      </c>
      <c r="O6" s="21">
        <f t="shared" si="3"/>
        <v>33100</v>
      </c>
      <c r="P6" s="8" t="s">
        <v>202</v>
      </c>
      <c r="Q6" s="9">
        <v>2600</v>
      </c>
      <c r="R6" s="9"/>
      <c r="S6" s="48">
        <v>0</v>
      </c>
      <c r="T6" s="21">
        <f t="shared" si="4"/>
        <v>39400</v>
      </c>
      <c r="U6" s="53">
        <f>IF($J6="","",ROUND(($J6-$J$3)/1000,1)+(_xlfn.RANK.AVG($J6,($J6,$O6,$T6),1)-2)*20)</f>
        <v>-22.5</v>
      </c>
      <c r="V6" s="54">
        <f>IF($O6="","",ROUND(($O6-$O$3)/1000,1)+(_xlfn.RANK.AVG($O6,($J6,$O6,$T6),1)-2)*20)</f>
        <v>-1.9</v>
      </c>
      <c r="W6" s="55">
        <f>IF($T6="","",ROUND(($T6-$T$3)/1000,1)+(_xlfn.RANK.AVG($T6,($J6,$O6,$T6),1)-2)*20)</f>
        <v>24.4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203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ただ</v>
      </c>
      <c r="F7" s="8" t="s">
        <v>201</v>
      </c>
      <c r="G7" s="9">
        <v>-8000</v>
      </c>
      <c r="H7" s="9"/>
      <c r="I7" s="48">
        <v>0</v>
      </c>
      <c r="J7" s="21">
        <f t="shared" si="2"/>
        <v>24500</v>
      </c>
      <c r="K7" s="8"/>
      <c r="L7" s="9"/>
      <c r="M7" s="9"/>
      <c r="N7" s="48"/>
      <c r="O7" s="21">
        <f t="shared" si="3"/>
        <v>33100</v>
      </c>
      <c r="P7" s="8" t="s">
        <v>202</v>
      </c>
      <c r="Q7" s="9">
        <v>8000</v>
      </c>
      <c r="R7" s="9"/>
      <c r="S7" s="48">
        <v>0</v>
      </c>
      <c r="T7" s="21">
        <f t="shared" si="4"/>
        <v>47400</v>
      </c>
      <c r="U7" s="53">
        <f>IF($J7="","",ROUND(($J7-$J$3)/1000,1)+(_xlfn.RANK.AVG($J7,($J7,$O7,$T7),1)-2)*20)</f>
        <v>-30.5</v>
      </c>
      <c r="V7" s="54">
        <f>IF($O7="","",ROUND(($O7-$O$3)/1000,1)+(_xlfn.RANK.AVG($O7,($J7,$O7,$T7),1)-2)*20)</f>
        <v>-1.9</v>
      </c>
      <c r="W7" s="55">
        <f>IF($T7="","",ROUND(($T7-$T$3)/1000,1)+(_xlfn.RANK.AVG($T7,($J7,$O7,$T7),1)-2)*20)</f>
        <v>32.4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40</v>
      </c>
      <c r="BU7" s="40" t="s">
        <v>84</v>
      </c>
      <c r="BV7" s="41" t="s">
        <v>79</v>
      </c>
      <c r="BW7" s="41" t="s">
        <v>79</v>
      </c>
      <c r="BX7" s="41" t="s">
        <v>204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ぱぱ</v>
      </c>
      <c r="F8" s="8" t="s">
        <v>202</v>
      </c>
      <c r="G8" s="9">
        <v>3900</v>
      </c>
      <c r="H8" s="9">
        <v>1000</v>
      </c>
      <c r="I8" s="48">
        <v>0</v>
      </c>
      <c r="J8" s="21">
        <f t="shared" si="2"/>
        <v>29400</v>
      </c>
      <c r="K8" s="8" t="s">
        <v>201</v>
      </c>
      <c r="L8" s="9">
        <v>-3900</v>
      </c>
      <c r="M8" s="9">
        <v>-1000</v>
      </c>
      <c r="N8" s="48">
        <v>0</v>
      </c>
      <c r="O8" s="21">
        <f t="shared" si="3"/>
        <v>28200</v>
      </c>
      <c r="P8" s="8"/>
      <c r="Q8" s="9"/>
      <c r="R8" s="9"/>
      <c r="S8" s="48"/>
      <c r="T8" s="21">
        <f t="shared" si="4"/>
        <v>47400</v>
      </c>
      <c r="U8" s="53">
        <f>IF($J8="","",ROUND(($J8-$J$3)/1000,1)+(_xlfn.RANK.AVG($J8,($J8,$O8,$T8),1)-2)*20)</f>
        <v>-5.6</v>
      </c>
      <c r="V8" s="54">
        <f>IF($O8="","",ROUND(($O8-$O$3)/1000,1)+(_xlfn.RANK.AVG($O8,($J8,$O8,$T8),1)-2)*20)</f>
        <v>-26.8</v>
      </c>
      <c r="W8" s="55">
        <f>IF($T8="","",ROUND(($T8-$T$3)/1000,1)+(_xlfn.RANK.AVG($T8,($J8,$O8,$T8),1)-2)*20)</f>
        <v>32.4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203</v>
      </c>
      <c r="AF8" s="41" t="s">
        <v>79</v>
      </c>
      <c r="AG8" s="41" t="s">
        <v>83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/>
      <c r="G9" s="9"/>
      <c r="H9" s="9"/>
      <c r="I9" s="48"/>
      <c r="J9" s="21">
        <f t="shared" si="2"/>
        <v>29400</v>
      </c>
      <c r="K9" s="8" t="s">
        <v>201</v>
      </c>
      <c r="L9" s="9">
        <v>-5200</v>
      </c>
      <c r="M9" s="9"/>
      <c r="N9" s="48">
        <v>0</v>
      </c>
      <c r="O9" s="21">
        <f t="shared" si="3"/>
        <v>23000</v>
      </c>
      <c r="P9" s="8" t="s">
        <v>202</v>
      </c>
      <c r="Q9" s="9">
        <v>5200</v>
      </c>
      <c r="R9" s="9"/>
      <c r="S9" s="48">
        <v>0</v>
      </c>
      <c r="T9" s="21">
        <f t="shared" si="4"/>
        <v>52600</v>
      </c>
      <c r="U9" s="53">
        <f>IF($J9="","",ROUND(($J9-$J$3)/1000,1)+(_xlfn.RANK.AVG($J9,($J9,$O9,$T9),1)-2)*20)</f>
        <v>-5.6</v>
      </c>
      <c r="V9" s="54">
        <f>IF($O9="","",ROUND(($O9-$O$3)/1000,1)+(_xlfn.RANK.AVG($O9,($J9,$O9,$T9),1)-2)*20)</f>
        <v>-32</v>
      </c>
      <c r="W9" s="55">
        <f>IF($T9="","",ROUND(($T9-$T$3)/1000,1)+(_xlfn.RANK.AVG($T9,($J9,$O9,$T9),1)-2)*20)</f>
        <v>37.6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203</v>
      </c>
      <c r="BV9" s="41" t="s">
        <v>80</v>
      </c>
      <c r="BW9" s="41" t="s">
        <v>205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199</v>
      </c>
      <c r="G10" s="9">
        <v>-5800</v>
      </c>
      <c r="H10" s="9"/>
      <c r="I10" s="48">
        <v>0</v>
      </c>
      <c r="J10" s="21">
        <f t="shared" si="2"/>
        <v>23600</v>
      </c>
      <c r="K10" s="8" t="s">
        <v>200</v>
      </c>
      <c r="L10" s="9">
        <v>11600</v>
      </c>
      <c r="M10" s="9"/>
      <c r="N10" s="48">
        <v>0</v>
      </c>
      <c r="O10" s="21">
        <f t="shared" si="3"/>
        <v>34600</v>
      </c>
      <c r="P10" s="8" t="s">
        <v>199</v>
      </c>
      <c r="Q10" s="9">
        <v>-5800</v>
      </c>
      <c r="R10" s="9"/>
      <c r="S10" s="48">
        <v>0</v>
      </c>
      <c r="T10" s="21">
        <f t="shared" si="4"/>
        <v>46800</v>
      </c>
      <c r="U10" s="53">
        <f>IF($J10="","",ROUND(($J10-$J$3)/1000,1)+(_xlfn.RANK.AVG($J10,($J10,$O10,$T10),1)-2)*20)</f>
        <v>-31.4</v>
      </c>
      <c r="V10" s="54">
        <f>IF($O10="","",ROUND(($O10-$O$3)/1000,1)+(_xlfn.RANK.AVG($O10,($J10,$O10,$T10),1)-2)*20)</f>
        <v>-0.4</v>
      </c>
      <c r="W10" s="55">
        <f>IF($T10="","",ROUND(($T10-$T$3)/1000,1)+(_xlfn.RANK.AVG($T10,($J10,$O10,$T10),1)-2)*20)</f>
        <v>31.8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30</v>
      </c>
      <c r="AZ10" s="40" t="s">
        <v>203</v>
      </c>
      <c r="BA10" s="41" t="s">
        <v>82</v>
      </c>
      <c r="BB10" s="41" t="s">
        <v>204</v>
      </c>
      <c r="BC10" s="41" t="s">
        <v>80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IF($K$1="","",$K$1)</f>
        <v>ただ</v>
      </c>
      <c r="F11" s="8"/>
      <c r="G11" s="9"/>
      <c r="H11" s="9"/>
      <c r="I11" s="48"/>
      <c r="J11" s="21">
        <f t="shared" si="2"/>
        <v>23600</v>
      </c>
      <c r="K11" s="8" t="s">
        <v>202</v>
      </c>
      <c r="L11" s="9">
        <v>7700</v>
      </c>
      <c r="M11" s="9"/>
      <c r="N11" s="48">
        <v>1000</v>
      </c>
      <c r="O11" s="21">
        <f t="shared" si="3"/>
        <v>43300</v>
      </c>
      <c r="P11" s="8" t="s">
        <v>201</v>
      </c>
      <c r="Q11" s="9">
        <v>-7700</v>
      </c>
      <c r="R11" s="9"/>
      <c r="S11" s="48">
        <v>-1000</v>
      </c>
      <c r="T11" s="21">
        <f t="shared" si="4"/>
        <v>38100</v>
      </c>
      <c r="U11" s="53">
        <f>IF($J11="","",ROUND(($J11-$J$3)/1000,1)+(_xlfn.RANK.AVG($J11,($J11,$O11,$T11),1)-2)*20)</f>
        <v>-31.4</v>
      </c>
      <c r="V11" s="54">
        <f>IF($O11="","",ROUND(($O11-$O$3)/1000,1)+(_xlfn.RANK.AVG($O11,($J11,$O11,$T11),1)-2)*20)</f>
        <v>28.3</v>
      </c>
      <c r="W11" s="55">
        <f>IF($T11="","",ROUND(($T11-$T$3)/1000,1)+(_xlfn.RANK.AVG($T11,($J11,$O11,$T11),1)-2)*20)</f>
        <v>3.1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40</v>
      </c>
      <c r="AZ11" s="40" t="s">
        <v>203</v>
      </c>
      <c r="BA11" s="41" t="s">
        <v>86</v>
      </c>
      <c r="BB11" s="41" t="s">
        <v>80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0EB9463-2422-4217-AEA2-9FA968BB535A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6F107-B481-429C-B485-6A60106C566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200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199</v>
      </c>
      <c r="L4" s="9">
        <v>-5000</v>
      </c>
      <c r="M4" s="9"/>
      <c r="N4" s="48">
        <v>0</v>
      </c>
      <c r="O4" s="21">
        <f>IF(COUNTA($F4,$K4,$P4)&gt;0,O3+SUM(L4:N4),"")</f>
        <v>30000</v>
      </c>
      <c r="P4" s="8" t="s">
        <v>199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-25</v>
      </c>
      <c r="W4" s="55">
        <f>IF($T4="","",ROUND(($T4-$T$3)/1000,1)+(_xlfn.RANK.AVG($T4,($J4,$O4,$T4),1)-2)*20)</f>
        <v>-3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203</v>
      </c>
      <c r="AF4" s="41" t="s">
        <v>82</v>
      </c>
      <c r="AG4" s="41" t="s">
        <v>204</v>
      </c>
      <c r="AH4" s="41" t="s">
        <v>204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ぱぱ</v>
      </c>
      <c r="F5" s="8" t="s">
        <v>198</v>
      </c>
      <c r="G5" s="9">
        <v>1500</v>
      </c>
      <c r="H5" s="9"/>
      <c r="I5" s="48"/>
      <c r="J5" s="21">
        <f t="shared" ref="J5:J30" si="2">IF(COUNTA($F5,$K5,$P5)&gt;0,J4+SUM(G5:I5),"")</f>
        <v>44500</v>
      </c>
      <c r="K5" s="8" t="s">
        <v>198</v>
      </c>
      <c r="L5" s="9">
        <v>1500</v>
      </c>
      <c r="M5" s="9">
        <v>-1000</v>
      </c>
      <c r="N5" s="48"/>
      <c r="O5" s="21">
        <f t="shared" ref="O5:O30" si="3">IF(COUNTA($F5,$K5,$P5)&gt;0,O4+SUM(L5:N5),"")</f>
        <v>30500</v>
      </c>
      <c r="P5" s="8" t="s">
        <v>198</v>
      </c>
      <c r="Q5" s="9">
        <v>-3000</v>
      </c>
      <c r="R5" s="9"/>
      <c r="S5" s="48"/>
      <c r="T5" s="21">
        <f t="shared" ref="T5:T30" si="4">IF(COUNTA($F5,$K5,$P5)&gt;0,T4+SUM(Q5:S5),"")</f>
        <v>29000</v>
      </c>
      <c r="U5" s="53">
        <f>IF($J5="","",ROUND(($J5-$J$3)/1000,1)+(_xlfn.RANK.AVG($J5,($J5,$O5,$T5),1)-2)*20)</f>
        <v>29.5</v>
      </c>
      <c r="V5" s="54">
        <f>IF($O5="","",ROUND(($O5-$O$3)/1000,1)+(_xlfn.RANK.AVG($O5,($J5,$O5,$T5),1)-2)*20)</f>
        <v>-4.5</v>
      </c>
      <c r="W5" s="55">
        <f>IF($T5="","",ROUND(($T5-$T$3)/1000,1)+(_xlfn.RANK.AVG($T5,($J5,$O5,$T5),1)-2)*20)</f>
        <v>-26</v>
      </c>
      <c r="Y5" s="8" t="s">
        <v>197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196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IF($F$1="","",$F$1)</f>
        <v>だいち</v>
      </c>
      <c r="F6" s="8" t="s">
        <v>202</v>
      </c>
      <c r="G6" s="9">
        <v>5800</v>
      </c>
      <c r="H6" s="9">
        <v>1000</v>
      </c>
      <c r="I6" s="48">
        <v>1000</v>
      </c>
      <c r="J6" s="21">
        <f t="shared" si="2"/>
        <v>52300</v>
      </c>
      <c r="K6" s="8"/>
      <c r="L6" s="9"/>
      <c r="M6" s="9"/>
      <c r="N6" s="48"/>
      <c r="O6" s="21">
        <f t="shared" si="3"/>
        <v>30500</v>
      </c>
      <c r="P6" s="8" t="s">
        <v>201</v>
      </c>
      <c r="Q6" s="9">
        <v>-5800</v>
      </c>
      <c r="R6" s="9"/>
      <c r="S6" s="48">
        <v>-1000</v>
      </c>
      <c r="T6" s="21">
        <f t="shared" si="4"/>
        <v>22200</v>
      </c>
      <c r="U6" s="53">
        <f>IF($J6="","",ROUND(($J6-$J$3)/1000,1)+(_xlfn.RANK.AVG($J6,($J6,$O6,$T6),1)-2)*20)</f>
        <v>37.299999999999997</v>
      </c>
      <c r="V6" s="54">
        <f>IF($O6="","",ROUND(($O6-$O$3)/1000,1)+(_xlfn.RANK.AVG($O6,($J6,$O6,$T6),1)-2)*20)</f>
        <v>-4.5</v>
      </c>
      <c r="W6" s="55">
        <f>IF($T6="","",ROUND(($T6-$T$3)/1000,1)+(_xlfn.RANK.AVG($T6,($J6,$O6,$T6),1)-2)*20)</f>
        <v>-32.799999999999997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104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0</v>
      </c>
      <c r="E7" s="4" t="str">
        <f>IF($F$1="","",$F$1)</f>
        <v>だいち</v>
      </c>
      <c r="F7" s="8" t="s">
        <v>198</v>
      </c>
      <c r="G7" s="9">
        <v>-1500</v>
      </c>
      <c r="H7" s="9"/>
      <c r="I7" s="48"/>
      <c r="J7" s="21">
        <f t="shared" si="2"/>
        <v>50800</v>
      </c>
      <c r="K7" s="8" t="s">
        <v>198</v>
      </c>
      <c r="L7" s="9">
        <v>-1500</v>
      </c>
      <c r="M7" s="9"/>
      <c r="N7" s="48"/>
      <c r="O7" s="21">
        <f t="shared" si="3"/>
        <v>29000</v>
      </c>
      <c r="P7" s="8" t="s">
        <v>198</v>
      </c>
      <c r="Q7" s="9">
        <v>3000</v>
      </c>
      <c r="R7" s="9"/>
      <c r="S7" s="48"/>
      <c r="T7" s="21">
        <f t="shared" si="4"/>
        <v>25200</v>
      </c>
      <c r="U7" s="53">
        <f>IF($J7="","",ROUND(($J7-$J$3)/1000,1)+(_xlfn.RANK.AVG($J7,($J7,$O7,$T7),1)-2)*20)</f>
        <v>35.799999999999997</v>
      </c>
      <c r="V7" s="54">
        <f>IF($O7="","",ROUND(($O7-$O$3)/1000,1)+(_xlfn.RANK.AVG($O7,($J7,$O7,$T7),1)-2)*20)</f>
        <v>-6</v>
      </c>
      <c r="W7" s="55">
        <f>IF($T7="","",ROUND(($T7-$T$3)/1000,1)+(_xlfn.RANK.AVG($T7,($J7,$O7,$T7),1)-2)*20)</f>
        <v>-29.8</v>
      </c>
      <c r="Y7" s="8" t="s">
        <v>196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196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3</v>
      </c>
      <c r="D8" s="18">
        <f t="shared" si="1"/>
        <v>0</v>
      </c>
      <c r="E8" s="4" t="str">
        <f>IF($K$1="","",$K$1)</f>
        <v>ただ</v>
      </c>
      <c r="F8" s="8" t="s">
        <v>202</v>
      </c>
      <c r="G8" s="9">
        <v>2600</v>
      </c>
      <c r="H8" s="9"/>
      <c r="I8" s="48">
        <v>3000</v>
      </c>
      <c r="J8" s="21">
        <f t="shared" si="2"/>
        <v>56400</v>
      </c>
      <c r="K8" s="8"/>
      <c r="L8" s="9"/>
      <c r="M8" s="9"/>
      <c r="N8" s="48"/>
      <c r="O8" s="21">
        <f t="shared" si="3"/>
        <v>29000</v>
      </c>
      <c r="P8" s="8" t="s">
        <v>201</v>
      </c>
      <c r="Q8" s="9">
        <v>-2600</v>
      </c>
      <c r="R8" s="9"/>
      <c r="S8" s="48">
        <v>-3000</v>
      </c>
      <c r="T8" s="21">
        <f t="shared" si="4"/>
        <v>19600</v>
      </c>
      <c r="U8" s="53">
        <f>IF($J8="","",ROUND(($J8-$J$3)/1000,1)+(_xlfn.RANK.AVG($J8,($J8,$O8,$T8),1)-2)*20)</f>
        <v>41.4</v>
      </c>
      <c r="V8" s="54">
        <f>IF($O8="","",ROUND(($O8-$O$3)/1000,1)+(_xlfn.RANK.AVG($O8,($J8,$O8,$T8),1)-2)*20)</f>
        <v>-6</v>
      </c>
      <c r="W8" s="55">
        <f>IF($T8="","",ROUND(($T8-$T$3)/1000,1)+(_xlfn.RANK.AVG($T8,($J8,$O8,$T8),1)-2)*20)</f>
        <v>-35.4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203</v>
      </c>
      <c r="AF8" s="41" t="s">
        <v>205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IF($P$1="","",$P$1)</f>
        <v>ぱぱ</v>
      </c>
      <c r="F9" s="8" t="s">
        <v>200</v>
      </c>
      <c r="G9" s="9">
        <v>12000</v>
      </c>
      <c r="H9" s="9"/>
      <c r="I9" s="48">
        <v>0</v>
      </c>
      <c r="J9" s="21">
        <f t="shared" si="2"/>
        <v>68400</v>
      </c>
      <c r="K9" s="8" t="s">
        <v>199</v>
      </c>
      <c r="L9" s="9">
        <v>-4500</v>
      </c>
      <c r="M9" s="9"/>
      <c r="N9" s="48">
        <v>0</v>
      </c>
      <c r="O9" s="21">
        <f t="shared" si="3"/>
        <v>24500</v>
      </c>
      <c r="P9" s="8" t="s">
        <v>199</v>
      </c>
      <c r="Q9" s="9">
        <v>-7500</v>
      </c>
      <c r="R9" s="9"/>
      <c r="S9" s="48">
        <v>0</v>
      </c>
      <c r="T9" s="21">
        <f t="shared" si="4"/>
        <v>12100</v>
      </c>
      <c r="U9" s="53">
        <f>IF($J9="","",ROUND(($J9-$J$3)/1000,1)+(_xlfn.RANK.AVG($J9,($J9,$O9,$T9),1)-2)*20)</f>
        <v>53.4</v>
      </c>
      <c r="V9" s="54">
        <f>IF($O9="","",ROUND(($O9-$O$3)/1000,1)+(_xlfn.RANK.AVG($O9,($J9,$O9,$T9),1)-2)*20)</f>
        <v>-10.5</v>
      </c>
      <c r="W9" s="55">
        <f>IF($T9="","",ROUND(($T9-$T$3)/1000,1)+(_xlfn.RANK.AVG($T9,($J9,$O9,$T9),1)-2)*20)</f>
        <v>-42.9</v>
      </c>
      <c r="Y9" s="8"/>
      <c r="Z9" s="34"/>
      <c r="AA9" s="26">
        <v>1</v>
      </c>
      <c r="AB9" s="26"/>
      <c r="AC9" s="26">
        <v>6</v>
      </c>
      <c r="AD9" s="30" t="s">
        <v>206</v>
      </c>
      <c r="AE9" s="40" t="s">
        <v>203</v>
      </c>
      <c r="AF9" s="41" t="s">
        <v>82</v>
      </c>
      <c r="AG9" s="41" t="s">
        <v>79</v>
      </c>
      <c r="AH9" s="41" t="s">
        <v>204</v>
      </c>
      <c r="AI9" s="41" t="s">
        <v>204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198</v>
      </c>
      <c r="G10" s="9">
        <v>3000</v>
      </c>
      <c r="H10" s="9"/>
      <c r="I10" s="48"/>
      <c r="J10" s="21">
        <f t="shared" si="2"/>
        <v>71400</v>
      </c>
      <c r="K10" s="8" t="s">
        <v>198</v>
      </c>
      <c r="L10" s="9">
        <v>-1500</v>
      </c>
      <c r="M10" s="9"/>
      <c r="N10" s="48"/>
      <c r="O10" s="21">
        <f t="shared" si="3"/>
        <v>23000</v>
      </c>
      <c r="P10" s="8" t="s">
        <v>198</v>
      </c>
      <c r="Q10" s="9">
        <v>-1500</v>
      </c>
      <c r="R10" s="9"/>
      <c r="S10" s="48"/>
      <c r="T10" s="21">
        <f t="shared" si="4"/>
        <v>10600</v>
      </c>
      <c r="U10" s="53">
        <f>IF($J10="","",ROUND(($J10-$J$3)/1000,1)+(_xlfn.RANK.AVG($J10,($J10,$O10,$T10),1)-2)*20)</f>
        <v>56.4</v>
      </c>
      <c r="V10" s="54">
        <f>IF($O10="","",ROUND(($O10-$O$3)/1000,1)+(_xlfn.RANK.AVG($O10,($J10,$O10,$T10),1)-2)*20)</f>
        <v>-12</v>
      </c>
      <c r="W10" s="55">
        <f>IF($T10="","",ROUND(($T10-$T$3)/1000,1)+(_xlfn.RANK.AVG($T10,($J10,$O10,$T10),1)-2)*20)</f>
        <v>-44.4</v>
      </c>
      <c r="Y10" s="8" t="s">
        <v>197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196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196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qref="F1:T1" xr:uid="{0DE45691-9647-488B-A7A8-F2A28B8DA535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2D677092-4C6B-4DC6-BD30-83C50DA2FB8D}">
      <formula1>"ロン,ツモ,放銃,ツモ支払,流局,チョンボ"</formula1>
    </dataValidation>
    <dataValidation type="list" allowBlank="1" showInputMessage="1" showErrorMessage="1" sqref="E4:E30" xr:uid="{5C56FD2A-E570-49BB-AD4A-1B09F3C45A0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92856-8503-4E2C-8DC7-A8C7A36900B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195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ぱぱ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ぱぱ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202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201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206</v>
      </c>
      <c r="AZ4" s="40" t="s">
        <v>203</v>
      </c>
      <c r="BA4" s="41" t="s">
        <v>205</v>
      </c>
      <c r="BB4" s="41" t="s">
        <v>85</v>
      </c>
      <c r="BC4" s="41" t="s">
        <v>83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200</v>
      </c>
      <c r="G5" s="9">
        <v>3200</v>
      </c>
      <c r="H5" s="9"/>
      <c r="I5" s="48">
        <v>1000</v>
      </c>
      <c r="J5" s="21">
        <f t="shared" ref="J5:J30" si="2">IF(COUNTA($F5,$K5,$P5)&gt;0,J4+SUM(G5:I5),"")</f>
        <v>39200</v>
      </c>
      <c r="K5" s="8" t="s">
        <v>199</v>
      </c>
      <c r="L5" s="9">
        <v>-2000</v>
      </c>
      <c r="M5" s="9"/>
      <c r="N5" s="48">
        <v>-500</v>
      </c>
      <c r="O5" s="21">
        <f t="shared" ref="O5:O30" si="3">IF(COUNTA($F5,$K5,$P5)&gt;0,O4+SUM(L5:N5),"")</f>
        <v>44500</v>
      </c>
      <c r="P5" s="8" t="s">
        <v>199</v>
      </c>
      <c r="Q5" s="9">
        <v>-1200</v>
      </c>
      <c r="R5" s="9"/>
      <c r="S5" s="48">
        <v>-500</v>
      </c>
      <c r="T5" s="21">
        <f t="shared" ref="T5:T30" si="4">IF(COUNTA($F5,$K5,$P5)&gt;0,T4+SUM(Q5:S5),"")</f>
        <v>21300</v>
      </c>
      <c r="U5" s="53">
        <f>IF($J5="","",ROUND(($J5-$J$3)/1000,1)+(_xlfn.RANK.AVG($J5,($J5,$O5,$T5),1)-2)*20)</f>
        <v>4.2</v>
      </c>
      <c r="V5" s="54">
        <f>IF($O5="","",ROUND(($O5-$O$3)/1000,1)+(_xlfn.RANK.AVG($O5,($J5,$O5,$T5),1)-2)*20)</f>
        <v>29.5</v>
      </c>
      <c r="W5" s="55">
        <f>IF($T5="","",ROUND(($T5-$T$3)/1000,1)+(_xlfn.RANK.AVG($T5,($J5,$O5,$T5),1)-2)*20)</f>
        <v>-33.700000000000003</v>
      </c>
      <c r="Y5" s="8"/>
      <c r="Z5" s="34"/>
      <c r="AA5" s="26"/>
      <c r="AB5" s="26"/>
      <c r="AC5" s="26">
        <v>3</v>
      </c>
      <c r="AD5" s="30">
        <v>25</v>
      </c>
      <c r="AE5" s="40" t="s">
        <v>82</v>
      </c>
      <c r="AF5" s="41" t="s">
        <v>101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ぱぱ</v>
      </c>
      <c r="F6" s="8" t="s">
        <v>200</v>
      </c>
      <c r="G6" s="9">
        <v>12000</v>
      </c>
      <c r="H6" s="9">
        <v>1000</v>
      </c>
      <c r="I6" s="48">
        <v>0</v>
      </c>
      <c r="J6" s="21">
        <f t="shared" si="2"/>
        <v>52200</v>
      </c>
      <c r="K6" s="8" t="s">
        <v>199</v>
      </c>
      <c r="L6" s="9">
        <v>-4500</v>
      </c>
      <c r="M6" s="9"/>
      <c r="N6" s="48">
        <v>0</v>
      </c>
      <c r="O6" s="21">
        <f t="shared" si="3"/>
        <v>40000</v>
      </c>
      <c r="P6" s="8" t="s">
        <v>199</v>
      </c>
      <c r="Q6" s="9">
        <v>-7500</v>
      </c>
      <c r="R6" s="9">
        <v>-1000</v>
      </c>
      <c r="S6" s="48">
        <v>0</v>
      </c>
      <c r="T6" s="21">
        <f t="shared" si="4"/>
        <v>12800</v>
      </c>
      <c r="U6" s="53">
        <f>IF($J6="","",ROUND(($J6-$J$3)/1000,1)+(_xlfn.RANK.AVG($J6,($J6,$O6,$T6),1)-2)*20)</f>
        <v>37.200000000000003</v>
      </c>
      <c r="V6" s="54">
        <f>IF($O6="","",ROUND(($O6-$O$3)/1000,1)+(_xlfn.RANK.AVG($O6,($J6,$O6,$T6),1)-2)*20)</f>
        <v>5</v>
      </c>
      <c r="W6" s="55">
        <f>IF($T6="","",ROUND(($T6-$T$3)/1000,1)+(_xlfn.RANK.AVG($T6,($J6,$O6,$T6),1)-2)*20)</f>
        <v>-42.2</v>
      </c>
      <c r="Y6" s="8"/>
      <c r="Z6" s="34"/>
      <c r="AA6" s="26">
        <v>1</v>
      </c>
      <c r="AB6" s="26"/>
      <c r="AC6" s="26">
        <v>7</v>
      </c>
      <c r="AD6" s="30" t="s">
        <v>206</v>
      </c>
      <c r="AE6" s="40" t="s">
        <v>203</v>
      </c>
      <c r="AF6" s="41" t="s">
        <v>82</v>
      </c>
      <c r="AG6" s="41" t="s">
        <v>92</v>
      </c>
      <c r="AH6" s="41" t="s">
        <v>79</v>
      </c>
      <c r="AI6" s="41" t="s">
        <v>80</v>
      </c>
      <c r="AJ6" s="41" t="s">
        <v>204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202</v>
      </c>
      <c r="G7" s="9">
        <v>12000</v>
      </c>
      <c r="H7" s="9"/>
      <c r="I7" s="48">
        <v>0</v>
      </c>
      <c r="J7" s="21">
        <f t="shared" si="2"/>
        <v>64200</v>
      </c>
      <c r="K7" s="8"/>
      <c r="L7" s="9"/>
      <c r="M7" s="9"/>
      <c r="N7" s="48"/>
      <c r="O7" s="21">
        <f t="shared" si="3"/>
        <v>40000</v>
      </c>
      <c r="P7" s="8" t="s">
        <v>201</v>
      </c>
      <c r="Q7" s="9">
        <v>-12000</v>
      </c>
      <c r="R7" s="9"/>
      <c r="S7" s="48">
        <v>0</v>
      </c>
      <c r="T7" s="21">
        <f t="shared" si="4"/>
        <v>800</v>
      </c>
      <c r="U7" s="53">
        <f>IF($J7="","",ROUND(($J7-$J$3)/1000,1)+(_xlfn.RANK.AVG($J7,($J7,$O7,$T7),1)-2)*20)</f>
        <v>49.2</v>
      </c>
      <c r="V7" s="54">
        <f>IF($O7="","",ROUND(($O7-$O$3)/1000,1)+(_xlfn.RANK.AVG($O7,($J7,$O7,$T7),1)-2)*20)</f>
        <v>5</v>
      </c>
      <c r="W7" s="55">
        <f>IF($T7="","",ROUND(($T7-$T$3)/1000,1)+(_xlfn.RANK.AVG($T7,($J7,$O7,$T7),1)-2)*20)</f>
        <v>-54.2</v>
      </c>
      <c r="Y7" s="8"/>
      <c r="Z7" s="34"/>
      <c r="AA7" s="26">
        <v>1</v>
      </c>
      <c r="AB7" s="26"/>
      <c r="AC7" s="26">
        <v>3</v>
      </c>
      <c r="AD7" s="30">
        <v>70</v>
      </c>
      <c r="AE7" s="40" t="s">
        <v>203</v>
      </c>
      <c r="AF7" s="41" t="s">
        <v>204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IF($F$1="","",$F$1)</f>
        <v>だいち</v>
      </c>
      <c r="F8" s="8"/>
      <c r="G8" s="9"/>
      <c r="H8" s="9"/>
      <c r="I8" s="48"/>
      <c r="J8" s="21">
        <f t="shared" si="2"/>
        <v>64200</v>
      </c>
      <c r="K8" s="8" t="s">
        <v>201</v>
      </c>
      <c r="L8" s="9">
        <v>-2600</v>
      </c>
      <c r="M8" s="9"/>
      <c r="N8" s="48">
        <v>-1000</v>
      </c>
      <c r="O8" s="21">
        <f t="shared" si="3"/>
        <v>36400</v>
      </c>
      <c r="P8" s="8" t="s">
        <v>202</v>
      </c>
      <c r="Q8" s="9">
        <v>2600</v>
      </c>
      <c r="R8" s="9"/>
      <c r="S8" s="48">
        <v>1000</v>
      </c>
      <c r="T8" s="21">
        <f t="shared" si="4"/>
        <v>4400</v>
      </c>
      <c r="U8" s="53">
        <f>IF($J8="","",ROUND(($J8-$J$3)/1000,1)+(_xlfn.RANK.AVG($J8,($J8,$O8,$T8),1)-2)*20)</f>
        <v>49.2</v>
      </c>
      <c r="V8" s="54">
        <f>IF($O8="","",ROUND(($O8-$O$3)/1000,1)+(_xlfn.RANK.AVG($O8,($J8,$O8,$T8),1)-2)*20)</f>
        <v>1.4</v>
      </c>
      <c r="W8" s="55">
        <f>IF($T8="","",ROUND(($T8-$T$3)/1000,1)+(_xlfn.RANK.AVG($T8,($J8,$O8,$T8),1)-2)*20)</f>
        <v>-50.6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40</v>
      </c>
      <c r="BU8" s="40" t="s">
        <v>84</v>
      </c>
      <c r="BV8" s="41" t="s">
        <v>204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201</v>
      </c>
      <c r="G9" s="9">
        <v>-8000</v>
      </c>
      <c r="H9" s="9">
        <v>-1000</v>
      </c>
      <c r="I9" s="48">
        <v>0</v>
      </c>
      <c r="J9" s="21">
        <f t="shared" si="2"/>
        <v>55200</v>
      </c>
      <c r="K9" s="8"/>
      <c r="L9" s="9"/>
      <c r="M9" s="9">
        <v>-1000</v>
      </c>
      <c r="N9" s="48"/>
      <c r="O9" s="21">
        <f t="shared" si="3"/>
        <v>35400</v>
      </c>
      <c r="P9" s="8" t="s">
        <v>202</v>
      </c>
      <c r="Q9" s="9">
        <v>8000</v>
      </c>
      <c r="R9" s="9">
        <v>2000</v>
      </c>
      <c r="S9" s="48">
        <v>0</v>
      </c>
      <c r="T9" s="21">
        <f t="shared" si="4"/>
        <v>14400</v>
      </c>
      <c r="U9" s="53">
        <f>IF($J9="","",ROUND(($J9-$J$3)/1000,1)+(_xlfn.RANK.AVG($J9,($J9,$O9,$T9),1)-2)*20)</f>
        <v>40.200000000000003</v>
      </c>
      <c r="V9" s="54">
        <f>IF($O9="","",ROUND(($O9-$O$3)/1000,1)+(_xlfn.RANK.AVG($O9,($J9,$O9,$T9),1)-2)*20)</f>
        <v>0.4</v>
      </c>
      <c r="W9" s="55">
        <f>IF($T9="","",ROUND(($T9-$T$3)/1000,1)+(_xlfn.RANK.AVG($T9,($J9,$O9,$T9),1)-2)*20)</f>
        <v>-40.6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40</v>
      </c>
      <c r="BU9" s="40" t="s">
        <v>104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ぱぱ</v>
      </c>
      <c r="F10" s="8"/>
      <c r="G10" s="9"/>
      <c r="H10" s="9"/>
      <c r="I10" s="48"/>
      <c r="J10" s="21">
        <f t="shared" si="2"/>
        <v>55200</v>
      </c>
      <c r="K10" s="8" t="s">
        <v>201</v>
      </c>
      <c r="L10" s="9">
        <v>-24000</v>
      </c>
      <c r="M10" s="9"/>
      <c r="N10" s="48">
        <v>0</v>
      </c>
      <c r="O10" s="21">
        <f t="shared" si="3"/>
        <v>11400</v>
      </c>
      <c r="P10" s="8" t="s">
        <v>202</v>
      </c>
      <c r="Q10" s="9">
        <v>24000</v>
      </c>
      <c r="R10" s="9"/>
      <c r="S10" s="48">
        <v>0</v>
      </c>
      <c r="T10" s="21">
        <f t="shared" si="4"/>
        <v>38400</v>
      </c>
      <c r="U10" s="53">
        <f>IF($J10="","",ROUND(($J10-$J$3)/1000,1)+(_xlfn.RANK.AVG($J10,($J10,$O10,$T10),1)-2)*20)</f>
        <v>40.200000000000003</v>
      </c>
      <c r="V10" s="54">
        <f>IF($O10="","",ROUND(($O10-$O$3)/1000,1)+(_xlfn.RANK.AVG($O10,($J10,$O10,$T10),1)-2)*20)</f>
        <v>-43.6</v>
      </c>
      <c r="W10" s="55">
        <f>IF($T10="","",ROUND(($T10-$T$3)/1000,1)+(_xlfn.RANK.AVG($T10,($J10,$O10,$T10),1)-2)*20)</f>
        <v>3.4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10</v>
      </c>
      <c r="BT10" s="30" t="s">
        <v>206</v>
      </c>
      <c r="BU10" s="40" t="s">
        <v>98</v>
      </c>
      <c r="BV10" s="41" t="s">
        <v>104</v>
      </c>
      <c r="BW10" s="41" t="s">
        <v>204</v>
      </c>
      <c r="BX10" s="41" t="s">
        <v>79</v>
      </c>
      <c r="BY10" s="41" t="s">
        <v>79</v>
      </c>
      <c r="BZ10" s="41" t="s">
        <v>79</v>
      </c>
      <c r="CA10" s="41" t="s">
        <v>86</v>
      </c>
      <c r="CB10" s="41" t="s">
        <v>86</v>
      </c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IF($P$1="","",$P$1)</f>
        <v>ぱぱ</v>
      </c>
      <c r="F11" s="8" t="s">
        <v>202</v>
      </c>
      <c r="G11" s="9">
        <v>12000</v>
      </c>
      <c r="H11" s="9"/>
      <c r="I11" s="48">
        <v>1000</v>
      </c>
      <c r="J11" s="21">
        <f t="shared" si="2"/>
        <v>68200</v>
      </c>
      <c r="K11" s="8"/>
      <c r="L11" s="9"/>
      <c r="M11" s="9"/>
      <c r="N11" s="48"/>
      <c r="O11" s="21">
        <f t="shared" si="3"/>
        <v>11400</v>
      </c>
      <c r="P11" s="8" t="s">
        <v>201</v>
      </c>
      <c r="Q11" s="9">
        <v>-12000</v>
      </c>
      <c r="R11" s="9"/>
      <c r="S11" s="48">
        <v>-1000</v>
      </c>
      <c r="T11" s="21">
        <f t="shared" si="4"/>
        <v>25400</v>
      </c>
      <c r="U11" s="53">
        <f>IF($J11="","",ROUND(($J11-$J$3)/1000,1)+(_xlfn.RANK.AVG($J11,($J11,$O11,$T11),1)-2)*20)</f>
        <v>53.2</v>
      </c>
      <c r="V11" s="54">
        <f>IF($O11="","",ROUND(($O11-$O$3)/1000,1)+(_xlfn.RANK.AVG($O11,($J11,$O11,$T11),1)-2)*20)</f>
        <v>-43.6</v>
      </c>
      <c r="W11" s="55">
        <f>IF($T11="","",ROUND(($T11-$T$3)/1000,1)+(_xlfn.RANK.AVG($T11,($J11,$O11,$T11),1)-2)*20)</f>
        <v>-9.6</v>
      </c>
      <c r="Y11" s="8"/>
      <c r="Z11" s="34"/>
      <c r="AA11" s="26">
        <v>1</v>
      </c>
      <c r="AB11" s="26"/>
      <c r="AC11" s="26">
        <v>6</v>
      </c>
      <c r="AD11" s="30" t="s">
        <v>206</v>
      </c>
      <c r="AE11" s="40" t="s">
        <v>203</v>
      </c>
      <c r="AF11" s="41" t="s">
        <v>205</v>
      </c>
      <c r="AG11" s="41" t="s">
        <v>104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IF($F$1="","",$F$1)</f>
        <v>だいち</v>
      </c>
      <c r="F12" s="8" t="s">
        <v>201</v>
      </c>
      <c r="G12" s="9">
        <v>-8000</v>
      </c>
      <c r="H12" s="9">
        <v>-1000</v>
      </c>
      <c r="I12" s="48">
        <v>0</v>
      </c>
      <c r="J12" s="21">
        <f t="shared" si="2"/>
        <v>59200</v>
      </c>
      <c r="K12" s="8" t="s">
        <v>202</v>
      </c>
      <c r="L12" s="9">
        <v>8000</v>
      </c>
      <c r="M12" s="9">
        <v>1000</v>
      </c>
      <c r="N12" s="48">
        <v>0</v>
      </c>
      <c r="O12" s="21">
        <f t="shared" si="3"/>
        <v>20400</v>
      </c>
      <c r="P12" s="8"/>
      <c r="Q12" s="9"/>
      <c r="R12" s="9"/>
      <c r="S12" s="48"/>
      <c r="T12" s="21">
        <f t="shared" si="4"/>
        <v>25400</v>
      </c>
      <c r="U12" s="53">
        <f>IF($J12="","",ROUND(($J12-$J$3)/1000,1)+(_xlfn.RANK.AVG($J12,($J12,$O12,$T12),1)-2)*20)</f>
        <v>44.2</v>
      </c>
      <c r="V12" s="54">
        <f>IF($O12="","",ROUND(($O12-$O$3)/1000,1)+(_xlfn.RANK.AVG($O12,($J12,$O12,$T12),1)-2)*20)</f>
        <v>-34.6</v>
      </c>
      <c r="W12" s="55">
        <f>IF($T12="","",ROUND(($T12-$T$3)/1000,1)+(_xlfn.RANK.AVG($T12,($J12,$O12,$T12),1)-2)*20)</f>
        <v>-9.6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40</v>
      </c>
      <c r="AZ12" s="40" t="s">
        <v>203</v>
      </c>
      <c r="BA12" s="41" t="s">
        <v>80</v>
      </c>
      <c r="BB12" s="41" t="s">
        <v>80</v>
      </c>
      <c r="BC12" s="41" t="s">
        <v>80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FA26759A-2891-43D1-9005-558A341885F5}">
      <formula1>$U$2:$W$2</formula1>
    </dataValidation>
    <dataValidation type="list" showInputMessage="1" showErrorMessage="1" sqref="K4:K30 P4:P30 F4:F30" xr:uid="{D17D5080-B4A6-4ACE-B25D-02377C934894}">
      <formula1>"ロン,ツモ,放銃,ツモ支払,流局,チョンボ"</formula1>
    </dataValidation>
    <dataValidation type="list" allowBlank="1" showInputMessage="1" sqref="F1:T1" xr:uid="{5BCD2F88-4C76-46C3-87FC-6812F77A235F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7C157-15BC-4301-89C0-4D506CF0390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202</v>
      </c>
      <c r="L4" s="9">
        <v>5200</v>
      </c>
      <c r="M4" s="9">
        <v>1000</v>
      </c>
      <c r="N4" s="48">
        <v>0</v>
      </c>
      <c r="O4" s="21">
        <f>IF(COUNTA($F4,$K4,$P4)&gt;0,O3+SUM(L4:N4),"")</f>
        <v>41200</v>
      </c>
      <c r="P4" s="8" t="s">
        <v>201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26.2</v>
      </c>
      <c r="W4" s="55">
        <f>IF($T4="","",ROUND(($T4-$T$3)/1000,1)+(_xlfn.RANK.AVG($T4,($J4,$O4,$T4),1)-2)*20)</f>
        <v>-25.2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203</v>
      </c>
      <c r="BA4" s="41" t="s">
        <v>86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198</v>
      </c>
      <c r="G5" s="9">
        <v>1500</v>
      </c>
      <c r="H5" s="9">
        <v>-1000</v>
      </c>
      <c r="I5" s="48"/>
      <c r="J5" s="21">
        <f t="shared" ref="J5:J30" si="2">IF(COUNTA($F5,$K5,$P5)&gt;0,J4+SUM(G5:I5),"")</f>
        <v>34500</v>
      </c>
      <c r="K5" s="8" t="s">
        <v>198</v>
      </c>
      <c r="L5" s="9">
        <v>1500</v>
      </c>
      <c r="M5" s="9"/>
      <c r="N5" s="48"/>
      <c r="O5" s="21">
        <f t="shared" ref="O5:O30" si="3">IF(COUNTA($F5,$K5,$P5)&gt;0,O4+SUM(L5:N5),"")</f>
        <v>42700</v>
      </c>
      <c r="P5" s="8" t="s">
        <v>198</v>
      </c>
      <c r="Q5" s="9">
        <v>-3000</v>
      </c>
      <c r="R5" s="9"/>
      <c r="S5" s="48"/>
      <c r="T5" s="21">
        <f t="shared" ref="T5:T30" si="4">IF(COUNTA($F5,$K5,$P5)&gt;0,T4+SUM(Q5:S5),"")</f>
        <v>26800</v>
      </c>
      <c r="U5" s="53">
        <f>IF($J5="","",ROUND(($J5-$J$3)/1000,1)+(_xlfn.RANK.AVG($J5,($J5,$O5,$T5),1)-2)*20)</f>
        <v>-0.5</v>
      </c>
      <c r="V5" s="54">
        <f>IF($O5="","",ROUND(($O5-$O$3)/1000,1)+(_xlfn.RANK.AVG($O5,($J5,$O5,$T5),1)-2)*20)</f>
        <v>27.7</v>
      </c>
      <c r="W5" s="55">
        <f>IF($T5="","",ROUND(($T5-$T$3)/1000,1)+(_xlfn.RANK.AVG($T5,($J5,$O5,$T5),1)-2)*20)</f>
        <v>-28.2</v>
      </c>
      <c r="Y5" s="8" t="s">
        <v>197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196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ただ</v>
      </c>
      <c r="F6" s="8" t="s">
        <v>199</v>
      </c>
      <c r="G6" s="9">
        <v>-24000</v>
      </c>
      <c r="H6" s="9"/>
      <c r="I6" s="48">
        <v>-500</v>
      </c>
      <c r="J6" s="21">
        <f t="shared" si="2"/>
        <v>10000</v>
      </c>
      <c r="K6" s="8" t="s">
        <v>200</v>
      </c>
      <c r="L6" s="9">
        <v>48000</v>
      </c>
      <c r="M6" s="9">
        <v>1000</v>
      </c>
      <c r="N6" s="48">
        <v>1000</v>
      </c>
      <c r="O6" s="21">
        <f t="shared" si="3"/>
        <v>92700</v>
      </c>
      <c r="P6" s="8" t="s">
        <v>199</v>
      </c>
      <c r="Q6" s="9">
        <v>-24000</v>
      </c>
      <c r="R6" s="9"/>
      <c r="S6" s="48">
        <v>-500</v>
      </c>
      <c r="T6" s="21">
        <f t="shared" si="4"/>
        <v>2300</v>
      </c>
      <c r="U6" s="53">
        <f>IF($J6="","",ROUND(($J6-$J$3)/1000,1)+(_xlfn.RANK.AVG($J6,($J6,$O6,$T6),1)-2)*20)</f>
        <v>-25</v>
      </c>
      <c r="V6" s="54">
        <f>IF($O6="","",ROUND(($O6-$O$3)/1000,1)+(_xlfn.RANK.AVG($O6,($J6,$O6,$T6),1)-2)*20)</f>
        <v>77.7</v>
      </c>
      <c r="W6" s="55">
        <f>IF($T6="","",ROUND(($T6-$T$3)/1000,1)+(_xlfn.RANK.AVG($T6,($J6,$O6,$T6),1)-2)*20)</f>
        <v>-52.7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13</v>
      </c>
      <c r="AY6" s="30" t="s">
        <v>206</v>
      </c>
      <c r="AZ6" s="40" t="s">
        <v>203</v>
      </c>
      <c r="BA6" s="41" t="s">
        <v>82</v>
      </c>
      <c r="BB6" s="41" t="s">
        <v>96</v>
      </c>
      <c r="BC6" s="41" t="s">
        <v>204</v>
      </c>
      <c r="BD6" s="41" t="s">
        <v>204</v>
      </c>
      <c r="BE6" s="41" t="s">
        <v>79</v>
      </c>
      <c r="BF6" s="41" t="s">
        <v>79</v>
      </c>
      <c r="BG6" s="41" t="s">
        <v>79</v>
      </c>
      <c r="BH6" s="41" t="s">
        <v>80</v>
      </c>
      <c r="BI6" s="41" t="s">
        <v>80</v>
      </c>
      <c r="BJ6" s="41" t="s">
        <v>86</v>
      </c>
      <c r="BK6" s="41" t="s">
        <v>86</v>
      </c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ただ</v>
      </c>
      <c r="F7" s="8"/>
      <c r="G7" s="9"/>
      <c r="H7" s="9"/>
      <c r="I7" s="48"/>
      <c r="J7" s="21">
        <f t="shared" si="2"/>
        <v>10000</v>
      </c>
      <c r="K7" s="8" t="s">
        <v>202</v>
      </c>
      <c r="L7" s="9">
        <v>1500</v>
      </c>
      <c r="M7" s="9"/>
      <c r="N7" s="48">
        <v>2000</v>
      </c>
      <c r="O7" s="21">
        <f t="shared" si="3"/>
        <v>96200</v>
      </c>
      <c r="P7" s="8" t="s">
        <v>201</v>
      </c>
      <c r="Q7" s="9">
        <v>-1500</v>
      </c>
      <c r="R7" s="9"/>
      <c r="S7" s="48">
        <v>-2000</v>
      </c>
      <c r="T7" s="21">
        <f t="shared" si="4"/>
        <v>-1200</v>
      </c>
      <c r="U7" s="53">
        <f>IF($J7="","",ROUND(($J7-$J$3)/1000,1)+(_xlfn.RANK.AVG($J7,($J7,$O7,$T7),1)-2)*20)</f>
        <v>-25</v>
      </c>
      <c r="V7" s="54">
        <f>IF($O7="","",ROUND(($O7-$O$3)/1000,1)+(_xlfn.RANK.AVG($O7,($J7,$O7,$T7),1)-2)*20)</f>
        <v>81.2</v>
      </c>
      <c r="W7" s="55">
        <f>IF($T7="","",ROUND(($T7-$T$3)/1000,1)+(_xlfn.RANK.AVG($T7,($J7,$O7,$T7),1)-2)*20)</f>
        <v>-56.2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FCC312D4-5298-49CF-A642-57E00E9A1341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3378FF39-8532-45CD-8B15-3758FF8F93EE}">
      <formula1>"ロン,ツモ,放銃,ツモ支払,流局,チョンボ"</formula1>
    </dataValidation>
    <dataValidation type="list" allowBlank="1" showInputMessage="1" showErrorMessage="1" sqref="E4:E30" xr:uid="{4BCB1E2A-37D1-43BF-91A9-2C3C0CEFE50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12E40-1D5C-4057-928F-244066BDA8FE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199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199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200</v>
      </c>
      <c r="Q4" s="9">
        <v>6000</v>
      </c>
      <c r="R4" s="9"/>
      <c r="S4" s="48">
        <v>0</v>
      </c>
      <c r="T4" s="21">
        <f>IF(COUNTA($F4,$K4,$P4)&gt;0,T3+SUM(Q4:S4),"")</f>
        <v>41000</v>
      </c>
      <c r="U4" s="53">
        <f>IF($J4="","",ROUND(($J4-$J$3)/1000,1)+(_xlfn.RANK.AVG($J4,($J4,$O4,$T4),1)-2)*20)</f>
        <v>-13</v>
      </c>
      <c r="V4" s="54">
        <f>IF($O4="","",ROUND(($O4-$O$3)/1000,1)+(_xlfn.RANK.AVG($O4,($J4,$O4,$T4),1)-2)*20)</f>
        <v>-13</v>
      </c>
      <c r="W4" s="55">
        <f>IF($T4="","",ROUND(($T4-$T$3)/1000,1)+(_xlfn.RANK.AVG($T4,($J4,$O4,$T4),1)-2)*20)</f>
        <v>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79</v>
      </c>
      <c r="BV4" s="41" t="s">
        <v>86</v>
      </c>
      <c r="BW4" s="41" t="s">
        <v>86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/>
      <c r="G5" s="9"/>
      <c r="H5" s="9"/>
      <c r="I5" s="48"/>
      <c r="J5" s="21">
        <f t="shared" ref="J5:J30" si="2">IF(COUNTA($F5,$K5,$P5)&gt;0,J4+SUM(G5:I5),"")</f>
        <v>32000</v>
      </c>
      <c r="K5" s="8" t="s">
        <v>201</v>
      </c>
      <c r="L5" s="9">
        <v>-12000</v>
      </c>
      <c r="M5" s="9"/>
      <c r="N5" s="48">
        <v>-1000</v>
      </c>
      <c r="O5" s="21">
        <f t="shared" ref="O5:O30" si="3">IF(COUNTA($F5,$K5,$P5)&gt;0,O4+SUM(L5:N5),"")</f>
        <v>19000</v>
      </c>
      <c r="P5" s="8" t="s">
        <v>202</v>
      </c>
      <c r="Q5" s="9">
        <v>12000</v>
      </c>
      <c r="R5" s="9"/>
      <c r="S5" s="48">
        <v>1000</v>
      </c>
      <c r="T5" s="21">
        <f t="shared" ref="T5:T30" si="4">IF(COUNTA($F5,$K5,$P5)&gt;0,T4+SUM(Q5:S5),"")</f>
        <v>54000</v>
      </c>
      <c r="U5" s="53">
        <f>IF($J5="","",ROUND(($J5-$J$3)/1000,1)+(_xlfn.RANK.AVG($J5,($J5,$O5,$T5),1)-2)*20)</f>
        <v>-3</v>
      </c>
      <c r="V5" s="54">
        <f>IF($O5="","",ROUND(($O5-$O$3)/1000,1)+(_xlfn.RANK.AVG($O5,($J5,$O5,$T5),1)-2)*20)</f>
        <v>-36</v>
      </c>
      <c r="W5" s="55">
        <f>IF($T5="","",ROUND(($T5-$T$3)/1000,1)+(_xlfn.RANK.AVG($T5,($J5,$O5,$T5),1)-2)*20)</f>
        <v>39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206</v>
      </c>
      <c r="BU5" s="40" t="s">
        <v>86</v>
      </c>
      <c r="BV5" s="41" t="s">
        <v>86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IF($P$1="","",$P$1)</f>
        <v>れんたろう</v>
      </c>
      <c r="F6" s="8" t="s">
        <v>198</v>
      </c>
      <c r="G6" s="9">
        <v>1500</v>
      </c>
      <c r="H6" s="9">
        <v>-1000</v>
      </c>
      <c r="I6" s="48"/>
      <c r="J6" s="21">
        <f t="shared" si="2"/>
        <v>32500</v>
      </c>
      <c r="K6" s="8" t="s">
        <v>198</v>
      </c>
      <c r="L6" s="9">
        <v>1500</v>
      </c>
      <c r="M6" s="9"/>
      <c r="N6" s="48"/>
      <c r="O6" s="21">
        <f t="shared" si="3"/>
        <v>20500</v>
      </c>
      <c r="P6" s="8" t="s">
        <v>198</v>
      </c>
      <c r="Q6" s="9">
        <v>-3000</v>
      </c>
      <c r="R6" s="9"/>
      <c r="S6" s="48"/>
      <c r="T6" s="21">
        <f t="shared" si="4"/>
        <v>51000</v>
      </c>
      <c r="U6" s="53">
        <f>IF($J6="","",ROUND(($J6-$J$3)/1000,1)+(_xlfn.RANK.AVG($J6,($J6,$O6,$T6),1)-2)*20)</f>
        <v>-2.5</v>
      </c>
      <c r="V6" s="54">
        <f>IF($O6="","",ROUND(($O6-$O$3)/1000,1)+(_xlfn.RANK.AVG($O6,($J6,$O6,$T6),1)-2)*20)</f>
        <v>-34.5</v>
      </c>
      <c r="W6" s="55">
        <f>IF($T6="","",ROUND(($T6-$T$3)/1000,1)+(_xlfn.RANK.AVG($T6,($J6,$O6,$T6),1)-2)*20)</f>
        <v>36</v>
      </c>
      <c r="Y6" s="8" t="s">
        <v>197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197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196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1</v>
      </c>
      <c r="E7" s="4" t="str">
        <f>IF($F$1="","",$F$1)</f>
        <v>ぱぱ</v>
      </c>
      <c r="F7" s="8" t="s">
        <v>200</v>
      </c>
      <c r="G7" s="9">
        <v>4800</v>
      </c>
      <c r="H7" s="9">
        <v>2000</v>
      </c>
      <c r="I7" s="48">
        <v>3000</v>
      </c>
      <c r="J7" s="21">
        <f t="shared" si="2"/>
        <v>42300</v>
      </c>
      <c r="K7" s="8" t="s">
        <v>199</v>
      </c>
      <c r="L7" s="9">
        <v>-2400</v>
      </c>
      <c r="M7" s="9">
        <v>-1000</v>
      </c>
      <c r="N7" s="48">
        <v>-1500</v>
      </c>
      <c r="O7" s="21">
        <f t="shared" si="3"/>
        <v>15600</v>
      </c>
      <c r="P7" s="8" t="s">
        <v>199</v>
      </c>
      <c r="Q7" s="9">
        <v>-2400</v>
      </c>
      <c r="R7" s="9"/>
      <c r="S7" s="48">
        <v>-1500</v>
      </c>
      <c r="T7" s="21">
        <f t="shared" si="4"/>
        <v>47100</v>
      </c>
      <c r="U7" s="53">
        <f>IF($J7="","",ROUND(($J7-$J$3)/1000,1)+(_xlfn.RANK.AVG($J7,($J7,$O7,$T7),1)-2)*20)</f>
        <v>7.3</v>
      </c>
      <c r="V7" s="54">
        <f>IF($O7="","",ROUND(($O7-$O$3)/1000,1)+(_xlfn.RANK.AVG($O7,($J7,$O7,$T7),1)-2)*20)</f>
        <v>-39.4</v>
      </c>
      <c r="W7" s="55">
        <f>IF($T7="","",ROUND(($T7-$T$3)/1000,1)+(_xlfn.RANK.AVG($T7,($J7,$O7,$T7),1)-2)*20)</f>
        <v>32.1</v>
      </c>
      <c r="Y7" s="8"/>
      <c r="Z7" s="34"/>
      <c r="AA7" s="26"/>
      <c r="AB7" s="26"/>
      <c r="AC7" s="26">
        <v>3</v>
      </c>
      <c r="AD7" s="30">
        <v>25</v>
      </c>
      <c r="AE7" s="40" t="s">
        <v>101</v>
      </c>
      <c r="AF7" s="41" t="s">
        <v>82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tr">
        <f>IF($F$1="","",$F$1)</f>
        <v>ぱぱ</v>
      </c>
      <c r="F8" s="8" t="s">
        <v>200</v>
      </c>
      <c r="G8" s="9">
        <v>11600</v>
      </c>
      <c r="H8" s="9"/>
      <c r="I8" s="48">
        <v>4000</v>
      </c>
      <c r="J8" s="21">
        <f t="shared" si="2"/>
        <v>57900</v>
      </c>
      <c r="K8" s="8" t="s">
        <v>199</v>
      </c>
      <c r="L8" s="9">
        <v>-5800</v>
      </c>
      <c r="M8" s="9"/>
      <c r="N8" s="48">
        <v>-2000</v>
      </c>
      <c r="O8" s="21">
        <f t="shared" si="3"/>
        <v>7800</v>
      </c>
      <c r="P8" s="8" t="s">
        <v>199</v>
      </c>
      <c r="Q8" s="9">
        <v>-5800</v>
      </c>
      <c r="R8" s="9"/>
      <c r="S8" s="48">
        <v>-2000</v>
      </c>
      <c r="T8" s="21">
        <f t="shared" si="4"/>
        <v>39300</v>
      </c>
      <c r="U8" s="53">
        <f>IF($J8="","",ROUND(($J8-$J$3)/1000,1)+(_xlfn.RANK.AVG($J8,($J8,$O8,$T8),1)-2)*20)</f>
        <v>42.9</v>
      </c>
      <c r="V8" s="54">
        <f>IF($O8="","",ROUND(($O8-$O$3)/1000,1)+(_xlfn.RANK.AVG($O8,($J8,$O8,$T8),1)-2)*20)</f>
        <v>-47.2</v>
      </c>
      <c r="W8" s="55">
        <f>IF($T8="","",ROUND(($T8-$T$3)/1000,1)+(_xlfn.RANK.AVG($T8,($J8,$O8,$T8),1)-2)*20)</f>
        <v>4.3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203</v>
      </c>
      <c r="AF8" s="41" t="s">
        <v>82</v>
      </c>
      <c r="AG8" s="41" t="s">
        <v>86</v>
      </c>
      <c r="AH8" s="41" t="s">
        <v>86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0</v>
      </c>
      <c r="E9" s="4" t="str">
        <f>IF($F$1="","",$F$1)</f>
        <v>ぱぱ</v>
      </c>
      <c r="F9" s="8" t="s">
        <v>199</v>
      </c>
      <c r="G9" s="9">
        <v>-1300</v>
      </c>
      <c r="H9" s="9"/>
      <c r="I9" s="48">
        <v>-2500</v>
      </c>
      <c r="J9" s="21">
        <f t="shared" si="2"/>
        <v>54100</v>
      </c>
      <c r="K9" s="8" t="s">
        <v>199</v>
      </c>
      <c r="L9" s="9">
        <v>-800</v>
      </c>
      <c r="M9" s="9"/>
      <c r="N9" s="48">
        <v>-2500</v>
      </c>
      <c r="O9" s="21">
        <f t="shared" si="3"/>
        <v>4500</v>
      </c>
      <c r="P9" s="8" t="s">
        <v>200</v>
      </c>
      <c r="Q9" s="9">
        <v>2100</v>
      </c>
      <c r="R9" s="9"/>
      <c r="S9" s="48">
        <v>5000</v>
      </c>
      <c r="T9" s="21">
        <f t="shared" si="4"/>
        <v>46400</v>
      </c>
      <c r="U9" s="53">
        <f>IF($J9="","",ROUND(($J9-$J$3)/1000,1)+(_xlfn.RANK.AVG($J9,($J9,$O9,$T9),1)-2)*20)</f>
        <v>39.1</v>
      </c>
      <c r="V9" s="54">
        <f>IF($O9="","",ROUND(($O9-$O$3)/1000,1)+(_xlfn.RANK.AVG($O9,($J9,$O9,$T9),1)-2)*20)</f>
        <v>-50.5</v>
      </c>
      <c r="W9" s="55">
        <f>IF($T9="","",ROUND(($T9-$T$3)/1000,1)+(_xlfn.RANK.AVG($T9,($J9,$O9,$T9),1)-2)*20)</f>
        <v>11.4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204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 t="s">
        <v>201</v>
      </c>
      <c r="G10" s="9">
        <v>-16000</v>
      </c>
      <c r="H10" s="9">
        <v>-1000</v>
      </c>
      <c r="I10" s="48">
        <v>0</v>
      </c>
      <c r="J10" s="21">
        <f t="shared" si="2"/>
        <v>37100</v>
      </c>
      <c r="K10" s="8"/>
      <c r="L10" s="9"/>
      <c r="M10" s="9"/>
      <c r="N10" s="48"/>
      <c r="O10" s="21">
        <f t="shared" si="3"/>
        <v>4500</v>
      </c>
      <c r="P10" s="8" t="s">
        <v>202</v>
      </c>
      <c r="Q10" s="9">
        <v>16000</v>
      </c>
      <c r="R10" s="9">
        <v>1000</v>
      </c>
      <c r="S10" s="48">
        <v>0</v>
      </c>
      <c r="T10" s="21">
        <f t="shared" si="4"/>
        <v>63400</v>
      </c>
      <c r="U10" s="53">
        <f>IF($J10="","",ROUND(($J10-$J$3)/1000,1)+(_xlfn.RANK.AVG($J10,($J10,$O10,$T10),1)-2)*20)</f>
        <v>2.1</v>
      </c>
      <c r="V10" s="54">
        <f>IF($O10="","",ROUND(($O10-$O$3)/1000,1)+(_xlfn.RANK.AVG($O10,($J10,$O10,$T10),1)-2)*20)</f>
        <v>-50.5</v>
      </c>
      <c r="W10" s="55">
        <f>IF($T10="","",ROUND(($T10-$T$3)/1000,1)+(_xlfn.RANK.AVG($T10,($J10,$O10,$T10),1)-2)*20)</f>
        <v>48.4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8</v>
      </c>
      <c r="BT10" s="30" t="s">
        <v>206</v>
      </c>
      <c r="BU10" s="40" t="s">
        <v>203</v>
      </c>
      <c r="BV10" s="41" t="s">
        <v>104</v>
      </c>
      <c r="BW10" s="41" t="s">
        <v>79</v>
      </c>
      <c r="BX10" s="41" t="s">
        <v>204</v>
      </c>
      <c r="BY10" s="41" t="s">
        <v>86</v>
      </c>
      <c r="BZ10" s="41" t="s">
        <v>205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IF($P$1="","",$P$1)</f>
        <v>れんたろう</v>
      </c>
      <c r="F11" s="8" t="s">
        <v>200</v>
      </c>
      <c r="G11" s="9">
        <v>8000</v>
      </c>
      <c r="H11" s="9">
        <v>1000</v>
      </c>
      <c r="I11" s="48">
        <v>0</v>
      </c>
      <c r="J11" s="21">
        <f t="shared" si="2"/>
        <v>46100</v>
      </c>
      <c r="K11" s="8" t="s">
        <v>199</v>
      </c>
      <c r="L11" s="9">
        <v>-3000</v>
      </c>
      <c r="M11" s="9"/>
      <c r="N11" s="48">
        <v>0</v>
      </c>
      <c r="O11" s="21">
        <f t="shared" si="3"/>
        <v>1500</v>
      </c>
      <c r="P11" s="8" t="s">
        <v>199</v>
      </c>
      <c r="Q11" s="9">
        <v>-5000</v>
      </c>
      <c r="R11" s="9">
        <v>-1000</v>
      </c>
      <c r="S11" s="48">
        <v>0</v>
      </c>
      <c r="T11" s="21">
        <f t="shared" si="4"/>
        <v>57400</v>
      </c>
      <c r="U11" s="53">
        <f>IF($J11="","",ROUND(($J11-$J$3)/1000,1)+(_xlfn.RANK.AVG($J11,($J11,$O11,$T11),1)-2)*20)</f>
        <v>11.1</v>
      </c>
      <c r="V11" s="54">
        <f>IF($O11="","",ROUND(($O11-$O$3)/1000,1)+(_xlfn.RANK.AVG($O11,($J11,$O11,$T11),1)-2)*20)</f>
        <v>-53.5</v>
      </c>
      <c r="W11" s="55">
        <f>IF($T11="","",ROUND(($T11-$T$3)/1000,1)+(_xlfn.RANK.AVG($T11,($J11,$O11,$T11),1)-2)*20)</f>
        <v>42.4</v>
      </c>
      <c r="Y11" s="8"/>
      <c r="Z11" s="34"/>
      <c r="AA11" s="26">
        <v>1</v>
      </c>
      <c r="AB11" s="26"/>
      <c r="AC11" s="26">
        <v>5</v>
      </c>
      <c r="AD11" s="30" t="s">
        <v>206</v>
      </c>
      <c r="AE11" s="40" t="s">
        <v>203</v>
      </c>
      <c r="AF11" s="41" t="s">
        <v>82</v>
      </c>
      <c r="AG11" s="41" t="s">
        <v>86</v>
      </c>
      <c r="AH11" s="41" t="s">
        <v>86</v>
      </c>
      <c r="AI11" s="41" t="s">
        <v>86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IF($F$1="","",$F$1)</f>
        <v>ぱぱ</v>
      </c>
      <c r="F12" s="8" t="s">
        <v>201</v>
      </c>
      <c r="G12" s="9">
        <v>-8000</v>
      </c>
      <c r="H12" s="9">
        <v>-1000</v>
      </c>
      <c r="I12" s="48">
        <v>0</v>
      </c>
      <c r="J12" s="21">
        <f t="shared" si="2"/>
        <v>37100</v>
      </c>
      <c r="K12" s="8" t="s">
        <v>202</v>
      </c>
      <c r="L12" s="9">
        <v>8000</v>
      </c>
      <c r="M12" s="9">
        <v>1000</v>
      </c>
      <c r="N12" s="48">
        <v>0</v>
      </c>
      <c r="O12" s="21">
        <f t="shared" si="3"/>
        <v>10500</v>
      </c>
      <c r="P12" s="8"/>
      <c r="Q12" s="9"/>
      <c r="R12" s="9"/>
      <c r="S12" s="48"/>
      <c r="T12" s="21">
        <f t="shared" si="4"/>
        <v>57400</v>
      </c>
      <c r="U12" s="53">
        <f>IF($J12="","",ROUND(($J12-$J$3)/1000,1)+(_xlfn.RANK.AVG($J12,($J12,$O12,$T12),1)-2)*20)</f>
        <v>2.1</v>
      </c>
      <c r="V12" s="54">
        <f>IF($O12="","",ROUND(($O12-$O$3)/1000,1)+(_xlfn.RANK.AVG($O12,($J12,$O12,$T12),1)-2)*20)</f>
        <v>-44.5</v>
      </c>
      <c r="W12" s="55">
        <f>IF($T12="","",ROUND(($T12-$T$3)/1000,1)+(_xlfn.RANK.AVG($T12,($J12,$O12,$T12),1)-2)*20)</f>
        <v>42.4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5</v>
      </c>
      <c r="AY12" s="30" t="s">
        <v>206</v>
      </c>
      <c r="AZ12" s="40" t="s">
        <v>104</v>
      </c>
      <c r="BA12" s="41" t="s">
        <v>79</v>
      </c>
      <c r="BB12" s="41" t="s">
        <v>79</v>
      </c>
      <c r="BC12" s="41" t="s">
        <v>86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IF($K$1="","",$K$1)</f>
        <v>ただ</v>
      </c>
      <c r="F13" s="8" t="s">
        <v>199</v>
      </c>
      <c r="G13" s="9">
        <v>-500</v>
      </c>
      <c r="H13" s="9"/>
      <c r="I13" s="48">
        <v>0</v>
      </c>
      <c r="J13" s="21">
        <f t="shared" si="2"/>
        <v>36600</v>
      </c>
      <c r="K13" s="8" t="s">
        <v>199</v>
      </c>
      <c r="L13" s="9">
        <v>-700</v>
      </c>
      <c r="M13" s="9"/>
      <c r="N13" s="48">
        <v>0</v>
      </c>
      <c r="O13" s="21">
        <f t="shared" si="3"/>
        <v>9800</v>
      </c>
      <c r="P13" s="8" t="s">
        <v>200</v>
      </c>
      <c r="Q13" s="9">
        <v>1200</v>
      </c>
      <c r="R13" s="9"/>
      <c r="S13" s="48">
        <v>0</v>
      </c>
      <c r="T13" s="21">
        <f t="shared" si="4"/>
        <v>58600</v>
      </c>
      <c r="U13" s="53">
        <f>IF($J13="","",ROUND(($J13-$J$3)/1000,1)+(_xlfn.RANK.AVG($J13,($J13,$O13,$T13),1)-2)*20)</f>
        <v>1.6</v>
      </c>
      <c r="V13" s="54">
        <f>IF($O13="","",ROUND(($O13-$O$3)/1000,1)+(_xlfn.RANK.AVG($O13,($J13,$O13,$T13),1)-2)*20)</f>
        <v>-45.2</v>
      </c>
      <c r="W13" s="55">
        <f>IF($T13="","",ROUND(($T13-$T$3)/1000,1)+(_xlfn.RANK.AVG($T13,($J13,$O13,$T13),1)-2)*20)</f>
        <v>43.6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1</v>
      </c>
      <c r="BT13" s="30">
        <v>30</v>
      </c>
      <c r="BU13" s="40" t="s">
        <v>82</v>
      </c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576FC86B-3B4F-4558-988A-087882F85D09}">
      <formula1>$U$2:$W$2</formula1>
    </dataValidation>
    <dataValidation type="list" showInputMessage="1" showErrorMessage="1" sqref="K4:K30 P4:P30 F4:F30" xr:uid="{2B73CB28-EB21-4926-88EA-8783CEFDE5C5}">
      <formula1>"ロン,ツモ,放銃,ツモ支払,流局,チョンボ"</formula1>
    </dataValidation>
    <dataValidation type="list" allowBlank="1" showInputMessage="1" sqref="F1:T1" xr:uid="{BA446712-EEDE-4B11-95DA-F3159E1CCE34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7B9BB-B3E8-4687-BF30-CB694449BB8A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193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ただ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24000</v>
      </c>
      <c r="H4" s="9"/>
      <c r="I4" s="48">
        <v>0</v>
      </c>
      <c r="J4" s="21">
        <f>IF(COUNTA($F4,$K4,$P4)&gt;0,J3+SUM(G4:I4),"")</f>
        <v>59000</v>
      </c>
      <c r="K4" s="8" t="s">
        <v>201</v>
      </c>
      <c r="L4" s="9">
        <v>-24000</v>
      </c>
      <c r="M4" s="9"/>
      <c r="N4" s="48">
        <v>0</v>
      </c>
      <c r="O4" s="21">
        <f>IF(COUNTA($F4,$K4,$P4)&gt;0,O3+SUM(L4:N4),"")</f>
        <v>11000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44</v>
      </c>
      <c r="V4" s="54">
        <f>IF($O4="","",ROUND(($O4-$O$3)/1000,1)+(_xlfn.RANK.AVG($O4,($J4,$O4,$T4),1)-2)*20)</f>
        <v>-44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8</v>
      </c>
      <c r="AD4" s="30" t="s">
        <v>206</v>
      </c>
      <c r="AE4" s="40" t="s">
        <v>203</v>
      </c>
      <c r="AF4" s="41" t="s">
        <v>79</v>
      </c>
      <c r="AG4" s="41" t="s">
        <v>79</v>
      </c>
      <c r="AH4" s="41" t="s">
        <v>79</v>
      </c>
      <c r="AI4" s="41" t="s">
        <v>80</v>
      </c>
      <c r="AJ4" s="41" t="s">
        <v>80</v>
      </c>
      <c r="AK4" s="41" t="s">
        <v>80</v>
      </c>
      <c r="AL4" s="41" t="s">
        <v>204</v>
      </c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ぱぱ</v>
      </c>
      <c r="F5" s="8"/>
      <c r="G5" s="9"/>
      <c r="H5" s="9"/>
      <c r="I5" s="48"/>
      <c r="J5" s="21">
        <f t="shared" ref="J5:J30" si="2">IF(COUNTA($F5,$K5,$P5)&gt;0,J4+SUM(G5:I5),"")</f>
        <v>59000</v>
      </c>
      <c r="K5" s="8" t="s">
        <v>202</v>
      </c>
      <c r="L5" s="9">
        <v>6400</v>
      </c>
      <c r="M5" s="9"/>
      <c r="N5" s="48">
        <v>1000</v>
      </c>
      <c r="O5" s="21">
        <f t="shared" ref="O5:O30" si="3">IF(COUNTA($F5,$K5,$P5)&gt;0,O4+SUM(L5:N5),"")</f>
        <v>18400</v>
      </c>
      <c r="P5" s="8" t="s">
        <v>201</v>
      </c>
      <c r="Q5" s="9">
        <v>-6400</v>
      </c>
      <c r="R5" s="9"/>
      <c r="S5" s="48">
        <v>-1000</v>
      </c>
      <c r="T5" s="21">
        <f t="shared" ref="T5:T30" si="4">IF(COUNTA($F5,$K5,$P5)&gt;0,T4+SUM(Q5:S5),"")</f>
        <v>27600</v>
      </c>
      <c r="U5" s="53">
        <f>IF($J5="","",ROUND(($J5-$J$3)/1000,1)+(_xlfn.RANK.AVG($J5,($J5,$O5,$T5),1)-2)*20)</f>
        <v>44</v>
      </c>
      <c r="V5" s="54">
        <f>IF($O5="","",ROUND(($O5-$O$3)/1000,1)+(_xlfn.RANK.AVG($O5,($J5,$O5,$T5),1)-2)*20)</f>
        <v>-36.6</v>
      </c>
      <c r="W5" s="55">
        <f>IF($T5="","",ROUND(($T5-$T$3)/1000,1)+(_xlfn.RANK.AVG($T5,($J5,$O5,$T5),1)-2)*20)</f>
        <v>-7.4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3</v>
      </c>
      <c r="AY5" s="30">
        <v>50</v>
      </c>
      <c r="AZ5" s="40" t="s">
        <v>85</v>
      </c>
      <c r="BA5" s="41" t="s">
        <v>79</v>
      </c>
      <c r="BB5" s="41" t="s">
        <v>204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 t="s">
        <v>199</v>
      </c>
      <c r="G6" s="9">
        <v>-2900</v>
      </c>
      <c r="H6" s="9">
        <v>-1000</v>
      </c>
      <c r="I6" s="48">
        <v>0</v>
      </c>
      <c r="J6" s="21">
        <f t="shared" si="2"/>
        <v>55100</v>
      </c>
      <c r="K6" s="8" t="s">
        <v>199</v>
      </c>
      <c r="L6" s="9">
        <v>-4800</v>
      </c>
      <c r="M6" s="9"/>
      <c r="N6" s="48">
        <v>0</v>
      </c>
      <c r="O6" s="21">
        <f t="shared" si="3"/>
        <v>13600</v>
      </c>
      <c r="P6" s="8" t="s">
        <v>200</v>
      </c>
      <c r="Q6" s="9">
        <v>7700</v>
      </c>
      <c r="R6" s="9">
        <v>1000</v>
      </c>
      <c r="S6" s="48">
        <v>0</v>
      </c>
      <c r="T6" s="21">
        <f t="shared" si="4"/>
        <v>36300</v>
      </c>
      <c r="U6" s="53">
        <f>IF($J6="","",ROUND(($J6-$J$3)/1000,1)+(_xlfn.RANK.AVG($J6,($J6,$O6,$T6),1)-2)*20)</f>
        <v>40.1</v>
      </c>
      <c r="V6" s="54">
        <f>IF($O6="","",ROUND(($O6-$O$3)/1000,1)+(_xlfn.RANK.AVG($O6,($J6,$O6,$T6),1)-2)*20)</f>
        <v>-41.4</v>
      </c>
      <c r="W6" s="55">
        <f>IF($T6="","",ROUND(($T6-$T$3)/1000,1)+(_xlfn.RANK.AVG($T6,($J6,$O6,$T6),1)-2)*20)</f>
        <v>1.3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86</v>
      </c>
      <c r="BV6" s="41" t="s">
        <v>79</v>
      </c>
      <c r="BW6" s="41" t="s">
        <v>79</v>
      </c>
      <c r="BX6" s="41" t="s">
        <v>86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202</v>
      </c>
      <c r="G7" s="9">
        <v>8000</v>
      </c>
      <c r="H7" s="9"/>
      <c r="I7" s="48">
        <v>0</v>
      </c>
      <c r="J7" s="21">
        <f t="shared" si="2"/>
        <v>63100</v>
      </c>
      <c r="K7" s="8"/>
      <c r="L7" s="9"/>
      <c r="M7" s="9"/>
      <c r="N7" s="48"/>
      <c r="O7" s="21">
        <f t="shared" si="3"/>
        <v>13600</v>
      </c>
      <c r="P7" s="8" t="s">
        <v>201</v>
      </c>
      <c r="Q7" s="9">
        <v>-8000</v>
      </c>
      <c r="R7" s="9"/>
      <c r="S7" s="48">
        <v>0</v>
      </c>
      <c r="T7" s="21">
        <f t="shared" si="4"/>
        <v>28300</v>
      </c>
      <c r="U7" s="53">
        <f>IF($J7="","",ROUND(($J7-$J$3)/1000,1)+(_xlfn.RANK.AVG($J7,($J7,$O7,$T7),1)-2)*20)</f>
        <v>48.1</v>
      </c>
      <c r="V7" s="54">
        <f>IF($O7="","",ROUND(($O7-$O$3)/1000,1)+(_xlfn.RANK.AVG($O7,($J7,$O7,$T7),1)-2)*20)</f>
        <v>-41.4</v>
      </c>
      <c r="W7" s="55">
        <f>IF($T7="","",ROUND(($T7-$T$3)/1000,1)+(_xlfn.RANK.AVG($T7,($J7,$O7,$T7),1)-2)*20)</f>
        <v>-6.7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203</v>
      </c>
      <c r="AF7" s="41" t="s">
        <v>204</v>
      </c>
      <c r="AG7" s="41" t="s">
        <v>204</v>
      </c>
      <c r="AH7" s="41" t="s">
        <v>86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ぱぱ</v>
      </c>
      <c r="F8" s="8" t="s">
        <v>201</v>
      </c>
      <c r="G8" s="9">
        <v>-7700</v>
      </c>
      <c r="H8" s="9"/>
      <c r="I8" s="48">
        <v>0</v>
      </c>
      <c r="J8" s="21">
        <f t="shared" si="2"/>
        <v>55400</v>
      </c>
      <c r="K8" s="8"/>
      <c r="L8" s="9"/>
      <c r="M8" s="9">
        <v>-1000</v>
      </c>
      <c r="N8" s="48"/>
      <c r="O8" s="21">
        <f t="shared" si="3"/>
        <v>12600</v>
      </c>
      <c r="P8" s="8" t="s">
        <v>202</v>
      </c>
      <c r="Q8" s="9">
        <v>7700</v>
      </c>
      <c r="R8" s="9">
        <v>1000</v>
      </c>
      <c r="S8" s="48">
        <v>0</v>
      </c>
      <c r="T8" s="21">
        <f t="shared" si="4"/>
        <v>37000</v>
      </c>
      <c r="U8" s="53">
        <f>IF($J8="","",ROUND(($J8-$J$3)/1000,1)+(_xlfn.RANK.AVG($J8,($J8,$O8,$T8),1)-2)*20)</f>
        <v>40.4</v>
      </c>
      <c r="V8" s="54">
        <f>IF($O8="","",ROUND(($O8-$O$3)/1000,1)+(_xlfn.RANK.AVG($O8,($J8,$O8,$T8),1)-2)*20)</f>
        <v>-42.4</v>
      </c>
      <c r="W8" s="55">
        <f>IF($T8="","",ROUND(($T8-$T$3)/1000,1)+(_xlfn.RANK.AVG($T8,($J8,$O8,$T8),1)-2)*20)</f>
        <v>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30</v>
      </c>
      <c r="BU8" s="40" t="s">
        <v>86</v>
      </c>
      <c r="BV8" s="41" t="s">
        <v>79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200</v>
      </c>
      <c r="G9" s="9">
        <v>8000</v>
      </c>
      <c r="H9" s="9"/>
      <c r="I9" s="48">
        <v>0</v>
      </c>
      <c r="J9" s="21">
        <f t="shared" si="2"/>
        <v>63400</v>
      </c>
      <c r="K9" s="8" t="s">
        <v>199</v>
      </c>
      <c r="L9" s="9">
        <v>-5000</v>
      </c>
      <c r="M9" s="9"/>
      <c r="N9" s="48">
        <v>0</v>
      </c>
      <c r="O9" s="21">
        <f t="shared" si="3"/>
        <v>7600</v>
      </c>
      <c r="P9" s="8" t="s">
        <v>199</v>
      </c>
      <c r="Q9" s="9">
        <v>-3000</v>
      </c>
      <c r="R9" s="9"/>
      <c r="S9" s="48">
        <v>0</v>
      </c>
      <c r="T9" s="21">
        <f t="shared" si="4"/>
        <v>34000</v>
      </c>
      <c r="U9" s="53">
        <f>IF($J9="","",ROUND(($J9-$J$3)/1000,1)+(_xlfn.RANK.AVG($J9,($J9,$O9,$T9),1)-2)*20)</f>
        <v>48.4</v>
      </c>
      <c r="V9" s="54">
        <f>IF($O9="","",ROUND(($O9-$O$3)/1000,1)+(_xlfn.RANK.AVG($O9,($J9,$O9,$T9),1)-2)*20)</f>
        <v>-47.4</v>
      </c>
      <c r="W9" s="55">
        <f>IF($T9="","",ROUND(($T9-$T$3)/1000,1)+(_xlfn.RANK.AVG($T9,($J9,$O9,$T9),1)-2)*20)</f>
        <v>-1</v>
      </c>
      <c r="Y9" s="8"/>
      <c r="Z9" s="34"/>
      <c r="AA9" s="26">
        <v>1</v>
      </c>
      <c r="AB9" s="26"/>
      <c r="AC9" s="26">
        <v>5</v>
      </c>
      <c r="AD9" s="30" t="s">
        <v>206</v>
      </c>
      <c r="AE9" s="40" t="s">
        <v>203</v>
      </c>
      <c r="AF9" s="41" t="s">
        <v>82</v>
      </c>
      <c r="AG9" s="41" t="s">
        <v>83</v>
      </c>
      <c r="AH9" s="41" t="s">
        <v>79</v>
      </c>
      <c r="AI9" s="41" t="s">
        <v>79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202</v>
      </c>
      <c r="G10" s="9">
        <v>2600</v>
      </c>
      <c r="H10" s="9"/>
      <c r="I10" s="48">
        <v>0</v>
      </c>
      <c r="J10" s="21">
        <f t="shared" si="2"/>
        <v>66000</v>
      </c>
      <c r="K10" s="8" t="s">
        <v>201</v>
      </c>
      <c r="L10" s="9">
        <v>-2600</v>
      </c>
      <c r="M10" s="9"/>
      <c r="N10" s="48">
        <v>0</v>
      </c>
      <c r="O10" s="21">
        <f t="shared" si="3"/>
        <v>5000</v>
      </c>
      <c r="P10" s="8"/>
      <c r="Q10" s="9"/>
      <c r="R10" s="9"/>
      <c r="S10" s="48"/>
      <c r="T10" s="21">
        <f t="shared" si="4"/>
        <v>34000</v>
      </c>
      <c r="U10" s="53">
        <f>IF($J10="","",ROUND(($J10-$J$3)/1000,1)+(_xlfn.RANK.AVG($J10,($J10,$O10,$T10),1)-2)*20)</f>
        <v>51</v>
      </c>
      <c r="V10" s="54">
        <f>IF($O10="","",ROUND(($O10-$O$3)/1000,1)+(_xlfn.RANK.AVG($O10,($J10,$O10,$T10),1)-2)*20)</f>
        <v>-50</v>
      </c>
      <c r="W10" s="55">
        <f>IF($T10="","",ROUND(($T10-$T$3)/1000,1)+(_xlfn.RANK.AVG($T10,($J10,$O10,$T10),1)-2)*20)</f>
        <v>-1</v>
      </c>
      <c r="Y10" s="8"/>
      <c r="Z10" s="34"/>
      <c r="AA10" s="26"/>
      <c r="AB10" s="26"/>
      <c r="AC10" s="26">
        <v>2</v>
      </c>
      <c r="AD10" s="30">
        <v>40</v>
      </c>
      <c r="AE10" s="40" t="s">
        <v>86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0CDA9763-61D5-47CB-996C-76A303182149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D3059E6A-8A59-4E28-8295-36597D4C165C}">
      <formula1>"ロン,ツモ,放銃,ツモ支払,流局,チョンボ"</formula1>
    </dataValidation>
    <dataValidation type="list" allowBlank="1" showInputMessage="1" showErrorMessage="1" sqref="E4:E30" xr:uid="{CA6E553E-F19C-43DA-8817-6ADFF5E7DEC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07E87-091C-45BB-9B55-F392787FF450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195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199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200</v>
      </c>
      <c r="L4" s="9">
        <v>5300</v>
      </c>
      <c r="M4" s="9">
        <v>1000</v>
      </c>
      <c r="N4" s="48">
        <v>0</v>
      </c>
      <c r="O4" s="21">
        <f>IF(COUNTA($F4,$K4,$P4)&gt;0,O3+SUM(L4:N4),"")</f>
        <v>41300</v>
      </c>
      <c r="P4" s="8" t="s">
        <v>199</v>
      </c>
      <c r="Q4" s="9">
        <v>-3300</v>
      </c>
      <c r="R4" s="9">
        <v>-1000</v>
      </c>
      <c r="S4" s="48">
        <v>0</v>
      </c>
      <c r="T4" s="21">
        <f>IF(COUNTA($F4,$K4,$P4)&gt;0,T3+SUM(Q4:S4),"")</f>
        <v>30700</v>
      </c>
      <c r="U4" s="53">
        <f>IF($J4="","",ROUND(($J4-$J$3)/1000,1)+(_xlfn.RANK.AVG($J4,($J4,$O4,$T4),1)-2)*20)</f>
        <v>-2</v>
      </c>
      <c r="V4" s="54">
        <f>IF($O4="","",ROUND(($O4-$O$3)/1000,1)+(_xlfn.RANK.AVG($O4,($J4,$O4,$T4),1)-2)*20)</f>
        <v>26.3</v>
      </c>
      <c r="W4" s="55">
        <f>IF($T4="","",ROUND(($T4-$T$3)/1000,1)+(_xlfn.RANK.AVG($T4,($J4,$O4,$T4),1)-2)*20)</f>
        <v>-24.3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203</v>
      </c>
      <c r="BA4" s="41" t="s">
        <v>82</v>
      </c>
      <c r="BB4" s="41" t="s">
        <v>83</v>
      </c>
      <c r="BC4" s="41" t="s">
        <v>84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ぱぱ</v>
      </c>
      <c r="F5" s="8" t="s">
        <v>202</v>
      </c>
      <c r="G5" s="9">
        <v>12000</v>
      </c>
      <c r="H5" s="9"/>
      <c r="I5" s="48">
        <v>0</v>
      </c>
      <c r="J5" s="21">
        <f t="shared" ref="J5:J30" si="2">IF(COUNTA($F5,$K5,$P5)&gt;0,J4+SUM(G5:I5),"")</f>
        <v>45000</v>
      </c>
      <c r="K5" s="8" t="s">
        <v>201</v>
      </c>
      <c r="L5" s="9">
        <v>-12000</v>
      </c>
      <c r="M5" s="9"/>
      <c r="N5" s="48">
        <v>0</v>
      </c>
      <c r="O5" s="21">
        <f t="shared" ref="O5:O30" si="3">IF(COUNTA($F5,$K5,$P5)&gt;0,O4+SUM(L5:N5),"")</f>
        <v>29300</v>
      </c>
      <c r="P5" s="8"/>
      <c r="Q5" s="9"/>
      <c r="R5" s="9"/>
      <c r="S5" s="48"/>
      <c r="T5" s="21">
        <f t="shared" ref="T5:T30" si="4">IF(COUNTA($F5,$K5,$P5)&gt;0,T4+SUM(Q5:S5),"")</f>
        <v>30700</v>
      </c>
      <c r="U5" s="53">
        <f>IF($J5="","",ROUND(($J5-$J$3)/1000,1)+(_xlfn.RANK.AVG($J5,($J5,$O5,$T5),1)-2)*20)</f>
        <v>30</v>
      </c>
      <c r="V5" s="54">
        <f>IF($O5="","",ROUND(($O5-$O$3)/1000,1)+(_xlfn.RANK.AVG($O5,($J5,$O5,$T5),1)-2)*20)</f>
        <v>-25.7</v>
      </c>
      <c r="W5" s="55">
        <f>IF($T5="","",ROUND(($T5-$T$3)/1000,1)+(_xlfn.RANK.AVG($T5,($J5,$O5,$T5),1)-2)*20)</f>
        <v>-4.3</v>
      </c>
      <c r="Y5" s="8"/>
      <c r="Z5" s="34"/>
      <c r="AA5" s="26"/>
      <c r="AB5" s="26"/>
      <c r="AC5" s="26">
        <v>5</v>
      </c>
      <c r="AD5" s="30" t="s">
        <v>206</v>
      </c>
      <c r="AE5" s="40" t="s">
        <v>104</v>
      </c>
      <c r="AF5" s="41" t="s">
        <v>84</v>
      </c>
      <c r="AG5" s="41" t="s">
        <v>204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ぱぱ</v>
      </c>
      <c r="F6" s="8" t="s">
        <v>198</v>
      </c>
      <c r="G6" s="9">
        <v>0</v>
      </c>
      <c r="H6" s="9"/>
      <c r="I6" s="48"/>
      <c r="J6" s="21">
        <f t="shared" si="2"/>
        <v>45000</v>
      </c>
      <c r="K6" s="8" t="s">
        <v>198</v>
      </c>
      <c r="L6" s="9">
        <v>0</v>
      </c>
      <c r="M6" s="9">
        <v>-1000</v>
      </c>
      <c r="N6" s="48"/>
      <c r="O6" s="21">
        <f t="shared" si="3"/>
        <v>28300</v>
      </c>
      <c r="P6" s="8" t="s">
        <v>198</v>
      </c>
      <c r="Q6" s="9">
        <v>0</v>
      </c>
      <c r="R6" s="9">
        <v>-1000</v>
      </c>
      <c r="S6" s="48"/>
      <c r="T6" s="21">
        <f t="shared" si="4"/>
        <v>29700</v>
      </c>
      <c r="U6" s="53">
        <f>IF($J6="","",ROUND(($J6-$J$3)/1000,1)+(_xlfn.RANK.AVG($J6,($J6,$O6,$T6),1)-2)*20)</f>
        <v>30</v>
      </c>
      <c r="V6" s="54">
        <f>IF($O6="","",ROUND(($O6-$O$3)/1000,1)+(_xlfn.RANK.AVG($O6,($J6,$O6,$T6),1)-2)*20)</f>
        <v>-26.7</v>
      </c>
      <c r="W6" s="55">
        <f>IF($T6="","",ROUND(($T6-$T$3)/1000,1)+(_xlfn.RANK.AVG($T6,($J6,$O6,$T6),1)-2)*20)</f>
        <v>-5.3</v>
      </c>
      <c r="Y6" s="8" t="s">
        <v>197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197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197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2</v>
      </c>
      <c r="E7" s="4" t="str">
        <f>IF($F$1="","",$F$1)</f>
        <v>ぱぱ</v>
      </c>
      <c r="F7" s="8" t="s">
        <v>199</v>
      </c>
      <c r="G7" s="9">
        <v>-5000</v>
      </c>
      <c r="H7" s="9"/>
      <c r="I7" s="48">
        <v>-1000</v>
      </c>
      <c r="J7" s="21">
        <f t="shared" si="2"/>
        <v>39000</v>
      </c>
      <c r="K7" s="8" t="s">
        <v>199</v>
      </c>
      <c r="L7" s="9">
        <v>-3000</v>
      </c>
      <c r="M7" s="9"/>
      <c r="N7" s="48">
        <v>-1000</v>
      </c>
      <c r="O7" s="21">
        <f t="shared" si="3"/>
        <v>24300</v>
      </c>
      <c r="P7" s="8" t="s">
        <v>200</v>
      </c>
      <c r="Q7" s="9">
        <v>8000</v>
      </c>
      <c r="R7" s="9">
        <v>2000</v>
      </c>
      <c r="S7" s="48">
        <v>2000</v>
      </c>
      <c r="T7" s="21">
        <f t="shared" si="4"/>
        <v>41700</v>
      </c>
      <c r="U7" s="53">
        <f>IF($J7="","",ROUND(($J7-$J$3)/1000,1)+(_xlfn.RANK.AVG($J7,($J7,$O7,$T7),1)-2)*20)</f>
        <v>4</v>
      </c>
      <c r="V7" s="54">
        <f>IF($O7="","",ROUND(($O7-$O$3)/1000,1)+(_xlfn.RANK.AVG($O7,($J7,$O7,$T7),1)-2)*20)</f>
        <v>-30.7</v>
      </c>
      <c r="W7" s="55">
        <f>IF($T7="","",ROUND(($T7-$T$3)/1000,1)+(_xlfn.RANK.AVG($T7,($J7,$O7,$T7),1)-2)*20)</f>
        <v>26.7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206</v>
      </c>
      <c r="BU7" s="40" t="s">
        <v>203</v>
      </c>
      <c r="BV7" s="41" t="s">
        <v>82</v>
      </c>
      <c r="BW7" s="41" t="s">
        <v>205</v>
      </c>
      <c r="BX7" s="41" t="s">
        <v>83</v>
      </c>
      <c r="BY7" s="41" t="s">
        <v>79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201</v>
      </c>
      <c r="G8" s="9">
        <v>-18000</v>
      </c>
      <c r="H8" s="9"/>
      <c r="I8" s="48">
        <v>0</v>
      </c>
      <c r="J8" s="21">
        <f t="shared" si="2"/>
        <v>21000</v>
      </c>
      <c r="K8" s="8" t="s">
        <v>202</v>
      </c>
      <c r="L8" s="9">
        <v>18000</v>
      </c>
      <c r="M8" s="9"/>
      <c r="N8" s="48">
        <v>0</v>
      </c>
      <c r="O8" s="21">
        <f t="shared" si="3"/>
        <v>42300</v>
      </c>
      <c r="P8" s="8"/>
      <c r="Q8" s="9"/>
      <c r="R8" s="9"/>
      <c r="S8" s="48"/>
      <c r="T8" s="21">
        <f t="shared" si="4"/>
        <v>41700</v>
      </c>
      <c r="U8" s="53">
        <f>IF($J8="","",ROUND(($J8-$J$3)/1000,1)+(_xlfn.RANK.AVG($J8,($J8,$O8,$T8),1)-2)*20)</f>
        <v>-34</v>
      </c>
      <c r="V8" s="54">
        <f>IF($O8="","",ROUND(($O8-$O$3)/1000,1)+(_xlfn.RANK.AVG($O8,($J8,$O8,$T8),1)-2)*20)</f>
        <v>27.3</v>
      </c>
      <c r="W8" s="55">
        <f>IF($T8="","",ROUND(($T8-$T$3)/1000,1)+(_xlfn.RANK.AVG($T8,($J8,$O8,$T8),1)-2)*20)</f>
        <v>6.7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206</v>
      </c>
      <c r="AZ8" s="40" t="s">
        <v>104</v>
      </c>
      <c r="BA8" s="41" t="s">
        <v>86</v>
      </c>
      <c r="BB8" s="41" t="s">
        <v>79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IF($K$1="","",$K$1)</f>
        <v>だいち</v>
      </c>
      <c r="F9" s="8"/>
      <c r="G9" s="9"/>
      <c r="H9" s="9"/>
      <c r="I9" s="48"/>
      <c r="J9" s="21">
        <f t="shared" si="2"/>
        <v>21000</v>
      </c>
      <c r="K9" s="8" t="s">
        <v>202</v>
      </c>
      <c r="L9" s="9">
        <v>4800</v>
      </c>
      <c r="M9" s="9"/>
      <c r="N9" s="48">
        <v>1000</v>
      </c>
      <c r="O9" s="21">
        <f t="shared" si="3"/>
        <v>48100</v>
      </c>
      <c r="P9" s="8" t="s">
        <v>201</v>
      </c>
      <c r="Q9" s="9">
        <v>-4800</v>
      </c>
      <c r="R9" s="9"/>
      <c r="S9" s="48">
        <v>-1000</v>
      </c>
      <c r="T9" s="21">
        <f t="shared" si="4"/>
        <v>35900</v>
      </c>
      <c r="U9" s="53">
        <f>IF($J9="","",ROUND(($J9-$J$3)/1000,1)+(_xlfn.RANK.AVG($J9,($J9,$O9,$T9),1)-2)*20)</f>
        <v>-34</v>
      </c>
      <c r="V9" s="54">
        <f>IF($O9="","",ROUND(($O9-$O$3)/1000,1)+(_xlfn.RANK.AVG($O9,($J9,$O9,$T9),1)-2)*20)</f>
        <v>33.1</v>
      </c>
      <c r="W9" s="55">
        <f>IF($T9="","",ROUND(($T9-$T$3)/1000,1)+(_xlfn.RANK.AVG($T9,($J9,$O9,$T9),1)-2)*20)</f>
        <v>0.9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25</v>
      </c>
      <c r="AZ9" s="40" t="s">
        <v>101</v>
      </c>
      <c r="BA9" s="41" t="s">
        <v>204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tr">
        <f>IF($K$1="","",$K$1)</f>
        <v>だいち</v>
      </c>
      <c r="F10" s="8" t="s">
        <v>198</v>
      </c>
      <c r="G10" s="9">
        <v>3000</v>
      </c>
      <c r="H10" s="9">
        <v>-1000</v>
      </c>
      <c r="I10" s="48"/>
      <c r="J10" s="21">
        <f t="shared" si="2"/>
        <v>23000</v>
      </c>
      <c r="K10" s="8" t="s">
        <v>198</v>
      </c>
      <c r="L10" s="9">
        <v>-1500</v>
      </c>
      <c r="M10" s="9"/>
      <c r="N10" s="48"/>
      <c r="O10" s="21">
        <f t="shared" si="3"/>
        <v>46600</v>
      </c>
      <c r="P10" s="8" t="s">
        <v>198</v>
      </c>
      <c r="Q10" s="9">
        <v>-1500</v>
      </c>
      <c r="R10" s="9"/>
      <c r="S10" s="48"/>
      <c r="T10" s="21">
        <f t="shared" si="4"/>
        <v>34400</v>
      </c>
      <c r="U10" s="53">
        <f>IF($J10="","",ROUND(($J10-$J$3)/1000,1)+(_xlfn.RANK.AVG($J10,($J10,$O10,$T10),1)-2)*20)</f>
        <v>-32</v>
      </c>
      <c r="V10" s="54">
        <f>IF($O10="","",ROUND(($O10-$O$3)/1000,1)+(_xlfn.RANK.AVG($O10,($J10,$O10,$T10),1)-2)*20)</f>
        <v>31.6</v>
      </c>
      <c r="W10" s="55">
        <f>IF($T10="","",ROUND(($T10-$T$3)/1000,1)+(_xlfn.RANK.AVG($T10,($J10,$O10,$T10),1)-2)*20)</f>
        <v>-0.6</v>
      </c>
      <c r="Y10" s="8" t="s">
        <v>197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196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196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1</v>
      </c>
      <c r="E11" s="4" t="str">
        <f>IF($P$1="","",$P$1)</f>
        <v>れんたろう</v>
      </c>
      <c r="F11" s="8" t="s">
        <v>198</v>
      </c>
      <c r="G11" s="9">
        <v>0</v>
      </c>
      <c r="H11" s="9"/>
      <c r="I11" s="48"/>
      <c r="J11" s="21">
        <f t="shared" si="2"/>
        <v>23000</v>
      </c>
      <c r="K11" s="8" t="s">
        <v>198</v>
      </c>
      <c r="L11" s="9">
        <v>0</v>
      </c>
      <c r="M11" s="9">
        <v>-1000</v>
      </c>
      <c r="N11" s="48"/>
      <c r="O11" s="21">
        <f t="shared" si="3"/>
        <v>45600</v>
      </c>
      <c r="P11" s="8" t="s">
        <v>198</v>
      </c>
      <c r="Q11" s="9">
        <v>0</v>
      </c>
      <c r="R11" s="9"/>
      <c r="S11" s="48"/>
      <c r="T11" s="21">
        <f t="shared" si="4"/>
        <v>34400</v>
      </c>
      <c r="U11" s="53">
        <f>IF($J11="","",ROUND(($J11-$J$3)/1000,1)+(_xlfn.RANK.AVG($J11,($J11,$O11,$T11),1)-2)*20)</f>
        <v>-32</v>
      </c>
      <c r="V11" s="54">
        <f>IF($O11="","",ROUND(($O11-$O$3)/1000,1)+(_xlfn.RANK.AVG($O11,($J11,$O11,$T11),1)-2)*20)</f>
        <v>30.6</v>
      </c>
      <c r="W11" s="55">
        <f>IF($T11="","",ROUND(($T11-$T$3)/1000,1)+(_xlfn.RANK.AVG($T11,($J11,$O11,$T11),1)-2)*20)</f>
        <v>-0.6</v>
      </c>
      <c r="Y11" s="8" t="s">
        <v>196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196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196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4</v>
      </c>
      <c r="D12" s="18">
        <f t="shared" si="1"/>
        <v>2</v>
      </c>
      <c r="E12" s="4" t="str">
        <f>IF($F$1="","",$F$1)</f>
        <v>ぱぱ</v>
      </c>
      <c r="F12" s="8" t="s">
        <v>198</v>
      </c>
      <c r="G12" s="9">
        <v>-1500</v>
      </c>
      <c r="H12" s="9"/>
      <c r="I12" s="48"/>
      <c r="J12" s="21">
        <f t="shared" si="2"/>
        <v>21500</v>
      </c>
      <c r="K12" s="8" t="s">
        <v>198</v>
      </c>
      <c r="L12" s="9">
        <v>-1500</v>
      </c>
      <c r="M12" s="9"/>
      <c r="N12" s="48"/>
      <c r="O12" s="21">
        <f t="shared" si="3"/>
        <v>44100</v>
      </c>
      <c r="P12" s="8" t="s">
        <v>198</v>
      </c>
      <c r="Q12" s="9">
        <v>3000</v>
      </c>
      <c r="R12" s="9">
        <v>-1000</v>
      </c>
      <c r="S12" s="48"/>
      <c r="T12" s="21">
        <f t="shared" si="4"/>
        <v>36400</v>
      </c>
      <c r="U12" s="53">
        <f>IF($J12="","",ROUND(($J12-$J$3)/1000,1)+(_xlfn.RANK.AVG($J12,($J12,$O12,$T12),1)-2)*20)</f>
        <v>-33.5</v>
      </c>
      <c r="V12" s="54">
        <f>IF($O12="","",ROUND(($O12-$O$3)/1000,1)+(_xlfn.RANK.AVG($O12,($J12,$O12,$T12),1)-2)*20)</f>
        <v>29.1</v>
      </c>
      <c r="W12" s="55">
        <f>IF($T12="","",ROUND(($T12-$T$3)/1000,1)+(_xlfn.RANK.AVG($T12,($J12,$O12,$T12),1)-2)*20)</f>
        <v>1.4</v>
      </c>
      <c r="Y12" s="8" t="s">
        <v>196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196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197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5</v>
      </c>
      <c r="D13" s="18">
        <f t="shared" si="1"/>
        <v>3</v>
      </c>
      <c r="E13" s="4" t="str">
        <f>IF($K$1="","",$K$1)</f>
        <v>だいち</v>
      </c>
      <c r="F13" s="8" t="s">
        <v>201</v>
      </c>
      <c r="G13" s="9">
        <v>-7700</v>
      </c>
      <c r="H13" s="9"/>
      <c r="I13" s="48">
        <v>-5000</v>
      </c>
      <c r="J13" s="21">
        <f t="shared" si="2"/>
        <v>8800</v>
      </c>
      <c r="K13" s="8"/>
      <c r="L13" s="9"/>
      <c r="M13" s="9"/>
      <c r="N13" s="48"/>
      <c r="O13" s="21">
        <f t="shared" si="3"/>
        <v>44100</v>
      </c>
      <c r="P13" s="8" t="s">
        <v>202</v>
      </c>
      <c r="Q13" s="9">
        <v>7700</v>
      </c>
      <c r="R13" s="9">
        <v>3000</v>
      </c>
      <c r="S13" s="48">
        <v>5000</v>
      </c>
      <c r="T13" s="21">
        <f t="shared" si="4"/>
        <v>52100</v>
      </c>
      <c r="U13" s="53">
        <f>IF($J13="","",ROUND(($J13-$J$3)/1000,1)+(_xlfn.RANK.AVG($J13,($J13,$O13,$T13),1)-2)*20)</f>
        <v>-46.2</v>
      </c>
      <c r="V13" s="54">
        <f>IF($O13="","",ROUND(($O13-$O$3)/1000,1)+(_xlfn.RANK.AVG($O13,($J13,$O13,$T13),1)-2)*20)</f>
        <v>9.1</v>
      </c>
      <c r="W13" s="55">
        <f>IF($T13="","",ROUND(($T13-$T$3)/1000,1)+(_xlfn.RANK.AVG($T13,($J13,$O13,$T13),1)-2)*20)</f>
        <v>37.1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30</v>
      </c>
      <c r="BU13" s="40" t="s">
        <v>203</v>
      </c>
      <c r="BV13" s="41" t="s">
        <v>83</v>
      </c>
      <c r="BW13" s="41" t="s">
        <v>204</v>
      </c>
      <c r="BX13" s="41" t="s">
        <v>80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A0B26E99-5BFA-467D-AED5-2E4712731556}">
      <formula1>$U$2:$W$2</formula1>
    </dataValidation>
    <dataValidation type="list" showInputMessage="1" showErrorMessage="1" sqref="K4:K30 P4:P30 F4:F30" xr:uid="{97B9F5C3-9C99-4AE5-8CB3-95CFD0E15699}">
      <formula1>"ロン,ツモ,放銃,ツモ支払,流局,チョンボ"</formula1>
    </dataValidation>
    <dataValidation type="list" allowBlank="1" showInputMessage="1" sqref="F1:T1" xr:uid="{3C952773-8DED-4B0A-9296-77CEBDBB92B4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77A18-096C-4B5F-A481-78426753C180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/>
      <c r="G4" s="9"/>
      <c r="H4" s="9"/>
      <c r="I4" s="48"/>
      <c r="J4" s="21">
        <f>IF(COUNTA($F4,$K4,$P4)&gt;0,J3+SUM(G4:I4),"")</f>
        <v>35000</v>
      </c>
      <c r="K4" s="8" t="s">
        <v>202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 t="s">
        <v>201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25.2</v>
      </c>
      <c r="W4" s="55">
        <f>IF($T4="","",ROUND(($T4-$T$3)/1000,1)+(_xlfn.RANK.AVG($T4,($J4,$O4,$T4),1)-2)*20)</f>
        <v>-25.2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203</v>
      </c>
      <c r="BA4" s="41" t="s">
        <v>204</v>
      </c>
      <c r="BB4" s="41" t="s">
        <v>205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/>
      <c r="G5" s="9"/>
      <c r="H5" s="9">
        <v>-1000</v>
      </c>
      <c r="I5" s="48"/>
      <c r="J5" s="21">
        <f t="shared" ref="J5:J30" si="2">IF(COUNTA($F5,$K5,$P5)&gt;0,J4+SUM(G5:I5),"")</f>
        <v>34000</v>
      </c>
      <c r="K5" s="8" t="s">
        <v>202</v>
      </c>
      <c r="L5" s="9">
        <v>6400</v>
      </c>
      <c r="M5" s="9">
        <v>1000</v>
      </c>
      <c r="N5" s="48">
        <v>0</v>
      </c>
      <c r="O5" s="21">
        <f t="shared" ref="O5:O30" si="3">IF(COUNTA($F5,$K5,$P5)&gt;0,O4+SUM(L5:N5),"")</f>
        <v>47600</v>
      </c>
      <c r="P5" s="8" t="s">
        <v>201</v>
      </c>
      <c r="Q5" s="9">
        <v>-6400</v>
      </c>
      <c r="R5" s="9"/>
      <c r="S5" s="48">
        <v>0</v>
      </c>
      <c r="T5" s="21">
        <f t="shared" ref="T5:T30" si="4">IF(COUNTA($F5,$K5,$P5)&gt;0,T4+SUM(Q5:S5),"")</f>
        <v>23400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32.6</v>
      </c>
      <c r="W5" s="55">
        <f>IF($T5="","",ROUND(($T5-$T$3)/1000,1)+(_xlfn.RANK.AVG($T5,($J5,$O5,$T5),1)-2)*20)</f>
        <v>-31.6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25</v>
      </c>
      <c r="AZ5" s="40" t="s">
        <v>203</v>
      </c>
      <c r="BA5" s="41" t="s">
        <v>205</v>
      </c>
      <c r="BB5" s="41" t="s">
        <v>101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/>
      <c r="G6" s="9"/>
      <c r="H6" s="9"/>
      <c r="I6" s="48"/>
      <c r="J6" s="21">
        <f t="shared" si="2"/>
        <v>34000</v>
      </c>
      <c r="K6" s="8" t="s">
        <v>201</v>
      </c>
      <c r="L6" s="9">
        <v>-8000</v>
      </c>
      <c r="M6" s="9">
        <v>-1000</v>
      </c>
      <c r="N6" s="48">
        <v>0</v>
      </c>
      <c r="O6" s="21">
        <f t="shared" si="3"/>
        <v>38600</v>
      </c>
      <c r="P6" s="8" t="s">
        <v>202</v>
      </c>
      <c r="Q6" s="9">
        <v>8000</v>
      </c>
      <c r="R6" s="9">
        <v>1000</v>
      </c>
      <c r="S6" s="48">
        <v>0</v>
      </c>
      <c r="T6" s="21">
        <f t="shared" si="4"/>
        <v>32400</v>
      </c>
      <c r="U6" s="53">
        <f>IF($J6="","",ROUND(($J6-$J$3)/1000,1)+(_xlfn.RANK.AVG($J6,($J6,$O6,$T6),1)-2)*20)</f>
        <v>-1</v>
      </c>
      <c r="V6" s="54">
        <f>IF($O6="","",ROUND(($O6-$O$3)/1000,1)+(_xlfn.RANK.AVG($O6,($J6,$O6,$T6),1)-2)*20)</f>
        <v>23.6</v>
      </c>
      <c r="W6" s="55">
        <f>IF($T6="","",ROUND(($T6-$T$3)/1000,1)+(_xlfn.RANK.AVG($T6,($J6,$O6,$T6),1)-2)*20)</f>
        <v>-22.6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203</v>
      </c>
      <c r="BV6" s="41" t="s">
        <v>79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/>
      <c r="G7" s="9"/>
      <c r="H7" s="9"/>
      <c r="I7" s="48"/>
      <c r="J7" s="21">
        <f t="shared" si="2"/>
        <v>34000</v>
      </c>
      <c r="K7" s="8" t="s">
        <v>201</v>
      </c>
      <c r="L7" s="9">
        <v>-12000</v>
      </c>
      <c r="M7" s="9">
        <v>-1000</v>
      </c>
      <c r="N7" s="48">
        <v>0</v>
      </c>
      <c r="O7" s="21">
        <f t="shared" si="3"/>
        <v>25600</v>
      </c>
      <c r="P7" s="8" t="s">
        <v>202</v>
      </c>
      <c r="Q7" s="9">
        <v>12000</v>
      </c>
      <c r="R7" s="9">
        <v>1000</v>
      </c>
      <c r="S7" s="48">
        <v>0</v>
      </c>
      <c r="T7" s="21">
        <f t="shared" si="4"/>
        <v>45400</v>
      </c>
      <c r="U7" s="53">
        <f>IF($J7="","",ROUND(($J7-$J$3)/1000,1)+(_xlfn.RANK.AVG($J7,($J7,$O7,$T7),1)-2)*20)</f>
        <v>-1</v>
      </c>
      <c r="V7" s="54">
        <f>IF($O7="","",ROUND(($O7-$O$3)/1000,1)+(_xlfn.RANK.AVG($O7,($J7,$O7,$T7),1)-2)*20)</f>
        <v>-29.4</v>
      </c>
      <c r="W7" s="55">
        <f>IF($T7="","",ROUND(($T7-$T$3)/1000,1)+(_xlfn.RANK.AVG($T7,($J7,$O7,$T7),1)-2)*20)</f>
        <v>30.4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206</v>
      </c>
      <c r="BU7" s="40" t="s">
        <v>203</v>
      </c>
      <c r="BV7" s="41" t="s">
        <v>85</v>
      </c>
      <c r="BW7" s="41" t="s">
        <v>80</v>
      </c>
      <c r="BX7" s="41" t="s">
        <v>80</v>
      </c>
      <c r="BY7" s="41" t="s">
        <v>80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 t="s">
        <v>199</v>
      </c>
      <c r="G8" s="9">
        <v>-9000</v>
      </c>
      <c r="H8" s="9"/>
      <c r="I8" s="48">
        <v>-500</v>
      </c>
      <c r="J8" s="21">
        <f t="shared" si="2"/>
        <v>24500</v>
      </c>
      <c r="K8" s="8" t="s">
        <v>199</v>
      </c>
      <c r="L8" s="9">
        <v>-9000</v>
      </c>
      <c r="M8" s="9">
        <v>-1000</v>
      </c>
      <c r="N8" s="48">
        <v>-500</v>
      </c>
      <c r="O8" s="21">
        <f t="shared" si="3"/>
        <v>15100</v>
      </c>
      <c r="P8" s="8" t="s">
        <v>200</v>
      </c>
      <c r="Q8" s="9">
        <v>18000</v>
      </c>
      <c r="R8" s="9">
        <v>1000</v>
      </c>
      <c r="S8" s="48">
        <v>1000</v>
      </c>
      <c r="T8" s="21">
        <f t="shared" si="4"/>
        <v>65400</v>
      </c>
      <c r="U8" s="53">
        <f>IF($J8="","",ROUND(($J8-$J$3)/1000,1)+(_xlfn.RANK.AVG($J8,($J8,$O8,$T8),1)-2)*20)</f>
        <v>-10.5</v>
      </c>
      <c r="V8" s="54">
        <f>IF($O8="","",ROUND(($O8-$O$3)/1000,1)+(_xlfn.RANK.AVG($O8,($J8,$O8,$T8),1)-2)*20)</f>
        <v>-39.9</v>
      </c>
      <c r="W8" s="55">
        <f>IF($T8="","",ROUND(($T8-$T$3)/1000,1)+(_xlfn.RANK.AVG($T8,($J8,$O8,$T8),1)-2)*20)</f>
        <v>50.4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206</v>
      </c>
      <c r="BU8" s="40" t="s">
        <v>203</v>
      </c>
      <c r="BV8" s="41" t="s">
        <v>82</v>
      </c>
      <c r="BW8" s="41" t="s">
        <v>85</v>
      </c>
      <c r="BX8" s="41" t="s">
        <v>79</v>
      </c>
      <c r="BY8" s="41" t="s">
        <v>79</v>
      </c>
      <c r="BZ8" s="41" t="s">
        <v>80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IF($P$1="","",$P$1)</f>
        <v>れんたろう</v>
      </c>
      <c r="F9" s="8" t="s">
        <v>200</v>
      </c>
      <c r="G9" s="9">
        <v>5300</v>
      </c>
      <c r="H9" s="9"/>
      <c r="I9" s="48">
        <v>2000</v>
      </c>
      <c r="J9" s="21">
        <f t="shared" si="2"/>
        <v>31800</v>
      </c>
      <c r="K9" s="8" t="s">
        <v>199</v>
      </c>
      <c r="L9" s="9">
        <v>-2000</v>
      </c>
      <c r="M9" s="9"/>
      <c r="N9" s="48">
        <v>-1000</v>
      </c>
      <c r="O9" s="21">
        <f t="shared" si="3"/>
        <v>12100</v>
      </c>
      <c r="P9" s="8" t="s">
        <v>199</v>
      </c>
      <c r="Q9" s="9">
        <v>-3300</v>
      </c>
      <c r="R9" s="9"/>
      <c r="S9" s="48">
        <v>-1000</v>
      </c>
      <c r="T9" s="21">
        <f t="shared" si="4"/>
        <v>61100</v>
      </c>
      <c r="U9" s="53">
        <f>IF($J9="","",ROUND(($J9-$J$3)/1000,1)+(_xlfn.RANK.AVG($J9,($J9,$O9,$T9),1)-2)*20)</f>
        <v>-3.2</v>
      </c>
      <c r="V9" s="54">
        <f>IF($O9="","",ROUND(($O9-$O$3)/1000,1)+(_xlfn.RANK.AVG($O9,($J9,$O9,$T9),1)-2)*20)</f>
        <v>-42.9</v>
      </c>
      <c r="W9" s="55">
        <f>IF($T9="","",ROUND(($T9-$T$3)/1000,1)+(_xlfn.RANK.AVG($T9,($J9,$O9,$T9),1)-2)*20)</f>
        <v>46.1</v>
      </c>
      <c r="Y9" s="8"/>
      <c r="Z9" s="34"/>
      <c r="AA9" s="26">
        <v>1</v>
      </c>
      <c r="AB9" s="26"/>
      <c r="AC9" s="26">
        <v>3</v>
      </c>
      <c r="AD9" s="30">
        <v>40</v>
      </c>
      <c r="AE9" s="40" t="s">
        <v>203</v>
      </c>
      <c r="AF9" s="41" t="s">
        <v>82</v>
      </c>
      <c r="AG9" s="41" t="s">
        <v>80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IF($F$1="","",$F$1)</f>
        <v>ただ</v>
      </c>
      <c r="F10" s="8"/>
      <c r="G10" s="9"/>
      <c r="H10" s="9"/>
      <c r="I10" s="48"/>
      <c r="J10" s="21">
        <f t="shared" si="2"/>
        <v>31800</v>
      </c>
      <c r="K10" s="8" t="s">
        <v>201</v>
      </c>
      <c r="L10" s="9">
        <v>-8000</v>
      </c>
      <c r="M10" s="9">
        <v>-1000</v>
      </c>
      <c r="N10" s="48">
        <v>0</v>
      </c>
      <c r="O10" s="21">
        <f t="shared" si="3"/>
        <v>3100</v>
      </c>
      <c r="P10" s="8" t="s">
        <v>202</v>
      </c>
      <c r="Q10" s="9">
        <v>8000</v>
      </c>
      <c r="R10" s="9">
        <v>1000</v>
      </c>
      <c r="S10" s="48">
        <v>0</v>
      </c>
      <c r="T10" s="21">
        <f t="shared" si="4"/>
        <v>70100</v>
      </c>
      <c r="U10" s="53">
        <f>IF($J10="","",ROUND(($J10-$J$3)/1000,1)+(_xlfn.RANK.AVG($J10,($J10,$O10,$T10),1)-2)*20)</f>
        <v>-3.2</v>
      </c>
      <c r="V10" s="54">
        <f>IF($O10="","",ROUND(($O10-$O$3)/1000,1)+(_xlfn.RANK.AVG($O10,($J10,$O10,$T10),1)-2)*20)</f>
        <v>-51.9</v>
      </c>
      <c r="W10" s="55">
        <f>IF($T10="","",ROUND(($T10-$T$3)/1000,1)+(_xlfn.RANK.AVG($T10,($J10,$O10,$T10),1)-2)*20)</f>
        <v>55.1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4</v>
      </c>
      <c r="BT10" s="30">
        <v>40</v>
      </c>
      <c r="BU10" s="40" t="s">
        <v>104</v>
      </c>
      <c r="BV10" s="41" t="s">
        <v>86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 t="s">
        <v>200</v>
      </c>
      <c r="G11" s="9">
        <v>8000</v>
      </c>
      <c r="H11" s="9">
        <v>1000</v>
      </c>
      <c r="I11" s="48">
        <v>0</v>
      </c>
      <c r="J11" s="21">
        <f t="shared" si="2"/>
        <v>40800</v>
      </c>
      <c r="K11" s="8" t="s">
        <v>199</v>
      </c>
      <c r="L11" s="9">
        <v>-5000</v>
      </c>
      <c r="M11" s="9"/>
      <c r="N11" s="48">
        <v>0</v>
      </c>
      <c r="O11" s="21">
        <f t="shared" si="3"/>
        <v>-1900</v>
      </c>
      <c r="P11" s="8" t="s">
        <v>199</v>
      </c>
      <c r="Q11" s="9">
        <v>-3000</v>
      </c>
      <c r="R11" s="9">
        <v>-1000</v>
      </c>
      <c r="S11" s="48">
        <v>0</v>
      </c>
      <c r="T11" s="21">
        <f t="shared" si="4"/>
        <v>66100</v>
      </c>
      <c r="U11" s="53">
        <f>IF($J11="","",ROUND(($J11-$J$3)/1000,1)+(_xlfn.RANK.AVG($J11,($J11,$O11,$T11),1)-2)*20)</f>
        <v>5.8</v>
      </c>
      <c r="V11" s="54">
        <f>IF($O11="","",ROUND(($O11-$O$3)/1000,1)+(_xlfn.RANK.AVG($O11,($J11,$O11,$T11),1)-2)*20)</f>
        <v>-56.9</v>
      </c>
      <c r="W11" s="55">
        <f>IF($T11="","",ROUND(($T11-$T$3)/1000,1)+(_xlfn.RANK.AVG($T11,($J11,$O11,$T11),1)-2)*20)</f>
        <v>51.1</v>
      </c>
      <c r="Y11" s="8"/>
      <c r="Z11" s="34"/>
      <c r="AA11" s="26"/>
      <c r="AB11" s="26"/>
      <c r="AC11" s="26">
        <v>5</v>
      </c>
      <c r="AD11" s="30" t="s">
        <v>206</v>
      </c>
      <c r="AE11" s="40" t="s">
        <v>204</v>
      </c>
      <c r="AF11" s="41" t="s">
        <v>204</v>
      </c>
      <c r="AG11" s="41" t="s">
        <v>86</v>
      </c>
      <c r="AH11" s="41" t="s">
        <v>82</v>
      </c>
      <c r="AI11" s="41" t="s">
        <v>79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B17EA12C-FBB4-4357-A633-B363091F4D4A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2F7D1E83-60EA-4053-B564-D0C3BF063FA1}">
      <formula1>"ロン,ツモ,放銃,ツモ支払,流局,チョンボ"</formula1>
    </dataValidation>
    <dataValidation type="list" allowBlank="1" showInputMessage="1" showErrorMessage="1" sqref="E4:E30" xr:uid="{63E83099-77D6-460D-B029-42D2FDF8ABD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A509-2C3A-40B5-B1E4-714E3C517C53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193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207</v>
      </c>
      <c r="F4" s="8" t="s">
        <v>201</v>
      </c>
      <c r="G4" s="9">
        <v>-9600</v>
      </c>
      <c r="H4" s="9"/>
      <c r="I4" s="48">
        <v>0</v>
      </c>
      <c r="J4" s="21">
        <f>IF(COUNTA($F4,$K4,$P4)&gt;0,J3+SUM(G4:I4),"")</f>
        <v>25400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202</v>
      </c>
      <c r="Q4" s="9">
        <v>9600</v>
      </c>
      <c r="R4" s="9">
        <v>1000</v>
      </c>
      <c r="S4" s="48">
        <v>0</v>
      </c>
      <c r="T4" s="21">
        <f>IF(COUNTA($F4,$K4,$P4)&gt;0,T3+SUM(Q4:S4),"")</f>
        <v>45600</v>
      </c>
      <c r="U4" s="53">
        <f>IF($J4="","",ROUND(($J4-$J$3)/1000,1)+(_xlfn.RANK.AVG($J4,($J4,$O4,$T4),1)-2)*20)</f>
        <v>-29.6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30.6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50</v>
      </c>
      <c r="BU4" s="40" t="s">
        <v>203</v>
      </c>
      <c r="BV4" s="41" t="s">
        <v>85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202</v>
      </c>
      <c r="G5" s="9">
        <v>2000</v>
      </c>
      <c r="H5" s="9"/>
      <c r="I5" s="48">
        <v>1000</v>
      </c>
      <c r="J5" s="21">
        <f t="shared" ref="J5:J30" si="2">IF(COUNTA($F5,$K5,$P5)&gt;0,J4+SUM(G5:I5),"")</f>
        <v>28400</v>
      </c>
      <c r="K5" s="8"/>
      <c r="L5" s="9"/>
      <c r="M5" s="9"/>
      <c r="N5" s="48"/>
      <c r="O5" s="21">
        <f t="shared" ref="O5:O30" si="3">IF(COUNTA($F5,$K5,$P5)&gt;0,O4+SUM(L5:N5),"")</f>
        <v>34000</v>
      </c>
      <c r="P5" s="8" t="s">
        <v>201</v>
      </c>
      <c r="Q5" s="9">
        <v>-2000</v>
      </c>
      <c r="R5" s="9"/>
      <c r="S5" s="48">
        <v>-1000</v>
      </c>
      <c r="T5" s="21">
        <f t="shared" ref="T5:T30" si="4">IF(COUNTA($F5,$K5,$P5)&gt;0,T4+SUM(Q5:S5),"")</f>
        <v>42600</v>
      </c>
      <c r="U5" s="53">
        <f>IF($J5="","",ROUND(($J5-$J$3)/1000,1)+(_xlfn.RANK.AVG($J5,($J5,$O5,$T5),1)-2)*20)</f>
        <v>-26.6</v>
      </c>
      <c r="V5" s="54">
        <f>IF($O5="","",ROUND(($O5-$O$3)/1000,1)+(_xlfn.RANK.AVG($O5,($J5,$O5,$T5),1)-2)*20)</f>
        <v>-1</v>
      </c>
      <c r="W5" s="55">
        <f>IF($T5="","",ROUND(($T5-$T$3)/1000,1)+(_xlfn.RANK.AVG($T5,($J5,$O5,$T5),1)-2)*20)</f>
        <v>27.6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104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ただ</v>
      </c>
      <c r="F6" s="8" t="s">
        <v>200</v>
      </c>
      <c r="G6" s="9">
        <v>11600</v>
      </c>
      <c r="H6" s="9">
        <v>1000</v>
      </c>
      <c r="I6" s="48">
        <v>0</v>
      </c>
      <c r="J6" s="21">
        <f t="shared" si="2"/>
        <v>41000</v>
      </c>
      <c r="K6" s="8" t="s">
        <v>199</v>
      </c>
      <c r="L6" s="9">
        <v>-5800</v>
      </c>
      <c r="M6" s="9"/>
      <c r="N6" s="48">
        <v>0</v>
      </c>
      <c r="O6" s="21">
        <f t="shared" si="3"/>
        <v>28200</v>
      </c>
      <c r="P6" s="8" t="s">
        <v>199</v>
      </c>
      <c r="Q6" s="9">
        <v>-5800</v>
      </c>
      <c r="R6" s="9">
        <v>-1000</v>
      </c>
      <c r="S6" s="48">
        <v>0</v>
      </c>
      <c r="T6" s="21">
        <f t="shared" si="4"/>
        <v>35800</v>
      </c>
      <c r="U6" s="53">
        <f>IF($J6="","",ROUND(($J6-$J$3)/1000,1)+(_xlfn.RANK.AVG($J6,($J6,$O6,$T6),1)-2)*20)</f>
        <v>26</v>
      </c>
      <c r="V6" s="54">
        <f>IF($O6="","",ROUND(($O6-$O$3)/1000,1)+(_xlfn.RANK.AVG($O6,($J6,$O6,$T6),1)-2)*20)</f>
        <v>-26.8</v>
      </c>
      <c r="W6" s="55">
        <f>IF($T6="","",ROUND(($T6-$T$3)/1000,1)+(_xlfn.RANK.AVG($T6,($J6,$O6,$T6),1)-2)*20)</f>
        <v>0.8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203</v>
      </c>
      <c r="AF6" s="41" t="s">
        <v>82</v>
      </c>
      <c r="AG6" s="41" t="s">
        <v>86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IF($F$1="","",$F$1)</f>
        <v>ただ</v>
      </c>
      <c r="F7" s="8" t="s">
        <v>198</v>
      </c>
      <c r="G7" s="9">
        <v>0</v>
      </c>
      <c r="H7" s="9"/>
      <c r="I7" s="48"/>
      <c r="J7" s="21">
        <f t="shared" si="2"/>
        <v>41000</v>
      </c>
      <c r="K7" s="8" t="s">
        <v>198</v>
      </c>
      <c r="L7" s="9">
        <v>0</v>
      </c>
      <c r="M7" s="9"/>
      <c r="N7" s="48"/>
      <c r="O7" s="21">
        <f t="shared" si="3"/>
        <v>28200</v>
      </c>
      <c r="P7" s="8" t="s">
        <v>198</v>
      </c>
      <c r="Q7" s="9">
        <v>0</v>
      </c>
      <c r="R7" s="9"/>
      <c r="S7" s="48"/>
      <c r="T7" s="21">
        <f t="shared" si="4"/>
        <v>35800</v>
      </c>
      <c r="U7" s="53">
        <f>IF($J7="","",ROUND(($J7-$J$3)/1000,1)+(_xlfn.RANK.AVG($J7,($J7,$O7,$T7),1)-2)*20)</f>
        <v>26</v>
      </c>
      <c r="V7" s="54">
        <f>IF($O7="","",ROUND(($O7-$O$3)/1000,1)+(_xlfn.RANK.AVG($O7,($J7,$O7,$T7),1)-2)*20)</f>
        <v>-26.8</v>
      </c>
      <c r="W7" s="55">
        <f>IF($T7="","",ROUND(($T7-$T$3)/1000,1)+(_xlfn.RANK.AVG($T7,($J7,$O7,$T7),1)-2)*20)</f>
        <v>0.8</v>
      </c>
      <c r="Y7" s="8" t="s">
        <v>197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197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197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IF($F$1="","",$F$1)</f>
        <v>ただ</v>
      </c>
      <c r="F8" s="8"/>
      <c r="G8" s="9"/>
      <c r="H8" s="9"/>
      <c r="I8" s="48"/>
      <c r="J8" s="21">
        <f t="shared" si="2"/>
        <v>41000</v>
      </c>
      <c r="K8" s="8" t="s">
        <v>202</v>
      </c>
      <c r="L8" s="9">
        <v>2000</v>
      </c>
      <c r="M8" s="9"/>
      <c r="N8" s="48">
        <v>2000</v>
      </c>
      <c r="O8" s="21">
        <f t="shared" si="3"/>
        <v>32200</v>
      </c>
      <c r="P8" s="8" t="s">
        <v>201</v>
      </c>
      <c r="Q8" s="9">
        <v>-2000</v>
      </c>
      <c r="R8" s="9"/>
      <c r="S8" s="48">
        <v>-2000</v>
      </c>
      <c r="T8" s="21">
        <f t="shared" si="4"/>
        <v>31800</v>
      </c>
      <c r="U8" s="53">
        <f>IF($J8="","",ROUND(($J8-$J$3)/1000,1)+(_xlfn.RANK.AVG($J8,($J8,$O8,$T8),1)-2)*20)</f>
        <v>26</v>
      </c>
      <c r="V8" s="54">
        <f>IF($O8="","",ROUND(($O8-$O$3)/1000,1)+(_xlfn.RANK.AVG($O8,($J8,$O8,$T8),1)-2)*20)</f>
        <v>-2.8</v>
      </c>
      <c r="W8" s="55">
        <f>IF($T8="","",ROUND(($T8-$T$3)/1000,1)+(_xlfn.RANK.AVG($T8,($J8,$O8,$T8),1)-2)*20)</f>
        <v>-23.2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30</v>
      </c>
      <c r="AZ8" s="40" t="s">
        <v>203</v>
      </c>
      <c r="BA8" s="41" t="s">
        <v>83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ぱぱ</v>
      </c>
      <c r="F9" s="8" t="s">
        <v>199</v>
      </c>
      <c r="G9" s="9">
        <v>-12000</v>
      </c>
      <c r="H9" s="9"/>
      <c r="I9" s="48">
        <v>0</v>
      </c>
      <c r="J9" s="21">
        <f t="shared" si="2"/>
        <v>29000</v>
      </c>
      <c r="K9" s="8" t="s">
        <v>200</v>
      </c>
      <c r="L9" s="9">
        <v>24000</v>
      </c>
      <c r="M9" s="9"/>
      <c r="N9" s="48">
        <v>0</v>
      </c>
      <c r="O9" s="21">
        <f t="shared" si="3"/>
        <v>56200</v>
      </c>
      <c r="P9" s="8" t="s">
        <v>199</v>
      </c>
      <c r="Q9" s="9">
        <v>-12000</v>
      </c>
      <c r="R9" s="9"/>
      <c r="S9" s="48">
        <v>0</v>
      </c>
      <c r="T9" s="21">
        <f t="shared" si="4"/>
        <v>19800</v>
      </c>
      <c r="U9" s="53">
        <f>IF($J9="","",ROUND(($J9-$J$3)/1000,1)+(_xlfn.RANK.AVG($J9,($J9,$O9,$T9),1)-2)*20)</f>
        <v>-6</v>
      </c>
      <c r="V9" s="54">
        <f>IF($O9="","",ROUND(($O9-$O$3)/1000,1)+(_xlfn.RANK.AVG($O9,($J9,$O9,$T9),1)-2)*20)</f>
        <v>41.2</v>
      </c>
      <c r="W9" s="55">
        <f>IF($T9="","",ROUND(($T9-$T$3)/1000,1)+(_xlfn.RANK.AVG($T9,($J9,$O9,$T9),1)-2)*20)</f>
        <v>-35.200000000000003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206</v>
      </c>
      <c r="AZ9" s="40" t="s">
        <v>203</v>
      </c>
      <c r="BA9" s="41" t="s">
        <v>82</v>
      </c>
      <c r="BB9" s="41" t="s">
        <v>205</v>
      </c>
      <c r="BC9" s="41" t="s">
        <v>83</v>
      </c>
      <c r="BD9" s="41" t="s">
        <v>79</v>
      </c>
      <c r="BE9" s="41" t="s">
        <v>80</v>
      </c>
      <c r="BF9" s="41" t="s">
        <v>80</v>
      </c>
      <c r="BG9" s="41" t="s">
        <v>80</v>
      </c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IF($K$1="","",$K$1)</f>
        <v>ぱぱ</v>
      </c>
      <c r="F10" s="8" t="s">
        <v>201</v>
      </c>
      <c r="G10" s="9">
        <v>-5800</v>
      </c>
      <c r="H10" s="9"/>
      <c r="I10" s="48">
        <v>-1000</v>
      </c>
      <c r="J10" s="21">
        <f t="shared" si="2"/>
        <v>22200</v>
      </c>
      <c r="K10" s="8" t="s">
        <v>202</v>
      </c>
      <c r="L10" s="9">
        <v>5800</v>
      </c>
      <c r="M10" s="9"/>
      <c r="N10" s="48">
        <v>1000</v>
      </c>
      <c r="O10" s="21">
        <f t="shared" si="3"/>
        <v>63000</v>
      </c>
      <c r="P10" s="8"/>
      <c r="Q10" s="9"/>
      <c r="R10" s="9"/>
      <c r="S10" s="48"/>
      <c r="T10" s="21">
        <f t="shared" si="4"/>
        <v>19800</v>
      </c>
      <c r="U10" s="53">
        <f>IF($J10="","",ROUND(($J10-$J$3)/1000,1)+(_xlfn.RANK.AVG($J10,($J10,$O10,$T10),1)-2)*20)</f>
        <v>-12.8</v>
      </c>
      <c r="V10" s="54">
        <f>IF($O10="","",ROUND(($O10-$O$3)/1000,1)+(_xlfn.RANK.AVG($O10,($J10,$O10,$T10),1)-2)*20)</f>
        <v>48</v>
      </c>
      <c r="W10" s="55">
        <f>IF($T10="","",ROUND(($T10-$T$3)/1000,1)+(_xlfn.RANK.AVG($T10,($J10,$O10,$T10),1)-2)*20)</f>
        <v>-35.200000000000003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30</v>
      </c>
      <c r="AZ10" s="40" t="s">
        <v>203</v>
      </c>
      <c r="BA10" s="41" t="s">
        <v>83</v>
      </c>
      <c r="BB10" s="41" t="s">
        <v>80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tr">
        <f>IF($K$1="","",$K$1)</f>
        <v>ぱぱ</v>
      </c>
      <c r="F11" s="8" t="s">
        <v>200</v>
      </c>
      <c r="G11" s="9">
        <v>16000</v>
      </c>
      <c r="H11" s="9"/>
      <c r="I11" s="48">
        <v>2000</v>
      </c>
      <c r="J11" s="21">
        <f t="shared" si="2"/>
        <v>40200</v>
      </c>
      <c r="K11" s="8" t="s">
        <v>199</v>
      </c>
      <c r="L11" s="9">
        <v>-10000</v>
      </c>
      <c r="M11" s="9"/>
      <c r="N11" s="48">
        <v>-1000</v>
      </c>
      <c r="O11" s="21">
        <f t="shared" si="3"/>
        <v>52000</v>
      </c>
      <c r="P11" s="8" t="s">
        <v>199</v>
      </c>
      <c r="Q11" s="9">
        <v>-6000</v>
      </c>
      <c r="R11" s="9"/>
      <c r="S11" s="48">
        <v>-1000</v>
      </c>
      <c r="T11" s="21">
        <f t="shared" si="4"/>
        <v>12800</v>
      </c>
      <c r="U11" s="53">
        <f>IF($J11="","",ROUND(($J11-$J$3)/1000,1)+(_xlfn.RANK.AVG($J11,($J11,$O11,$T11),1)-2)*20)</f>
        <v>5.2</v>
      </c>
      <c r="V11" s="54">
        <f>IF($O11="","",ROUND(($O11-$O$3)/1000,1)+(_xlfn.RANK.AVG($O11,($J11,$O11,$T11),1)-2)*20)</f>
        <v>37</v>
      </c>
      <c r="W11" s="55">
        <f>IF($T11="","",ROUND(($T11-$T$3)/1000,1)+(_xlfn.RANK.AVG($T11,($J11,$O11,$T11),1)-2)*20)</f>
        <v>-42.2</v>
      </c>
      <c r="Y11" s="8"/>
      <c r="Z11" s="34"/>
      <c r="AA11" s="26">
        <v>1</v>
      </c>
      <c r="AB11" s="26"/>
      <c r="AC11" s="26">
        <v>8</v>
      </c>
      <c r="AD11" s="30" t="s">
        <v>206</v>
      </c>
      <c r="AE11" s="40" t="s">
        <v>203</v>
      </c>
      <c r="AF11" s="41" t="s">
        <v>82</v>
      </c>
      <c r="AG11" s="41" t="s">
        <v>84</v>
      </c>
      <c r="AH11" s="41" t="s">
        <v>80</v>
      </c>
      <c r="AI11" s="41" t="s">
        <v>80</v>
      </c>
      <c r="AJ11" s="41" t="s">
        <v>80</v>
      </c>
      <c r="AK11" s="41" t="s">
        <v>80</v>
      </c>
      <c r="AL11" s="41" t="s">
        <v>87</v>
      </c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199</v>
      </c>
      <c r="G12" s="9">
        <v>-12000</v>
      </c>
      <c r="H12" s="9"/>
      <c r="I12" s="48">
        <v>0</v>
      </c>
      <c r="J12" s="21">
        <f t="shared" si="2"/>
        <v>28200</v>
      </c>
      <c r="K12" s="8" t="s">
        <v>200</v>
      </c>
      <c r="L12" s="9">
        <v>32000</v>
      </c>
      <c r="M12" s="9"/>
      <c r="N12" s="48">
        <v>0</v>
      </c>
      <c r="O12" s="21">
        <f t="shared" si="3"/>
        <v>84000</v>
      </c>
      <c r="P12" s="8" t="s">
        <v>199</v>
      </c>
      <c r="Q12" s="9">
        <v>-20000</v>
      </c>
      <c r="R12" s="9"/>
      <c r="S12" s="48">
        <v>0</v>
      </c>
      <c r="T12" s="21">
        <f t="shared" si="4"/>
        <v>-7200</v>
      </c>
      <c r="U12" s="53">
        <f>IF($J12="","",ROUND(($J12-$J$3)/1000,1)+(_xlfn.RANK.AVG($J12,($J12,$O12,$T12),1)-2)*20)</f>
        <v>-6.8</v>
      </c>
      <c r="V12" s="54">
        <f>IF($O12="","",ROUND(($O12-$O$3)/1000,1)+(_xlfn.RANK.AVG($O12,($J12,$O12,$T12),1)-2)*20)</f>
        <v>69</v>
      </c>
      <c r="W12" s="55">
        <f>IF($T12="","",ROUND(($T12-$T$3)/1000,1)+(_xlfn.RANK.AVG($T12,($J12,$O12,$T12),1)-2)*20)</f>
        <v>-62.2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13</v>
      </c>
      <c r="AY12" s="30" t="s">
        <v>206</v>
      </c>
      <c r="AZ12" s="40" t="s">
        <v>108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17C41AF-9E17-4E07-8A60-B1DD65AD9F2B}">
      <formula1>$U$2:$W$2</formula1>
    </dataValidation>
    <dataValidation type="list" showInputMessage="1" showErrorMessage="1" sqref="K4:K30 P4:P30 F4:F30" xr:uid="{AB9610F6-8158-4E4D-82F4-BE612D28A404}">
      <formula1>"ロン,ツモ,放銃,ツモ支払,流局,チョンボ"</formula1>
    </dataValidation>
    <dataValidation type="list" allowBlank="1" showInputMessage="1" sqref="F1:T1" xr:uid="{7B459300-6CEA-4995-B585-16BE5AB5731A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E7D45-46F1-4333-881C-32CCE46BFC2A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199</v>
      </c>
      <c r="G4" s="9">
        <v>-4800</v>
      </c>
      <c r="H4" s="9">
        <v>-1000</v>
      </c>
      <c r="I4" s="48">
        <v>0</v>
      </c>
      <c r="J4" s="21">
        <f>IF(COUNTA($F4,$K4,$P4)&gt;0,J3+SUM(G4:I4),"")</f>
        <v>29200</v>
      </c>
      <c r="K4" s="8" t="s">
        <v>199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200</v>
      </c>
      <c r="Q4" s="9">
        <v>7700</v>
      </c>
      <c r="R4" s="9">
        <v>1000</v>
      </c>
      <c r="S4" s="48">
        <v>0</v>
      </c>
      <c r="T4" s="21">
        <f>IF(COUNTA($F4,$K4,$P4)&gt;0,T3+SUM(Q4:S4),"")</f>
        <v>43700</v>
      </c>
      <c r="U4" s="53">
        <f>IF($J4="","",ROUND(($J4-$J$3)/1000,1)+(_xlfn.RANK.AVG($J4,($J4,$O4,$T4),1)-2)*20)</f>
        <v>-25.8</v>
      </c>
      <c r="V4" s="54">
        <f>IF($O4="","",ROUND(($O4-$O$3)/1000,1)+(_xlfn.RANK.AVG($O4,($J4,$O4,$T4),1)-2)*20)</f>
        <v>-2.9</v>
      </c>
      <c r="W4" s="55">
        <f>IF($T4="","",ROUND(($T4-$T$3)/1000,1)+(_xlfn.RANK.AVG($T4,($J4,$O4,$T4),1)-2)*20)</f>
        <v>28.7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203</v>
      </c>
      <c r="BV4" s="41" t="s">
        <v>82</v>
      </c>
      <c r="BW4" s="41" t="s">
        <v>79</v>
      </c>
      <c r="BX4" s="41" t="s">
        <v>86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ぱぱ</v>
      </c>
      <c r="F5" s="8" t="s">
        <v>202</v>
      </c>
      <c r="G5" s="9">
        <v>5200</v>
      </c>
      <c r="H5" s="9"/>
      <c r="I5" s="48">
        <v>0</v>
      </c>
      <c r="J5" s="21">
        <f t="shared" ref="J5:J30" si="2">IF(COUNTA($F5,$K5,$P5)&gt;0,J4+SUM(G5:I5),"")</f>
        <v>34400</v>
      </c>
      <c r="K5" s="8" t="s">
        <v>201</v>
      </c>
      <c r="L5" s="9">
        <v>-5200</v>
      </c>
      <c r="M5" s="9"/>
      <c r="N5" s="48">
        <v>0</v>
      </c>
      <c r="O5" s="21">
        <f t="shared" ref="O5:O30" si="3">IF(COUNTA($F5,$K5,$P5)&gt;0,O4+SUM(L5:N5),"")</f>
        <v>26900</v>
      </c>
      <c r="P5" s="8"/>
      <c r="Q5" s="9"/>
      <c r="R5" s="9"/>
      <c r="S5" s="48"/>
      <c r="T5" s="21">
        <f t="shared" ref="T5:T30" si="4">IF(COUNTA($F5,$K5,$P5)&gt;0,T4+SUM(Q5:S5),"")</f>
        <v>43700</v>
      </c>
      <c r="U5" s="53">
        <f>IF($J5="","",ROUND(($J5-$J$3)/1000,1)+(_xlfn.RANK.AVG($J5,($J5,$O5,$T5),1)-2)*20)</f>
        <v>-0.6</v>
      </c>
      <c r="V5" s="54">
        <f>IF($O5="","",ROUND(($O5-$O$3)/1000,1)+(_xlfn.RANK.AVG($O5,($J5,$O5,$T5),1)-2)*20)</f>
        <v>-28.1</v>
      </c>
      <c r="W5" s="55">
        <f>IF($T5="","",ROUND(($T5-$T$3)/1000,1)+(_xlfn.RANK.AVG($T5,($J5,$O5,$T5),1)-2)*20)</f>
        <v>28.7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203</v>
      </c>
      <c r="AF5" s="41" t="s">
        <v>79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202</v>
      </c>
      <c r="G6" s="9">
        <v>8000</v>
      </c>
      <c r="H6" s="9"/>
      <c r="I6" s="48">
        <v>0</v>
      </c>
      <c r="J6" s="21">
        <f t="shared" si="2"/>
        <v>42400</v>
      </c>
      <c r="K6" s="8"/>
      <c r="L6" s="9"/>
      <c r="M6" s="9"/>
      <c r="N6" s="48"/>
      <c r="O6" s="21">
        <f t="shared" si="3"/>
        <v>26900</v>
      </c>
      <c r="P6" s="8" t="s">
        <v>201</v>
      </c>
      <c r="Q6" s="9">
        <v>-8000</v>
      </c>
      <c r="R6" s="9"/>
      <c r="S6" s="48">
        <v>0</v>
      </c>
      <c r="T6" s="21">
        <f t="shared" si="4"/>
        <v>35700</v>
      </c>
      <c r="U6" s="53">
        <f>IF($J6="","",ROUND(($J6-$J$3)/1000,1)+(_xlfn.RANK.AVG($J6,($J6,$O6,$T6),1)-2)*20)</f>
        <v>27.4</v>
      </c>
      <c r="V6" s="54">
        <f>IF($O6="","",ROUND(($O6-$O$3)/1000,1)+(_xlfn.RANK.AVG($O6,($J6,$O6,$T6),1)-2)*20)</f>
        <v>-28.1</v>
      </c>
      <c r="W6" s="55">
        <f>IF($T6="","",ROUND(($T6-$T$3)/1000,1)+(_xlfn.RANK.AVG($T6,($J6,$O6,$T6),1)-2)*20)</f>
        <v>0.7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203</v>
      </c>
      <c r="AF6" s="41" t="s">
        <v>80</v>
      </c>
      <c r="AG6" s="41" t="s">
        <v>80</v>
      </c>
      <c r="AH6" s="41" t="s">
        <v>80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202</v>
      </c>
      <c r="G7" s="9">
        <v>12000</v>
      </c>
      <c r="H7" s="9"/>
      <c r="I7" s="48">
        <v>0</v>
      </c>
      <c r="J7" s="21">
        <f t="shared" si="2"/>
        <v>54400</v>
      </c>
      <c r="K7" s="8"/>
      <c r="L7" s="9"/>
      <c r="M7" s="9"/>
      <c r="N7" s="48"/>
      <c r="O7" s="21">
        <f t="shared" si="3"/>
        <v>26900</v>
      </c>
      <c r="P7" s="8" t="s">
        <v>201</v>
      </c>
      <c r="Q7" s="9">
        <v>-12000</v>
      </c>
      <c r="R7" s="9"/>
      <c r="S7" s="48">
        <v>0</v>
      </c>
      <c r="T7" s="21">
        <f t="shared" si="4"/>
        <v>23700</v>
      </c>
      <c r="U7" s="53">
        <f>IF($J7="","",ROUND(($J7-$J$3)/1000,1)+(_xlfn.RANK.AVG($J7,($J7,$O7,$T7),1)-2)*20)</f>
        <v>39.4</v>
      </c>
      <c r="V7" s="54">
        <f>IF($O7="","",ROUND(($O7-$O$3)/1000,1)+(_xlfn.RANK.AVG($O7,($J7,$O7,$T7),1)-2)*20)</f>
        <v>-8.1</v>
      </c>
      <c r="W7" s="55">
        <f>IF($T7="","",ROUND(($T7-$T$3)/1000,1)+(_xlfn.RANK.AVG($T7,($J7,$O7,$T7),1)-2)*20)</f>
        <v>-31.3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203</v>
      </c>
      <c r="AF7" s="41" t="s">
        <v>85</v>
      </c>
      <c r="AG7" s="41" t="s">
        <v>204</v>
      </c>
      <c r="AH7" s="41" t="s">
        <v>204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だいち</v>
      </c>
      <c r="F8" s="8" t="s">
        <v>198</v>
      </c>
      <c r="G8" s="9">
        <v>-3000</v>
      </c>
      <c r="H8" s="9"/>
      <c r="I8" s="48"/>
      <c r="J8" s="21">
        <f t="shared" si="2"/>
        <v>51400</v>
      </c>
      <c r="K8" s="8" t="s">
        <v>198</v>
      </c>
      <c r="L8" s="9">
        <v>1500</v>
      </c>
      <c r="M8" s="9">
        <v>-1000</v>
      </c>
      <c r="N8" s="48"/>
      <c r="O8" s="21">
        <f t="shared" si="3"/>
        <v>27400</v>
      </c>
      <c r="P8" s="8" t="s">
        <v>198</v>
      </c>
      <c r="Q8" s="9">
        <v>1500</v>
      </c>
      <c r="R8" s="9"/>
      <c r="S8" s="48"/>
      <c r="T8" s="21">
        <f t="shared" si="4"/>
        <v>25200</v>
      </c>
      <c r="U8" s="53">
        <f>IF($J8="","",ROUND(($J8-$J$3)/1000,1)+(_xlfn.RANK.AVG($J8,($J8,$O8,$T8),1)-2)*20)</f>
        <v>36.4</v>
      </c>
      <c r="V8" s="54">
        <f>IF($O8="","",ROUND(($O8-$O$3)/1000,1)+(_xlfn.RANK.AVG($O8,($J8,$O8,$T8),1)-2)*20)</f>
        <v>-7.6</v>
      </c>
      <c r="W8" s="55">
        <f>IF($T8="","",ROUND(($T8-$T$3)/1000,1)+(_xlfn.RANK.AVG($T8,($J8,$O8,$T8),1)-2)*20)</f>
        <v>-29.8</v>
      </c>
      <c r="Y8" s="8" t="s">
        <v>196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197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197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2</v>
      </c>
      <c r="D9" s="18">
        <f t="shared" si="1"/>
        <v>1</v>
      </c>
      <c r="E9" s="4" t="str">
        <f>IF($K$1="","",$K$1)</f>
        <v>ぱぱ</v>
      </c>
      <c r="F9" s="8" t="s">
        <v>199</v>
      </c>
      <c r="G9" s="9">
        <v>-6000</v>
      </c>
      <c r="H9" s="9">
        <v>-1000</v>
      </c>
      <c r="I9" s="48">
        <v>-1000</v>
      </c>
      <c r="J9" s="21">
        <f t="shared" si="2"/>
        <v>43400</v>
      </c>
      <c r="K9" s="8" t="s">
        <v>200</v>
      </c>
      <c r="L9" s="9">
        <v>12000</v>
      </c>
      <c r="M9" s="9">
        <v>2000</v>
      </c>
      <c r="N9" s="48">
        <v>2000</v>
      </c>
      <c r="O9" s="21">
        <f t="shared" si="3"/>
        <v>43400</v>
      </c>
      <c r="P9" s="8" t="s">
        <v>199</v>
      </c>
      <c r="Q9" s="9">
        <v>-6000</v>
      </c>
      <c r="R9" s="9"/>
      <c r="S9" s="48">
        <v>-1000</v>
      </c>
      <c r="T9" s="21">
        <f t="shared" si="4"/>
        <v>18200</v>
      </c>
      <c r="U9" s="53">
        <f>IF($J9="","",ROUND(($J9-$J$3)/1000,1)+(_xlfn.RANK.AVG($J9,($J9,$O9,$T9),1)-2)*20)</f>
        <v>18.399999999999999</v>
      </c>
      <c r="V9" s="54">
        <f>IF($O9="","",ROUND(($O9-$O$3)/1000,1)+(_xlfn.RANK.AVG($O9,($J9,$O9,$T9),1)-2)*20)</f>
        <v>18.399999999999999</v>
      </c>
      <c r="W9" s="55">
        <f>IF($T9="","",ROUND(($T9-$T$3)/1000,1)+(_xlfn.RANK.AVG($T9,($J9,$O9,$T9),1)-2)*20)</f>
        <v>-36.799999999999997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206</v>
      </c>
      <c r="AZ9" s="40" t="s">
        <v>203</v>
      </c>
      <c r="BA9" s="41" t="s">
        <v>82</v>
      </c>
      <c r="BB9" s="41" t="s">
        <v>205</v>
      </c>
      <c r="BC9" s="41" t="s">
        <v>92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3</v>
      </c>
      <c r="D10" s="18">
        <f t="shared" si="1"/>
        <v>0</v>
      </c>
      <c r="E10" s="4" t="str">
        <f>IF($K$1="","",$K$1)</f>
        <v>ぱぱ</v>
      </c>
      <c r="F10" s="8" t="s">
        <v>199</v>
      </c>
      <c r="G10" s="9">
        <v>-4800</v>
      </c>
      <c r="H10" s="9"/>
      <c r="I10" s="48">
        <v>-1500</v>
      </c>
      <c r="J10" s="21">
        <f t="shared" si="2"/>
        <v>37100</v>
      </c>
      <c r="K10" s="8" t="s">
        <v>200</v>
      </c>
      <c r="L10" s="9">
        <v>9600</v>
      </c>
      <c r="M10" s="9">
        <v>2000</v>
      </c>
      <c r="N10" s="48">
        <v>3000</v>
      </c>
      <c r="O10" s="21">
        <f t="shared" si="3"/>
        <v>58000</v>
      </c>
      <c r="P10" s="8" t="s">
        <v>199</v>
      </c>
      <c r="Q10" s="9">
        <v>-4800</v>
      </c>
      <c r="R10" s="9">
        <v>-2000</v>
      </c>
      <c r="S10" s="48">
        <v>-1500</v>
      </c>
      <c r="T10" s="21">
        <f t="shared" si="4"/>
        <v>9900</v>
      </c>
      <c r="U10" s="53">
        <f>IF($J10="","",ROUND(($J10-$J$3)/1000,1)+(_xlfn.RANK.AVG($J10,($J10,$O10,$T10),1)-2)*20)</f>
        <v>2.1</v>
      </c>
      <c r="V10" s="54">
        <f>IF($O10="","",ROUND(($O10-$O$3)/1000,1)+(_xlfn.RANK.AVG($O10,($J10,$O10,$T10),1)-2)*20)</f>
        <v>43</v>
      </c>
      <c r="W10" s="55">
        <f>IF($T10="","",ROUND(($T10-$T$3)/1000,1)+(_xlfn.RANK.AVG($T10,($J10,$O10,$T10),1)-2)*20)</f>
        <v>-45.1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25</v>
      </c>
      <c r="AZ10" s="40" t="s">
        <v>82</v>
      </c>
      <c r="BA10" s="41" t="s">
        <v>101</v>
      </c>
      <c r="BB10" s="41" t="s">
        <v>204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4</v>
      </c>
      <c r="D11" s="18">
        <f t="shared" si="1"/>
        <v>0</v>
      </c>
      <c r="E11" s="4" t="str">
        <f>IF($K$1="","",$K$1)</f>
        <v>ぱぱ</v>
      </c>
      <c r="F11" s="8" t="s">
        <v>202</v>
      </c>
      <c r="G11" s="9">
        <v>8000</v>
      </c>
      <c r="H11" s="9"/>
      <c r="I11" s="48">
        <v>4000</v>
      </c>
      <c r="J11" s="21">
        <f t="shared" si="2"/>
        <v>49100</v>
      </c>
      <c r="K11" s="8" t="s">
        <v>201</v>
      </c>
      <c r="L11" s="9">
        <v>-8000</v>
      </c>
      <c r="M11" s="9"/>
      <c r="N11" s="48">
        <v>-4000</v>
      </c>
      <c r="O11" s="21">
        <f t="shared" si="3"/>
        <v>46000</v>
      </c>
      <c r="P11" s="8"/>
      <c r="Q11" s="9"/>
      <c r="R11" s="9"/>
      <c r="S11" s="48"/>
      <c r="T11" s="21">
        <f t="shared" si="4"/>
        <v>9900</v>
      </c>
      <c r="U11" s="53">
        <f>IF($J11="","",ROUND(($J11-$J$3)/1000,1)+(_xlfn.RANK.AVG($J11,($J11,$O11,$T11),1)-2)*20)</f>
        <v>34.1</v>
      </c>
      <c r="V11" s="54">
        <f>IF($O11="","",ROUND(($O11-$O$3)/1000,1)+(_xlfn.RANK.AVG($O11,($J11,$O11,$T11),1)-2)*20)</f>
        <v>11</v>
      </c>
      <c r="W11" s="55">
        <f>IF($T11="","",ROUND(($T11-$T$3)/1000,1)+(_xlfn.RANK.AVG($T11,($J11,$O11,$T11),1)-2)*20)</f>
        <v>-45.1</v>
      </c>
      <c r="Y11" s="8"/>
      <c r="Z11" s="34"/>
      <c r="AA11" s="26">
        <v>1</v>
      </c>
      <c r="AB11" s="26"/>
      <c r="AC11" s="26">
        <v>3</v>
      </c>
      <c r="AD11" s="30">
        <v>70</v>
      </c>
      <c r="AE11" s="40" t="s">
        <v>203</v>
      </c>
      <c r="AF11" s="41" t="s">
        <v>86</v>
      </c>
      <c r="AG11" s="41" t="s">
        <v>80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199</v>
      </c>
      <c r="G12" s="9">
        <v>-1100</v>
      </c>
      <c r="H12" s="9">
        <v>-1000</v>
      </c>
      <c r="I12" s="48">
        <v>0</v>
      </c>
      <c r="J12" s="21">
        <f t="shared" si="2"/>
        <v>47000</v>
      </c>
      <c r="K12" s="8" t="s">
        <v>200</v>
      </c>
      <c r="L12" s="9">
        <v>2800</v>
      </c>
      <c r="M12" s="9">
        <v>1000</v>
      </c>
      <c r="N12" s="48">
        <v>0</v>
      </c>
      <c r="O12" s="21">
        <f t="shared" si="3"/>
        <v>49800</v>
      </c>
      <c r="P12" s="8" t="s">
        <v>199</v>
      </c>
      <c r="Q12" s="9">
        <v>-1700</v>
      </c>
      <c r="R12" s="9"/>
      <c r="S12" s="48">
        <v>0</v>
      </c>
      <c r="T12" s="21">
        <f t="shared" si="4"/>
        <v>8200</v>
      </c>
      <c r="U12" s="53">
        <f>IF($J12="","",ROUND(($J12-$J$3)/1000,1)+(_xlfn.RANK.AVG($J12,($J12,$O12,$T12),1)-2)*20)</f>
        <v>12</v>
      </c>
      <c r="V12" s="54">
        <f>IF($O12="","",ROUND(($O12-$O$3)/1000,1)+(_xlfn.RANK.AVG($O12,($J12,$O12,$T12),1)-2)*20)</f>
        <v>34.799999999999997</v>
      </c>
      <c r="W12" s="55">
        <f>IF($T12="","",ROUND(($T12-$T$3)/1000,1)+(_xlfn.RANK.AVG($T12,($J12,$O12,$T12),1)-2)*20)</f>
        <v>-46.8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2</v>
      </c>
      <c r="AY12" s="30">
        <v>40</v>
      </c>
      <c r="AZ12" s="40" t="s">
        <v>82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2829BB26-7192-40A8-935A-491C0FE22BE4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07245A77-3ED6-4E60-B9D4-C777A3DD2C0C}">
      <formula1>"ロン,ツモ,放銃,ツモ支払,流局,チョンボ"</formula1>
    </dataValidation>
    <dataValidation type="list" allowBlank="1" showInputMessage="1" showErrorMessage="1" sqref="E4:E30" xr:uid="{3F15709F-C5BD-4458-AA85-11E73007302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598C3-62F6-4DF7-937C-0542E0FD64B1}">
  <sheetPr codeName="Sheet20">
    <pageSetUpPr fitToPage="1"/>
  </sheetPr>
  <dimension ref="A1:CI30"/>
  <sheetViews>
    <sheetView tabSelected="1" zoomScaleNormal="100" workbookViewId="0">
      <selection activeCell="E7" sqref="E7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207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ぱぱ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れんたろう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ぱぱ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201</v>
      </c>
      <c r="G4" s="9">
        <v>-12000</v>
      </c>
      <c r="H4" s="9">
        <v>-1000</v>
      </c>
      <c r="I4" s="48">
        <v>0</v>
      </c>
      <c r="J4" s="21">
        <f>IF(COUNTA($F4,$K4,$P4)&gt;0,J3+SUM(G4:I4),"")</f>
        <v>22000</v>
      </c>
      <c r="K4" s="8" t="s">
        <v>202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-33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206</v>
      </c>
      <c r="AZ4" s="40" t="s">
        <v>203</v>
      </c>
      <c r="BA4" s="41" t="s">
        <v>83</v>
      </c>
      <c r="BB4" s="41" t="s">
        <v>85</v>
      </c>
      <c r="BC4" s="41" t="s">
        <v>204</v>
      </c>
      <c r="BD4" s="41" t="s">
        <v>204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ぱぱ</v>
      </c>
      <c r="F5" s="8" t="s">
        <v>201</v>
      </c>
      <c r="G5" s="9">
        <v>-12000</v>
      </c>
      <c r="H5" s="9"/>
      <c r="I5" s="48">
        <v>-1000</v>
      </c>
      <c r="J5" s="21">
        <f t="shared" ref="J5:J30" si="2">IF(COUNTA($F5,$K5,$P5)&gt;0,J4+SUM(G5:I5),"")</f>
        <v>9000</v>
      </c>
      <c r="K5" s="8" t="s">
        <v>202</v>
      </c>
      <c r="L5" s="9">
        <v>12000</v>
      </c>
      <c r="M5" s="9"/>
      <c r="N5" s="48">
        <v>1000</v>
      </c>
      <c r="O5" s="21">
        <f t="shared" ref="O5:O30" si="3">IF(COUNTA($F5,$K5,$P5)&gt;0,O4+SUM(L5:N5),"")</f>
        <v>61000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-46</v>
      </c>
      <c r="V5" s="54">
        <f>IF($O5="","",ROUND(($O5-$O$3)/1000,1)+(_xlfn.RANK.AVG($O5,($J5,$O5,$T5),1)-2)*20)</f>
        <v>46</v>
      </c>
      <c r="W5" s="55">
        <f>IF($T5="","",ROUND(($T5-$T$3)/1000,1)+(_xlfn.RANK.AVG($T5,($J5,$O5,$T5),1)-2)*20)</f>
        <v>0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203</v>
      </c>
      <c r="BA5" s="41" t="s">
        <v>86</v>
      </c>
      <c r="BB5" s="41" t="s">
        <v>204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ぱぱ</v>
      </c>
      <c r="F6" s="8" t="s">
        <v>202</v>
      </c>
      <c r="G6" s="9">
        <v>7700</v>
      </c>
      <c r="H6" s="9">
        <v>1000</v>
      </c>
      <c r="I6" s="48">
        <v>2000</v>
      </c>
      <c r="J6" s="21">
        <f t="shared" si="2"/>
        <v>19700</v>
      </c>
      <c r="K6" s="8"/>
      <c r="L6" s="9"/>
      <c r="M6" s="9"/>
      <c r="N6" s="48"/>
      <c r="O6" s="21">
        <f t="shared" si="3"/>
        <v>61000</v>
      </c>
      <c r="P6" s="8" t="s">
        <v>201</v>
      </c>
      <c r="Q6" s="9">
        <v>-7700</v>
      </c>
      <c r="R6" s="9">
        <v>-1000</v>
      </c>
      <c r="S6" s="48">
        <v>-2000</v>
      </c>
      <c r="T6" s="21">
        <f t="shared" si="4"/>
        <v>24300</v>
      </c>
      <c r="U6" s="53">
        <f>IF($J6="","",ROUND(($J6-$J$3)/1000,1)+(_xlfn.RANK.AVG($J6,($J6,$O6,$T6),1)-2)*20)</f>
        <v>-35.299999999999997</v>
      </c>
      <c r="V6" s="54">
        <f>IF($O6="","",ROUND(($O6-$O$3)/1000,1)+(_xlfn.RANK.AVG($O6,($J6,$O6,$T6),1)-2)*20)</f>
        <v>46</v>
      </c>
      <c r="W6" s="55">
        <f>IF($T6="","",ROUND(($T6-$T$3)/1000,1)+(_xlfn.RANK.AVG($T6,($J6,$O6,$T6),1)-2)*20)</f>
        <v>-10.7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203</v>
      </c>
      <c r="AF6" s="41" t="s">
        <v>83</v>
      </c>
      <c r="AG6" s="41" t="s">
        <v>84</v>
      </c>
      <c r="AH6" s="41" t="s">
        <v>204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199</v>
      </c>
      <c r="G7" s="9">
        <v>-4500</v>
      </c>
      <c r="H7" s="9"/>
      <c r="I7" s="48">
        <v>0</v>
      </c>
      <c r="J7" s="21">
        <f t="shared" si="2"/>
        <v>15200</v>
      </c>
      <c r="K7" s="8" t="s">
        <v>200</v>
      </c>
      <c r="L7" s="9">
        <v>12000</v>
      </c>
      <c r="M7" s="9"/>
      <c r="N7" s="48">
        <v>0</v>
      </c>
      <c r="O7" s="21">
        <f t="shared" si="3"/>
        <v>73000</v>
      </c>
      <c r="P7" s="8" t="s">
        <v>199</v>
      </c>
      <c r="Q7" s="9">
        <v>-7500</v>
      </c>
      <c r="R7" s="9"/>
      <c r="S7" s="48">
        <v>0</v>
      </c>
      <c r="T7" s="21">
        <f t="shared" si="4"/>
        <v>16800</v>
      </c>
      <c r="U7" s="53">
        <f>IF($J7="","",ROUND(($J7-$J$3)/1000,1)+(_xlfn.RANK.AVG($J7,($J7,$O7,$T7),1)-2)*20)</f>
        <v>-39.799999999999997</v>
      </c>
      <c r="V7" s="54">
        <f>IF($O7="","",ROUND(($O7-$O$3)/1000,1)+(_xlfn.RANK.AVG($O7,($J7,$O7,$T7),1)-2)*20)</f>
        <v>58</v>
      </c>
      <c r="W7" s="55">
        <f>IF($T7="","",ROUND(($T7-$T$3)/1000,1)+(_xlfn.RANK.AVG($T7,($J7,$O7,$T7),1)-2)*20)</f>
        <v>-18.2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206</v>
      </c>
      <c r="AZ7" s="40" t="s">
        <v>203</v>
      </c>
      <c r="BA7" s="41" t="s">
        <v>82</v>
      </c>
      <c r="BB7" s="41" t="s">
        <v>83</v>
      </c>
      <c r="BC7" s="41" t="s">
        <v>79</v>
      </c>
      <c r="BD7" s="41" t="s">
        <v>80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 t="s">
        <v>199</v>
      </c>
      <c r="G8" s="9">
        <v>-7500</v>
      </c>
      <c r="H8" s="9">
        <v>-1000</v>
      </c>
      <c r="I8" s="48">
        <v>0</v>
      </c>
      <c r="J8" s="21">
        <f t="shared" si="2"/>
        <v>6700</v>
      </c>
      <c r="K8" s="8" t="s">
        <v>199</v>
      </c>
      <c r="L8" s="9">
        <v>-4500</v>
      </c>
      <c r="M8" s="9"/>
      <c r="N8" s="48">
        <v>0</v>
      </c>
      <c r="O8" s="21">
        <f t="shared" si="3"/>
        <v>68500</v>
      </c>
      <c r="P8" s="8" t="s">
        <v>200</v>
      </c>
      <c r="Q8" s="9">
        <v>12000</v>
      </c>
      <c r="R8" s="9">
        <v>1000</v>
      </c>
      <c r="S8" s="48">
        <v>0</v>
      </c>
      <c r="T8" s="21">
        <f t="shared" si="4"/>
        <v>29800</v>
      </c>
      <c r="U8" s="53">
        <f>IF($J8="","",ROUND(($J8-$J$3)/1000,1)+(_xlfn.RANK.AVG($J8,($J8,$O8,$T8),1)-2)*20)</f>
        <v>-48.3</v>
      </c>
      <c r="V8" s="54">
        <f>IF($O8="","",ROUND(($O8-$O$3)/1000,1)+(_xlfn.RANK.AVG($O8,($J8,$O8,$T8),1)-2)*20)</f>
        <v>53.5</v>
      </c>
      <c r="W8" s="55">
        <f>IF($T8="","",ROUND(($T8-$T$3)/1000,1)+(_xlfn.RANK.AVG($T8,($J8,$O8,$T8),1)-2)*20)</f>
        <v>-5.2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7</v>
      </c>
      <c r="BT8" s="30" t="s">
        <v>206</v>
      </c>
      <c r="BU8" s="40" t="s">
        <v>203</v>
      </c>
      <c r="BV8" s="41" t="s">
        <v>82</v>
      </c>
      <c r="BW8" s="41" t="s">
        <v>104</v>
      </c>
      <c r="BX8" s="41" t="s">
        <v>101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ぱぱ</v>
      </c>
      <c r="F9" s="8" t="s">
        <v>201</v>
      </c>
      <c r="G9" s="9">
        <v>-12000</v>
      </c>
      <c r="H9" s="9">
        <v>-1000</v>
      </c>
      <c r="I9" s="48">
        <v>0</v>
      </c>
      <c r="J9" s="21">
        <f t="shared" si="2"/>
        <v>-6300</v>
      </c>
      <c r="K9" s="8" t="s">
        <v>202</v>
      </c>
      <c r="L9" s="9">
        <v>12000</v>
      </c>
      <c r="M9" s="9">
        <v>2000</v>
      </c>
      <c r="N9" s="48">
        <v>0</v>
      </c>
      <c r="O9" s="21">
        <f t="shared" si="3"/>
        <v>82500</v>
      </c>
      <c r="P9" s="8"/>
      <c r="Q9" s="9"/>
      <c r="R9" s="9">
        <v>-1000</v>
      </c>
      <c r="S9" s="48"/>
      <c r="T9" s="21">
        <f t="shared" si="4"/>
        <v>28800</v>
      </c>
      <c r="U9" s="53">
        <f>IF($J9="","",ROUND(($J9-$J$3)/1000,1)+(_xlfn.RANK.AVG($J9,($J9,$O9,$T9),1)-2)*20)</f>
        <v>-61.3</v>
      </c>
      <c r="V9" s="54">
        <f>IF($O9="","",ROUND(($O9-$O$3)/1000,1)+(_xlfn.RANK.AVG($O9,($J9,$O9,$T9),1)-2)*20)</f>
        <v>67.5</v>
      </c>
      <c r="W9" s="55">
        <f>IF($T9="","",ROUND(($T9-$T$3)/1000,1)+(_xlfn.RANK.AVG($T9,($J9,$O9,$T9),1)-2)*20)</f>
        <v>-6.2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206</v>
      </c>
      <c r="AZ9" s="40" t="s">
        <v>208</v>
      </c>
      <c r="BA9" s="41" t="s">
        <v>79</v>
      </c>
      <c r="BB9" s="41" t="s">
        <v>79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IF($K$1="","",$K$1)</f>
        <v>ぱぱ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6261FA53-E2E0-4175-825A-B5E8EE968318}">
      <formula1>$U$2:$W$2</formula1>
    </dataValidation>
    <dataValidation type="list" showInputMessage="1" showErrorMessage="1" sqref="K4:K30 P4:P30 F4:F30" xr:uid="{2521AF3B-D388-4113-B765-26A98C3E48DB}">
      <formula1>"ロン,ツモ,放銃,ツモ支払,流局,チョンボ"</formula1>
    </dataValidation>
    <dataValidation type="list" allowBlank="1" showInputMessage="1" sqref="F1:T1" xr:uid="{AD346B73-9501-46FA-8CA9-D4FC5E1AE3D6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2022-06-11T09:14:25Z</dcterms:modified>
</cp:coreProperties>
</file>