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6th\対局\"/>
    </mc:Choice>
  </mc:AlternateContent>
  <xr:revisionPtr revIDLastSave="0" documentId="13_ncr:1_{59EBE1B5-7FA0-4F85-997B-111B31E643EB}" xr6:coauthVersionLast="45" xr6:coauthVersionMax="45" xr10:uidLastSave="{00000000-0000-0000-0000-000000000000}"/>
  <bookViews>
    <workbookView xWindow="-120" yWindow="-120" windowWidth="29040" windowHeight="1599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" i="21" l="1"/>
  <c r="E9" i="21"/>
  <c r="E8" i="21"/>
  <c r="D8" i="21" s="1"/>
  <c r="E7" i="21"/>
  <c r="E6" i="21"/>
  <c r="D6" i="21" s="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T10" i="21"/>
  <c r="W10" i="21" s="1"/>
  <c r="O10" i="21"/>
  <c r="V10" i="21" s="1"/>
  <c r="J10" i="21"/>
  <c r="U10" i="21" s="1"/>
  <c r="D10" i="21"/>
  <c r="C10" i="21"/>
  <c r="B10" i="21"/>
  <c r="A10" i="21" s="1"/>
  <c r="T9" i="21"/>
  <c r="O9" i="21"/>
  <c r="J9" i="21"/>
  <c r="D9" i="21"/>
  <c r="C9" i="21"/>
  <c r="B9" i="21"/>
  <c r="A9" i="21"/>
  <c r="T5" i="21"/>
  <c r="T6" i="21" s="1"/>
  <c r="C5" i="21"/>
  <c r="D5" i="21"/>
  <c r="T4" i="21"/>
  <c r="O4" i="21"/>
  <c r="O5" i="21" s="1"/>
  <c r="J4" i="21"/>
  <c r="J5" i="21" s="1"/>
  <c r="W3" i="21"/>
  <c r="V3" i="21"/>
  <c r="U3" i="21"/>
  <c r="W2" i="21"/>
  <c r="V2" i="21"/>
  <c r="U2" i="21"/>
  <c r="BO1" i="21"/>
  <c r="AT1" i="21"/>
  <c r="Y1" i="21"/>
  <c r="D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T10" i="20"/>
  <c r="W10" i="20" s="1"/>
  <c r="O10" i="20"/>
  <c r="V10" i="20" s="1"/>
  <c r="J10" i="20"/>
  <c r="U10" i="20" s="1"/>
  <c r="D10" i="20"/>
  <c r="C10" i="20"/>
  <c r="B10" i="20"/>
  <c r="A10" i="20"/>
  <c r="C9" i="20"/>
  <c r="C8" i="20"/>
  <c r="D8" i="20"/>
  <c r="T5" i="20"/>
  <c r="T6" i="20" s="1"/>
  <c r="J5" i="20"/>
  <c r="J6" i="20" s="1"/>
  <c r="D5" i="20"/>
  <c r="T4" i="20"/>
  <c r="W4" i="20" s="1"/>
  <c r="O4" i="20"/>
  <c r="O5" i="20" s="1"/>
  <c r="J4" i="20"/>
  <c r="W3" i="20"/>
  <c r="V3" i="20"/>
  <c r="U3" i="20"/>
  <c r="W2" i="20"/>
  <c r="V2" i="20"/>
  <c r="U2" i="20"/>
  <c r="BO1" i="20"/>
  <c r="AT1" i="20"/>
  <c r="Y1" i="20"/>
  <c r="E9" i="19"/>
  <c r="E8" i="19"/>
  <c r="E7" i="19"/>
  <c r="E6" i="19"/>
  <c r="E5" i="19"/>
  <c r="W9" i="21" l="1"/>
  <c r="U9" i="21"/>
  <c r="V9" i="21"/>
  <c r="C8" i="21"/>
  <c r="W4" i="21"/>
  <c r="T7" i="21"/>
  <c r="J6" i="21"/>
  <c r="U5" i="21"/>
  <c r="O6" i="21"/>
  <c r="V5" i="21"/>
  <c r="C7" i="21"/>
  <c r="B5" i="21"/>
  <c r="A5" i="21" s="1"/>
  <c r="D7" i="21"/>
  <c r="W5" i="21"/>
  <c r="U4" i="21"/>
  <c r="C6" i="21"/>
  <c r="V4" i="21"/>
  <c r="U4" i="20"/>
  <c r="J7" i="20"/>
  <c r="T7" i="20"/>
  <c r="O6" i="20"/>
  <c r="U6" i="20" s="1"/>
  <c r="V5" i="20"/>
  <c r="B5" i="20"/>
  <c r="A5" i="20" s="1"/>
  <c r="C5" i="20"/>
  <c r="W5" i="20"/>
  <c r="U5" i="20"/>
  <c r="B6" i="20"/>
  <c r="B7" i="20" s="1"/>
  <c r="C6" i="20"/>
  <c r="C7" i="20" s="1"/>
  <c r="V4" i="20"/>
  <c r="D6" i="20"/>
  <c r="D7" i="20" s="1"/>
  <c r="E4" i="19"/>
  <c r="W6" i="21" l="1"/>
  <c r="O7" i="21"/>
  <c r="V6" i="21"/>
  <c r="T8" i="21"/>
  <c r="B6" i="21"/>
  <c r="U6" i="21"/>
  <c r="J7" i="21"/>
  <c r="B8" i="20"/>
  <c r="T8" i="20"/>
  <c r="A6" i="20"/>
  <c r="A7" i="20" s="1"/>
  <c r="J8" i="20"/>
  <c r="O7" i="20"/>
  <c r="W7" i="20" s="1"/>
  <c r="V6" i="20"/>
  <c r="W6" i="20"/>
  <c r="W3" i="19"/>
  <c r="V3" i="19"/>
  <c r="U3" i="19"/>
  <c r="W7" i="21" l="1"/>
  <c r="V7" i="21"/>
  <c r="O8" i="21"/>
  <c r="J8" i="21"/>
  <c r="U8" i="21" s="1"/>
  <c r="U7" i="21"/>
  <c r="B7" i="21"/>
  <c r="A6" i="21"/>
  <c r="A8" i="20"/>
  <c r="U7" i="20"/>
  <c r="V7" i="20"/>
  <c r="O8" i="20"/>
  <c r="B9" i="20"/>
  <c r="A9" i="20" s="1"/>
  <c r="J9" i="20"/>
  <c r="U8" i="20"/>
  <c r="T9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V8" i="21" l="1"/>
  <c r="W8" i="21"/>
  <c r="B8" i="21"/>
  <c r="A8" i="21" s="1"/>
  <c r="A7" i="21"/>
  <c r="O9" i="20"/>
  <c r="V9" i="20" s="1"/>
  <c r="V8" i="20"/>
  <c r="W8" i="20"/>
  <c r="U9" i="20"/>
  <c r="U9" i="19"/>
  <c r="V9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9" i="20" l="1"/>
  <c r="W5" i="19"/>
  <c r="V5" i="19"/>
  <c r="U5" i="19"/>
</calcChain>
</file>

<file path=xl/sharedStrings.xml><?xml version="1.0" encoding="utf-8"?>
<sst xmlns="http://schemas.openxmlformats.org/spreadsheetml/2006/main" count="737" uniqueCount="208">
  <si>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</si>
  <si>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</si>
  <si>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</si>
  <si>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</si>
  <si>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</si>
  <si>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</si>
  <si>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</si>
  <si>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</si>
  <si>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</si>
  <si>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</si>
  <si>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</si>
  <si>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</si>
  <si>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</si>
  <si>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</si>
  <si>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</si>
  <si>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</si>
  <si>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</si>
  <si>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</si>
  <si>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</si>
  <si>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</si>
  <si>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</si>
  <si>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</si>
  <si>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</si>
  <si>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</si>
  <si>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</si>
  <si>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</si>
  <si>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</si>
  <si>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</si>
  <si>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</si>
  <si>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</si>
  <si>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</si>
  <si>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</si>
  <si>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</si>
  <si>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</si>
  <si>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</si>
  <si>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</si>
  <si>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</si>
  <si>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</si>
  <si>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</si>
  <si>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</si>
  <si>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</si>
  <si>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</si>
  <si>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</si>
  <si>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</si>
  <si>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</si>
  <si>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</si>
  <si>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</si>
  <si>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</si>
  <si>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</si>
  <si>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</si>
  <si>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</si>
  <si>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</si>
  <si>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</si>
  <si>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</si>
  <si>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</si>
  <si>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</si>
  <si>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</si>
  <si>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</si>
  <si>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</si>
  <si>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</si>
  <si>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</si>
  <si>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</si>
  <si>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</si>
  <si>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</si>
  <si>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</si>
  <si>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</si>
  <si>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</si>
  <si>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</si>
  <si>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</si>
  <si>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</si>
  <si>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</si>
  <si>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</si>
  <si>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</si>
  <si>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</si>
  <si>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</si>
  <si>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</si>
  <si>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</si>
  <si>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</si>
  <si>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</si>
  <si>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</si>
  <si>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</si>
  <si>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</si>
  <si>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</si>
  <si>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</si>
  <si>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</si>
  <si>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</si>
  <si>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</si>
  <si>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</si>
  <si>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</si>
  <si>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</si>
  <si>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</si>
  <si>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</si>
  <si>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</si>
  <si>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</si>
  <si>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</si>
  <si>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</si>
  <si>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</si>
  <si>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</si>
  <si>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</si>
  <si>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</si>
  <si>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</si>
  <si>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</si>
  <si>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</si>
  <si>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</si>
  <si>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</si>
  <si>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</si>
  <si>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</si>
  <si>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</si>
  <si>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</si>
  <si>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</si>
  <si>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</si>
  <si>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</si>
  <si>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</si>
  <si>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</si>
  <si>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</si>
  <si>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</si>
  <si>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</si>
  <si>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</si>
  <si>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</si>
  <si>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</si>
  <si>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</si>
  <si>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</si>
  <si>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</si>
  <si>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</si>
  <si>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</si>
  <si>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</si>
  <si>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</si>
  <si>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</si>
  <si>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</si>
  <si>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</si>
  <si>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</si>
  <si>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</si>
  <si>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</si>
  <si>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</si>
  <si>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</si>
  <si>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</si>
  <si>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</si>
  <si>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</si>
  <si>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</si>
  <si>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</si>
  <si>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</si>
  <si>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</si>
  <si>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</si>
  <si>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</si>
  <si>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</si>
  <si>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</si>
  <si>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</si>
  <si>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</si>
  <si>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</si>
  <si>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</si>
  <si>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</si>
  <si>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</si>
  <si>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</si>
  <si>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</si>
  <si>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</si>
  <si>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</si>
  <si>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</si>
  <si>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</si>
  <si>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</si>
  <si>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</si>
  <si>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</si>
  <si>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</si>
  <si>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</si>
  <si>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</si>
  <si>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</si>
  <si>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</si>
  <si>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</si>
  <si>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</si>
  <si>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</si>
  <si>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</si>
  <si>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</si>
  <si>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</si>
  <si>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</si>
  <si>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</si>
  <si>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</si>
  <si>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</si>
  <si>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</si>
  <si>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</si>
  <si>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</si>
  <si>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</si>
  <si>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</si>
  <si>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</si>
  <si>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</si>
  <si>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</si>
  <si>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</si>
  <si>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</si>
  <si>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</si>
  <si>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</si>
  <si>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</si>
  <si>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</si>
  <si>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</si>
  <si>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_</t>
    <phoneticPr fontId="1"/>
  </si>
  <si>
    <t>れんたろう</t>
  </si>
  <si>
    <t>れんたろう</t>
    <phoneticPr fontId="1"/>
  </si>
  <si>
    <t>だいち</t>
    <phoneticPr fontId="1"/>
  </si>
  <si>
    <t>ともき</t>
  </si>
  <si>
    <t>ともき</t>
    <phoneticPr fontId="1"/>
  </si>
  <si>
    <t>ロン</t>
  </si>
  <si>
    <t>放銃</t>
  </si>
  <si>
    <t>52</t>
  </si>
  <si>
    <t>ツモ</t>
  </si>
  <si>
    <t>ツモ支払</t>
  </si>
  <si>
    <t>*</t>
  </si>
  <si>
    <t>01</t>
  </si>
  <si>
    <t>T</t>
  </si>
  <si>
    <t>N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</si>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</sst>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ともき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だいち</v>
      </c>
      <c r="W2" s="16" t="str">
        <f>$P$1</f>
        <v>ともき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197</v>
      </c>
      <c r="G4" s="9">
        <v>9600</v>
      </c>
      <c r="H4" s="9"/>
      <c r="I4" s="48">
        <v>0</v>
      </c>
      <c r="J4" s="21">
        <f>IF(COUNTA($F4,$K4,$P4)&gt;0,J3+SUM(G4:I4),"")</f>
        <v>44600</v>
      </c>
      <c r="K4" s="8" t="s">
        <v>198</v>
      </c>
      <c r="L4" s="9">
        <v>-9600</v>
      </c>
      <c r="M4" s="9"/>
      <c r="N4" s="48">
        <v>0</v>
      </c>
      <c r="O4" s="21">
        <f>IF(COUNTA($F4,$K4,$P4)&gt;0,O3+SUM(L4:N4),"")</f>
        <v>25400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19.600000000000001</v>
      </c>
      <c r="V4" s="54">
        <f>IF($O4="","",ROUND(($O4-$O$3)/1000,1)+(_xlfn.RANK.AVG($O4,($J4,$O4,$T4),1)-2)*10)</f>
        <v>-19.600000000000001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>
        <v>4</v>
      </c>
      <c r="AD4" s="30">
        <v>25</v>
      </c>
      <c r="AE4" s="40" t="s">
        <v>101</v>
      </c>
      <c r="AF4" s="41" t="s">
        <v>199</v>
      </c>
      <c r="AG4" s="41" t="s">
        <v>199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れんたろう</v>
      </c>
      <c r="F5" s="8" t="s">
        <v>200</v>
      </c>
      <c r="G5" s="9">
        <v>18000</v>
      </c>
      <c r="H5" s="9"/>
      <c r="I5" s="48">
        <v>1000</v>
      </c>
      <c r="J5" s="21">
        <f t="shared" ref="J5:J30" si="2">IF(COUNTA($F5,$K5,$P5)&gt;0,J4+SUM(G5:I5),"")</f>
        <v>63600</v>
      </c>
      <c r="K5" s="8" t="s">
        <v>201</v>
      </c>
      <c r="L5" s="9">
        <v>-9000</v>
      </c>
      <c r="M5" s="9"/>
      <c r="N5" s="48">
        <v>-500</v>
      </c>
      <c r="O5" s="21">
        <f t="shared" ref="O5:O30" si="3">IF(COUNTA($F5,$K5,$P5)&gt;0,O4+SUM(L5:N5),"")</f>
        <v>15900</v>
      </c>
      <c r="P5" s="8" t="s">
        <v>201</v>
      </c>
      <c r="Q5" s="9">
        <v>-9000</v>
      </c>
      <c r="R5" s="9"/>
      <c r="S5" s="48">
        <v>-500</v>
      </c>
      <c r="T5" s="21">
        <f t="shared" ref="T5:T30" si="4">IF(COUNTA($F5,$K5,$P5)&gt;0,T4+SUM(Q5:S5),"")</f>
        <v>25500</v>
      </c>
      <c r="U5" s="53">
        <f>IF($J5="","",ROUND(($J5-$J$3)/1000,1)+(_xlfn.RANK.AVG($J5,($J5,$O5,$T5),1)-2)*10)</f>
        <v>38.6</v>
      </c>
      <c r="V5" s="54">
        <f>IF($O5="","",ROUND(($O5-$O$3)/1000,1)+(_xlfn.RANK.AVG($O5,($J5,$O5,$T5),1)-2)*10)</f>
        <v>-29.1</v>
      </c>
      <c r="W5" s="55">
        <f>IF($T5="","",ROUND(($T5-$T$3)/1000,1)+(_xlfn.RANK.AVG($T5,($J5,$O5,$T5),1)-2)*10)</f>
        <v>-9.5</v>
      </c>
      <c r="Y5" s="8"/>
      <c r="Z5" s="34"/>
      <c r="AA5" s="26">
        <v>1</v>
      </c>
      <c r="AB5" s="26"/>
      <c r="AC5" s="26">
        <v>6</v>
      </c>
      <c r="AD5" s="30" t="s">
        <v>202</v>
      </c>
      <c r="AE5" s="40" t="s">
        <v>203</v>
      </c>
      <c r="AF5" s="41" t="s">
        <v>82</v>
      </c>
      <c r="AG5" s="41" t="s">
        <v>79</v>
      </c>
      <c r="AH5" s="41" t="s">
        <v>79</v>
      </c>
      <c r="AI5" s="41" t="s">
        <v>79</v>
      </c>
      <c r="AJ5" s="41" t="s">
        <v>199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れんたろう</v>
      </c>
      <c r="F6" s="8" t="s">
        <v>206</v>
      </c>
      <c r="G6" s="9">
        <v>3000</v>
      </c>
      <c r="H6" s="9"/>
      <c r="I6" s="48"/>
      <c r="J6" s="21">
        <f t="shared" si="2"/>
        <v>66600</v>
      </c>
      <c r="K6" s="8" t="s">
        <v>206</v>
      </c>
      <c r="L6" s="9">
        <v>-1500</v>
      </c>
      <c r="M6" s="9"/>
      <c r="N6" s="48"/>
      <c r="O6" s="21">
        <f t="shared" si="3"/>
        <v>14400</v>
      </c>
      <c r="P6" s="8" t="s">
        <v>206</v>
      </c>
      <c r="Q6" s="9">
        <v>-1500</v>
      </c>
      <c r="R6" s="9"/>
      <c r="S6" s="48"/>
      <c r="T6" s="21">
        <f t="shared" si="4"/>
        <v>24000</v>
      </c>
      <c r="U6" s="53">
        <f>IF($J6="","",ROUND(($J6-$J$3)/1000,1)+(_xlfn.RANK.AVG($J6,($J6,$O6,$T6),1)-2)*10)</f>
        <v>41.6</v>
      </c>
      <c r="V6" s="54">
        <f>IF($O6="","",ROUND(($O6-$O$3)/1000,1)+(_xlfn.RANK.AVG($O6,($J6,$O6,$T6),1)-2)*10)</f>
        <v>-30.6</v>
      </c>
      <c r="W6" s="55">
        <f>IF($T6="","",ROUND(($T6-$T$3)/1000,1)+(_xlfn.RANK.AVG($T6,($J6,$O6,$T6),1)-2)*10)</f>
        <v>-11</v>
      </c>
      <c r="Y6" s="8" t="s">
        <v>204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205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205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れんたろう</v>
      </c>
      <c r="F7" s="8"/>
      <c r="G7" s="9"/>
      <c r="H7" s="9"/>
      <c r="I7" s="48"/>
      <c r="J7" s="21">
        <f t="shared" si="2"/>
        <v>66600</v>
      </c>
      <c r="K7" s="8" t="s">
        <v>197</v>
      </c>
      <c r="L7" s="9">
        <v>1000</v>
      </c>
      <c r="M7" s="9"/>
      <c r="N7" s="48">
        <v>3000</v>
      </c>
      <c r="O7" s="21">
        <f t="shared" si="3"/>
        <v>18400</v>
      </c>
      <c r="P7" s="8" t="s">
        <v>198</v>
      </c>
      <c r="Q7" s="9">
        <v>-1000</v>
      </c>
      <c r="R7" s="9"/>
      <c r="S7" s="48">
        <v>-3000</v>
      </c>
      <c r="T7" s="21">
        <f t="shared" si="4"/>
        <v>20000</v>
      </c>
      <c r="U7" s="53">
        <f>IF($J7="","",ROUND(($J7-$J$3)/1000,1)+(_xlfn.RANK.AVG($J7,($J7,$O7,$T7),1)-2)*10)</f>
        <v>41.6</v>
      </c>
      <c r="V7" s="54">
        <f>IF($O7="","",ROUND(($O7-$O$3)/1000,1)+(_xlfn.RANK.AVG($O7,($J7,$O7,$T7),1)-2)*10)</f>
        <v>-26.6</v>
      </c>
      <c r="W7" s="55">
        <f>IF($T7="","",ROUND(($T7-$T$3)/1000,1)+(_xlfn.RANK.AVG($T7,($J7,$O7,$T7),1)-2)*10)</f>
        <v>-15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1</v>
      </c>
      <c r="AY7" s="30">
        <v>30</v>
      </c>
      <c r="AZ7" s="40" t="s">
        <v>86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だいち</v>
      </c>
      <c r="F8" s="8"/>
      <c r="G8" s="9"/>
      <c r="H8" s="9"/>
      <c r="I8" s="48"/>
      <c r="J8" s="21">
        <f t="shared" si="2"/>
        <v>66600</v>
      </c>
      <c r="K8" s="8" t="s">
        <v>197</v>
      </c>
      <c r="L8" s="9">
        <v>12000</v>
      </c>
      <c r="M8" s="9"/>
      <c r="N8" s="48">
        <v>0</v>
      </c>
      <c r="O8" s="21">
        <f t="shared" si="3"/>
        <v>30400</v>
      </c>
      <c r="P8" s="8" t="s">
        <v>198</v>
      </c>
      <c r="Q8" s="9">
        <v>-12000</v>
      </c>
      <c r="R8" s="9"/>
      <c r="S8" s="48">
        <v>0</v>
      </c>
      <c r="T8" s="21">
        <f t="shared" si="4"/>
        <v>8000</v>
      </c>
      <c r="U8" s="53">
        <f>IF($J8="","",ROUND(($J8-$J$3)/1000,1)+(_xlfn.RANK.AVG($J8,($J8,$O8,$T8),1)-2)*10)</f>
        <v>41.6</v>
      </c>
      <c r="V8" s="54">
        <f>IF($O8="","",ROUND(($O8-$O$3)/1000,1)+(_xlfn.RANK.AVG($O8,($J8,$O8,$T8),1)-2)*10)</f>
        <v>-4.5999999999999996</v>
      </c>
      <c r="W8" s="55">
        <f>IF($T8="","",ROUND(($T8-$T$3)/1000,1)+(_xlfn.RANK.AVG($T8,($J8,$O8,$T8),1)-2)*10)</f>
        <v>-37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202</v>
      </c>
      <c r="AZ8" s="40" t="s">
        <v>203</v>
      </c>
      <c r="BA8" s="41" t="s">
        <v>207</v>
      </c>
      <c r="BB8" s="41" t="s">
        <v>83</v>
      </c>
      <c r="BC8" s="41" t="s">
        <v>199</v>
      </c>
      <c r="BD8" s="41" t="s">
        <v>79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tr">
        <f>IF($K$1="","",$K$1)</f>
        <v>だいち</v>
      </c>
      <c r="F9" s="8" t="s">
        <v>197</v>
      </c>
      <c r="G9" s="9">
        <v>8000</v>
      </c>
      <c r="H9" s="9"/>
      <c r="I9" s="48">
        <v>1000</v>
      </c>
      <c r="J9" s="21">
        <f t="shared" si="2"/>
        <v>75600</v>
      </c>
      <c r="K9" s="8"/>
      <c r="L9" s="9"/>
      <c r="M9" s="9"/>
      <c r="N9" s="48"/>
      <c r="O9" s="21">
        <f t="shared" si="3"/>
        <v>30400</v>
      </c>
      <c r="P9" s="8" t="s">
        <v>198</v>
      </c>
      <c r="Q9" s="9">
        <v>-8000</v>
      </c>
      <c r="R9" s="9"/>
      <c r="S9" s="48">
        <v>-1000</v>
      </c>
      <c r="T9" s="21">
        <f t="shared" si="4"/>
        <v>-1000</v>
      </c>
      <c r="U9" s="53">
        <f>IF($J9="","",ROUND(($J9-$J$3)/1000,1)+(_xlfn.RANK.AVG($J9,($J9,$O9,$T9),1)-2)*10)</f>
        <v>50.6</v>
      </c>
      <c r="V9" s="54">
        <f>IF($O9="","",ROUND(($O9-$O$3)/1000,1)+(_xlfn.RANK.AVG($O9,($J9,$O9,$T9),1)-2)*10)</f>
        <v>-4.5999999999999996</v>
      </c>
      <c r="W9" s="55">
        <f>IF($T9="","",ROUND(($T9-$T$3)/1000,1)+(_xlfn.RANK.AVG($T9,($J9,$O9,$T9),1)-2)*10)</f>
        <v>-46</v>
      </c>
      <c r="Y9" s="8"/>
      <c r="Z9" s="34"/>
      <c r="AA9" s="26">
        <v>1</v>
      </c>
      <c r="AB9" s="26"/>
      <c r="AC9" s="26">
        <v>4</v>
      </c>
      <c r="AD9" s="30">
        <v>40</v>
      </c>
      <c r="AE9" s="40" t="s">
        <v>203</v>
      </c>
      <c r="AF9" s="41" t="s">
        <v>199</v>
      </c>
      <c r="AG9" s="41" t="s">
        <v>79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E2C60B4A-5A3A-4DA2-8190-5274B8FAF059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9A3D4-ECB7-4440-843D-CBD59BFBB419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ともき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だいち</v>
      </c>
      <c r="W2" s="16" t="str">
        <f>$P$1</f>
        <v>ともき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198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-22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202</v>
      </c>
      <c r="AZ4" s="40" t="s">
        <v>203</v>
      </c>
      <c r="BA4" s="41" t="s">
        <v>103</v>
      </c>
      <c r="BB4" s="41" t="s">
        <v>84</v>
      </c>
      <c r="BC4" s="41" t="s">
        <v>80</v>
      </c>
      <c r="BD4" s="41" t="s">
        <v>80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れんたろう</v>
      </c>
      <c r="F5" s="8"/>
      <c r="G5" s="9"/>
      <c r="H5" s="9">
        <v>-1000</v>
      </c>
      <c r="I5" s="48"/>
      <c r="J5" s="21">
        <f t="shared" ref="J5:J30" si="2">IF(COUNTA($F5,$K5,$P5)&gt;0,J4+SUM(G5:I5),"")</f>
        <v>34000</v>
      </c>
      <c r="K5" s="8" t="s">
        <v>197</v>
      </c>
      <c r="L5" s="9">
        <v>12000</v>
      </c>
      <c r="M5" s="9">
        <v>1000</v>
      </c>
      <c r="N5" s="48">
        <v>0</v>
      </c>
      <c r="O5" s="21">
        <f t="shared" ref="O5:O30" si="3">IF(COUNTA($F5,$K5,$P5)&gt;0,O4+SUM(L5:N5),"")</f>
        <v>60000</v>
      </c>
      <c r="P5" s="8" t="s">
        <v>198</v>
      </c>
      <c r="Q5" s="9">
        <v>-12000</v>
      </c>
      <c r="R5" s="9"/>
      <c r="S5" s="48">
        <v>0</v>
      </c>
      <c r="T5" s="21">
        <f t="shared" ref="T5:T30" si="4">IF(COUNTA($F5,$K5,$P5)&gt;0,T4+SUM(Q5:S5),"")</f>
        <v>11000</v>
      </c>
      <c r="U5" s="53">
        <f>IF($J5="","",ROUND(($J5-$J$3)/1000,1)+(_xlfn.RANK.AVG($J5,($J5,$O5,$T5),1)-2)*10)</f>
        <v>-1</v>
      </c>
      <c r="V5" s="54">
        <f>IF($O5="","",ROUND(($O5-$O$3)/1000,1)+(_xlfn.RANK.AVG($O5,($J5,$O5,$T5),1)-2)*10)</f>
        <v>35</v>
      </c>
      <c r="W5" s="55">
        <f>IF($T5="","",ROUND(($T5-$T$3)/1000,1)+(_xlfn.RANK.AVG($T5,($J5,$O5,$T5),1)-2)*10)</f>
        <v>-34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6</v>
      </c>
      <c r="AY5" s="30" t="s">
        <v>202</v>
      </c>
      <c r="AZ5" s="40" t="s">
        <v>203</v>
      </c>
      <c r="BA5" s="41" t="s">
        <v>101</v>
      </c>
      <c r="BB5" s="41" t="s">
        <v>79</v>
      </c>
      <c r="BC5" s="41" t="s">
        <v>79</v>
      </c>
      <c r="BD5" s="41" t="s">
        <v>199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 t="s">
        <v>200</v>
      </c>
      <c r="G6" s="9">
        <v>7700</v>
      </c>
      <c r="H6" s="9">
        <v>1000</v>
      </c>
      <c r="I6" s="48">
        <v>0</v>
      </c>
      <c r="J6" s="21">
        <f t="shared" si="2"/>
        <v>42700</v>
      </c>
      <c r="K6" s="8" t="s">
        <v>201</v>
      </c>
      <c r="L6" s="9">
        <v>-4800</v>
      </c>
      <c r="M6" s="9">
        <v>-1000</v>
      </c>
      <c r="N6" s="48">
        <v>0</v>
      </c>
      <c r="O6" s="21">
        <f t="shared" si="3"/>
        <v>54200</v>
      </c>
      <c r="P6" s="8" t="s">
        <v>201</v>
      </c>
      <c r="Q6" s="9">
        <v>-2900</v>
      </c>
      <c r="R6" s="9"/>
      <c r="S6" s="48">
        <v>0</v>
      </c>
      <c r="T6" s="21">
        <f t="shared" si="4"/>
        <v>8100</v>
      </c>
      <c r="U6" s="53">
        <f>IF($J6="","",ROUND(($J6-$J$3)/1000,1)+(_xlfn.RANK.AVG($J6,($J6,$O6,$T6),1)-2)*10)</f>
        <v>7.7</v>
      </c>
      <c r="V6" s="54">
        <f>IF($O6="","",ROUND(($O6-$O$3)/1000,1)+(_xlfn.RANK.AVG($O6,($J6,$O6,$T6),1)-2)*10)</f>
        <v>29.2</v>
      </c>
      <c r="W6" s="55">
        <f>IF($T6="","",ROUND(($T6-$T$3)/1000,1)+(_xlfn.RANK.AVG($T6,($J6,$O6,$T6),1)-2)*10)</f>
        <v>-36.9</v>
      </c>
      <c r="Y6" s="8"/>
      <c r="Z6" s="34"/>
      <c r="AA6" s="26"/>
      <c r="AB6" s="26">
        <v>1</v>
      </c>
      <c r="AC6" s="26">
        <v>4</v>
      </c>
      <c r="AD6" s="30">
        <v>30</v>
      </c>
      <c r="AE6" s="40" t="s">
        <v>104</v>
      </c>
      <c r="AF6" s="41" t="s">
        <v>86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IF($P$1="","",$P$1)</f>
        <v>ともき</v>
      </c>
      <c r="F7" s="8" t="s">
        <v>201</v>
      </c>
      <c r="G7" s="9">
        <v>-3000</v>
      </c>
      <c r="H7" s="9"/>
      <c r="I7" s="48">
        <v>0</v>
      </c>
      <c r="J7" s="21">
        <f t="shared" si="2"/>
        <v>39700</v>
      </c>
      <c r="K7" s="8" t="s">
        <v>200</v>
      </c>
      <c r="L7" s="9">
        <v>8000</v>
      </c>
      <c r="M7" s="9">
        <v>1000</v>
      </c>
      <c r="N7" s="48">
        <v>0</v>
      </c>
      <c r="O7" s="21">
        <f t="shared" si="3"/>
        <v>63200</v>
      </c>
      <c r="P7" s="8" t="s">
        <v>201</v>
      </c>
      <c r="Q7" s="9">
        <v>-5000</v>
      </c>
      <c r="R7" s="9">
        <v>-1000</v>
      </c>
      <c r="S7" s="48">
        <v>0</v>
      </c>
      <c r="T7" s="21">
        <f t="shared" si="4"/>
        <v>2100</v>
      </c>
      <c r="U7" s="53">
        <f>IF($J7="","",ROUND(($J7-$J$3)/1000,1)+(_xlfn.RANK.AVG($J7,($J7,$O7,$T7),1)-2)*10)</f>
        <v>4.7</v>
      </c>
      <c r="V7" s="54">
        <f>IF($O7="","",ROUND(($O7-$O$3)/1000,1)+(_xlfn.RANK.AVG($O7,($J7,$O7,$T7),1)-2)*10)</f>
        <v>38.200000000000003</v>
      </c>
      <c r="W7" s="55">
        <f>IF($T7="","",ROUND(($T7-$T$3)/1000,1)+(_xlfn.RANK.AVG($T7,($J7,$O7,$T7),1)-2)*10)</f>
        <v>-42.9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202</v>
      </c>
      <c r="AZ7" s="40" t="s">
        <v>203</v>
      </c>
      <c r="BA7" s="41" t="s">
        <v>82</v>
      </c>
      <c r="BB7" s="41" t="s">
        <v>101</v>
      </c>
      <c r="BC7" s="41" t="s">
        <v>199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IF($F$1="","",$F$1)</f>
        <v>れんたろう</v>
      </c>
      <c r="F8" s="8"/>
      <c r="G8" s="9"/>
      <c r="H8" s="9">
        <v>-1000</v>
      </c>
      <c r="I8" s="48"/>
      <c r="J8" s="21">
        <f t="shared" si="2"/>
        <v>38700</v>
      </c>
      <c r="K8" s="8" t="s">
        <v>197</v>
      </c>
      <c r="L8" s="9">
        <v>8000</v>
      </c>
      <c r="M8" s="9">
        <v>1000</v>
      </c>
      <c r="N8" s="48">
        <v>0</v>
      </c>
      <c r="O8" s="21">
        <f t="shared" si="3"/>
        <v>72200</v>
      </c>
      <c r="P8" s="8" t="s">
        <v>198</v>
      </c>
      <c r="Q8" s="9">
        <v>-8000</v>
      </c>
      <c r="R8" s="9"/>
      <c r="S8" s="48">
        <v>0</v>
      </c>
      <c r="T8" s="21">
        <f t="shared" si="4"/>
        <v>-5900</v>
      </c>
      <c r="U8" s="53">
        <f>IF($J8="","",ROUND(($J8-$J$3)/1000,1)+(_xlfn.RANK.AVG($J8,($J8,$O8,$T8),1)-2)*10)</f>
        <v>3.7</v>
      </c>
      <c r="V8" s="54">
        <f>IF($O8="","",ROUND(($O8-$O$3)/1000,1)+(_xlfn.RANK.AVG($O8,($J8,$O8,$T8),1)-2)*10)</f>
        <v>47.2</v>
      </c>
      <c r="W8" s="55">
        <f>IF($T8="","",ROUND(($T8-$T$3)/1000,1)+(_xlfn.RANK.AVG($T8,($J8,$O8,$T8),1)-2)*10)</f>
        <v>-50.9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202</v>
      </c>
      <c r="AZ8" s="40" t="s">
        <v>203</v>
      </c>
      <c r="BA8" s="41" t="s">
        <v>83</v>
      </c>
      <c r="BB8" s="41" t="s">
        <v>79</v>
      </c>
      <c r="BC8" s="41" t="s">
        <v>79</v>
      </c>
      <c r="BD8" s="41" t="s">
        <v>79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91F6DD27-2E29-401E-B0D7-3509F29D44F5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  <dataValidation type="list" showInputMessage="1" showErrorMessage="1" sqref="K4:K30 P4:P30 F4:F30" xr:uid="{9E85D0FF-9EF5-4E3F-BB9C-2AD3AEC7F8CC}">
      <formula1>"ロン,ツモ,放銃,ツモ支払,流局,チョンボ"</formula1>
    </dataValidation>
    <dataValidation type="list" allowBlank="1" showInputMessage="1" showErrorMessage="1" sqref="E4:E30" xr:uid="{3232BF5E-51EF-45C4-B2A7-B2AB5BAD333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1BAD7-326A-419E-A541-381BF460E788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ともき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だいち</v>
      </c>
      <c r="W2" s="16" t="str">
        <f>$P$1</f>
        <v>ともき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198</v>
      </c>
      <c r="L4" s="9">
        <v>-2000</v>
      </c>
      <c r="M4" s="9">
        <v>-1000</v>
      </c>
      <c r="N4" s="48">
        <v>0</v>
      </c>
      <c r="O4" s="21">
        <f>IF(COUNTA($F4,$K4,$P4)&gt;0,O3+SUM(L4:N4),"")</f>
        <v>32000</v>
      </c>
      <c r="P4" s="8" t="s">
        <v>197</v>
      </c>
      <c r="Q4" s="9">
        <v>2000</v>
      </c>
      <c r="R4" s="9">
        <v>2000</v>
      </c>
      <c r="S4" s="48">
        <v>0</v>
      </c>
      <c r="T4" s="21">
        <f>IF(COUNTA($F4,$K4,$P4)&gt;0,T3+SUM(Q4:S4),"")</f>
        <v>39000</v>
      </c>
      <c r="U4" s="53">
        <f>IF($J4="","",ROUND(($J4-$J$3)/1000,1)+(_xlfn.RANK.AVG($J4,($J4,$O4,$T4),1)-2)*10)</f>
        <v>-1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14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2</v>
      </c>
      <c r="BT4" s="30">
        <v>30</v>
      </c>
      <c r="BU4" s="40" t="s">
        <v>86</v>
      </c>
      <c r="BV4" s="41" t="s">
        <v>199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197</v>
      </c>
      <c r="G5" s="9">
        <v>5200</v>
      </c>
      <c r="H5" s="9">
        <v>1000</v>
      </c>
      <c r="I5" s="48">
        <v>0</v>
      </c>
      <c r="J5" s="21">
        <f t="shared" ref="J5:J30" si="2">IF(COUNTA($F5,$K5,$P5)&gt;0,J4+SUM(G5:I5),"")</f>
        <v>40200</v>
      </c>
      <c r="K5" s="8"/>
      <c r="L5" s="9"/>
      <c r="M5" s="9">
        <v>-1000</v>
      </c>
      <c r="N5" s="48"/>
      <c r="O5" s="21">
        <f t="shared" ref="O5:O30" si="3">IF(COUNTA($F5,$K5,$P5)&gt;0,O4+SUM(L5:N5),"")</f>
        <v>31000</v>
      </c>
      <c r="P5" s="8" t="s">
        <v>198</v>
      </c>
      <c r="Q5" s="9">
        <v>-5200</v>
      </c>
      <c r="R5" s="9"/>
      <c r="S5" s="48">
        <v>0</v>
      </c>
      <c r="T5" s="21">
        <f t="shared" ref="T5:T30" si="4">IF(COUNTA($F5,$K5,$P5)&gt;0,T4+SUM(Q5:S5),"")</f>
        <v>33800</v>
      </c>
      <c r="U5" s="53">
        <f>IF($J5="","",ROUND(($J5-$J$3)/1000,1)+(_xlfn.RANK.AVG($J5,($J5,$O5,$T5),1)-2)*10)</f>
        <v>15.2</v>
      </c>
      <c r="V5" s="54">
        <f>IF($O5="","",ROUND(($O5-$O$3)/1000,1)+(_xlfn.RANK.AVG($O5,($J5,$O5,$T5),1)-2)*10)</f>
        <v>-14</v>
      </c>
      <c r="W5" s="55">
        <f>IF($T5="","",ROUND(($T5-$T$3)/1000,1)+(_xlfn.RANK.AVG($T5,($J5,$O5,$T5),1)-2)*10)</f>
        <v>-1.2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203</v>
      </c>
      <c r="AF5" s="41" t="s">
        <v>86</v>
      </c>
      <c r="AG5" s="41" t="s">
        <v>79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ともき</v>
      </c>
      <c r="F6" s="8" t="s">
        <v>201</v>
      </c>
      <c r="G6" s="9">
        <v>-4500</v>
      </c>
      <c r="H6" s="9"/>
      <c r="I6" s="48">
        <v>0</v>
      </c>
      <c r="J6" s="21">
        <f t="shared" si="2"/>
        <v>35700</v>
      </c>
      <c r="K6" s="8" t="s">
        <v>200</v>
      </c>
      <c r="L6" s="9">
        <v>12000</v>
      </c>
      <c r="M6" s="9"/>
      <c r="N6" s="48">
        <v>0</v>
      </c>
      <c r="O6" s="21">
        <f t="shared" si="3"/>
        <v>43000</v>
      </c>
      <c r="P6" s="8" t="s">
        <v>201</v>
      </c>
      <c r="Q6" s="9">
        <v>-7500</v>
      </c>
      <c r="R6" s="9"/>
      <c r="S6" s="48">
        <v>0</v>
      </c>
      <c r="T6" s="21">
        <f t="shared" si="4"/>
        <v>26300</v>
      </c>
      <c r="U6" s="53">
        <f>IF($J6="","",ROUND(($J6-$J$3)/1000,1)+(_xlfn.RANK.AVG($J6,($J6,$O6,$T6),1)-2)*10)</f>
        <v>0.7</v>
      </c>
      <c r="V6" s="54">
        <f>IF($O6="","",ROUND(($O6-$O$3)/1000,1)+(_xlfn.RANK.AVG($O6,($J6,$O6,$T6),1)-2)*10)</f>
        <v>18</v>
      </c>
      <c r="W6" s="55">
        <f>IF($T6="","",ROUND(($T6-$T$3)/1000,1)+(_xlfn.RANK.AVG($T6,($J6,$O6,$T6),1)-2)*10)</f>
        <v>-18.7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202</v>
      </c>
      <c r="AZ6" s="40" t="s">
        <v>203</v>
      </c>
      <c r="BA6" s="41" t="s">
        <v>82</v>
      </c>
      <c r="BB6" s="41" t="s">
        <v>83</v>
      </c>
      <c r="BC6" s="41" t="s">
        <v>79</v>
      </c>
      <c r="BD6" s="41" t="s">
        <v>80</v>
      </c>
      <c r="BE6" s="41" t="s">
        <v>199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れんたろう</v>
      </c>
      <c r="F7" s="8" t="s">
        <v>201</v>
      </c>
      <c r="G7" s="9">
        <v>-700</v>
      </c>
      <c r="H7" s="9">
        <v>-1000</v>
      </c>
      <c r="I7" s="48">
        <v>0</v>
      </c>
      <c r="J7" s="21">
        <f t="shared" si="2"/>
        <v>34000</v>
      </c>
      <c r="K7" s="8" t="s">
        <v>201</v>
      </c>
      <c r="L7" s="9">
        <v>-500</v>
      </c>
      <c r="M7" s="9"/>
      <c r="N7" s="48">
        <v>0</v>
      </c>
      <c r="O7" s="21">
        <f t="shared" si="3"/>
        <v>42500</v>
      </c>
      <c r="P7" s="8" t="s">
        <v>200</v>
      </c>
      <c r="Q7" s="9">
        <v>1200</v>
      </c>
      <c r="R7" s="9">
        <v>1000</v>
      </c>
      <c r="S7" s="48">
        <v>0</v>
      </c>
      <c r="T7" s="21">
        <f t="shared" si="4"/>
        <v>28500</v>
      </c>
      <c r="U7" s="53">
        <f>IF($J7="","",ROUND(($J7-$J$3)/1000,1)+(_xlfn.RANK.AVG($J7,($J7,$O7,$T7),1)-2)*10)</f>
        <v>-1</v>
      </c>
      <c r="V7" s="54">
        <f>IF($O7="","",ROUND(($O7-$O$3)/1000,1)+(_xlfn.RANK.AVG($O7,($J7,$O7,$T7),1)-2)*10)</f>
        <v>17.5</v>
      </c>
      <c r="W7" s="55">
        <f>IF($T7="","",ROUND(($T7-$T$3)/1000,1)+(_xlfn.RANK.AVG($T7,($J7,$O7,$T7),1)-2)*10)</f>
        <v>-16.5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1</v>
      </c>
      <c r="BT7" s="30">
        <v>30</v>
      </c>
      <c r="BU7" s="40" t="s">
        <v>86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だいち</v>
      </c>
      <c r="F8" s="8" t="s">
        <v>197</v>
      </c>
      <c r="G8" s="9">
        <v>7700</v>
      </c>
      <c r="H8" s="9"/>
      <c r="I8" s="48">
        <v>0</v>
      </c>
      <c r="J8" s="21">
        <f t="shared" si="2"/>
        <v>41700</v>
      </c>
      <c r="K8" s="8" t="s">
        <v>198</v>
      </c>
      <c r="L8" s="9">
        <v>-7700</v>
      </c>
      <c r="M8" s="9"/>
      <c r="N8" s="48">
        <v>0</v>
      </c>
      <c r="O8" s="21">
        <f t="shared" si="3"/>
        <v>34800</v>
      </c>
      <c r="P8" s="8"/>
      <c r="Q8" s="9"/>
      <c r="R8" s="9"/>
      <c r="S8" s="48"/>
      <c r="T8" s="21">
        <f t="shared" si="4"/>
        <v>28500</v>
      </c>
      <c r="U8" s="53">
        <f>IF($J8="","",ROUND(($J8-$J$3)/1000,1)+(_xlfn.RANK.AVG($J8,($J8,$O8,$T8),1)-2)*10)</f>
        <v>16.7</v>
      </c>
      <c r="V8" s="54">
        <f>IF($O8="","",ROUND(($O8-$O$3)/1000,1)+(_xlfn.RANK.AVG($O8,($J8,$O8,$T8),1)-2)*10)</f>
        <v>-0.2</v>
      </c>
      <c r="W8" s="55">
        <f>IF($T8="","",ROUND(($T8-$T$3)/1000,1)+(_xlfn.RANK.AVG($T8,($J8,$O8,$T8),1)-2)*10)</f>
        <v>-16.5</v>
      </c>
      <c r="Y8" s="8"/>
      <c r="Z8" s="34"/>
      <c r="AA8" s="26"/>
      <c r="AB8" s="26">
        <v>1</v>
      </c>
      <c r="AC8" s="26">
        <v>4</v>
      </c>
      <c r="AD8" s="30">
        <v>30</v>
      </c>
      <c r="AE8" s="40" t="s">
        <v>86</v>
      </c>
      <c r="AF8" s="41" t="s">
        <v>86</v>
      </c>
      <c r="AG8" s="41" t="s">
        <v>104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ともき</v>
      </c>
      <c r="F9" s="8" t="s">
        <v>198</v>
      </c>
      <c r="G9" s="9">
        <v>-12000</v>
      </c>
      <c r="H9" s="9"/>
      <c r="I9" s="48">
        <v>0</v>
      </c>
      <c r="J9" s="21">
        <f t="shared" si="2"/>
        <v>29700</v>
      </c>
      <c r="K9" s="8" t="s">
        <v>197</v>
      </c>
      <c r="L9" s="9">
        <v>12000</v>
      </c>
      <c r="M9" s="9"/>
      <c r="N9" s="48">
        <v>0</v>
      </c>
      <c r="O9" s="21">
        <f t="shared" si="3"/>
        <v>46800</v>
      </c>
      <c r="P9" s="8"/>
      <c r="Q9" s="9"/>
      <c r="R9" s="9"/>
      <c r="S9" s="48"/>
      <c r="T9" s="21">
        <f t="shared" si="4"/>
        <v>28500</v>
      </c>
      <c r="U9" s="53">
        <f>IF($J9="","",ROUND(($J9-$J$3)/1000,1)+(_xlfn.RANK.AVG($J9,($J9,$O9,$T9),1)-2)*10)</f>
        <v>-5.3</v>
      </c>
      <c r="V9" s="54">
        <f>IF($O9="","",ROUND(($O9-$O$3)/1000,1)+(_xlfn.RANK.AVG($O9,($J9,$O9,$T9),1)-2)*10)</f>
        <v>21.8</v>
      </c>
      <c r="W9" s="55">
        <f>IF($T9="","",ROUND(($T9-$T$3)/1000,1)+(_xlfn.RANK.AVG($T9,($J9,$O9,$T9),1)-2)*10)</f>
        <v>-16.5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6</v>
      </c>
      <c r="AY9" s="30" t="s">
        <v>202</v>
      </c>
      <c r="AZ9" s="40" t="s">
        <v>86</v>
      </c>
      <c r="BA9" s="41" t="s">
        <v>86</v>
      </c>
      <c r="BB9" s="41" t="s">
        <v>104</v>
      </c>
      <c r="BC9" s="41" t="s">
        <v>199</v>
      </c>
      <c r="BD9" s="41" t="s">
        <v>79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西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れんたろう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03D1861D-3DFF-469A-8ADB-8477C22ACFB3}">
      <formula1>$U$2:$W$2</formula1>
    </dataValidation>
    <dataValidation type="list" showInputMessage="1" showErrorMessage="1" sqref="K4:K30 P4:P30 F4:F30" xr:uid="{7110C5FC-BAF9-4F0B-914F-DD8D7D12B076}">
      <formula1>"ロン,ツモ,放銃,ツモ支払,流局,チョンボ"</formula1>
    </dataValidation>
    <dataValidation type="list" allowBlank="1" showInputMessage="1" sqref="F1:T1" xr:uid="{50652096-FED0-4C94-B007-56A6A01691C1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2021-02-13T07:42:45Z</dcterms:modified>
</cp:coreProperties>
</file>